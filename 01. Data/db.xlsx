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wyong/Documents/GitHub/DatabACE/01. Data/"/>
    </mc:Choice>
  </mc:AlternateContent>
  <xr:revisionPtr revIDLastSave="0" documentId="13_ncr:1_{89CA3534-B3F6-7941-B320-5C04D9ED7048}" xr6:coauthVersionLast="47" xr6:coauthVersionMax="47" xr10:uidLastSave="{00000000-0000-0000-0000-000000000000}"/>
  <bookViews>
    <workbookView xWindow="0" yWindow="500" windowWidth="33600" windowHeight="18920" tabRatio="889" firstSheet="1" activeTab="15" xr2:uid="{00000000-000D-0000-FFFF-FFFF00000000}"/>
  </bookViews>
  <sheets>
    <sheet name="Spares" sheetId="49" r:id="rId1"/>
    <sheet name="Progress" sheetId="48" r:id="rId2"/>
    <sheet name="State" sheetId="45" r:id="rId3"/>
    <sheet name="Person" sheetId="7" r:id="rId4"/>
    <sheet name="Transaction" sheetId="41" r:id="rId5"/>
    <sheet name="Denomination" sheetId="51" r:id="rId6"/>
    <sheet name="Language" sheetId="50" r:id="rId7"/>
    <sheet name="Address" sheetId="34" r:id="rId8"/>
    <sheet name="Date" sheetId="47" r:id="rId9"/>
    <sheet name="Grade" sheetId="46" r:id="rId10"/>
    <sheet name="Class" sheetId="35" r:id="rId11"/>
    <sheet name="SubjectGroup" sheetId="6" r:id="rId12"/>
    <sheet name="Subject" sheetId="3" r:id="rId13"/>
    <sheet name="ICCE_Certificate" sheetId="39" r:id="rId14"/>
    <sheet name="Enrollment" sheetId="36" r:id="rId15"/>
    <sheet name="Course" sheetId="32" r:id="rId16"/>
    <sheet name="PaceCourse" sheetId="1" r:id="rId17"/>
    <sheet name="PACE" sheetId="37" r:id="rId18"/>
    <sheet name="CourseWorkICCE_Certificate" sheetId="43" r:id="rId19"/>
    <sheet name="EnrollmentCourses__" sheetId="42" r:id="rId20"/>
    <sheet name="PaceUnitResult" sheetId="4" r:id="rId21"/>
    <sheet name="OtherCourse" sheetId="9" r:id="rId22"/>
    <sheet name="OtherCourseUnit" sheetId="20" r:id="rId23"/>
    <sheet name="OtherUnitResults" sheetId="10" r:id="rId24"/>
    <sheet name="RecurringCourse" sheetId="21" r:id="rId25"/>
    <sheet name="RecurringResult" sheetId="22" r:id="rId26"/>
    <sheet name="DutchCourse" sheetId="14" r:id="rId27"/>
    <sheet name="DutchCourseUnits" sheetId="19" r:id="rId28"/>
    <sheet name="DutchUnitResults" sheetId="15" r:id="rId29"/>
    <sheet name="SubjectCourseEnrolment" sheetId="5" r:id="rId30"/>
    <sheet name="ExtraCurCourseEnrolment" sheetId="17" r:id="rId31"/>
    <sheet name="DutchCourseEnrolment" sheetId="18" r:id="rId32"/>
    <sheet name="Term" sheetId="12" r:id="rId33"/>
    <sheet name="Year" sheetId="16" r:id="rId34"/>
  </sheets>
  <definedNames>
    <definedName name="_xlnm._FilterDatabase" localSheetId="7" hidden="1">Address!$A$1:$G$18</definedName>
    <definedName name="_xlnm._FilterDatabase" localSheetId="10" hidden="1">Class!$A$1:$B$6</definedName>
    <definedName name="_xlnm._FilterDatabase" localSheetId="15" hidden="1">Course!$A$1:$S$153</definedName>
    <definedName name="_xlnm._FilterDatabase" localSheetId="18" hidden="1">CourseWorkICCE_Certificate!$A$1:$E$26</definedName>
    <definedName name="_xlnm._FilterDatabase" localSheetId="8" hidden="1">Date!$A$1:$I$1001</definedName>
    <definedName name="_xlnm._FilterDatabase" localSheetId="14" hidden="1">Enrollment!$A$1:$J$46</definedName>
    <definedName name="_xlnm._FilterDatabase" localSheetId="17" hidden="1">PACE!$A$1:$M$1306</definedName>
    <definedName name="_xlnm._FilterDatabase" localSheetId="16" hidden="1">PaceCourse!$A$1:$I$1290</definedName>
    <definedName name="_xlnm._FilterDatabase" localSheetId="20" hidden="1">PaceUnitResult!$A$1:$H$84</definedName>
    <definedName name="_xlnm._FilterDatabase" localSheetId="3" hidden="1">Person!$A$1:$O$61</definedName>
    <definedName name="_xlnm._FilterDatabase" localSheetId="1" hidden="1">Progress!$A$1:$E$92</definedName>
    <definedName name="_xlnm._FilterDatabase" localSheetId="0" hidden="1">Spares!$A$1:$G$57</definedName>
    <definedName name="_xlnm._FilterDatabase" localSheetId="12" hidden="1">Subject!$A$1:$D$11</definedName>
    <definedName name="_xlnm._FilterDatabase" localSheetId="4" hidden="1">Transaction!$A$1:$G$15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4" i="32" l="1"/>
  <c r="L154" i="32"/>
  <c r="K154" i="32"/>
  <c r="H154" i="32"/>
  <c r="P153" i="32"/>
  <c r="P152" i="32"/>
  <c r="K153" i="32"/>
  <c r="L153" i="32"/>
  <c r="L152" i="32"/>
  <c r="K152" i="32"/>
  <c r="B19" i="36"/>
  <c r="J747" i="47"/>
  <c r="J748" i="47"/>
  <c r="J749" i="47"/>
  <c r="J750" i="47"/>
  <c r="J751" i="47"/>
  <c r="J752" i="47"/>
  <c r="J753" i="47"/>
  <c r="J754" i="47"/>
  <c r="J755" i="47"/>
  <c r="J756" i="47"/>
  <c r="J757" i="47"/>
  <c r="J758" i="47"/>
  <c r="J759" i="47"/>
  <c r="J760" i="47"/>
  <c r="J761" i="47"/>
  <c r="J762" i="47"/>
  <c r="J763" i="47"/>
  <c r="J764" i="47"/>
  <c r="J765" i="47"/>
  <c r="J766" i="47"/>
  <c r="J767" i="47"/>
  <c r="J768" i="47"/>
  <c r="J769" i="47"/>
  <c r="J770" i="47"/>
  <c r="J771" i="47"/>
  <c r="J772" i="47"/>
  <c r="J773" i="47"/>
  <c r="J774" i="47"/>
  <c r="J775" i="47"/>
  <c r="J776" i="47"/>
  <c r="J777" i="47"/>
  <c r="J778" i="47"/>
  <c r="J779" i="47"/>
  <c r="J780" i="47"/>
  <c r="J781" i="47"/>
  <c r="J782" i="47"/>
  <c r="J783" i="47"/>
  <c r="J784" i="47"/>
  <c r="J785" i="47"/>
  <c r="J786" i="47"/>
  <c r="J787" i="47"/>
  <c r="J788" i="47"/>
  <c r="J789" i="47"/>
  <c r="J790" i="47"/>
  <c r="J791" i="47"/>
  <c r="J792" i="47"/>
  <c r="J793" i="47"/>
  <c r="J794" i="47"/>
  <c r="J795" i="47"/>
  <c r="J796" i="47"/>
  <c r="J797" i="47"/>
  <c r="J798" i="47"/>
  <c r="J799" i="47"/>
  <c r="J800" i="47"/>
  <c r="J801" i="47"/>
  <c r="J802" i="47"/>
  <c r="J803" i="47"/>
  <c r="J804" i="47"/>
  <c r="J805" i="47"/>
  <c r="J806" i="47"/>
  <c r="J807" i="47"/>
  <c r="J808" i="47"/>
  <c r="J809" i="47"/>
  <c r="J810" i="47"/>
  <c r="J811" i="47"/>
  <c r="J812" i="47"/>
  <c r="J813" i="47"/>
  <c r="J814" i="47"/>
  <c r="J815" i="47"/>
  <c r="J816" i="47"/>
  <c r="J817" i="47"/>
  <c r="J818" i="47"/>
  <c r="J819" i="47"/>
  <c r="J820" i="47"/>
  <c r="J821" i="47"/>
  <c r="J822" i="47"/>
  <c r="J823" i="47"/>
  <c r="J824" i="47"/>
  <c r="J825" i="47"/>
  <c r="J826" i="47"/>
  <c r="J827" i="47"/>
  <c r="J828" i="47"/>
  <c r="J829" i="47"/>
  <c r="J830" i="47"/>
  <c r="J831" i="47"/>
  <c r="J832" i="47"/>
  <c r="J833" i="47"/>
  <c r="J834" i="47"/>
  <c r="J835" i="47"/>
  <c r="J836" i="47"/>
  <c r="J837" i="47"/>
  <c r="J838" i="47"/>
  <c r="J839" i="47"/>
  <c r="J840" i="47"/>
  <c r="J841" i="47"/>
  <c r="J842" i="47"/>
  <c r="J843" i="47"/>
  <c r="J844" i="47"/>
  <c r="J845" i="47"/>
  <c r="J846" i="47"/>
  <c r="J847" i="47"/>
  <c r="J848" i="47"/>
  <c r="J849" i="47"/>
  <c r="J850" i="47"/>
  <c r="J851" i="47"/>
  <c r="J852" i="47"/>
  <c r="J853" i="47"/>
  <c r="J854" i="47"/>
  <c r="J855" i="47"/>
  <c r="J856" i="47"/>
  <c r="J857" i="47"/>
  <c r="J858" i="47"/>
  <c r="J859" i="47"/>
  <c r="J860" i="47"/>
  <c r="J861" i="47"/>
  <c r="J862" i="47"/>
  <c r="J863" i="47"/>
  <c r="J864" i="47"/>
  <c r="J865" i="47"/>
  <c r="J866" i="47"/>
  <c r="J867" i="47"/>
  <c r="J868" i="47"/>
  <c r="J869" i="47"/>
  <c r="J870" i="47"/>
  <c r="J871" i="47"/>
  <c r="J872" i="47"/>
  <c r="J873" i="47"/>
  <c r="J874" i="47"/>
  <c r="J875" i="47"/>
  <c r="J876" i="47"/>
  <c r="J877" i="47"/>
  <c r="J878" i="47"/>
  <c r="J879" i="47"/>
  <c r="J880" i="47"/>
  <c r="J881" i="47"/>
  <c r="J882" i="47"/>
  <c r="J883" i="47"/>
  <c r="J884" i="47"/>
  <c r="J885" i="47"/>
  <c r="J886" i="47"/>
  <c r="J887" i="47"/>
  <c r="J888" i="47"/>
  <c r="J889" i="47"/>
  <c r="J890" i="47"/>
  <c r="J891" i="47"/>
  <c r="J892" i="47"/>
  <c r="J893" i="47"/>
  <c r="J894" i="47"/>
  <c r="J895" i="47"/>
  <c r="J896" i="47"/>
  <c r="J897" i="47"/>
  <c r="J898" i="47"/>
  <c r="J899" i="47"/>
  <c r="J900" i="47"/>
  <c r="J901" i="47"/>
  <c r="J902" i="47"/>
  <c r="J903" i="47"/>
  <c r="J904" i="47"/>
  <c r="J905" i="47"/>
  <c r="J906" i="47"/>
  <c r="J907" i="47"/>
  <c r="J908" i="47"/>
  <c r="J909" i="47"/>
  <c r="J910" i="47"/>
  <c r="J911" i="47"/>
  <c r="J912" i="47"/>
  <c r="J913" i="47"/>
  <c r="J914" i="47"/>
  <c r="J915" i="47"/>
  <c r="J916" i="47"/>
  <c r="J917" i="47"/>
  <c r="J918" i="47"/>
  <c r="J919" i="47"/>
  <c r="J920" i="47"/>
  <c r="J921" i="47"/>
  <c r="J922" i="47"/>
  <c r="J923" i="47"/>
  <c r="J924" i="47"/>
  <c r="J925" i="47"/>
  <c r="J926" i="47"/>
  <c r="J927" i="47"/>
  <c r="J928" i="47"/>
  <c r="J929" i="47"/>
  <c r="J930" i="47"/>
  <c r="J931" i="47"/>
  <c r="J932" i="47"/>
  <c r="J933" i="47"/>
  <c r="J934" i="47"/>
  <c r="J935" i="47"/>
  <c r="J936" i="47"/>
  <c r="J937" i="47"/>
  <c r="J938" i="47"/>
  <c r="J939" i="47"/>
  <c r="J940" i="47"/>
  <c r="J941" i="47"/>
  <c r="J942" i="47"/>
  <c r="J943" i="47"/>
  <c r="J944" i="47"/>
  <c r="J945" i="47"/>
  <c r="J946" i="47"/>
  <c r="J947" i="47"/>
  <c r="J948" i="47"/>
  <c r="J949" i="47"/>
  <c r="J950" i="47"/>
  <c r="J951" i="47"/>
  <c r="J952" i="47"/>
  <c r="J953" i="47"/>
  <c r="J954" i="47"/>
  <c r="J955" i="47"/>
  <c r="J956" i="47"/>
  <c r="J957" i="47"/>
  <c r="J958" i="47"/>
  <c r="J959" i="47"/>
  <c r="J960" i="47"/>
  <c r="J961" i="47"/>
  <c r="J962" i="47"/>
  <c r="J963" i="47"/>
  <c r="J964" i="47"/>
  <c r="J965" i="47"/>
  <c r="J966" i="47"/>
  <c r="J967" i="47"/>
  <c r="J968" i="47"/>
  <c r="J969" i="47"/>
  <c r="J970" i="47"/>
  <c r="J971" i="47"/>
  <c r="J972" i="47"/>
  <c r="J973" i="47"/>
  <c r="J974" i="47"/>
  <c r="J975" i="47"/>
  <c r="J976" i="47"/>
  <c r="J977" i="47"/>
  <c r="J978" i="47"/>
  <c r="J979" i="47"/>
  <c r="J980" i="47"/>
  <c r="J981" i="47"/>
  <c r="J982" i="47"/>
  <c r="J983" i="47"/>
  <c r="J984" i="47"/>
  <c r="J985" i="47"/>
  <c r="J986" i="47"/>
  <c r="J987" i="47"/>
  <c r="J988" i="47"/>
  <c r="J989" i="47"/>
  <c r="J990" i="47"/>
  <c r="J991" i="47"/>
  <c r="J992" i="47"/>
  <c r="J993" i="47"/>
  <c r="J994" i="47"/>
  <c r="J995" i="47"/>
  <c r="J996" i="47"/>
  <c r="J997" i="47"/>
  <c r="J998" i="47"/>
  <c r="J999" i="47"/>
  <c r="J1000" i="47"/>
  <c r="J1001" i="47"/>
  <c r="F747" i="47"/>
  <c r="F748" i="47"/>
  <c r="F749" i="47"/>
  <c r="F750" i="47"/>
  <c r="F751" i="47"/>
  <c r="F752" i="47"/>
  <c r="F753" i="47"/>
  <c r="F754" i="47"/>
  <c r="F755" i="47"/>
  <c r="F756" i="47"/>
  <c r="F757" i="47"/>
  <c r="F758" i="47"/>
  <c r="F759" i="47"/>
  <c r="F760" i="47"/>
  <c r="F761" i="47"/>
  <c r="F762" i="47"/>
  <c r="F763" i="47"/>
  <c r="F764" i="47"/>
  <c r="F765" i="47"/>
  <c r="F766" i="47"/>
  <c r="F767" i="47"/>
  <c r="F768" i="47"/>
  <c r="F769" i="47"/>
  <c r="F770" i="47"/>
  <c r="F771" i="47"/>
  <c r="F772" i="47"/>
  <c r="F773" i="47"/>
  <c r="F774" i="47"/>
  <c r="F775" i="47"/>
  <c r="F776" i="47"/>
  <c r="F777" i="47"/>
  <c r="F778" i="47"/>
  <c r="F779" i="47"/>
  <c r="F780" i="47"/>
  <c r="F781" i="47"/>
  <c r="F782" i="47"/>
  <c r="F783" i="47"/>
  <c r="F784" i="47"/>
  <c r="F785" i="47"/>
  <c r="F786" i="47"/>
  <c r="F787" i="47"/>
  <c r="F788" i="47"/>
  <c r="F789" i="47"/>
  <c r="F790" i="47"/>
  <c r="F791" i="47"/>
  <c r="F792" i="47"/>
  <c r="F793" i="47"/>
  <c r="F794" i="47"/>
  <c r="F795" i="47"/>
  <c r="F796" i="47"/>
  <c r="F797" i="47"/>
  <c r="F798" i="47"/>
  <c r="F799" i="47"/>
  <c r="F800" i="47"/>
  <c r="F801" i="47"/>
  <c r="F802" i="47"/>
  <c r="F803" i="47"/>
  <c r="F804" i="47"/>
  <c r="F805" i="47"/>
  <c r="F806" i="47"/>
  <c r="F807" i="47"/>
  <c r="F808" i="47"/>
  <c r="F809" i="47"/>
  <c r="F810" i="47"/>
  <c r="F811" i="47"/>
  <c r="F812" i="47"/>
  <c r="F813" i="47"/>
  <c r="F814" i="47"/>
  <c r="F815" i="47"/>
  <c r="F816" i="47"/>
  <c r="F817" i="47"/>
  <c r="F818" i="47"/>
  <c r="F819" i="47"/>
  <c r="F820" i="47"/>
  <c r="F821" i="47"/>
  <c r="F822" i="47"/>
  <c r="F823" i="47"/>
  <c r="F824" i="47"/>
  <c r="F825" i="47"/>
  <c r="F826" i="47"/>
  <c r="F827" i="47"/>
  <c r="F828" i="47"/>
  <c r="F829" i="47"/>
  <c r="F830" i="47"/>
  <c r="F831" i="47"/>
  <c r="F832" i="47"/>
  <c r="F833" i="47"/>
  <c r="F834" i="47"/>
  <c r="F835" i="47"/>
  <c r="F836" i="47"/>
  <c r="F837" i="47"/>
  <c r="F838" i="47"/>
  <c r="F839" i="47"/>
  <c r="F840" i="47"/>
  <c r="F841" i="47"/>
  <c r="F842" i="47"/>
  <c r="F843" i="47"/>
  <c r="F844" i="47"/>
  <c r="F845" i="47"/>
  <c r="F846" i="47"/>
  <c r="F847" i="47"/>
  <c r="F848" i="47"/>
  <c r="F849" i="47"/>
  <c r="F850" i="47"/>
  <c r="F851" i="47"/>
  <c r="F852" i="47"/>
  <c r="F853" i="47"/>
  <c r="F854" i="47"/>
  <c r="F855" i="47"/>
  <c r="F856" i="47"/>
  <c r="F857" i="47"/>
  <c r="F858" i="47"/>
  <c r="F859" i="47"/>
  <c r="F860" i="47"/>
  <c r="F861" i="47"/>
  <c r="F862" i="47"/>
  <c r="F863" i="47"/>
  <c r="F864" i="47"/>
  <c r="F865" i="47"/>
  <c r="F866" i="47"/>
  <c r="F867" i="47"/>
  <c r="F868" i="47"/>
  <c r="F869" i="47"/>
  <c r="F870" i="47"/>
  <c r="F871" i="47"/>
  <c r="F872" i="47"/>
  <c r="F873" i="47"/>
  <c r="F874" i="47"/>
  <c r="F875" i="47"/>
  <c r="F876" i="47"/>
  <c r="F877" i="47"/>
  <c r="F878" i="47"/>
  <c r="F879" i="47"/>
  <c r="F880" i="47"/>
  <c r="F881" i="47"/>
  <c r="F882" i="47"/>
  <c r="F883" i="47"/>
  <c r="F884" i="47"/>
  <c r="F885" i="47"/>
  <c r="F886" i="47"/>
  <c r="F887" i="47"/>
  <c r="F888" i="47"/>
  <c r="F889" i="47"/>
  <c r="F890" i="47"/>
  <c r="F891" i="47"/>
  <c r="F892" i="47"/>
  <c r="F893" i="47"/>
  <c r="F894" i="47"/>
  <c r="F895" i="47"/>
  <c r="F896" i="47"/>
  <c r="F897" i="47"/>
  <c r="F898" i="47"/>
  <c r="F899" i="47"/>
  <c r="F900" i="47"/>
  <c r="F901" i="47"/>
  <c r="F902" i="47"/>
  <c r="F903" i="47"/>
  <c r="F904" i="47"/>
  <c r="F905" i="47"/>
  <c r="F906" i="47"/>
  <c r="F907" i="47"/>
  <c r="F908" i="47"/>
  <c r="F909" i="47"/>
  <c r="F910" i="47"/>
  <c r="F911" i="47"/>
  <c r="F912" i="47"/>
  <c r="F913" i="47"/>
  <c r="F914" i="47"/>
  <c r="F915" i="47"/>
  <c r="F916" i="47"/>
  <c r="F917" i="47"/>
  <c r="F918" i="47"/>
  <c r="F919" i="47"/>
  <c r="F920" i="47"/>
  <c r="F921" i="47"/>
  <c r="F922" i="47"/>
  <c r="F923" i="47"/>
  <c r="F924" i="47"/>
  <c r="F925" i="47"/>
  <c r="F926" i="47"/>
  <c r="F927" i="47"/>
  <c r="F928" i="47"/>
  <c r="F929" i="47"/>
  <c r="F930" i="47"/>
  <c r="F931" i="47"/>
  <c r="F932" i="47"/>
  <c r="F933" i="47"/>
  <c r="F934" i="47"/>
  <c r="F935" i="47"/>
  <c r="F936" i="47"/>
  <c r="F937" i="47"/>
  <c r="F938" i="47"/>
  <c r="F939" i="47"/>
  <c r="F940" i="47"/>
  <c r="F941" i="47"/>
  <c r="F942" i="47"/>
  <c r="F943" i="47"/>
  <c r="F944" i="47"/>
  <c r="F945" i="47"/>
  <c r="F946" i="47"/>
  <c r="F947" i="47"/>
  <c r="F948" i="47"/>
  <c r="F949" i="47"/>
  <c r="F950" i="47"/>
  <c r="F951" i="47"/>
  <c r="F952" i="47"/>
  <c r="F953" i="47"/>
  <c r="F954" i="47"/>
  <c r="F955" i="47"/>
  <c r="F956" i="47"/>
  <c r="F957" i="47"/>
  <c r="F958" i="47"/>
  <c r="F959" i="47"/>
  <c r="F960" i="47"/>
  <c r="F961" i="47"/>
  <c r="F962" i="47"/>
  <c r="F963" i="47"/>
  <c r="F964" i="47"/>
  <c r="F965" i="47"/>
  <c r="F966" i="47"/>
  <c r="F967" i="47"/>
  <c r="F968" i="47"/>
  <c r="F969" i="47"/>
  <c r="F970" i="47"/>
  <c r="F971" i="47"/>
  <c r="F972" i="47"/>
  <c r="F973" i="47"/>
  <c r="F974" i="47"/>
  <c r="F975" i="47"/>
  <c r="F976" i="47"/>
  <c r="F977" i="47"/>
  <c r="F978" i="47"/>
  <c r="F979" i="47"/>
  <c r="F980" i="47"/>
  <c r="F981" i="47"/>
  <c r="F982" i="47"/>
  <c r="F983" i="47"/>
  <c r="F984" i="47"/>
  <c r="F985" i="47"/>
  <c r="F986" i="47"/>
  <c r="F987" i="47"/>
  <c r="F988" i="47"/>
  <c r="F989" i="47"/>
  <c r="F990" i="47"/>
  <c r="F991" i="47"/>
  <c r="F992" i="47"/>
  <c r="F993" i="47"/>
  <c r="F994" i="47"/>
  <c r="F995" i="47"/>
  <c r="F996" i="47"/>
  <c r="F997" i="47"/>
  <c r="F998" i="47"/>
  <c r="F999" i="47"/>
  <c r="F1000" i="47"/>
  <c r="F1001" i="47"/>
  <c r="I6" i="47"/>
  <c r="I7" i="47" s="1"/>
  <c r="I8" i="47" s="1"/>
  <c r="I9" i="47" s="1"/>
  <c r="I10" i="47" s="1"/>
  <c r="I11" i="47" s="1"/>
  <c r="I12" i="47" s="1"/>
  <c r="I13" i="47" s="1"/>
  <c r="I14" i="47" s="1"/>
  <c r="I15" i="47" s="1"/>
  <c r="I16" i="47" s="1"/>
  <c r="I17" i="47" s="1"/>
  <c r="I18" i="47" s="1"/>
  <c r="I19" i="47" s="1"/>
  <c r="I20" i="47" s="1"/>
  <c r="I21" i="47" s="1"/>
  <c r="I22" i="47" s="1"/>
  <c r="I23" i="47" s="1"/>
  <c r="I24" i="47" s="1"/>
  <c r="I25" i="47" s="1"/>
  <c r="I26" i="47" s="1"/>
  <c r="I27" i="47" s="1"/>
  <c r="I28" i="47" s="1"/>
  <c r="I29" i="47" s="1"/>
  <c r="I30" i="47" s="1"/>
  <c r="I31" i="47" s="1"/>
  <c r="I32" i="47" s="1"/>
  <c r="I33" i="47" s="1"/>
  <c r="I34" i="47" s="1"/>
  <c r="I35" i="47" s="1"/>
  <c r="I36" i="47" s="1"/>
  <c r="I37" i="47" s="1"/>
  <c r="I38" i="47" s="1"/>
  <c r="I39" i="47" s="1"/>
  <c r="I40" i="47" s="1"/>
  <c r="I41" i="47" s="1"/>
  <c r="I42" i="47" s="1"/>
  <c r="I43" i="47" s="1"/>
  <c r="I44" i="47" s="1"/>
  <c r="I45" i="47" s="1"/>
  <c r="I46" i="47" s="1"/>
  <c r="I47" i="47" s="1"/>
  <c r="I48" i="47" s="1"/>
  <c r="I49" i="47" s="1"/>
  <c r="I50" i="47" s="1"/>
  <c r="I51" i="47" s="1"/>
  <c r="I52" i="47" s="1"/>
  <c r="I53" i="47" s="1"/>
  <c r="I54" i="47" s="1"/>
  <c r="I55" i="47" s="1"/>
  <c r="I56" i="47" s="1"/>
  <c r="I57" i="47" s="1"/>
  <c r="I58" i="47" s="1"/>
  <c r="I59" i="47" s="1"/>
  <c r="I60" i="47" s="1"/>
  <c r="I61" i="47" s="1"/>
  <c r="I62" i="47" s="1"/>
  <c r="I63" i="47" s="1"/>
  <c r="I64" i="47" s="1"/>
  <c r="I65" i="47" s="1"/>
  <c r="I66" i="47" s="1"/>
  <c r="I67" i="47" s="1"/>
  <c r="I68" i="47" s="1"/>
  <c r="I69" i="47" s="1"/>
  <c r="I70" i="47" s="1"/>
  <c r="I71" i="47" s="1"/>
  <c r="I72" i="47" s="1"/>
  <c r="I73" i="47" s="1"/>
  <c r="I74" i="47" s="1"/>
  <c r="I75" i="47"/>
  <c r="I76" i="47"/>
  <c r="I77" i="47"/>
  <c r="I78" i="47" s="1"/>
  <c r="I79" i="47" s="1"/>
  <c r="I80" i="47" s="1"/>
  <c r="I81" i="47" s="1"/>
  <c r="I82" i="47" s="1"/>
  <c r="I83" i="47" s="1"/>
  <c r="I84" i="47" s="1"/>
  <c r="I85" i="47" s="1"/>
  <c r="I86" i="47" s="1"/>
  <c r="I87" i="47" s="1"/>
  <c r="I88" i="47" s="1"/>
  <c r="I89" i="47" s="1"/>
  <c r="I90" i="47" s="1"/>
  <c r="I91" i="47" s="1"/>
  <c r="I92" i="47" s="1"/>
  <c r="I93" i="47" s="1"/>
  <c r="I94" i="47" s="1"/>
  <c r="I95" i="47" s="1"/>
  <c r="I96" i="47" s="1"/>
  <c r="I97" i="47" s="1"/>
  <c r="I98" i="47" s="1"/>
  <c r="I99" i="47" s="1"/>
  <c r="I100" i="47" s="1"/>
  <c r="I101" i="47" s="1"/>
  <c r="I102" i="47" s="1"/>
  <c r="I103" i="47" s="1"/>
  <c r="I104" i="47" s="1"/>
  <c r="I105" i="47" s="1"/>
  <c r="I106" i="47" s="1"/>
  <c r="I107" i="47" s="1"/>
  <c r="I108" i="47" s="1"/>
  <c r="I109" i="47" s="1"/>
  <c r="I110" i="47" s="1"/>
  <c r="I111" i="47" s="1"/>
  <c r="I112" i="47" s="1"/>
  <c r="I113" i="47" s="1"/>
  <c r="I114" i="47" s="1"/>
  <c r="I115" i="47" s="1"/>
  <c r="I116" i="47" s="1"/>
  <c r="I117" i="47" s="1"/>
  <c r="I118" i="47" s="1"/>
  <c r="I119" i="47" s="1"/>
  <c r="I120" i="47" s="1"/>
  <c r="I121" i="47" s="1"/>
  <c r="I122" i="47" s="1"/>
  <c r="I123" i="47" s="1"/>
  <c r="I124" i="47" s="1"/>
  <c r="I125" i="47" s="1"/>
  <c r="I126" i="47" s="1"/>
  <c r="I127" i="47" s="1"/>
  <c r="I128" i="47" s="1"/>
  <c r="I129" i="47" s="1"/>
  <c r="I130" i="47" s="1"/>
  <c r="I131" i="47" s="1"/>
  <c r="I132" i="47" s="1"/>
  <c r="I133" i="47" s="1"/>
  <c r="I134" i="47" s="1"/>
  <c r="I135" i="47" s="1"/>
  <c r="I136" i="47" s="1"/>
  <c r="I137" i="47" s="1"/>
  <c r="I138" i="47" s="1"/>
  <c r="I139" i="47" s="1"/>
  <c r="I140" i="47" s="1"/>
  <c r="I141" i="47" s="1"/>
  <c r="I142" i="47" s="1"/>
  <c r="I143" i="47" s="1"/>
  <c r="I144" i="47" s="1"/>
  <c r="I145" i="47" s="1"/>
  <c r="I146" i="47" s="1"/>
  <c r="I147" i="47" s="1"/>
  <c r="I148" i="47" s="1"/>
  <c r="I149" i="47" s="1"/>
  <c r="I150" i="47" s="1"/>
  <c r="I151" i="47" s="1"/>
  <c r="I152" i="47" s="1"/>
  <c r="I153" i="47" s="1"/>
  <c r="I154" i="47" s="1"/>
  <c r="I155" i="47" s="1"/>
  <c r="I156" i="47" s="1"/>
  <c r="I157" i="47" s="1"/>
  <c r="I158" i="47" s="1"/>
  <c r="I159" i="47" s="1"/>
  <c r="I160" i="47" s="1"/>
  <c r="I161" i="47" s="1"/>
  <c r="I162" i="47" s="1"/>
  <c r="I163" i="47" s="1"/>
  <c r="I164" i="47" s="1"/>
  <c r="I165" i="47" s="1"/>
  <c r="I166" i="47" s="1"/>
  <c r="I167" i="47" s="1"/>
  <c r="I168" i="47" s="1"/>
  <c r="I169" i="47" s="1"/>
  <c r="I170" i="47" s="1"/>
  <c r="I171" i="47" s="1"/>
  <c r="I172" i="47" s="1"/>
  <c r="I173" i="47" s="1"/>
  <c r="I174" i="47" s="1"/>
  <c r="I175" i="47" s="1"/>
  <c r="I176" i="47" s="1"/>
  <c r="I177" i="47" s="1"/>
  <c r="I178" i="47" s="1"/>
  <c r="I179" i="47" s="1"/>
  <c r="I180" i="47" s="1"/>
  <c r="I181" i="47" s="1"/>
  <c r="I182" i="47" s="1"/>
  <c r="I183" i="47" s="1"/>
  <c r="I184" i="47" s="1"/>
  <c r="I185" i="47" s="1"/>
  <c r="I186" i="47" s="1"/>
  <c r="I187" i="47" s="1"/>
  <c r="I188" i="47" s="1"/>
  <c r="I189" i="47" s="1"/>
  <c r="I190" i="47" s="1"/>
  <c r="I191" i="47" s="1"/>
  <c r="I192" i="47" s="1"/>
  <c r="I193" i="47" s="1"/>
  <c r="I194" i="47" s="1"/>
  <c r="I195" i="47" s="1"/>
  <c r="I196" i="47" s="1"/>
  <c r="I197" i="47" s="1"/>
  <c r="I198" i="47" s="1"/>
  <c r="I199" i="47" s="1"/>
  <c r="I200" i="47" s="1"/>
  <c r="I201" i="47"/>
  <c r="I202" i="47" s="1"/>
  <c r="I203" i="47" s="1"/>
  <c r="I204" i="47" s="1"/>
  <c r="I205" i="47" s="1"/>
  <c r="I206" i="47" s="1"/>
  <c r="I207" i="47" s="1"/>
  <c r="I208" i="47" s="1"/>
  <c r="I209" i="47" s="1"/>
  <c r="I210" i="47" s="1"/>
  <c r="I211" i="47" s="1"/>
  <c r="I212" i="47" s="1"/>
  <c r="I213" i="47" s="1"/>
  <c r="I214" i="47" s="1"/>
  <c r="I215" i="47" s="1"/>
  <c r="I216" i="47" s="1"/>
  <c r="I217" i="47" s="1"/>
  <c r="I218" i="47" s="1"/>
  <c r="I219" i="47" s="1"/>
  <c r="I220" i="47" s="1"/>
  <c r="I221" i="47" s="1"/>
  <c r="I222" i="47" s="1"/>
  <c r="I223" i="47" s="1"/>
  <c r="I224" i="47" s="1"/>
  <c r="I225" i="47" s="1"/>
  <c r="I226" i="47" s="1"/>
  <c r="I227" i="47" s="1"/>
  <c r="I228" i="47" s="1"/>
  <c r="I229" i="47" s="1"/>
  <c r="I230" i="47" s="1"/>
  <c r="I231" i="47" s="1"/>
  <c r="I232" i="47" s="1"/>
  <c r="I233" i="47" s="1"/>
  <c r="I234" i="47" s="1"/>
  <c r="I235" i="47" s="1"/>
  <c r="I236" i="47" s="1"/>
  <c r="I237" i="47" s="1"/>
  <c r="I238" i="47" s="1"/>
  <c r="I239" i="47" s="1"/>
  <c r="I240" i="47" s="1"/>
  <c r="I241" i="47" s="1"/>
  <c r="I242" i="47" s="1"/>
  <c r="I243" i="47" s="1"/>
  <c r="I244" i="47" s="1"/>
  <c r="I245" i="47" s="1"/>
  <c r="I246" i="47" s="1"/>
  <c r="I247" i="47" s="1"/>
  <c r="I248" i="47" s="1"/>
  <c r="I249" i="47" s="1"/>
  <c r="I250" i="47" s="1"/>
  <c r="I251" i="47" s="1"/>
  <c r="I252" i="47" s="1"/>
  <c r="I253" i="47" s="1"/>
  <c r="I254" i="47" s="1"/>
  <c r="I255" i="47" s="1"/>
  <c r="I256" i="47" s="1"/>
  <c r="I257" i="47" s="1"/>
  <c r="I258" i="47" s="1"/>
  <c r="I259" i="47" s="1"/>
  <c r="I260" i="47" s="1"/>
  <c r="I261" i="47" s="1"/>
  <c r="I262" i="47" s="1"/>
  <c r="I263" i="47" s="1"/>
  <c r="I264" i="47" s="1"/>
  <c r="I265" i="47" s="1"/>
  <c r="I266" i="47" s="1"/>
  <c r="I267" i="47" s="1"/>
  <c r="I268" i="47" s="1"/>
  <c r="I269" i="47" s="1"/>
  <c r="I270" i="47" s="1"/>
  <c r="I271" i="47" s="1"/>
  <c r="I272" i="47" s="1"/>
  <c r="I273" i="47" s="1"/>
  <c r="I274" i="47" s="1"/>
  <c r="I275" i="47" s="1"/>
  <c r="I276" i="47" s="1"/>
  <c r="I277" i="47" s="1"/>
  <c r="I278" i="47" s="1"/>
  <c r="I279" i="47" s="1"/>
  <c r="I280" i="47" s="1"/>
  <c r="I281" i="47" s="1"/>
  <c r="I282" i="47" s="1"/>
  <c r="I283" i="47" s="1"/>
  <c r="I284" i="47" s="1"/>
  <c r="I285" i="47" s="1"/>
  <c r="I286" i="47" s="1"/>
  <c r="I287" i="47" s="1"/>
  <c r="I288" i="47" s="1"/>
  <c r="I289" i="47" s="1"/>
  <c r="I290" i="47" s="1"/>
  <c r="I291" i="47" s="1"/>
  <c r="I292" i="47" s="1"/>
  <c r="I293" i="47" s="1"/>
  <c r="I294" i="47" s="1"/>
  <c r="I295" i="47" s="1"/>
  <c r="I296" i="47" s="1"/>
  <c r="I297" i="47" s="1"/>
  <c r="I298" i="47" s="1"/>
  <c r="I299" i="47" s="1"/>
  <c r="I300" i="47" s="1"/>
  <c r="I301" i="47" s="1"/>
  <c r="I302" i="47" s="1"/>
  <c r="I303" i="47" s="1"/>
  <c r="I304" i="47" s="1"/>
  <c r="I305" i="47" s="1"/>
  <c r="I306" i="47" s="1"/>
  <c r="I307" i="47" s="1"/>
  <c r="I308" i="47" s="1"/>
  <c r="I309" i="47" s="1"/>
  <c r="I310" i="47" s="1"/>
  <c r="I311" i="47" s="1"/>
  <c r="I312" i="47" s="1"/>
  <c r="I313" i="47" s="1"/>
  <c r="I314" i="47" s="1"/>
  <c r="I315" i="47" s="1"/>
  <c r="I316" i="47" s="1"/>
  <c r="I317" i="47" s="1"/>
  <c r="I318" i="47" s="1"/>
  <c r="I319" i="47" s="1"/>
  <c r="I320" i="47" s="1"/>
  <c r="I321" i="47" s="1"/>
  <c r="I322" i="47" s="1"/>
  <c r="I323" i="47" s="1"/>
  <c r="I324" i="47" s="1"/>
  <c r="I325" i="47" s="1"/>
  <c r="I326" i="47" s="1"/>
  <c r="I327" i="47" s="1"/>
  <c r="I328" i="47" s="1"/>
  <c r="I329" i="47" s="1"/>
  <c r="I330" i="47" s="1"/>
  <c r="I331" i="47" s="1"/>
  <c r="I332" i="47" s="1"/>
  <c r="I333" i="47" s="1"/>
  <c r="I334" i="47" s="1"/>
  <c r="I335" i="47" s="1"/>
  <c r="I336" i="47" s="1"/>
  <c r="I337" i="47" s="1"/>
  <c r="I338" i="47" s="1"/>
  <c r="I339" i="47" s="1"/>
  <c r="I340" i="47" s="1"/>
  <c r="I341" i="47" s="1"/>
  <c r="I342" i="47" s="1"/>
  <c r="I343" i="47" s="1"/>
  <c r="I344" i="47" s="1"/>
  <c r="I345" i="47" s="1"/>
  <c r="I346" i="47" s="1"/>
  <c r="I347" i="47" s="1"/>
  <c r="I348" i="47" s="1"/>
  <c r="I349" i="47" s="1"/>
  <c r="I350" i="47" s="1"/>
  <c r="I351" i="47" s="1"/>
  <c r="I352" i="47" s="1"/>
  <c r="I353" i="47" s="1"/>
  <c r="I354" i="47" s="1"/>
  <c r="I355" i="47" s="1"/>
  <c r="I356" i="47" s="1"/>
  <c r="I357" i="47" s="1"/>
  <c r="I358" i="47" s="1"/>
  <c r="I359" i="47" s="1"/>
  <c r="I360" i="47" s="1"/>
  <c r="I361" i="47" s="1"/>
  <c r="I362" i="47" s="1"/>
  <c r="I363" i="47" s="1"/>
  <c r="I364" i="47" s="1"/>
  <c r="I365" i="47" s="1"/>
  <c r="I366" i="47" s="1"/>
  <c r="I367" i="47" s="1"/>
  <c r="I368" i="47" s="1"/>
  <c r="I369" i="47"/>
  <c r="I370" i="47"/>
  <c r="I371" i="47" s="1"/>
  <c r="I372" i="47" s="1"/>
  <c r="I373" i="47" s="1"/>
  <c r="I374" i="47" s="1"/>
  <c r="I375" i="47" s="1"/>
  <c r="I376" i="47" s="1"/>
  <c r="I377" i="47" s="1"/>
  <c r="I378" i="47" s="1"/>
  <c r="I379" i="47" s="1"/>
  <c r="I380" i="47" s="1"/>
  <c r="I381" i="47" s="1"/>
  <c r="I382" i="47" s="1"/>
  <c r="I383" i="47" s="1"/>
  <c r="I384" i="47" s="1"/>
  <c r="I385" i="47" s="1"/>
  <c r="I386" i="47" s="1"/>
  <c r="I387" i="47" s="1"/>
  <c r="I388" i="47" s="1"/>
  <c r="I389" i="47" s="1"/>
  <c r="I390" i="47" s="1"/>
  <c r="I391" i="47" s="1"/>
  <c r="I392" i="47" s="1"/>
  <c r="I393" i="47" s="1"/>
  <c r="I394" i="47" s="1"/>
  <c r="I395" i="47" s="1"/>
  <c r="I396" i="47" s="1"/>
  <c r="I397" i="47" s="1"/>
  <c r="I398" i="47" s="1"/>
  <c r="I399" i="47" s="1"/>
  <c r="I400" i="47" s="1"/>
  <c r="I401" i="47" s="1"/>
  <c r="I402" i="47" s="1"/>
  <c r="I403" i="47" s="1"/>
  <c r="I404" i="47" s="1"/>
  <c r="I405" i="47" s="1"/>
  <c r="I406" i="47" s="1"/>
  <c r="I407" i="47" s="1"/>
  <c r="I408" i="47" s="1"/>
  <c r="I409" i="47" s="1"/>
  <c r="I410" i="47" s="1"/>
  <c r="I411" i="47" s="1"/>
  <c r="I412" i="47" s="1"/>
  <c r="I413" i="47" s="1"/>
  <c r="I414" i="47" s="1"/>
  <c r="I415" i="47" s="1"/>
  <c r="I416" i="47" s="1"/>
  <c r="I417" i="47" s="1"/>
  <c r="I418" i="47" s="1"/>
  <c r="I419" i="47" s="1"/>
  <c r="I420" i="47" s="1"/>
  <c r="I421" i="47" s="1"/>
  <c r="I422" i="47" s="1"/>
  <c r="I423" i="47" s="1"/>
  <c r="I424" i="47" s="1"/>
  <c r="I425" i="47" s="1"/>
  <c r="I426" i="47" s="1"/>
  <c r="I427" i="47" s="1"/>
  <c r="I428" i="47" s="1"/>
  <c r="I429" i="47" s="1"/>
  <c r="I430" i="47" s="1"/>
  <c r="I431" i="47" s="1"/>
  <c r="I432" i="47"/>
  <c r="I433" i="47"/>
  <c r="I434" i="47" s="1"/>
  <c r="I435" i="47" s="1"/>
  <c r="I436" i="47" s="1"/>
  <c r="I437" i="47" s="1"/>
  <c r="I438" i="47" s="1"/>
  <c r="I439" i="47" s="1"/>
  <c r="I440" i="47" s="1"/>
  <c r="I441" i="47" s="1"/>
  <c r="I442" i="47" s="1"/>
  <c r="I443" i="47" s="1"/>
  <c r="I444" i="47" s="1"/>
  <c r="I445" i="47" s="1"/>
  <c r="I446" i="47" s="1"/>
  <c r="I447" i="47" s="1"/>
  <c r="I448" i="47" s="1"/>
  <c r="I449" i="47" s="1"/>
  <c r="I450" i="47" s="1"/>
  <c r="I451" i="47" s="1"/>
  <c r="I452" i="47" s="1"/>
  <c r="I453" i="47" s="1"/>
  <c r="I454" i="47" s="1"/>
  <c r="I455" i="47" s="1"/>
  <c r="I456" i="47" s="1"/>
  <c r="I457" i="47" s="1"/>
  <c r="I458" i="47" s="1"/>
  <c r="I459" i="47" s="1"/>
  <c r="I460" i="47" s="1"/>
  <c r="I461" i="47" s="1"/>
  <c r="I462" i="47" s="1"/>
  <c r="I463" i="47" s="1"/>
  <c r="I464" i="47" s="1"/>
  <c r="I465" i="47" s="1"/>
  <c r="I466" i="47" s="1"/>
  <c r="I467" i="47" s="1"/>
  <c r="I468" i="47" s="1"/>
  <c r="I469" i="47" s="1"/>
  <c r="I470" i="47" s="1"/>
  <c r="I471" i="47" s="1"/>
  <c r="I472" i="47" s="1"/>
  <c r="I473" i="47" s="1"/>
  <c r="I474" i="47" s="1"/>
  <c r="I475" i="47" s="1"/>
  <c r="I476" i="47" s="1"/>
  <c r="I477" i="47" s="1"/>
  <c r="I478" i="47" s="1"/>
  <c r="I479" i="47" s="1"/>
  <c r="I480" i="47" s="1"/>
  <c r="I481" i="47" s="1"/>
  <c r="I482" i="47" s="1"/>
  <c r="I483" i="47" s="1"/>
  <c r="I484" i="47" s="1"/>
  <c r="I485" i="47" s="1"/>
  <c r="I486" i="47" s="1"/>
  <c r="I487" i="47" s="1"/>
  <c r="I488" i="47" s="1"/>
  <c r="I489" i="47" s="1"/>
  <c r="I490" i="47" s="1"/>
  <c r="I491" i="47" s="1"/>
  <c r="I492" i="47" s="1"/>
  <c r="I493" i="47" s="1"/>
  <c r="I494" i="47" s="1"/>
  <c r="I495" i="47" s="1"/>
  <c r="I496" i="47" s="1"/>
  <c r="I497" i="47" s="1"/>
  <c r="I498" i="47" s="1"/>
  <c r="I499" i="47" s="1"/>
  <c r="I500" i="47" s="1"/>
  <c r="I501" i="47" s="1"/>
  <c r="I502" i="47" s="1"/>
  <c r="I503" i="47" s="1"/>
  <c r="I504" i="47" s="1"/>
  <c r="I505" i="47" s="1"/>
  <c r="I506" i="47" s="1"/>
  <c r="I507" i="47" s="1"/>
  <c r="I508" i="47" s="1"/>
  <c r="I509" i="47"/>
  <c r="I510" i="47" s="1"/>
  <c r="I511" i="47" s="1"/>
  <c r="I512" i="47" s="1"/>
  <c r="I513" i="47" s="1"/>
  <c r="I514" i="47" s="1"/>
  <c r="I515" i="47" s="1"/>
  <c r="I516" i="47" s="1"/>
  <c r="I517" i="47" s="1"/>
  <c r="I518" i="47" s="1"/>
  <c r="I519" i="47" s="1"/>
  <c r="I520" i="47" s="1"/>
  <c r="I521" i="47" s="1"/>
  <c r="I522" i="47" s="1"/>
  <c r="I523" i="47" s="1"/>
  <c r="I524" i="47" s="1"/>
  <c r="I525" i="47" s="1"/>
  <c r="I526" i="47" s="1"/>
  <c r="I527" i="47" s="1"/>
  <c r="I528" i="47" s="1"/>
  <c r="I529" i="47" s="1"/>
  <c r="I530" i="47" s="1"/>
  <c r="I531" i="47" s="1"/>
  <c r="I532" i="47" s="1"/>
  <c r="I533" i="47" s="1"/>
  <c r="I534" i="47" s="1"/>
  <c r="I535" i="47" s="1"/>
  <c r="I536" i="47" s="1"/>
  <c r="I537" i="47" s="1"/>
  <c r="I538" i="47" s="1"/>
  <c r="I539" i="47" s="1"/>
  <c r="I540" i="47" s="1"/>
  <c r="I541" i="47" s="1"/>
  <c r="I542" i="47" s="1"/>
  <c r="I543" i="47" s="1"/>
  <c r="I544" i="47" s="1"/>
  <c r="I545" i="47" s="1"/>
  <c r="I546" i="47" s="1"/>
  <c r="I547" i="47" s="1"/>
  <c r="I548" i="47" s="1"/>
  <c r="I549" i="47" s="1"/>
  <c r="I550" i="47" s="1"/>
  <c r="I551" i="47" s="1"/>
  <c r="I552" i="47" s="1"/>
  <c r="I553" i="47" s="1"/>
  <c r="I554" i="47" s="1"/>
  <c r="I555" i="47" s="1"/>
  <c r="I556" i="47" s="1"/>
  <c r="I557" i="47" s="1"/>
  <c r="I558" i="47"/>
  <c r="I559" i="47" s="1"/>
  <c r="I560" i="47" s="1"/>
  <c r="I561" i="47" s="1"/>
  <c r="I562" i="47" s="1"/>
  <c r="I563" i="47" s="1"/>
  <c r="I564" i="47" s="1"/>
  <c r="I565" i="47" s="1"/>
  <c r="I566" i="47" s="1"/>
  <c r="I567" i="47" s="1"/>
  <c r="I568" i="47" s="1"/>
  <c r="I569" i="47" s="1"/>
  <c r="I570" i="47" s="1"/>
  <c r="I571" i="47" s="1"/>
  <c r="I572" i="47" s="1"/>
  <c r="I573" i="47" s="1"/>
  <c r="I574" i="47" s="1"/>
  <c r="I575" i="47" s="1"/>
  <c r="I576" i="47" s="1"/>
  <c r="I577" i="47" s="1"/>
  <c r="I578" i="47" s="1"/>
  <c r="I579" i="47" s="1"/>
  <c r="I580" i="47" s="1"/>
  <c r="I581" i="47" s="1"/>
  <c r="I582" i="47" s="1"/>
  <c r="I583" i="47" s="1"/>
  <c r="I584" i="47" s="1"/>
  <c r="I585" i="47" s="1"/>
  <c r="I586" i="47" s="1"/>
  <c r="I587" i="47" s="1"/>
  <c r="I588" i="47" s="1"/>
  <c r="I589" i="47" s="1"/>
  <c r="I590" i="47" s="1"/>
  <c r="I591" i="47" s="1"/>
  <c r="I592" i="47" s="1"/>
  <c r="I593" i="47" s="1"/>
  <c r="I594" i="47" s="1"/>
  <c r="I595" i="47" s="1"/>
  <c r="I596" i="47" s="1"/>
  <c r="I597" i="47" s="1"/>
  <c r="I598" i="47" s="1"/>
  <c r="I599" i="47" s="1"/>
  <c r="I600" i="47" s="1"/>
  <c r="I601" i="47" s="1"/>
  <c r="I602" i="47" s="1"/>
  <c r="I603" i="47" s="1"/>
  <c r="I604" i="47" s="1"/>
  <c r="I605" i="47" s="1"/>
  <c r="I606" i="47" s="1"/>
  <c r="I607" i="47" s="1"/>
  <c r="I608" i="47" s="1"/>
  <c r="I609" i="47" s="1"/>
  <c r="I610" i="47" s="1"/>
  <c r="I611" i="47" s="1"/>
  <c r="I612" i="47" s="1"/>
  <c r="I613" i="47" s="1"/>
  <c r="I614" i="47" s="1"/>
  <c r="I615" i="47" s="1"/>
  <c r="I616" i="47" s="1"/>
  <c r="I617" i="47" s="1"/>
  <c r="I618" i="47" s="1"/>
  <c r="I619" i="47" s="1"/>
  <c r="I620" i="47" s="1"/>
  <c r="I621" i="47" s="1"/>
  <c r="I622" i="47" s="1"/>
  <c r="I623" i="47" s="1"/>
  <c r="I624" i="47" s="1"/>
  <c r="I625" i="47" s="1"/>
  <c r="I626" i="47" s="1"/>
  <c r="I627" i="47" s="1"/>
  <c r="I628" i="47"/>
  <c r="I629" i="47" s="1"/>
  <c r="I630" i="47" s="1"/>
  <c r="I631" i="47" s="1"/>
  <c r="I632" i="47" s="1"/>
  <c r="I633" i="47" s="1"/>
  <c r="I634" i="47" s="1"/>
  <c r="I635" i="47" s="1"/>
  <c r="I636" i="47" s="1"/>
  <c r="I637" i="47" s="1"/>
  <c r="I638" i="47" s="1"/>
  <c r="I639" i="47" s="1"/>
  <c r="I640" i="47" s="1"/>
  <c r="I641" i="47" s="1"/>
  <c r="I642" i="47" s="1"/>
  <c r="I643" i="47" s="1"/>
  <c r="I644" i="47" s="1"/>
  <c r="I645" i="47" s="1"/>
  <c r="I646" i="47" s="1"/>
  <c r="I647" i="47" s="1"/>
  <c r="I648" i="47" s="1"/>
  <c r="I649" i="47" s="1"/>
  <c r="I650" i="47" s="1"/>
  <c r="I651" i="47" s="1"/>
  <c r="I652" i="47" s="1"/>
  <c r="I653" i="47" s="1"/>
  <c r="I654" i="47" s="1"/>
  <c r="I655" i="47" s="1"/>
  <c r="I656" i="47" s="1"/>
  <c r="I657" i="47" s="1"/>
  <c r="I658" i="47" s="1"/>
  <c r="I659" i="47" s="1"/>
  <c r="I660" i="47" s="1"/>
  <c r="I661" i="47" s="1"/>
  <c r="I662" i="47" s="1"/>
  <c r="I663" i="47" s="1"/>
  <c r="I664" i="47" s="1"/>
  <c r="I665" i="47" s="1"/>
  <c r="I666" i="47" s="1"/>
  <c r="I667" i="47" s="1"/>
  <c r="I668" i="47" s="1"/>
  <c r="I669" i="47" s="1"/>
  <c r="I670" i="47" s="1"/>
  <c r="I671" i="47" s="1"/>
  <c r="I672" i="47" s="1"/>
  <c r="I673" i="47" s="1"/>
  <c r="I674" i="47" s="1"/>
  <c r="I675" i="47" s="1"/>
  <c r="I676" i="47" s="1"/>
  <c r="I677" i="47" s="1"/>
  <c r="I678" i="47" s="1"/>
  <c r="I679" i="47" s="1"/>
  <c r="I680" i="47" s="1"/>
  <c r="I681" i="47" s="1"/>
  <c r="I682" i="47" s="1"/>
  <c r="I683" i="47" s="1"/>
  <c r="I684" i="47" s="1"/>
  <c r="I685" i="47" s="1"/>
  <c r="I686" i="47" s="1"/>
  <c r="I687" i="47" s="1"/>
  <c r="I688" i="47" s="1"/>
  <c r="I689" i="47" s="1"/>
  <c r="I690" i="47" s="1"/>
  <c r="I691" i="47" s="1"/>
  <c r="I692" i="47" s="1"/>
  <c r="I693" i="47" s="1"/>
  <c r="I694" i="47" s="1"/>
  <c r="I695" i="47" s="1"/>
  <c r="I696" i="47" s="1"/>
  <c r="I697" i="47" s="1"/>
  <c r="I698" i="47" s="1"/>
  <c r="I699" i="47" s="1"/>
  <c r="I700" i="47" s="1"/>
  <c r="I701" i="47" s="1"/>
  <c r="I702" i="47" s="1"/>
  <c r="I703" i="47" s="1"/>
  <c r="I704" i="47" s="1"/>
  <c r="I705" i="47" s="1"/>
  <c r="I706" i="47" s="1"/>
  <c r="I707" i="47" s="1"/>
  <c r="I708" i="47" s="1"/>
  <c r="I709" i="47" s="1"/>
  <c r="I710" i="47" s="1"/>
  <c r="I711" i="47" s="1"/>
  <c r="I712" i="47" s="1"/>
  <c r="I713" i="47" s="1"/>
  <c r="I714" i="47" s="1"/>
  <c r="I715" i="47" s="1"/>
  <c r="I716" i="47" s="1"/>
  <c r="I717" i="47" s="1"/>
  <c r="I718" i="47" s="1"/>
  <c r="I719" i="47" s="1"/>
  <c r="I720" i="47" s="1"/>
  <c r="I721" i="47" s="1"/>
  <c r="I722" i="47" s="1"/>
  <c r="I723" i="47" s="1"/>
  <c r="I724" i="47" s="1"/>
  <c r="I725" i="47" s="1"/>
  <c r="I726" i="47" s="1"/>
  <c r="I727" i="47" s="1"/>
  <c r="I728" i="47" s="1"/>
  <c r="I729" i="47" s="1"/>
  <c r="I730" i="47" s="1"/>
  <c r="I731" i="47" s="1"/>
  <c r="I732" i="47" s="1"/>
  <c r="I733" i="47" s="1"/>
  <c r="I734" i="47" s="1"/>
  <c r="I735" i="47" s="1"/>
  <c r="I736" i="47" s="1"/>
  <c r="I737" i="47" s="1"/>
  <c r="I738" i="47" s="1"/>
  <c r="I739" i="47" s="1"/>
  <c r="I740" i="47" s="1"/>
  <c r="I741" i="47" s="1"/>
  <c r="I742" i="47" s="1"/>
  <c r="I743" i="47" s="1"/>
  <c r="I744" i="47" s="1"/>
  <c r="I745" i="47" s="1"/>
  <c r="I746" i="47" s="1"/>
  <c r="I747" i="47" s="1"/>
  <c r="I5" i="47"/>
  <c r="J6" i="47"/>
  <c r="J7" i="47"/>
  <c r="J8" i="47"/>
  <c r="J9" i="47"/>
  <c r="J10" i="47"/>
  <c r="J11" i="47"/>
  <c r="J12" i="47"/>
  <c r="J13" i="47"/>
  <c r="J14" i="47"/>
  <c r="J15" i="47"/>
  <c r="J16" i="47"/>
  <c r="J17" i="47"/>
  <c r="J18" i="47"/>
  <c r="J19" i="47"/>
  <c r="J20" i="47"/>
  <c r="J21" i="47"/>
  <c r="J22" i="47"/>
  <c r="J23" i="47"/>
  <c r="J24" i="47"/>
  <c r="J25" i="47"/>
  <c r="J26" i="47"/>
  <c r="J27" i="47"/>
  <c r="J28" i="47"/>
  <c r="J29" i="47"/>
  <c r="J30" i="47"/>
  <c r="J31" i="47"/>
  <c r="J32" i="47"/>
  <c r="J33" i="47"/>
  <c r="J34" i="47"/>
  <c r="J35" i="47"/>
  <c r="J36" i="47"/>
  <c r="J37" i="47"/>
  <c r="J38" i="47"/>
  <c r="J39" i="47"/>
  <c r="J40" i="47"/>
  <c r="J41" i="47"/>
  <c r="J42" i="47"/>
  <c r="J43" i="47"/>
  <c r="J44" i="47"/>
  <c r="J45" i="47"/>
  <c r="J46" i="47"/>
  <c r="J47" i="47"/>
  <c r="J48" i="47"/>
  <c r="J49" i="47"/>
  <c r="J50" i="47"/>
  <c r="J51" i="47"/>
  <c r="J52" i="47"/>
  <c r="J53" i="47"/>
  <c r="J54" i="47"/>
  <c r="J55" i="47"/>
  <c r="J56" i="47"/>
  <c r="J57" i="47"/>
  <c r="J58" i="47"/>
  <c r="J59" i="47"/>
  <c r="J60" i="47"/>
  <c r="J61" i="47"/>
  <c r="J62" i="47"/>
  <c r="J63" i="47"/>
  <c r="J64" i="47"/>
  <c r="J65" i="47"/>
  <c r="J66" i="47"/>
  <c r="J67" i="47"/>
  <c r="J68" i="47"/>
  <c r="J69" i="47"/>
  <c r="J70" i="47"/>
  <c r="J71" i="47"/>
  <c r="J72" i="47"/>
  <c r="J73" i="47"/>
  <c r="J74" i="47"/>
  <c r="J75" i="47"/>
  <c r="J76" i="47"/>
  <c r="J77" i="47"/>
  <c r="J78" i="47"/>
  <c r="J79" i="47"/>
  <c r="J80" i="47"/>
  <c r="J81" i="47"/>
  <c r="J82" i="47"/>
  <c r="J83" i="47"/>
  <c r="J84" i="47"/>
  <c r="J85" i="47"/>
  <c r="J86" i="47"/>
  <c r="J87" i="47"/>
  <c r="J88" i="47"/>
  <c r="J89" i="47"/>
  <c r="J90" i="47"/>
  <c r="J91" i="47"/>
  <c r="J92" i="47"/>
  <c r="J93" i="47"/>
  <c r="J94" i="47"/>
  <c r="J95" i="47"/>
  <c r="J96" i="47"/>
  <c r="J97" i="47"/>
  <c r="J98" i="47"/>
  <c r="J99" i="47"/>
  <c r="J100" i="47"/>
  <c r="J101" i="47"/>
  <c r="J102" i="47"/>
  <c r="J103" i="47"/>
  <c r="J104" i="47"/>
  <c r="J105" i="47"/>
  <c r="J106" i="47"/>
  <c r="J107" i="47"/>
  <c r="J108" i="47"/>
  <c r="J109" i="47"/>
  <c r="J110" i="47"/>
  <c r="J111" i="47"/>
  <c r="J112" i="47"/>
  <c r="J113" i="47"/>
  <c r="J114" i="47"/>
  <c r="J115" i="47"/>
  <c r="J116" i="47"/>
  <c r="J117" i="47"/>
  <c r="J118" i="47"/>
  <c r="J119" i="47"/>
  <c r="J120" i="47"/>
  <c r="J121" i="47"/>
  <c r="J122" i="47"/>
  <c r="J123" i="47"/>
  <c r="J124" i="47"/>
  <c r="J125" i="47"/>
  <c r="J126" i="47"/>
  <c r="J127" i="47"/>
  <c r="J128" i="47"/>
  <c r="J129" i="47"/>
  <c r="J130" i="47"/>
  <c r="J131" i="47"/>
  <c r="J132" i="47"/>
  <c r="J133" i="47"/>
  <c r="J134" i="47"/>
  <c r="J135" i="47"/>
  <c r="J136" i="47"/>
  <c r="J137" i="47"/>
  <c r="J138" i="47"/>
  <c r="J139" i="47"/>
  <c r="J140" i="47"/>
  <c r="J141" i="47"/>
  <c r="J142" i="47"/>
  <c r="J143" i="47"/>
  <c r="J144" i="47"/>
  <c r="J145" i="47"/>
  <c r="J146" i="47"/>
  <c r="J147" i="47"/>
  <c r="J148" i="47"/>
  <c r="J149" i="47"/>
  <c r="J150" i="47"/>
  <c r="J151" i="47"/>
  <c r="J152" i="47"/>
  <c r="J153" i="47"/>
  <c r="J154" i="47"/>
  <c r="J155" i="47"/>
  <c r="J156" i="47"/>
  <c r="J157" i="47"/>
  <c r="J158" i="47"/>
  <c r="J159" i="47"/>
  <c r="J160" i="47"/>
  <c r="J161" i="47"/>
  <c r="J162" i="47"/>
  <c r="J163" i="47"/>
  <c r="J164" i="47"/>
  <c r="J165" i="47"/>
  <c r="J166" i="47"/>
  <c r="J167" i="47"/>
  <c r="J168" i="47"/>
  <c r="J169" i="47"/>
  <c r="J170" i="47"/>
  <c r="J171" i="47"/>
  <c r="J172" i="47"/>
  <c r="J173" i="47"/>
  <c r="J174" i="47"/>
  <c r="J175" i="47"/>
  <c r="J176" i="47"/>
  <c r="J177" i="47"/>
  <c r="J178" i="47"/>
  <c r="J179" i="47"/>
  <c r="J180" i="47"/>
  <c r="J181" i="47"/>
  <c r="J182" i="47"/>
  <c r="J183" i="47"/>
  <c r="J184" i="47"/>
  <c r="J185" i="47"/>
  <c r="J186" i="47"/>
  <c r="J187" i="47"/>
  <c r="J188" i="47"/>
  <c r="J189" i="47"/>
  <c r="J190" i="47"/>
  <c r="J191" i="47"/>
  <c r="J192" i="47"/>
  <c r="J193" i="47"/>
  <c r="J194" i="47"/>
  <c r="J195" i="47"/>
  <c r="J196" i="47"/>
  <c r="J197" i="47"/>
  <c r="J198" i="47"/>
  <c r="J199" i="47"/>
  <c r="J200" i="47"/>
  <c r="J201" i="47"/>
  <c r="J202" i="47"/>
  <c r="J203" i="47"/>
  <c r="J204" i="47"/>
  <c r="J205" i="47"/>
  <c r="J206" i="47"/>
  <c r="J207" i="47"/>
  <c r="J208" i="47"/>
  <c r="J209" i="47"/>
  <c r="J210" i="47"/>
  <c r="J211" i="47"/>
  <c r="J212" i="47"/>
  <c r="J213" i="47"/>
  <c r="J214" i="47"/>
  <c r="J215" i="47"/>
  <c r="J216" i="47"/>
  <c r="J217" i="47"/>
  <c r="J218" i="47"/>
  <c r="J219" i="47"/>
  <c r="J220" i="47"/>
  <c r="J221" i="47"/>
  <c r="J222" i="47"/>
  <c r="J223" i="47"/>
  <c r="J224" i="47"/>
  <c r="J225" i="47"/>
  <c r="J226" i="47"/>
  <c r="J227" i="47"/>
  <c r="J228" i="47"/>
  <c r="J229" i="47"/>
  <c r="J230" i="47"/>
  <c r="J231" i="47"/>
  <c r="J232" i="47"/>
  <c r="J233" i="47"/>
  <c r="J234" i="47"/>
  <c r="J235" i="47"/>
  <c r="J236" i="47"/>
  <c r="J237" i="47"/>
  <c r="J238" i="47"/>
  <c r="J239" i="47"/>
  <c r="J240" i="47"/>
  <c r="J241" i="47"/>
  <c r="J242" i="47"/>
  <c r="J243" i="47"/>
  <c r="J244" i="47"/>
  <c r="J245" i="47"/>
  <c r="J246" i="47"/>
  <c r="J247" i="47"/>
  <c r="J248" i="47"/>
  <c r="J249" i="47"/>
  <c r="J250" i="47"/>
  <c r="J251" i="47"/>
  <c r="J252" i="47"/>
  <c r="J253" i="47"/>
  <c r="J254" i="47"/>
  <c r="J255" i="47"/>
  <c r="J256" i="47"/>
  <c r="J257" i="47"/>
  <c r="J258" i="47"/>
  <c r="J259" i="47"/>
  <c r="J260" i="47"/>
  <c r="J261" i="47"/>
  <c r="J262" i="47"/>
  <c r="J263" i="47"/>
  <c r="J264" i="47"/>
  <c r="J265" i="47"/>
  <c r="J266" i="47"/>
  <c r="J267" i="47"/>
  <c r="J268" i="47"/>
  <c r="J269" i="47"/>
  <c r="J270" i="47"/>
  <c r="J271" i="47"/>
  <c r="J272" i="47"/>
  <c r="J273" i="47"/>
  <c r="J274" i="47"/>
  <c r="J275" i="47"/>
  <c r="J276" i="47"/>
  <c r="J277" i="47"/>
  <c r="J278" i="47"/>
  <c r="J279" i="47"/>
  <c r="J280" i="47"/>
  <c r="J281" i="47"/>
  <c r="J282" i="47"/>
  <c r="J283" i="47"/>
  <c r="J284" i="47"/>
  <c r="J285" i="47"/>
  <c r="J286" i="47"/>
  <c r="J287" i="47"/>
  <c r="J288" i="47"/>
  <c r="J289" i="47"/>
  <c r="J290" i="47"/>
  <c r="J291" i="47"/>
  <c r="J292" i="47"/>
  <c r="J293" i="47"/>
  <c r="J294" i="47"/>
  <c r="J295" i="47"/>
  <c r="J296" i="47"/>
  <c r="J297" i="47"/>
  <c r="J298" i="47"/>
  <c r="J299" i="47"/>
  <c r="J300" i="47"/>
  <c r="J301" i="47"/>
  <c r="J302" i="47"/>
  <c r="J303" i="47"/>
  <c r="J304" i="47"/>
  <c r="J305" i="47"/>
  <c r="J306" i="47"/>
  <c r="J307" i="47"/>
  <c r="J308" i="47"/>
  <c r="J309" i="47"/>
  <c r="J310" i="47"/>
  <c r="J311" i="47"/>
  <c r="J312" i="47"/>
  <c r="J313" i="47"/>
  <c r="J314" i="47"/>
  <c r="J315" i="47"/>
  <c r="J316" i="47"/>
  <c r="J317" i="47"/>
  <c r="J318" i="47"/>
  <c r="J319" i="47"/>
  <c r="J320" i="47"/>
  <c r="J321" i="47"/>
  <c r="J322" i="47"/>
  <c r="J323" i="47"/>
  <c r="J324" i="47"/>
  <c r="J325" i="47"/>
  <c r="J326" i="47"/>
  <c r="J327" i="47"/>
  <c r="J328" i="47"/>
  <c r="J329" i="47"/>
  <c r="J330" i="47"/>
  <c r="J331" i="47"/>
  <c r="J332" i="47"/>
  <c r="J333" i="47"/>
  <c r="J334" i="47"/>
  <c r="J335" i="47"/>
  <c r="J336" i="47"/>
  <c r="J337" i="47"/>
  <c r="J338" i="47"/>
  <c r="J339" i="47"/>
  <c r="J340" i="47"/>
  <c r="J341" i="47"/>
  <c r="J342" i="47"/>
  <c r="J343" i="47"/>
  <c r="J344" i="47"/>
  <c r="J345" i="47"/>
  <c r="J346" i="47"/>
  <c r="J347" i="47"/>
  <c r="J348" i="47"/>
  <c r="J349" i="47"/>
  <c r="J350" i="47"/>
  <c r="J351" i="47"/>
  <c r="J352" i="47"/>
  <c r="J353" i="47"/>
  <c r="J354" i="47"/>
  <c r="J355" i="47"/>
  <c r="J356" i="47"/>
  <c r="J357" i="47"/>
  <c r="J358" i="47"/>
  <c r="J359" i="47"/>
  <c r="J360" i="47"/>
  <c r="J361" i="47"/>
  <c r="J362" i="47"/>
  <c r="J363" i="47"/>
  <c r="J364" i="47"/>
  <c r="J365" i="47"/>
  <c r="J366" i="47"/>
  <c r="J367" i="47"/>
  <c r="J368" i="47"/>
  <c r="J369" i="47"/>
  <c r="J370" i="47"/>
  <c r="J371" i="47"/>
  <c r="J372" i="47"/>
  <c r="J373" i="47"/>
  <c r="J374" i="47"/>
  <c r="J375" i="47"/>
  <c r="J376" i="47"/>
  <c r="J377" i="47"/>
  <c r="J378" i="47"/>
  <c r="J379" i="47"/>
  <c r="J380" i="47"/>
  <c r="J381" i="47"/>
  <c r="J382" i="47"/>
  <c r="J383" i="47"/>
  <c r="J384" i="47"/>
  <c r="J385" i="47"/>
  <c r="J386" i="47"/>
  <c r="J387" i="47"/>
  <c r="J388" i="47"/>
  <c r="J389" i="47"/>
  <c r="J390" i="47"/>
  <c r="J391" i="47"/>
  <c r="J392" i="47"/>
  <c r="J393" i="47"/>
  <c r="J394" i="47"/>
  <c r="J395" i="47"/>
  <c r="J396" i="47"/>
  <c r="J397" i="47"/>
  <c r="J398" i="47"/>
  <c r="J399" i="47"/>
  <c r="J400" i="47"/>
  <c r="J401" i="47"/>
  <c r="J402" i="47"/>
  <c r="J403" i="47"/>
  <c r="J404" i="47"/>
  <c r="J405" i="47"/>
  <c r="J406" i="47"/>
  <c r="J407" i="47"/>
  <c r="J408" i="47"/>
  <c r="J409" i="47"/>
  <c r="J410" i="47"/>
  <c r="J411" i="47"/>
  <c r="J412" i="47"/>
  <c r="J413" i="47"/>
  <c r="J414" i="47"/>
  <c r="J415" i="47"/>
  <c r="J416" i="47"/>
  <c r="J417" i="47"/>
  <c r="J418" i="47"/>
  <c r="J419" i="47"/>
  <c r="J420" i="47"/>
  <c r="J421" i="47"/>
  <c r="J422" i="47"/>
  <c r="J423" i="47"/>
  <c r="J424" i="47"/>
  <c r="J425" i="47"/>
  <c r="J426" i="47"/>
  <c r="J427" i="47"/>
  <c r="J428" i="47"/>
  <c r="J429" i="47"/>
  <c r="J430" i="47"/>
  <c r="J431" i="47"/>
  <c r="J432" i="47"/>
  <c r="J433" i="47"/>
  <c r="J434" i="47"/>
  <c r="J435" i="47"/>
  <c r="J436" i="47"/>
  <c r="J437" i="47"/>
  <c r="J438" i="47"/>
  <c r="J439" i="47"/>
  <c r="J440" i="47"/>
  <c r="J441" i="47"/>
  <c r="J442" i="47"/>
  <c r="J443" i="47"/>
  <c r="J444" i="47"/>
  <c r="J445" i="47"/>
  <c r="J446" i="47"/>
  <c r="J447" i="47"/>
  <c r="J448" i="47"/>
  <c r="J449" i="47"/>
  <c r="J450" i="47"/>
  <c r="J451" i="47"/>
  <c r="J452" i="47"/>
  <c r="J453" i="47"/>
  <c r="J454" i="47"/>
  <c r="J455" i="47"/>
  <c r="J456" i="47"/>
  <c r="J457" i="47"/>
  <c r="J458" i="47"/>
  <c r="J459" i="47"/>
  <c r="J460" i="47"/>
  <c r="J461" i="47"/>
  <c r="J462" i="47"/>
  <c r="J463" i="47"/>
  <c r="J464" i="47"/>
  <c r="J465" i="47"/>
  <c r="J466" i="47"/>
  <c r="J467" i="47"/>
  <c r="J468" i="47"/>
  <c r="J469" i="47"/>
  <c r="J470" i="47"/>
  <c r="J471" i="47"/>
  <c r="J472" i="47"/>
  <c r="J473" i="47"/>
  <c r="J474" i="47"/>
  <c r="J475" i="47"/>
  <c r="J476" i="47"/>
  <c r="J477" i="47"/>
  <c r="J478" i="47"/>
  <c r="J479" i="47"/>
  <c r="J480" i="47"/>
  <c r="J481" i="47"/>
  <c r="J482" i="47"/>
  <c r="J483" i="47"/>
  <c r="J484" i="47"/>
  <c r="J485" i="47"/>
  <c r="J486" i="47"/>
  <c r="J487" i="47"/>
  <c r="J488" i="47"/>
  <c r="J489" i="47"/>
  <c r="J490" i="47"/>
  <c r="J491" i="47"/>
  <c r="J492" i="47"/>
  <c r="J493" i="47"/>
  <c r="J494" i="47"/>
  <c r="J495" i="47"/>
  <c r="J496" i="47"/>
  <c r="J497" i="47"/>
  <c r="J498" i="47"/>
  <c r="J499" i="47"/>
  <c r="J500" i="47"/>
  <c r="J501" i="47"/>
  <c r="J502" i="47"/>
  <c r="J503" i="47"/>
  <c r="J504" i="47"/>
  <c r="J505" i="47"/>
  <c r="J506" i="47"/>
  <c r="J507" i="47"/>
  <c r="J508" i="47"/>
  <c r="J509" i="47"/>
  <c r="J510" i="47"/>
  <c r="J511" i="47"/>
  <c r="J512" i="47"/>
  <c r="J513" i="47"/>
  <c r="J514" i="47"/>
  <c r="J515" i="47"/>
  <c r="J516" i="47"/>
  <c r="J517" i="47"/>
  <c r="J518" i="47"/>
  <c r="J519" i="47"/>
  <c r="J520" i="47"/>
  <c r="J521" i="47"/>
  <c r="J522" i="47"/>
  <c r="J523" i="47"/>
  <c r="J524" i="47"/>
  <c r="J525" i="47"/>
  <c r="J526" i="47"/>
  <c r="J527" i="47"/>
  <c r="J528" i="47"/>
  <c r="J529" i="47"/>
  <c r="J530" i="47"/>
  <c r="J531" i="47"/>
  <c r="J532" i="47"/>
  <c r="J533" i="47"/>
  <c r="J534" i="47"/>
  <c r="J535" i="47"/>
  <c r="J536" i="47"/>
  <c r="J537" i="47"/>
  <c r="J538" i="47"/>
  <c r="J539" i="47"/>
  <c r="J540" i="47"/>
  <c r="J541" i="47"/>
  <c r="J542" i="47"/>
  <c r="J543" i="47"/>
  <c r="J544" i="47"/>
  <c r="J545" i="47"/>
  <c r="J546" i="47"/>
  <c r="J547" i="47"/>
  <c r="J548" i="47"/>
  <c r="J549" i="47"/>
  <c r="J550" i="47"/>
  <c r="J551" i="47"/>
  <c r="J552" i="47"/>
  <c r="J553" i="47"/>
  <c r="J554" i="47"/>
  <c r="J555" i="47"/>
  <c r="J556" i="47"/>
  <c r="J557" i="47"/>
  <c r="J558" i="47"/>
  <c r="J559" i="47"/>
  <c r="J560" i="47"/>
  <c r="J561" i="47"/>
  <c r="J562" i="47"/>
  <c r="J563" i="47"/>
  <c r="J564" i="47"/>
  <c r="J565" i="47"/>
  <c r="J566" i="47"/>
  <c r="J567" i="47"/>
  <c r="J568" i="47"/>
  <c r="J569" i="47"/>
  <c r="J570" i="47"/>
  <c r="J571" i="47"/>
  <c r="J572" i="47"/>
  <c r="J573" i="47"/>
  <c r="J574" i="47"/>
  <c r="J575" i="47"/>
  <c r="J576" i="47"/>
  <c r="J577" i="47"/>
  <c r="J578" i="47"/>
  <c r="J579" i="47"/>
  <c r="J580" i="47"/>
  <c r="J581" i="47"/>
  <c r="J582" i="47"/>
  <c r="J583" i="47"/>
  <c r="J584" i="47"/>
  <c r="J585" i="47"/>
  <c r="J586" i="47"/>
  <c r="J587" i="47"/>
  <c r="J588" i="47"/>
  <c r="J589" i="47"/>
  <c r="J590" i="47"/>
  <c r="J591" i="47"/>
  <c r="J592" i="47"/>
  <c r="J593" i="47"/>
  <c r="J594" i="47"/>
  <c r="J595" i="47"/>
  <c r="J596" i="47"/>
  <c r="J597" i="47"/>
  <c r="J598" i="47"/>
  <c r="J599" i="47"/>
  <c r="J600" i="47"/>
  <c r="J601" i="47"/>
  <c r="J602" i="47"/>
  <c r="J603" i="47"/>
  <c r="J604" i="47"/>
  <c r="J605" i="47"/>
  <c r="J606" i="47"/>
  <c r="J607" i="47"/>
  <c r="J608" i="47"/>
  <c r="J609" i="47"/>
  <c r="J610" i="47"/>
  <c r="J611" i="47"/>
  <c r="J612" i="47"/>
  <c r="J613" i="47"/>
  <c r="J614" i="47"/>
  <c r="J615" i="47"/>
  <c r="J616" i="47"/>
  <c r="J617" i="47"/>
  <c r="J618" i="47"/>
  <c r="J619" i="47"/>
  <c r="J620" i="47"/>
  <c r="J621" i="47"/>
  <c r="J622" i="47"/>
  <c r="J623" i="47"/>
  <c r="J624" i="47"/>
  <c r="J625" i="47"/>
  <c r="J626" i="47"/>
  <c r="J627" i="47"/>
  <c r="J628" i="47"/>
  <c r="J629" i="47"/>
  <c r="J630" i="47"/>
  <c r="J631" i="47"/>
  <c r="J632" i="47"/>
  <c r="J633" i="47"/>
  <c r="J634" i="47"/>
  <c r="J635" i="47"/>
  <c r="J636" i="47"/>
  <c r="J637" i="47"/>
  <c r="J638" i="47"/>
  <c r="J639" i="47"/>
  <c r="J640" i="47"/>
  <c r="J641" i="47"/>
  <c r="J642" i="47"/>
  <c r="J643" i="47"/>
  <c r="J644" i="47"/>
  <c r="J645" i="47"/>
  <c r="J646" i="47"/>
  <c r="J647" i="47"/>
  <c r="J648" i="47"/>
  <c r="J649" i="47"/>
  <c r="J650" i="47"/>
  <c r="J651" i="47"/>
  <c r="J652" i="47"/>
  <c r="J653" i="47"/>
  <c r="J654" i="47"/>
  <c r="J655" i="47"/>
  <c r="J656" i="47"/>
  <c r="J657" i="47"/>
  <c r="J658" i="47"/>
  <c r="J659" i="47"/>
  <c r="J660" i="47"/>
  <c r="J661" i="47"/>
  <c r="J662" i="47"/>
  <c r="J663" i="47"/>
  <c r="J664" i="47"/>
  <c r="J665" i="47"/>
  <c r="J666" i="47"/>
  <c r="J667" i="47"/>
  <c r="J668" i="47"/>
  <c r="J669" i="47"/>
  <c r="J670" i="47"/>
  <c r="J671" i="47"/>
  <c r="J672" i="47"/>
  <c r="J673" i="47"/>
  <c r="J674" i="47"/>
  <c r="J675" i="47"/>
  <c r="J676" i="47"/>
  <c r="J677" i="47"/>
  <c r="J678" i="47"/>
  <c r="J679" i="47"/>
  <c r="J680" i="47"/>
  <c r="J681" i="47"/>
  <c r="J682" i="47"/>
  <c r="J683" i="47"/>
  <c r="J684" i="47"/>
  <c r="J685" i="47"/>
  <c r="J686" i="47"/>
  <c r="J687" i="47"/>
  <c r="J688" i="47"/>
  <c r="J689" i="47"/>
  <c r="J690" i="47"/>
  <c r="J691" i="47"/>
  <c r="J692" i="47"/>
  <c r="J693" i="47"/>
  <c r="J694" i="47"/>
  <c r="J695" i="47"/>
  <c r="J696" i="47"/>
  <c r="J697" i="47"/>
  <c r="J698" i="47"/>
  <c r="J699" i="47"/>
  <c r="J700" i="47"/>
  <c r="J701" i="47"/>
  <c r="J702" i="47"/>
  <c r="J703" i="47"/>
  <c r="J704" i="47"/>
  <c r="J705" i="47"/>
  <c r="J706" i="47"/>
  <c r="J707" i="47"/>
  <c r="J708" i="47"/>
  <c r="J709" i="47"/>
  <c r="J710" i="47"/>
  <c r="J711" i="47"/>
  <c r="J712" i="47"/>
  <c r="J713" i="47"/>
  <c r="J714" i="47"/>
  <c r="J715" i="47"/>
  <c r="J716" i="47"/>
  <c r="J717" i="47"/>
  <c r="J718" i="47"/>
  <c r="J719" i="47"/>
  <c r="J720" i="47"/>
  <c r="J721" i="47"/>
  <c r="J722" i="47"/>
  <c r="J723" i="47"/>
  <c r="J724" i="47"/>
  <c r="J725" i="47"/>
  <c r="J726" i="47"/>
  <c r="J727" i="47"/>
  <c r="J728" i="47"/>
  <c r="J729" i="47"/>
  <c r="J730" i="47"/>
  <c r="J731" i="47"/>
  <c r="J732" i="47"/>
  <c r="J733" i="47"/>
  <c r="J734" i="47"/>
  <c r="J735" i="47"/>
  <c r="J736" i="47"/>
  <c r="J737" i="47"/>
  <c r="J738" i="47"/>
  <c r="J739" i="47"/>
  <c r="J740" i="47"/>
  <c r="J741" i="47"/>
  <c r="J742" i="47"/>
  <c r="J743" i="47"/>
  <c r="J744" i="47"/>
  <c r="J745" i="47"/>
  <c r="J746" i="47"/>
  <c r="J3" i="47"/>
  <c r="J4" i="47"/>
  <c r="J5" i="47"/>
  <c r="J2" i="47"/>
  <c r="F11" i="47"/>
  <c r="F10" i="47"/>
  <c r="F9" i="47"/>
  <c r="F8" i="47"/>
  <c r="F7" i="47"/>
  <c r="F6" i="47"/>
  <c r="F5" i="47"/>
  <c r="F4" i="47"/>
  <c r="F3" i="47"/>
  <c r="F2" i="47"/>
  <c r="E11" i="47"/>
  <c r="E10" i="47"/>
  <c r="E9" i="47"/>
  <c r="E8" i="47"/>
  <c r="E7" i="47"/>
  <c r="E6" i="47"/>
  <c r="E5" i="47"/>
  <c r="E4" i="47"/>
  <c r="E3" i="47"/>
  <c r="E2" i="47"/>
  <c r="C12" i="47"/>
  <c r="C11" i="47"/>
  <c r="C10" i="47"/>
  <c r="C9" i="47"/>
  <c r="C8" i="47"/>
  <c r="C7" i="47"/>
  <c r="C6" i="47"/>
  <c r="C5" i="47"/>
  <c r="C4" i="47"/>
  <c r="C3" i="47"/>
  <c r="C2" i="47"/>
  <c r="C703" i="47"/>
  <c r="C704" i="47"/>
  <c r="C705" i="47"/>
  <c r="E705" i="47" s="1"/>
  <c r="C706" i="47"/>
  <c r="C707" i="47"/>
  <c r="C708" i="47"/>
  <c r="C709" i="47"/>
  <c r="C710" i="47"/>
  <c r="C711" i="47"/>
  <c r="E711" i="47" s="1"/>
  <c r="C712" i="47"/>
  <c r="E712" i="47" s="1"/>
  <c r="C713" i="47"/>
  <c r="E713" i="47" s="1"/>
  <c r="C714" i="47"/>
  <c r="E714" i="47" s="1"/>
  <c r="C715" i="47"/>
  <c r="C716" i="47"/>
  <c r="C717" i="47"/>
  <c r="C718" i="47"/>
  <c r="C719" i="47"/>
  <c r="C720" i="47"/>
  <c r="C721" i="47"/>
  <c r="C722" i="47"/>
  <c r="C723" i="47"/>
  <c r="E723" i="47" s="1"/>
  <c r="C724" i="47"/>
  <c r="E724" i="47" s="1"/>
  <c r="C725" i="47"/>
  <c r="E725" i="47" s="1"/>
  <c r="C726" i="47"/>
  <c r="E726" i="47" s="1"/>
  <c r="C727" i="47"/>
  <c r="C728" i="47"/>
  <c r="C729" i="47"/>
  <c r="E729" i="47" s="1"/>
  <c r="C730" i="47"/>
  <c r="C731" i="47"/>
  <c r="C732" i="47"/>
  <c r="C733" i="47"/>
  <c r="C734" i="47"/>
  <c r="C735" i="47"/>
  <c r="E735" i="47" s="1"/>
  <c r="C736" i="47"/>
  <c r="E736" i="47" s="1"/>
  <c r="C737" i="47"/>
  <c r="E737" i="47" s="1"/>
  <c r="C738" i="47"/>
  <c r="E738" i="47" s="1"/>
  <c r="C739" i="47"/>
  <c r="C740" i="47"/>
  <c r="C741" i="47"/>
  <c r="E741" i="47" s="1"/>
  <c r="C742" i="47"/>
  <c r="C743" i="47"/>
  <c r="C744" i="47"/>
  <c r="C745" i="47"/>
  <c r="C746" i="47"/>
  <c r="E557" i="47"/>
  <c r="E569" i="47"/>
  <c r="E581" i="47"/>
  <c r="E593" i="47"/>
  <c r="E605" i="47"/>
  <c r="E617" i="47"/>
  <c r="E629" i="47"/>
  <c r="E641" i="47"/>
  <c r="E653" i="47"/>
  <c r="E665" i="47"/>
  <c r="E677" i="47"/>
  <c r="E689" i="47"/>
  <c r="E701" i="47"/>
  <c r="E703" i="47"/>
  <c r="E704" i="47"/>
  <c r="E706" i="47"/>
  <c r="E707" i="47"/>
  <c r="E708" i="47"/>
  <c r="E709" i="47"/>
  <c r="E710" i="47"/>
  <c r="E715" i="47"/>
  <c r="E716" i="47"/>
  <c r="E717" i="47"/>
  <c r="E718" i="47"/>
  <c r="E719" i="47"/>
  <c r="E720" i="47"/>
  <c r="E721" i="47"/>
  <c r="E722" i="47"/>
  <c r="E727" i="47"/>
  <c r="E728" i="47"/>
  <c r="E730" i="47"/>
  <c r="E731" i="47"/>
  <c r="E732" i="47"/>
  <c r="E733" i="47"/>
  <c r="E734" i="47"/>
  <c r="E739" i="47"/>
  <c r="E740" i="47"/>
  <c r="E742" i="47"/>
  <c r="E743" i="47"/>
  <c r="E744" i="47"/>
  <c r="E745" i="47"/>
  <c r="E746" i="47"/>
  <c r="E749" i="47"/>
  <c r="E761" i="47"/>
  <c r="E773" i="47"/>
  <c r="E785" i="47"/>
  <c r="E797" i="47"/>
  <c r="E809" i="47"/>
  <c r="E821" i="47"/>
  <c r="E833" i="47"/>
  <c r="E845" i="47"/>
  <c r="E857" i="47"/>
  <c r="E869" i="47"/>
  <c r="E881" i="47"/>
  <c r="E892" i="47"/>
  <c r="E893" i="47"/>
  <c r="E901" i="47"/>
  <c r="E904" i="47"/>
  <c r="E905" i="47"/>
  <c r="E913" i="47"/>
  <c r="E916" i="47"/>
  <c r="E917" i="47"/>
  <c r="E925" i="47"/>
  <c r="E928" i="47"/>
  <c r="E929" i="47"/>
  <c r="E937" i="47"/>
  <c r="E940" i="47"/>
  <c r="E941" i="47"/>
  <c r="E949" i="47"/>
  <c r="E952" i="47"/>
  <c r="E953" i="47"/>
  <c r="E961" i="47"/>
  <c r="E964" i="47"/>
  <c r="E965" i="47"/>
  <c r="E973" i="47"/>
  <c r="E975" i="47"/>
  <c r="E976" i="47"/>
  <c r="E977" i="47"/>
  <c r="E985" i="47"/>
  <c r="E987" i="47"/>
  <c r="E988" i="47"/>
  <c r="E989" i="47"/>
  <c r="E996" i="47"/>
  <c r="E997" i="47"/>
  <c r="E999" i="47"/>
  <c r="E1000" i="47"/>
  <c r="E1001" i="47"/>
  <c r="C1001" i="47"/>
  <c r="C1000" i="47"/>
  <c r="C999" i="47"/>
  <c r="C998" i="47"/>
  <c r="E998" i="47" s="1"/>
  <c r="C997" i="47"/>
  <c r="C996" i="47"/>
  <c r="C995" i="47"/>
  <c r="E995" i="47" s="1"/>
  <c r="C994" i="47"/>
  <c r="E994" i="47" s="1"/>
  <c r="C993" i="47"/>
  <c r="E993" i="47" s="1"/>
  <c r="C992" i="47"/>
  <c r="E992" i="47" s="1"/>
  <c r="C991" i="47"/>
  <c r="E991" i="47" s="1"/>
  <c r="C990" i="47"/>
  <c r="E990" i="47" s="1"/>
  <c r="C989" i="47"/>
  <c r="C988" i="47"/>
  <c r="C987" i="47"/>
  <c r="C986" i="47"/>
  <c r="E986" i="47" s="1"/>
  <c r="C985" i="47"/>
  <c r="C984" i="47"/>
  <c r="E984" i="47" s="1"/>
  <c r="C983" i="47"/>
  <c r="E983" i="47" s="1"/>
  <c r="C982" i="47"/>
  <c r="E982" i="47" s="1"/>
  <c r="C981" i="47"/>
  <c r="E981" i="47" s="1"/>
  <c r="C980" i="47"/>
  <c r="E980" i="47" s="1"/>
  <c r="C979" i="47"/>
  <c r="E979" i="47" s="1"/>
  <c r="C978" i="47"/>
  <c r="E978" i="47" s="1"/>
  <c r="C977" i="47"/>
  <c r="C976" i="47"/>
  <c r="C975" i="47"/>
  <c r="C974" i="47"/>
  <c r="E974" i="47" s="1"/>
  <c r="C973" i="47"/>
  <c r="C972" i="47"/>
  <c r="E972" i="47" s="1"/>
  <c r="C971" i="47"/>
  <c r="E971" i="47" s="1"/>
  <c r="C970" i="47"/>
  <c r="E970" i="47" s="1"/>
  <c r="C969" i="47"/>
  <c r="E969" i="47" s="1"/>
  <c r="C968" i="47"/>
  <c r="E968" i="47" s="1"/>
  <c r="C967" i="47"/>
  <c r="E967" i="47" s="1"/>
  <c r="C966" i="47"/>
  <c r="E966" i="47" s="1"/>
  <c r="C965" i="47"/>
  <c r="C964" i="47"/>
  <c r="C963" i="47"/>
  <c r="E963" i="47" s="1"/>
  <c r="C962" i="47"/>
  <c r="E962" i="47" s="1"/>
  <c r="C961" i="47"/>
  <c r="C960" i="47"/>
  <c r="E960" i="47" s="1"/>
  <c r="C959" i="47"/>
  <c r="E959" i="47" s="1"/>
  <c r="C958" i="47"/>
  <c r="E958" i="47" s="1"/>
  <c r="C957" i="47"/>
  <c r="E957" i="47" s="1"/>
  <c r="C956" i="47"/>
  <c r="E956" i="47" s="1"/>
  <c r="C955" i="47"/>
  <c r="E955" i="47" s="1"/>
  <c r="C954" i="47"/>
  <c r="E954" i="47" s="1"/>
  <c r="C953" i="47"/>
  <c r="C952" i="47"/>
  <c r="C951" i="47"/>
  <c r="E951" i="47" s="1"/>
  <c r="C950" i="47"/>
  <c r="E950" i="47" s="1"/>
  <c r="C949" i="47"/>
  <c r="C948" i="47"/>
  <c r="E948" i="47" s="1"/>
  <c r="C947" i="47"/>
  <c r="E947" i="47" s="1"/>
  <c r="C946" i="47"/>
  <c r="E946" i="47" s="1"/>
  <c r="C945" i="47"/>
  <c r="E945" i="47" s="1"/>
  <c r="C944" i="47"/>
  <c r="E944" i="47" s="1"/>
  <c r="C943" i="47"/>
  <c r="E943" i="47" s="1"/>
  <c r="C942" i="47"/>
  <c r="E942" i="47" s="1"/>
  <c r="C941" i="47"/>
  <c r="C940" i="47"/>
  <c r="C939" i="47"/>
  <c r="E939" i="47" s="1"/>
  <c r="C938" i="47"/>
  <c r="E938" i="47" s="1"/>
  <c r="C937" i="47"/>
  <c r="C936" i="47"/>
  <c r="E936" i="47" s="1"/>
  <c r="C935" i="47"/>
  <c r="E935" i="47" s="1"/>
  <c r="C934" i="47"/>
  <c r="E934" i="47" s="1"/>
  <c r="C933" i="47"/>
  <c r="E933" i="47" s="1"/>
  <c r="C932" i="47"/>
  <c r="E932" i="47" s="1"/>
  <c r="C931" i="47"/>
  <c r="E931" i="47" s="1"/>
  <c r="C930" i="47"/>
  <c r="E930" i="47" s="1"/>
  <c r="C929" i="47"/>
  <c r="C928" i="47"/>
  <c r="C927" i="47"/>
  <c r="E927" i="47" s="1"/>
  <c r="C926" i="47"/>
  <c r="E926" i="47" s="1"/>
  <c r="C925" i="47"/>
  <c r="C924" i="47"/>
  <c r="E924" i="47" s="1"/>
  <c r="C923" i="47"/>
  <c r="E923" i="47" s="1"/>
  <c r="C922" i="47"/>
  <c r="E922" i="47" s="1"/>
  <c r="C921" i="47"/>
  <c r="E921" i="47" s="1"/>
  <c r="C920" i="47"/>
  <c r="E920" i="47" s="1"/>
  <c r="C919" i="47"/>
  <c r="E919" i="47" s="1"/>
  <c r="C918" i="47"/>
  <c r="E918" i="47" s="1"/>
  <c r="C917" i="47"/>
  <c r="C916" i="47"/>
  <c r="C915" i="47"/>
  <c r="E915" i="47" s="1"/>
  <c r="C914" i="47"/>
  <c r="E914" i="47" s="1"/>
  <c r="C913" i="47"/>
  <c r="C912" i="47"/>
  <c r="E912" i="47" s="1"/>
  <c r="C911" i="47"/>
  <c r="E911" i="47" s="1"/>
  <c r="C910" i="47"/>
  <c r="E910" i="47" s="1"/>
  <c r="C909" i="47"/>
  <c r="E909" i="47" s="1"/>
  <c r="C908" i="47"/>
  <c r="E908" i="47" s="1"/>
  <c r="C907" i="47"/>
  <c r="E907" i="47" s="1"/>
  <c r="C906" i="47"/>
  <c r="E906" i="47" s="1"/>
  <c r="C905" i="47"/>
  <c r="C904" i="47"/>
  <c r="C903" i="47"/>
  <c r="E903" i="47" s="1"/>
  <c r="C902" i="47"/>
  <c r="E902" i="47" s="1"/>
  <c r="C901" i="47"/>
  <c r="C900" i="47"/>
  <c r="E900" i="47" s="1"/>
  <c r="C899" i="47"/>
  <c r="E899" i="47" s="1"/>
  <c r="C898" i="47"/>
  <c r="E898" i="47" s="1"/>
  <c r="C897" i="47"/>
  <c r="E897" i="47" s="1"/>
  <c r="C896" i="47"/>
  <c r="E896" i="47" s="1"/>
  <c r="C895" i="47"/>
  <c r="E895" i="47" s="1"/>
  <c r="C894" i="47"/>
  <c r="E894" i="47" s="1"/>
  <c r="C893" i="47"/>
  <c r="C892" i="47"/>
  <c r="C891" i="47"/>
  <c r="E891" i="47" s="1"/>
  <c r="C890" i="47"/>
  <c r="E890" i="47" s="1"/>
  <c r="C889" i="47"/>
  <c r="E889" i="47" s="1"/>
  <c r="C888" i="47"/>
  <c r="E888" i="47" s="1"/>
  <c r="C887" i="47"/>
  <c r="E887" i="47" s="1"/>
  <c r="C886" i="47"/>
  <c r="E886" i="47" s="1"/>
  <c r="C885" i="47"/>
  <c r="E885" i="47" s="1"/>
  <c r="C884" i="47"/>
  <c r="E884" i="47" s="1"/>
  <c r="C883" i="47"/>
  <c r="E883" i="47" s="1"/>
  <c r="C882" i="47"/>
  <c r="E882" i="47" s="1"/>
  <c r="C881" i="47"/>
  <c r="C880" i="47"/>
  <c r="E880" i="47" s="1"/>
  <c r="C879" i="47"/>
  <c r="E879" i="47" s="1"/>
  <c r="C878" i="47"/>
  <c r="E878" i="47" s="1"/>
  <c r="C877" i="47"/>
  <c r="E877" i="47" s="1"/>
  <c r="C876" i="47"/>
  <c r="E876" i="47" s="1"/>
  <c r="C875" i="47"/>
  <c r="E875" i="47" s="1"/>
  <c r="C874" i="47"/>
  <c r="E874" i="47" s="1"/>
  <c r="C873" i="47"/>
  <c r="E873" i="47" s="1"/>
  <c r="C872" i="47"/>
  <c r="E872" i="47" s="1"/>
  <c r="C871" i="47"/>
  <c r="E871" i="47" s="1"/>
  <c r="C870" i="47"/>
  <c r="E870" i="47" s="1"/>
  <c r="C869" i="47"/>
  <c r="C868" i="47"/>
  <c r="E868" i="47" s="1"/>
  <c r="C867" i="47"/>
  <c r="E867" i="47" s="1"/>
  <c r="C866" i="47"/>
  <c r="E866" i="47" s="1"/>
  <c r="C865" i="47"/>
  <c r="E865" i="47" s="1"/>
  <c r="C864" i="47"/>
  <c r="E864" i="47" s="1"/>
  <c r="C863" i="47"/>
  <c r="E863" i="47" s="1"/>
  <c r="C862" i="47"/>
  <c r="E862" i="47" s="1"/>
  <c r="C861" i="47"/>
  <c r="E861" i="47" s="1"/>
  <c r="C860" i="47"/>
  <c r="E860" i="47" s="1"/>
  <c r="C859" i="47"/>
  <c r="E859" i="47" s="1"/>
  <c r="C858" i="47"/>
  <c r="E858" i="47" s="1"/>
  <c r="C857" i="47"/>
  <c r="C856" i="47"/>
  <c r="E856" i="47" s="1"/>
  <c r="C855" i="47"/>
  <c r="E855" i="47" s="1"/>
  <c r="C854" i="47"/>
  <c r="E854" i="47" s="1"/>
  <c r="C853" i="47"/>
  <c r="E853" i="47" s="1"/>
  <c r="C852" i="47"/>
  <c r="E852" i="47" s="1"/>
  <c r="C851" i="47"/>
  <c r="E851" i="47" s="1"/>
  <c r="C850" i="47"/>
  <c r="E850" i="47" s="1"/>
  <c r="C849" i="47"/>
  <c r="E849" i="47" s="1"/>
  <c r="C848" i="47"/>
  <c r="E848" i="47" s="1"/>
  <c r="C847" i="47"/>
  <c r="E847" i="47" s="1"/>
  <c r="C846" i="47"/>
  <c r="E846" i="47" s="1"/>
  <c r="C845" i="47"/>
  <c r="C844" i="47"/>
  <c r="E844" i="47" s="1"/>
  <c r="C843" i="47"/>
  <c r="E843" i="47" s="1"/>
  <c r="C842" i="47"/>
  <c r="E842" i="47" s="1"/>
  <c r="C841" i="47"/>
  <c r="E841" i="47" s="1"/>
  <c r="C840" i="47"/>
  <c r="E840" i="47" s="1"/>
  <c r="C839" i="47"/>
  <c r="E839" i="47" s="1"/>
  <c r="C838" i="47"/>
  <c r="E838" i="47" s="1"/>
  <c r="C837" i="47"/>
  <c r="E837" i="47" s="1"/>
  <c r="C836" i="47"/>
  <c r="E836" i="47" s="1"/>
  <c r="C835" i="47"/>
  <c r="E835" i="47" s="1"/>
  <c r="C834" i="47"/>
  <c r="E834" i="47" s="1"/>
  <c r="C833" i="47"/>
  <c r="C832" i="47"/>
  <c r="E832" i="47" s="1"/>
  <c r="C831" i="47"/>
  <c r="E831" i="47" s="1"/>
  <c r="C830" i="47"/>
  <c r="E830" i="47" s="1"/>
  <c r="C829" i="47"/>
  <c r="E829" i="47" s="1"/>
  <c r="C828" i="47"/>
  <c r="E828" i="47" s="1"/>
  <c r="C827" i="47"/>
  <c r="E827" i="47" s="1"/>
  <c r="C826" i="47"/>
  <c r="E826" i="47" s="1"/>
  <c r="C825" i="47"/>
  <c r="E825" i="47" s="1"/>
  <c r="C824" i="47"/>
  <c r="E824" i="47" s="1"/>
  <c r="C823" i="47"/>
  <c r="E823" i="47" s="1"/>
  <c r="C822" i="47"/>
  <c r="E822" i="47" s="1"/>
  <c r="C821" i="47"/>
  <c r="C820" i="47"/>
  <c r="E820" i="47" s="1"/>
  <c r="C819" i="47"/>
  <c r="E819" i="47" s="1"/>
  <c r="C818" i="47"/>
  <c r="E818" i="47" s="1"/>
  <c r="C817" i="47"/>
  <c r="E817" i="47" s="1"/>
  <c r="C816" i="47"/>
  <c r="E816" i="47" s="1"/>
  <c r="C815" i="47"/>
  <c r="E815" i="47" s="1"/>
  <c r="C814" i="47"/>
  <c r="E814" i="47" s="1"/>
  <c r="C813" i="47"/>
  <c r="E813" i="47" s="1"/>
  <c r="C812" i="47"/>
  <c r="E812" i="47" s="1"/>
  <c r="C811" i="47"/>
  <c r="E811" i="47" s="1"/>
  <c r="C810" i="47"/>
  <c r="E810" i="47" s="1"/>
  <c r="C809" i="47"/>
  <c r="C808" i="47"/>
  <c r="E808" i="47" s="1"/>
  <c r="C807" i="47"/>
  <c r="E807" i="47" s="1"/>
  <c r="C806" i="47"/>
  <c r="E806" i="47" s="1"/>
  <c r="C805" i="47"/>
  <c r="E805" i="47" s="1"/>
  <c r="C804" i="47"/>
  <c r="E804" i="47" s="1"/>
  <c r="C803" i="47"/>
  <c r="E803" i="47" s="1"/>
  <c r="C802" i="47"/>
  <c r="E802" i="47" s="1"/>
  <c r="C801" i="47"/>
  <c r="E801" i="47" s="1"/>
  <c r="C800" i="47"/>
  <c r="E800" i="47" s="1"/>
  <c r="C799" i="47"/>
  <c r="E799" i="47" s="1"/>
  <c r="C798" i="47"/>
  <c r="E798" i="47" s="1"/>
  <c r="C797" i="47"/>
  <c r="C796" i="47"/>
  <c r="E796" i="47" s="1"/>
  <c r="C795" i="47"/>
  <c r="E795" i="47" s="1"/>
  <c r="C794" i="47"/>
  <c r="E794" i="47" s="1"/>
  <c r="C793" i="47"/>
  <c r="E793" i="47" s="1"/>
  <c r="C792" i="47"/>
  <c r="E792" i="47" s="1"/>
  <c r="C791" i="47"/>
  <c r="E791" i="47" s="1"/>
  <c r="C790" i="47"/>
  <c r="E790" i="47" s="1"/>
  <c r="C789" i="47"/>
  <c r="E789" i="47" s="1"/>
  <c r="C788" i="47"/>
  <c r="E788" i="47" s="1"/>
  <c r="C787" i="47"/>
  <c r="E787" i="47" s="1"/>
  <c r="C786" i="47"/>
  <c r="E786" i="47" s="1"/>
  <c r="C785" i="47"/>
  <c r="C784" i="47"/>
  <c r="E784" i="47" s="1"/>
  <c r="C783" i="47"/>
  <c r="E783" i="47" s="1"/>
  <c r="C782" i="47"/>
  <c r="E782" i="47" s="1"/>
  <c r="C781" i="47"/>
  <c r="E781" i="47" s="1"/>
  <c r="C780" i="47"/>
  <c r="E780" i="47" s="1"/>
  <c r="C779" i="47"/>
  <c r="E779" i="47" s="1"/>
  <c r="C778" i="47"/>
  <c r="E778" i="47" s="1"/>
  <c r="C777" i="47"/>
  <c r="E777" i="47" s="1"/>
  <c r="C776" i="47"/>
  <c r="E776" i="47" s="1"/>
  <c r="C775" i="47"/>
  <c r="E775" i="47" s="1"/>
  <c r="C774" i="47"/>
  <c r="E774" i="47" s="1"/>
  <c r="C773" i="47"/>
  <c r="C772" i="47"/>
  <c r="E772" i="47" s="1"/>
  <c r="C771" i="47"/>
  <c r="E771" i="47" s="1"/>
  <c r="C770" i="47"/>
  <c r="E770" i="47" s="1"/>
  <c r="C769" i="47"/>
  <c r="E769" i="47" s="1"/>
  <c r="C768" i="47"/>
  <c r="E768" i="47" s="1"/>
  <c r="C767" i="47"/>
  <c r="E767" i="47" s="1"/>
  <c r="C766" i="47"/>
  <c r="E766" i="47" s="1"/>
  <c r="C765" i="47"/>
  <c r="E765" i="47" s="1"/>
  <c r="C764" i="47"/>
  <c r="E764" i="47" s="1"/>
  <c r="C763" i="47"/>
  <c r="E763" i="47" s="1"/>
  <c r="C762" i="47"/>
  <c r="E762" i="47" s="1"/>
  <c r="C761" i="47"/>
  <c r="C760" i="47"/>
  <c r="E760" i="47" s="1"/>
  <c r="C759" i="47"/>
  <c r="E759" i="47" s="1"/>
  <c r="C758" i="47"/>
  <c r="E758" i="47" s="1"/>
  <c r="C757" i="47"/>
  <c r="E757" i="47" s="1"/>
  <c r="C756" i="47"/>
  <c r="E756" i="47" s="1"/>
  <c r="C755" i="47"/>
  <c r="E755" i="47" s="1"/>
  <c r="C754" i="47"/>
  <c r="E754" i="47" s="1"/>
  <c r="C753" i="47"/>
  <c r="E753" i="47" s="1"/>
  <c r="C752" i="47"/>
  <c r="E752" i="47" s="1"/>
  <c r="C751" i="47"/>
  <c r="E751" i="47" s="1"/>
  <c r="C750" i="47"/>
  <c r="E750" i="47" s="1"/>
  <c r="C749" i="47"/>
  <c r="C748" i="47"/>
  <c r="E748" i="47" s="1"/>
  <c r="C747" i="47"/>
  <c r="E747" i="47" s="1"/>
  <c r="C702" i="47"/>
  <c r="E702" i="47" s="1"/>
  <c r="C701" i="47"/>
  <c r="C700" i="47"/>
  <c r="E700" i="47" s="1"/>
  <c r="C699" i="47"/>
  <c r="E699" i="47" s="1"/>
  <c r="C698" i="47"/>
  <c r="E698" i="47" s="1"/>
  <c r="C697" i="47"/>
  <c r="E697" i="47" s="1"/>
  <c r="C696" i="47"/>
  <c r="E696" i="47" s="1"/>
  <c r="C695" i="47"/>
  <c r="E695" i="47" s="1"/>
  <c r="C694" i="47"/>
  <c r="E694" i="47" s="1"/>
  <c r="C693" i="47"/>
  <c r="E693" i="47" s="1"/>
  <c r="C692" i="47"/>
  <c r="E692" i="47" s="1"/>
  <c r="C691" i="47"/>
  <c r="E691" i="47" s="1"/>
  <c r="C690" i="47"/>
  <c r="E690" i="47" s="1"/>
  <c r="C689" i="47"/>
  <c r="C688" i="47"/>
  <c r="E688" i="47" s="1"/>
  <c r="C687" i="47"/>
  <c r="E687" i="47" s="1"/>
  <c r="C686" i="47"/>
  <c r="E686" i="47" s="1"/>
  <c r="C685" i="47"/>
  <c r="E685" i="47" s="1"/>
  <c r="C684" i="47"/>
  <c r="E684" i="47" s="1"/>
  <c r="C683" i="47"/>
  <c r="E683" i="47" s="1"/>
  <c r="C682" i="47"/>
  <c r="E682" i="47" s="1"/>
  <c r="C681" i="47"/>
  <c r="E681" i="47" s="1"/>
  <c r="C680" i="47"/>
  <c r="E680" i="47" s="1"/>
  <c r="C679" i="47"/>
  <c r="E679" i="47" s="1"/>
  <c r="C678" i="47"/>
  <c r="E678" i="47" s="1"/>
  <c r="C677" i="47"/>
  <c r="C676" i="47"/>
  <c r="E676" i="47" s="1"/>
  <c r="C675" i="47"/>
  <c r="E675" i="47" s="1"/>
  <c r="C674" i="47"/>
  <c r="E674" i="47" s="1"/>
  <c r="C673" i="47"/>
  <c r="E673" i="47" s="1"/>
  <c r="C672" i="47"/>
  <c r="E672" i="47" s="1"/>
  <c r="C671" i="47"/>
  <c r="E671" i="47" s="1"/>
  <c r="C670" i="47"/>
  <c r="E670" i="47" s="1"/>
  <c r="C669" i="47"/>
  <c r="E669" i="47" s="1"/>
  <c r="C668" i="47"/>
  <c r="E668" i="47" s="1"/>
  <c r="C667" i="47"/>
  <c r="E667" i="47" s="1"/>
  <c r="C666" i="47"/>
  <c r="E666" i="47" s="1"/>
  <c r="C665" i="47"/>
  <c r="C664" i="47"/>
  <c r="E664" i="47" s="1"/>
  <c r="C663" i="47"/>
  <c r="E663" i="47" s="1"/>
  <c r="C662" i="47"/>
  <c r="E662" i="47" s="1"/>
  <c r="C661" i="47"/>
  <c r="E661" i="47" s="1"/>
  <c r="C660" i="47"/>
  <c r="E660" i="47" s="1"/>
  <c r="C659" i="47"/>
  <c r="E659" i="47" s="1"/>
  <c r="C658" i="47"/>
  <c r="E658" i="47" s="1"/>
  <c r="C657" i="47"/>
  <c r="E657" i="47" s="1"/>
  <c r="C656" i="47"/>
  <c r="E656" i="47" s="1"/>
  <c r="C655" i="47"/>
  <c r="E655" i="47" s="1"/>
  <c r="C654" i="47"/>
  <c r="E654" i="47" s="1"/>
  <c r="C653" i="47"/>
  <c r="C652" i="47"/>
  <c r="E652" i="47" s="1"/>
  <c r="C651" i="47"/>
  <c r="E651" i="47" s="1"/>
  <c r="C650" i="47"/>
  <c r="E650" i="47" s="1"/>
  <c r="C649" i="47"/>
  <c r="E649" i="47" s="1"/>
  <c r="C648" i="47"/>
  <c r="E648" i="47" s="1"/>
  <c r="C647" i="47"/>
  <c r="E647" i="47" s="1"/>
  <c r="C646" i="47"/>
  <c r="E646" i="47" s="1"/>
  <c r="C645" i="47"/>
  <c r="E645" i="47" s="1"/>
  <c r="C644" i="47"/>
  <c r="E644" i="47" s="1"/>
  <c r="C643" i="47"/>
  <c r="E643" i="47" s="1"/>
  <c r="C642" i="47"/>
  <c r="E642" i="47" s="1"/>
  <c r="C641" i="47"/>
  <c r="C640" i="47"/>
  <c r="E640" i="47" s="1"/>
  <c r="C639" i="47"/>
  <c r="E639" i="47" s="1"/>
  <c r="C638" i="47"/>
  <c r="E638" i="47" s="1"/>
  <c r="C637" i="47"/>
  <c r="E637" i="47" s="1"/>
  <c r="C636" i="47"/>
  <c r="E636" i="47" s="1"/>
  <c r="C635" i="47"/>
  <c r="E635" i="47" s="1"/>
  <c r="C634" i="47"/>
  <c r="E634" i="47" s="1"/>
  <c r="C633" i="47"/>
  <c r="E633" i="47" s="1"/>
  <c r="C632" i="47"/>
  <c r="E632" i="47" s="1"/>
  <c r="C631" i="47"/>
  <c r="E631" i="47" s="1"/>
  <c r="C630" i="47"/>
  <c r="E630" i="47" s="1"/>
  <c r="C629" i="47"/>
  <c r="F620" i="47"/>
  <c r="F621" i="47"/>
  <c r="F622" i="47"/>
  <c r="F623" i="47"/>
  <c r="F624" i="47"/>
  <c r="F625" i="47"/>
  <c r="F626" i="47"/>
  <c r="F627" i="47"/>
  <c r="F628" i="47"/>
  <c r="F629" i="47"/>
  <c r="F630" i="47"/>
  <c r="F631" i="47"/>
  <c r="F632" i="47"/>
  <c r="F633" i="47"/>
  <c r="F634" i="47"/>
  <c r="F635" i="47"/>
  <c r="F636" i="47"/>
  <c r="F637" i="47"/>
  <c r="F638" i="47"/>
  <c r="F639" i="47"/>
  <c r="F640" i="47"/>
  <c r="F641" i="47"/>
  <c r="F642" i="47"/>
  <c r="F643" i="47"/>
  <c r="F644" i="47"/>
  <c r="F645" i="47"/>
  <c r="F646" i="47"/>
  <c r="F647" i="47"/>
  <c r="F648" i="47"/>
  <c r="F649" i="47"/>
  <c r="F650" i="47"/>
  <c r="F651" i="47"/>
  <c r="F652" i="47"/>
  <c r="F653" i="47"/>
  <c r="F654" i="47"/>
  <c r="F655" i="47"/>
  <c r="F656" i="47"/>
  <c r="F657" i="47"/>
  <c r="F658" i="47"/>
  <c r="F659" i="47"/>
  <c r="F660" i="47"/>
  <c r="F661" i="47"/>
  <c r="F662" i="47"/>
  <c r="F663" i="47"/>
  <c r="F664" i="47"/>
  <c r="F665" i="47"/>
  <c r="F666" i="47"/>
  <c r="F667" i="47"/>
  <c r="F668" i="47"/>
  <c r="F669" i="47"/>
  <c r="F670" i="47"/>
  <c r="F671" i="47"/>
  <c r="F672" i="47"/>
  <c r="F673" i="47"/>
  <c r="F674" i="47"/>
  <c r="F675" i="47"/>
  <c r="F676" i="47"/>
  <c r="F677" i="47"/>
  <c r="F678" i="47"/>
  <c r="F679" i="47"/>
  <c r="F680" i="47"/>
  <c r="F681" i="47"/>
  <c r="F682" i="47"/>
  <c r="F683" i="47"/>
  <c r="F684" i="47"/>
  <c r="F685" i="47"/>
  <c r="F686" i="47"/>
  <c r="F687" i="47"/>
  <c r="F688" i="47"/>
  <c r="F689" i="47"/>
  <c r="F690" i="47"/>
  <c r="F691" i="47"/>
  <c r="F692" i="47"/>
  <c r="F693" i="47"/>
  <c r="F694" i="47"/>
  <c r="F695" i="47"/>
  <c r="F696" i="47"/>
  <c r="F697" i="47"/>
  <c r="F698" i="47"/>
  <c r="F699" i="47"/>
  <c r="F700" i="47"/>
  <c r="F701" i="47"/>
  <c r="F702" i="47"/>
  <c r="F703" i="47"/>
  <c r="F704" i="47"/>
  <c r="F705" i="47"/>
  <c r="F706" i="47"/>
  <c r="F707" i="47"/>
  <c r="F708" i="47"/>
  <c r="F709" i="47"/>
  <c r="F710" i="47"/>
  <c r="F711" i="47"/>
  <c r="F712" i="47"/>
  <c r="F713" i="47"/>
  <c r="F714" i="47"/>
  <c r="F715" i="47"/>
  <c r="F716" i="47"/>
  <c r="F717" i="47"/>
  <c r="F718" i="47"/>
  <c r="F719" i="47"/>
  <c r="F720" i="47"/>
  <c r="F721" i="47"/>
  <c r="F722" i="47"/>
  <c r="F723" i="47"/>
  <c r="F724" i="47"/>
  <c r="F725" i="47"/>
  <c r="F726" i="47"/>
  <c r="F727" i="47"/>
  <c r="F728" i="47"/>
  <c r="F729" i="47"/>
  <c r="F730" i="47"/>
  <c r="F731" i="47"/>
  <c r="F732" i="47"/>
  <c r="F733" i="47"/>
  <c r="F734" i="47"/>
  <c r="F735" i="47"/>
  <c r="F736" i="47"/>
  <c r="F737" i="47"/>
  <c r="F738" i="47"/>
  <c r="F739" i="47"/>
  <c r="F740" i="47"/>
  <c r="F741" i="47"/>
  <c r="F742" i="47"/>
  <c r="F743" i="47"/>
  <c r="F744" i="47"/>
  <c r="F745" i="47"/>
  <c r="F746" i="47"/>
  <c r="C620" i="47"/>
  <c r="E620" i="47" s="1"/>
  <c r="C621" i="47"/>
  <c r="E621" i="47" s="1"/>
  <c r="C622" i="47"/>
  <c r="E622" i="47" s="1"/>
  <c r="C623" i="47"/>
  <c r="E623" i="47" s="1"/>
  <c r="C624" i="47"/>
  <c r="E624" i="47" s="1"/>
  <c r="C625" i="47"/>
  <c r="E625" i="47" s="1"/>
  <c r="C626" i="47"/>
  <c r="E626" i="47" s="1"/>
  <c r="C627" i="47"/>
  <c r="E627" i="47" s="1"/>
  <c r="C628" i="47"/>
  <c r="E628" i="47" s="1"/>
  <c r="F558" i="47"/>
  <c r="F559" i="47"/>
  <c r="F560" i="47"/>
  <c r="F561" i="47"/>
  <c r="F562" i="47"/>
  <c r="F563" i="47"/>
  <c r="F564" i="47"/>
  <c r="F565" i="47"/>
  <c r="F566" i="47"/>
  <c r="F567" i="47"/>
  <c r="F568" i="47"/>
  <c r="F569" i="47"/>
  <c r="F570" i="47"/>
  <c r="F571" i="47"/>
  <c r="F572" i="47"/>
  <c r="F573" i="47"/>
  <c r="F574" i="47"/>
  <c r="F575" i="47"/>
  <c r="F576" i="47"/>
  <c r="F577" i="47"/>
  <c r="F578" i="47"/>
  <c r="F579" i="47"/>
  <c r="F580" i="47"/>
  <c r="F581" i="47"/>
  <c r="F582" i="47"/>
  <c r="F583" i="47"/>
  <c r="F584" i="47"/>
  <c r="F585" i="47"/>
  <c r="F586" i="47"/>
  <c r="F587" i="47"/>
  <c r="F588" i="47"/>
  <c r="F589" i="47"/>
  <c r="F590" i="47"/>
  <c r="F591" i="47"/>
  <c r="F592" i="47"/>
  <c r="F593" i="47"/>
  <c r="F594" i="47"/>
  <c r="F595" i="47"/>
  <c r="F596" i="47"/>
  <c r="F597" i="47"/>
  <c r="F598" i="47"/>
  <c r="F599" i="47"/>
  <c r="F600" i="47"/>
  <c r="F601" i="47"/>
  <c r="F602" i="47"/>
  <c r="F603" i="47"/>
  <c r="F604" i="47"/>
  <c r="F605" i="47"/>
  <c r="F606" i="47"/>
  <c r="F607" i="47"/>
  <c r="F608" i="47"/>
  <c r="F609" i="47"/>
  <c r="F610" i="47"/>
  <c r="F611" i="47"/>
  <c r="F612" i="47"/>
  <c r="F613" i="47"/>
  <c r="F614" i="47"/>
  <c r="F615" i="47"/>
  <c r="F616" i="47"/>
  <c r="F617" i="47"/>
  <c r="F618" i="47"/>
  <c r="F619" i="47"/>
  <c r="C553" i="47"/>
  <c r="E553" i="47" s="1"/>
  <c r="C554" i="47"/>
  <c r="E554" i="47" s="1"/>
  <c r="C555" i="47"/>
  <c r="E555" i="47" s="1"/>
  <c r="C556" i="47"/>
  <c r="E556" i="47" s="1"/>
  <c r="C557" i="47"/>
  <c r="C558" i="47"/>
  <c r="E558" i="47" s="1"/>
  <c r="C559" i="47"/>
  <c r="E559" i="47" s="1"/>
  <c r="C560" i="47"/>
  <c r="E560" i="47" s="1"/>
  <c r="C561" i="47"/>
  <c r="E561" i="47" s="1"/>
  <c r="C562" i="47"/>
  <c r="E562" i="47" s="1"/>
  <c r="C563" i="47"/>
  <c r="E563" i="47" s="1"/>
  <c r="C564" i="47"/>
  <c r="E564" i="47" s="1"/>
  <c r="C565" i="47"/>
  <c r="E565" i="47" s="1"/>
  <c r="C566" i="47"/>
  <c r="E566" i="47" s="1"/>
  <c r="C567" i="47"/>
  <c r="E567" i="47" s="1"/>
  <c r="C568" i="47"/>
  <c r="E568" i="47" s="1"/>
  <c r="C569" i="47"/>
  <c r="C570" i="47"/>
  <c r="E570" i="47" s="1"/>
  <c r="C571" i="47"/>
  <c r="E571" i="47" s="1"/>
  <c r="C572" i="47"/>
  <c r="E572" i="47" s="1"/>
  <c r="C573" i="47"/>
  <c r="E573" i="47" s="1"/>
  <c r="C574" i="47"/>
  <c r="E574" i="47" s="1"/>
  <c r="C575" i="47"/>
  <c r="E575" i="47" s="1"/>
  <c r="C576" i="47"/>
  <c r="E576" i="47" s="1"/>
  <c r="C577" i="47"/>
  <c r="E577" i="47" s="1"/>
  <c r="C578" i="47"/>
  <c r="E578" i="47" s="1"/>
  <c r="C579" i="47"/>
  <c r="E579" i="47" s="1"/>
  <c r="C580" i="47"/>
  <c r="E580" i="47" s="1"/>
  <c r="C581" i="47"/>
  <c r="C582" i="47"/>
  <c r="E582" i="47" s="1"/>
  <c r="C583" i="47"/>
  <c r="E583" i="47" s="1"/>
  <c r="C584" i="47"/>
  <c r="E584" i="47" s="1"/>
  <c r="C585" i="47"/>
  <c r="E585" i="47" s="1"/>
  <c r="C586" i="47"/>
  <c r="E586" i="47" s="1"/>
  <c r="C587" i="47"/>
  <c r="E587" i="47" s="1"/>
  <c r="C588" i="47"/>
  <c r="E588" i="47" s="1"/>
  <c r="C589" i="47"/>
  <c r="E589" i="47" s="1"/>
  <c r="C590" i="47"/>
  <c r="E590" i="47" s="1"/>
  <c r="C591" i="47"/>
  <c r="E591" i="47" s="1"/>
  <c r="C592" i="47"/>
  <c r="E592" i="47" s="1"/>
  <c r="C593" i="47"/>
  <c r="C594" i="47"/>
  <c r="E594" i="47" s="1"/>
  <c r="C595" i="47"/>
  <c r="E595" i="47" s="1"/>
  <c r="C596" i="47"/>
  <c r="E596" i="47" s="1"/>
  <c r="C597" i="47"/>
  <c r="E597" i="47" s="1"/>
  <c r="C598" i="47"/>
  <c r="E598" i="47" s="1"/>
  <c r="C599" i="47"/>
  <c r="E599" i="47" s="1"/>
  <c r="C600" i="47"/>
  <c r="E600" i="47" s="1"/>
  <c r="C601" i="47"/>
  <c r="E601" i="47" s="1"/>
  <c r="C602" i="47"/>
  <c r="E602" i="47" s="1"/>
  <c r="C603" i="47"/>
  <c r="E603" i="47" s="1"/>
  <c r="C604" i="47"/>
  <c r="E604" i="47" s="1"/>
  <c r="C605" i="47"/>
  <c r="C606" i="47"/>
  <c r="E606" i="47" s="1"/>
  <c r="C607" i="47"/>
  <c r="E607" i="47" s="1"/>
  <c r="C608" i="47"/>
  <c r="E608" i="47" s="1"/>
  <c r="C609" i="47"/>
  <c r="E609" i="47" s="1"/>
  <c r="C610" i="47"/>
  <c r="E610" i="47" s="1"/>
  <c r="C611" i="47"/>
  <c r="E611" i="47" s="1"/>
  <c r="C612" i="47"/>
  <c r="E612" i="47" s="1"/>
  <c r="C613" i="47"/>
  <c r="E613" i="47" s="1"/>
  <c r="C614" i="47"/>
  <c r="E614" i="47" s="1"/>
  <c r="C615" i="47"/>
  <c r="E615" i="47" s="1"/>
  <c r="C616" i="47"/>
  <c r="E616" i="47" s="1"/>
  <c r="C617" i="47"/>
  <c r="C618" i="47"/>
  <c r="E618" i="47" s="1"/>
  <c r="C619" i="47"/>
  <c r="E619" i="47" s="1"/>
  <c r="F553" i="47"/>
  <c r="F554" i="47"/>
  <c r="F555" i="47"/>
  <c r="F556" i="47"/>
  <c r="F557" i="47"/>
  <c r="I748" i="47" l="1"/>
  <c r="I749" i="47"/>
  <c r="I750" i="47" s="1"/>
  <c r="I751" i="47" s="1"/>
  <c r="I752" i="47" s="1"/>
  <c r="I753" i="47" s="1"/>
  <c r="I754" i="47" s="1"/>
  <c r="I755" i="47" s="1"/>
  <c r="I756" i="47" s="1"/>
  <c r="I757" i="47" s="1"/>
  <c r="I758" i="47" s="1"/>
  <c r="I759" i="47" s="1"/>
  <c r="I760" i="47" s="1"/>
  <c r="I761" i="47" s="1"/>
  <c r="I762" i="47" s="1"/>
  <c r="I763" i="47" s="1"/>
  <c r="I764" i="47" s="1"/>
  <c r="I765" i="47" s="1"/>
  <c r="I766" i="47" s="1"/>
  <c r="I767" i="47" s="1"/>
  <c r="I768" i="47" s="1"/>
  <c r="I769" i="47" s="1"/>
  <c r="I770" i="47" s="1"/>
  <c r="I771" i="47" s="1"/>
  <c r="I772" i="47" s="1"/>
  <c r="I773" i="47" s="1"/>
  <c r="I774" i="47" s="1"/>
  <c r="I775" i="47" s="1"/>
  <c r="I776" i="47" s="1"/>
  <c r="I777" i="47" s="1"/>
  <c r="I778" i="47" s="1"/>
  <c r="I779" i="47" s="1"/>
  <c r="I780" i="47" s="1"/>
  <c r="I781" i="47" s="1"/>
  <c r="I782" i="47" s="1"/>
  <c r="I783" i="47" s="1"/>
  <c r="I784" i="47" s="1"/>
  <c r="I785" i="47" s="1"/>
  <c r="I786" i="47" s="1"/>
  <c r="I787" i="47" s="1"/>
  <c r="I788" i="47" s="1"/>
  <c r="I789" i="47" s="1"/>
  <c r="I790" i="47" s="1"/>
  <c r="I791" i="47" s="1"/>
  <c r="I792" i="47" s="1"/>
  <c r="I793" i="47" s="1"/>
  <c r="I794" i="47" s="1"/>
  <c r="I795" i="47" s="1"/>
  <c r="I796" i="47" s="1"/>
  <c r="I797" i="47" s="1"/>
  <c r="I798" i="47" s="1"/>
  <c r="I799" i="47" s="1"/>
  <c r="I800" i="47" s="1"/>
  <c r="I801" i="47" s="1"/>
  <c r="I802" i="47" s="1"/>
  <c r="I803" i="47" s="1"/>
  <c r="I804" i="47" s="1"/>
  <c r="I805" i="47" s="1"/>
  <c r="I806" i="47" s="1"/>
  <c r="I807" i="47" s="1"/>
  <c r="I808" i="47" s="1"/>
  <c r="I809" i="47" s="1"/>
  <c r="I810" i="47" s="1"/>
  <c r="I811" i="47" s="1"/>
  <c r="I812" i="47" s="1"/>
  <c r="I813" i="47" s="1"/>
  <c r="I814" i="47" s="1"/>
  <c r="I815" i="47" s="1"/>
  <c r="I816" i="47" s="1"/>
  <c r="I817" i="47" s="1"/>
  <c r="I818" i="47" s="1"/>
  <c r="I819" i="47" s="1"/>
  <c r="I820" i="47" s="1"/>
  <c r="I821" i="47" s="1"/>
  <c r="I822" i="47" s="1"/>
  <c r="I823" i="47" s="1"/>
  <c r="I824" i="47" s="1"/>
  <c r="I825" i="47" s="1"/>
  <c r="I826" i="47" s="1"/>
  <c r="I827" i="47" s="1"/>
  <c r="I828" i="47" s="1"/>
  <c r="I829" i="47" s="1"/>
  <c r="I830" i="47" s="1"/>
  <c r="I831" i="47" s="1"/>
  <c r="I832" i="47" s="1"/>
  <c r="I833" i="47" s="1"/>
  <c r="I834" i="47" s="1"/>
  <c r="I835" i="47" s="1"/>
  <c r="I836" i="47" s="1"/>
  <c r="I837" i="47" s="1"/>
  <c r="I838" i="47" s="1"/>
  <c r="I839" i="47" s="1"/>
  <c r="I840" i="47" s="1"/>
  <c r="I841" i="47" s="1"/>
  <c r="I842" i="47" s="1"/>
  <c r="I843" i="47" s="1"/>
  <c r="I844" i="47" s="1"/>
  <c r="I845" i="47" s="1"/>
  <c r="I846" i="47" s="1"/>
  <c r="I847" i="47" s="1"/>
  <c r="I848" i="47" s="1"/>
  <c r="I849" i="47" s="1"/>
  <c r="I850" i="47" s="1"/>
  <c r="I851" i="47" s="1"/>
  <c r="I852" i="47" s="1"/>
  <c r="I853" i="47" s="1"/>
  <c r="I854" i="47" s="1"/>
  <c r="I855" i="47" s="1"/>
  <c r="I856" i="47" s="1"/>
  <c r="I857" i="47" s="1"/>
  <c r="I858" i="47" s="1"/>
  <c r="I859" i="47" s="1"/>
  <c r="I860" i="47" s="1"/>
  <c r="I861" i="47" s="1"/>
  <c r="I862" i="47" s="1"/>
  <c r="I863" i="47" s="1"/>
  <c r="I864" i="47" s="1"/>
  <c r="I865" i="47" s="1"/>
  <c r="I866" i="47" s="1"/>
  <c r="I867" i="47" s="1"/>
  <c r="I868" i="47" s="1"/>
  <c r="I869" i="47" s="1"/>
  <c r="I870" i="47" s="1"/>
  <c r="I871" i="47" s="1"/>
  <c r="I872" i="47" s="1"/>
  <c r="I873" i="47" s="1"/>
  <c r="I874" i="47" s="1"/>
  <c r="I875" i="47" s="1"/>
  <c r="I876" i="47" s="1"/>
  <c r="I877" i="47" s="1"/>
  <c r="I878" i="47" s="1"/>
  <c r="I879" i="47" s="1"/>
  <c r="I880" i="47" s="1"/>
  <c r="I881" i="47" s="1"/>
  <c r="I882" i="47" s="1"/>
  <c r="I883" i="47" s="1"/>
  <c r="I884" i="47" s="1"/>
  <c r="I885" i="47" s="1"/>
  <c r="I886" i="47" s="1"/>
  <c r="I887" i="47" s="1"/>
  <c r="I888" i="47" s="1"/>
  <c r="I889" i="47" s="1"/>
  <c r="I890" i="47" s="1"/>
  <c r="I891" i="47" s="1"/>
  <c r="I892" i="47" s="1"/>
  <c r="I893" i="47" s="1"/>
  <c r="I894" i="47" s="1"/>
  <c r="I895" i="47" s="1"/>
  <c r="I896" i="47" s="1"/>
  <c r="I897" i="47" s="1"/>
  <c r="I898" i="47" s="1"/>
  <c r="I899" i="47" s="1"/>
  <c r="I900" i="47" s="1"/>
  <c r="I901" i="47" s="1"/>
  <c r="I902" i="47" s="1"/>
  <c r="I903" i="47" s="1"/>
  <c r="I904" i="47" s="1"/>
  <c r="I905" i="47" s="1"/>
  <c r="I906" i="47" s="1"/>
  <c r="I907" i="47" s="1"/>
  <c r="I908" i="47" s="1"/>
  <c r="I909" i="47" s="1"/>
  <c r="I910" i="47" s="1"/>
  <c r="I911" i="47" s="1"/>
  <c r="I912" i="47" s="1"/>
  <c r="I913" i="47" s="1"/>
  <c r="I914" i="47" s="1"/>
  <c r="I915" i="47" s="1"/>
  <c r="I916" i="47" s="1"/>
  <c r="I917" i="47" s="1"/>
  <c r="I918" i="47" s="1"/>
  <c r="I919" i="47" s="1"/>
  <c r="I920" i="47" s="1"/>
  <c r="I921" i="47" s="1"/>
  <c r="I922" i="47" s="1"/>
  <c r="I923" i="47" s="1"/>
  <c r="I924" i="47" s="1"/>
  <c r="I925" i="47" s="1"/>
  <c r="I926" i="47" s="1"/>
  <c r="I927" i="47" s="1"/>
  <c r="I928" i="47" s="1"/>
  <c r="I929" i="47" s="1"/>
  <c r="I930" i="47" s="1"/>
  <c r="I931" i="47" s="1"/>
  <c r="I932" i="47" s="1"/>
  <c r="I933" i="47" s="1"/>
  <c r="I934" i="47" s="1"/>
  <c r="I935" i="47" s="1"/>
  <c r="I936" i="47" s="1"/>
  <c r="I937" i="47" s="1"/>
  <c r="I938" i="47" s="1"/>
  <c r="I939" i="47" s="1"/>
  <c r="I940" i="47" s="1"/>
  <c r="I941" i="47" s="1"/>
  <c r="I942" i="47" s="1"/>
  <c r="I943" i="47" s="1"/>
  <c r="I944" i="47" s="1"/>
  <c r="I945" i="47" s="1"/>
  <c r="I946" i="47" s="1"/>
  <c r="I947" i="47" s="1"/>
  <c r="I948" i="47" s="1"/>
  <c r="I949" i="47" s="1"/>
  <c r="I950" i="47" s="1"/>
  <c r="I951" i="47" s="1"/>
  <c r="I952" i="47" s="1"/>
  <c r="I953" i="47" s="1"/>
  <c r="I954" i="47" s="1"/>
  <c r="I955" i="47" s="1"/>
  <c r="I956" i="47" s="1"/>
  <c r="I957" i="47" s="1"/>
  <c r="I958" i="47" s="1"/>
  <c r="I959" i="47" s="1"/>
  <c r="I960" i="47" s="1"/>
  <c r="I961" i="47" s="1"/>
  <c r="I962" i="47" s="1"/>
  <c r="I963" i="47" s="1"/>
  <c r="I964" i="47" s="1"/>
  <c r="I965" i="47" s="1"/>
  <c r="I966" i="47" s="1"/>
  <c r="I967" i="47" s="1"/>
  <c r="I968" i="47" s="1"/>
  <c r="I969" i="47" s="1"/>
  <c r="I970" i="47" s="1"/>
  <c r="I971" i="47" s="1"/>
  <c r="I972" i="47" s="1"/>
  <c r="I973" i="47" s="1"/>
  <c r="I974" i="47" s="1"/>
  <c r="I975" i="47" s="1"/>
  <c r="I976" i="47" s="1"/>
  <c r="I977" i="47" s="1"/>
  <c r="I978" i="47" s="1"/>
  <c r="I979" i="47" s="1"/>
  <c r="I980" i="47" s="1"/>
  <c r="I981" i="47" s="1"/>
  <c r="I982" i="47" s="1"/>
  <c r="I983" i="47" s="1"/>
  <c r="I984" i="47" s="1"/>
  <c r="I985" i="47" s="1"/>
  <c r="I986" i="47" s="1"/>
  <c r="I987" i="47" s="1"/>
  <c r="I988" i="47" s="1"/>
  <c r="I989" i="47" s="1"/>
  <c r="I990" i="47" s="1"/>
  <c r="I991" i="47" s="1"/>
  <c r="I992" i="47" s="1"/>
  <c r="I993" i="47" s="1"/>
  <c r="I994" i="47" s="1"/>
  <c r="I995" i="47" s="1"/>
  <c r="I996" i="47" s="1"/>
  <c r="I997" i="47" s="1"/>
  <c r="I998" i="47" s="1"/>
  <c r="I999" i="47" s="1"/>
  <c r="I1000" i="47" s="1"/>
  <c r="I1001" i="47" s="1"/>
  <c r="C3" i="42"/>
  <c r="C4" i="42"/>
  <c r="C5" i="42"/>
  <c r="C6" i="42"/>
  <c r="C7" i="42"/>
  <c r="C8" i="42"/>
  <c r="C9" i="42"/>
  <c r="C10" i="42"/>
  <c r="C11" i="42"/>
  <c r="C12" i="42"/>
  <c r="C13" i="42"/>
  <c r="C14" i="42"/>
  <c r="C15" i="42"/>
  <c r="C16" i="42"/>
  <c r="C17" i="42"/>
  <c r="C18" i="42"/>
  <c r="C19" i="42"/>
  <c r="C20" i="42"/>
  <c r="C21" i="42"/>
  <c r="C22" i="42"/>
  <c r="C23" i="42"/>
  <c r="C24" i="42"/>
  <c r="C25" i="42"/>
  <c r="C26" i="42"/>
  <c r="C27" i="42"/>
  <c r="C2" i="42"/>
  <c r="P151" i="32"/>
  <c r="K151" i="32"/>
  <c r="H151" i="32"/>
  <c r="F3" i="37"/>
  <c r="F4" i="37"/>
  <c r="F5" i="37"/>
  <c r="F6" i="37"/>
  <c r="F7" i="37"/>
  <c r="F8" i="37"/>
  <c r="F9" i="37"/>
  <c r="F10" i="37"/>
  <c r="F11" i="37"/>
  <c r="F12" i="37"/>
  <c r="F13" i="37"/>
  <c r="F14" i="37"/>
  <c r="F15" i="37"/>
  <c r="F16" i="37"/>
  <c r="F17" i="37"/>
  <c r="F18" i="37"/>
  <c r="F19" i="37"/>
  <c r="F20" i="37"/>
  <c r="F21" i="37"/>
  <c r="F22" i="37"/>
  <c r="F23" i="37"/>
  <c r="F24" i="37"/>
  <c r="F25" i="37"/>
  <c r="F26" i="37"/>
  <c r="F27" i="37"/>
  <c r="F28" i="37"/>
  <c r="F29" i="37"/>
  <c r="F30" i="37"/>
  <c r="F31" i="37"/>
  <c r="F32" i="37"/>
  <c r="F33" i="37"/>
  <c r="F34" i="37"/>
  <c r="F35" i="37"/>
  <c r="F36" i="37"/>
  <c r="F37" i="37"/>
  <c r="F38" i="37"/>
  <c r="F39" i="37"/>
  <c r="F40" i="37"/>
  <c r="F41" i="37"/>
  <c r="F42" i="37"/>
  <c r="F43" i="37"/>
  <c r="F44" i="37"/>
  <c r="F45" i="37"/>
  <c r="F46" i="37"/>
  <c r="F47" i="37"/>
  <c r="F48" i="37"/>
  <c r="F49" i="37"/>
  <c r="F50" i="37"/>
  <c r="F51" i="37"/>
  <c r="F52" i="37"/>
  <c r="F53" i="37"/>
  <c r="F54" i="37"/>
  <c r="F55" i="37"/>
  <c r="F56" i="37"/>
  <c r="F57" i="37"/>
  <c r="F58" i="37"/>
  <c r="F59" i="37"/>
  <c r="F60" i="37"/>
  <c r="F61" i="37"/>
  <c r="F62" i="37"/>
  <c r="F63" i="37"/>
  <c r="F64" i="37"/>
  <c r="F65" i="37"/>
  <c r="F66" i="37"/>
  <c r="F67" i="37"/>
  <c r="F68" i="37"/>
  <c r="F69" i="37"/>
  <c r="F70" i="37"/>
  <c r="F71" i="37"/>
  <c r="F72" i="37"/>
  <c r="F73" i="37"/>
  <c r="F74" i="37"/>
  <c r="F75" i="37"/>
  <c r="F76" i="37"/>
  <c r="F77" i="37"/>
  <c r="F78" i="37"/>
  <c r="F79" i="37"/>
  <c r="F80" i="37"/>
  <c r="F81" i="37"/>
  <c r="F82" i="37"/>
  <c r="F83" i="37"/>
  <c r="F84" i="37"/>
  <c r="F85" i="37"/>
  <c r="F86" i="37"/>
  <c r="F87" i="37"/>
  <c r="F88" i="37"/>
  <c r="F89" i="37"/>
  <c r="F90" i="37"/>
  <c r="F91" i="37"/>
  <c r="F92" i="37"/>
  <c r="F93" i="37"/>
  <c r="F94" i="37"/>
  <c r="F95" i="37"/>
  <c r="F96" i="37"/>
  <c r="F97" i="37"/>
  <c r="F98" i="37"/>
  <c r="F99" i="37"/>
  <c r="F100" i="37"/>
  <c r="F101" i="37"/>
  <c r="F102" i="37"/>
  <c r="F103" i="37"/>
  <c r="F104" i="37"/>
  <c r="F105" i="37"/>
  <c r="F106" i="37"/>
  <c r="F107" i="37"/>
  <c r="F108" i="37"/>
  <c r="F109" i="37"/>
  <c r="F110" i="37"/>
  <c r="F111" i="37"/>
  <c r="F112" i="37"/>
  <c r="F113" i="37"/>
  <c r="F114" i="37"/>
  <c r="F115" i="37"/>
  <c r="F116" i="37"/>
  <c r="F117" i="37"/>
  <c r="F118" i="37"/>
  <c r="F119" i="37"/>
  <c r="F120" i="37"/>
  <c r="F121" i="37"/>
  <c r="F122" i="37"/>
  <c r="F123" i="37"/>
  <c r="F124" i="37"/>
  <c r="F125" i="37"/>
  <c r="F126" i="37"/>
  <c r="F127" i="37"/>
  <c r="F128" i="37"/>
  <c r="F129" i="37"/>
  <c r="F130" i="37"/>
  <c r="F131" i="37"/>
  <c r="F132" i="37"/>
  <c r="F133" i="37"/>
  <c r="F134" i="37"/>
  <c r="F135" i="37"/>
  <c r="F136" i="37"/>
  <c r="F137" i="37"/>
  <c r="F138" i="37"/>
  <c r="F139" i="37"/>
  <c r="F140" i="37"/>
  <c r="F141" i="37"/>
  <c r="F142" i="37"/>
  <c r="F143" i="37"/>
  <c r="F144" i="37"/>
  <c r="F145" i="37"/>
  <c r="F146" i="37"/>
  <c r="F147" i="37"/>
  <c r="F148" i="37"/>
  <c r="F149" i="37"/>
  <c r="F150" i="37"/>
  <c r="F151" i="37"/>
  <c r="F152" i="37"/>
  <c r="F153" i="37"/>
  <c r="F154" i="37"/>
  <c r="F155" i="37"/>
  <c r="F156" i="37"/>
  <c r="F157" i="37"/>
  <c r="F158" i="37"/>
  <c r="F159" i="37"/>
  <c r="F160" i="37"/>
  <c r="F161" i="37"/>
  <c r="F162" i="37"/>
  <c r="F163" i="37"/>
  <c r="F164" i="37"/>
  <c r="F165" i="37"/>
  <c r="F166" i="37"/>
  <c r="F167" i="37"/>
  <c r="F168" i="37"/>
  <c r="F169" i="37"/>
  <c r="F170" i="37"/>
  <c r="F171" i="37"/>
  <c r="F172" i="37"/>
  <c r="F173" i="37"/>
  <c r="F174" i="37"/>
  <c r="F175" i="37"/>
  <c r="F176" i="37"/>
  <c r="F177" i="37"/>
  <c r="F178" i="37"/>
  <c r="F179" i="37"/>
  <c r="F180" i="37"/>
  <c r="F181" i="37"/>
  <c r="F182" i="37"/>
  <c r="F183" i="37"/>
  <c r="F184" i="37"/>
  <c r="F185" i="37"/>
  <c r="F186" i="37"/>
  <c r="F187" i="37"/>
  <c r="F188" i="37"/>
  <c r="F189" i="37"/>
  <c r="F190" i="37"/>
  <c r="F191" i="37"/>
  <c r="F192" i="37"/>
  <c r="F193" i="37"/>
  <c r="F194" i="37"/>
  <c r="F195" i="37"/>
  <c r="F196" i="37"/>
  <c r="F197" i="37"/>
  <c r="F198" i="37"/>
  <c r="F199" i="37"/>
  <c r="F200" i="37"/>
  <c r="F201" i="37"/>
  <c r="F202" i="37"/>
  <c r="F203" i="37"/>
  <c r="F204" i="37"/>
  <c r="F205" i="37"/>
  <c r="F206" i="37"/>
  <c r="F207" i="37"/>
  <c r="F208" i="37"/>
  <c r="F209" i="37"/>
  <c r="F210" i="37"/>
  <c r="F211" i="37"/>
  <c r="F212" i="37"/>
  <c r="F213" i="37"/>
  <c r="F214" i="37"/>
  <c r="F215" i="37"/>
  <c r="F216" i="37"/>
  <c r="F217" i="37"/>
  <c r="F218" i="37"/>
  <c r="F219" i="37"/>
  <c r="F220" i="37"/>
  <c r="F221" i="37"/>
  <c r="F222" i="37"/>
  <c r="F223" i="37"/>
  <c r="F224" i="37"/>
  <c r="F225" i="37"/>
  <c r="F226" i="37"/>
  <c r="F227" i="37"/>
  <c r="F228" i="37"/>
  <c r="F229" i="37"/>
  <c r="F230" i="37"/>
  <c r="F231" i="37"/>
  <c r="F232" i="37"/>
  <c r="F233" i="37"/>
  <c r="F234" i="37"/>
  <c r="F235" i="37"/>
  <c r="F236" i="37"/>
  <c r="F237" i="37"/>
  <c r="F238" i="37"/>
  <c r="F239" i="37"/>
  <c r="F240" i="37"/>
  <c r="F241" i="37"/>
  <c r="F242" i="37"/>
  <c r="F243" i="37"/>
  <c r="F244" i="37"/>
  <c r="F245" i="37"/>
  <c r="F246" i="37"/>
  <c r="F247" i="37"/>
  <c r="F248" i="37"/>
  <c r="F249" i="37"/>
  <c r="F250" i="37"/>
  <c r="F251" i="37"/>
  <c r="F252" i="37"/>
  <c r="F253" i="37"/>
  <c r="F254" i="37"/>
  <c r="F255" i="37"/>
  <c r="F256" i="37"/>
  <c r="F257" i="37"/>
  <c r="F258" i="37"/>
  <c r="F259" i="37"/>
  <c r="F260" i="37"/>
  <c r="F261" i="37"/>
  <c r="F262" i="37"/>
  <c r="F263" i="37"/>
  <c r="F264" i="37"/>
  <c r="F265" i="37"/>
  <c r="F266" i="37"/>
  <c r="F267" i="37"/>
  <c r="F268" i="37"/>
  <c r="F269" i="37"/>
  <c r="F270" i="37"/>
  <c r="F271" i="37"/>
  <c r="F272" i="37"/>
  <c r="F273" i="37"/>
  <c r="F274" i="37"/>
  <c r="F275" i="37"/>
  <c r="F276" i="37"/>
  <c r="F277" i="37"/>
  <c r="F278" i="37"/>
  <c r="F279" i="37"/>
  <c r="F280" i="37"/>
  <c r="F281" i="37"/>
  <c r="F282" i="37"/>
  <c r="F283" i="37"/>
  <c r="F284" i="37"/>
  <c r="F285" i="37"/>
  <c r="F286" i="37"/>
  <c r="F287" i="37"/>
  <c r="F288" i="37"/>
  <c r="F289" i="37"/>
  <c r="F290" i="37"/>
  <c r="F291" i="37"/>
  <c r="F292" i="37"/>
  <c r="F293" i="37"/>
  <c r="F294" i="37"/>
  <c r="F295" i="37"/>
  <c r="F296" i="37"/>
  <c r="F297" i="37"/>
  <c r="F298" i="37"/>
  <c r="F299" i="37"/>
  <c r="F300" i="37"/>
  <c r="F301" i="37"/>
  <c r="F302" i="37"/>
  <c r="F303" i="37"/>
  <c r="F304" i="37"/>
  <c r="F305" i="37"/>
  <c r="F306" i="37"/>
  <c r="F307" i="37"/>
  <c r="F308" i="37"/>
  <c r="F309" i="37"/>
  <c r="F310" i="37"/>
  <c r="F311" i="37"/>
  <c r="F312" i="37"/>
  <c r="F313" i="37"/>
  <c r="F314" i="37"/>
  <c r="F315" i="37"/>
  <c r="F316" i="37"/>
  <c r="F317" i="37"/>
  <c r="F318" i="37"/>
  <c r="F319" i="37"/>
  <c r="F320" i="37"/>
  <c r="F321" i="37"/>
  <c r="F322" i="37"/>
  <c r="F323" i="37"/>
  <c r="F324" i="37"/>
  <c r="F325" i="37"/>
  <c r="F326" i="37"/>
  <c r="F327" i="37"/>
  <c r="F328" i="37"/>
  <c r="F329" i="37"/>
  <c r="F330" i="37"/>
  <c r="F331" i="37"/>
  <c r="F332" i="37"/>
  <c r="F333" i="37"/>
  <c r="F334" i="37"/>
  <c r="F335" i="37"/>
  <c r="F336" i="37"/>
  <c r="F337" i="37"/>
  <c r="F338" i="37"/>
  <c r="F339" i="37"/>
  <c r="F340" i="37"/>
  <c r="F341" i="37"/>
  <c r="F342" i="37"/>
  <c r="F343" i="37"/>
  <c r="F344" i="37"/>
  <c r="F345" i="37"/>
  <c r="F346" i="37"/>
  <c r="F347" i="37"/>
  <c r="F348" i="37"/>
  <c r="F349" i="37"/>
  <c r="F350" i="37"/>
  <c r="F351" i="37"/>
  <c r="F352" i="37"/>
  <c r="F353" i="37"/>
  <c r="F354" i="37"/>
  <c r="F355" i="37"/>
  <c r="F356" i="37"/>
  <c r="F357" i="37"/>
  <c r="F358" i="37"/>
  <c r="F359" i="37"/>
  <c r="F360" i="37"/>
  <c r="F361" i="37"/>
  <c r="F362" i="37"/>
  <c r="F363" i="37"/>
  <c r="F364" i="37"/>
  <c r="F365" i="37"/>
  <c r="F366" i="37"/>
  <c r="F367" i="37"/>
  <c r="F368" i="37"/>
  <c r="F369" i="37"/>
  <c r="F370" i="37"/>
  <c r="F371" i="37"/>
  <c r="F372" i="37"/>
  <c r="F373" i="37"/>
  <c r="F374" i="37"/>
  <c r="F375" i="37"/>
  <c r="F376" i="37"/>
  <c r="F377" i="37"/>
  <c r="F378" i="37"/>
  <c r="F379" i="37"/>
  <c r="F380" i="37"/>
  <c r="F381" i="37"/>
  <c r="F382" i="37"/>
  <c r="F383" i="37"/>
  <c r="F384" i="37"/>
  <c r="F385" i="37"/>
  <c r="F386" i="37"/>
  <c r="F387" i="37"/>
  <c r="F388" i="37"/>
  <c r="F389" i="37"/>
  <c r="F390" i="37"/>
  <c r="F391" i="37"/>
  <c r="F392" i="37"/>
  <c r="F393" i="37"/>
  <c r="F394" i="37"/>
  <c r="F395" i="37"/>
  <c r="F396" i="37"/>
  <c r="F397" i="37"/>
  <c r="F398" i="37"/>
  <c r="F399" i="37"/>
  <c r="F400" i="37"/>
  <c r="F401" i="37"/>
  <c r="F402" i="37"/>
  <c r="F403" i="37"/>
  <c r="F404" i="37"/>
  <c r="F405" i="37"/>
  <c r="F406" i="37"/>
  <c r="F407" i="37"/>
  <c r="F408" i="37"/>
  <c r="F409" i="37"/>
  <c r="F410" i="37"/>
  <c r="F411" i="37"/>
  <c r="F412" i="37"/>
  <c r="F413" i="37"/>
  <c r="F414" i="37"/>
  <c r="F415" i="37"/>
  <c r="F416" i="37"/>
  <c r="F417" i="37"/>
  <c r="F418" i="37"/>
  <c r="F419" i="37"/>
  <c r="F420" i="37"/>
  <c r="F421" i="37"/>
  <c r="F422" i="37"/>
  <c r="F423" i="37"/>
  <c r="F424" i="37"/>
  <c r="F425" i="37"/>
  <c r="F426" i="37"/>
  <c r="F427" i="37"/>
  <c r="F428" i="37"/>
  <c r="F429" i="37"/>
  <c r="F430" i="37"/>
  <c r="F431" i="37"/>
  <c r="F432" i="37"/>
  <c r="F433" i="37"/>
  <c r="F434" i="37"/>
  <c r="F435" i="37"/>
  <c r="F436" i="37"/>
  <c r="F437" i="37"/>
  <c r="F438" i="37"/>
  <c r="F439" i="37"/>
  <c r="F440" i="37"/>
  <c r="F441" i="37"/>
  <c r="F442" i="37"/>
  <c r="F443" i="37"/>
  <c r="F444" i="37"/>
  <c r="F445" i="37"/>
  <c r="F446" i="37"/>
  <c r="F447" i="37"/>
  <c r="F448" i="37"/>
  <c r="F449" i="37"/>
  <c r="F450" i="37"/>
  <c r="F451" i="37"/>
  <c r="F452" i="37"/>
  <c r="F453" i="37"/>
  <c r="F454" i="37"/>
  <c r="F455" i="37"/>
  <c r="F456" i="37"/>
  <c r="F457" i="37"/>
  <c r="F458" i="37"/>
  <c r="F459" i="37"/>
  <c r="F460" i="37"/>
  <c r="F461" i="37"/>
  <c r="F462" i="37"/>
  <c r="F463" i="37"/>
  <c r="F464" i="37"/>
  <c r="F465" i="37"/>
  <c r="F466" i="37"/>
  <c r="F467" i="37"/>
  <c r="F468" i="37"/>
  <c r="F469" i="37"/>
  <c r="F470" i="37"/>
  <c r="F471" i="37"/>
  <c r="F472" i="37"/>
  <c r="F473" i="37"/>
  <c r="F474" i="37"/>
  <c r="F475" i="37"/>
  <c r="F476" i="37"/>
  <c r="F477" i="37"/>
  <c r="F478" i="37"/>
  <c r="F479" i="37"/>
  <c r="F480" i="37"/>
  <c r="F481" i="37"/>
  <c r="F482" i="37"/>
  <c r="F483" i="37"/>
  <c r="F484" i="37"/>
  <c r="F485" i="37"/>
  <c r="F486" i="37"/>
  <c r="F487" i="37"/>
  <c r="F488" i="37"/>
  <c r="F489" i="37"/>
  <c r="F490" i="37"/>
  <c r="F491" i="37"/>
  <c r="F492" i="37"/>
  <c r="F493" i="37"/>
  <c r="F494" i="37"/>
  <c r="F495" i="37"/>
  <c r="F496" i="37"/>
  <c r="F497" i="37"/>
  <c r="F498" i="37"/>
  <c r="F499" i="37"/>
  <c r="F500" i="37"/>
  <c r="F501" i="37"/>
  <c r="F502" i="37"/>
  <c r="F503" i="37"/>
  <c r="F504" i="37"/>
  <c r="F505" i="37"/>
  <c r="F506" i="37"/>
  <c r="F507" i="37"/>
  <c r="F508" i="37"/>
  <c r="F509" i="37"/>
  <c r="F510" i="37"/>
  <c r="F511" i="37"/>
  <c r="F512" i="37"/>
  <c r="F513" i="37"/>
  <c r="F514" i="37"/>
  <c r="F515" i="37"/>
  <c r="F516" i="37"/>
  <c r="F517" i="37"/>
  <c r="F518" i="37"/>
  <c r="F519" i="37"/>
  <c r="F520" i="37"/>
  <c r="F521" i="37"/>
  <c r="F522" i="37"/>
  <c r="F523" i="37"/>
  <c r="F524" i="37"/>
  <c r="F525" i="37"/>
  <c r="F526" i="37"/>
  <c r="F527" i="37"/>
  <c r="F528" i="37"/>
  <c r="F529" i="37"/>
  <c r="F530" i="37"/>
  <c r="F531" i="37"/>
  <c r="F532" i="37"/>
  <c r="F533" i="37"/>
  <c r="F534" i="37"/>
  <c r="F535" i="37"/>
  <c r="F536" i="37"/>
  <c r="F537" i="37"/>
  <c r="F538" i="37"/>
  <c r="F539" i="37"/>
  <c r="F540" i="37"/>
  <c r="F541" i="37"/>
  <c r="F542" i="37"/>
  <c r="F543" i="37"/>
  <c r="F544" i="37"/>
  <c r="F545" i="37"/>
  <c r="F546" i="37"/>
  <c r="F547" i="37"/>
  <c r="F548" i="37"/>
  <c r="F549" i="37"/>
  <c r="F550" i="37"/>
  <c r="F551" i="37"/>
  <c r="F552" i="37"/>
  <c r="F553" i="37"/>
  <c r="F554" i="37"/>
  <c r="F555" i="37"/>
  <c r="F556" i="37"/>
  <c r="F557" i="37"/>
  <c r="F558" i="37"/>
  <c r="F559" i="37"/>
  <c r="F560" i="37"/>
  <c r="F561" i="37"/>
  <c r="F562" i="37"/>
  <c r="F563" i="37"/>
  <c r="F564" i="37"/>
  <c r="F565" i="37"/>
  <c r="F566" i="37"/>
  <c r="F567" i="37"/>
  <c r="F568" i="37"/>
  <c r="F569" i="37"/>
  <c r="F570" i="37"/>
  <c r="F571" i="37"/>
  <c r="F572" i="37"/>
  <c r="F573" i="37"/>
  <c r="F574" i="37"/>
  <c r="F575" i="37"/>
  <c r="F576" i="37"/>
  <c r="F577" i="37"/>
  <c r="F578" i="37"/>
  <c r="F579" i="37"/>
  <c r="F580" i="37"/>
  <c r="F581" i="37"/>
  <c r="F582" i="37"/>
  <c r="F583" i="37"/>
  <c r="F584" i="37"/>
  <c r="F585" i="37"/>
  <c r="F586" i="37"/>
  <c r="F587" i="37"/>
  <c r="F588" i="37"/>
  <c r="F589" i="37"/>
  <c r="F590" i="37"/>
  <c r="F591" i="37"/>
  <c r="F592" i="37"/>
  <c r="F593" i="37"/>
  <c r="F594" i="37"/>
  <c r="F595" i="37"/>
  <c r="F596" i="37"/>
  <c r="F597" i="37"/>
  <c r="F598" i="37"/>
  <c r="F599" i="37"/>
  <c r="F600" i="37"/>
  <c r="F601" i="37"/>
  <c r="F602" i="37"/>
  <c r="F603" i="37"/>
  <c r="F604" i="37"/>
  <c r="F605" i="37"/>
  <c r="F606" i="37"/>
  <c r="F607" i="37"/>
  <c r="F608" i="37"/>
  <c r="F609" i="37"/>
  <c r="F610" i="37"/>
  <c r="F611" i="37"/>
  <c r="F612" i="37"/>
  <c r="F613" i="37"/>
  <c r="F614" i="37"/>
  <c r="F615" i="37"/>
  <c r="F616" i="37"/>
  <c r="F617" i="37"/>
  <c r="F618" i="37"/>
  <c r="F619" i="37"/>
  <c r="F620" i="37"/>
  <c r="F621" i="37"/>
  <c r="F622" i="37"/>
  <c r="F623" i="37"/>
  <c r="F624" i="37"/>
  <c r="F625" i="37"/>
  <c r="F626" i="37"/>
  <c r="F627" i="37"/>
  <c r="F628" i="37"/>
  <c r="F629" i="37"/>
  <c r="F630" i="37"/>
  <c r="F631" i="37"/>
  <c r="F632" i="37"/>
  <c r="F633" i="37"/>
  <c r="F634" i="37"/>
  <c r="F635" i="37"/>
  <c r="F636" i="37"/>
  <c r="F637" i="37"/>
  <c r="F638" i="37"/>
  <c r="F639" i="37"/>
  <c r="F640" i="37"/>
  <c r="F641" i="37"/>
  <c r="F642" i="37"/>
  <c r="F643" i="37"/>
  <c r="F644" i="37"/>
  <c r="F645" i="37"/>
  <c r="F646" i="37"/>
  <c r="F647" i="37"/>
  <c r="F648" i="37"/>
  <c r="F649" i="37"/>
  <c r="F650" i="37"/>
  <c r="F651" i="37"/>
  <c r="F652" i="37"/>
  <c r="F653" i="37"/>
  <c r="F654" i="37"/>
  <c r="F655" i="37"/>
  <c r="F656" i="37"/>
  <c r="F657" i="37"/>
  <c r="F658" i="37"/>
  <c r="F659" i="37"/>
  <c r="F660" i="37"/>
  <c r="F661" i="37"/>
  <c r="F662" i="37"/>
  <c r="F663" i="37"/>
  <c r="F664" i="37"/>
  <c r="F665" i="37"/>
  <c r="F666" i="37"/>
  <c r="F667" i="37"/>
  <c r="F668" i="37"/>
  <c r="F669" i="37"/>
  <c r="F670" i="37"/>
  <c r="F671" i="37"/>
  <c r="F672" i="37"/>
  <c r="F673" i="37"/>
  <c r="F674" i="37"/>
  <c r="F675" i="37"/>
  <c r="F676" i="37"/>
  <c r="F677" i="37"/>
  <c r="F678" i="37"/>
  <c r="F679" i="37"/>
  <c r="F680" i="37"/>
  <c r="F681" i="37"/>
  <c r="F682" i="37"/>
  <c r="F683" i="37"/>
  <c r="F684" i="37"/>
  <c r="F685" i="37"/>
  <c r="F686" i="37"/>
  <c r="F687" i="37"/>
  <c r="F688" i="37"/>
  <c r="F689" i="37"/>
  <c r="F690" i="37"/>
  <c r="F691" i="37"/>
  <c r="F692" i="37"/>
  <c r="F693" i="37"/>
  <c r="F694" i="37"/>
  <c r="F695" i="37"/>
  <c r="F696" i="37"/>
  <c r="F697" i="37"/>
  <c r="F698" i="37"/>
  <c r="F699" i="37"/>
  <c r="F700" i="37"/>
  <c r="F701" i="37"/>
  <c r="F702" i="37"/>
  <c r="F703" i="37"/>
  <c r="F704" i="37"/>
  <c r="F705" i="37"/>
  <c r="F706" i="37"/>
  <c r="F707" i="37"/>
  <c r="F708" i="37"/>
  <c r="F709" i="37"/>
  <c r="F710" i="37"/>
  <c r="F711" i="37"/>
  <c r="F712" i="37"/>
  <c r="F713" i="37"/>
  <c r="F714" i="37"/>
  <c r="F715" i="37"/>
  <c r="F716" i="37"/>
  <c r="F717" i="37"/>
  <c r="F718" i="37"/>
  <c r="F719" i="37"/>
  <c r="F720" i="37"/>
  <c r="F721" i="37"/>
  <c r="F722" i="37"/>
  <c r="F723" i="37"/>
  <c r="F724" i="37"/>
  <c r="F725" i="37"/>
  <c r="F726" i="37"/>
  <c r="F727" i="37"/>
  <c r="F728" i="37"/>
  <c r="F729" i="37"/>
  <c r="F730" i="37"/>
  <c r="F731" i="37"/>
  <c r="F732" i="37"/>
  <c r="F733" i="37"/>
  <c r="F734" i="37"/>
  <c r="F735" i="37"/>
  <c r="F736" i="37"/>
  <c r="F737" i="37"/>
  <c r="F738" i="37"/>
  <c r="F739" i="37"/>
  <c r="F740" i="37"/>
  <c r="F741" i="37"/>
  <c r="F742" i="37"/>
  <c r="F743" i="37"/>
  <c r="F744" i="37"/>
  <c r="F745" i="37"/>
  <c r="F746" i="37"/>
  <c r="F747" i="37"/>
  <c r="F748" i="37"/>
  <c r="F749" i="37"/>
  <c r="F750" i="37"/>
  <c r="F751" i="37"/>
  <c r="F752" i="37"/>
  <c r="F753" i="37"/>
  <c r="F754" i="37"/>
  <c r="F755" i="37"/>
  <c r="F756" i="37"/>
  <c r="F757" i="37"/>
  <c r="F758" i="37"/>
  <c r="F759" i="37"/>
  <c r="F760" i="37"/>
  <c r="F761" i="37"/>
  <c r="F762" i="37"/>
  <c r="F763" i="37"/>
  <c r="F764" i="37"/>
  <c r="F765" i="37"/>
  <c r="F766" i="37"/>
  <c r="F767" i="37"/>
  <c r="F768" i="37"/>
  <c r="F769" i="37"/>
  <c r="F770" i="37"/>
  <c r="F771" i="37"/>
  <c r="F772" i="37"/>
  <c r="F773" i="37"/>
  <c r="F774" i="37"/>
  <c r="F775" i="37"/>
  <c r="F776" i="37"/>
  <c r="F777" i="37"/>
  <c r="F778" i="37"/>
  <c r="F779" i="37"/>
  <c r="F780" i="37"/>
  <c r="F781" i="37"/>
  <c r="F782" i="37"/>
  <c r="F783" i="37"/>
  <c r="F784" i="37"/>
  <c r="F785" i="37"/>
  <c r="F786" i="37"/>
  <c r="F787" i="37"/>
  <c r="F788" i="37"/>
  <c r="F789" i="37"/>
  <c r="F790" i="37"/>
  <c r="F791" i="37"/>
  <c r="F792" i="37"/>
  <c r="F793" i="37"/>
  <c r="F794" i="37"/>
  <c r="F795" i="37"/>
  <c r="F796" i="37"/>
  <c r="F797" i="37"/>
  <c r="F798" i="37"/>
  <c r="F799" i="37"/>
  <c r="F800" i="37"/>
  <c r="F801" i="37"/>
  <c r="F802" i="37"/>
  <c r="F803" i="37"/>
  <c r="F804" i="37"/>
  <c r="F805" i="37"/>
  <c r="F806" i="37"/>
  <c r="F807" i="37"/>
  <c r="F808" i="37"/>
  <c r="F809" i="37"/>
  <c r="F810" i="37"/>
  <c r="F811" i="37"/>
  <c r="F812" i="37"/>
  <c r="F813" i="37"/>
  <c r="F814" i="37"/>
  <c r="F815" i="37"/>
  <c r="F816" i="37"/>
  <c r="F817" i="37"/>
  <c r="F818" i="37"/>
  <c r="F819" i="37"/>
  <c r="F820" i="37"/>
  <c r="F821" i="37"/>
  <c r="F822" i="37"/>
  <c r="F823" i="37"/>
  <c r="F824" i="37"/>
  <c r="F825" i="37"/>
  <c r="F826" i="37"/>
  <c r="F827" i="37"/>
  <c r="F828" i="37"/>
  <c r="F829" i="37"/>
  <c r="F830" i="37"/>
  <c r="F831" i="37"/>
  <c r="F832" i="37"/>
  <c r="F833" i="37"/>
  <c r="F834" i="37"/>
  <c r="F835" i="37"/>
  <c r="F836" i="37"/>
  <c r="F837" i="37"/>
  <c r="F838" i="37"/>
  <c r="F839" i="37"/>
  <c r="F840" i="37"/>
  <c r="F841" i="37"/>
  <c r="F842" i="37"/>
  <c r="F843" i="37"/>
  <c r="F844" i="37"/>
  <c r="F845" i="37"/>
  <c r="F846" i="37"/>
  <c r="F847" i="37"/>
  <c r="F848" i="37"/>
  <c r="F849" i="37"/>
  <c r="F850" i="37"/>
  <c r="F851" i="37"/>
  <c r="F852" i="37"/>
  <c r="F853" i="37"/>
  <c r="F854" i="37"/>
  <c r="F855" i="37"/>
  <c r="F856" i="37"/>
  <c r="F857" i="37"/>
  <c r="F858" i="37"/>
  <c r="F859" i="37"/>
  <c r="F860" i="37"/>
  <c r="F861" i="37"/>
  <c r="F862" i="37"/>
  <c r="F863" i="37"/>
  <c r="F864" i="37"/>
  <c r="F865" i="37"/>
  <c r="F866" i="37"/>
  <c r="F867" i="37"/>
  <c r="F868" i="37"/>
  <c r="F869" i="37"/>
  <c r="F870" i="37"/>
  <c r="F871" i="37"/>
  <c r="F872" i="37"/>
  <c r="F873" i="37"/>
  <c r="F874" i="37"/>
  <c r="F875" i="37"/>
  <c r="F876" i="37"/>
  <c r="F877" i="37"/>
  <c r="F878" i="37"/>
  <c r="F879" i="37"/>
  <c r="F880" i="37"/>
  <c r="F881" i="37"/>
  <c r="F882" i="37"/>
  <c r="F883" i="37"/>
  <c r="F884" i="37"/>
  <c r="F885" i="37"/>
  <c r="F886" i="37"/>
  <c r="F887" i="37"/>
  <c r="F888" i="37"/>
  <c r="F889" i="37"/>
  <c r="F890" i="37"/>
  <c r="F891" i="37"/>
  <c r="F892" i="37"/>
  <c r="F893" i="37"/>
  <c r="F894" i="37"/>
  <c r="F895" i="37"/>
  <c r="F896" i="37"/>
  <c r="F897" i="37"/>
  <c r="F898" i="37"/>
  <c r="F899" i="37"/>
  <c r="F900" i="37"/>
  <c r="F901" i="37"/>
  <c r="F902" i="37"/>
  <c r="F903" i="37"/>
  <c r="F904" i="37"/>
  <c r="F905" i="37"/>
  <c r="F906" i="37"/>
  <c r="F907" i="37"/>
  <c r="F908" i="37"/>
  <c r="F909" i="37"/>
  <c r="F910" i="37"/>
  <c r="F911" i="37"/>
  <c r="F912" i="37"/>
  <c r="F913" i="37"/>
  <c r="F914" i="37"/>
  <c r="F915" i="37"/>
  <c r="F916" i="37"/>
  <c r="F917" i="37"/>
  <c r="F918" i="37"/>
  <c r="F919" i="37"/>
  <c r="F920" i="37"/>
  <c r="F921" i="37"/>
  <c r="F922" i="37"/>
  <c r="F923" i="37"/>
  <c r="F924" i="37"/>
  <c r="F925" i="37"/>
  <c r="F926" i="37"/>
  <c r="F927" i="37"/>
  <c r="F928" i="37"/>
  <c r="F929" i="37"/>
  <c r="F930" i="37"/>
  <c r="F931" i="37"/>
  <c r="F932" i="37"/>
  <c r="F933" i="37"/>
  <c r="F934" i="37"/>
  <c r="F935" i="37"/>
  <c r="F936" i="37"/>
  <c r="F937" i="37"/>
  <c r="F938" i="37"/>
  <c r="F939" i="37"/>
  <c r="F940" i="37"/>
  <c r="F941" i="37"/>
  <c r="F942" i="37"/>
  <c r="F943" i="37"/>
  <c r="F944" i="37"/>
  <c r="F945" i="37"/>
  <c r="F946" i="37"/>
  <c r="F947" i="37"/>
  <c r="F948" i="37"/>
  <c r="F949" i="37"/>
  <c r="F950" i="37"/>
  <c r="F951" i="37"/>
  <c r="F952" i="37"/>
  <c r="F953" i="37"/>
  <c r="F954" i="37"/>
  <c r="F955" i="37"/>
  <c r="F956" i="37"/>
  <c r="F957" i="37"/>
  <c r="F958" i="37"/>
  <c r="F959" i="37"/>
  <c r="F960" i="37"/>
  <c r="F961" i="37"/>
  <c r="F962" i="37"/>
  <c r="F963" i="37"/>
  <c r="F964" i="37"/>
  <c r="F965" i="37"/>
  <c r="F966" i="37"/>
  <c r="F967" i="37"/>
  <c r="F968" i="37"/>
  <c r="F969" i="37"/>
  <c r="F970" i="37"/>
  <c r="F971" i="37"/>
  <c r="F972" i="37"/>
  <c r="F973" i="37"/>
  <c r="F974" i="37"/>
  <c r="F975" i="37"/>
  <c r="F976" i="37"/>
  <c r="F977" i="37"/>
  <c r="F978" i="37"/>
  <c r="F979" i="37"/>
  <c r="F980" i="37"/>
  <c r="F981" i="37"/>
  <c r="F982" i="37"/>
  <c r="F983" i="37"/>
  <c r="F984" i="37"/>
  <c r="F985" i="37"/>
  <c r="F986" i="37"/>
  <c r="F987" i="37"/>
  <c r="F988" i="37"/>
  <c r="F989" i="37"/>
  <c r="F990" i="37"/>
  <c r="F991" i="37"/>
  <c r="F992" i="37"/>
  <c r="F993" i="37"/>
  <c r="F994" i="37"/>
  <c r="F995" i="37"/>
  <c r="F996" i="37"/>
  <c r="F997" i="37"/>
  <c r="F998" i="37"/>
  <c r="F999" i="37"/>
  <c r="F1000" i="37"/>
  <c r="F1001" i="37"/>
  <c r="F1002" i="37"/>
  <c r="F1003" i="37"/>
  <c r="F1004" i="37"/>
  <c r="F1005" i="37"/>
  <c r="F1006" i="37"/>
  <c r="F1007" i="37"/>
  <c r="F1008" i="37"/>
  <c r="F1009" i="37"/>
  <c r="F1010" i="37"/>
  <c r="F1011" i="37"/>
  <c r="F1012" i="37"/>
  <c r="F1013" i="37"/>
  <c r="F1014" i="37"/>
  <c r="F1015" i="37"/>
  <c r="F1016" i="37"/>
  <c r="F1017" i="37"/>
  <c r="F1018" i="37"/>
  <c r="F1019" i="37"/>
  <c r="F1020" i="37"/>
  <c r="F1021" i="37"/>
  <c r="F1022" i="37"/>
  <c r="F1023" i="37"/>
  <c r="F1024" i="37"/>
  <c r="F1025" i="37"/>
  <c r="F1026" i="37"/>
  <c r="F1027" i="37"/>
  <c r="F1028" i="37"/>
  <c r="F1029" i="37"/>
  <c r="F1030" i="37"/>
  <c r="F1031" i="37"/>
  <c r="F1032" i="37"/>
  <c r="F1033" i="37"/>
  <c r="F1034" i="37"/>
  <c r="F1035" i="37"/>
  <c r="F1036" i="37"/>
  <c r="F1037" i="37"/>
  <c r="F1038" i="37"/>
  <c r="F1039" i="37"/>
  <c r="F1040" i="37"/>
  <c r="F1041" i="37"/>
  <c r="F1042" i="37"/>
  <c r="F1043" i="37"/>
  <c r="F1044" i="37"/>
  <c r="F1045" i="37"/>
  <c r="F1046" i="37"/>
  <c r="F1047" i="37"/>
  <c r="F1048" i="37"/>
  <c r="F1049" i="37"/>
  <c r="F1050" i="37"/>
  <c r="F1051" i="37"/>
  <c r="F1052" i="37"/>
  <c r="F1053" i="37"/>
  <c r="F1054" i="37"/>
  <c r="F1055" i="37"/>
  <c r="F1056" i="37"/>
  <c r="F1057" i="37"/>
  <c r="F1058" i="37"/>
  <c r="F1059" i="37"/>
  <c r="F1060" i="37"/>
  <c r="F1061" i="37"/>
  <c r="F1062" i="37"/>
  <c r="F1063" i="37"/>
  <c r="F1064" i="37"/>
  <c r="F1065" i="37"/>
  <c r="F1066" i="37"/>
  <c r="F1067" i="37"/>
  <c r="F1068" i="37"/>
  <c r="F1069" i="37"/>
  <c r="F1070" i="37"/>
  <c r="F1071" i="37"/>
  <c r="F1072" i="37"/>
  <c r="F1073" i="37"/>
  <c r="F1074" i="37"/>
  <c r="F1075" i="37"/>
  <c r="F1076" i="37"/>
  <c r="F1077" i="37"/>
  <c r="F1078" i="37"/>
  <c r="F1079" i="37"/>
  <c r="F1080" i="37"/>
  <c r="F1081" i="37"/>
  <c r="F1082" i="37"/>
  <c r="F1083" i="37"/>
  <c r="F1084" i="37"/>
  <c r="F1085" i="37"/>
  <c r="F1086" i="37"/>
  <c r="F1087" i="37"/>
  <c r="F1088" i="37"/>
  <c r="F1089" i="37"/>
  <c r="F1090" i="37"/>
  <c r="F1091" i="37"/>
  <c r="F1092" i="37"/>
  <c r="F1093" i="37"/>
  <c r="F1094" i="37"/>
  <c r="F1095" i="37"/>
  <c r="F1096" i="37"/>
  <c r="F1097" i="37"/>
  <c r="F1098" i="37"/>
  <c r="F1099" i="37"/>
  <c r="F1100" i="37"/>
  <c r="F1101" i="37"/>
  <c r="F1102" i="37"/>
  <c r="F1103" i="37"/>
  <c r="F1104" i="37"/>
  <c r="F1105" i="37"/>
  <c r="F1106" i="37"/>
  <c r="F1107" i="37"/>
  <c r="F1108" i="37"/>
  <c r="F1109" i="37"/>
  <c r="F1110" i="37"/>
  <c r="F1111" i="37"/>
  <c r="F1112" i="37"/>
  <c r="F1113" i="37"/>
  <c r="F1114" i="37"/>
  <c r="F1115" i="37"/>
  <c r="F1116" i="37"/>
  <c r="F1117" i="37"/>
  <c r="F1118" i="37"/>
  <c r="F1119" i="37"/>
  <c r="F1120" i="37"/>
  <c r="F1121" i="37"/>
  <c r="F1122" i="37"/>
  <c r="F1123" i="37"/>
  <c r="F1124" i="37"/>
  <c r="F1125" i="37"/>
  <c r="F1126" i="37"/>
  <c r="F1127" i="37"/>
  <c r="F1128" i="37"/>
  <c r="F1129" i="37"/>
  <c r="F1130" i="37"/>
  <c r="F1131" i="37"/>
  <c r="F1132" i="37"/>
  <c r="F1133" i="37"/>
  <c r="F1134" i="37"/>
  <c r="F1135" i="37"/>
  <c r="F1136" i="37"/>
  <c r="F1137" i="37"/>
  <c r="F1138" i="37"/>
  <c r="F1139" i="37"/>
  <c r="F1140" i="37"/>
  <c r="F1141" i="37"/>
  <c r="F1142" i="37"/>
  <c r="F1143" i="37"/>
  <c r="F1144" i="37"/>
  <c r="F1145" i="37"/>
  <c r="F1146" i="37"/>
  <c r="F1147" i="37"/>
  <c r="F1148" i="37"/>
  <c r="F1149" i="37"/>
  <c r="F1150" i="37"/>
  <c r="F1151" i="37"/>
  <c r="F1152" i="37"/>
  <c r="F1153" i="37"/>
  <c r="F1154" i="37"/>
  <c r="F1155" i="37"/>
  <c r="F1156" i="37"/>
  <c r="F1157" i="37"/>
  <c r="F1158" i="37"/>
  <c r="F1159" i="37"/>
  <c r="F1160" i="37"/>
  <c r="F1161" i="37"/>
  <c r="F1162" i="37"/>
  <c r="F1163" i="37"/>
  <c r="F1164" i="37"/>
  <c r="F1165" i="37"/>
  <c r="F1166" i="37"/>
  <c r="F1167" i="37"/>
  <c r="F1168" i="37"/>
  <c r="F1169" i="37"/>
  <c r="F1170" i="37"/>
  <c r="F1171" i="37"/>
  <c r="F1172" i="37"/>
  <c r="F1173" i="37"/>
  <c r="F1174" i="37"/>
  <c r="F1175" i="37"/>
  <c r="F1176" i="37"/>
  <c r="F1177" i="37"/>
  <c r="F1178" i="37"/>
  <c r="F1179" i="37"/>
  <c r="F1180" i="37"/>
  <c r="F1181" i="37"/>
  <c r="F1182" i="37"/>
  <c r="F1183" i="37"/>
  <c r="F1184" i="37"/>
  <c r="F1185" i="37"/>
  <c r="F1186" i="37"/>
  <c r="F1187" i="37"/>
  <c r="F1188" i="37"/>
  <c r="F1189" i="37"/>
  <c r="F1190" i="37"/>
  <c r="F1191" i="37"/>
  <c r="F1192" i="37"/>
  <c r="F1193" i="37"/>
  <c r="F1194" i="37"/>
  <c r="F1195" i="37"/>
  <c r="F1196" i="37"/>
  <c r="F1197" i="37"/>
  <c r="F1198" i="37"/>
  <c r="F1199" i="37"/>
  <c r="F1200" i="37"/>
  <c r="F1201" i="37"/>
  <c r="F1202" i="37"/>
  <c r="F1203" i="37"/>
  <c r="F1204" i="37"/>
  <c r="F1205" i="37"/>
  <c r="F1206" i="37"/>
  <c r="F1207" i="37"/>
  <c r="F1208" i="37"/>
  <c r="F1209" i="37"/>
  <c r="F1210" i="37"/>
  <c r="F1211" i="37"/>
  <c r="F1212" i="37"/>
  <c r="F1213" i="37"/>
  <c r="F1214" i="37"/>
  <c r="F1215" i="37"/>
  <c r="F1216" i="37"/>
  <c r="F1217" i="37"/>
  <c r="F1218" i="37"/>
  <c r="F1219" i="37"/>
  <c r="F1220" i="37"/>
  <c r="F1221" i="37"/>
  <c r="F1222" i="37"/>
  <c r="F1223" i="37"/>
  <c r="F1224" i="37"/>
  <c r="F1225" i="37"/>
  <c r="F1226" i="37"/>
  <c r="F1227" i="37"/>
  <c r="F1228" i="37"/>
  <c r="F1229" i="37"/>
  <c r="F1230" i="37"/>
  <c r="F1231" i="37"/>
  <c r="F1232" i="37"/>
  <c r="F1233" i="37"/>
  <c r="F1234" i="37"/>
  <c r="F1235" i="37"/>
  <c r="F1236" i="37"/>
  <c r="F1237" i="37"/>
  <c r="F1238" i="37"/>
  <c r="F1239" i="37"/>
  <c r="F1240" i="37"/>
  <c r="F1241" i="37"/>
  <c r="F1242" i="37"/>
  <c r="F1243" i="37"/>
  <c r="F1244" i="37"/>
  <c r="F1245" i="37"/>
  <c r="F1246" i="37"/>
  <c r="F1247" i="37"/>
  <c r="F1248" i="37"/>
  <c r="F1249" i="37"/>
  <c r="F1250" i="37"/>
  <c r="F1251" i="37"/>
  <c r="F1252" i="37"/>
  <c r="F1253" i="37"/>
  <c r="F1254" i="37"/>
  <c r="F1255" i="37"/>
  <c r="F1256" i="37"/>
  <c r="F1257" i="37"/>
  <c r="F1258" i="37"/>
  <c r="F1259" i="37"/>
  <c r="F1260" i="37"/>
  <c r="F1261" i="37"/>
  <c r="F1262" i="37"/>
  <c r="F1263" i="37"/>
  <c r="F1264" i="37"/>
  <c r="F1265" i="37"/>
  <c r="F1266" i="37"/>
  <c r="F1267" i="37"/>
  <c r="F1268" i="37"/>
  <c r="F1269" i="37"/>
  <c r="F1270" i="37"/>
  <c r="F1271" i="37"/>
  <c r="F1272" i="37"/>
  <c r="F1273" i="37"/>
  <c r="F1274" i="37"/>
  <c r="F1275" i="37"/>
  <c r="F1276" i="37"/>
  <c r="F1277" i="37"/>
  <c r="F1278" i="37"/>
  <c r="F1279" i="37"/>
  <c r="F1280" i="37"/>
  <c r="F1281" i="37"/>
  <c r="F1282" i="37"/>
  <c r="F1283" i="37"/>
  <c r="F1284" i="37"/>
  <c r="F1285" i="37"/>
  <c r="F1286" i="37"/>
  <c r="F1287" i="37"/>
  <c r="F1288" i="37"/>
  <c r="F1289" i="37"/>
  <c r="F1290" i="37"/>
  <c r="F1291" i="37"/>
  <c r="F1292" i="37"/>
  <c r="F1293" i="37"/>
  <c r="F1294" i="37"/>
  <c r="F1295" i="37"/>
  <c r="F1296" i="37"/>
  <c r="F1297" i="37"/>
  <c r="F1298" i="37"/>
  <c r="F1299" i="37"/>
  <c r="F1300" i="37"/>
  <c r="F1301" i="37"/>
  <c r="F1302" i="37"/>
  <c r="F1303" i="37"/>
  <c r="F1304" i="37"/>
  <c r="F1305" i="37"/>
  <c r="F1306" i="37"/>
  <c r="F2" i="37"/>
  <c r="G828" i="1"/>
  <c r="G829" i="1"/>
  <c r="G830" i="1"/>
  <c r="G831" i="1"/>
  <c r="G832" i="1"/>
  <c r="G833" i="1"/>
  <c r="G834" i="1"/>
  <c r="G835" i="1"/>
  <c r="G836" i="1"/>
  <c r="G827" i="1"/>
  <c r="G822" i="1"/>
  <c r="G823" i="1"/>
  <c r="G824" i="1"/>
  <c r="G825" i="1"/>
  <c r="G826" i="1"/>
  <c r="G821" i="1"/>
  <c r="G816" i="1"/>
  <c r="G817" i="1"/>
  <c r="G818" i="1"/>
  <c r="G819" i="1"/>
  <c r="G820" i="1"/>
  <c r="G815" i="1"/>
  <c r="G804" i="1"/>
  <c r="G805" i="1"/>
  <c r="G806" i="1"/>
  <c r="G807" i="1"/>
  <c r="G808" i="1"/>
  <c r="G809" i="1"/>
  <c r="G810" i="1"/>
  <c r="G811" i="1"/>
  <c r="G812" i="1"/>
  <c r="G813" i="1"/>
  <c r="G814" i="1"/>
  <c r="G803" i="1"/>
  <c r="G1301" i="37"/>
  <c r="E1301" i="37" s="1"/>
  <c r="L1301" i="37"/>
  <c r="L1302" i="37"/>
  <c r="L1303" i="37"/>
  <c r="G1304" i="37"/>
  <c r="E1304" i="37" s="1"/>
  <c r="L1304" i="37"/>
  <c r="G1305" i="37"/>
  <c r="E1305" i="37" s="1"/>
  <c r="L1305" i="37"/>
  <c r="L1306" i="37"/>
  <c r="L803" i="37"/>
  <c r="H3" i="32"/>
  <c r="H4" i="32"/>
  <c r="H5" i="32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H44" i="32"/>
  <c r="H45" i="32"/>
  <c r="H46" i="32"/>
  <c r="H47" i="32"/>
  <c r="H48" i="32"/>
  <c r="H49" i="32"/>
  <c r="G803" i="37" s="1"/>
  <c r="E803" i="37" s="1"/>
  <c r="H50" i="32"/>
  <c r="H51" i="32"/>
  <c r="H52" i="32"/>
  <c r="H53" i="32"/>
  <c r="H54" i="32"/>
  <c r="H55" i="32"/>
  <c r="H56" i="32"/>
  <c r="H57" i="32"/>
  <c r="H58" i="32"/>
  <c r="H59" i="32"/>
  <c r="H60" i="32"/>
  <c r="H61" i="32"/>
  <c r="H62" i="32"/>
  <c r="H63" i="32"/>
  <c r="H64" i="32"/>
  <c r="H65" i="32"/>
  <c r="H66" i="32"/>
  <c r="H67" i="32"/>
  <c r="H68" i="32"/>
  <c r="H69" i="32"/>
  <c r="H70" i="32"/>
  <c r="H71" i="32"/>
  <c r="H72" i="32"/>
  <c r="H73" i="32"/>
  <c r="H74" i="32"/>
  <c r="H75" i="32"/>
  <c r="G1306" i="37" s="1"/>
  <c r="E1306" i="37" s="1"/>
  <c r="H76" i="32"/>
  <c r="H77" i="32"/>
  <c r="H78" i="32"/>
  <c r="H79" i="32"/>
  <c r="H80" i="32"/>
  <c r="H81" i="32"/>
  <c r="H82" i="32"/>
  <c r="H83" i="32"/>
  <c r="H84" i="32"/>
  <c r="H85" i="32"/>
  <c r="H86" i="32"/>
  <c r="H87" i="32"/>
  <c r="H88" i="32"/>
  <c r="H89" i="32"/>
  <c r="H90" i="32"/>
  <c r="H91" i="32"/>
  <c r="H92" i="32"/>
  <c r="H93" i="32"/>
  <c r="H94" i="32"/>
  <c r="H95" i="32"/>
  <c r="H96" i="32"/>
  <c r="H97" i="32"/>
  <c r="H98" i="32"/>
  <c r="H99" i="32"/>
  <c r="H100" i="32"/>
  <c r="H101" i="32"/>
  <c r="H102" i="32"/>
  <c r="H103" i="32"/>
  <c r="H104" i="32"/>
  <c r="H105" i="32"/>
  <c r="H106" i="32"/>
  <c r="H107" i="32"/>
  <c r="H108" i="32"/>
  <c r="H109" i="32"/>
  <c r="H110" i="32"/>
  <c r="H111" i="32"/>
  <c r="H112" i="32"/>
  <c r="H113" i="32"/>
  <c r="H114" i="32"/>
  <c r="H115" i="32"/>
  <c r="H116" i="32"/>
  <c r="H117" i="32"/>
  <c r="H118" i="32"/>
  <c r="H119" i="32"/>
  <c r="H120" i="32"/>
  <c r="H121" i="32"/>
  <c r="H122" i="32"/>
  <c r="H123" i="32"/>
  <c r="H124" i="32"/>
  <c r="H125" i="32"/>
  <c r="H126" i="32"/>
  <c r="H127" i="32"/>
  <c r="H128" i="32"/>
  <c r="H129" i="32"/>
  <c r="H130" i="32"/>
  <c r="H131" i="32"/>
  <c r="G1261" i="37" s="1"/>
  <c r="H132" i="32"/>
  <c r="G1232" i="37" s="1"/>
  <c r="H133" i="32"/>
  <c r="G1251" i="37" s="1"/>
  <c r="E1251" i="37" s="1"/>
  <c r="H134" i="32"/>
  <c r="H135" i="32"/>
  <c r="H136" i="32"/>
  <c r="H137" i="32"/>
  <c r="H138" i="32"/>
  <c r="H139" i="32"/>
  <c r="H140" i="32"/>
  <c r="H141" i="32"/>
  <c r="H142" i="32"/>
  <c r="H143" i="32"/>
  <c r="H144" i="32"/>
  <c r="H145" i="32"/>
  <c r="H146" i="32"/>
  <c r="H147" i="32"/>
  <c r="H148" i="32"/>
  <c r="G1292" i="37" s="1"/>
  <c r="E1292" i="37" s="1"/>
  <c r="H149" i="32"/>
  <c r="G1268" i="37" s="1"/>
  <c r="E1268" i="37" s="1"/>
  <c r="H150" i="32"/>
  <c r="G1280" i="37" s="1"/>
  <c r="E1280" i="37" s="1"/>
  <c r="H2" i="32"/>
  <c r="L1265" i="37"/>
  <c r="L1266" i="37"/>
  <c r="L1267" i="37"/>
  <c r="L1268" i="37"/>
  <c r="L1269" i="37"/>
  <c r="L1270" i="37"/>
  <c r="L1271" i="37"/>
  <c r="L1272" i="37"/>
  <c r="L1273" i="37"/>
  <c r="L1274" i="37"/>
  <c r="L1275" i="37"/>
  <c r="L1276" i="37"/>
  <c r="L1277" i="37"/>
  <c r="L1278" i="37"/>
  <c r="L1279" i="37"/>
  <c r="L1280" i="37"/>
  <c r="L1281" i="37"/>
  <c r="L1282" i="37"/>
  <c r="L1283" i="37"/>
  <c r="L1284" i="37"/>
  <c r="L1285" i="37"/>
  <c r="L1286" i="37"/>
  <c r="L1287" i="37"/>
  <c r="L1288" i="37"/>
  <c r="L1289" i="37"/>
  <c r="L1290" i="37"/>
  <c r="L1291" i="37"/>
  <c r="L1292" i="37"/>
  <c r="L1293" i="37"/>
  <c r="L1294" i="37"/>
  <c r="L1295" i="37"/>
  <c r="L1296" i="37"/>
  <c r="L1297" i="37"/>
  <c r="L1298" i="37"/>
  <c r="L1299" i="37"/>
  <c r="L1300" i="37"/>
  <c r="G1265" i="37"/>
  <c r="E1265" i="37" s="1"/>
  <c r="G1266" i="37"/>
  <c r="E1266" i="37" s="1"/>
  <c r="G1267" i="37"/>
  <c r="E1267" i="37" s="1"/>
  <c r="G1273" i="37"/>
  <c r="E1273" i="37" s="1"/>
  <c r="G1274" i="37"/>
  <c r="E1274" i="37" s="1"/>
  <c r="G1275" i="37"/>
  <c r="E1275" i="37" s="1"/>
  <c r="G1277" i="37"/>
  <c r="E1277" i="37" s="1"/>
  <c r="G1278" i="37"/>
  <c r="E1278" i="37" s="1"/>
  <c r="G1279" i="37"/>
  <c r="E1279" i="37" s="1"/>
  <c r="G1282" i="37"/>
  <c r="E1282" i="37" s="1"/>
  <c r="G1283" i="37"/>
  <c r="E1283" i="37" s="1"/>
  <c r="G1285" i="37"/>
  <c r="E1285" i="37" s="1"/>
  <c r="G1286" i="37"/>
  <c r="E1286" i="37" s="1"/>
  <c r="G1287" i="37"/>
  <c r="E1287" i="37" s="1"/>
  <c r="G1288" i="37"/>
  <c r="E1288" i="37" s="1"/>
  <c r="G1289" i="37"/>
  <c r="E1289" i="37" s="1"/>
  <c r="G1290" i="37"/>
  <c r="E1290" i="37" s="1"/>
  <c r="G1295" i="37"/>
  <c r="E1295" i="37" s="1"/>
  <c r="G1297" i="37"/>
  <c r="E1297" i="37" s="1"/>
  <c r="G1252" i="37"/>
  <c r="E1252" i="37" s="1"/>
  <c r="G1262" i="37"/>
  <c r="G1263" i="37"/>
  <c r="G1264" i="37"/>
  <c r="G1242" i="37"/>
  <c r="G1243" i="37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54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66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G797" i="1"/>
  <c r="G796" i="1"/>
  <c r="G795" i="1"/>
  <c r="G794" i="1"/>
  <c r="G793" i="1"/>
  <c r="G792" i="1"/>
  <c r="L149" i="32"/>
  <c r="L148" i="32"/>
  <c r="G1174" i="1"/>
  <c r="G1175" i="1"/>
  <c r="G1176" i="1"/>
  <c r="G1177" i="1"/>
  <c r="G1178" i="1"/>
  <c r="G1173" i="1"/>
  <c r="P150" i="32"/>
  <c r="L150" i="32"/>
  <c r="K150" i="32"/>
  <c r="R3" i="32"/>
  <c r="R4" i="32"/>
  <c r="R5" i="32"/>
  <c r="R6" i="32"/>
  <c r="R7" i="32"/>
  <c r="R8" i="32"/>
  <c r="R9" i="32"/>
  <c r="R10" i="32"/>
  <c r="R11" i="32"/>
  <c r="R12" i="32"/>
  <c r="R13" i="32"/>
  <c r="R14" i="32"/>
  <c r="R15" i="32"/>
  <c r="R16" i="32"/>
  <c r="R17" i="32"/>
  <c r="R18" i="32"/>
  <c r="R19" i="32"/>
  <c r="R20" i="32"/>
  <c r="R21" i="32"/>
  <c r="R22" i="32"/>
  <c r="R23" i="32"/>
  <c r="R24" i="32"/>
  <c r="R25" i="32"/>
  <c r="R26" i="32"/>
  <c r="R27" i="32"/>
  <c r="R28" i="32"/>
  <c r="R29" i="32"/>
  <c r="R30" i="32"/>
  <c r="R31" i="32"/>
  <c r="R32" i="32"/>
  <c r="R33" i="32"/>
  <c r="R34" i="32"/>
  <c r="R35" i="32"/>
  <c r="R36" i="32"/>
  <c r="R37" i="32"/>
  <c r="R38" i="32"/>
  <c r="R39" i="32"/>
  <c r="R40" i="32"/>
  <c r="R41" i="32"/>
  <c r="R42" i="32"/>
  <c r="R43" i="32"/>
  <c r="R44" i="32"/>
  <c r="R45" i="32"/>
  <c r="R46" i="32"/>
  <c r="R47" i="32"/>
  <c r="R48" i="32"/>
  <c r="R49" i="32"/>
  <c r="R50" i="32"/>
  <c r="R51" i="32"/>
  <c r="R52" i="32"/>
  <c r="R53" i="32"/>
  <c r="R54" i="32"/>
  <c r="R55" i="32"/>
  <c r="R56" i="32"/>
  <c r="R57" i="32"/>
  <c r="R61" i="32"/>
  <c r="R62" i="32"/>
  <c r="R63" i="32"/>
  <c r="R64" i="32"/>
  <c r="R65" i="32"/>
  <c r="R66" i="32"/>
  <c r="R67" i="32"/>
  <c r="R68" i="32"/>
  <c r="R70" i="32"/>
  <c r="R71" i="32"/>
  <c r="R72" i="32"/>
  <c r="R73" i="32"/>
  <c r="R74" i="32"/>
  <c r="R75" i="32"/>
  <c r="R76" i="32"/>
  <c r="R78" i="32"/>
  <c r="R79" i="32"/>
  <c r="R80" i="32"/>
  <c r="R81" i="32"/>
  <c r="R83" i="32"/>
  <c r="R84" i="32"/>
  <c r="R85" i="32"/>
  <c r="R86" i="32"/>
  <c r="R87" i="32"/>
  <c r="R88" i="32"/>
  <c r="R89" i="32"/>
  <c r="R90" i="32"/>
  <c r="R91" i="32"/>
  <c r="R94" i="32"/>
  <c r="R95" i="32"/>
  <c r="R96" i="32"/>
  <c r="R97" i="32"/>
  <c r="R98" i="32"/>
  <c r="R99" i="32"/>
  <c r="R100" i="32"/>
  <c r="R101" i="32"/>
  <c r="R102" i="32"/>
  <c r="R103" i="32"/>
  <c r="R104" i="32"/>
  <c r="R105" i="32"/>
  <c r="R106" i="32"/>
  <c r="R108" i="32"/>
  <c r="R109" i="32"/>
  <c r="R110" i="32"/>
  <c r="R111" i="32"/>
  <c r="R112" i="32"/>
  <c r="R113" i="32"/>
  <c r="R114" i="32"/>
  <c r="R115" i="32"/>
  <c r="R116" i="32"/>
  <c r="R117" i="32"/>
  <c r="R118" i="32"/>
  <c r="R125" i="32"/>
  <c r="R126" i="32"/>
  <c r="R127" i="32"/>
  <c r="R128" i="32"/>
  <c r="R129" i="32"/>
  <c r="R130" i="32"/>
  <c r="R131" i="32"/>
  <c r="R132" i="32"/>
  <c r="R133" i="32"/>
  <c r="R134" i="32"/>
  <c r="R135" i="32"/>
  <c r="R136" i="32"/>
  <c r="R137" i="32"/>
  <c r="R138" i="32"/>
  <c r="R139" i="32"/>
  <c r="R140" i="32"/>
  <c r="R141" i="32"/>
  <c r="R142" i="32"/>
  <c r="R143" i="32"/>
  <c r="R144" i="32"/>
  <c r="R145" i="32"/>
  <c r="R146" i="32"/>
  <c r="R147" i="32"/>
  <c r="R2" i="32"/>
  <c r="K15" i="36"/>
  <c r="K16" i="36" s="1"/>
  <c r="K17" i="36" s="1"/>
  <c r="K18" i="36" s="1"/>
  <c r="K21" i="36" s="1"/>
  <c r="C3" i="46"/>
  <c r="C4" i="46" s="1"/>
  <c r="C5" i="46" s="1"/>
  <c r="C6" i="46" s="1"/>
  <c r="C7" i="46" s="1"/>
  <c r="C8" i="46" s="1"/>
  <c r="C9" i="46" s="1"/>
  <c r="C10" i="46" s="1"/>
  <c r="C11" i="46" s="1"/>
  <c r="C12" i="46" s="1"/>
  <c r="C13" i="46" s="1"/>
  <c r="C14" i="46" s="1"/>
  <c r="C15" i="46" s="1"/>
  <c r="C16" i="46" s="1"/>
  <c r="C17" i="46" s="1"/>
  <c r="C18" i="46" s="1"/>
  <c r="C19" i="46" s="1"/>
  <c r="C20" i="46" s="1"/>
  <c r="C21" i="46" s="1"/>
  <c r="C22" i="46" s="1"/>
  <c r="C23" i="46" s="1"/>
  <c r="C24" i="46" s="1"/>
  <c r="C25" i="46" s="1"/>
  <c r="C26" i="46" s="1"/>
  <c r="C27" i="46" s="1"/>
  <c r="C28" i="46" s="1"/>
  <c r="C29" i="46" s="1"/>
  <c r="C30" i="46" s="1"/>
  <c r="C31" i="46" s="1"/>
  <c r="C32" i="46" s="1"/>
  <c r="C33" i="46" s="1"/>
  <c r="C34" i="46" s="1"/>
  <c r="C35" i="46" s="1"/>
  <c r="C36" i="46" s="1"/>
  <c r="C37" i="46" s="1"/>
  <c r="C38" i="46" s="1"/>
  <c r="C39" i="46" s="1"/>
  <c r="C40" i="46" s="1"/>
  <c r="C41" i="46" s="1"/>
  <c r="C42" i="46" s="1"/>
  <c r="C43" i="46" s="1"/>
  <c r="C44" i="46" s="1"/>
  <c r="C45" i="46" s="1"/>
  <c r="C46" i="46" s="1"/>
  <c r="C47" i="46" s="1"/>
  <c r="C48" i="46" s="1"/>
  <c r="C49" i="46" s="1"/>
  <c r="C50" i="46" s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G1211" i="1"/>
  <c r="G1212" i="1"/>
  <c r="G1213" i="1"/>
  <c r="G1214" i="1"/>
  <c r="G1215" i="1"/>
  <c r="G1210" i="1"/>
  <c r="G1217" i="1"/>
  <c r="G1218" i="1"/>
  <c r="G1219" i="1"/>
  <c r="G1220" i="1"/>
  <c r="G1221" i="1"/>
  <c r="G1222" i="1"/>
  <c r="G1223" i="1"/>
  <c r="G1224" i="1"/>
  <c r="G1225" i="1"/>
  <c r="G1216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F201" i="47"/>
  <c r="F202" i="47"/>
  <c r="F203" i="47"/>
  <c r="F204" i="47"/>
  <c r="F205" i="47"/>
  <c r="F206" i="47"/>
  <c r="F207" i="47"/>
  <c r="F208" i="47"/>
  <c r="F209" i="47"/>
  <c r="F210" i="47"/>
  <c r="F211" i="47"/>
  <c r="F212" i="47"/>
  <c r="F213" i="47"/>
  <c r="F214" i="47"/>
  <c r="F215" i="47"/>
  <c r="F216" i="47"/>
  <c r="F217" i="47"/>
  <c r="F218" i="47"/>
  <c r="F219" i="47"/>
  <c r="F220" i="47"/>
  <c r="F221" i="47"/>
  <c r="F222" i="47"/>
  <c r="F223" i="47"/>
  <c r="F224" i="47"/>
  <c r="F225" i="47"/>
  <c r="F226" i="47"/>
  <c r="F227" i="47"/>
  <c r="F228" i="47"/>
  <c r="F229" i="47"/>
  <c r="F230" i="47"/>
  <c r="F231" i="47"/>
  <c r="F232" i="47"/>
  <c r="F233" i="47"/>
  <c r="F234" i="47"/>
  <c r="F235" i="47"/>
  <c r="F236" i="47"/>
  <c r="F237" i="47"/>
  <c r="F238" i="47"/>
  <c r="F239" i="47"/>
  <c r="F240" i="47"/>
  <c r="F241" i="47"/>
  <c r="F242" i="47"/>
  <c r="F243" i="47"/>
  <c r="F244" i="47"/>
  <c r="F245" i="47"/>
  <c r="F246" i="47"/>
  <c r="F247" i="47"/>
  <c r="F248" i="47"/>
  <c r="F249" i="47"/>
  <c r="F250" i="47"/>
  <c r="F251" i="47"/>
  <c r="F252" i="47"/>
  <c r="F253" i="47"/>
  <c r="F254" i="47"/>
  <c r="F255" i="47"/>
  <c r="F256" i="47"/>
  <c r="F257" i="47"/>
  <c r="F258" i="47"/>
  <c r="F259" i="47"/>
  <c r="F260" i="47"/>
  <c r="F261" i="47"/>
  <c r="F262" i="47"/>
  <c r="F263" i="47"/>
  <c r="F264" i="47"/>
  <c r="F265" i="47"/>
  <c r="F266" i="47"/>
  <c r="F267" i="47"/>
  <c r="F268" i="47"/>
  <c r="F269" i="47"/>
  <c r="F270" i="47"/>
  <c r="F271" i="47"/>
  <c r="F272" i="47"/>
  <c r="F273" i="47"/>
  <c r="F274" i="47"/>
  <c r="F275" i="47"/>
  <c r="F276" i="47"/>
  <c r="F277" i="47"/>
  <c r="F278" i="47"/>
  <c r="F279" i="47"/>
  <c r="F280" i="47"/>
  <c r="F281" i="47"/>
  <c r="F282" i="47"/>
  <c r="F283" i="47"/>
  <c r="F284" i="47"/>
  <c r="F285" i="47"/>
  <c r="F286" i="47"/>
  <c r="F287" i="47"/>
  <c r="F288" i="47"/>
  <c r="F289" i="47"/>
  <c r="F290" i="47"/>
  <c r="F291" i="47"/>
  <c r="F292" i="47"/>
  <c r="F293" i="47"/>
  <c r="F294" i="47"/>
  <c r="F295" i="47"/>
  <c r="F296" i="47"/>
  <c r="F297" i="47"/>
  <c r="F298" i="47"/>
  <c r="F299" i="47"/>
  <c r="F300" i="47"/>
  <c r="F301" i="47"/>
  <c r="F302" i="47"/>
  <c r="F303" i="47"/>
  <c r="F304" i="47"/>
  <c r="F305" i="47"/>
  <c r="F306" i="47"/>
  <c r="F307" i="47"/>
  <c r="F308" i="47"/>
  <c r="F309" i="47"/>
  <c r="F310" i="47"/>
  <c r="F311" i="47"/>
  <c r="F312" i="47"/>
  <c r="F313" i="47"/>
  <c r="F314" i="47"/>
  <c r="F315" i="47"/>
  <c r="F316" i="47"/>
  <c r="F317" i="47"/>
  <c r="F318" i="47"/>
  <c r="F319" i="47"/>
  <c r="F320" i="47"/>
  <c r="F321" i="47"/>
  <c r="F322" i="47"/>
  <c r="F323" i="47"/>
  <c r="F324" i="47"/>
  <c r="F325" i="47"/>
  <c r="F326" i="47"/>
  <c r="F327" i="47"/>
  <c r="F328" i="47"/>
  <c r="F329" i="47"/>
  <c r="F330" i="47"/>
  <c r="F331" i="47"/>
  <c r="F332" i="47"/>
  <c r="F333" i="47"/>
  <c r="F334" i="47"/>
  <c r="F335" i="47"/>
  <c r="F336" i="47"/>
  <c r="F337" i="47"/>
  <c r="F338" i="47"/>
  <c r="F339" i="47"/>
  <c r="F340" i="47"/>
  <c r="F341" i="47"/>
  <c r="F342" i="47"/>
  <c r="F343" i="47"/>
  <c r="F344" i="47"/>
  <c r="F345" i="47"/>
  <c r="F346" i="47"/>
  <c r="F347" i="47"/>
  <c r="F348" i="47"/>
  <c r="F349" i="47"/>
  <c r="F350" i="47"/>
  <c r="F351" i="47"/>
  <c r="F352" i="47"/>
  <c r="F353" i="47"/>
  <c r="F354" i="47"/>
  <c r="F355" i="47"/>
  <c r="F356" i="47"/>
  <c r="F357" i="47"/>
  <c r="F358" i="47"/>
  <c r="F359" i="47"/>
  <c r="F360" i="47"/>
  <c r="F361" i="47"/>
  <c r="F362" i="47"/>
  <c r="F363" i="47"/>
  <c r="F364" i="47"/>
  <c r="F365" i="47"/>
  <c r="F366" i="47"/>
  <c r="F367" i="47"/>
  <c r="F368" i="47"/>
  <c r="F369" i="47"/>
  <c r="F370" i="47"/>
  <c r="F371" i="47"/>
  <c r="F372" i="47"/>
  <c r="F373" i="47"/>
  <c r="F374" i="47"/>
  <c r="F375" i="47"/>
  <c r="F376" i="47"/>
  <c r="F377" i="47"/>
  <c r="F378" i="47"/>
  <c r="F379" i="47"/>
  <c r="F380" i="47"/>
  <c r="F381" i="47"/>
  <c r="F382" i="47"/>
  <c r="F383" i="47"/>
  <c r="F384" i="47"/>
  <c r="F385" i="47"/>
  <c r="F386" i="47"/>
  <c r="F387" i="47"/>
  <c r="F388" i="47"/>
  <c r="F389" i="47"/>
  <c r="F390" i="47"/>
  <c r="F391" i="47"/>
  <c r="F392" i="47"/>
  <c r="F393" i="47"/>
  <c r="F394" i="47"/>
  <c r="F395" i="47"/>
  <c r="F396" i="47"/>
  <c r="F397" i="47"/>
  <c r="F398" i="47"/>
  <c r="F399" i="47"/>
  <c r="F400" i="47"/>
  <c r="F401" i="47"/>
  <c r="F402" i="47"/>
  <c r="F403" i="47"/>
  <c r="F404" i="47"/>
  <c r="F405" i="47"/>
  <c r="F406" i="47"/>
  <c r="F407" i="47"/>
  <c r="F408" i="47"/>
  <c r="F409" i="47"/>
  <c r="F410" i="47"/>
  <c r="F411" i="47"/>
  <c r="F412" i="47"/>
  <c r="F413" i="47"/>
  <c r="F414" i="47"/>
  <c r="F415" i="47"/>
  <c r="F416" i="47"/>
  <c r="F417" i="47"/>
  <c r="F418" i="47"/>
  <c r="F419" i="47"/>
  <c r="F420" i="47"/>
  <c r="F421" i="47"/>
  <c r="F422" i="47"/>
  <c r="F423" i="47"/>
  <c r="F424" i="47"/>
  <c r="F425" i="47"/>
  <c r="F426" i="47"/>
  <c r="F427" i="47"/>
  <c r="F428" i="47"/>
  <c r="F429" i="47"/>
  <c r="F430" i="47"/>
  <c r="F431" i="47"/>
  <c r="F432" i="47"/>
  <c r="F433" i="47"/>
  <c r="F434" i="47"/>
  <c r="F435" i="47"/>
  <c r="F436" i="47"/>
  <c r="F437" i="47"/>
  <c r="F438" i="47"/>
  <c r="F439" i="47"/>
  <c r="F440" i="47"/>
  <c r="F441" i="47"/>
  <c r="F442" i="47"/>
  <c r="F443" i="47"/>
  <c r="F444" i="47"/>
  <c r="F445" i="47"/>
  <c r="F446" i="47"/>
  <c r="F447" i="47"/>
  <c r="F448" i="47"/>
  <c r="F449" i="47"/>
  <c r="F450" i="47"/>
  <c r="F451" i="47"/>
  <c r="F452" i="47"/>
  <c r="F453" i="47"/>
  <c r="F454" i="47"/>
  <c r="F455" i="47"/>
  <c r="F456" i="47"/>
  <c r="F457" i="47"/>
  <c r="F458" i="47"/>
  <c r="F459" i="47"/>
  <c r="F460" i="47"/>
  <c r="F461" i="47"/>
  <c r="F462" i="47"/>
  <c r="F463" i="47"/>
  <c r="F464" i="47"/>
  <c r="F465" i="47"/>
  <c r="F466" i="47"/>
  <c r="F467" i="47"/>
  <c r="F468" i="47"/>
  <c r="F469" i="47"/>
  <c r="F470" i="47"/>
  <c r="F471" i="47"/>
  <c r="F472" i="47"/>
  <c r="F473" i="47"/>
  <c r="F474" i="47"/>
  <c r="F475" i="47"/>
  <c r="F476" i="47"/>
  <c r="F477" i="47"/>
  <c r="F478" i="47"/>
  <c r="F479" i="47"/>
  <c r="F480" i="47"/>
  <c r="F481" i="47"/>
  <c r="F482" i="47"/>
  <c r="F483" i="47"/>
  <c r="F484" i="47"/>
  <c r="F485" i="47"/>
  <c r="F486" i="47"/>
  <c r="F487" i="47"/>
  <c r="F488" i="47"/>
  <c r="F489" i="47"/>
  <c r="F490" i="47"/>
  <c r="F491" i="47"/>
  <c r="F492" i="47"/>
  <c r="F493" i="47"/>
  <c r="F494" i="47"/>
  <c r="F495" i="47"/>
  <c r="F496" i="47"/>
  <c r="F497" i="47"/>
  <c r="F498" i="47"/>
  <c r="F499" i="47"/>
  <c r="F500" i="47"/>
  <c r="F501" i="47"/>
  <c r="F502" i="47"/>
  <c r="F503" i="47"/>
  <c r="F504" i="47"/>
  <c r="F505" i="47"/>
  <c r="F506" i="47"/>
  <c r="F507" i="47"/>
  <c r="F508" i="47"/>
  <c r="F509" i="47"/>
  <c r="F510" i="47"/>
  <c r="F511" i="47"/>
  <c r="F512" i="47"/>
  <c r="F513" i="47"/>
  <c r="F514" i="47"/>
  <c r="F515" i="47"/>
  <c r="F516" i="47"/>
  <c r="F517" i="47"/>
  <c r="F518" i="47"/>
  <c r="F519" i="47"/>
  <c r="F520" i="47"/>
  <c r="F521" i="47"/>
  <c r="F522" i="47"/>
  <c r="F523" i="47"/>
  <c r="F524" i="47"/>
  <c r="F525" i="47"/>
  <c r="F526" i="47"/>
  <c r="F527" i="47"/>
  <c r="F528" i="47"/>
  <c r="F529" i="47"/>
  <c r="F530" i="47"/>
  <c r="F531" i="47"/>
  <c r="F532" i="47"/>
  <c r="F533" i="47"/>
  <c r="F534" i="47"/>
  <c r="F535" i="47"/>
  <c r="F536" i="47"/>
  <c r="F537" i="47"/>
  <c r="F538" i="47"/>
  <c r="F539" i="47"/>
  <c r="F540" i="47"/>
  <c r="F541" i="47"/>
  <c r="F542" i="47"/>
  <c r="F543" i="47"/>
  <c r="F544" i="47"/>
  <c r="F545" i="47"/>
  <c r="F546" i="47"/>
  <c r="F547" i="47"/>
  <c r="F548" i="47"/>
  <c r="F549" i="47"/>
  <c r="F550" i="47"/>
  <c r="F551" i="47"/>
  <c r="F552" i="47"/>
  <c r="C201" i="47"/>
  <c r="C202" i="47"/>
  <c r="C203" i="47"/>
  <c r="E203" i="47" s="1"/>
  <c r="C204" i="47"/>
  <c r="E204" i="47" s="1"/>
  <c r="C205" i="47"/>
  <c r="E205" i="47" s="1"/>
  <c r="C206" i="47"/>
  <c r="E206" i="47" s="1"/>
  <c r="C207" i="47"/>
  <c r="E207" i="47" s="1"/>
  <c r="C208" i="47"/>
  <c r="E208" i="47" s="1"/>
  <c r="C209" i="47"/>
  <c r="E209" i="47" s="1"/>
  <c r="C210" i="47"/>
  <c r="E210" i="47" s="1"/>
  <c r="C211" i="47"/>
  <c r="E211" i="47" s="1"/>
  <c r="C212" i="47"/>
  <c r="E212" i="47" s="1"/>
  <c r="C213" i="47"/>
  <c r="E213" i="47" s="1"/>
  <c r="C214" i="47"/>
  <c r="E214" i="47" s="1"/>
  <c r="C215" i="47"/>
  <c r="E215" i="47" s="1"/>
  <c r="C216" i="47"/>
  <c r="E216" i="47" s="1"/>
  <c r="C217" i="47"/>
  <c r="E217" i="47" s="1"/>
  <c r="C218" i="47"/>
  <c r="E218" i="47" s="1"/>
  <c r="C219" i="47"/>
  <c r="E219" i="47" s="1"/>
  <c r="C220" i="47"/>
  <c r="E220" i="47" s="1"/>
  <c r="C221" i="47"/>
  <c r="E221" i="47" s="1"/>
  <c r="C222" i="47"/>
  <c r="E222" i="47" s="1"/>
  <c r="C223" i="47"/>
  <c r="E223" i="47" s="1"/>
  <c r="C224" i="47"/>
  <c r="E224" i="47" s="1"/>
  <c r="C225" i="47"/>
  <c r="E225" i="47" s="1"/>
  <c r="C226" i="47"/>
  <c r="E226" i="47" s="1"/>
  <c r="C227" i="47"/>
  <c r="E227" i="47" s="1"/>
  <c r="C228" i="47"/>
  <c r="E228" i="47" s="1"/>
  <c r="C229" i="47"/>
  <c r="E229" i="47" s="1"/>
  <c r="C230" i="47"/>
  <c r="E230" i="47" s="1"/>
  <c r="C231" i="47"/>
  <c r="E231" i="47" s="1"/>
  <c r="C232" i="47"/>
  <c r="E232" i="47" s="1"/>
  <c r="C233" i="47"/>
  <c r="E233" i="47" s="1"/>
  <c r="C234" i="47"/>
  <c r="E234" i="47" s="1"/>
  <c r="C235" i="47"/>
  <c r="E235" i="47" s="1"/>
  <c r="C236" i="47"/>
  <c r="E236" i="47" s="1"/>
  <c r="C237" i="47"/>
  <c r="E237" i="47" s="1"/>
  <c r="C238" i="47"/>
  <c r="E238" i="47" s="1"/>
  <c r="C239" i="47"/>
  <c r="E239" i="47" s="1"/>
  <c r="C240" i="47"/>
  <c r="E240" i="47" s="1"/>
  <c r="C241" i="47"/>
  <c r="E241" i="47" s="1"/>
  <c r="C242" i="47"/>
  <c r="E242" i="47" s="1"/>
  <c r="C243" i="47"/>
  <c r="E243" i="47" s="1"/>
  <c r="C244" i="47"/>
  <c r="E244" i="47" s="1"/>
  <c r="C245" i="47"/>
  <c r="E245" i="47" s="1"/>
  <c r="C246" i="47"/>
  <c r="E246" i="47" s="1"/>
  <c r="C247" i="47"/>
  <c r="E247" i="47" s="1"/>
  <c r="C248" i="47"/>
  <c r="E248" i="47" s="1"/>
  <c r="C249" i="47"/>
  <c r="E249" i="47" s="1"/>
  <c r="C250" i="47"/>
  <c r="E250" i="47" s="1"/>
  <c r="C251" i="47"/>
  <c r="E251" i="47" s="1"/>
  <c r="C252" i="47"/>
  <c r="E252" i="47" s="1"/>
  <c r="C253" i="47"/>
  <c r="E253" i="47" s="1"/>
  <c r="C254" i="47"/>
  <c r="E254" i="47" s="1"/>
  <c r="C255" i="47"/>
  <c r="E255" i="47" s="1"/>
  <c r="C256" i="47"/>
  <c r="E256" i="47" s="1"/>
  <c r="C257" i="47"/>
  <c r="E257" i="47" s="1"/>
  <c r="C258" i="47"/>
  <c r="E258" i="47" s="1"/>
  <c r="C259" i="47"/>
  <c r="E259" i="47" s="1"/>
  <c r="C260" i="47"/>
  <c r="E260" i="47" s="1"/>
  <c r="C261" i="47"/>
  <c r="E261" i="47" s="1"/>
  <c r="C262" i="47"/>
  <c r="E262" i="47" s="1"/>
  <c r="C263" i="47"/>
  <c r="E263" i="47" s="1"/>
  <c r="C264" i="47"/>
  <c r="E264" i="47" s="1"/>
  <c r="C265" i="47"/>
  <c r="E265" i="47" s="1"/>
  <c r="C266" i="47"/>
  <c r="E266" i="47" s="1"/>
  <c r="C267" i="47"/>
  <c r="E267" i="47" s="1"/>
  <c r="C268" i="47"/>
  <c r="E268" i="47" s="1"/>
  <c r="C269" i="47"/>
  <c r="E269" i="47" s="1"/>
  <c r="C270" i="47"/>
  <c r="E270" i="47" s="1"/>
  <c r="C271" i="47"/>
  <c r="E271" i="47" s="1"/>
  <c r="C272" i="47"/>
  <c r="E272" i="47" s="1"/>
  <c r="C273" i="47"/>
  <c r="E273" i="47" s="1"/>
  <c r="C274" i="47"/>
  <c r="E274" i="47" s="1"/>
  <c r="C275" i="47"/>
  <c r="E275" i="47" s="1"/>
  <c r="C276" i="47"/>
  <c r="E276" i="47" s="1"/>
  <c r="C277" i="47"/>
  <c r="E277" i="47" s="1"/>
  <c r="C278" i="47"/>
  <c r="E278" i="47" s="1"/>
  <c r="C279" i="47"/>
  <c r="E279" i="47" s="1"/>
  <c r="C280" i="47"/>
  <c r="E280" i="47" s="1"/>
  <c r="C281" i="47"/>
  <c r="E281" i="47" s="1"/>
  <c r="C282" i="47"/>
  <c r="E282" i="47" s="1"/>
  <c r="C283" i="47"/>
  <c r="E283" i="47" s="1"/>
  <c r="C284" i="47"/>
  <c r="E284" i="47" s="1"/>
  <c r="C285" i="47"/>
  <c r="E285" i="47" s="1"/>
  <c r="C286" i="47"/>
  <c r="E286" i="47" s="1"/>
  <c r="C287" i="47"/>
  <c r="E287" i="47" s="1"/>
  <c r="C288" i="47"/>
  <c r="E288" i="47" s="1"/>
  <c r="C289" i="47"/>
  <c r="E289" i="47" s="1"/>
  <c r="C290" i="47"/>
  <c r="E290" i="47" s="1"/>
  <c r="C291" i="47"/>
  <c r="E291" i="47" s="1"/>
  <c r="C292" i="47"/>
  <c r="E292" i="47" s="1"/>
  <c r="C293" i="47"/>
  <c r="E293" i="47" s="1"/>
  <c r="C294" i="47"/>
  <c r="E294" i="47" s="1"/>
  <c r="C295" i="47"/>
  <c r="E295" i="47" s="1"/>
  <c r="C296" i="47"/>
  <c r="E296" i="47" s="1"/>
  <c r="C297" i="47"/>
  <c r="E297" i="47" s="1"/>
  <c r="C298" i="47"/>
  <c r="E298" i="47" s="1"/>
  <c r="C299" i="47"/>
  <c r="E299" i="47" s="1"/>
  <c r="C300" i="47"/>
  <c r="E300" i="47" s="1"/>
  <c r="C301" i="47"/>
  <c r="E301" i="47" s="1"/>
  <c r="C302" i="47"/>
  <c r="E302" i="47" s="1"/>
  <c r="C303" i="47"/>
  <c r="E303" i="47" s="1"/>
  <c r="C304" i="47"/>
  <c r="E304" i="47" s="1"/>
  <c r="C305" i="47"/>
  <c r="E305" i="47" s="1"/>
  <c r="C306" i="47"/>
  <c r="E306" i="47" s="1"/>
  <c r="C307" i="47"/>
  <c r="E307" i="47" s="1"/>
  <c r="C308" i="47"/>
  <c r="E308" i="47" s="1"/>
  <c r="C309" i="47"/>
  <c r="E309" i="47" s="1"/>
  <c r="C310" i="47"/>
  <c r="E310" i="47" s="1"/>
  <c r="C311" i="47"/>
  <c r="E311" i="47" s="1"/>
  <c r="C312" i="47"/>
  <c r="E312" i="47" s="1"/>
  <c r="C313" i="47"/>
  <c r="E313" i="47" s="1"/>
  <c r="C314" i="47"/>
  <c r="E314" i="47" s="1"/>
  <c r="C315" i="47"/>
  <c r="E315" i="47" s="1"/>
  <c r="C316" i="47"/>
  <c r="E316" i="47" s="1"/>
  <c r="C317" i="47"/>
  <c r="E317" i="47" s="1"/>
  <c r="C318" i="47"/>
  <c r="E318" i="47" s="1"/>
  <c r="C319" i="47"/>
  <c r="E319" i="47" s="1"/>
  <c r="C320" i="47"/>
  <c r="E320" i="47" s="1"/>
  <c r="C321" i="47"/>
  <c r="E321" i="47" s="1"/>
  <c r="C322" i="47"/>
  <c r="E322" i="47" s="1"/>
  <c r="C323" i="47"/>
  <c r="E323" i="47" s="1"/>
  <c r="C324" i="47"/>
  <c r="E324" i="47" s="1"/>
  <c r="C325" i="47"/>
  <c r="E325" i="47" s="1"/>
  <c r="C326" i="47"/>
  <c r="E326" i="47" s="1"/>
  <c r="C327" i="47"/>
  <c r="E327" i="47" s="1"/>
  <c r="C328" i="47"/>
  <c r="E328" i="47" s="1"/>
  <c r="C329" i="47"/>
  <c r="E329" i="47" s="1"/>
  <c r="C330" i="47"/>
  <c r="E330" i="47" s="1"/>
  <c r="C331" i="47"/>
  <c r="E331" i="47" s="1"/>
  <c r="C332" i="47"/>
  <c r="E332" i="47" s="1"/>
  <c r="C333" i="47"/>
  <c r="E333" i="47" s="1"/>
  <c r="C334" i="47"/>
  <c r="E334" i="47" s="1"/>
  <c r="C335" i="47"/>
  <c r="E335" i="47" s="1"/>
  <c r="C336" i="47"/>
  <c r="E336" i="47" s="1"/>
  <c r="C337" i="47"/>
  <c r="E337" i="47" s="1"/>
  <c r="C338" i="47"/>
  <c r="E338" i="47" s="1"/>
  <c r="C339" i="47"/>
  <c r="E339" i="47" s="1"/>
  <c r="C340" i="47"/>
  <c r="E340" i="47" s="1"/>
  <c r="C341" i="47"/>
  <c r="E341" i="47" s="1"/>
  <c r="C342" i="47"/>
  <c r="E342" i="47" s="1"/>
  <c r="C343" i="47"/>
  <c r="E343" i="47" s="1"/>
  <c r="C344" i="47"/>
  <c r="E344" i="47" s="1"/>
  <c r="C345" i="47"/>
  <c r="E345" i="47" s="1"/>
  <c r="C346" i="47"/>
  <c r="E346" i="47" s="1"/>
  <c r="C347" i="47"/>
  <c r="E347" i="47" s="1"/>
  <c r="C348" i="47"/>
  <c r="E348" i="47" s="1"/>
  <c r="C349" i="47"/>
  <c r="E349" i="47" s="1"/>
  <c r="C350" i="47"/>
  <c r="E350" i="47" s="1"/>
  <c r="C351" i="47"/>
  <c r="E351" i="47" s="1"/>
  <c r="C352" i="47"/>
  <c r="E352" i="47" s="1"/>
  <c r="C353" i="47"/>
  <c r="E353" i="47" s="1"/>
  <c r="C354" i="47"/>
  <c r="E354" i="47" s="1"/>
  <c r="C355" i="47"/>
  <c r="E355" i="47" s="1"/>
  <c r="C356" i="47"/>
  <c r="E356" i="47" s="1"/>
  <c r="C357" i="47"/>
  <c r="E357" i="47" s="1"/>
  <c r="C358" i="47"/>
  <c r="E358" i="47" s="1"/>
  <c r="C359" i="47"/>
  <c r="E359" i="47" s="1"/>
  <c r="C360" i="47"/>
  <c r="E360" i="47" s="1"/>
  <c r="C361" i="47"/>
  <c r="E361" i="47" s="1"/>
  <c r="C362" i="47"/>
  <c r="E362" i="47" s="1"/>
  <c r="C363" i="47"/>
  <c r="E363" i="47" s="1"/>
  <c r="C364" i="47"/>
  <c r="E364" i="47" s="1"/>
  <c r="C365" i="47"/>
  <c r="E365" i="47" s="1"/>
  <c r="C366" i="47"/>
  <c r="E366" i="47" s="1"/>
  <c r="C367" i="47"/>
  <c r="E367" i="47" s="1"/>
  <c r="C368" i="47"/>
  <c r="E368" i="47" s="1"/>
  <c r="C369" i="47"/>
  <c r="E369" i="47" s="1"/>
  <c r="C370" i="47"/>
  <c r="E370" i="47" s="1"/>
  <c r="C371" i="47"/>
  <c r="E371" i="47" s="1"/>
  <c r="C372" i="47"/>
  <c r="E372" i="47" s="1"/>
  <c r="C373" i="47"/>
  <c r="E373" i="47" s="1"/>
  <c r="C374" i="47"/>
  <c r="E374" i="47" s="1"/>
  <c r="C375" i="47"/>
  <c r="E375" i="47" s="1"/>
  <c r="C376" i="47"/>
  <c r="E376" i="47" s="1"/>
  <c r="C377" i="47"/>
  <c r="E377" i="47" s="1"/>
  <c r="C378" i="47"/>
  <c r="E378" i="47" s="1"/>
  <c r="C379" i="47"/>
  <c r="E379" i="47" s="1"/>
  <c r="C380" i="47"/>
  <c r="E380" i="47" s="1"/>
  <c r="C381" i="47"/>
  <c r="E381" i="47" s="1"/>
  <c r="C382" i="47"/>
  <c r="E382" i="47" s="1"/>
  <c r="C383" i="47"/>
  <c r="E383" i="47" s="1"/>
  <c r="C384" i="47"/>
  <c r="E384" i="47" s="1"/>
  <c r="C385" i="47"/>
  <c r="E385" i="47" s="1"/>
  <c r="C386" i="47"/>
  <c r="E386" i="47" s="1"/>
  <c r="C387" i="47"/>
  <c r="E387" i="47" s="1"/>
  <c r="C388" i="47"/>
  <c r="E388" i="47" s="1"/>
  <c r="C389" i="47"/>
  <c r="E389" i="47" s="1"/>
  <c r="C390" i="47"/>
  <c r="E390" i="47" s="1"/>
  <c r="C391" i="47"/>
  <c r="E391" i="47" s="1"/>
  <c r="C392" i="47"/>
  <c r="E392" i="47" s="1"/>
  <c r="C393" i="47"/>
  <c r="E393" i="47" s="1"/>
  <c r="C394" i="47"/>
  <c r="E394" i="47" s="1"/>
  <c r="C395" i="47"/>
  <c r="E395" i="47" s="1"/>
  <c r="C396" i="47"/>
  <c r="E396" i="47" s="1"/>
  <c r="C397" i="47"/>
  <c r="E397" i="47" s="1"/>
  <c r="C398" i="47"/>
  <c r="E398" i="47" s="1"/>
  <c r="C399" i="47"/>
  <c r="E399" i="47" s="1"/>
  <c r="C400" i="47"/>
  <c r="E400" i="47" s="1"/>
  <c r="C401" i="47"/>
  <c r="E401" i="47" s="1"/>
  <c r="C402" i="47"/>
  <c r="E402" i="47" s="1"/>
  <c r="C403" i="47"/>
  <c r="E403" i="47" s="1"/>
  <c r="C404" i="47"/>
  <c r="E404" i="47" s="1"/>
  <c r="C405" i="47"/>
  <c r="E405" i="47" s="1"/>
  <c r="C406" i="47"/>
  <c r="E406" i="47" s="1"/>
  <c r="C407" i="47"/>
  <c r="E407" i="47" s="1"/>
  <c r="C408" i="47"/>
  <c r="E408" i="47" s="1"/>
  <c r="C409" i="47"/>
  <c r="E409" i="47" s="1"/>
  <c r="C410" i="47"/>
  <c r="E410" i="47" s="1"/>
  <c r="C411" i="47"/>
  <c r="E411" i="47" s="1"/>
  <c r="C412" i="47"/>
  <c r="E412" i="47" s="1"/>
  <c r="C413" i="47"/>
  <c r="E413" i="47" s="1"/>
  <c r="C414" i="47"/>
  <c r="E414" i="47" s="1"/>
  <c r="C415" i="47"/>
  <c r="E415" i="47" s="1"/>
  <c r="C416" i="47"/>
  <c r="E416" i="47" s="1"/>
  <c r="C417" i="47"/>
  <c r="E417" i="47" s="1"/>
  <c r="C418" i="47"/>
  <c r="E418" i="47" s="1"/>
  <c r="C419" i="47"/>
  <c r="E419" i="47" s="1"/>
  <c r="C420" i="47"/>
  <c r="E420" i="47" s="1"/>
  <c r="C421" i="47"/>
  <c r="E421" i="47" s="1"/>
  <c r="C422" i="47"/>
  <c r="E422" i="47" s="1"/>
  <c r="C423" i="47"/>
  <c r="E423" i="47" s="1"/>
  <c r="C424" i="47"/>
  <c r="E424" i="47" s="1"/>
  <c r="C425" i="47"/>
  <c r="E425" i="47" s="1"/>
  <c r="C426" i="47"/>
  <c r="E426" i="47" s="1"/>
  <c r="C427" i="47"/>
  <c r="E427" i="47" s="1"/>
  <c r="C428" i="47"/>
  <c r="E428" i="47" s="1"/>
  <c r="C429" i="47"/>
  <c r="E429" i="47" s="1"/>
  <c r="C430" i="47"/>
  <c r="E430" i="47" s="1"/>
  <c r="C431" i="47"/>
  <c r="E431" i="47" s="1"/>
  <c r="C432" i="47"/>
  <c r="E432" i="47" s="1"/>
  <c r="C433" i="47"/>
  <c r="E433" i="47" s="1"/>
  <c r="C434" i="47"/>
  <c r="E434" i="47" s="1"/>
  <c r="C435" i="47"/>
  <c r="E435" i="47" s="1"/>
  <c r="C436" i="47"/>
  <c r="E436" i="47" s="1"/>
  <c r="C437" i="47"/>
  <c r="E437" i="47" s="1"/>
  <c r="C438" i="47"/>
  <c r="E438" i="47" s="1"/>
  <c r="C439" i="47"/>
  <c r="E439" i="47" s="1"/>
  <c r="C440" i="47"/>
  <c r="E440" i="47" s="1"/>
  <c r="C441" i="47"/>
  <c r="E441" i="47" s="1"/>
  <c r="C442" i="47"/>
  <c r="E442" i="47" s="1"/>
  <c r="C443" i="47"/>
  <c r="E443" i="47" s="1"/>
  <c r="C444" i="47"/>
  <c r="E444" i="47" s="1"/>
  <c r="C445" i="47"/>
  <c r="E445" i="47" s="1"/>
  <c r="C446" i="47"/>
  <c r="E446" i="47" s="1"/>
  <c r="C447" i="47"/>
  <c r="E447" i="47" s="1"/>
  <c r="C448" i="47"/>
  <c r="E448" i="47" s="1"/>
  <c r="C449" i="47"/>
  <c r="E449" i="47" s="1"/>
  <c r="C450" i="47"/>
  <c r="E450" i="47" s="1"/>
  <c r="C451" i="47"/>
  <c r="E451" i="47" s="1"/>
  <c r="C452" i="47"/>
  <c r="E452" i="47" s="1"/>
  <c r="C453" i="47"/>
  <c r="E453" i="47" s="1"/>
  <c r="C454" i="47"/>
  <c r="E454" i="47" s="1"/>
  <c r="C455" i="47"/>
  <c r="E455" i="47" s="1"/>
  <c r="C456" i="47"/>
  <c r="E456" i="47" s="1"/>
  <c r="C457" i="47"/>
  <c r="E457" i="47" s="1"/>
  <c r="C458" i="47"/>
  <c r="E458" i="47" s="1"/>
  <c r="C459" i="47"/>
  <c r="E459" i="47" s="1"/>
  <c r="C460" i="47"/>
  <c r="E460" i="47" s="1"/>
  <c r="C461" i="47"/>
  <c r="E461" i="47" s="1"/>
  <c r="C462" i="47"/>
  <c r="E462" i="47" s="1"/>
  <c r="C463" i="47"/>
  <c r="E463" i="47" s="1"/>
  <c r="C464" i="47"/>
  <c r="E464" i="47" s="1"/>
  <c r="C465" i="47"/>
  <c r="E465" i="47" s="1"/>
  <c r="C466" i="47"/>
  <c r="E466" i="47" s="1"/>
  <c r="C467" i="47"/>
  <c r="E467" i="47" s="1"/>
  <c r="C468" i="47"/>
  <c r="E468" i="47" s="1"/>
  <c r="C469" i="47"/>
  <c r="E469" i="47" s="1"/>
  <c r="C470" i="47"/>
  <c r="E470" i="47" s="1"/>
  <c r="C471" i="47"/>
  <c r="E471" i="47" s="1"/>
  <c r="C472" i="47"/>
  <c r="E472" i="47" s="1"/>
  <c r="C473" i="47"/>
  <c r="E473" i="47" s="1"/>
  <c r="C474" i="47"/>
  <c r="E474" i="47" s="1"/>
  <c r="C475" i="47"/>
  <c r="E475" i="47" s="1"/>
  <c r="C476" i="47"/>
  <c r="E476" i="47" s="1"/>
  <c r="C477" i="47"/>
  <c r="E477" i="47" s="1"/>
  <c r="C478" i="47"/>
  <c r="E478" i="47" s="1"/>
  <c r="C479" i="47"/>
  <c r="E479" i="47" s="1"/>
  <c r="C480" i="47"/>
  <c r="E480" i="47" s="1"/>
  <c r="C481" i="47"/>
  <c r="E481" i="47" s="1"/>
  <c r="C482" i="47"/>
  <c r="E482" i="47" s="1"/>
  <c r="C483" i="47"/>
  <c r="E483" i="47" s="1"/>
  <c r="C484" i="47"/>
  <c r="E484" i="47" s="1"/>
  <c r="C485" i="47"/>
  <c r="E485" i="47" s="1"/>
  <c r="C486" i="47"/>
  <c r="E486" i="47" s="1"/>
  <c r="C487" i="47"/>
  <c r="E487" i="47" s="1"/>
  <c r="C488" i="47"/>
  <c r="E488" i="47" s="1"/>
  <c r="C489" i="47"/>
  <c r="E489" i="47" s="1"/>
  <c r="C490" i="47"/>
  <c r="E490" i="47" s="1"/>
  <c r="C491" i="47"/>
  <c r="E491" i="47" s="1"/>
  <c r="C492" i="47"/>
  <c r="E492" i="47" s="1"/>
  <c r="C493" i="47"/>
  <c r="E493" i="47" s="1"/>
  <c r="C494" i="47"/>
  <c r="E494" i="47" s="1"/>
  <c r="C495" i="47"/>
  <c r="E495" i="47" s="1"/>
  <c r="C496" i="47"/>
  <c r="E496" i="47" s="1"/>
  <c r="C497" i="47"/>
  <c r="E497" i="47" s="1"/>
  <c r="C498" i="47"/>
  <c r="E498" i="47" s="1"/>
  <c r="C499" i="47"/>
  <c r="E499" i="47" s="1"/>
  <c r="C500" i="47"/>
  <c r="E500" i="47" s="1"/>
  <c r="C501" i="47"/>
  <c r="E501" i="47" s="1"/>
  <c r="C502" i="47"/>
  <c r="E502" i="47" s="1"/>
  <c r="C503" i="47"/>
  <c r="E503" i="47" s="1"/>
  <c r="C504" i="47"/>
  <c r="E504" i="47" s="1"/>
  <c r="C505" i="47"/>
  <c r="E505" i="47" s="1"/>
  <c r="C506" i="47"/>
  <c r="E506" i="47" s="1"/>
  <c r="C507" i="47"/>
  <c r="E507" i="47" s="1"/>
  <c r="C508" i="47"/>
  <c r="E508" i="47" s="1"/>
  <c r="C509" i="47"/>
  <c r="E509" i="47" s="1"/>
  <c r="C510" i="47"/>
  <c r="E510" i="47" s="1"/>
  <c r="C511" i="47"/>
  <c r="E511" i="47" s="1"/>
  <c r="C512" i="47"/>
  <c r="E512" i="47" s="1"/>
  <c r="C513" i="47"/>
  <c r="E513" i="47" s="1"/>
  <c r="C514" i="47"/>
  <c r="E514" i="47" s="1"/>
  <c r="C515" i="47"/>
  <c r="E515" i="47" s="1"/>
  <c r="C516" i="47"/>
  <c r="E516" i="47" s="1"/>
  <c r="C517" i="47"/>
  <c r="E517" i="47" s="1"/>
  <c r="C518" i="47"/>
  <c r="E518" i="47" s="1"/>
  <c r="C519" i="47"/>
  <c r="E519" i="47" s="1"/>
  <c r="C520" i="47"/>
  <c r="E520" i="47" s="1"/>
  <c r="C521" i="47"/>
  <c r="E521" i="47" s="1"/>
  <c r="C522" i="47"/>
  <c r="E522" i="47" s="1"/>
  <c r="C523" i="47"/>
  <c r="E523" i="47" s="1"/>
  <c r="C524" i="47"/>
  <c r="E524" i="47" s="1"/>
  <c r="C525" i="47"/>
  <c r="E525" i="47" s="1"/>
  <c r="C526" i="47"/>
  <c r="E526" i="47" s="1"/>
  <c r="C527" i="47"/>
  <c r="E527" i="47" s="1"/>
  <c r="C528" i="47"/>
  <c r="E528" i="47" s="1"/>
  <c r="C529" i="47"/>
  <c r="E529" i="47" s="1"/>
  <c r="C530" i="47"/>
  <c r="E530" i="47" s="1"/>
  <c r="C531" i="47"/>
  <c r="E531" i="47" s="1"/>
  <c r="C532" i="47"/>
  <c r="E532" i="47" s="1"/>
  <c r="C533" i="47"/>
  <c r="E533" i="47" s="1"/>
  <c r="C534" i="47"/>
  <c r="E534" i="47" s="1"/>
  <c r="C535" i="47"/>
  <c r="E535" i="47" s="1"/>
  <c r="C536" i="47"/>
  <c r="E536" i="47" s="1"/>
  <c r="C537" i="47"/>
  <c r="E537" i="47" s="1"/>
  <c r="C538" i="47"/>
  <c r="E538" i="47" s="1"/>
  <c r="C539" i="47"/>
  <c r="E539" i="47" s="1"/>
  <c r="C540" i="47"/>
  <c r="E540" i="47" s="1"/>
  <c r="C541" i="47"/>
  <c r="E541" i="47" s="1"/>
  <c r="C542" i="47"/>
  <c r="E542" i="47" s="1"/>
  <c r="C543" i="47"/>
  <c r="E543" i="47" s="1"/>
  <c r="C544" i="47"/>
  <c r="E544" i="47" s="1"/>
  <c r="C545" i="47"/>
  <c r="E545" i="47" s="1"/>
  <c r="C546" i="47"/>
  <c r="E546" i="47" s="1"/>
  <c r="C547" i="47"/>
  <c r="E547" i="47" s="1"/>
  <c r="C548" i="47"/>
  <c r="E548" i="47" s="1"/>
  <c r="C549" i="47"/>
  <c r="E549" i="47" s="1"/>
  <c r="C550" i="47"/>
  <c r="E550" i="47" s="1"/>
  <c r="C551" i="47"/>
  <c r="E551" i="47" s="1"/>
  <c r="C552" i="47"/>
  <c r="E552" i="47" s="1"/>
  <c r="E201" i="47"/>
  <c r="E202" i="47"/>
  <c r="F146" i="47"/>
  <c r="F147" i="47"/>
  <c r="F148" i="47"/>
  <c r="F149" i="47"/>
  <c r="F150" i="47"/>
  <c r="F151" i="47"/>
  <c r="F152" i="47"/>
  <c r="F153" i="47"/>
  <c r="F154" i="47"/>
  <c r="F155" i="47"/>
  <c r="F156" i="47"/>
  <c r="F157" i="47"/>
  <c r="F158" i="47"/>
  <c r="F159" i="47"/>
  <c r="F160" i="47"/>
  <c r="F161" i="47"/>
  <c r="F162" i="47"/>
  <c r="F163" i="47"/>
  <c r="F164" i="47"/>
  <c r="F165" i="47"/>
  <c r="F166" i="47"/>
  <c r="F167" i="47"/>
  <c r="F168" i="47"/>
  <c r="F169" i="47"/>
  <c r="F170" i="47"/>
  <c r="F171" i="47"/>
  <c r="F172" i="47"/>
  <c r="F173" i="47"/>
  <c r="F174" i="47"/>
  <c r="F175" i="47"/>
  <c r="F176" i="47"/>
  <c r="F177" i="47"/>
  <c r="F178" i="47"/>
  <c r="F179" i="47"/>
  <c r="F180" i="47"/>
  <c r="F181" i="47"/>
  <c r="F182" i="47"/>
  <c r="F183" i="47"/>
  <c r="F184" i="47"/>
  <c r="F185" i="47"/>
  <c r="F186" i="47"/>
  <c r="F187" i="47"/>
  <c r="F188" i="47"/>
  <c r="F189" i="47"/>
  <c r="F190" i="47"/>
  <c r="F191" i="47"/>
  <c r="F192" i="47"/>
  <c r="F193" i="47"/>
  <c r="F194" i="47"/>
  <c r="F195" i="47"/>
  <c r="F196" i="47"/>
  <c r="F197" i="47"/>
  <c r="F198" i="47"/>
  <c r="F199" i="47"/>
  <c r="F200" i="47"/>
  <c r="C195" i="47"/>
  <c r="E195" i="47" s="1"/>
  <c r="C196" i="47"/>
  <c r="E196" i="47" s="1"/>
  <c r="C197" i="47"/>
  <c r="E197" i="47" s="1"/>
  <c r="C198" i="47"/>
  <c r="E198" i="47" s="1"/>
  <c r="C199" i="47"/>
  <c r="E199" i="47" s="1"/>
  <c r="C200" i="47"/>
  <c r="E200" i="47" s="1"/>
  <c r="C146" i="47"/>
  <c r="E146" i="47" s="1"/>
  <c r="C147" i="47"/>
  <c r="E147" i="47" s="1"/>
  <c r="C148" i="47"/>
  <c r="E148" i="47" s="1"/>
  <c r="C149" i="47"/>
  <c r="E149" i="47" s="1"/>
  <c r="C150" i="47"/>
  <c r="E150" i="47" s="1"/>
  <c r="C151" i="47"/>
  <c r="E151" i="47" s="1"/>
  <c r="C152" i="47"/>
  <c r="E152" i="47" s="1"/>
  <c r="C153" i="47"/>
  <c r="E153" i="47" s="1"/>
  <c r="C154" i="47"/>
  <c r="E154" i="47" s="1"/>
  <c r="C155" i="47"/>
  <c r="E155" i="47" s="1"/>
  <c r="C156" i="47"/>
  <c r="E156" i="47" s="1"/>
  <c r="C157" i="47"/>
  <c r="E157" i="47" s="1"/>
  <c r="C158" i="47"/>
  <c r="E158" i="47" s="1"/>
  <c r="C159" i="47"/>
  <c r="E159" i="47" s="1"/>
  <c r="C160" i="47"/>
  <c r="E160" i="47" s="1"/>
  <c r="C161" i="47"/>
  <c r="E161" i="47" s="1"/>
  <c r="C162" i="47"/>
  <c r="E162" i="47" s="1"/>
  <c r="C163" i="47"/>
  <c r="E163" i="47" s="1"/>
  <c r="C164" i="47"/>
  <c r="E164" i="47" s="1"/>
  <c r="C165" i="47"/>
  <c r="E165" i="47" s="1"/>
  <c r="C166" i="47"/>
  <c r="E166" i="47" s="1"/>
  <c r="C167" i="47"/>
  <c r="E167" i="47" s="1"/>
  <c r="C168" i="47"/>
  <c r="E168" i="47" s="1"/>
  <c r="C169" i="47"/>
  <c r="E169" i="47" s="1"/>
  <c r="C170" i="47"/>
  <c r="E170" i="47" s="1"/>
  <c r="C171" i="47"/>
  <c r="E171" i="47" s="1"/>
  <c r="C172" i="47"/>
  <c r="E172" i="47" s="1"/>
  <c r="C173" i="47"/>
  <c r="E173" i="47" s="1"/>
  <c r="C174" i="47"/>
  <c r="E174" i="47" s="1"/>
  <c r="C175" i="47"/>
  <c r="E175" i="47" s="1"/>
  <c r="C176" i="47"/>
  <c r="E176" i="47" s="1"/>
  <c r="C177" i="47"/>
  <c r="E177" i="47" s="1"/>
  <c r="C178" i="47"/>
  <c r="E178" i="47" s="1"/>
  <c r="C179" i="47"/>
  <c r="E179" i="47" s="1"/>
  <c r="C180" i="47"/>
  <c r="E180" i="47" s="1"/>
  <c r="C181" i="47"/>
  <c r="E181" i="47" s="1"/>
  <c r="C182" i="47"/>
  <c r="E182" i="47" s="1"/>
  <c r="C183" i="47"/>
  <c r="E183" i="47" s="1"/>
  <c r="C184" i="47"/>
  <c r="E184" i="47" s="1"/>
  <c r="C185" i="47"/>
  <c r="E185" i="47" s="1"/>
  <c r="C186" i="47"/>
  <c r="E186" i="47" s="1"/>
  <c r="C187" i="47"/>
  <c r="E187" i="47" s="1"/>
  <c r="C188" i="47"/>
  <c r="E188" i="47" s="1"/>
  <c r="C189" i="47"/>
  <c r="E189" i="47" s="1"/>
  <c r="C190" i="47"/>
  <c r="E190" i="47" s="1"/>
  <c r="C191" i="47"/>
  <c r="E191" i="47" s="1"/>
  <c r="C192" i="47"/>
  <c r="E192" i="47" s="1"/>
  <c r="C193" i="47"/>
  <c r="E193" i="47" s="1"/>
  <c r="C194" i="47"/>
  <c r="E194" i="47" s="1"/>
  <c r="F76" i="47"/>
  <c r="F77" i="47"/>
  <c r="F78" i="47"/>
  <c r="F79" i="47"/>
  <c r="F80" i="47"/>
  <c r="F81" i="47"/>
  <c r="F82" i="47"/>
  <c r="F83" i="47"/>
  <c r="F84" i="47"/>
  <c r="F85" i="47"/>
  <c r="F86" i="47"/>
  <c r="F87" i="47"/>
  <c r="F88" i="47"/>
  <c r="F89" i="47"/>
  <c r="F90" i="47"/>
  <c r="F91" i="47"/>
  <c r="F92" i="47"/>
  <c r="F93" i="47"/>
  <c r="F94" i="47"/>
  <c r="F95" i="47"/>
  <c r="F96" i="47"/>
  <c r="F97" i="47"/>
  <c r="F98" i="47"/>
  <c r="F99" i="47"/>
  <c r="F100" i="47"/>
  <c r="F101" i="47"/>
  <c r="F102" i="47"/>
  <c r="F103" i="47"/>
  <c r="F104" i="47"/>
  <c r="F105" i="47"/>
  <c r="F106" i="47"/>
  <c r="F107" i="47"/>
  <c r="F108" i="47"/>
  <c r="F109" i="47"/>
  <c r="F110" i="47"/>
  <c r="F111" i="47"/>
  <c r="F112" i="47"/>
  <c r="F113" i="47"/>
  <c r="F114" i="47"/>
  <c r="F115" i="47"/>
  <c r="F116" i="47"/>
  <c r="F117" i="47"/>
  <c r="F118" i="47"/>
  <c r="F119" i="47"/>
  <c r="F120" i="47"/>
  <c r="F121" i="47"/>
  <c r="F122" i="47"/>
  <c r="F123" i="47"/>
  <c r="F124" i="47"/>
  <c r="F125" i="47"/>
  <c r="F126" i="47"/>
  <c r="F127" i="47"/>
  <c r="F128" i="47"/>
  <c r="F129" i="47"/>
  <c r="F130" i="47"/>
  <c r="F131" i="47"/>
  <c r="F132" i="47"/>
  <c r="F133" i="47"/>
  <c r="F134" i="47"/>
  <c r="F135" i="47"/>
  <c r="F136" i="47"/>
  <c r="F137" i="47"/>
  <c r="F138" i="47"/>
  <c r="F139" i="47"/>
  <c r="F140" i="47"/>
  <c r="F141" i="47"/>
  <c r="F142" i="47"/>
  <c r="F143" i="47"/>
  <c r="F144" i="47"/>
  <c r="F145" i="47"/>
  <c r="C76" i="47"/>
  <c r="E76" i="47" s="1"/>
  <c r="C77" i="47"/>
  <c r="E77" i="47" s="1"/>
  <c r="C78" i="47"/>
  <c r="E78" i="47" s="1"/>
  <c r="C79" i="47"/>
  <c r="E79" i="47" s="1"/>
  <c r="C80" i="47"/>
  <c r="E80" i="47" s="1"/>
  <c r="C81" i="47"/>
  <c r="E81" i="47" s="1"/>
  <c r="C82" i="47"/>
  <c r="E82" i="47" s="1"/>
  <c r="C83" i="47"/>
  <c r="E83" i="47" s="1"/>
  <c r="C84" i="47"/>
  <c r="E84" i="47" s="1"/>
  <c r="C85" i="47"/>
  <c r="E85" i="47" s="1"/>
  <c r="C86" i="47"/>
  <c r="E86" i="47" s="1"/>
  <c r="C87" i="47"/>
  <c r="E87" i="47" s="1"/>
  <c r="C88" i="47"/>
  <c r="E88" i="47" s="1"/>
  <c r="C89" i="47"/>
  <c r="E89" i="47" s="1"/>
  <c r="C90" i="47"/>
  <c r="E90" i="47" s="1"/>
  <c r="C91" i="47"/>
  <c r="E91" i="47" s="1"/>
  <c r="C92" i="47"/>
  <c r="E92" i="47" s="1"/>
  <c r="C93" i="47"/>
  <c r="E93" i="47" s="1"/>
  <c r="C94" i="47"/>
  <c r="E94" i="47" s="1"/>
  <c r="C95" i="47"/>
  <c r="E95" i="47" s="1"/>
  <c r="C96" i="47"/>
  <c r="E96" i="47" s="1"/>
  <c r="C97" i="47"/>
  <c r="E97" i="47" s="1"/>
  <c r="C98" i="47"/>
  <c r="E98" i="47" s="1"/>
  <c r="C99" i="47"/>
  <c r="E99" i="47" s="1"/>
  <c r="C100" i="47"/>
  <c r="E100" i="47" s="1"/>
  <c r="C101" i="47"/>
  <c r="E101" i="47" s="1"/>
  <c r="C102" i="47"/>
  <c r="E102" i="47" s="1"/>
  <c r="C103" i="47"/>
  <c r="E103" i="47" s="1"/>
  <c r="C104" i="47"/>
  <c r="E104" i="47" s="1"/>
  <c r="C105" i="47"/>
  <c r="E105" i="47" s="1"/>
  <c r="C106" i="47"/>
  <c r="E106" i="47" s="1"/>
  <c r="C107" i="47"/>
  <c r="E107" i="47" s="1"/>
  <c r="C108" i="47"/>
  <c r="E108" i="47" s="1"/>
  <c r="C109" i="47"/>
  <c r="E109" i="47" s="1"/>
  <c r="C110" i="47"/>
  <c r="E110" i="47" s="1"/>
  <c r="C111" i="47"/>
  <c r="E111" i="47" s="1"/>
  <c r="C112" i="47"/>
  <c r="E112" i="47" s="1"/>
  <c r="C113" i="47"/>
  <c r="E113" i="47" s="1"/>
  <c r="C114" i="47"/>
  <c r="E114" i="47" s="1"/>
  <c r="C115" i="47"/>
  <c r="E115" i="47" s="1"/>
  <c r="C116" i="47"/>
  <c r="E116" i="47" s="1"/>
  <c r="C117" i="47"/>
  <c r="E117" i="47" s="1"/>
  <c r="C118" i="47"/>
  <c r="E118" i="47" s="1"/>
  <c r="C119" i="47"/>
  <c r="E119" i="47" s="1"/>
  <c r="C120" i="47"/>
  <c r="E120" i="47" s="1"/>
  <c r="C121" i="47"/>
  <c r="E121" i="47" s="1"/>
  <c r="C122" i="47"/>
  <c r="E122" i="47" s="1"/>
  <c r="C123" i="47"/>
  <c r="E123" i="47" s="1"/>
  <c r="C124" i="47"/>
  <c r="E124" i="47" s="1"/>
  <c r="C125" i="47"/>
  <c r="E125" i="47" s="1"/>
  <c r="C126" i="47"/>
  <c r="E126" i="47" s="1"/>
  <c r="C127" i="47"/>
  <c r="E127" i="47" s="1"/>
  <c r="C128" i="47"/>
  <c r="E128" i="47" s="1"/>
  <c r="C129" i="47"/>
  <c r="E129" i="47" s="1"/>
  <c r="C130" i="47"/>
  <c r="E130" i="47" s="1"/>
  <c r="C131" i="47"/>
  <c r="E131" i="47" s="1"/>
  <c r="C132" i="47"/>
  <c r="E132" i="47" s="1"/>
  <c r="C133" i="47"/>
  <c r="E133" i="47" s="1"/>
  <c r="C134" i="47"/>
  <c r="E134" i="47" s="1"/>
  <c r="C135" i="47"/>
  <c r="E135" i="47" s="1"/>
  <c r="C136" i="47"/>
  <c r="E136" i="47" s="1"/>
  <c r="C137" i="47"/>
  <c r="E137" i="47" s="1"/>
  <c r="C138" i="47"/>
  <c r="E138" i="47" s="1"/>
  <c r="C139" i="47"/>
  <c r="E139" i="47" s="1"/>
  <c r="C140" i="47"/>
  <c r="E140" i="47" s="1"/>
  <c r="C141" i="47"/>
  <c r="E141" i="47" s="1"/>
  <c r="C142" i="47"/>
  <c r="E142" i="47" s="1"/>
  <c r="C143" i="47"/>
  <c r="E143" i="47" s="1"/>
  <c r="C144" i="47"/>
  <c r="E144" i="47" s="1"/>
  <c r="C145" i="47"/>
  <c r="E145" i="47" s="1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39" i="47"/>
  <c r="F40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F53" i="47"/>
  <c r="F54" i="47"/>
  <c r="F55" i="47"/>
  <c r="F56" i="47"/>
  <c r="F57" i="47"/>
  <c r="F58" i="47"/>
  <c r="F59" i="47"/>
  <c r="F60" i="47"/>
  <c r="F61" i="47"/>
  <c r="F62" i="47"/>
  <c r="F63" i="47"/>
  <c r="F64" i="47"/>
  <c r="F65" i="47"/>
  <c r="F66" i="47"/>
  <c r="F67" i="47"/>
  <c r="F68" i="47"/>
  <c r="F69" i="47"/>
  <c r="F70" i="47"/>
  <c r="F71" i="47"/>
  <c r="F72" i="47"/>
  <c r="F73" i="47"/>
  <c r="F74" i="47"/>
  <c r="F75" i="47"/>
  <c r="C26" i="47"/>
  <c r="E26" i="47" s="1"/>
  <c r="C27" i="47"/>
  <c r="E27" i="47" s="1"/>
  <c r="C28" i="47"/>
  <c r="E28" i="47" s="1"/>
  <c r="C29" i="47"/>
  <c r="E29" i="47" s="1"/>
  <c r="C30" i="47"/>
  <c r="E30" i="47" s="1"/>
  <c r="C31" i="47"/>
  <c r="E31" i="47" s="1"/>
  <c r="C32" i="47"/>
  <c r="E32" i="47" s="1"/>
  <c r="C33" i="47"/>
  <c r="E33" i="47" s="1"/>
  <c r="C34" i="47"/>
  <c r="E34" i="47" s="1"/>
  <c r="C35" i="47"/>
  <c r="E35" i="47" s="1"/>
  <c r="C36" i="47"/>
  <c r="E36" i="47" s="1"/>
  <c r="C37" i="47"/>
  <c r="E37" i="47" s="1"/>
  <c r="C38" i="47"/>
  <c r="E38" i="47" s="1"/>
  <c r="C39" i="47"/>
  <c r="E39" i="47" s="1"/>
  <c r="C40" i="47"/>
  <c r="E40" i="47" s="1"/>
  <c r="C41" i="47"/>
  <c r="E41" i="47" s="1"/>
  <c r="C42" i="47"/>
  <c r="E42" i="47" s="1"/>
  <c r="C43" i="47"/>
  <c r="E43" i="47" s="1"/>
  <c r="C44" i="47"/>
  <c r="E44" i="47" s="1"/>
  <c r="C45" i="47"/>
  <c r="E45" i="47" s="1"/>
  <c r="C46" i="47"/>
  <c r="E46" i="47" s="1"/>
  <c r="C47" i="47"/>
  <c r="E47" i="47" s="1"/>
  <c r="C48" i="47"/>
  <c r="E48" i="47" s="1"/>
  <c r="C49" i="47"/>
  <c r="E49" i="47" s="1"/>
  <c r="C50" i="47"/>
  <c r="E50" i="47" s="1"/>
  <c r="C51" i="47"/>
  <c r="E51" i="47" s="1"/>
  <c r="C52" i="47"/>
  <c r="E52" i="47" s="1"/>
  <c r="C53" i="47"/>
  <c r="E53" i="47" s="1"/>
  <c r="C54" i="47"/>
  <c r="E54" i="47" s="1"/>
  <c r="C55" i="47"/>
  <c r="E55" i="47" s="1"/>
  <c r="C56" i="47"/>
  <c r="E56" i="47" s="1"/>
  <c r="C57" i="47"/>
  <c r="E57" i="47" s="1"/>
  <c r="C58" i="47"/>
  <c r="E58" i="47" s="1"/>
  <c r="C59" i="47"/>
  <c r="E59" i="47" s="1"/>
  <c r="C60" i="47"/>
  <c r="E60" i="47" s="1"/>
  <c r="C61" i="47"/>
  <c r="E61" i="47" s="1"/>
  <c r="C62" i="47"/>
  <c r="E62" i="47" s="1"/>
  <c r="C63" i="47"/>
  <c r="E63" i="47" s="1"/>
  <c r="C64" i="47"/>
  <c r="E64" i="47" s="1"/>
  <c r="C65" i="47"/>
  <c r="E65" i="47" s="1"/>
  <c r="C66" i="47"/>
  <c r="E66" i="47" s="1"/>
  <c r="C67" i="47"/>
  <c r="E67" i="47" s="1"/>
  <c r="C68" i="47"/>
  <c r="E68" i="47" s="1"/>
  <c r="C69" i="47"/>
  <c r="E69" i="47" s="1"/>
  <c r="C70" i="47"/>
  <c r="E70" i="47" s="1"/>
  <c r="C71" i="47"/>
  <c r="E71" i="47" s="1"/>
  <c r="C72" i="47"/>
  <c r="E72" i="47" s="1"/>
  <c r="C73" i="47"/>
  <c r="E73" i="47" s="1"/>
  <c r="C74" i="47"/>
  <c r="E74" i="47" s="1"/>
  <c r="C75" i="47"/>
  <c r="E75" i="47" s="1"/>
  <c r="C13" i="47"/>
  <c r="E13" i="47" s="1"/>
  <c r="C14" i="47"/>
  <c r="E14" i="47" s="1"/>
  <c r="C15" i="47"/>
  <c r="E15" i="47" s="1"/>
  <c r="C16" i="47"/>
  <c r="E16" i="47" s="1"/>
  <c r="C17" i="47"/>
  <c r="E17" i="47" s="1"/>
  <c r="C18" i="47"/>
  <c r="E18" i="47" s="1"/>
  <c r="C19" i="47"/>
  <c r="E19" i="47" s="1"/>
  <c r="C20" i="47"/>
  <c r="E20" i="47" s="1"/>
  <c r="C21" i="47"/>
  <c r="E21" i="47" s="1"/>
  <c r="C22" i="47"/>
  <c r="E22" i="47" s="1"/>
  <c r="C23" i="47"/>
  <c r="E23" i="47" s="1"/>
  <c r="C24" i="47"/>
  <c r="E24" i="47" s="1"/>
  <c r="C25" i="47"/>
  <c r="E25" i="47" s="1"/>
  <c r="E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12" i="47"/>
  <c r="B81" i="36"/>
  <c r="B82" i="36"/>
  <c r="B83" i="36"/>
  <c r="G82" i="36"/>
  <c r="G83" i="36"/>
  <c r="G81" i="36"/>
  <c r="B79" i="36"/>
  <c r="B80" i="36"/>
  <c r="G80" i="36"/>
  <c r="G73" i="36"/>
  <c r="G74" i="36"/>
  <c r="G75" i="36"/>
  <c r="G76" i="36"/>
  <c r="G77" i="36"/>
  <c r="G78" i="36"/>
  <c r="G79" i="36"/>
  <c r="B74" i="36"/>
  <c r="B75" i="36"/>
  <c r="B76" i="36"/>
  <c r="B77" i="36"/>
  <c r="B78" i="36"/>
  <c r="B73" i="36"/>
  <c r="G70" i="36"/>
  <c r="G71" i="36"/>
  <c r="G72" i="36"/>
  <c r="G62" i="36"/>
  <c r="G63" i="36"/>
  <c r="G64" i="36"/>
  <c r="G65" i="36"/>
  <c r="G66" i="36"/>
  <c r="G67" i="36"/>
  <c r="G68" i="36"/>
  <c r="G69" i="36"/>
  <c r="B63" i="36"/>
  <c r="B65" i="36"/>
  <c r="B66" i="36"/>
  <c r="B67" i="36"/>
  <c r="B68" i="36"/>
  <c r="B69" i="36"/>
  <c r="B64" i="36"/>
  <c r="B70" i="36"/>
  <c r="B71" i="36"/>
  <c r="B72" i="36"/>
  <c r="B62" i="36"/>
  <c r="G47" i="36"/>
  <c r="G48" i="36"/>
  <c r="G49" i="36"/>
  <c r="G50" i="36"/>
  <c r="G51" i="36"/>
  <c r="G52" i="36"/>
  <c r="G53" i="36"/>
  <c r="G54" i="36"/>
  <c r="G55" i="36"/>
  <c r="G56" i="36"/>
  <c r="G57" i="36"/>
  <c r="G58" i="36"/>
  <c r="G59" i="36"/>
  <c r="G60" i="36"/>
  <c r="G61" i="36"/>
  <c r="B56" i="36"/>
  <c r="B57" i="36"/>
  <c r="B58" i="36"/>
  <c r="B59" i="36"/>
  <c r="B60" i="36"/>
  <c r="B61" i="36"/>
  <c r="B48" i="36"/>
  <c r="B49" i="36"/>
  <c r="B50" i="36"/>
  <c r="B51" i="36"/>
  <c r="B52" i="36"/>
  <c r="B53" i="36"/>
  <c r="B54" i="36"/>
  <c r="B55" i="36"/>
  <c r="B47" i="36"/>
  <c r="K148" i="32"/>
  <c r="G32" i="7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3" i="7"/>
  <c r="G4" i="7" s="1"/>
  <c r="G5" i="7" s="1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1248" i="37" l="1"/>
  <c r="E1248" i="37" s="1"/>
  <c r="G1260" i="37"/>
  <c r="G1240" i="37"/>
  <c r="E1240" i="37" s="1"/>
  <c r="G1238" i="37"/>
  <c r="G1259" i="37"/>
  <c r="E1259" i="37" s="1"/>
  <c r="G1300" i="37"/>
  <c r="E1300" i="37" s="1"/>
  <c r="G1239" i="37"/>
  <c r="G1237" i="37"/>
  <c r="E1237" i="37" s="1"/>
  <c r="G1258" i="37"/>
  <c r="E1258" i="37" s="1"/>
  <c r="G1299" i="37"/>
  <c r="E1299" i="37" s="1"/>
  <c r="G1303" i="37"/>
  <c r="E1303" i="37" s="1"/>
  <c r="G1250" i="37"/>
  <c r="E1250" i="37" s="1"/>
  <c r="G1247" i="37"/>
  <c r="E1247" i="37" s="1"/>
  <c r="G1236" i="37"/>
  <c r="G1257" i="37"/>
  <c r="E1257" i="37" s="1"/>
  <c r="G1298" i="37"/>
  <c r="E1298" i="37" s="1"/>
  <c r="G1249" i="37"/>
  <c r="E1249" i="37" s="1"/>
  <c r="G1241" i="37"/>
  <c r="G1235" i="37"/>
  <c r="E1235" i="37" s="1"/>
  <c r="G1256" i="37"/>
  <c r="E1256" i="37" s="1"/>
  <c r="G1246" i="37"/>
  <c r="E1246" i="37" s="1"/>
  <c r="G1234" i="37"/>
  <c r="E1234" i="37" s="1"/>
  <c r="G1255" i="37"/>
  <c r="E1255" i="37" s="1"/>
  <c r="G1233" i="37"/>
  <c r="E1233" i="37" s="1"/>
  <c r="G1231" i="37"/>
  <c r="G1245" i="37"/>
  <c r="G1254" i="37"/>
  <c r="E1254" i="37" s="1"/>
  <c r="G1294" i="37"/>
  <c r="E1294" i="37" s="1"/>
  <c r="G1244" i="37"/>
  <c r="G1253" i="37"/>
  <c r="E1253" i="37" s="1"/>
  <c r="G1291" i="37"/>
  <c r="E1291" i="37" s="1"/>
  <c r="G1276" i="37"/>
  <c r="E1276" i="37" s="1"/>
  <c r="G1296" i="37"/>
  <c r="E1296" i="37" s="1"/>
  <c r="G1284" i="37"/>
  <c r="E1284" i="37" s="1"/>
  <c r="G1272" i="37"/>
  <c r="E1272" i="37" s="1"/>
  <c r="G1302" i="37"/>
  <c r="E1302" i="37" s="1"/>
  <c r="G1271" i="37"/>
  <c r="E1271" i="37" s="1"/>
  <c r="G1270" i="37"/>
  <c r="E1270" i="37" s="1"/>
  <c r="G1293" i="37"/>
  <c r="E1293" i="37" s="1"/>
  <c r="G1281" i="37"/>
  <c r="E1281" i="37" s="1"/>
  <c r="G1269" i="37"/>
  <c r="E1269" i="37" s="1"/>
  <c r="L1258" i="37"/>
  <c r="L1259" i="37"/>
  <c r="L1260" i="37"/>
  <c r="L1261" i="37"/>
  <c r="L1262" i="37"/>
  <c r="L1263" i="37"/>
  <c r="L1264" i="37"/>
  <c r="E1260" i="37"/>
  <c r="E1261" i="37"/>
  <c r="E1262" i="37"/>
  <c r="E1263" i="37"/>
  <c r="E1264" i="37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G570" i="1"/>
  <c r="G569" i="1"/>
  <c r="G568" i="1"/>
  <c r="G567" i="1"/>
  <c r="G566" i="1"/>
  <c r="G565" i="1"/>
  <c r="G641" i="1"/>
  <c r="G642" i="1"/>
  <c r="G643" i="1"/>
  <c r="G644" i="1"/>
  <c r="G645" i="1"/>
  <c r="G640" i="1"/>
  <c r="L1247" i="37"/>
  <c r="L1248" i="37"/>
  <c r="L1249" i="37"/>
  <c r="L1250" i="37"/>
  <c r="L1251" i="37"/>
  <c r="L1252" i="37"/>
  <c r="L1253" i="37"/>
  <c r="L1254" i="37"/>
  <c r="L1255" i="37"/>
  <c r="L1256" i="37"/>
  <c r="L1257" i="37"/>
  <c r="E1232" i="37"/>
  <c r="L1232" i="37"/>
  <c r="L1233" i="37"/>
  <c r="L1234" i="37"/>
  <c r="L1235" i="37"/>
  <c r="E1236" i="37"/>
  <c r="L1236" i="37"/>
  <c r="L1237" i="37"/>
  <c r="E1238" i="37"/>
  <c r="L1238" i="37"/>
  <c r="E1239" i="37"/>
  <c r="L1239" i="37"/>
  <c r="L1240" i="37"/>
  <c r="E1241" i="37"/>
  <c r="L1241" i="37"/>
  <c r="E1242" i="37"/>
  <c r="L1242" i="37"/>
  <c r="E1243" i="37"/>
  <c r="L1243" i="37"/>
  <c r="E1244" i="37"/>
  <c r="L1244" i="37"/>
  <c r="E1245" i="37"/>
  <c r="L1245" i="37"/>
  <c r="L1246" i="37"/>
  <c r="L1231" i="37"/>
  <c r="E1231" i="37"/>
  <c r="D1217" i="1"/>
  <c r="D1218" i="1"/>
  <c r="D1219" i="1"/>
  <c r="D1220" i="1"/>
  <c r="D1221" i="1"/>
  <c r="D1222" i="1"/>
  <c r="D1223" i="1"/>
  <c r="D1224" i="1"/>
  <c r="D1225" i="1"/>
  <c r="D121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2" i="1"/>
  <c r="L1222" i="37"/>
  <c r="L1223" i="37"/>
  <c r="L1224" i="37"/>
  <c r="L1225" i="37"/>
  <c r="L1226" i="37"/>
  <c r="L1227" i="37"/>
  <c r="L1228" i="37"/>
  <c r="L1229" i="37"/>
  <c r="L1230" i="37"/>
  <c r="L3" i="37"/>
  <c r="L4" i="37"/>
  <c r="L5" i="37"/>
  <c r="L6" i="37"/>
  <c r="L7" i="37"/>
  <c r="L8" i="37"/>
  <c r="L9" i="37"/>
  <c r="L10" i="37"/>
  <c r="L11" i="37"/>
  <c r="L12" i="37"/>
  <c r="L13" i="37"/>
  <c r="L14" i="37"/>
  <c r="L15" i="37"/>
  <c r="L16" i="37"/>
  <c r="L17" i="37"/>
  <c r="L18" i="37"/>
  <c r="L19" i="37"/>
  <c r="L20" i="37"/>
  <c r="L21" i="37"/>
  <c r="L22" i="37"/>
  <c r="L23" i="37"/>
  <c r="L24" i="37"/>
  <c r="L25" i="37"/>
  <c r="L26" i="37"/>
  <c r="L27" i="37"/>
  <c r="L28" i="37"/>
  <c r="L29" i="37"/>
  <c r="L30" i="37"/>
  <c r="L31" i="37"/>
  <c r="L32" i="37"/>
  <c r="L33" i="37"/>
  <c r="L34" i="37"/>
  <c r="L35" i="37"/>
  <c r="L36" i="37"/>
  <c r="L37" i="37"/>
  <c r="L38" i="37"/>
  <c r="L39" i="37"/>
  <c r="L40" i="37"/>
  <c r="L41" i="37"/>
  <c r="L42" i="37"/>
  <c r="L43" i="37"/>
  <c r="L44" i="37"/>
  <c r="L45" i="37"/>
  <c r="L46" i="37"/>
  <c r="L47" i="37"/>
  <c r="L48" i="37"/>
  <c r="L49" i="37"/>
  <c r="L50" i="37"/>
  <c r="L51" i="37"/>
  <c r="L52" i="37"/>
  <c r="L53" i="37"/>
  <c r="L54" i="37"/>
  <c r="L55" i="37"/>
  <c r="L56" i="37"/>
  <c r="L57" i="37"/>
  <c r="L58" i="37"/>
  <c r="L59" i="37"/>
  <c r="L60" i="37"/>
  <c r="L61" i="37"/>
  <c r="L62" i="37"/>
  <c r="L63" i="37"/>
  <c r="L64" i="37"/>
  <c r="L65" i="37"/>
  <c r="L66" i="37"/>
  <c r="L67" i="37"/>
  <c r="L68" i="37"/>
  <c r="L69" i="37"/>
  <c r="L70" i="37"/>
  <c r="L71" i="37"/>
  <c r="L72" i="37"/>
  <c r="L73" i="37"/>
  <c r="L74" i="37"/>
  <c r="L75" i="37"/>
  <c r="L76" i="37"/>
  <c r="L77" i="37"/>
  <c r="L78" i="37"/>
  <c r="L79" i="37"/>
  <c r="L80" i="37"/>
  <c r="L81" i="37"/>
  <c r="L82" i="37"/>
  <c r="L83" i="37"/>
  <c r="L84" i="37"/>
  <c r="L85" i="37"/>
  <c r="L86" i="37"/>
  <c r="L87" i="37"/>
  <c r="L88" i="37"/>
  <c r="L89" i="37"/>
  <c r="L90" i="37"/>
  <c r="L91" i="37"/>
  <c r="L92" i="37"/>
  <c r="L93" i="37"/>
  <c r="L94" i="37"/>
  <c r="L95" i="37"/>
  <c r="L96" i="37"/>
  <c r="L97" i="37"/>
  <c r="L98" i="37"/>
  <c r="L99" i="37"/>
  <c r="L100" i="37"/>
  <c r="L101" i="37"/>
  <c r="L102" i="37"/>
  <c r="L103" i="37"/>
  <c r="L104" i="37"/>
  <c r="L105" i="37"/>
  <c r="L106" i="37"/>
  <c r="L107" i="37"/>
  <c r="L108" i="37"/>
  <c r="L109" i="37"/>
  <c r="L110" i="37"/>
  <c r="L111" i="37"/>
  <c r="L112" i="37"/>
  <c r="L113" i="37"/>
  <c r="L114" i="37"/>
  <c r="L115" i="37"/>
  <c r="L116" i="37"/>
  <c r="L117" i="37"/>
  <c r="L118" i="37"/>
  <c r="L119" i="37"/>
  <c r="L120" i="37"/>
  <c r="L121" i="37"/>
  <c r="L122" i="37"/>
  <c r="L123" i="37"/>
  <c r="L124" i="37"/>
  <c r="L125" i="37"/>
  <c r="L126" i="37"/>
  <c r="L127" i="37"/>
  <c r="L128" i="37"/>
  <c r="L129" i="37"/>
  <c r="L130" i="37"/>
  <c r="L131" i="37"/>
  <c r="L132" i="37"/>
  <c r="L133" i="37"/>
  <c r="L134" i="37"/>
  <c r="L135" i="37"/>
  <c r="L136" i="37"/>
  <c r="L137" i="37"/>
  <c r="L138" i="37"/>
  <c r="L139" i="37"/>
  <c r="L140" i="37"/>
  <c r="L141" i="37"/>
  <c r="L142" i="37"/>
  <c r="L143" i="37"/>
  <c r="L144" i="37"/>
  <c r="L145" i="37"/>
  <c r="L146" i="37"/>
  <c r="L147" i="37"/>
  <c r="L148" i="37"/>
  <c r="L149" i="37"/>
  <c r="L150" i="37"/>
  <c r="L151" i="37"/>
  <c r="L152" i="37"/>
  <c r="L153" i="37"/>
  <c r="L154" i="37"/>
  <c r="L155" i="37"/>
  <c r="L156" i="37"/>
  <c r="L157" i="37"/>
  <c r="L158" i="37"/>
  <c r="L159" i="37"/>
  <c r="L160" i="37"/>
  <c r="L161" i="37"/>
  <c r="L162" i="37"/>
  <c r="L163" i="37"/>
  <c r="L164" i="37"/>
  <c r="L165" i="37"/>
  <c r="L166" i="37"/>
  <c r="L167" i="37"/>
  <c r="L168" i="37"/>
  <c r="L169" i="37"/>
  <c r="L170" i="37"/>
  <c r="L171" i="37"/>
  <c r="L172" i="37"/>
  <c r="L173" i="37"/>
  <c r="L174" i="37"/>
  <c r="L175" i="37"/>
  <c r="L176" i="37"/>
  <c r="L177" i="37"/>
  <c r="L178" i="37"/>
  <c r="L179" i="37"/>
  <c r="L180" i="37"/>
  <c r="L181" i="37"/>
  <c r="L182" i="37"/>
  <c r="L183" i="37"/>
  <c r="L184" i="37"/>
  <c r="L185" i="37"/>
  <c r="L186" i="37"/>
  <c r="L187" i="37"/>
  <c r="L188" i="37"/>
  <c r="L189" i="37"/>
  <c r="L190" i="37"/>
  <c r="L191" i="37"/>
  <c r="L192" i="37"/>
  <c r="L193" i="37"/>
  <c r="L194" i="37"/>
  <c r="L195" i="37"/>
  <c r="L196" i="37"/>
  <c r="L197" i="37"/>
  <c r="L198" i="37"/>
  <c r="L199" i="37"/>
  <c r="L200" i="37"/>
  <c r="L201" i="37"/>
  <c r="L202" i="37"/>
  <c r="L203" i="37"/>
  <c r="L204" i="37"/>
  <c r="L205" i="37"/>
  <c r="L206" i="37"/>
  <c r="L207" i="37"/>
  <c r="L208" i="37"/>
  <c r="L209" i="37"/>
  <c r="L210" i="37"/>
  <c r="L211" i="37"/>
  <c r="L212" i="37"/>
  <c r="L213" i="37"/>
  <c r="L214" i="37"/>
  <c r="L215" i="37"/>
  <c r="L216" i="37"/>
  <c r="L217" i="37"/>
  <c r="L218" i="37"/>
  <c r="L219" i="37"/>
  <c r="L220" i="37"/>
  <c r="L221" i="37"/>
  <c r="L222" i="37"/>
  <c r="L223" i="37"/>
  <c r="L224" i="37"/>
  <c r="L225" i="37"/>
  <c r="L226" i="37"/>
  <c r="L227" i="37"/>
  <c r="L228" i="37"/>
  <c r="L229" i="37"/>
  <c r="L230" i="37"/>
  <c r="L231" i="37"/>
  <c r="L232" i="37"/>
  <c r="L233" i="37"/>
  <c r="L234" i="37"/>
  <c r="L235" i="37"/>
  <c r="L236" i="37"/>
  <c r="L237" i="37"/>
  <c r="L238" i="37"/>
  <c r="L239" i="37"/>
  <c r="L240" i="37"/>
  <c r="L241" i="37"/>
  <c r="L242" i="37"/>
  <c r="L243" i="37"/>
  <c r="L244" i="37"/>
  <c r="L245" i="37"/>
  <c r="L246" i="37"/>
  <c r="L247" i="37"/>
  <c r="L248" i="37"/>
  <c r="L249" i="37"/>
  <c r="L250" i="37"/>
  <c r="L251" i="37"/>
  <c r="L252" i="37"/>
  <c r="L253" i="37"/>
  <c r="L254" i="37"/>
  <c r="L255" i="37"/>
  <c r="L256" i="37"/>
  <c r="L257" i="37"/>
  <c r="L258" i="37"/>
  <c r="L259" i="37"/>
  <c r="L260" i="37"/>
  <c r="L261" i="37"/>
  <c r="L262" i="37"/>
  <c r="L263" i="37"/>
  <c r="L264" i="37"/>
  <c r="L265" i="37"/>
  <c r="L266" i="37"/>
  <c r="L267" i="37"/>
  <c r="L268" i="37"/>
  <c r="L269" i="37"/>
  <c r="L270" i="37"/>
  <c r="L271" i="37"/>
  <c r="L272" i="37"/>
  <c r="L273" i="37"/>
  <c r="L274" i="37"/>
  <c r="L275" i="37"/>
  <c r="L276" i="37"/>
  <c r="L277" i="37"/>
  <c r="L278" i="37"/>
  <c r="L279" i="37"/>
  <c r="L280" i="37"/>
  <c r="L281" i="37"/>
  <c r="L282" i="37"/>
  <c r="L283" i="37"/>
  <c r="L284" i="37"/>
  <c r="L285" i="37"/>
  <c r="L286" i="37"/>
  <c r="L287" i="37"/>
  <c r="L288" i="37"/>
  <c r="L289" i="37"/>
  <c r="L290" i="37"/>
  <c r="L291" i="37"/>
  <c r="L292" i="37"/>
  <c r="L293" i="37"/>
  <c r="L294" i="37"/>
  <c r="L295" i="37"/>
  <c r="L296" i="37"/>
  <c r="L297" i="37"/>
  <c r="L298" i="37"/>
  <c r="L299" i="37"/>
  <c r="L300" i="37"/>
  <c r="L301" i="37"/>
  <c r="L302" i="37"/>
  <c r="L303" i="37"/>
  <c r="L304" i="37"/>
  <c r="L305" i="37"/>
  <c r="L306" i="37"/>
  <c r="L307" i="37"/>
  <c r="L308" i="37"/>
  <c r="L309" i="37"/>
  <c r="L310" i="37"/>
  <c r="L311" i="37"/>
  <c r="L312" i="37"/>
  <c r="L313" i="37"/>
  <c r="L314" i="37"/>
  <c r="L315" i="37"/>
  <c r="L316" i="37"/>
  <c r="L317" i="37"/>
  <c r="L318" i="37"/>
  <c r="L319" i="37"/>
  <c r="L320" i="37"/>
  <c r="L321" i="37"/>
  <c r="L322" i="37"/>
  <c r="L323" i="37"/>
  <c r="L324" i="37"/>
  <c r="L325" i="37"/>
  <c r="L326" i="37"/>
  <c r="L327" i="37"/>
  <c r="L328" i="37"/>
  <c r="L329" i="37"/>
  <c r="L330" i="37"/>
  <c r="L331" i="37"/>
  <c r="L332" i="37"/>
  <c r="L333" i="37"/>
  <c r="L334" i="37"/>
  <c r="L335" i="37"/>
  <c r="L336" i="37"/>
  <c r="L337" i="37"/>
  <c r="L338" i="37"/>
  <c r="L339" i="37"/>
  <c r="L340" i="37"/>
  <c r="L341" i="37"/>
  <c r="L342" i="37"/>
  <c r="L343" i="37"/>
  <c r="L344" i="37"/>
  <c r="L345" i="37"/>
  <c r="L346" i="37"/>
  <c r="L347" i="37"/>
  <c r="L348" i="37"/>
  <c r="L349" i="37"/>
  <c r="L350" i="37"/>
  <c r="L351" i="37"/>
  <c r="L352" i="37"/>
  <c r="L353" i="37"/>
  <c r="L354" i="37"/>
  <c r="L355" i="37"/>
  <c r="L356" i="37"/>
  <c r="L357" i="37"/>
  <c r="L358" i="37"/>
  <c r="L359" i="37"/>
  <c r="L360" i="37"/>
  <c r="L361" i="37"/>
  <c r="L362" i="37"/>
  <c r="L363" i="37"/>
  <c r="L364" i="37"/>
  <c r="L365" i="37"/>
  <c r="L366" i="37"/>
  <c r="L367" i="37"/>
  <c r="L368" i="37"/>
  <c r="L369" i="37"/>
  <c r="L370" i="37"/>
  <c r="L371" i="37"/>
  <c r="L372" i="37"/>
  <c r="L373" i="37"/>
  <c r="L374" i="37"/>
  <c r="L375" i="37"/>
  <c r="L376" i="37"/>
  <c r="L377" i="37"/>
  <c r="L378" i="37"/>
  <c r="L379" i="37"/>
  <c r="L380" i="37"/>
  <c r="L381" i="37"/>
  <c r="L382" i="37"/>
  <c r="L383" i="37"/>
  <c r="L384" i="37"/>
  <c r="L385" i="37"/>
  <c r="L386" i="37"/>
  <c r="L387" i="37"/>
  <c r="L388" i="37"/>
  <c r="L389" i="37"/>
  <c r="L390" i="37"/>
  <c r="L391" i="37"/>
  <c r="L392" i="37"/>
  <c r="L393" i="37"/>
  <c r="L394" i="37"/>
  <c r="L395" i="37"/>
  <c r="L396" i="37"/>
  <c r="L397" i="37"/>
  <c r="L398" i="37"/>
  <c r="L399" i="37"/>
  <c r="L400" i="37"/>
  <c r="L401" i="37"/>
  <c r="L402" i="37"/>
  <c r="L403" i="37"/>
  <c r="L404" i="37"/>
  <c r="L405" i="37"/>
  <c r="L406" i="37"/>
  <c r="L407" i="37"/>
  <c r="L408" i="37"/>
  <c r="L409" i="37"/>
  <c r="L410" i="37"/>
  <c r="L411" i="37"/>
  <c r="L412" i="37"/>
  <c r="L413" i="37"/>
  <c r="L414" i="37"/>
  <c r="L415" i="37"/>
  <c r="L416" i="37"/>
  <c r="L417" i="37"/>
  <c r="L418" i="37"/>
  <c r="L419" i="37"/>
  <c r="L420" i="37"/>
  <c r="L421" i="37"/>
  <c r="L422" i="37"/>
  <c r="L423" i="37"/>
  <c r="L424" i="37"/>
  <c r="L425" i="37"/>
  <c r="L426" i="37"/>
  <c r="L427" i="37"/>
  <c r="L428" i="37"/>
  <c r="L429" i="37"/>
  <c r="L430" i="37"/>
  <c r="L431" i="37"/>
  <c r="L432" i="37"/>
  <c r="L433" i="37"/>
  <c r="L434" i="37"/>
  <c r="L435" i="37"/>
  <c r="L436" i="37"/>
  <c r="L437" i="37"/>
  <c r="L438" i="37"/>
  <c r="L439" i="37"/>
  <c r="L440" i="37"/>
  <c r="L441" i="37"/>
  <c r="L442" i="37"/>
  <c r="L443" i="37"/>
  <c r="L444" i="37"/>
  <c r="L445" i="37"/>
  <c r="L446" i="37"/>
  <c r="L447" i="37"/>
  <c r="L448" i="37"/>
  <c r="L449" i="37"/>
  <c r="L450" i="37"/>
  <c r="L451" i="37"/>
  <c r="L452" i="37"/>
  <c r="L453" i="37"/>
  <c r="L454" i="37"/>
  <c r="L455" i="37"/>
  <c r="L456" i="37"/>
  <c r="L457" i="37"/>
  <c r="L458" i="37"/>
  <c r="L459" i="37"/>
  <c r="L460" i="37"/>
  <c r="L461" i="37"/>
  <c r="L462" i="37"/>
  <c r="L463" i="37"/>
  <c r="L464" i="37"/>
  <c r="L465" i="37"/>
  <c r="L466" i="37"/>
  <c r="L467" i="37"/>
  <c r="L468" i="37"/>
  <c r="L469" i="37"/>
  <c r="L470" i="37"/>
  <c r="L471" i="37"/>
  <c r="L472" i="37"/>
  <c r="L473" i="37"/>
  <c r="L474" i="37"/>
  <c r="L475" i="37"/>
  <c r="L476" i="37"/>
  <c r="L477" i="37"/>
  <c r="L478" i="37"/>
  <c r="L479" i="37"/>
  <c r="L480" i="37"/>
  <c r="L481" i="37"/>
  <c r="L482" i="37"/>
  <c r="L483" i="37"/>
  <c r="L484" i="37"/>
  <c r="L485" i="37"/>
  <c r="L486" i="37"/>
  <c r="L487" i="37"/>
  <c r="L488" i="37"/>
  <c r="L489" i="37"/>
  <c r="L490" i="37"/>
  <c r="L491" i="37"/>
  <c r="L492" i="37"/>
  <c r="L493" i="37"/>
  <c r="L494" i="37"/>
  <c r="L495" i="37"/>
  <c r="L496" i="37"/>
  <c r="L497" i="37"/>
  <c r="L498" i="37"/>
  <c r="L499" i="37"/>
  <c r="L500" i="37"/>
  <c r="L501" i="37"/>
  <c r="L502" i="37"/>
  <c r="L503" i="37"/>
  <c r="L504" i="37"/>
  <c r="L505" i="37"/>
  <c r="L506" i="37"/>
  <c r="L507" i="37"/>
  <c r="L508" i="37"/>
  <c r="L509" i="37"/>
  <c r="L510" i="37"/>
  <c r="L511" i="37"/>
  <c r="L512" i="37"/>
  <c r="L513" i="37"/>
  <c r="L514" i="37"/>
  <c r="L515" i="37"/>
  <c r="L516" i="37"/>
  <c r="L517" i="37"/>
  <c r="L518" i="37"/>
  <c r="L519" i="37"/>
  <c r="L520" i="37"/>
  <c r="L521" i="37"/>
  <c r="L522" i="37"/>
  <c r="L523" i="37"/>
  <c r="L524" i="37"/>
  <c r="L525" i="37"/>
  <c r="L526" i="37"/>
  <c r="L527" i="37"/>
  <c r="L528" i="37"/>
  <c r="L529" i="37"/>
  <c r="L530" i="37"/>
  <c r="L531" i="37"/>
  <c r="L532" i="37"/>
  <c r="L533" i="37"/>
  <c r="L534" i="37"/>
  <c r="L535" i="37"/>
  <c r="L536" i="37"/>
  <c r="L537" i="37"/>
  <c r="L538" i="37"/>
  <c r="L539" i="37"/>
  <c r="L540" i="37"/>
  <c r="L541" i="37"/>
  <c r="L542" i="37"/>
  <c r="L543" i="37"/>
  <c r="L544" i="37"/>
  <c r="L545" i="37"/>
  <c r="L546" i="37"/>
  <c r="L547" i="37"/>
  <c r="L548" i="37"/>
  <c r="L549" i="37"/>
  <c r="L550" i="37"/>
  <c r="L551" i="37"/>
  <c r="L552" i="37"/>
  <c r="L553" i="37"/>
  <c r="L554" i="37"/>
  <c r="L555" i="37"/>
  <c r="L556" i="37"/>
  <c r="L557" i="37"/>
  <c r="L558" i="37"/>
  <c r="L559" i="37"/>
  <c r="L560" i="37"/>
  <c r="L561" i="37"/>
  <c r="L562" i="37"/>
  <c r="L563" i="37"/>
  <c r="L564" i="37"/>
  <c r="L565" i="37"/>
  <c r="L566" i="37"/>
  <c r="L567" i="37"/>
  <c r="L568" i="37"/>
  <c r="L569" i="37"/>
  <c r="L570" i="37"/>
  <c r="L571" i="37"/>
  <c r="L572" i="37"/>
  <c r="L573" i="37"/>
  <c r="L574" i="37"/>
  <c r="L575" i="37"/>
  <c r="L576" i="37"/>
  <c r="L577" i="37"/>
  <c r="L578" i="37"/>
  <c r="L579" i="37"/>
  <c r="L580" i="37"/>
  <c r="L581" i="37"/>
  <c r="L582" i="37"/>
  <c r="L583" i="37"/>
  <c r="L584" i="37"/>
  <c r="L585" i="37"/>
  <c r="L586" i="37"/>
  <c r="L587" i="37"/>
  <c r="L588" i="37"/>
  <c r="L589" i="37"/>
  <c r="L590" i="37"/>
  <c r="L591" i="37"/>
  <c r="L592" i="37"/>
  <c r="L593" i="37"/>
  <c r="L594" i="37"/>
  <c r="L595" i="37"/>
  <c r="L596" i="37"/>
  <c r="L597" i="37"/>
  <c r="L598" i="37"/>
  <c r="L599" i="37"/>
  <c r="L600" i="37"/>
  <c r="L601" i="37"/>
  <c r="L602" i="37"/>
  <c r="L603" i="37"/>
  <c r="L604" i="37"/>
  <c r="L605" i="37"/>
  <c r="L606" i="37"/>
  <c r="L607" i="37"/>
  <c r="L608" i="37"/>
  <c r="L609" i="37"/>
  <c r="L610" i="37"/>
  <c r="L611" i="37"/>
  <c r="L612" i="37"/>
  <c r="L613" i="37"/>
  <c r="L614" i="37"/>
  <c r="L615" i="37"/>
  <c r="L616" i="37"/>
  <c r="L617" i="37"/>
  <c r="L618" i="37"/>
  <c r="L619" i="37"/>
  <c r="L620" i="37"/>
  <c r="L621" i="37"/>
  <c r="L622" i="37"/>
  <c r="L623" i="37"/>
  <c r="L624" i="37"/>
  <c r="L625" i="37"/>
  <c r="L626" i="37"/>
  <c r="L627" i="37"/>
  <c r="L628" i="37"/>
  <c r="L629" i="37"/>
  <c r="L630" i="37"/>
  <c r="L631" i="37"/>
  <c r="L632" i="37"/>
  <c r="L633" i="37"/>
  <c r="L634" i="37"/>
  <c r="L635" i="37"/>
  <c r="L636" i="37"/>
  <c r="L637" i="37"/>
  <c r="L638" i="37"/>
  <c r="L639" i="37"/>
  <c r="L640" i="37"/>
  <c r="L641" i="37"/>
  <c r="L642" i="37"/>
  <c r="L643" i="37"/>
  <c r="L644" i="37"/>
  <c r="L645" i="37"/>
  <c r="L646" i="37"/>
  <c r="L647" i="37"/>
  <c r="L648" i="37"/>
  <c r="L649" i="37"/>
  <c r="L650" i="37"/>
  <c r="L651" i="37"/>
  <c r="L652" i="37"/>
  <c r="L653" i="37"/>
  <c r="L654" i="37"/>
  <c r="L655" i="37"/>
  <c r="L656" i="37"/>
  <c r="L657" i="37"/>
  <c r="L658" i="37"/>
  <c r="L659" i="37"/>
  <c r="L660" i="37"/>
  <c r="L661" i="37"/>
  <c r="L662" i="37"/>
  <c r="L663" i="37"/>
  <c r="L664" i="37"/>
  <c r="L665" i="37"/>
  <c r="L666" i="37"/>
  <c r="L667" i="37"/>
  <c r="L668" i="37"/>
  <c r="L669" i="37"/>
  <c r="L670" i="37"/>
  <c r="L671" i="37"/>
  <c r="L672" i="37"/>
  <c r="L673" i="37"/>
  <c r="L674" i="37"/>
  <c r="L675" i="37"/>
  <c r="L676" i="37"/>
  <c r="L677" i="37"/>
  <c r="L678" i="37"/>
  <c r="L679" i="37"/>
  <c r="L680" i="37"/>
  <c r="L681" i="37"/>
  <c r="L682" i="37"/>
  <c r="L683" i="37"/>
  <c r="L684" i="37"/>
  <c r="L685" i="37"/>
  <c r="L686" i="37"/>
  <c r="L687" i="37"/>
  <c r="L688" i="37"/>
  <c r="L689" i="37"/>
  <c r="L690" i="37"/>
  <c r="L691" i="37"/>
  <c r="L692" i="37"/>
  <c r="L693" i="37"/>
  <c r="L694" i="37"/>
  <c r="L695" i="37"/>
  <c r="L696" i="37"/>
  <c r="L697" i="37"/>
  <c r="L698" i="37"/>
  <c r="L699" i="37"/>
  <c r="L700" i="37"/>
  <c r="L701" i="37"/>
  <c r="L702" i="37"/>
  <c r="L703" i="37"/>
  <c r="L704" i="37"/>
  <c r="L705" i="37"/>
  <c r="L706" i="37"/>
  <c r="L707" i="37"/>
  <c r="L708" i="37"/>
  <c r="L709" i="37"/>
  <c r="L710" i="37"/>
  <c r="L711" i="37"/>
  <c r="L712" i="37"/>
  <c r="L713" i="37"/>
  <c r="L714" i="37"/>
  <c r="L715" i="37"/>
  <c r="L716" i="37"/>
  <c r="L717" i="37"/>
  <c r="L718" i="37"/>
  <c r="L719" i="37"/>
  <c r="L720" i="37"/>
  <c r="L721" i="37"/>
  <c r="L722" i="37"/>
  <c r="L723" i="37"/>
  <c r="L724" i="37"/>
  <c r="L725" i="37"/>
  <c r="L726" i="37"/>
  <c r="L727" i="37"/>
  <c r="L728" i="37"/>
  <c r="L729" i="37"/>
  <c r="L730" i="37"/>
  <c r="L731" i="37"/>
  <c r="L732" i="37"/>
  <c r="L733" i="37"/>
  <c r="L734" i="37"/>
  <c r="L735" i="37"/>
  <c r="L736" i="37"/>
  <c r="L737" i="37"/>
  <c r="L738" i="37"/>
  <c r="L739" i="37"/>
  <c r="L740" i="37"/>
  <c r="L741" i="37"/>
  <c r="L742" i="37"/>
  <c r="L743" i="37"/>
  <c r="L744" i="37"/>
  <c r="L745" i="37"/>
  <c r="L746" i="37"/>
  <c r="L747" i="37"/>
  <c r="L748" i="37"/>
  <c r="L749" i="37"/>
  <c r="L750" i="37"/>
  <c r="L751" i="37"/>
  <c r="L752" i="37"/>
  <c r="L753" i="37"/>
  <c r="L754" i="37"/>
  <c r="L755" i="37"/>
  <c r="L756" i="37"/>
  <c r="L757" i="37"/>
  <c r="L758" i="37"/>
  <c r="L759" i="37"/>
  <c r="L760" i="37"/>
  <c r="L761" i="37"/>
  <c r="L762" i="37"/>
  <c r="L763" i="37"/>
  <c r="L764" i="37"/>
  <c r="L765" i="37"/>
  <c r="L766" i="37"/>
  <c r="L767" i="37"/>
  <c r="L768" i="37"/>
  <c r="L769" i="37"/>
  <c r="L770" i="37"/>
  <c r="L771" i="37"/>
  <c r="L772" i="37"/>
  <c r="L773" i="37"/>
  <c r="L774" i="37"/>
  <c r="L775" i="37"/>
  <c r="L776" i="37"/>
  <c r="L777" i="37"/>
  <c r="L778" i="37"/>
  <c r="L779" i="37"/>
  <c r="L780" i="37"/>
  <c r="L781" i="37"/>
  <c r="L782" i="37"/>
  <c r="L783" i="37"/>
  <c r="L784" i="37"/>
  <c r="L785" i="37"/>
  <c r="L786" i="37"/>
  <c r="L787" i="37"/>
  <c r="L788" i="37"/>
  <c r="L789" i="37"/>
  <c r="L790" i="37"/>
  <c r="L791" i="37"/>
  <c r="L792" i="37"/>
  <c r="L793" i="37"/>
  <c r="L794" i="37"/>
  <c r="L795" i="37"/>
  <c r="L796" i="37"/>
  <c r="L797" i="37"/>
  <c r="L798" i="37"/>
  <c r="L799" i="37"/>
  <c r="L800" i="37"/>
  <c r="L801" i="37"/>
  <c r="L802" i="37"/>
  <c r="L804" i="37"/>
  <c r="L805" i="37"/>
  <c r="L806" i="37"/>
  <c r="L807" i="37"/>
  <c r="L808" i="37"/>
  <c r="L809" i="37"/>
  <c r="L810" i="37"/>
  <c r="L811" i="37"/>
  <c r="L812" i="37"/>
  <c r="L813" i="37"/>
  <c r="L814" i="37"/>
  <c r="L815" i="37"/>
  <c r="L816" i="37"/>
  <c r="L817" i="37"/>
  <c r="L818" i="37"/>
  <c r="L819" i="37"/>
  <c r="L820" i="37"/>
  <c r="L821" i="37"/>
  <c r="L822" i="37"/>
  <c r="L823" i="37"/>
  <c r="L824" i="37"/>
  <c r="L825" i="37"/>
  <c r="L826" i="37"/>
  <c r="L827" i="37"/>
  <c r="L828" i="37"/>
  <c r="L829" i="37"/>
  <c r="L830" i="37"/>
  <c r="L831" i="37"/>
  <c r="L832" i="37"/>
  <c r="L833" i="37"/>
  <c r="L834" i="37"/>
  <c r="L835" i="37"/>
  <c r="L836" i="37"/>
  <c r="L837" i="37"/>
  <c r="L838" i="37"/>
  <c r="L839" i="37"/>
  <c r="L840" i="37"/>
  <c r="L841" i="37"/>
  <c r="L842" i="37"/>
  <c r="L843" i="37"/>
  <c r="L844" i="37"/>
  <c r="L845" i="37"/>
  <c r="L846" i="37"/>
  <c r="L847" i="37"/>
  <c r="L848" i="37"/>
  <c r="L849" i="37"/>
  <c r="L850" i="37"/>
  <c r="L851" i="37"/>
  <c r="L852" i="37"/>
  <c r="L853" i="37"/>
  <c r="L854" i="37"/>
  <c r="L855" i="37"/>
  <c r="L856" i="37"/>
  <c r="L857" i="37"/>
  <c r="L858" i="37"/>
  <c r="L859" i="37"/>
  <c r="L860" i="37"/>
  <c r="L861" i="37"/>
  <c r="L862" i="37"/>
  <c r="L863" i="37"/>
  <c r="L864" i="37"/>
  <c r="L865" i="37"/>
  <c r="L866" i="37"/>
  <c r="L867" i="37"/>
  <c r="L868" i="37"/>
  <c r="L869" i="37"/>
  <c r="L870" i="37"/>
  <c r="L871" i="37"/>
  <c r="L872" i="37"/>
  <c r="L873" i="37"/>
  <c r="L874" i="37"/>
  <c r="L875" i="37"/>
  <c r="L876" i="37"/>
  <c r="L877" i="37"/>
  <c r="L878" i="37"/>
  <c r="L879" i="37"/>
  <c r="L880" i="37"/>
  <c r="L881" i="37"/>
  <c r="L882" i="37"/>
  <c r="L883" i="37"/>
  <c r="L884" i="37"/>
  <c r="L885" i="37"/>
  <c r="L886" i="37"/>
  <c r="L887" i="37"/>
  <c r="L888" i="37"/>
  <c r="L889" i="37"/>
  <c r="L890" i="37"/>
  <c r="L891" i="37"/>
  <c r="L892" i="37"/>
  <c r="L893" i="37"/>
  <c r="L894" i="37"/>
  <c r="L895" i="37"/>
  <c r="L896" i="37"/>
  <c r="L897" i="37"/>
  <c r="L898" i="37"/>
  <c r="L899" i="37"/>
  <c r="L900" i="37"/>
  <c r="L901" i="37"/>
  <c r="L902" i="37"/>
  <c r="L903" i="37"/>
  <c r="L904" i="37"/>
  <c r="L905" i="37"/>
  <c r="L906" i="37"/>
  <c r="L907" i="37"/>
  <c r="L908" i="37"/>
  <c r="L909" i="37"/>
  <c r="L910" i="37"/>
  <c r="L911" i="37"/>
  <c r="L912" i="37"/>
  <c r="L913" i="37"/>
  <c r="L914" i="37"/>
  <c r="L915" i="37"/>
  <c r="L916" i="37"/>
  <c r="L917" i="37"/>
  <c r="L918" i="37"/>
  <c r="L919" i="37"/>
  <c r="L920" i="37"/>
  <c r="L921" i="37"/>
  <c r="L922" i="37"/>
  <c r="L923" i="37"/>
  <c r="L924" i="37"/>
  <c r="L925" i="37"/>
  <c r="L926" i="37"/>
  <c r="L927" i="37"/>
  <c r="L928" i="37"/>
  <c r="L929" i="37"/>
  <c r="L930" i="37"/>
  <c r="L931" i="37"/>
  <c r="L932" i="37"/>
  <c r="L933" i="37"/>
  <c r="L934" i="37"/>
  <c r="L935" i="37"/>
  <c r="L936" i="37"/>
  <c r="L937" i="37"/>
  <c r="L938" i="37"/>
  <c r="L939" i="37"/>
  <c r="L940" i="37"/>
  <c r="L941" i="37"/>
  <c r="L942" i="37"/>
  <c r="L943" i="37"/>
  <c r="L944" i="37"/>
  <c r="L945" i="37"/>
  <c r="L946" i="37"/>
  <c r="L947" i="37"/>
  <c r="L948" i="37"/>
  <c r="L949" i="37"/>
  <c r="L950" i="37"/>
  <c r="L951" i="37"/>
  <c r="L952" i="37"/>
  <c r="L953" i="37"/>
  <c r="L954" i="37"/>
  <c r="L955" i="37"/>
  <c r="L956" i="37"/>
  <c r="L957" i="37"/>
  <c r="L958" i="37"/>
  <c r="L959" i="37"/>
  <c r="L960" i="37"/>
  <c r="L961" i="37"/>
  <c r="L962" i="37"/>
  <c r="L963" i="37"/>
  <c r="L964" i="37"/>
  <c r="L965" i="37"/>
  <c r="L966" i="37"/>
  <c r="L967" i="37"/>
  <c r="L968" i="37"/>
  <c r="L969" i="37"/>
  <c r="L970" i="37"/>
  <c r="L971" i="37"/>
  <c r="L972" i="37"/>
  <c r="L973" i="37"/>
  <c r="L974" i="37"/>
  <c r="L975" i="37"/>
  <c r="L976" i="37"/>
  <c r="L977" i="37"/>
  <c r="L978" i="37"/>
  <c r="L979" i="37"/>
  <c r="L980" i="37"/>
  <c r="L981" i="37"/>
  <c r="L982" i="37"/>
  <c r="L983" i="37"/>
  <c r="L984" i="37"/>
  <c r="L985" i="37"/>
  <c r="L986" i="37"/>
  <c r="L987" i="37"/>
  <c r="L988" i="37"/>
  <c r="L989" i="37"/>
  <c r="L990" i="37"/>
  <c r="L991" i="37"/>
  <c r="L992" i="37"/>
  <c r="L993" i="37"/>
  <c r="L994" i="37"/>
  <c r="L995" i="37"/>
  <c r="L996" i="37"/>
  <c r="L997" i="37"/>
  <c r="L998" i="37"/>
  <c r="L999" i="37"/>
  <c r="L1000" i="37"/>
  <c r="L1001" i="37"/>
  <c r="L1002" i="37"/>
  <c r="L1003" i="37"/>
  <c r="L1004" i="37"/>
  <c r="L1005" i="37"/>
  <c r="L1006" i="37"/>
  <c r="L1007" i="37"/>
  <c r="L1008" i="37"/>
  <c r="L1009" i="37"/>
  <c r="L1010" i="37"/>
  <c r="L1011" i="37"/>
  <c r="L1012" i="37"/>
  <c r="L1013" i="37"/>
  <c r="L1014" i="37"/>
  <c r="L1015" i="37"/>
  <c r="L1016" i="37"/>
  <c r="L1017" i="37"/>
  <c r="L1018" i="37"/>
  <c r="L1019" i="37"/>
  <c r="L1020" i="37"/>
  <c r="L1021" i="37"/>
  <c r="L1022" i="37"/>
  <c r="L1023" i="37"/>
  <c r="L1024" i="37"/>
  <c r="L1025" i="37"/>
  <c r="L1026" i="37"/>
  <c r="L1027" i="37"/>
  <c r="L1028" i="37"/>
  <c r="L1029" i="37"/>
  <c r="L1030" i="37"/>
  <c r="L1031" i="37"/>
  <c r="L1032" i="37"/>
  <c r="L1033" i="37"/>
  <c r="L1034" i="37"/>
  <c r="L1035" i="37"/>
  <c r="L1036" i="37"/>
  <c r="L1037" i="37"/>
  <c r="L1038" i="37"/>
  <c r="L1039" i="37"/>
  <c r="L1040" i="37"/>
  <c r="L1041" i="37"/>
  <c r="L1042" i="37"/>
  <c r="L1043" i="37"/>
  <c r="L1044" i="37"/>
  <c r="L1045" i="37"/>
  <c r="L1046" i="37"/>
  <c r="L1047" i="37"/>
  <c r="L1048" i="37"/>
  <c r="L1049" i="37"/>
  <c r="L1050" i="37"/>
  <c r="L1051" i="37"/>
  <c r="L1052" i="37"/>
  <c r="L1053" i="37"/>
  <c r="L1054" i="37"/>
  <c r="L1055" i="37"/>
  <c r="L1056" i="37"/>
  <c r="L1057" i="37"/>
  <c r="L1058" i="37"/>
  <c r="L1059" i="37"/>
  <c r="L1060" i="37"/>
  <c r="L1061" i="37"/>
  <c r="L1062" i="37"/>
  <c r="L1063" i="37"/>
  <c r="L1064" i="37"/>
  <c r="L1065" i="37"/>
  <c r="L1066" i="37"/>
  <c r="L1067" i="37"/>
  <c r="L1068" i="37"/>
  <c r="L1069" i="37"/>
  <c r="L1070" i="37"/>
  <c r="L1071" i="37"/>
  <c r="L1072" i="37"/>
  <c r="L1073" i="37"/>
  <c r="L1074" i="37"/>
  <c r="L1075" i="37"/>
  <c r="L1076" i="37"/>
  <c r="L1077" i="37"/>
  <c r="L1078" i="37"/>
  <c r="L1079" i="37"/>
  <c r="L1080" i="37"/>
  <c r="L1081" i="37"/>
  <c r="L1082" i="37"/>
  <c r="L1083" i="37"/>
  <c r="L1084" i="37"/>
  <c r="L1085" i="37"/>
  <c r="L1086" i="37"/>
  <c r="L1087" i="37"/>
  <c r="L1088" i="37"/>
  <c r="L1089" i="37"/>
  <c r="L1090" i="37"/>
  <c r="L1091" i="37"/>
  <c r="L1092" i="37"/>
  <c r="L1093" i="37"/>
  <c r="L1094" i="37"/>
  <c r="L1095" i="37"/>
  <c r="L1096" i="37"/>
  <c r="L1097" i="37"/>
  <c r="L1098" i="37"/>
  <c r="L1099" i="37"/>
  <c r="L1100" i="37"/>
  <c r="L1101" i="37"/>
  <c r="L1102" i="37"/>
  <c r="L1103" i="37"/>
  <c r="L1104" i="37"/>
  <c r="L1105" i="37"/>
  <c r="L1106" i="37"/>
  <c r="L1107" i="37"/>
  <c r="L1108" i="37"/>
  <c r="L1109" i="37"/>
  <c r="L1110" i="37"/>
  <c r="L1111" i="37"/>
  <c r="L1112" i="37"/>
  <c r="L1113" i="37"/>
  <c r="L1114" i="37"/>
  <c r="L1115" i="37"/>
  <c r="L1116" i="37"/>
  <c r="L1117" i="37"/>
  <c r="L1118" i="37"/>
  <c r="L1119" i="37"/>
  <c r="L1120" i="37"/>
  <c r="L1121" i="37"/>
  <c r="L1122" i="37"/>
  <c r="L1123" i="37"/>
  <c r="L1124" i="37"/>
  <c r="L1125" i="37"/>
  <c r="L1126" i="37"/>
  <c r="L1127" i="37"/>
  <c r="L1128" i="37"/>
  <c r="L1129" i="37"/>
  <c r="L1130" i="37"/>
  <c r="L1131" i="37"/>
  <c r="L1132" i="37"/>
  <c r="L1133" i="37"/>
  <c r="L1134" i="37"/>
  <c r="L1135" i="37"/>
  <c r="L1136" i="37"/>
  <c r="L1137" i="37"/>
  <c r="L1138" i="37"/>
  <c r="L1139" i="37"/>
  <c r="L1140" i="37"/>
  <c r="L1141" i="37"/>
  <c r="L1142" i="37"/>
  <c r="L1143" i="37"/>
  <c r="L1144" i="37"/>
  <c r="L1145" i="37"/>
  <c r="L1146" i="37"/>
  <c r="L1147" i="37"/>
  <c r="L1148" i="37"/>
  <c r="L1149" i="37"/>
  <c r="L1150" i="37"/>
  <c r="L1151" i="37"/>
  <c r="L1152" i="37"/>
  <c r="L1153" i="37"/>
  <c r="L1154" i="37"/>
  <c r="L1155" i="37"/>
  <c r="L1156" i="37"/>
  <c r="L1157" i="37"/>
  <c r="L1158" i="37"/>
  <c r="L1159" i="37"/>
  <c r="L1160" i="37"/>
  <c r="L1161" i="37"/>
  <c r="L1162" i="37"/>
  <c r="L1163" i="37"/>
  <c r="L1164" i="37"/>
  <c r="L1165" i="37"/>
  <c r="L1166" i="37"/>
  <c r="L1167" i="37"/>
  <c r="L1168" i="37"/>
  <c r="L1169" i="37"/>
  <c r="L1170" i="37"/>
  <c r="L1171" i="37"/>
  <c r="L1172" i="37"/>
  <c r="L1173" i="37"/>
  <c r="L1174" i="37"/>
  <c r="L1175" i="37"/>
  <c r="L1176" i="37"/>
  <c r="L1177" i="37"/>
  <c r="L1178" i="37"/>
  <c r="L1179" i="37"/>
  <c r="L1180" i="37"/>
  <c r="L1181" i="37"/>
  <c r="L1182" i="37"/>
  <c r="L1183" i="37"/>
  <c r="L1184" i="37"/>
  <c r="L1185" i="37"/>
  <c r="L1186" i="37"/>
  <c r="L1187" i="37"/>
  <c r="L1188" i="37"/>
  <c r="L1189" i="37"/>
  <c r="L1190" i="37"/>
  <c r="L1191" i="37"/>
  <c r="L1192" i="37"/>
  <c r="L1193" i="37"/>
  <c r="L1194" i="37"/>
  <c r="L1195" i="37"/>
  <c r="L1196" i="37"/>
  <c r="L1197" i="37"/>
  <c r="L1198" i="37"/>
  <c r="L1199" i="37"/>
  <c r="L1200" i="37"/>
  <c r="L1201" i="37"/>
  <c r="L1202" i="37"/>
  <c r="L1203" i="37"/>
  <c r="L1204" i="37"/>
  <c r="L1205" i="37"/>
  <c r="L1206" i="37"/>
  <c r="L1207" i="37"/>
  <c r="L1208" i="37"/>
  <c r="L1209" i="37"/>
  <c r="L1210" i="37"/>
  <c r="L1211" i="37"/>
  <c r="L1212" i="37"/>
  <c r="L1213" i="37"/>
  <c r="L1214" i="37"/>
  <c r="L1215" i="37"/>
  <c r="L1216" i="37"/>
  <c r="L1217" i="37"/>
  <c r="L1218" i="37"/>
  <c r="L1219" i="37"/>
  <c r="L1220" i="37"/>
  <c r="L1221" i="37"/>
  <c r="L2" i="37"/>
  <c r="P147" i="32"/>
  <c r="L147" i="32"/>
  <c r="K146" i="32"/>
  <c r="K147" i="32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2" i="36"/>
  <c r="B44" i="36"/>
  <c r="B45" i="36"/>
  <c r="B46" i="36"/>
  <c r="B36" i="36"/>
  <c r="B37" i="36"/>
  <c r="B38" i="36"/>
  <c r="B39" i="36"/>
  <c r="B40" i="36"/>
  <c r="B41" i="36"/>
  <c r="B42" i="36"/>
  <c r="B43" i="36"/>
  <c r="B35" i="36"/>
  <c r="B34" i="36"/>
  <c r="B26" i="36"/>
  <c r="B27" i="36"/>
  <c r="B28" i="36"/>
  <c r="B29" i="36"/>
  <c r="B30" i="36"/>
  <c r="B31" i="36"/>
  <c r="B32" i="36"/>
  <c r="B33" i="36"/>
  <c r="B25" i="36"/>
  <c r="B13" i="36"/>
  <c r="B14" i="36"/>
  <c r="B15" i="36"/>
  <c r="B16" i="36"/>
  <c r="B17" i="36"/>
  <c r="B18" i="36"/>
  <c r="B20" i="36"/>
  <c r="B21" i="36"/>
  <c r="B22" i="36"/>
  <c r="B23" i="36"/>
  <c r="B24" i="36"/>
  <c r="E23" i="43"/>
  <c r="E24" i="43"/>
  <c r="E25" i="43"/>
  <c r="E26" i="43"/>
  <c r="C25" i="43"/>
  <c r="C26" i="43"/>
  <c r="C24" i="43"/>
  <c r="E19" i="43"/>
  <c r="E20" i="43"/>
  <c r="E21" i="43"/>
  <c r="E22" i="43"/>
  <c r="C20" i="43"/>
  <c r="C21" i="43"/>
  <c r="C22" i="43"/>
  <c r="C23" i="43"/>
  <c r="C19" i="43"/>
  <c r="C17" i="43"/>
  <c r="C18" i="43"/>
  <c r="E17" i="43"/>
  <c r="E18" i="43"/>
  <c r="C16" i="43"/>
  <c r="E3" i="43"/>
  <c r="E4" i="43"/>
  <c r="E5" i="43"/>
  <c r="E6" i="43"/>
  <c r="E7" i="43"/>
  <c r="E8" i="43"/>
  <c r="E9" i="43"/>
  <c r="E10" i="43"/>
  <c r="E11" i="43"/>
  <c r="E12" i="43"/>
  <c r="E13" i="43"/>
  <c r="E14" i="43"/>
  <c r="E15" i="43"/>
  <c r="E16" i="43"/>
  <c r="E2" i="43"/>
  <c r="C15" i="43"/>
  <c r="C14" i="43"/>
  <c r="C9" i="43"/>
  <c r="C10" i="43"/>
  <c r="C11" i="43"/>
  <c r="C12" i="43"/>
  <c r="C13" i="43"/>
  <c r="C4" i="43"/>
  <c r="C5" i="43"/>
  <c r="C6" i="43"/>
  <c r="C7" i="43"/>
  <c r="C8" i="43"/>
  <c r="C3" i="43"/>
  <c r="C2" i="43"/>
  <c r="B12" i="36"/>
  <c r="B3" i="36"/>
  <c r="B4" i="36"/>
  <c r="B5" i="36"/>
  <c r="B6" i="36"/>
  <c r="B7" i="36"/>
  <c r="B8" i="36"/>
  <c r="B9" i="36"/>
  <c r="B10" i="36"/>
  <c r="B11" i="36"/>
  <c r="B2" i="36"/>
  <c r="P135" i="32"/>
  <c r="P136" i="32"/>
  <c r="P137" i="32"/>
  <c r="P138" i="32"/>
  <c r="P139" i="32"/>
  <c r="P140" i="32"/>
  <c r="P141" i="32"/>
  <c r="P142" i="32"/>
  <c r="P143" i="32"/>
  <c r="P144" i="32"/>
  <c r="P145" i="32"/>
  <c r="P146" i="32"/>
  <c r="L135" i="32"/>
  <c r="L136" i="32"/>
  <c r="L137" i="32"/>
  <c r="L138" i="32"/>
  <c r="L139" i="32"/>
  <c r="L140" i="32"/>
  <c r="L141" i="32"/>
  <c r="L142" i="32"/>
  <c r="L143" i="32"/>
  <c r="L144" i="32"/>
  <c r="L145" i="32"/>
  <c r="L146" i="32"/>
  <c r="K136" i="32"/>
  <c r="K137" i="32"/>
  <c r="K138" i="32"/>
  <c r="K139" i="32"/>
  <c r="K140" i="32"/>
  <c r="K141" i="32"/>
  <c r="K142" i="32"/>
  <c r="K143" i="32"/>
  <c r="K144" i="32"/>
  <c r="K145" i="32"/>
  <c r="K135" i="32"/>
  <c r="P81" i="32"/>
  <c r="P80" i="32"/>
  <c r="L81" i="32"/>
  <c r="K81" i="32"/>
  <c r="G848" i="37" s="1"/>
  <c r="P134" i="32"/>
  <c r="L134" i="32"/>
  <c r="K134" i="32"/>
  <c r="P121" i="32"/>
  <c r="P120" i="32"/>
  <c r="P119" i="32"/>
  <c r="P118" i="32"/>
  <c r="P117" i="32"/>
  <c r="P116" i="32"/>
  <c r="P115" i="32"/>
  <c r="P114" i="32"/>
  <c r="P113" i="32"/>
  <c r="P112" i="32"/>
  <c r="P111" i="32"/>
  <c r="P110" i="32"/>
  <c r="P109" i="32"/>
  <c r="P108" i="32"/>
  <c r="P107" i="32"/>
  <c r="P106" i="32"/>
  <c r="P105" i="32"/>
  <c r="P104" i="32"/>
  <c r="P103" i="32"/>
  <c r="P102" i="32"/>
  <c r="P101" i="32"/>
  <c r="P100" i="32"/>
  <c r="P99" i="32"/>
  <c r="P98" i="32"/>
  <c r="P97" i="32"/>
  <c r="P96" i="32"/>
  <c r="P95" i="32"/>
  <c r="P94" i="32"/>
  <c r="P93" i="32"/>
  <c r="P92" i="32"/>
  <c r="P91" i="32"/>
  <c r="P90" i="32"/>
  <c r="P89" i="32"/>
  <c r="P88" i="32"/>
  <c r="P87" i="32"/>
  <c r="P86" i="32"/>
  <c r="P85" i="32"/>
  <c r="P84" i="32"/>
  <c r="P83" i="32"/>
  <c r="P82" i="32"/>
  <c r="P79" i="32"/>
  <c r="P78" i="32"/>
  <c r="P77" i="32"/>
  <c r="P76" i="32"/>
  <c r="P75" i="32"/>
  <c r="P74" i="32"/>
  <c r="P73" i="32"/>
  <c r="P72" i="32"/>
  <c r="P71" i="32"/>
  <c r="P70" i="32"/>
  <c r="P69" i="32"/>
  <c r="P68" i="32"/>
  <c r="P67" i="32"/>
  <c r="P66" i="32"/>
  <c r="P65" i="32"/>
  <c r="P64" i="32"/>
  <c r="P63" i="32"/>
  <c r="P62" i="32"/>
  <c r="P61" i="32"/>
  <c r="P60" i="32"/>
  <c r="P59" i="32"/>
  <c r="P58" i="32"/>
  <c r="P57" i="32"/>
  <c r="P56" i="32"/>
  <c r="P55" i="32"/>
  <c r="P54" i="32"/>
  <c r="P53" i="32"/>
  <c r="P52" i="32"/>
  <c r="P51" i="32"/>
  <c r="P50" i="32"/>
  <c r="P49" i="32"/>
  <c r="P48" i="32"/>
  <c r="P47" i="32"/>
  <c r="P46" i="32"/>
  <c r="P45" i="32"/>
  <c r="P44" i="32"/>
  <c r="P43" i="32"/>
  <c r="P42" i="32"/>
  <c r="P41" i="32"/>
  <c r="P40" i="32"/>
  <c r="P39" i="32"/>
  <c r="P38" i="32"/>
  <c r="P37" i="32"/>
  <c r="P36" i="32"/>
  <c r="P35" i="32"/>
  <c r="P34" i="32"/>
  <c r="P33" i="32"/>
  <c r="P32" i="32"/>
  <c r="P31" i="32"/>
  <c r="P30" i="32"/>
  <c r="P29" i="32"/>
  <c r="P28" i="32"/>
  <c r="P27" i="32"/>
  <c r="P26" i="32"/>
  <c r="P25" i="32"/>
  <c r="P24" i="32"/>
  <c r="P23" i="32"/>
  <c r="P22" i="32"/>
  <c r="P21" i="32"/>
  <c r="P20" i="32"/>
  <c r="P19" i="32"/>
  <c r="P18" i="32"/>
  <c r="P17" i="32"/>
  <c r="P16" i="32"/>
  <c r="P15" i="32"/>
  <c r="P14" i="32"/>
  <c r="P13" i="32"/>
  <c r="P12" i="32"/>
  <c r="P11" i="32"/>
  <c r="P10" i="32"/>
  <c r="P9" i="32"/>
  <c r="P8" i="32"/>
  <c r="P7" i="32"/>
  <c r="P6" i="32"/>
  <c r="P5" i="32"/>
  <c r="P4" i="32"/>
  <c r="P3" i="32"/>
  <c r="P2" i="32"/>
  <c r="P123" i="32"/>
  <c r="P124" i="32"/>
  <c r="P125" i="32"/>
  <c r="P126" i="32"/>
  <c r="P127" i="32"/>
  <c r="P128" i="32"/>
  <c r="P129" i="32"/>
  <c r="P130" i="32"/>
  <c r="P131" i="32"/>
  <c r="P132" i="32"/>
  <c r="P133" i="32"/>
  <c r="P122" i="32"/>
  <c r="E16" i="42"/>
  <c r="E17" i="42"/>
  <c r="E18" i="42"/>
  <c r="E19" i="42"/>
  <c r="E20" i="42"/>
  <c r="E21" i="42"/>
  <c r="E22" i="42"/>
  <c r="E23" i="42"/>
  <c r="E24" i="42"/>
  <c r="E25" i="42"/>
  <c r="E26" i="42"/>
  <c r="E27" i="42"/>
  <c r="E15" i="42"/>
  <c r="E14" i="42"/>
  <c r="E13" i="42"/>
  <c r="E4" i="42"/>
  <c r="E5" i="42"/>
  <c r="E6" i="42"/>
  <c r="E7" i="42"/>
  <c r="E8" i="42"/>
  <c r="E9" i="42"/>
  <c r="E10" i="42"/>
  <c r="E11" i="42"/>
  <c r="E12" i="42"/>
  <c r="E3" i="42"/>
  <c r="E2" i="42"/>
  <c r="L133" i="32"/>
  <c r="K133" i="32"/>
  <c r="L132" i="32"/>
  <c r="L131" i="32"/>
  <c r="K132" i="32"/>
  <c r="K131" i="32"/>
  <c r="G1038" i="1"/>
  <c r="G1039" i="1"/>
  <c r="G1040" i="1"/>
  <c r="G1041" i="1"/>
  <c r="G1042" i="1"/>
  <c r="G1043" i="1"/>
  <c r="G1044" i="1"/>
  <c r="G1045" i="1"/>
  <c r="G1046" i="1"/>
  <c r="G1047" i="1"/>
  <c r="G1048" i="1"/>
  <c r="G1037" i="1"/>
  <c r="G864" i="1"/>
  <c r="G865" i="1"/>
  <c r="G866" i="1"/>
  <c r="G867" i="1"/>
  <c r="G868" i="1"/>
  <c r="G863" i="1"/>
  <c r="L130" i="32"/>
  <c r="K130" i="32"/>
  <c r="K3" i="32"/>
  <c r="K4" i="32"/>
  <c r="K5" i="32"/>
  <c r="K6" i="32"/>
  <c r="K7" i="32"/>
  <c r="G67" i="37" s="1"/>
  <c r="K8" i="32"/>
  <c r="K9" i="32"/>
  <c r="K10" i="32"/>
  <c r="K11" i="32"/>
  <c r="K12" i="32"/>
  <c r="K13" i="32"/>
  <c r="K14" i="32"/>
  <c r="K15" i="32"/>
  <c r="G157" i="37" s="1"/>
  <c r="K16" i="32"/>
  <c r="K17" i="32"/>
  <c r="K18" i="32"/>
  <c r="K19" i="32"/>
  <c r="G206" i="37" s="1"/>
  <c r="K20" i="32"/>
  <c r="K21" i="32"/>
  <c r="K22" i="32"/>
  <c r="K23" i="32"/>
  <c r="G257" i="37" s="1"/>
  <c r="K24" i="32"/>
  <c r="K25" i="32"/>
  <c r="K26" i="32"/>
  <c r="K27" i="32"/>
  <c r="G310" i="37" s="1"/>
  <c r="K28" i="32"/>
  <c r="K29" i="32"/>
  <c r="G334" i="37" s="1"/>
  <c r="K30" i="32"/>
  <c r="K31" i="32"/>
  <c r="K32" i="32"/>
  <c r="K33" i="32"/>
  <c r="K34" i="32"/>
  <c r="K35" i="32"/>
  <c r="K36" i="32"/>
  <c r="K37" i="32"/>
  <c r="K38" i="32"/>
  <c r="K39" i="32"/>
  <c r="G454" i="37" s="1"/>
  <c r="K40" i="32"/>
  <c r="K41" i="32"/>
  <c r="K42" i="32"/>
  <c r="K43" i="32"/>
  <c r="G499" i="37" s="1"/>
  <c r="K44" i="32"/>
  <c r="K45" i="32"/>
  <c r="K46" i="32"/>
  <c r="K47" i="32"/>
  <c r="G544" i="37" s="1"/>
  <c r="K48" i="32"/>
  <c r="K49" i="32"/>
  <c r="K50" i="32"/>
  <c r="G582" i="37" s="1"/>
  <c r="K51" i="32"/>
  <c r="G592" i="37" s="1"/>
  <c r="K52" i="32"/>
  <c r="K53" i="32"/>
  <c r="K54" i="32"/>
  <c r="K55" i="32"/>
  <c r="G627" i="37" s="1"/>
  <c r="K56" i="32"/>
  <c r="G643" i="37" s="1"/>
  <c r="K57" i="32"/>
  <c r="K58" i="32"/>
  <c r="K59" i="32"/>
  <c r="G675" i="37" s="1"/>
  <c r="K60" i="32"/>
  <c r="G683" i="37" s="1"/>
  <c r="K61" i="32"/>
  <c r="G694" i="37" s="1"/>
  <c r="K62" i="32"/>
  <c r="K63" i="32"/>
  <c r="G712" i="37" s="1"/>
  <c r="K64" i="32"/>
  <c r="G723" i="37" s="1"/>
  <c r="K65" i="32"/>
  <c r="G735" i="37" s="1"/>
  <c r="K66" i="32"/>
  <c r="G743" i="37" s="1"/>
  <c r="K67" i="32"/>
  <c r="G752" i="37" s="1"/>
  <c r="K68" i="32"/>
  <c r="K69" i="32"/>
  <c r="G781" i="37" s="1"/>
  <c r="K70" i="32"/>
  <c r="G786" i="37" s="1"/>
  <c r="K71" i="32"/>
  <c r="K72" i="32"/>
  <c r="K73" i="32"/>
  <c r="K74" i="32"/>
  <c r="K75" i="32"/>
  <c r="K76" i="32"/>
  <c r="G813" i="37" s="1"/>
  <c r="K77" i="32"/>
  <c r="G825" i="37" s="1"/>
  <c r="K78" i="32"/>
  <c r="G829" i="37" s="1"/>
  <c r="K79" i="32"/>
  <c r="K80" i="32"/>
  <c r="G839" i="37" s="1"/>
  <c r="K82" i="32"/>
  <c r="G862" i="37" s="1"/>
  <c r="K83" i="32"/>
  <c r="G868" i="37" s="1"/>
  <c r="K84" i="32"/>
  <c r="G874" i="37" s="1"/>
  <c r="K85" i="32"/>
  <c r="G880" i="37" s="1"/>
  <c r="K86" i="32"/>
  <c r="K87" i="32"/>
  <c r="G897" i="37" s="1"/>
  <c r="K88" i="32"/>
  <c r="G901" i="37" s="1"/>
  <c r="K89" i="32"/>
  <c r="G914" i="37" s="1"/>
  <c r="K90" i="32"/>
  <c r="K91" i="32"/>
  <c r="K92" i="32"/>
  <c r="K93" i="32"/>
  <c r="G941" i="37" s="1"/>
  <c r="K94" i="32"/>
  <c r="K95" i="32"/>
  <c r="K96" i="32"/>
  <c r="G960" i="37" s="1"/>
  <c r="K97" i="32"/>
  <c r="G973" i="37" s="1"/>
  <c r="K98" i="32"/>
  <c r="G976" i="37" s="1"/>
  <c r="K99" i="32"/>
  <c r="K100" i="32"/>
  <c r="K101" i="32"/>
  <c r="G992" i="37" s="1"/>
  <c r="K102" i="32"/>
  <c r="K103" i="32"/>
  <c r="G997" i="37" s="1"/>
  <c r="K104" i="32"/>
  <c r="K105" i="32"/>
  <c r="G1012" i="37" s="1"/>
  <c r="K106" i="32"/>
  <c r="G1024" i="37" s="1"/>
  <c r="K107" i="32"/>
  <c r="G1034" i="37" s="1"/>
  <c r="K108" i="32"/>
  <c r="G1050" i="37" s="1"/>
  <c r="K109" i="32"/>
  <c r="G1054" i="37" s="1"/>
  <c r="K110" i="32"/>
  <c r="G1072" i="37" s="1"/>
  <c r="K111" i="32"/>
  <c r="G1081" i="37" s="1"/>
  <c r="K112" i="32"/>
  <c r="G1088" i="37" s="1"/>
  <c r="K113" i="32"/>
  <c r="G1092" i="37" s="1"/>
  <c r="K114" i="32"/>
  <c r="G1106" i="37" s="1"/>
  <c r="K115" i="32"/>
  <c r="G1113" i="37" s="1"/>
  <c r="K116" i="32"/>
  <c r="G1129" i="37" s="1"/>
  <c r="K117" i="32"/>
  <c r="G1131" i="37" s="1"/>
  <c r="K118" i="32"/>
  <c r="G1136" i="37" s="1"/>
  <c r="K119" i="32"/>
  <c r="G1143" i="37" s="1"/>
  <c r="K120" i="32"/>
  <c r="G1157" i="37" s="1"/>
  <c r="K121" i="32"/>
  <c r="G1170" i="37" s="1"/>
  <c r="K122" i="32"/>
  <c r="G1178" i="37" s="1"/>
  <c r="K123" i="32"/>
  <c r="G1187" i="37" s="1"/>
  <c r="K124" i="32"/>
  <c r="G1194" i="37" s="1"/>
  <c r="K125" i="32"/>
  <c r="G1199" i="37" s="1"/>
  <c r="K126" i="32"/>
  <c r="G1208" i="37" s="1"/>
  <c r="K127" i="32"/>
  <c r="G1211" i="37" s="1"/>
  <c r="K128" i="32"/>
  <c r="G1220" i="37" s="1"/>
  <c r="K129" i="32"/>
  <c r="G1226" i="37" s="1"/>
  <c r="E1226" i="37" s="1"/>
  <c r="L74" i="32"/>
  <c r="L86" i="32"/>
  <c r="L109" i="32"/>
  <c r="L67" i="32"/>
  <c r="L62" i="32"/>
  <c r="L100" i="32"/>
  <c r="L120" i="32"/>
  <c r="L83" i="32"/>
  <c r="L94" i="32"/>
  <c r="L76" i="32"/>
  <c r="L98" i="32"/>
  <c r="L47" i="32"/>
  <c r="L9" i="32"/>
  <c r="L16" i="32"/>
  <c r="L23" i="32"/>
  <c r="L30" i="32"/>
  <c r="L37" i="32"/>
  <c r="L44" i="32"/>
  <c r="L77" i="32"/>
  <c r="L59" i="32"/>
  <c r="L101" i="32"/>
  <c r="L107" i="32"/>
  <c r="L95" i="32"/>
  <c r="L125" i="32"/>
  <c r="L126" i="32"/>
  <c r="L121" i="32"/>
  <c r="L122" i="32"/>
  <c r="L110" i="32"/>
  <c r="L111" i="32"/>
  <c r="L118" i="32"/>
  <c r="L68" i="32"/>
  <c r="L102" i="32"/>
  <c r="L58" i="32"/>
  <c r="L87" i="32"/>
  <c r="L129" i="32"/>
  <c r="L114" i="32"/>
  <c r="L63" i="32"/>
  <c r="L89" i="32"/>
  <c r="L103" i="32"/>
  <c r="L115" i="32"/>
  <c r="L4" i="32"/>
  <c r="L11" i="32"/>
  <c r="L18" i="32"/>
  <c r="L25" i="32"/>
  <c r="L32" i="32"/>
  <c r="L39" i="32"/>
  <c r="L46" i="32"/>
  <c r="L69" i="32"/>
  <c r="L64" i="32"/>
  <c r="L55" i="32"/>
  <c r="L54" i="32"/>
  <c r="L88" i="32"/>
  <c r="L78" i="32"/>
  <c r="L112" i="32"/>
  <c r="L93" i="32"/>
  <c r="L123" i="32"/>
  <c r="L104" i="32"/>
  <c r="L105" i="32"/>
  <c r="L99" i="32"/>
  <c r="L96" i="32"/>
  <c r="L127" i="32"/>
  <c r="L6" i="32"/>
  <c r="L13" i="32"/>
  <c r="L20" i="32"/>
  <c r="L27" i="32"/>
  <c r="L34" i="32"/>
  <c r="L41" i="32"/>
  <c r="L49" i="32"/>
  <c r="L57" i="32"/>
  <c r="L75" i="32"/>
  <c r="L3" i="32"/>
  <c r="L10" i="32"/>
  <c r="L17" i="32"/>
  <c r="L24" i="32"/>
  <c r="L31" i="32"/>
  <c r="L38" i="32"/>
  <c r="L45" i="32"/>
  <c r="L2" i="32"/>
  <c r="L84" i="32"/>
  <c r="L70" i="32"/>
  <c r="L71" i="32"/>
  <c r="L72" i="32"/>
  <c r="L91" i="32"/>
  <c r="L117" i="32"/>
  <c r="L106" i="32"/>
  <c r="L116" i="32"/>
  <c r="L108" i="32"/>
  <c r="L128" i="32"/>
  <c r="L61" i="32"/>
  <c r="L79" i="32"/>
  <c r="L97" i="32"/>
  <c r="L92" i="32"/>
  <c r="L119" i="32"/>
  <c r="L90" i="32"/>
  <c r="L65" i="32"/>
  <c r="L7" i="32"/>
  <c r="L14" i="32"/>
  <c r="L21" i="32"/>
  <c r="L28" i="32"/>
  <c r="L35" i="32"/>
  <c r="L42" i="32"/>
  <c r="L50" i="32"/>
  <c r="L8" i="32"/>
  <c r="L15" i="32"/>
  <c r="L22" i="32"/>
  <c r="L29" i="32"/>
  <c r="L36" i="32"/>
  <c r="L43" i="32"/>
  <c r="L51" i="32"/>
  <c r="L66" i="32"/>
  <c r="L73" i="32"/>
  <c r="L80" i="32"/>
  <c r="L52" i="32"/>
  <c r="L85" i="32"/>
  <c r="L113" i="32"/>
  <c r="L124" i="32"/>
  <c r="L5" i="32"/>
  <c r="L12" i="32"/>
  <c r="L19" i="32"/>
  <c r="L26" i="32"/>
  <c r="L33" i="32"/>
  <c r="L40" i="32"/>
  <c r="L48" i="32"/>
  <c r="L56" i="32"/>
  <c r="L82" i="32"/>
  <c r="L60" i="32"/>
  <c r="L53" i="32"/>
  <c r="K2" i="32"/>
  <c r="G985" i="37" l="1"/>
  <c r="G980" i="37"/>
  <c r="G837" i="37"/>
  <c r="G832" i="37"/>
  <c r="E832" i="37" s="1"/>
  <c r="G789" i="37"/>
  <c r="G788" i="37"/>
  <c r="G398" i="37"/>
  <c r="E398" i="37" s="1"/>
  <c r="G408" i="37"/>
  <c r="E408" i="37" s="1"/>
  <c r="G1225" i="37"/>
  <c r="E1225" i="37" s="1"/>
  <c r="G1213" i="37"/>
  <c r="E1213" i="37" s="1"/>
  <c r="G1205" i="37"/>
  <c r="E1205" i="37" s="1"/>
  <c r="G1198" i="37"/>
  <c r="E1198" i="37" s="1"/>
  <c r="G1189" i="37"/>
  <c r="G1184" i="37"/>
  <c r="G1176" i="37"/>
  <c r="G1168" i="37"/>
  <c r="E1168" i="37" s="1"/>
  <c r="G1153" i="37"/>
  <c r="G1148" i="37"/>
  <c r="G1142" i="37"/>
  <c r="E1142" i="37" s="1"/>
  <c r="G1134" i="37"/>
  <c r="E1134" i="37" s="1"/>
  <c r="G1118" i="37"/>
  <c r="E1118" i="37" s="1"/>
  <c r="G1104" i="37"/>
  <c r="E1104" i="37" s="1"/>
  <c r="G1093" i="37"/>
  <c r="E1093" i="37" s="1"/>
  <c r="G1070" i="37"/>
  <c r="E1070" i="37" s="1"/>
  <c r="G1060" i="37"/>
  <c r="G1044" i="37"/>
  <c r="G1028" i="37"/>
  <c r="G1016" i="37"/>
  <c r="G1004" i="37"/>
  <c r="G986" i="37"/>
  <c r="G965" i="37"/>
  <c r="E965" i="37" s="1"/>
  <c r="G946" i="37"/>
  <c r="E946" i="37" s="1"/>
  <c r="G921" i="37"/>
  <c r="E921" i="37" s="1"/>
  <c r="G885" i="37"/>
  <c r="E885" i="37" s="1"/>
  <c r="G696" i="37"/>
  <c r="E696" i="37" s="1"/>
  <c r="G928" i="37"/>
  <c r="E928" i="37" s="1"/>
  <c r="G933" i="37"/>
  <c r="G1111" i="37"/>
  <c r="G1108" i="37"/>
  <c r="G1079" i="37"/>
  <c r="E1079" i="37" s="1"/>
  <c r="G1080" i="37"/>
  <c r="G1085" i="37"/>
  <c r="G1031" i="37"/>
  <c r="E1031" i="37" s="1"/>
  <c r="G1030" i="37"/>
  <c r="E1030" i="37" s="1"/>
  <c r="G1036" i="37"/>
  <c r="E1036" i="37" s="1"/>
  <c r="G1041" i="37"/>
  <c r="E1041" i="37" s="1"/>
  <c r="G999" i="37"/>
  <c r="E999" i="37" s="1"/>
  <c r="G1000" i="37"/>
  <c r="E1000" i="37" s="1"/>
  <c r="G1005" i="37"/>
  <c r="G951" i="37"/>
  <c r="G952" i="37"/>
  <c r="G895" i="37"/>
  <c r="E895" i="37" s="1"/>
  <c r="G896" i="37"/>
  <c r="G894" i="37"/>
  <c r="G867" i="37"/>
  <c r="E867" i="37" s="1"/>
  <c r="G866" i="37"/>
  <c r="E866" i="37" s="1"/>
  <c r="G872" i="37"/>
  <c r="E872" i="37" s="1"/>
  <c r="G870" i="37"/>
  <c r="E870" i="37" s="1"/>
  <c r="G827" i="37"/>
  <c r="E827" i="37" s="1"/>
  <c r="G828" i="37"/>
  <c r="E828" i="37" s="1"/>
  <c r="G826" i="37"/>
  <c r="G799" i="37"/>
  <c r="G798" i="37"/>
  <c r="G804" i="37"/>
  <c r="G802" i="37"/>
  <c r="G806" i="37"/>
  <c r="E806" i="37" s="1"/>
  <c r="G783" i="37"/>
  <c r="E783" i="37" s="1"/>
  <c r="G784" i="37"/>
  <c r="E784" i="37" s="1"/>
  <c r="G785" i="37"/>
  <c r="E785" i="37" s="1"/>
  <c r="G782" i="37"/>
  <c r="E782" i="37" s="1"/>
  <c r="G739" i="37"/>
  <c r="E739" i="37" s="1"/>
  <c r="G747" i="37"/>
  <c r="E747" i="37" s="1"/>
  <c r="G742" i="37"/>
  <c r="G738" i="37"/>
  <c r="G744" i="37"/>
  <c r="E744" i="37" s="1"/>
  <c r="G700" i="37"/>
  <c r="G707" i="37"/>
  <c r="G702" i="37"/>
  <c r="G699" i="37"/>
  <c r="E699" i="37" s="1"/>
  <c r="G706" i="37"/>
  <c r="E706" i="37" s="1"/>
  <c r="G662" i="37"/>
  <c r="E662" i="37" s="1"/>
  <c r="G656" i="37"/>
  <c r="E656" i="37" s="1"/>
  <c r="G663" i="37"/>
  <c r="E663" i="37" s="1"/>
  <c r="G659" i="37"/>
  <c r="E659" i="37" s="1"/>
  <c r="G667" i="37"/>
  <c r="G615" i="37"/>
  <c r="G610" i="37"/>
  <c r="E610" i="37" s="1"/>
  <c r="G616" i="37"/>
  <c r="G614" i="37"/>
  <c r="G620" i="37"/>
  <c r="G578" i="37"/>
  <c r="E578" i="37" s="1"/>
  <c r="G584" i="37"/>
  <c r="E584" i="37" s="1"/>
  <c r="G579" i="37"/>
  <c r="E579" i="37" s="1"/>
  <c r="G587" i="37"/>
  <c r="E587" i="37" s="1"/>
  <c r="G576" i="37"/>
  <c r="E576" i="37" s="1"/>
  <c r="G583" i="37"/>
  <c r="E583" i="37" s="1"/>
  <c r="G531" i="37"/>
  <c r="G539" i="37"/>
  <c r="G534" i="37"/>
  <c r="G540" i="37"/>
  <c r="G535" i="37"/>
  <c r="G530" i="37"/>
  <c r="G536" i="37"/>
  <c r="E536" i="37" s="1"/>
  <c r="G486" i="37"/>
  <c r="E486" i="37" s="1"/>
  <c r="G492" i="37"/>
  <c r="E492" i="37" s="1"/>
  <c r="G487" i="37"/>
  <c r="E487" i="37" s="1"/>
  <c r="G482" i="37"/>
  <c r="E482" i="37" s="1"/>
  <c r="G488" i="37"/>
  <c r="E488" i="37" s="1"/>
  <c r="G483" i="37"/>
  <c r="G491" i="37"/>
  <c r="G438" i="37"/>
  <c r="E438" i="37" s="1"/>
  <c r="G444" i="37"/>
  <c r="G439" i="37"/>
  <c r="G434" i="37"/>
  <c r="E434" i="37" s="1"/>
  <c r="G440" i="37"/>
  <c r="E440" i="37" s="1"/>
  <c r="G435" i="37"/>
  <c r="E435" i="37" s="1"/>
  <c r="G443" i="37"/>
  <c r="E443" i="37" s="1"/>
  <c r="G390" i="37"/>
  <c r="E390" i="37" s="1"/>
  <c r="G396" i="37"/>
  <c r="E396" i="37" s="1"/>
  <c r="G391" i="37"/>
  <c r="E391" i="37" s="1"/>
  <c r="G386" i="37"/>
  <c r="G392" i="37"/>
  <c r="G387" i="37"/>
  <c r="E387" i="37" s="1"/>
  <c r="G395" i="37"/>
  <c r="G342" i="37"/>
  <c r="G348" i="37"/>
  <c r="G343" i="37"/>
  <c r="E343" i="37" s="1"/>
  <c r="G337" i="37"/>
  <c r="E337" i="37" s="1"/>
  <c r="G344" i="37"/>
  <c r="E344" i="37" s="1"/>
  <c r="G338" i="37"/>
  <c r="E338" i="37" s="1"/>
  <c r="G347" i="37"/>
  <c r="E347" i="37" s="1"/>
  <c r="G294" i="37"/>
  <c r="E294" i="37" s="1"/>
  <c r="G295" i="37"/>
  <c r="G289" i="37"/>
  <c r="G299" i="37"/>
  <c r="E299" i="37" s="1"/>
  <c r="G291" i="37"/>
  <c r="G242" i="37"/>
  <c r="G251" i="37"/>
  <c r="E251" i="37" s="1"/>
  <c r="G243" i="37"/>
  <c r="E243" i="37" s="1"/>
  <c r="G246" i="37"/>
  <c r="E246" i="37" s="1"/>
  <c r="G249" i="37"/>
  <c r="E249" i="37" s="1"/>
  <c r="G195" i="37"/>
  <c r="E195" i="37" s="1"/>
  <c r="G199" i="37"/>
  <c r="E199" i="37" s="1"/>
  <c r="G193" i="37"/>
  <c r="E193" i="37" s="1"/>
  <c r="G201" i="37"/>
  <c r="G194" i="37"/>
  <c r="G203" i="37"/>
  <c r="E203" i="37" s="1"/>
  <c r="G151" i="37"/>
  <c r="G145" i="37"/>
  <c r="G153" i="37"/>
  <c r="E153" i="37" s="1"/>
  <c r="G146" i="37"/>
  <c r="E146" i="37" s="1"/>
  <c r="G150" i="37"/>
  <c r="E150" i="37" s="1"/>
  <c r="G103" i="37"/>
  <c r="E103" i="37" s="1"/>
  <c r="G97" i="37"/>
  <c r="E97" i="37" s="1"/>
  <c r="G107" i="37"/>
  <c r="E107" i="37" s="1"/>
  <c r="G99" i="37"/>
  <c r="E99" i="37" s="1"/>
  <c r="G102" i="37"/>
  <c r="G50" i="37"/>
  <c r="G59" i="37"/>
  <c r="G51" i="37"/>
  <c r="G54" i="37"/>
  <c r="G57" i="37"/>
  <c r="G1230" i="37"/>
  <c r="E1230" i="37" s="1"/>
  <c r="G1224" i="37"/>
  <c r="E1224" i="37" s="1"/>
  <c r="G1212" i="37"/>
  <c r="E1212" i="37" s="1"/>
  <c r="G1204" i="37"/>
  <c r="E1204" i="37" s="1"/>
  <c r="G1193" i="37"/>
  <c r="E1193" i="37" s="1"/>
  <c r="G1188" i="37"/>
  <c r="E1188" i="37" s="1"/>
  <c r="G1182" i="37"/>
  <c r="G1173" i="37"/>
  <c r="G1166" i="37"/>
  <c r="E1166" i="37" s="1"/>
  <c r="G1152" i="37"/>
  <c r="G1146" i="37"/>
  <c r="G1141" i="37"/>
  <c r="G1130" i="37"/>
  <c r="E1130" i="37" s="1"/>
  <c r="G1117" i="37"/>
  <c r="E1117" i="37" s="1"/>
  <c r="G1112" i="37"/>
  <c r="E1112" i="37" s="1"/>
  <c r="G1102" i="37"/>
  <c r="E1102" i="37" s="1"/>
  <c r="G1078" i="37"/>
  <c r="E1078" i="37" s="1"/>
  <c r="G1066" i="37"/>
  <c r="E1066" i="37" s="1"/>
  <c r="G1058" i="37"/>
  <c r="G1040" i="37"/>
  <c r="G1033" i="37"/>
  <c r="E1033" i="37" s="1"/>
  <c r="G1002" i="37"/>
  <c r="G996" i="37"/>
  <c r="G974" i="37"/>
  <c r="G954" i="37"/>
  <c r="E954" i="37" s="1"/>
  <c r="G916" i="37"/>
  <c r="E916" i="37" s="1"/>
  <c r="G893" i="37"/>
  <c r="E893" i="37" s="1"/>
  <c r="G841" i="37"/>
  <c r="E841" i="37" s="1"/>
  <c r="G808" i="37"/>
  <c r="E808" i="37" s="1"/>
  <c r="G801" i="37"/>
  <c r="E801" i="37" s="1"/>
  <c r="G736" i="37"/>
  <c r="G619" i="37"/>
  <c r="G1026" i="37"/>
  <c r="G1022" i="37"/>
  <c r="G950" i="37"/>
  <c r="G949" i="37"/>
  <c r="G924" i="37"/>
  <c r="E924" i="37" s="1"/>
  <c r="G926" i="37"/>
  <c r="E926" i="37" s="1"/>
  <c r="G857" i="37"/>
  <c r="E857" i="37" s="1"/>
  <c r="G864" i="37"/>
  <c r="E864" i="37" s="1"/>
  <c r="G820" i="37"/>
  <c r="E820" i="37" s="1"/>
  <c r="G816" i="37"/>
  <c r="E816" i="37" s="1"/>
  <c r="G795" i="37"/>
  <c r="G792" i="37"/>
  <c r="G797" i="37"/>
  <c r="E797" i="37" s="1"/>
  <c r="G774" i="37"/>
  <c r="G776" i="37"/>
  <c r="G777" i="37"/>
  <c r="G772" i="37"/>
  <c r="E772" i="37" s="1"/>
  <c r="G654" i="37"/>
  <c r="E654" i="37" s="1"/>
  <c r="G648" i="37"/>
  <c r="E648" i="37" s="1"/>
  <c r="G646" i="37"/>
  <c r="E646" i="37" s="1"/>
  <c r="G598" i="37"/>
  <c r="E598" i="37" s="1"/>
  <c r="G603" i="37"/>
  <c r="E603" i="37" s="1"/>
  <c r="G600" i="37"/>
  <c r="G566" i="37"/>
  <c r="G574" i="37"/>
  <c r="E574" i="37" s="1"/>
  <c r="G526" i="37"/>
  <c r="G518" i="37"/>
  <c r="G520" i="37"/>
  <c r="E520" i="37" s="1"/>
  <c r="G528" i="37"/>
  <c r="E528" i="37" s="1"/>
  <c r="G472" i="37"/>
  <c r="E472" i="37" s="1"/>
  <c r="G475" i="37"/>
  <c r="E475" i="37" s="1"/>
  <c r="G424" i="37"/>
  <c r="E424" i="37" s="1"/>
  <c r="G427" i="37"/>
  <c r="E427" i="37" s="1"/>
  <c r="G430" i="37"/>
  <c r="E430" i="37" s="1"/>
  <c r="G379" i="37"/>
  <c r="G382" i="37"/>
  <c r="G384" i="37"/>
  <c r="G374" i="37"/>
  <c r="G278" i="37"/>
  <c r="G281" i="37"/>
  <c r="G285" i="37"/>
  <c r="E285" i="37" s="1"/>
  <c r="G231" i="37"/>
  <c r="E231" i="37" s="1"/>
  <c r="G235" i="37"/>
  <c r="E235" i="37" s="1"/>
  <c r="G182" i="37"/>
  <c r="E182" i="37" s="1"/>
  <c r="G185" i="37"/>
  <c r="E185" i="37" s="1"/>
  <c r="G142" i="37"/>
  <c r="E142" i="37" s="1"/>
  <c r="G135" i="37"/>
  <c r="G89" i="37"/>
  <c r="G93" i="37"/>
  <c r="E93" i="37" s="1"/>
  <c r="G39" i="37"/>
  <c r="G43" i="37"/>
  <c r="G46" i="37"/>
  <c r="G845" i="37"/>
  <c r="E845" i="37" s="1"/>
  <c r="G846" i="37"/>
  <c r="E846" i="37" s="1"/>
  <c r="G842" i="37"/>
  <c r="E842" i="37" s="1"/>
  <c r="G853" i="37"/>
  <c r="E853" i="37" s="1"/>
  <c r="G1229" i="37"/>
  <c r="E1229" i="37" s="1"/>
  <c r="G1221" i="37"/>
  <c r="E1221" i="37" s="1"/>
  <c r="G1210" i="37"/>
  <c r="G1202" i="37"/>
  <c r="G1192" i="37"/>
  <c r="E1192" i="37" s="1"/>
  <c r="G1186" i="37"/>
  <c r="G1172" i="37"/>
  <c r="G1162" i="37"/>
  <c r="G1150" i="37"/>
  <c r="E1150" i="37" s="1"/>
  <c r="G1145" i="37"/>
  <c r="E1145" i="37" s="1"/>
  <c r="G1140" i="37"/>
  <c r="E1140" i="37" s="1"/>
  <c r="G1124" i="37"/>
  <c r="E1124" i="37" s="1"/>
  <c r="G1116" i="37"/>
  <c r="E1116" i="37" s="1"/>
  <c r="G1110" i="37"/>
  <c r="E1110" i="37" s="1"/>
  <c r="G1098" i="37"/>
  <c r="G1084" i="37"/>
  <c r="G1077" i="37"/>
  <c r="E1077" i="37" s="1"/>
  <c r="G1065" i="37"/>
  <c r="G1038" i="37"/>
  <c r="G1032" i="37"/>
  <c r="E1032" i="37" s="1"/>
  <c r="G1018" i="37"/>
  <c r="E1018" i="37" s="1"/>
  <c r="G1008" i="37"/>
  <c r="E1008" i="37" s="1"/>
  <c r="G1001" i="37"/>
  <c r="E1001" i="37" s="1"/>
  <c r="G953" i="37"/>
  <c r="E953" i="37" s="1"/>
  <c r="G938" i="37"/>
  <c r="E938" i="37" s="1"/>
  <c r="G892" i="37"/>
  <c r="E892" i="37" s="1"/>
  <c r="G873" i="37"/>
  <c r="E873" i="37" s="1"/>
  <c r="G858" i="37"/>
  <c r="G840" i="37"/>
  <c r="E840" i="37" s="1"/>
  <c r="G821" i="37"/>
  <c r="G807" i="37"/>
  <c r="G800" i="37"/>
  <c r="G770" i="37"/>
  <c r="E770" i="37" s="1"/>
  <c r="G664" i="37"/>
  <c r="E664" i="37" s="1"/>
  <c r="G611" i="37"/>
  <c r="E611" i="37" s="1"/>
  <c r="G11" i="37"/>
  <c r="E11" i="37" s="1"/>
  <c r="G3" i="37"/>
  <c r="E3" i="37" s="1"/>
  <c r="G1095" i="37"/>
  <c r="E1095" i="37" s="1"/>
  <c r="G1097" i="37"/>
  <c r="G1056" i="37"/>
  <c r="G1064" i="37"/>
  <c r="E1064" i="37" s="1"/>
  <c r="G1015" i="37"/>
  <c r="G1013" i="37"/>
  <c r="G995" i="37"/>
  <c r="E995" i="37" s="1"/>
  <c r="G994" i="37"/>
  <c r="E994" i="37" s="1"/>
  <c r="G964" i="37"/>
  <c r="E964" i="37" s="1"/>
  <c r="G970" i="37"/>
  <c r="E970" i="37" s="1"/>
  <c r="G962" i="37"/>
  <c r="E962" i="37" s="1"/>
  <c r="G969" i="37"/>
  <c r="E969" i="37" s="1"/>
  <c r="G944" i="37"/>
  <c r="E944" i="37" s="1"/>
  <c r="G942" i="37"/>
  <c r="G912" i="37"/>
  <c r="G920" i="37"/>
  <c r="E920" i="37" s="1"/>
  <c r="G917" i="37"/>
  <c r="G884" i="37"/>
  <c r="G890" i="37"/>
  <c r="G882" i="37"/>
  <c r="E882" i="37" s="1"/>
  <c r="G889" i="37"/>
  <c r="E889" i="37" s="1"/>
  <c r="G811" i="37"/>
  <c r="E811" i="37" s="1"/>
  <c r="G810" i="37"/>
  <c r="E810" i="37" s="1"/>
  <c r="G809" i="37"/>
  <c r="E809" i="37" s="1"/>
  <c r="G791" i="37"/>
  <c r="E791" i="37" s="1"/>
  <c r="G790" i="37"/>
  <c r="G766" i="37"/>
  <c r="G769" i="37"/>
  <c r="E769" i="37" s="1"/>
  <c r="G764" i="37"/>
  <c r="G728" i="37"/>
  <c r="G731" i="37"/>
  <c r="G727" i="37"/>
  <c r="E727" i="37" s="1"/>
  <c r="G691" i="37"/>
  <c r="E691" i="37" s="1"/>
  <c r="G680" i="37"/>
  <c r="E680" i="37" s="1"/>
  <c r="G686" i="37"/>
  <c r="E686" i="37" s="1"/>
  <c r="G635" i="37"/>
  <c r="E635" i="37" s="1"/>
  <c r="G638" i="37"/>
  <c r="E638" i="37" s="1"/>
  <c r="G560" i="37"/>
  <c r="G563" i="37"/>
  <c r="G555" i="37"/>
  <c r="E555" i="37" s="1"/>
  <c r="G515" i="37"/>
  <c r="G507" i="37"/>
  <c r="G510" i="37"/>
  <c r="G459" i="37"/>
  <c r="E459" i="37" s="1"/>
  <c r="G462" i="37"/>
  <c r="E462" i="37" s="1"/>
  <c r="G464" i="37"/>
  <c r="E464" i="37" s="1"/>
  <c r="G414" i="37"/>
  <c r="E414" i="37" s="1"/>
  <c r="G416" i="37"/>
  <c r="E416" i="37" s="1"/>
  <c r="G419" i="37"/>
  <c r="E419" i="37" s="1"/>
  <c r="G368" i="37"/>
  <c r="G363" i="37"/>
  <c r="G371" i="37"/>
  <c r="G317" i="37"/>
  <c r="G323" i="37"/>
  <c r="G321" i="37"/>
  <c r="E321" i="37" s="1"/>
  <c r="G267" i="37"/>
  <c r="E267" i="37" s="1"/>
  <c r="G270" i="37"/>
  <c r="E270" i="37" s="1"/>
  <c r="G227" i="37"/>
  <c r="E227" i="37" s="1"/>
  <c r="G217" i="37"/>
  <c r="E217" i="37" s="1"/>
  <c r="G221" i="37"/>
  <c r="E221" i="37" s="1"/>
  <c r="G178" i="37"/>
  <c r="E178" i="37" s="1"/>
  <c r="G171" i="37"/>
  <c r="G129" i="37"/>
  <c r="G121" i="37"/>
  <c r="G131" i="37"/>
  <c r="G75" i="37"/>
  <c r="G78" i="37"/>
  <c r="E78" i="37" s="1"/>
  <c r="G82" i="37"/>
  <c r="E82" i="37" s="1"/>
  <c r="G25" i="37"/>
  <c r="E25" i="37" s="1"/>
  <c r="G29" i="37"/>
  <c r="E29" i="37" s="1"/>
  <c r="G33" i="37"/>
  <c r="E33" i="37" s="1"/>
  <c r="G1214" i="37"/>
  <c r="E1214" i="37" s="1"/>
  <c r="G1209" i="37"/>
  <c r="E1209" i="37" s="1"/>
  <c r="G1200" i="37"/>
  <c r="G1190" i="37"/>
  <c r="G1185" i="37"/>
  <c r="E1185" i="37" s="1"/>
  <c r="G1177" i="37"/>
  <c r="G1161" i="37"/>
  <c r="E1161" i="37" s="1"/>
  <c r="G1149" i="37"/>
  <c r="E1149" i="37" s="1"/>
  <c r="G1144" i="37"/>
  <c r="E1144" i="37" s="1"/>
  <c r="G1120" i="37"/>
  <c r="E1120" i="37" s="1"/>
  <c r="G1114" i="37"/>
  <c r="E1114" i="37" s="1"/>
  <c r="G1109" i="37"/>
  <c r="E1109" i="37" s="1"/>
  <c r="G1096" i="37"/>
  <c r="E1096" i="37" s="1"/>
  <c r="G1082" i="37"/>
  <c r="E1082" i="37" s="1"/>
  <c r="G1076" i="37"/>
  <c r="G1061" i="37"/>
  <c r="G1045" i="37"/>
  <c r="E1045" i="37" s="1"/>
  <c r="G1037" i="37"/>
  <c r="G1029" i="37"/>
  <c r="G1017" i="37"/>
  <c r="E1017" i="37" s="1"/>
  <c r="G1006" i="37"/>
  <c r="E1006" i="37" s="1"/>
  <c r="G998" i="37"/>
  <c r="E998" i="37" s="1"/>
  <c r="G990" i="37"/>
  <c r="E990" i="37" s="1"/>
  <c r="G968" i="37"/>
  <c r="E968" i="37" s="1"/>
  <c r="G948" i="37"/>
  <c r="E948" i="37" s="1"/>
  <c r="G922" i="37"/>
  <c r="E922" i="37" s="1"/>
  <c r="G898" i="37"/>
  <c r="G888" i="37"/>
  <c r="G869" i="37"/>
  <c r="E869" i="37" s="1"/>
  <c r="G852" i="37"/>
  <c r="G830" i="37"/>
  <c r="G814" i="37"/>
  <c r="E814" i="37" s="1"/>
  <c r="G805" i="37"/>
  <c r="E805" i="37" s="1"/>
  <c r="G793" i="37"/>
  <c r="E793" i="37" s="1"/>
  <c r="G763" i="37"/>
  <c r="E763" i="37" s="1"/>
  <c r="G704" i="37"/>
  <c r="E704" i="37" s="1"/>
  <c r="G658" i="37"/>
  <c r="E658" i="37" s="1"/>
  <c r="G1215" i="37"/>
  <c r="E1215" i="37" s="1"/>
  <c r="G1219" i="37"/>
  <c r="G1217" i="37"/>
  <c r="G1218" i="37"/>
  <c r="E1218" i="37" s="1"/>
  <c r="G1195" i="37"/>
  <c r="G1196" i="37"/>
  <c r="G1197" i="37"/>
  <c r="G1155" i="37"/>
  <c r="E1155" i="37" s="1"/>
  <c r="G1159" i="37"/>
  <c r="E1159" i="37" s="1"/>
  <c r="G1163" i="37"/>
  <c r="E1163" i="37" s="1"/>
  <c r="G1158" i="37"/>
  <c r="E1158" i="37" s="1"/>
  <c r="G1164" i="37"/>
  <c r="E1164" i="37" s="1"/>
  <c r="G1160" i="37"/>
  <c r="E1160" i="37" s="1"/>
  <c r="G1154" i="37"/>
  <c r="E1154" i="37" s="1"/>
  <c r="G1165" i="37"/>
  <c r="G1123" i="37"/>
  <c r="E1123" i="37" s="1"/>
  <c r="G1127" i="37"/>
  <c r="G1121" i="37"/>
  <c r="G1126" i="37"/>
  <c r="G1122" i="37"/>
  <c r="E1122" i="37" s="1"/>
  <c r="G1128" i="37"/>
  <c r="E1128" i="37" s="1"/>
  <c r="G1087" i="37"/>
  <c r="E1087" i="37" s="1"/>
  <c r="G1091" i="37"/>
  <c r="E1091" i="37" s="1"/>
  <c r="G1089" i="37"/>
  <c r="E1089" i="37" s="1"/>
  <c r="G1090" i="37"/>
  <c r="E1090" i="37" s="1"/>
  <c r="G1043" i="37"/>
  <c r="G1047" i="37"/>
  <c r="G1051" i="37"/>
  <c r="E1051" i="37" s="1"/>
  <c r="G1046" i="37"/>
  <c r="G1052" i="37"/>
  <c r="G1042" i="37"/>
  <c r="G1048" i="37"/>
  <c r="E1048" i="37" s="1"/>
  <c r="G1053" i="37"/>
  <c r="E1053" i="37" s="1"/>
  <c r="G1011" i="37"/>
  <c r="E1011" i="37" s="1"/>
  <c r="G1009" i="37"/>
  <c r="E1009" i="37" s="1"/>
  <c r="G1010" i="37"/>
  <c r="E1010" i="37" s="1"/>
  <c r="G983" i="37"/>
  <c r="E983" i="37" s="1"/>
  <c r="G987" i="37"/>
  <c r="G991" i="37"/>
  <c r="G982" i="37"/>
  <c r="E982" i="37" s="1"/>
  <c r="G988" i="37"/>
  <c r="G984" i="37"/>
  <c r="G989" i="37"/>
  <c r="E989" i="37" s="1"/>
  <c r="G959" i="37"/>
  <c r="E959" i="37" s="1"/>
  <c r="G956" i="37"/>
  <c r="E956" i="37" s="1"/>
  <c r="G961" i="37"/>
  <c r="E961" i="37" s="1"/>
  <c r="G957" i="37"/>
  <c r="E957" i="37" s="1"/>
  <c r="G958" i="37"/>
  <c r="E958" i="37" s="1"/>
  <c r="G927" i="37"/>
  <c r="E927" i="37" s="1"/>
  <c r="G931" i="37"/>
  <c r="G935" i="37"/>
  <c r="G929" i="37"/>
  <c r="E929" i="37" s="1"/>
  <c r="G934" i="37"/>
  <c r="G930" i="37"/>
  <c r="G936" i="37"/>
  <c r="E936" i="37" s="1"/>
  <c r="G932" i="37"/>
  <c r="E932" i="37" s="1"/>
  <c r="G937" i="37"/>
  <c r="E937" i="37" s="1"/>
  <c r="G903" i="37"/>
  <c r="E903" i="37" s="1"/>
  <c r="G907" i="37"/>
  <c r="E907" i="37" s="1"/>
  <c r="G911" i="37"/>
  <c r="E911" i="37" s="1"/>
  <c r="G902" i="37"/>
  <c r="E902" i="37" s="1"/>
  <c r="G908" i="37"/>
  <c r="G909" i="37"/>
  <c r="G900" i="37"/>
  <c r="E900" i="37" s="1"/>
  <c r="G910" i="37"/>
  <c r="G904" i="37"/>
  <c r="G905" i="37"/>
  <c r="E905" i="37" s="1"/>
  <c r="G875" i="37"/>
  <c r="E875" i="37" s="1"/>
  <c r="G879" i="37"/>
  <c r="E879" i="37" s="1"/>
  <c r="G876" i="37"/>
  <c r="E876" i="37" s="1"/>
  <c r="G877" i="37"/>
  <c r="E877" i="37" s="1"/>
  <c r="G878" i="37"/>
  <c r="E878" i="37" s="1"/>
  <c r="G835" i="37"/>
  <c r="E835" i="37" s="1"/>
  <c r="G833" i="37"/>
  <c r="G834" i="37"/>
  <c r="G836" i="37"/>
  <c r="E836" i="37" s="1"/>
  <c r="G749" i="37"/>
  <c r="G753" i="37"/>
  <c r="G757" i="37"/>
  <c r="E757" i="37" s="1"/>
  <c r="G751" i="37"/>
  <c r="E751" i="37" s="1"/>
  <c r="G756" i="37"/>
  <c r="E756" i="37" s="1"/>
  <c r="G754" i="37"/>
  <c r="E754" i="37" s="1"/>
  <c r="G758" i="37"/>
  <c r="E758" i="37" s="1"/>
  <c r="G748" i="37"/>
  <c r="E748" i="37" s="1"/>
  <c r="G755" i="37"/>
  <c r="E755" i="37" s="1"/>
  <c r="G750" i="37"/>
  <c r="G713" i="37"/>
  <c r="G717" i="37"/>
  <c r="E717" i="37" s="1"/>
  <c r="G721" i="37"/>
  <c r="G714" i="37"/>
  <c r="G719" i="37"/>
  <c r="G711" i="37"/>
  <c r="E711" i="37" s="1"/>
  <c r="G716" i="37"/>
  <c r="E716" i="37" s="1"/>
  <c r="G715" i="37"/>
  <c r="E715" i="37" s="1"/>
  <c r="G720" i="37"/>
  <c r="E720" i="37" s="1"/>
  <c r="G718" i="37"/>
  <c r="E718" i="37" s="1"/>
  <c r="G710" i="37"/>
  <c r="E710" i="37" s="1"/>
  <c r="G669" i="37"/>
  <c r="G673" i="37"/>
  <c r="G677" i="37"/>
  <c r="E677" i="37" s="1"/>
  <c r="G671" i="37"/>
  <c r="G676" i="37"/>
  <c r="G668" i="37"/>
  <c r="E668" i="37" s="1"/>
  <c r="G674" i="37"/>
  <c r="E674" i="37" s="1"/>
  <c r="G679" i="37"/>
  <c r="E679" i="37" s="1"/>
  <c r="G678" i="37"/>
  <c r="E678" i="37" s="1"/>
  <c r="G670" i="37"/>
  <c r="E670" i="37" s="1"/>
  <c r="G672" i="37"/>
  <c r="E672" i="37" s="1"/>
  <c r="G621" i="37"/>
  <c r="E621" i="37" s="1"/>
  <c r="G625" i="37"/>
  <c r="G629" i="37"/>
  <c r="G623" i="37"/>
  <c r="E623" i="37" s="1"/>
  <c r="G628" i="37"/>
  <c r="G626" i="37"/>
  <c r="G631" i="37"/>
  <c r="E631" i="37" s="1"/>
  <c r="G630" i="37"/>
  <c r="E630" i="37" s="1"/>
  <c r="G624" i="37"/>
  <c r="E624" i="37" s="1"/>
  <c r="G622" i="37"/>
  <c r="E622" i="37" s="1"/>
  <c r="G632" i="37"/>
  <c r="E632" i="37" s="1"/>
  <c r="G589" i="37"/>
  <c r="E589" i="37" s="1"/>
  <c r="G593" i="37"/>
  <c r="E593" i="37" s="1"/>
  <c r="G591" i="37"/>
  <c r="E591" i="37" s="1"/>
  <c r="G588" i="37"/>
  <c r="G590" i="37"/>
  <c r="E590" i="37" s="1"/>
  <c r="G541" i="37"/>
  <c r="G545" i="37"/>
  <c r="E545" i="37" s="1"/>
  <c r="G549" i="37"/>
  <c r="E549" i="37" s="1"/>
  <c r="G543" i="37"/>
  <c r="E543" i="37" s="1"/>
  <c r="G548" i="37"/>
  <c r="E548" i="37" s="1"/>
  <c r="G546" i="37"/>
  <c r="E546" i="37" s="1"/>
  <c r="G551" i="37"/>
  <c r="E551" i="37" s="1"/>
  <c r="G547" i="37"/>
  <c r="E547" i="37" s="1"/>
  <c r="G542" i="37"/>
  <c r="E542" i="37" s="1"/>
  <c r="G550" i="37"/>
  <c r="G552" i="37"/>
  <c r="E552" i="37" s="1"/>
  <c r="G493" i="37"/>
  <c r="E493" i="37" s="1"/>
  <c r="G497" i="37"/>
  <c r="G501" i="37"/>
  <c r="E501" i="37" s="1"/>
  <c r="G495" i="37"/>
  <c r="G500" i="37"/>
  <c r="E500" i="37" s="1"/>
  <c r="G498" i="37"/>
  <c r="E498" i="37" s="1"/>
  <c r="G503" i="37"/>
  <c r="E503" i="37" s="1"/>
  <c r="G502" i="37"/>
  <c r="E502" i="37" s="1"/>
  <c r="G494" i="37"/>
  <c r="E494" i="37" s="1"/>
  <c r="G504" i="37"/>
  <c r="E504" i="37" s="1"/>
  <c r="G496" i="37"/>
  <c r="G445" i="37"/>
  <c r="G449" i="37"/>
  <c r="E449" i="37" s="1"/>
  <c r="G453" i="37"/>
  <c r="G447" i="37"/>
  <c r="G452" i="37"/>
  <c r="G450" i="37"/>
  <c r="E450" i="37" s="1"/>
  <c r="G455" i="37"/>
  <c r="E455" i="37" s="1"/>
  <c r="G446" i="37"/>
  <c r="E446" i="37" s="1"/>
  <c r="G456" i="37"/>
  <c r="E456" i="37" s="1"/>
  <c r="G448" i="37"/>
  <c r="E448" i="37" s="1"/>
  <c r="G451" i="37"/>
  <c r="E451" i="37" s="1"/>
  <c r="G397" i="37"/>
  <c r="G401" i="37"/>
  <c r="G405" i="37"/>
  <c r="E405" i="37" s="1"/>
  <c r="G399" i="37"/>
  <c r="G404" i="37"/>
  <c r="G402" i="37"/>
  <c r="G407" i="37"/>
  <c r="E407" i="37" s="1"/>
  <c r="G400" i="37"/>
  <c r="E400" i="37" s="1"/>
  <c r="G406" i="37"/>
  <c r="E406" i="37" s="1"/>
  <c r="G403" i="37"/>
  <c r="E403" i="37" s="1"/>
  <c r="G349" i="37"/>
  <c r="E349" i="37" s="1"/>
  <c r="G353" i="37"/>
  <c r="E353" i="37" s="1"/>
  <c r="G357" i="37"/>
  <c r="G351" i="37"/>
  <c r="G356" i="37"/>
  <c r="E356" i="37" s="1"/>
  <c r="G354" i="37"/>
  <c r="G359" i="37"/>
  <c r="G355" i="37"/>
  <c r="G350" i="37"/>
  <c r="E350" i="37" s="1"/>
  <c r="G358" i="37"/>
  <c r="E358" i="37" s="1"/>
  <c r="G360" i="37"/>
  <c r="E360" i="37" s="1"/>
  <c r="G304" i="37"/>
  <c r="E304" i="37" s="1"/>
  <c r="G308" i="37"/>
  <c r="E308" i="37" s="1"/>
  <c r="G312" i="37"/>
  <c r="E312" i="37" s="1"/>
  <c r="G303" i="37"/>
  <c r="G309" i="37"/>
  <c r="G305" i="37"/>
  <c r="E305" i="37" s="1"/>
  <c r="G311" i="37"/>
  <c r="G301" i="37"/>
  <c r="G307" i="37"/>
  <c r="E307" i="37" s="1"/>
  <c r="G306" i="37"/>
  <c r="E306" i="37" s="1"/>
  <c r="G302" i="37"/>
  <c r="E302" i="37" s="1"/>
  <c r="G256" i="37"/>
  <c r="E256" i="37" s="1"/>
  <c r="G260" i="37"/>
  <c r="E260" i="37" s="1"/>
  <c r="G264" i="37"/>
  <c r="E264" i="37" s="1"/>
  <c r="G255" i="37"/>
  <c r="E255" i="37" s="1"/>
  <c r="G261" i="37"/>
  <c r="G254" i="37"/>
  <c r="G262" i="37"/>
  <c r="E262" i="37" s="1"/>
  <c r="G258" i="37"/>
  <c r="G259" i="37"/>
  <c r="G253" i="37"/>
  <c r="E253" i="37" s="1"/>
  <c r="G263" i="37"/>
  <c r="E263" i="37" s="1"/>
  <c r="G208" i="37"/>
  <c r="E208" i="37" s="1"/>
  <c r="G212" i="37"/>
  <c r="E212" i="37" s="1"/>
  <c r="G216" i="37"/>
  <c r="E216" i="37" s="1"/>
  <c r="G207" i="37"/>
  <c r="E207" i="37" s="1"/>
  <c r="G213" i="37"/>
  <c r="E213" i="37" s="1"/>
  <c r="G205" i="37"/>
  <c r="E205" i="37" s="1"/>
  <c r="G211" i="37"/>
  <c r="G209" i="37"/>
  <c r="E209" i="37" s="1"/>
  <c r="G215" i="37"/>
  <c r="G210" i="37"/>
  <c r="E210" i="37" s="1"/>
  <c r="G214" i="37"/>
  <c r="E214" i="37" s="1"/>
  <c r="G160" i="37"/>
  <c r="E160" i="37" s="1"/>
  <c r="G164" i="37"/>
  <c r="E164" i="37" s="1"/>
  <c r="G168" i="37"/>
  <c r="E168" i="37" s="1"/>
  <c r="G159" i="37"/>
  <c r="E159" i="37" s="1"/>
  <c r="G165" i="37"/>
  <c r="E165" i="37" s="1"/>
  <c r="G162" i="37"/>
  <c r="E162" i="37" s="1"/>
  <c r="G158" i="37"/>
  <c r="G166" i="37"/>
  <c r="E166" i="37" s="1"/>
  <c r="G161" i="37"/>
  <c r="E161" i="37" s="1"/>
  <c r="G167" i="37"/>
  <c r="G163" i="37"/>
  <c r="E163" i="37" s="1"/>
  <c r="G112" i="37"/>
  <c r="E112" i="37" s="1"/>
  <c r="G116" i="37"/>
  <c r="E116" i="37" s="1"/>
  <c r="G120" i="37"/>
  <c r="E120" i="37" s="1"/>
  <c r="G111" i="37"/>
  <c r="E111" i="37" s="1"/>
  <c r="G117" i="37"/>
  <c r="E117" i="37" s="1"/>
  <c r="G113" i="37"/>
  <c r="E113" i="37" s="1"/>
  <c r="G119" i="37"/>
  <c r="E119" i="37" s="1"/>
  <c r="G109" i="37"/>
  <c r="E109" i="37" s="1"/>
  <c r="G115" i="37"/>
  <c r="G110" i="37"/>
  <c r="E110" i="37" s="1"/>
  <c r="G118" i="37"/>
  <c r="G114" i="37"/>
  <c r="G64" i="37"/>
  <c r="E64" i="37" s="1"/>
  <c r="G68" i="37"/>
  <c r="E68" i="37" s="1"/>
  <c r="G72" i="37"/>
  <c r="E72" i="37" s="1"/>
  <c r="G63" i="37"/>
  <c r="E63" i="37" s="1"/>
  <c r="G69" i="37"/>
  <c r="E69" i="37" s="1"/>
  <c r="G62" i="37"/>
  <c r="E62" i="37" s="1"/>
  <c r="G70" i="37"/>
  <c r="E70" i="37" s="1"/>
  <c r="G66" i="37"/>
  <c r="G71" i="37"/>
  <c r="G65" i="37"/>
  <c r="E65" i="37" s="1"/>
  <c r="G61" i="37"/>
  <c r="G16" i="37"/>
  <c r="E16" i="37" s="1"/>
  <c r="G20" i="37"/>
  <c r="E20" i="37" s="1"/>
  <c r="G24" i="37"/>
  <c r="E24" i="37" s="1"/>
  <c r="G15" i="37"/>
  <c r="E15" i="37" s="1"/>
  <c r="G21" i="37"/>
  <c r="E21" i="37" s="1"/>
  <c r="G13" i="37"/>
  <c r="E13" i="37" s="1"/>
  <c r="G19" i="37"/>
  <c r="E19" i="37" s="1"/>
  <c r="G17" i="37"/>
  <c r="E17" i="37" s="1"/>
  <c r="G23" i="37"/>
  <c r="E23" i="37" s="1"/>
  <c r="G22" i="37"/>
  <c r="E22" i="37" s="1"/>
  <c r="G14" i="37"/>
  <c r="E14" i="37" s="1"/>
  <c r="G1216" i="37"/>
  <c r="G1156" i="37"/>
  <c r="E1156" i="37" s="1"/>
  <c r="G1125" i="37"/>
  <c r="E1125" i="37" s="1"/>
  <c r="G1086" i="37"/>
  <c r="E1086" i="37" s="1"/>
  <c r="G1049" i="37"/>
  <c r="E1049" i="37" s="1"/>
  <c r="G981" i="37"/>
  <c r="E981" i="37" s="1"/>
  <c r="G906" i="37"/>
  <c r="E906" i="37" s="1"/>
  <c r="G759" i="37"/>
  <c r="E759" i="37" s="1"/>
  <c r="G352" i="37"/>
  <c r="E352" i="37" s="1"/>
  <c r="G18" i="37"/>
  <c r="E18" i="37" s="1"/>
  <c r="G1179" i="37"/>
  <c r="G1183" i="37"/>
  <c r="E1183" i="37" s="1"/>
  <c r="G1067" i="37"/>
  <c r="E1067" i="37" s="1"/>
  <c r="G1071" i="37"/>
  <c r="G1075" i="37"/>
  <c r="E1075" i="37" s="1"/>
  <c r="G975" i="37"/>
  <c r="E975" i="37" s="1"/>
  <c r="G979" i="37"/>
  <c r="E979" i="37" s="1"/>
  <c r="G855" i="37"/>
  <c r="E855" i="37" s="1"/>
  <c r="G859" i="37"/>
  <c r="E859" i="37" s="1"/>
  <c r="G863" i="37"/>
  <c r="E863" i="37" s="1"/>
  <c r="G815" i="37"/>
  <c r="E815" i="37" s="1"/>
  <c r="G819" i="37"/>
  <c r="E819" i="37" s="1"/>
  <c r="G823" i="37"/>
  <c r="E823" i="37" s="1"/>
  <c r="G693" i="37"/>
  <c r="E693" i="37" s="1"/>
  <c r="G697" i="37"/>
  <c r="G692" i="37"/>
  <c r="E692" i="37" s="1"/>
  <c r="G695" i="37"/>
  <c r="G565" i="37"/>
  <c r="E565" i="37" s="1"/>
  <c r="G569" i="37"/>
  <c r="E569" i="37" s="1"/>
  <c r="G573" i="37"/>
  <c r="E573" i="37" s="1"/>
  <c r="G570" i="37"/>
  <c r="E570" i="37" s="1"/>
  <c r="G575" i="37"/>
  <c r="E575" i="37" s="1"/>
  <c r="G567" i="37"/>
  <c r="E567" i="37" s="1"/>
  <c r="G572" i="37"/>
  <c r="E572" i="37" s="1"/>
  <c r="G469" i="37"/>
  <c r="E469" i="37" s="1"/>
  <c r="G473" i="37"/>
  <c r="E473" i="37" s="1"/>
  <c r="G477" i="37"/>
  <c r="G474" i="37"/>
  <c r="E474" i="37" s="1"/>
  <c r="G479" i="37"/>
  <c r="E479" i="37" s="1"/>
  <c r="G471" i="37"/>
  <c r="E471" i="37" s="1"/>
  <c r="G476" i="37"/>
  <c r="E476" i="37" s="1"/>
  <c r="G328" i="37"/>
  <c r="E328" i="37" s="1"/>
  <c r="G332" i="37"/>
  <c r="E332" i="37" s="1"/>
  <c r="G336" i="37"/>
  <c r="E336" i="37" s="1"/>
  <c r="G325" i="37"/>
  <c r="E325" i="37" s="1"/>
  <c r="G330" i="37"/>
  <c r="G335" i="37"/>
  <c r="G326" i="37"/>
  <c r="E326" i="37" s="1"/>
  <c r="G333" i="37"/>
  <c r="G329" i="37"/>
  <c r="E329" i="37" s="1"/>
  <c r="G184" i="37"/>
  <c r="E184" i="37" s="1"/>
  <c r="G188" i="37"/>
  <c r="E188" i="37" s="1"/>
  <c r="G192" i="37"/>
  <c r="E192" i="37" s="1"/>
  <c r="G181" i="37"/>
  <c r="E181" i="37" s="1"/>
  <c r="G186" i="37"/>
  <c r="E186" i="37" s="1"/>
  <c r="G191" i="37"/>
  <c r="E191" i="37" s="1"/>
  <c r="G183" i="37"/>
  <c r="E183" i="37" s="1"/>
  <c r="G190" i="37"/>
  <c r="E190" i="37" s="1"/>
  <c r="G187" i="37"/>
  <c r="E187" i="37" s="1"/>
  <c r="G1181" i="37"/>
  <c r="E1181" i="37" s="1"/>
  <c r="G978" i="37"/>
  <c r="E978" i="37" s="1"/>
  <c r="G925" i="37"/>
  <c r="E925" i="37" s="1"/>
  <c r="G861" i="37"/>
  <c r="E861" i="37" s="1"/>
  <c r="G856" i="37"/>
  <c r="E856" i="37" s="1"/>
  <c r="G850" i="37"/>
  <c r="E850" i="37" s="1"/>
  <c r="G824" i="37"/>
  <c r="E824" i="37" s="1"/>
  <c r="G818" i="37"/>
  <c r="E818" i="37" s="1"/>
  <c r="G796" i="37"/>
  <c r="E796" i="37" s="1"/>
  <c r="G780" i="37"/>
  <c r="E780" i="37" s="1"/>
  <c r="G734" i="37"/>
  <c r="E734" i="37" s="1"/>
  <c r="G608" i="37"/>
  <c r="G571" i="37"/>
  <c r="E571" i="37" s="1"/>
  <c r="G480" i="37"/>
  <c r="E480" i="37" s="1"/>
  <c r="G470" i="37"/>
  <c r="E470" i="37" s="1"/>
  <c r="G331" i="37"/>
  <c r="E331" i="37" s="1"/>
  <c r="G1203" i="37"/>
  <c r="E1203" i="37" s="1"/>
  <c r="G1207" i="37"/>
  <c r="E1207" i="37" s="1"/>
  <c r="G1135" i="37"/>
  <c r="E1135" i="37" s="1"/>
  <c r="G1139" i="37"/>
  <c r="E1139" i="37" s="1"/>
  <c r="G1099" i="37"/>
  <c r="E1099" i="37" s="1"/>
  <c r="G1103" i="37"/>
  <c r="E1103" i="37" s="1"/>
  <c r="G1107" i="37"/>
  <c r="E1107" i="37" s="1"/>
  <c r="G1019" i="37"/>
  <c r="G1023" i="37"/>
  <c r="E1023" i="37" s="1"/>
  <c r="G1027" i="37"/>
  <c r="G771" i="37"/>
  <c r="G775" i="37"/>
  <c r="E775" i="37" s="1"/>
  <c r="G779" i="37"/>
  <c r="E779" i="37" s="1"/>
  <c r="G645" i="37"/>
  <c r="E645" i="37" s="1"/>
  <c r="G649" i="37"/>
  <c r="E649" i="37" s="1"/>
  <c r="G653" i="37"/>
  <c r="E653" i="37" s="1"/>
  <c r="G650" i="37"/>
  <c r="E650" i="37" s="1"/>
  <c r="G655" i="37"/>
  <c r="E655" i="37" s="1"/>
  <c r="G647" i="37"/>
  <c r="G652" i="37"/>
  <c r="G597" i="37"/>
  <c r="E597" i="37" s="1"/>
  <c r="G601" i="37"/>
  <c r="E601" i="37" s="1"/>
  <c r="G605" i="37"/>
  <c r="E605" i="37" s="1"/>
  <c r="G602" i="37"/>
  <c r="E602" i="37" s="1"/>
  <c r="G607" i="37"/>
  <c r="E607" i="37" s="1"/>
  <c r="G599" i="37"/>
  <c r="E599" i="37" s="1"/>
  <c r="G604" i="37"/>
  <c r="E604" i="37" s="1"/>
  <c r="G517" i="37"/>
  <c r="E517" i="37" s="1"/>
  <c r="G521" i="37"/>
  <c r="E521" i="37" s="1"/>
  <c r="G525" i="37"/>
  <c r="E525" i="37" s="1"/>
  <c r="G522" i="37"/>
  <c r="E522" i="37" s="1"/>
  <c r="G527" i="37"/>
  <c r="G519" i="37"/>
  <c r="E519" i="37" s="1"/>
  <c r="G524" i="37"/>
  <c r="G421" i="37"/>
  <c r="E421" i="37" s="1"/>
  <c r="G425" i="37"/>
  <c r="E425" i="37" s="1"/>
  <c r="G429" i="37"/>
  <c r="E429" i="37" s="1"/>
  <c r="G426" i="37"/>
  <c r="E426" i="37" s="1"/>
  <c r="G431" i="37"/>
  <c r="E431" i="37" s="1"/>
  <c r="G423" i="37"/>
  <c r="E423" i="37" s="1"/>
  <c r="G428" i="37"/>
  <c r="E428" i="37" s="1"/>
  <c r="G373" i="37"/>
  <c r="E373" i="37" s="1"/>
  <c r="G377" i="37"/>
  <c r="E377" i="37" s="1"/>
  <c r="G381" i="37"/>
  <c r="G378" i="37"/>
  <c r="E378" i="37" s="1"/>
  <c r="G383" i="37"/>
  <c r="E383" i="37" s="1"/>
  <c r="G375" i="37"/>
  <c r="E375" i="37" s="1"/>
  <c r="G380" i="37"/>
  <c r="E380" i="37" s="1"/>
  <c r="G280" i="37"/>
  <c r="E280" i="37" s="1"/>
  <c r="G284" i="37"/>
  <c r="E284" i="37" s="1"/>
  <c r="G288" i="37"/>
  <c r="E288" i="37" s="1"/>
  <c r="G277" i="37"/>
  <c r="E277" i="37" s="1"/>
  <c r="G282" i="37"/>
  <c r="E282" i="37" s="1"/>
  <c r="G287" i="37"/>
  <c r="E287" i="37" s="1"/>
  <c r="G283" i="37"/>
  <c r="E283" i="37" s="1"/>
  <c r="G279" i="37"/>
  <c r="E279" i="37" s="1"/>
  <c r="G286" i="37"/>
  <c r="E286" i="37" s="1"/>
  <c r="G232" i="37"/>
  <c r="G236" i="37"/>
  <c r="E236" i="37" s="1"/>
  <c r="G240" i="37"/>
  <c r="E240" i="37" s="1"/>
  <c r="G229" i="37"/>
  <c r="E229" i="37" s="1"/>
  <c r="G234" i="37"/>
  <c r="E234" i="37" s="1"/>
  <c r="G239" i="37"/>
  <c r="E239" i="37" s="1"/>
  <c r="G233" i="37"/>
  <c r="E233" i="37" s="1"/>
  <c r="G230" i="37"/>
  <c r="E230" i="37" s="1"/>
  <c r="G237" i="37"/>
  <c r="E237" i="37" s="1"/>
  <c r="G136" i="37"/>
  <c r="E136" i="37" s="1"/>
  <c r="G140" i="37"/>
  <c r="G144" i="37"/>
  <c r="E144" i="37" s="1"/>
  <c r="G133" i="37"/>
  <c r="G138" i="37"/>
  <c r="E138" i="37" s="1"/>
  <c r="G143" i="37"/>
  <c r="E143" i="37" s="1"/>
  <c r="G134" i="37"/>
  <c r="E134" i="37" s="1"/>
  <c r="G141" i="37"/>
  <c r="E141" i="37" s="1"/>
  <c r="G137" i="37"/>
  <c r="E137" i="37" s="1"/>
  <c r="G88" i="37"/>
  <c r="E88" i="37" s="1"/>
  <c r="G92" i="37"/>
  <c r="E92" i="37" s="1"/>
  <c r="G96" i="37"/>
  <c r="E96" i="37" s="1"/>
  <c r="G85" i="37"/>
  <c r="E85" i="37" s="1"/>
  <c r="G90" i="37"/>
  <c r="E90" i="37" s="1"/>
  <c r="G95" i="37"/>
  <c r="E95" i="37" s="1"/>
  <c r="G91" i="37"/>
  <c r="E91" i="37" s="1"/>
  <c r="G87" i="37"/>
  <c r="E87" i="37" s="1"/>
  <c r="G94" i="37"/>
  <c r="G40" i="37"/>
  <c r="E40" i="37" s="1"/>
  <c r="G44" i="37"/>
  <c r="E44" i="37" s="1"/>
  <c r="G48" i="37"/>
  <c r="E48" i="37" s="1"/>
  <c r="G37" i="37"/>
  <c r="E37" i="37" s="1"/>
  <c r="G42" i="37"/>
  <c r="E42" i="37" s="1"/>
  <c r="G47" i="37"/>
  <c r="E47" i="37" s="1"/>
  <c r="G41" i="37"/>
  <c r="E41" i="37" s="1"/>
  <c r="G38" i="37"/>
  <c r="E38" i="37" s="1"/>
  <c r="G45" i="37"/>
  <c r="E45" i="37" s="1"/>
  <c r="G843" i="37"/>
  <c r="E843" i="37" s="1"/>
  <c r="G847" i="37"/>
  <c r="E847" i="37" s="1"/>
  <c r="G851" i="37"/>
  <c r="E851" i="37" s="1"/>
  <c r="G1138" i="37"/>
  <c r="E1138" i="37" s="1"/>
  <c r="G1133" i="37"/>
  <c r="E1133" i="37" s="1"/>
  <c r="G1101" i="37"/>
  <c r="E1101" i="37" s="1"/>
  <c r="G1074" i="37"/>
  <c r="E1074" i="37" s="1"/>
  <c r="G1069" i="37"/>
  <c r="E1069" i="37" s="1"/>
  <c r="G1021" i="37"/>
  <c r="E1021" i="37" s="1"/>
  <c r="G4" i="37"/>
  <c r="E4" i="37" s="1"/>
  <c r="G8" i="37"/>
  <c r="E8" i="37" s="1"/>
  <c r="G12" i="37"/>
  <c r="E12" i="37" s="1"/>
  <c r="G5" i="37"/>
  <c r="E5" i="37" s="1"/>
  <c r="G10" i="37"/>
  <c r="E10" i="37" s="1"/>
  <c r="G6" i="37"/>
  <c r="E6" i="37" s="1"/>
  <c r="G2" i="37"/>
  <c r="E2" i="37" s="1"/>
  <c r="G9" i="37"/>
  <c r="E9" i="37" s="1"/>
  <c r="G1223" i="37"/>
  <c r="E1223" i="37" s="1"/>
  <c r="G1227" i="37"/>
  <c r="E1227" i="37" s="1"/>
  <c r="G1167" i="37"/>
  <c r="E1167" i="37" s="1"/>
  <c r="G1171" i="37"/>
  <c r="E1171" i="37" s="1"/>
  <c r="G1175" i="37"/>
  <c r="E1175" i="37" s="1"/>
  <c r="G1055" i="37"/>
  <c r="G1059" i="37"/>
  <c r="E1059" i="37" s="1"/>
  <c r="G1063" i="37"/>
  <c r="E1063" i="37" s="1"/>
  <c r="G963" i="37"/>
  <c r="E963" i="37" s="1"/>
  <c r="G967" i="37"/>
  <c r="E967" i="37" s="1"/>
  <c r="G971" i="37"/>
  <c r="E971" i="37" s="1"/>
  <c r="G939" i="37"/>
  <c r="E939" i="37" s="1"/>
  <c r="G943" i="37"/>
  <c r="E943" i="37" s="1"/>
  <c r="G947" i="37"/>
  <c r="E947" i="37" s="1"/>
  <c r="G915" i="37"/>
  <c r="E915" i="37" s="1"/>
  <c r="G919" i="37"/>
  <c r="E919" i="37" s="1"/>
  <c r="G923" i="37"/>
  <c r="E923" i="37" s="1"/>
  <c r="G883" i="37"/>
  <c r="E883" i="37" s="1"/>
  <c r="G887" i="37"/>
  <c r="E887" i="37" s="1"/>
  <c r="G891" i="37"/>
  <c r="E891" i="37" s="1"/>
  <c r="G761" i="37"/>
  <c r="E761" i="37" s="1"/>
  <c r="G765" i="37"/>
  <c r="E765" i="37" s="1"/>
  <c r="G762" i="37"/>
  <c r="E762" i="37" s="1"/>
  <c r="G767" i="37"/>
  <c r="E767" i="37" s="1"/>
  <c r="G725" i="37"/>
  <c r="E725" i="37" s="1"/>
  <c r="G729" i="37"/>
  <c r="E729" i="37" s="1"/>
  <c r="G733" i="37"/>
  <c r="E733" i="37" s="1"/>
  <c r="G724" i="37"/>
  <c r="E724" i="37" s="1"/>
  <c r="G730" i="37"/>
  <c r="E730" i="37" s="1"/>
  <c r="G722" i="37"/>
  <c r="E722" i="37" s="1"/>
  <c r="G681" i="37"/>
  <c r="E681" i="37" s="1"/>
  <c r="G685" i="37"/>
  <c r="E685" i="37" s="1"/>
  <c r="G689" i="37"/>
  <c r="E689" i="37" s="1"/>
  <c r="G682" i="37"/>
  <c r="E682" i="37" s="1"/>
  <c r="G687" i="37"/>
  <c r="E687" i="37" s="1"/>
  <c r="G684" i="37"/>
  <c r="E684" i="37" s="1"/>
  <c r="G690" i="37"/>
  <c r="E690" i="37" s="1"/>
  <c r="G633" i="37"/>
  <c r="E633" i="37" s="1"/>
  <c r="G637" i="37"/>
  <c r="E637" i="37" s="1"/>
  <c r="G641" i="37"/>
  <c r="E641" i="37" s="1"/>
  <c r="G634" i="37"/>
  <c r="G639" i="37"/>
  <c r="G644" i="37"/>
  <c r="E644" i="37" s="1"/>
  <c r="G636" i="37"/>
  <c r="E636" i="37" s="1"/>
  <c r="G642" i="37"/>
  <c r="E642" i="37" s="1"/>
  <c r="G596" i="37"/>
  <c r="E596" i="37" s="1"/>
  <c r="G594" i="37"/>
  <c r="E594" i="37" s="1"/>
  <c r="G553" i="37"/>
  <c r="E553" i="37" s="1"/>
  <c r="G557" i="37"/>
  <c r="E557" i="37" s="1"/>
  <c r="G561" i="37"/>
  <c r="E561" i="37" s="1"/>
  <c r="G554" i="37"/>
  <c r="E554" i="37" s="1"/>
  <c r="G559" i="37"/>
  <c r="E559" i="37" s="1"/>
  <c r="G564" i="37"/>
  <c r="G556" i="37"/>
  <c r="E556" i="37" s="1"/>
  <c r="G562" i="37"/>
  <c r="E562" i="37" s="1"/>
  <c r="G505" i="37"/>
  <c r="E505" i="37" s="1"/>
  <c r="G509" i="37"/>
  <c r="G513" i="37"/>
  <c r="E513" i="37" s="1"/>
  <c r="G506" i="37"/>
  <c r="E506" i="37" s="1"/>
  <c r="G511" i="37"/>
  <c r="E511" i="37" s="1"/>
  <c r="G516" i="37"/>
  <c r="E516" i="37" s="1"/>
  <c r="G508" i="37"/>
  <c r="E508" i="37" s="1"/>
  <c r="G514" i="37"/>
  <c r="E514" i="37" s="1"/>
  <c r="G457" i="37"/>
  <c r="E457" i="37" s="1"/>
  <c r="G461" i="37"/>
  <c r="E461" i="37" s="1"/>
  <c r="G465" i="37"/>
  <c r="G458" i="37"/>
  <c r="E458" i="37" s="1"/>
  <c r="G463" i="37"/>
  <c r="E463" i="37" s="1"/>
  <c r="G468" i="37"/>
  <c r="E468" i="37" s="1"/>
  <c r="G460" i="37"/>
  <c r="E460" i="37" s="1"/>
  <c r="G466" i="37"/>
  <c r="E466" i="37" s="1"/>
  <c r="G409" i="37"/>
  <c r="E409" i="37" s="1"/>
  <c r="G413" i="37"/>
  <c r="E413" i="37" s="1"/>
  <c r="G417" i="37"/>
  <c r="E417" i="37" s="1"/>
  <c r="G410" i="37"/>
  <c r="E410" i="37" s="1"/>
  <c r="G415" i="37"/>
  <c r="E415" i="37" s="1"/>
  <c r="G420" i="37"/>
  <c r="E420" i="37" s="1"/>
  <c r="G412" i="37"/>
  <c r="E412" i="37" s="1"/>
  <c r="G418" i="37"/>
  <c r="E418" i="37" s="1"/>
  <c r="G361" i="37"/>
  <c r="E361" i="37" s="1"/>
  <c r="G365" i="37"/>
  <c r="E365" i="37" s="1"/>
  <c r="G369" i="37"/>
  <c r="E369" i="37" s="1"/>
  <c r="G362" i="37"/>
  <c r="E362" i="37" s="1"/>
  <c r="G367" i="37"/>
  <c r="E367" i="37" s="1"/>
  <c r="G372" i="37"/>
  <c r="E372" i="37" s="1"/>
  <c r="G364" i="37"/>
  <c r="E364" i="37" s="1"/>
  <c r="G370" i="37"/>
  <c r="E370" i="37" s="1"/>
  <c r="G316" i="37"/>
  <c r="E316" i="37" s="1"/>
  <c r="G320" i="37"/>
  <c r="E320" i="37" s="1"/>
  <c r="G324" i="37"/>
  <c r="E324" i="37" s="1"/>
  <c r="G314" i="37"/>
  <c r="E314" i="37" s="1"/>
  <c r="G319" i="37"/>
  <c r="E319" i="37" s="1"/>
  <c r="G318" i="37"/>
  <c r="E318" i="37" s="1"/>
  <c r="G315" i="37"/>
  <c r="E315" i="37" s="1"/>
  <c r="G322" i="37"/>
  <c r="E322" i="37" s="1"/>
  <c r="G268" i="37"/>
  <c r="E268" i="37" s="1"/>
  <c r="G272" i="37"/>
  <c r="E272" i="37" s="1"/>
  <c r="G276" i="37"/>
  <c r="E276" i="37" s="1"/>
  <c r="G266" i="37"/>
  <c r="E266" i="37" s="1"/>
  <c r="G271" i="37"/>
  <c r="E271" i="37" s="1"/>
  <c r="G269" i="37"/>
  <c r="E269" i="37" s="1"/>
  <c r="G275" i="37"/>
  <c r="E275" i="37" s="1"/>
  <c r="G265" i="37"/>
  <c r="E265" i="37" s="1"/>
  <c r="G273" i="37"/>
  <c r="E273" i="37" s="1"/>
  <c r="G220" i="37"/>
  <c r="E220" i="37" s="1"/>
  <c r="G224" i="37"/>
  <c r="E224" i="37" s="1"/>
  <c r="G228" i="37"/>
  <c r="E228" i="37" s="1"/>
  <c r="G218" i="37"/>
  <c r="E218" i="37" s="1"/>
  <c r="G223" i="37"/>
  <c r="E223" i="37" s="1"/>
  <c r="G219" i="37"/>
  <c r="E219" i="37" s="1"/>
  <c r="G226" i="37"/>
  <c r="E226" i="37" s="1"/>
  <c r="G222" i="37"/>
  <c r="E222" i="37" s="1"/>
  <c r="G172" i="37"/>
  <c r="E172" i="37" s="1"/>
  <c r="G176" i="37"/>
  <c r="E176" i="37" s="1"/>
  <c r="G180" i="37"/>
  <c r="E180" i="37" s="1"/>
  <c r="G170" i="37"/>
  <c r="E170" i="37" s="1"/>
  <c r="G175" i="37"/>
  <c r="E175" i="37" s="1"/>
  <c r="G169" i="37"/>
  <c r="E169" i="37" s="1"/>
  <c r="G177" i="37"/>
  <c r="E177" i="37" s="1"/>
  <c r="G173" i="37"/>
  <c r="E173" i="37" s="1"/>
  <c r="G179" i="37"/>
  <c r="E179" i="37" s="1"/>
  <c r="G124" i="37"/>
  <c r="E124" i="37" s="1"/>
  <c r="G128" i="37"/>
  <c r="E128" i="37" s="1"/>
  <c r="G132" i="37"/>
  <c r="E132" i="37" s="1"/>
  <c r="G122" i="37"/>
  <c r="E122" i="37" s="1"/>
  <c r="G127" i="37"/>
  <c r="E127" i="37" s="1"/>
  <c r="G126" i="37"/>
  <c r="E126" i="37" s="1"/>
  <c r="G123" i="37"/>
  <c r="E123" i="37" s="1"/>
  <c r="G130" i="37"/>
  <c r="E130" i="37" s="1"/>
  <c r="G76" i="37"/>
  <c r="E76" i="37" s="1"/>
  <c r="G80" i="37"/>
  <c r="E80" i="37" s="1"/>
  <c r="G84" i="37"/>
  <c r="E84" i="37" s="1"/>
  <c r="G74" i="37"/>
  <c r="E74" i="37" s="1"/>
  <c r="G79" i="37"/>
  <c r="E79" i="37" s="1"/>
  <c r="G77" i="37"/>
  <c r="E77" i="37" s="1"/>
  <c r="G83" i="37"/>
  <c r="E83" i="37" s="1"/>
  <c r="G73" i="37"/>
  <c r="E73" i="37" s="1"/>
  <c r="G81" i="37"/>
  <c r="E81" i="37" s="1"/>
  <c r="G28" i="37"/>
  <c r="E28" i="37" s="1"/>
  <c r="G32" i="37"/>
  <c r="E32" i="37" s="1"/>
  <c r="G36" i="37"/>
  <c r="E36" i="37" s="1"/>
  <c r="G26" i="37"/>
  <c r="E26" i="37" s="1"/>
  <c r="G31" i="37"/>
  <c r="E31" i="37" s="1"/>
  <c r="G27" i="37"/>
  <c r="E27" i="37" s="1"/>
  <c r="G34" i="37"/>
  <c r="E34" i="37" s="1"/>
  <c r="G30" i="37"/>
  <c r="E30" i="37" s="1"/>
  <c r="G1228" i="37"/>
  <c r="E1228" i="37" s="1"/>
  <c r="G1222" i="37"/>
  <c r="E1222" i="37" s="1"/>
  <c r="G1206" i="37"/>
  <c r="E1206" i="37" s="1"/>
  <c r="G1201" i="37"/>
  <c r="E1201" i="37" s="1"/>
  <c r="G1180" i="37"/>
  <c r="E1180" i="37" s="1"/>
  <c r="G1174" i="37"/>
  <c r="E1174" i="37" s="1"/>
  <c r="G1169" i="37"/>
  <c r="E1169" i="37" s="1"/>
  <c r="G1137" i="37"/>
  <c r="E1137" i="37" s="1"/>
  <c r="G1132" i="37"/>
  <c r="E1132" i="37" s="1"/>
  <c r="G1105" i="37"/>
  <c r="E1105" i="37" s="1"/>
  <c r="G1100" i="37"/>
  <c r="E1100" i="37" s="1"/>
  <c r="G1094" i="37"/>
  <c r="E1094" i="37" s="1"/>
  <c r="G1073" i="37"/>
  <c r="E1073" i="37" s="1"/>
  <c r="G1068" i="37"/>
  <c r="E1068" i="37" s="1"/>
  <c r="G1062" i="37"/>
  <c r="E1062" i="37" s="1"/>
  <c r="G1057" i="37"/>
  <c r="E1057" i="37" s="1"/>
  <c r="G1025" i="37"/>
  <c r="E1025" i="37" s="1"/>
  <c r="G1020" i="37"/>
  <c r="E1020" i="37" s="1"/>
  <c r="G1014" i="37"/>
  <c r="E1014" i="37" s="1"/>
  <c r="G993" i="37"/>
  <c r="E993" i="37" s="1"/>
  <c r="G977" i="37"/>
  <c r="E977" i="37" s="1"/>
  <c r="G972" i="37"/>
  <c r="E972" i="37" s="1"/>
  <c r="G966" i="37"/>
  <c r="E966" i="37" s="1"/>
  <c r="G945" i="37"/>
  <c r="E945" i="37" s="1"/>
  <c r="G940" i="37"/>
  <c r="E940" i="37" s="1"/>
  <c r="G918" i="37"/>
  <c r="E918" i="37" s="1"/>
  <c r="G913" i="37"/>
  <c r="E913" i="37" s="1"/>
  <c r="G886" i="37"/>
  <c r="E886" i="37" s="1"/>
  <c r="G881" i="37"/>
  <c r="E881" i="37" s="1"/>
  <c r="G865" i="37"/>
  <c r="E865" i="37" s="1"/>
  <c r="G860" i="37"/>
  <c r="E860" i="37" s="1"/>
  <c r="G854" i="37"/>
  <c r="E854" i="37" s="1"/>
  <c r="G849" i="37"/>
  <c r="E849" i="37" s="1"/>
  <c r="G844" i="37"/>
  <c r="E844" i="37" s="1"/>
  <c r="G838" i="37"/>
  <c r="E838" i="37" s="1"/>
  <c r="G822" i="37"/>
  <c r="E822" i="37" s="1"/>
  <c r="G817" i="37"/>
  <c r="E817" i="37" s="1"/>
  <c r="G812" i="37"/>
  <c r="E812" i="37" s="1"/>
  <c r="G794" i="37"/>
  <c r="E794" i="37" s="1"/>
  <c r="G778" i="37"/>
  <c r="E778" i="37" s="1"/>
  <c r="G773" i="37"/>
  <c r="E773" i="37" s="1"/>
  <c r="G768" i="37"/>
  <c r="E768" i="37" s="1"/>
  <c r="G760" i="37"/>
  <c r="E760" i="37" s="1"/>
  <c r="G732" i="37"/>
  <c r="E732" i="37" s="1"/>
  <c r="G726" i="37"/>
  <c r="E726" i="37" s="1"/>
  <c r="G688" i="37"/>
  <c r="E688" i="37" s="1"/>
  <c r="G651" i="37"/>
  <c r="E651" i="37" s="1"/>
  <c r="G640" i="37"/>
  <c r="E640" i="37" s="1"/>
  <c r="G606" i="37"/>
  <c r="E606" i="37" s="1"/>
  <c r="G595" i="37"/>
  <c r="E595" i="37" s="1"/>
  <c r="G568" i="37"/>
  <c r="E568" i="37" s="1"/>
  <c r="G558" i="37"/>
  <c r="E558" i="37" s="1"/>
  <c r="G523" i="37"/>
  <c r="E523" i="37" s="1"/>
  <c r="G512" i="37"/>
  <c r="E512" i="37" s="1"/>
  <c r="G478" i="37"/>
  <c r="E478" i="37" s="1"/>
  <c r="G467" i="37"/>
  <c r="E467" i="37" s="1"/>
  <c r="G432" i="37"/>
  <c r="E432" i="37" s="1"/>
  <c r="G422" i="37"/>
  <c r="E422" i="37" s="1"/>
  <c r="G411" i="37"/>
  <c r="E411" i="37" s="1"/>
  <c r="G376" i="37"/>
  <c r="E376" i="37" s="1"/>
  <c r="G366" i="37"/>
  <c r="E366" i="37" s="1"/>
  <c r="G327" i="37"/>
  <c r="E327" i="37" s="1"/>
  <c r="G313" i="37"/>
  <c r="E313" i="37" s="1"/>
  <c r="G274" i="37"/>
  <c r="E274" i="37" s="1"/>
  <c r="G238" i="37"/>
  <c r="E238" i="37" s="1"/>
  <c r="G225" i="37"/>
  <c r="E225" i="37" s="1"/>
  <c r="G189" i="37"/>
  <c r="E189" i="37" s="1"/>
  <c r="G174" i="37"/>
  <c r="E174" i="37" s="1"/>
  <c r="G139" i="37"/>
  <c r="E139" i="37" s="1"/>
  <c r="G125" i="37"/>
  <c r="E125" i="37" s="1"/>
  <c r="G86" i="37"/>
  <c r="E86" i="37" s="1"/>
  <c r="G35" i="37"/>
  <c r="E35" i="37" s="1"/>
  <c r="G7" i="37"/>
  <c r="E7" i="37" s="1"/>
  <c r="G737" i="37"/>
  <c r="E737" i="37" s="1"/>
  <c r="G741" i="37"/>
  <c r="E741" i="37" s="1"/>
  <c r="G745" i="37"/>
  <c r="E745" i="37" s="1"/>
  <c r="G701" i="37"/>
  <c r="E701" i="37" s="1"/>
  <c r="G705" i="37"/>
  <c r="E705" i="37" s="1"/>
  <c r="G709" i="37"/>
  <c r="E709" i="37" s="1"/>
  <c r="G657" i="37"/>
  <c r="E657" i="37" s="1"/>
  <c r="G661" i="37"/>
  <c r="E661" i="37" s="1"/>
  <c r="G665" i="37"/>
  <c r="E665" i="37" s="1"/>
  <c r="G609" i="37"/>
  <c r="E609" i="37" s="1"/>
  <c r="G613" i="37"/>
  <c r="E613" i="37" s="1"/>
  <c r="G617" i="37"/>
  <c r="E617" i="37" s="1"/>
  <c r="G577" i="37"/>
  <c r="E577" i="37" s="1"/>
  <c r="G581" i="37"/>
  <c r="E581" i="37" s="1"/>
  <c r="G585" i="37"/>
  <c r="E585" i="37" s="1"/>
  <c r="G529" i="37"/>
  <c r="E529" i="37" s="1"/>
  <c r="G533" i="37"/>
  <c r="E533" i="37" s="1"/>
  <c r="G537" i="37"/>
  <c r="E537" i="37" s="1"/>
  <c r="G481" i="37"/>
  <c r="E481" i="37" s="1"/>
  <c r="G485" i="37"/>
  <c r="E485" i="37" s="1"/>
  <c r="G489" i="37"/>
  <c r="E489" i="37" s="1"/>
  <c r="G433" i="37"/>
  <c r="E433" i="37" s="1"/>
  <c r="G437" i="37"/>
  <c r="E437" i="37" s="1"/>
  <c r="G441" i="37"/>
  <c r="E441" i="37" s="1"/>
  <c r="G385" i="37"/>
  <c r="E385" i="37" s="1"/>
  <c r="G389" i="37"/>
  <c r="E389" i="37" s="1"/>
  <c r="G393" i="37"/>
  <c r="E393" i="37" s="1"/>
  <c r="G340" i="37"/>
  <c r="E340" i="37" s="1"/>
  <c r="G341" i="37"/>
  <c r="E341" i="37" s="1"/>
  <c r="G345" i="37"/>
  <c r="E345" i="37" s="1"/>
  <c r="G292" i="37"/>
  <c r="E292" i="37" s="1"/>
  <c r="G296" i="37"/>
  <c r="E296" i="37" s="1"/>
  <c r="G300" i="37"/>
  <c r="E300" i="37" s="1"/>
  <c r="G293" i="37"/>
  <c r="E293" i="37" s="1"/>
  <c r="G298" i="37"/>
  <c r="E298" i="37" s="1"/>
  <c r="G244" i="37"/>
  <c r="E244" i="37" s="1"/>
  <c r="G248" i="37"/>
  <c r="E248" i="37" s="1"/>
  <c r="G252" i="37"/>
  <c r="E252" i="37" s="1"/>
  <c r="G245" i="37"/>
  <c r="E245" i="37" s="1"/>
  <c r="G250" i="37"/>
  <c r="E250" i="37" s="1"/>
  <c r="G196" i="37"/>
  <c r="E196" i="37" s="1"/>
  <c r="G200" i="37"/>
  <c r="E200" i="37" s="1"/>
  <c r="G204" i="37"/>
  <c r="E204" i="37" s="1"/>
  <c r="G197" i="37"/>
  <c r="E197" i="37" s="1"/>
  <c r="G202" i="37"/>
  <c r="E202" i="37" s="1"/>
  <c r="G148" i="37"/>
  <c r="E148" i="37" s="1"/>
  <c r="G152" i="37"/>
  <c r="E152" i="37" s="1"/>
  <c r="G156" i="37"/>
  <c r="E156" i="37" s="1"/>
  <c r="G149" i="37"/>
  <c r="E149" i="37" s="1"/>
  <c r="G154" i="37"/>
  <c r="E154" i="37" s="1"/>
  <c r="G100" i="37"/>
  <c r="E100" i="37" s="1"/>
  <c r="G104" i="37"/>
  <c r="E104" i="37" s="1"/>
  <c r="G108" i="37"/>
  <c r="E108" i="37" s="1"/>
  <c r="G101" i="37"/>
  <c r="E101" i="37" s="1"/>
  <c r="G106" i="37"/>
  <c r="E106" i="37" s="1"/>
  <c r="G52" i="37"/>
  <c r="E52" i="37" s="1"/>
  <c r="G56" i="37"/>
  <c r="E56" i="37" s="1"/>
  <c r="G60" i="37"/>
  <c r="E60" i="37" s="1"/>
  <c r="G53" i="37"/>
  <c r="E53" i="37" s="1"/>
  <c r="G58" i="37"/>
  <c r="E58" i="37" s="1"/>
  <c r="G1191" i="37"/>
  <c r="E1191" i="37" s="1"/>
  <c r="G1151" i="37"/>
  <c r="E1151" i="37" s="1"/>
  <c r="G1147" i="37"/>
  <c r="E1147" i="37" s="1"/>
  <c r="G1119" i="37"/>
  <c r="E1119" i="37" s="1"/>
  <c r="G1115" i="37"/>
  <c r="E1115" i="37" s="1"/>
  <c r="G1083" i="37"/>
  <c r="E1083" i="37" s="1"/>
  <c r="G1039" i="37"/>
  <c r="E1039" i="37" s="1"/>
  <c r="G1035" i="37"/>
  <c r="E1035" i="37" s="1"/>
  <c r="G1007" i="37"/>
  <c r="E1007" i="37" s="1"/>
  <c r="G1003" i="37"/>
  <c r="E1003" i="37" s="1"/>
  <c r="G955" i="37"/>
  <c r="E955" i="37" s="1"/>
  <c r="G899" i="37"/>
  <c r="E899" i="37" s="1"/>
  <c r="G871" i="37"/>
  <c r="E871" i="37" s="1"/>
  <c r="G831" i="37"/>
  <c r="E831" i="37" s="1"/>
  <c r="G787" i="37"/>
  <c r="E787" i="37" s="1"/>
  <c r="G746" i="37"/>
  <c r="E746" i="37" s="1"/>
  <c r="G740" i="37"/>
  <c r="E740" i="37" s="1"/>
  <c r="G708" i="37"/>
  <c r="E708" i="37" s="1"/>
  <c r="G703" i="37"/>
  <c r="E703" i="37" s="1"/>
  <c r="G698" i="37"/>
  <c r="E698" i="37" s="1"/>
  <c r="G666" i="37"/>
  <c r="E666" i="37" s="1"/>
  <c r="G660" i="37"/>
  <c r="E660" i="37" s="1"/>
  <c r="G618" i="37"/>
  <c r="E618" i="37" s="1"/>
  <c r="G612" i="37"/>
  <c r="E612" i="37" s="1"/>
  <c r="G586" i="37"/>
  <c r="E586" i="37" s="1"/>
  <c r="G580" i="37"/>
  <c r="E580" i="37" s="1"/>
  <c r="G538" i="37"/>
  <c r="E538" i="37" s="1"/>
  <c r="G532" i="37"/>
  <c r="E532" i="37" s="1"/>
  <c r="G490" i="37"/>
  <c r="E490" i="37" s="1"/>
  <c r="G484" i="37"/>
  <c r="E484" i="37" s="1"/>
  <c r="G442" i="37"/>
  <c r="E442" i="37" s="1"/>
  <c r="G436" i="37"/>
  <c r="E436" i="37" s="1"/>
  <c r="G394" i="37"/>
  <c r="E394" i="37" s="1"/>
  <c r="G388" i="37"/>
  <c r="E388" i="37" s="1"/>
  <c r="G346" i="37"/>
  <c r="E346" i="37" s="1"/>
  <c r="G339" i="37"/>
  <c r="E339" i="37" s="1"/>
  <c r="G297" i="37"/>
  <c r="E297" i="37" s="1"/>
  <c r="G290" i="37"/>
  <c r="E290" i="37" s="1"/>
  <c r="G247" i="37"/>
  <c r="E247" i="37" s="1"/>
  <c r="G241" i="37"/>
  <c r="E241" i="37" s="1"/>
  <c r="G198" i="37"/>
  <c r="E198" i="37" s="1"/>
  <c r="G155" i="37"/>
  <c r="E155" i="37" s="1"/>
  <c r="G147" i="37"/>
  <c r="E147" i="37" s="1"/>
  <c r="G105" i="37"/>
  <c r="E105" i="37" s="1"/>
  <c r="G98" i="37"/>
  <c r="E98" i="37" s="1"/>
  <c r="G55" i="37"/>
  <c r="E55" i="37" s="1"/>
  <c r="G49" i="37"/>
  <c r="E49" i="37" s="1"/>
  <c r="E868" i="37"/>
  <c r="E600" i="37"/>
  <c r="E592" i="37"/>
  <c r="E735" i="37"/>
  <c r="E738" i="37"/>
  <c r="E742" i="37"/>
  <c r="E743" i="37"/>
  <c r="E736" i="37"/>
  <c r="E67" i="37"/>
  <c r="E61" i="37"/>
  <c r="E71" i="37"/>
  <c r="E66" i="37"/>
  <c r="E215" i="37"/>
  <c r="E211" i="37"/>
  <c r="E206" i="37"/>
  <c r="E541" i="37"/>
  <c r="E544" i="37"/>
  <c r="E550" i="37"/>
  <c r="E839" i="37"/>
  <c r="E837" i="37"/>
  <c r="E848" i="37"/>
  <c r="E1162" i="37"/>
  <c r="E1157" i="37"/>
  <c r="E1165" i="37"/>
  <c r="E242" i="37"/>
  <c r="E157" i="37"/>
  <c r="E158" i="37"/>
  <c r="E167" i="37"/>
  <c r="E1092" i="37"/>
  <c r="E1088" i="37"/>
  <c r="E1084" i="37"/>
  <c r="E1085" i="37"/>
  <c r="E821" i="37"/>
  <c r="E813" i="37"/>
  <c r="E566" i="37"/>
  <c r="E281" i="37"/>
  <c r="E278" i="37"/>
  <c r="E1208" i="37"/>
  <c r="E1210" i="37"/>
  <c r="E1211" i="37"/>
  <c r="E952" i="37"/>
  <c r="E951" i="37"/>
  <c r="E960" i="37"/>
  <c r="E1111" i="37"/>
  <c r="E1113" i="37"/>
  <c r="E1108" i="37"/>
  <c r="E495" i="37"/>
  <c r="E496" i="37"/>
  <c r="E497" i="37"/>
  <c r="E499" i="37"/>
  <c r="E807" i="37"/>
  <c r="E1065" i="37"/>
  <c r="E1060" i="37"/>
  <c r="E1061" i="37"/>
  <c r="E1028" i="37"/>
  <c r="E1034" i="37"/>
  <c r="E1029" i="37"/>
  <c r="E1024" i="37"/>
  <c r="E1026" i="37"/>
  <c r="E1027" i="37"/>
  <c r="E833" i="37"/>
  <c r="E834" i="37"/>
  <c r="E829" i="37"/>
  <c r="E830" i="37"/>
  <c r="E825" i="37"/>
  <c r="E826" i="37"/>
  <c r="E675" i="37"/>
  <c r="E676" i="37"/>
  <c r="E683" i="37"/>
  <c r="E673" i="37"/>
  <c r="E616" i="37"/>
  <c r="E614" i="37"/>
  <c r="E615" i="37"/>
  <c r="E620" i="37"/>
  <c r="E619" i="37"/>
  <c r="E75" i="37"/>
  <c r="E1146" i="37"/>
  <c r="E1153" i="37"/>
  <c r="E1148" i="37"/>
  <c r="E1152" i="37"/>
  <c r="E1143" i="37"/>
  <c r="E996" i="37"/>
  <c r="E991" i="37"/>
  <c r="E997" i="37"/>
  <c r="E992" i="37"/>
  <c r="E987" i="37"/>
  <c r="E988" i="37"/>
  <c r="E477" i="37"/>
  <c r="E1098" i="37"/>
  <c r="E1097" i="37"/>
  <c r="E1106" i="37"/>
  <c r="E201" i="37"/>
  <c r="E194" i="37"/>
  <c r="E802" i="37"/>
  <c r="E798" i="37"/>
  <c r="E804" i="37"/>
  <c r="E795" i="37"/>
  <c r="E799" i="37"/>
  <c r="E800" i="37"/>
  <c r="E694" i="37"/>
  <c r="E695" i="37"/>
  <c r="E985" i="37"/>
  <c r="E980" i="37"/>
  <c r="E986" i="37"/>
  <c r="E976" i="37"/>
  <c r="E984" i="37"/>
  <c r="E171" i="37"/>
  <c r="E94" i="37"/>
  <c r="E89" i="37"/>
  <c r="E1177" i="37"/>
  <c r="E1173" i="37"/>
  <c r="E1176" i="37"/>
  <c r="E1170" i="37"/>
  <c r="E1178" i="37"/>
  <c r="E1172" i="37"/>
  <c r="E333" i="37"/>
  <c r="E334" i="37"/>
  <c r="E335" i="37"/>
  <c r="E330" i="37"/>
  <c r="E368" i="37"/>
  <c r="E371" i="37"/>
  <c r="E363" i="37"/>
  <c r="E697" i="37"/>
  <c r="E707" i="37"/>
  <c r="E700" i="37"/>
  <c r="E702" i="37"/>
  <c r="E1002" i="37"/>
  <c r="E1004" i="37"/>
  <c r="E1005" i="37"/>
  <c r="E582" i="37"/>
  <c r="E588" i="37"/>
  <c r="E930" i="37"/>
  <c r="E931" i="37"/>
  <c r="E934" i="37"/>
  <c r="E935" i="37"/>
  <c r="E933" i="37"/>
  <c r="E395" i="37"/>
  <c r="E386" i="37"/>
  <c r="E392" i="37"/>
  <c r="E118" i="37"/>
  <c r="E114" i="37"/>
  <c r="E115" i="37"/>
  <c r="E908" i="37"/>
  <c r="E914" i="37"/>
  <c r="E909" i="37"/>
  <c r="E904" i="37"/>
  <c r="E912" i="37"/>
  <c r="E910" i="37"/>
  <c r="E384" i="37"/>
  <c r="E379" i="37"/>
  <c r="E374" i="37"/>
  <c r="E381" i="37"/>
  <c r="E382" i="37"/>
  <c r="E750" i="37"/>
  <c r="E752" i="37"/>
  <c r="E749" i="37"/>
  <c r="E753" i="37"/>
  <c r="E291" i="37"/>
  <c r="E295" i="37"/>
  <c r="E289" i="37"/>
  <c r="E1131" i="37"/>
  <c r="E1141" i="37"/>
  <c r="E1136" i="37"/>
  <c r="E1076" i="37"/>
  <c r="E1081" i="37"/>
  <c r="E1071" i="37"/>
  <c r="E1080" i="37"/>
  <c r="E1121" i="37"/>
  <c r="E1127" i="37"/>
  <c r="E1126" i="37"/>
  <c r="E1129" i="37"/>
  <c r="E39" i="37"/>
  <c r="E46" i="37"/>
  <c r="E43" i="37"/>
  <c r="E669" i="37"/>
  <c r="E667" i="37"/>
  <c r="E671" i="37"/>
  <c r="E1194" i="37"/>
  <c r="E1200" i="37"/>
  <c r="E1196" i="37"/>
  <c r="E1202" i="37"/>
  <c r="E1197" i="37"/>
  <c r="E1199" i="37"/>
  <c r="E1195" i="37"/>
  <c r="E896" i="37"/>
  <c r="E897" i="37"/>
  <c r="E898" i="37"/>
  <c r="E901" i="37"/>
  <c r="E894" i="37"/>
  <c r="E973" i="37"/>
  <c r="E974" i="37"/>
  <c r="E608" i="37"/>
  <c r="E483" i="37"/>
  <c r="E491" i="37"/>
  <c r="E714" i="37"/>
  <c r="E719" i="37"/>
  <c r="E712" i="37"/>
  <c r="E713" i="37"/>
  <c r="E518" i="37"/>
  <c r="E524" i="37"/>
  <c r="E527" i="37"/>
  <c r="E526" i="37"/>
  <c r="E303" i="37"/>
  <c r="E309" i="37"/>
  <c r="E310" i="37"/>
  <c r="E311" i="37"/>
  <c r="E301" i="37"/>
  <c r="E917" i="37"/>
  <c r="E507" i="37"/>
  <c r="E515" i="37"/>
  <c r="E509" i="37"/>
  <c r="E510" i="37"/>
  <c r="E1189" i="37"/>
  <c r="E1179" i="37"/>
  <c r="E1186" i="37"/>
  <c r="E1184" i="37"/>
  <c r="E1187" i="37"/>
  <c r="E1190" i="37"/>
  <c r="E1182" i="37"/>
  <c r="E884" i="37"/>
  <c r="E890" i="37"/>
  <c r="E862" i="37"/>
  <c r="E874" i="37"/>
  <c r="E880" i="37"/>
  <c r="E888" i="37"/>
  <c r="E652" i="37"/>
  <c r="E942" i="37"/>
  <c r="E941" i="37"/>
  <c r="E949" i="37"/>
  <c r="E950" i="37"/>
  <c r="E401" i="37"/>
  <c r="E402" i="37"/>
  <c r="E404" i="37"/>
  <c r="E397" i="37"/>
  <c r="E399" i="37"/>
  <c r="E444" i="37"/>
  <c r="E439" i="37"/>
  <c r="E1040" i="37"/>
  <c r="E1046" i="37"/>
  <c r="E1042" i="37"/>
  <c r="E1037" i="37"/>
  <c r="E1038" i="37"/>
  <c r="E1043" i="37"/>
  <c r="E1044" i="37"/>
  <c r="E721" i="37"/>
  <c r="E728" i="37"/>
  <c r="E723" i="37"/>
  <c r="E731" i="37"/>
  <c r="E145" i="37"/>
  <c r="E151" i="37"/>
  <c r="E1012" i="37"/>
  <c r="E1013" i="37"/>
  <c r="E1019" i="37"/>
  <c r="E1022" i="37"/>
  <c r="E1015" i="37"/>
  <c r="E1016" i="37"/>
  <c r="E564" i="37"/>
  <c r="E560" i="37"/>
  <c r="E563" i="37"/>
  <c r="E852" i="37"/>
  <c r="E858" i="37"/>
  <c r="E323" i="37"/>
  <c r="E317" i="37"/>
  <c r="E355" i="37"/>
  <c r="E351" i="37"/>
  <c r="E357" i="37"/>
  <c r="E359" i="37"/>
  <c r="E354" i="37"/>
  <c r="E133" i="37"/>
  <c r="E140" i="37"/>
  <c r="E135" i="37"/>
  <c r="E627" i="37"/>
  <c r="E628" i="37"/>
  <c r="E634" i="37"/>
  <c r="E629" i="37"/>
  <c r="E625" i="37"/>
  <c r="E626" i="37"/>
  <c r="E1219" i="37"/>
  <c r="E1220" i="37"/>
  <c r="E1216" i="37"/>
  <c r="E1217" i="37"/>
  <c r="E348" i="37"/>
  <c r="E342" i="37"/>
  <c r="E1072" i="37"/>
  <c r="E102" i="37"/>
  <c r="E764" i="37"/>
  <c r="E766" i="37"/>
  <c r="E535" i="37"/>
  <c r="E530" i="37"/>
  <c r="E531" i="37"/>
  <c r="E539" i="37"/>
  <c r="E534" i="37"/>
  <c r="E540" i="37"/>
  <c r="E129" i="37"/>
  <c r="E131" i="37"/>
  <c r="E121" i="37"/>
  <c r="E447" i="37"/>
  <c r="E453" i="37"/>
  <c r="E454" i="37"/>
  <c r="E452" i="37"/>
  <c r="E445" i="37"/>
  <c r="E790" i="37"/>
  <c r="E786" i="37"/>
  <c r="E781" i="37"/>
  <c r="E792" i="37"/>
  <c r="E788" i="37"/>
  <c r="E789" i="37"/>
  <c r="E465" i="37"/>
  <c r="E774" i="37"/>
  <c r="E777" i="37"/>
  <c r="E771" i="37"/>
  <c r="E776" i="37"/>
  <c r="E232" i="37"/>
  <c r="E50" i="37"/>
  <c r="E51" i="37"/>
  <c r="E57" i="37"/>
  <c r="E59" i="37"/>
  <c r="E54" i="37"/>
  <c r="E639" i="37"/>
  <c r="E647" i="37"/>
  <c r="E643" i="37"/>
  <c r="E1047" i="37"/>
  <c r="E1052" i="37"/>
  <c r="E1058" i="37"/>
  <c r="E1054" i="37"/>
  <c r="E1055" i="37"/>
  <c r="E1056" i="37"/>
  <c r="E1050" i="37"/>
  <c r="E261" i="37"/>
  <c r="E257" i="37"/>
  <c r="E254" i="37"/>
  <c r="E258" i="37"/>
  <c r="E259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tc={F3C4A143-54AC-C247-983D-96785D22BD2C}</author>
  </authors>
  <commentList>
    <comment ref="M1" authorId="0" shapeId="0" xr:uid="{F3C4A143-54AC-C247-983D-96785D22BD2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column should be removed. Will be set in "Transaction" and then through JOIN joined.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tc={776FD7E9-6949-A14E-9472-ED070CE8D5D7}</author>
  </authors>
  <commentList>
    <comment ref="G1" authorId="0" shapeId="0" xr:uid="{776FD7E9-6949-A14E-9472-ED070CE8D5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field can be used to easily sum up the number of students currently present.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tc={01BBC1D8-4282-D04A-9107-75370B78B08D}</author>
  </authors>
  <commentList>
    <comment ref="C1" authorId="0" shapeId="0" xr:uid="{01BBC1D8-4282-D04A-9107-75370B78B0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needs to map to a Dates table containing each date and term and year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tc={9E87C762-5A6C-F84E-B892-9A1AE3D1B989}</author>
    <author>tc={CFCB9A8A-0865-474E-8E37-143B88F870D0}</author>
    <author>tc={8AAD9E12-8D82-C649-BE59-0FAD21ACAF53}</author>
    <author>tc={691C25E4-8B58-F543-B2DC-CDA552BDC68F}</author>
  </authors>
  <commentList>
    <comment ref="D1" authorId="0" shapeId="0" xr:uid="{9E87C762-5A6C-F84E-B892-9A1AE3D1B9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Let op. De CourseName **lijkt** vaak op de naam van het vak in "Course", maar dit is van een andere granulariteit. Zie noot bij Apologetics I
</t>
      </text>
    </comment>
    <comment ref="F1" authorId="1" shapeId="0" xr:uid="{CFCB9A8A-0865-474E-8E37-143B88F870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forgot why I created this column
</t>
      </text>
    </comment>
    <comment ref="H1" authorId="2" shapeId="0" xr:uid="{00000000-0006-0000-07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one needs to be finalized after the FCO has been chosen, because only then the subjectGroupID is known. </t>
      </text>
    </comment>
    <comment ref="D15" authorId="3" shapeId="0" xr:uid="{691C25E4-8B58-F543-B2DC-CDA552BDC6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Why does it say "trig calc geo" on vSPC?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tc={2476259B-683F-4248-AD76-C39A1BC17B33}</author>
  </authors>
  <commentList>
    <comment ref="F49" authorId="0" shapeId="0" xr:uid="{2476259B-683F-4248-AD76-C39A1BC17B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Er staat 74 op het blad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tc={BB5DA368-EED2-4547-8826-B8683BBA12F6}</author>
    <author>tc={1FAB2F44-2E45-5E4B-B054-C8DECEF20965}</author>
  </authors>
  <commentList>
    <comment ref="E1" authorId="0" shapeId="0" xr:uid="{00000000-0006-0000-0B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Code based on subject instead of course name</t>
      </text>
    </comment>
    <comment ref="H1" authorId="1" shapeId="0" xr:uid="{00000000-0006-0000-0B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moet nog aangepast worden</t>
      </text>
    </comment>
  </commentList>
</comments>
</file>

<file path=xl/sharedStrings.xml><?xml version="1.0" encoding="utf-8"?>
<sst xmlns="http://schemas.openxmlformats.org/spreadsheetml/2006/main" count="6158" uniqueCount="1973">
  <si>
    <t>ID</t>
  </si>
  <si>
    <t>Surname</t>
  </si>
  <si>
    <t>SurnamePrefix</t>
  </si>
  <si>
    <t>FirstNames</t>
  </si>
  <si>
    <t>CallName</t>
  </si>
  <si>
    <t>DateOfBirth</t>
  </si>
  <si>
    <t>AddressID</t>
  </si>
  <si>
    <t>Status</t>
  </si>
  <si>
    <t>ClassID</t>
  </si>
  <si>
    <t>FirstLanguageID</t>
  </si>
  <si>
    <t>SecondLanguageID</t>
  </si>
  <si>
    <t>Adeleke</t>
  </si>
  <si>
    <t>Deborah</t>
  </si>
  <si>
    <t>Student</t>
  </si>
  <si>
    <t>Oluwatobi Samuel</t>
  </si>
  <si>
    <t>Oluwatobi</t>
  </si>
  <si>
    <t>Dorcas</t>
  </si>
  <si>
    <t>Benschop</t>
  </si>
  <si>
    <t>Jannetje Hendrika</t>
  </si>
  <si>
    <t>Hannah</t>
  </si>
  <si>
    <t>Boulahdaraj</t>
  </si>
  <si>
    <t>Zakariya</t>
  </si>
  <si>
    <t>Brand</t>
  </si>
  <si>
    <t>van den</t>
  </si>
  <si>
    <t>Ezra</t>
  </si>
  <si>
    <t>Lois-Daan</t>
  </si>
  <si>
    <t>Bruijne</t>
  </si>
  <si>
    <t>de</t>
  </si>
  <si>
    <t>Matthias</t>
  </si>
  <si>
    <t>Choi</t>
  </si>
  <si>
    <t>Byeol</t>
  </si>
  <si>
    <t>Gonzalez Rodriguez</t>
  </si>
  <si>
    <t>Eleazar Leonardo</t>
  </si>
  <si>
    <t>Eleazar</t>
  </si>
  <si>
    <t>Gunnink</t>
  </si>
  <si>
    <t>Johannes David Bernardus</t>
  </si>
  <si>
    <t>Daan</t>
  </si>
  <si>
    <t>Harkes</t>
  </si>
  <si>
    <t>Marinus Dirk Martijn</t>
  </si>
  <si>
    <t>Stijn</t>
  </si>
  <si>
    <t>Jonathan Anne Theodoor</t>
  </si>
  <si>
    <t>Jona</t>
  </si>
  <si>
    <t>Houweling</t>
  </si>
  <si>
    <t>van</t>
  </si>
  <si>
    <t>Benjamin Ezra</t>
  </si>
  <si>
    <t>Ben</t>
  </si>
  <si>
    <t>Noah Christian</t>
  </si>
  <si>
    <t>Noah</t>
  </si>
  <si>
    <t>Emma Rhodé</t>
  </si>
  <si>
    <t>Aimée</t>
  </si>
  <si>
    <t>Kleef</t>
  </si>
  <si>
    <t>Loïs</t>
  </si>
  <si>
    <t>Jonathan</t>
  </si>
  <si>
    <t xml:space="preserve">Lee </t>
  </si>
  <si>
    <t>Kang Kevin</t>
  </si>
  <si>
    <t>Kevin</t>
  </si>
  <si>
    <t>Myung</t>
  </si>
  <si>
    <t>Matthew</t>
  </si>
  <si>
    <t>Littel</t>
  </si>
  <si>
    <t>Beline Elizabeth</t>
  </si>
  <si>
    <t>Lina</t>
  </si>
  <si>
    <t>Simon Johannes</t>
  </si>
  <si>
    <t>Sam</t>
  </si>
  <si>
    <t>Noa</t>
  </si>
  <si>
    <t>Trimp</t>
  </si>
  <si>
    <t>Dani</t>
  </si>
  <si>
    <t>Aron Pieter</t>
  </si>
  <si>
    <t>Aron</t>
  </si>
  <si>
    <t>Verwoerd</t>
  </si>
  <si>
    <t>Cornelia Elisabeth</t>
  </si>
  <si>
    <t>Isolde</t>
  </si>
  <si>
    <t>Martinus Gerardus</t>
  </si>
  <si>
    <t>Magnus</t>
  </si>
  <si>
    <t>Visser</t>
  </si>
  <si>
    <t>Yong</t>
  </si>
  <si>
    <t>Joseph Nathan Andrew Jun-Yin</t>
  </si>
  <si>
    <t>Nathan</t>
  </si>
  <si>
    <t>Andrew</t>
  </si>
  <si>
    <t>Monitor</t>
  </si>
  <si>
    <t>Bezemer</t>
  </si>
  <si>
    <t>Simon</t>
  </si>
  <si>
    <t>Supervisor</t>
  </si>
  <si>
    <t>Annelies</t>
  </si>
  <si>
    <t>Westerhof</t>
  </si>
  <si>
    <t>Petra</t>
  </si>
  <si>
    <t>Johanna</t>
  </si>
  <si>
    <t>Bruin</t>
  </si>
  <si>
    <t>Ada</t>
  </si>
  <si>
    <t>Irene</t>
  </si>
  <si>
    <t>StudentID</t>
  </si>
  <si>
    <t>Date</t>
  </si>
  <si>
    <t>Type</t>
  </si>
  <si>
    <t>Remarks</t>
  </si>
  <si>
    <t>Left school without graduation</t>
  </si>
  <si>
    <t>Class</t>
  </si>
  <si>
    <t>Not Applicable</t>
  </si>
  <si>
    <t>Kindergarten</t>
  </si>
  <si>
    <t>Juniors</t>
  </si>
  <si>
    <t>Seniors</t>
  </si>
  <si>
    <t>Address</t>
  </si>
  <si>
    <t>HouseNumber</t>
  </si>
  <si>
    <t>Postal Code</t>
  </si>
  <si>
    <t>City</t>
  </si>
  <si>
    <t>TransactionDate</t>
  </si>
  <si>
    <t>Adres 1</t>
  </si>
  <si>
    <t>Adres 2</t>
  </si>
  <si>
    <t>Adres 3</t>
  </si>
  <si>
    <t>Adres 4</t>
  </si>
  <si>
    <t>Adres 5</t>
  </si>
  <si>
    <t>Adres 6</t>
  </si>
  <si>
    <t>Adres 7</t>
  </si>
  <si>
    <t>Adres 8</t>
  </si>
  <si>
    <t>Adres 9</t>
  </si>
  <si>
    <t>Adres 10</t>
  </si>
  <si>
    <t>Adres 11</t>
  </si>
  <si>
    <t>Adres 12</t>
  </si>
  <si>
    <t>Adres 13</t>
  </si>
  <si>
    <t>Adres 14</t>
  </si>
  <si>
    <t>Waddinxveen</t>
  </si>
  <si>
    <t>Adres 15</t>
  </si>
  <si>
    <t>Adres 16</t>
  </si>
  <si>
    <t>Nieuwpoort</t>
  </si>
  <si>
    <t>Arent van 's-Gravesandestraat</t>
  </si>
  <si>
    <t>3067KA</t>
  </si>
  <si>
    <t>Rotterdam</t>
  </si>
  <si>
    <t>Name</t>
  </si>
  <si>
    <t>order</t>
  </si>
  <si>
    <t>Christian Studies</t>
  </si>
  <si>
    <t>Core Academic Studies</t>
  </si>
  <si>
    <t>Core Expanded Studies</t>
  </si>
  <si>
    <t>Applied Studies</t>
  </si>
  <si>
    <t>Dutch Language</t>
  </si>
  <si>
    <t>Supplementary Activities</t>
  </si>
  <si>
    <t>Coursework</t>
  </si>
  <si>
    <t>Miscellaneous</t>
  </si>
  <si>
    <t>Colour</t>
  </si>
  <si>
    <t>SubjectLabel</t>
  </si>
  <si>
    <t>Abbreviation</t>
  </si>
  <si>
    <t>Maths</t>
  </si>
  <si>
    <t>Yellow</t>
  </si>
  <si>
    <t>Academic</t>
  </si>
  <si>
    <t>MA</t>
  </si>
  <si>
    <t>Language</t>
  </si>
  <si>
    <t>Red</t>
  </si>
  <si>
    <t>LA</t>
  </si>
  <si>
    <t>Word Building</t>
  </si>
  <si>
    <t>Purple</t>
  </si>
  <si>
    <t>WB</t>
  </si>
  <si>
    <t>Literature</t>
  </si>
  <si>
    <t>DarkRed</t>
  </si>
  <si>
    <t>LI</t>
  </si>
  <si>
    <t>Science</t>
  </si>
  <si>
    <t>Blue</t>
  </si>
  <si>
    <t>SC</t>
  </si>
  <si>
    <t>Social Studies</t>
  </si>
  <si>
    <t>Green</t>
  </si>
  <si>
    <t>SS</t>
  </si>
  <si>
    <t>Biblical Studies</t>
  </si>
  <si>
    <t>SandOrange</t>
  </si>
  <si>
    <t>Christian</t>
  </si>
  <si>
    <t>BS</t>
  </si>
  <si>
    <t>Electives</t>
  </si>
  <si>
    <t>Grey</t>
  </si>
  <si>
    <t>Elective</t>
  </si>
  <si>
    <t>EL</t>
  </si>
  <si>
    <t>Orange</t>
  </si>
  <si>
    <t>NL</t>
  </si>
  <si>
    <t>Supplementary</t>
  </si>
  <si>
    <t>White</t>
  </si>
  <si>
    <t>SU</t>
  </si>
  <si>
    <t>Certificate</t>
  </si>
  <si>
    <t>Intermediate</t>
  </si>
  <si>
    <t>Advanced</t>
  </si>
  <si>
    <t>Advanced Higher</t>
  </si>
  <si>
    <t>Advanced Maths Bias</t>
  </si>
  <si>
    <t>Advanced Social Studies Bias</t>
  </si>
  <si>
    <t>Advanced Science Bias</t>
  </si>
  <si>
    <t>CertificateID</t>
  </si>
  <si>
    <t>CourseName</t>
  </si>
  <si>
    <t>needChoice</t>
  </si>
  <si>
    <t>SubjectGroup</t>
  </si>
  <si>
    <t>SubjectGroupID</t>
  </si>
  <si>
    <t>StarValue</t>
  </si>
  <si>
    <t>Note</t>
  </si>
  <si>
    <t>NT Church History / Life of Christ</t>
  </si>
  <si>
    <t>T</t>
  </si>
  <si>
    <t>Apologetics III</t>
  </si>
  <si>
    <t>Algebra II</t>
  </si>
  <si>
    <t>F</t>
  </si>
  <si>
    <t>English III / English IV</t>
  </si>
  <si>
    <t>English</t>
  </si>
  <si>
    <t>Chemistry / Physics</t>
  </si>
  <si>
    <t>Chemistry</t>
  </si>
  <si>
    <t>History of Civilisation II</t>
  </si>
  <si>
    <t>Further Credit Option</t>
  </si>
  <si>
    <t>Coursework 1</t>
  </si>
  <si>
    <t>Coursework 2</t>
  </si>
  <si>
    <t>Coursework 3</t>
  </si>
  <si>
    <t>Trigonometry</t>
  </si>
  <si>
    <t>Higher Maths</t>
  </si>
  <si>
    <t>College Maths I</t>
  </si>
  <si>
    <t>College Maths II</t>
  </si>
  <si>
    <t>Physics</t>
  </si>
  <si>
    <t>ICT Course</t>
  </si>
  <si>
    <t>English III</t>
  </si>
  <si>
    <t>English Composition II</t>
  </si>
  <si>
    <t>Andere nummers in PACE</t>
  </si>
  <si>
    <t>Economics and Civics</t>
  </si>
  <si>
    <t>Andere naam dan in FCO</t>
  </si>
  <si>
    <t>Biology (Apologia)</t>
  </si>
  <si>
    <t>Alias</t>
  </si>
  <si>
    <t>Level</t>
  </si>
  <si>
    <t>PaceNrStart</t>
  </si>
  <si>
    <t>PaceNrEnd</t>
  </si>
  <si>
    <t>SubjectID</t>
  </si>
  <si>
    <t>Subject_temp</t>
  </si>
  <si>
    <t>SubjectAbb</t>
  </si>
  <si>
    <t>Specification</t>
  </si>
  <si>
    <t>CourseType</t>
  </si>
  <si>
    <t>Maths Reading Readiness</t>
  </si>
  <si>
    <t>RR</t>
  </si>
  <si>
    <t>Core</t>
  </si>
  <si>
    <t>Maths Level 1</t>
  </si>
  <si>
    <t>English Level 1</t>
  </si>
  <si>
    <t>EN</t>
  </si>
  <si>
    <t>Word Building Level 1</t>
  </si>
  <si>
    <t>Literature and Creative Writing Level 1</t>
  </si>
  <si>
    <t>LC</t>
  </si>
  <si>
    <t>Science Level 1</t>
  </si>
  <si>
    <t>Social Studies Level 1</t>
  </si>
  <si>
    <t>Bible Reading Level 1</t>
  </si>
  <si>
    <t>BR</t>
  </si>
  <si>
    <t>Maths Level 2</t>
  </si>
  <si>
    <t>English Level 2</t>
  </si>
  <si>
    <t>Word Building Level 2</t>
  </si>
  <si>
    <t>Literature and Creative Writing Level 2</t>
  </si>
  <si>
    <t>Science Level 2</t>
  </si>
  <si>
    <t>Social Studies Level 2</t>
  </si>
  <si>
    <t>Bible Reading Level 2</t>
  </si>
  <si>
    <t>Maths Level 3</t>
  </si>
  <si>
    <t>English Level 3</t>
  </si>
  <si>
    <t>Word Building Level 3</t>
  </si>
  <si>
    <t>Literature and Creative Writing Level 3</t>
  </si>
  <si>
    <t>Science Level 3</t>
  </si>
  <si>
    <t>Social Studies Level 3</t>
  </si>
  <si>
    <t>Bible Reading Level 3</t>
  </si>
  <si>
    <t>Maths Level 4</t>
  </si>
  <si>
    <t>English Level 4</t>
  </si>
  <si>
    <t>Word Building Level 4</t>
  </si>
  <si>
    <t>Literature and Creative Writing Level 4</t>
  </si>
  <si>
    <t>Science Level 4</t>
  </si>
  <si>
    <t>Social Studies Level 4</t>
  </si>
  <si>
    <t>Bible Reading Level 4</t>
  </si>
  <si>
    <t>Maths Level 5</t>
  </si>
  <si>
    <t>English Level 5</t>
  </si>
  <si>
    <t>Word Building Level 5</t>
  </si>
  <si>
    <t>Literature and Creative Writing Level 5</t>
  </si>
  <si>
    <t>Science Level 5</t>
  </si>
  <si>
    <t>Social Studies Level 5</t>
  </si>
  <si>
    <t>Bible Reading Level 5</t>
  </si>
  <si>
    <t>Maths Level 6</t>
  </si>
  <si>
    <t>English Level 6</t>
  </si>
  <si>
    <t>Word Building Level 6</t>
  </si>
  <si>
    <t>Literature and Creative Writing Level 6</t>
  </si>
  <si>
    <t>Science Level 6</t>
  </si>
  <si>
    <t>Social Studies Level 6</t>
  </si>
  <si>
    <t>Bible Reading Level 6</t>
  </si>
  <si>
    <t>Maths Level 7</t>
  </si>
  <si>
    <t>English Level 7</t>
  </si>
  <si>
    <t>Beginning Art</t>
  </si>
  <si>
    <t>BA</t>
  </si>
  <si>
    <t>Word Building Level 7</t>
  </si>
  <si>
    <t>Literature Level 7</t>
  </si>
  <si>
    <t>Alleen even getallen hebben PACE beschikbaar</t>
  </si>
  <si>
    <t>Science Level 7</t>
  </si>
  <si>
    <t>Social Studies Level 7</t>
  </si>
  <si>
    <t>Staatsinrichting</t>
  </si>
  <si>
    <t>SI</t>
  </si>
  <si>
    <t>General Maths</t>
  </si>
  <si>
    <t>GM</t>
  </si>
  <si>
    <t>General English</t>
  </si>
  <si>
    <t>Word Building Level 8</t>
  </si>
  <si>
    <t>Literature Level 8</t>
  </si>
  <si>
    <t>ES</t>
  </si>
  <si>
    <t>British and European History</t>
  </si>
  <si>
    <t>UK</t>
  </si>
  <si>
    <t>World History</t>
  </si>
  <si>
    <t>WH</t>
  </si>
  <si>
    <t>New Testament Survey</t>
  </si>
  <si>
    <t>NT</t>
  </si>
  <si>
    <t>Algebra I</t>
  </si>
  <si>
    <t>AL</t>
  </si>
  <si>
    <t>English I</t>
  </si>
  <si>
    <t>French I</t>
  </si>
  <si>
    <t>FR</t>
  </si>
  <si>
    <t>Rosetta Stone Level 9</t>
  </si>
  <si>
    <t>Extended Levels only</t>
  </si>
  <si>
    <t>RS</t>
  </si>
  <si>
    <t>Spanish I</t>
  </si>
  <si>
    <t>Advanced Art</t>
  </si>
  <si>
    <t>AA</t>
  </si>
  <si>
    <t>Complete Art</t>
  </si>
  <si>
    <t>CA</t>
  </si>
  <si>
    <t>Etymology</t>
  </si>
  <si>
    <t>ET</t>
  </si>
  <si>
    <t>Music</t>
  </si>
  <si>
    <t>MU</t>
  </si>
  <si>
    <t>Music Theory/Performance Grade 5</t>
  </si>
  <si>
    <t>MT</t>
  </si>
  <si>
    <t>Music Theory/Performance</t>
  </si>
  <si>
    <t>Is duplicate of 70? Or perhaps the other one is theory and this one is performance</t>
  </si>
  <si>
    <t>Speech</t>
  </si>
  <si>
    <t>SP</t>
  </si>
  <si>
    <t>ICCE Literature Level 9</t>
  </si>
  <si>
    <t>I9</t>
  </si>
  <si>
    <t>Literature Level 9</t>
  </si>
  <si>
    <t>Astronomy</t>
  </si>
  <si>
    <t>AS</t>
  </si>
  <si>
    <t>Biology Level 9</t>
  </si>
  <si>
    <t>BI</t>
  </si>
  <si>
    <t>Health</t>
  </si>
  <si>
    <t>HE</t>
  </si>
  <si>
    <t>Nutrition Science</t>
  </si>
  <si>
    <t>NS</t>
  </si>
  <si>
    <t>Sport + Health</t>
  </si>
  <si>
    <t>Is een combinatie vak dat alleen met Health samen gedaan kan worden? ON HOLD Informatie moet nog bevestigd worden</t>
  </si>
  <si>
    <t>A.C.E. Training</t>
  </si>
  <si>
    <t>World Geography</t>
  </si>
  <si>
    <t>WG</t>
  </si>
  <si>
    <t>Apologetics I</t>
  </si>
  <si>
    <t>AP</t>
  </si>
  <si>
    <t>Missions</t>
  </si>
  <si>
    <t>MI</t>
  </si>
  <si>
    <t>Successful Living</t>
  </si>
  <si>
    <t>SL</t>
  </si>
  <si>
    <t>A.C.E. Training + 30 hours of service</t>
  </si>
  <si>
    <t>AT</t>
  </si>
  <si>
    <t>ECDL Course</t>
  </si>
  <si>
    <t xml:space="preserve">Wat is dit? </t>
  </si>
  <si>
    <t>ED</t>
  </si>
  <si>
    <t>Geometry</t>
  </si>
  <si>
    <t>GE</t>
  </si>
  <si>
    <t>English II</t>
  </si>
  <si>
    <t>Rosetta Stone Level 10</t>
  </si>
  <si>
    <t>Each six stars</t>
  </si>
  <si>
    <t>Music Theory/Performance Grade 6</t>
  </si>
  <si>
    <t>Physical Science</t>
  </si>
  <si>
    <t>Dat klopt</t>
  </si>
  <si>
    <t>PS</t>
  </si>
  <si>
    <t>History of Civilisation I</t>
  </si>
  <si>
    <t>HC</t>
  </si>
  <si>
    <t>Apologetics II</t>
  </si>
  <si>
    <t>Christian Counselling I</t>
  </si>
  <si>
    <t>Correct gespeld? Is Amerikaans materiaal maar Britse spelling?</t>
  </si>
  <si>
    <t>CC</t>
  </si>
  <si>
    <t>Life of Christ I</t>
  </si>
  <si>
    <t>Old Testament Survey</t>
  </si>
  <si>
    <t>OT</t>
  </si>
  <si>
    <t>Auto Mechanics</t>
  </si>
  <si>
    <t>AM</t>
  </si>
  <si>
    <t>From approved list</t>
  </si>
  <si>
    <t>IC</t>
  </si>
  <si>
    <t>British Literature</t>
  </si>
  <si>
    <t>BL</t>
  </si>
  <si>
    <t>Dutch Language Staatsexamen HAVO</t>
  </si>
  <si>
    <t>Staatsexamen Havo, where is VWO?</t>
  </si>
  <si>
    <t>ICCE Literature 10 Part 1</t>
  </si>
  <si>
    <t xml:space="preserve">Beide vakken hebben dezelfde naam. Specification is niet duidelijk, is moeilijk met twee karakters. Beter is "I10" vs "I09". </t>
  </si>
  <si>
    <t>I1</t>
  </si>
  <si>
    <t>Overlap with the previous one and the same name</t>
  </si>
  <si>
    <t>N.T. Greek I</t>
  </si>
  <si>
    <t>GR</t>
  </si>
  <si>
    <t>CH</t>
  </si>
  <si>
    <t>New Testament Church History</t>
  </si>
  <si>
    <t>Heeft overlap met NT Ch. Hist. II?</t>
  </si>
  <si>
    <t>NC</t>
  </si>
  <si>
    <t>Accounting (US)</t>
  </si>
  <si>
    <t>AC</t>
  </si>
  <si>
    <t>CM</t>
  </si>
  <si>
    <t>HM</t>
  </si>
  <si>
    <t>TR</t>
  </si>
  <si>
    <t>Where is English Composition I?</t>
  </si>
  <si>
    <t>EC</t>
  </si>
  <si>
    <t>English IV</t>
  </si>
  <si>
    <t xml:space="preserve">mogelijk English IV te kiezen als III nog niet gedaan is? </t>
  </si>
  <si>
    <t>N.T. Greek II</t>
  </si>
  <si>
    <t>Nieuwe nummering?</t>
  </si>
  <si>
    <t>Music Theory/Performance Grade 7/8</t>
  </si>
  <si>
    <t>College Physical Science</t>
  </si>
  <si>
    <t>CP</t>
  </si>
  <si>
    <t>PH</t>
  </si>
  <si>
    <t>American History</t>
  </si>
  <si>
    <t>Credit Option</t>
  </si>
  <si>
    <t>AH</t>
  </si>
  <si>
    <t>Civics and Economics</t>
  </si>
  <si>
    <t>CE</t>
  </si>
  <si>
    <t>Collectivism</t>
  </si>
  <si>
    <t>Over communisme en zo</t>
  </si>
  <si>
    <t>CO</t>
  </si>
  <si>
    <t>Dit staat ook onder FCO, maar is verplicht!?</t>
  </si>
  <si>
    <t>US Constitution</t>
  </si>
  <si>
    <t>UC</t>
  </si>
  <si>
    <t>Christian Counselling II</t>
  </si>
  <si>
    <t>Apologetics option only?</t>
  </si>
  <si>
    <t>Christian Growth I</t>
  </si>
  <si>
    <t>CG</t>
  </si>
  <si>
    <t>Life of Christ II</t>
  </si>
  <si>
    <t>Only possible to choose this as an option for Apologetics III</t>
  </si>
  <si>
    <t>New Testament Church History II</t>
  </si>
  <si>
    <t xml:space="preserve">Apologetics option only? </t>
  </si>
  <si>
    <t>English Composition I</t>
  </si>
  <si>
    <t>Welk level? Staat niet op het blad</t>
  </si>
  <si>
    <t>Hier mag gekozen worden uit Groep 1 (i.e. Christian Studies, van Advanced). Deze regel moet verwijderd worden, is namelijk geen aparte course.</t>
  </si>
  <si>
    <t>ICCE Biology</t>
  </si>
  <si>
    <t>IB</t>
  </si>
  <si>
    <t>Biology Apologia</t>
  </si>
  <si>
    <t>Life of Christ</t>
  </si>
  <si>
    <t>Dutch Language Staatsexamen VMBO</t>
  </si>
  <si>
    <t>Social Studies Essay General</t>
  </si>
  <si>
    <t>CourseWork</t>
  </si>
  <si>
    <t>Science Essay General</t>
  </si>
  <si>
    <t>Biblical Studies Essay Intermediate</t>
  </si>
  <si>
    <t>English Essay Intermediate</t>
  </si>
  <si>
    <t>Social Studies Essay Intermediate</t>
  </si>
  <si>
    <t>Science Essay Intermediate</t>
  </si>
  <si>
    <t>Biblical Studies Essay Advanced</t>
  </si>
  <si>
    <t>Maths Paper Advanced</t>
  </si>
  <si>
    <t>English Essay Advanced</t>
  </si>
  <si>
    <t>Social Studies Essay Advanced</t>
  </si>
  <si>
    <t>Sciences Project Advanced</t>
  </si>
  <si>
    <t>PR</t>
  </si>
  <si>
    <t>Sciences Essay Advanced</t>
  </si>
  <si>
    <t>English III Dissertation</t>
  </si>
  <si>
    <t>DS</t>
  </si>
  <si>
    <t>PaceID</t>
  </si>
  <si>
    <t>CourseID</t>
  </si>
  <si>
    <t>Course</t>
  </si>
  <si>
    <t>Number</t>
  </si>
  <si>
    <t>CreditValue</t>
  </si>
  <si>
    <t>PassThreshold</t>
  </si>
  <si>
    <t>Active</t>
  </si>
  <si>
    <t>MA02RR03PT</t>
  </si>
  <si>
    <t>MA03RR03PT</t>
  </si>
  <si>
    <t>MA04RR03PT</t>
  </si>
  <si>
    <t>MA05RR03PT</t>
  </si>
  <si>
    <t>MA06RR03PT</t>
  </si>
  <si>
    <t>MA07RR03PT</t>
  </si>
  <si>
    <t>MA08RR03PT</t>
  </si>
  <si>
    <t>MA09RR03PT</t>
  </si>
  <si>
    <t>MA10RR03PT</t>
  </si>
  <si>
    <t>MA11RR03PT</t>
  </si>
  <si>
    <t>MA12RR03PT</t>
  </si>
  <si>
    <t>MA01MA03PT</t>
  </si>
  <si>
    <t>MA02MA03PT</t>
  </si>
  <si>
    <t>MA03MA03PT</t>
  </si>
  <si>
    <t>MA04MA03PT</t>
  </si>
  <si>
    <t>MA05MA03PT</t>
  </si>
  <si>
    <t>MA06MA03PT</t>
  </si>
  <si>
    <t>MA07MA03PT</t>
  </si>
  <si>
    <t>MA08MA03PT</t>
  </si>
  <si>
    <t>MA09MA03PT</t>
  </si>
  <si>
    <t>MA10MA03PT</t>
  </si>
  <si>
    <t>MA11MA03PT</t>
  </si>
  <si>
    <t>MA12MA03PT</t>
  </si>
  <si>
    <t>LA01EN03PT</t>
  </si>
  <si>
    <t>LA02EN03PT</t>
  </si>
  <si>
    <t>LA03EN03PT</t>
  </si>
  <si>
    <t>LA04EN03PT</t>
  </si>
  <si>
    <t>LA05EN03PT</t>
  </si>
  <si>
    <t>LA06EN03PT</t>
  </si>
  <si>
    <t>LA07EN03PT</t>
  </si>
  <si>
    <t>LA08EN03PT</t>
  </si>
  <si>
    <t>LA09EN03PT</t>
  </si>
  <si>
    <t>LA10EN03PT</t>
  </si>
  <si>
    <t>LA11EN03PT</t>
  </si>
  <si>
    <t>LA12EN03PT</t>
  </si>
  <si>
    <t>WB01WB03PT</t>
  </si>
  <si>
    <t>WB02WB03PT</t>
  </si>
  <si>
    <t>WB03WB03PT</t>
  </si>
  <si>
    <t>WB04WB03PT</t>
  </si>
  <si>
    <t>WB05WB03PT</t>
  </si>
  <si>
    <t>WB06WB03PT</t>
  </si>
  <si>
    <t>WB07WB03PT</t>
  </si>
  <si>
    <t>WB08WB03PT</t>
  </si>
  <si>
    <t>WB09WB03PT</t>
  </si>
  <si>
    <t>WB10WB03PT</t>
  </si>
  <si>
    <t>WB11WB03PT</t>
  </si>
  <si>
    <t>WB12WB03PT</t>
  </si>
  <si>
    <t>LI01LC03PT</t>
  </si>
  <si>
    <t>LI02LC03PT</t>
  </si>
  <si>
    <t>LI03LC03PT</t>
  </si>
  <si>
    <t>LI04LC03PT</t>
  </si>
  <si>
    <t>LI05LC03PT</t>
  </si>
  <si>
    <t>LI06LC03PT</t>
  </si>
  <si>
    <t>LI07LC03PT</t>
  </si>
  <si>
    <t>LI08LC03PT</t>
  </si>
  <si>
    <t>LI09LC03PT</t>
  </si>
  <si>
    <t>LI10LC03PT</t>
  </si>
  <si>
    <t>LI11LC03PT</t>
  </si>
  <si>
    <t>LI12LC03PT</t>
  </si>
  <si>
    <t>SC01SC03PT</t>
  </si>
  <si>
    <t>SC02SC03PT</t>
  </si>
  <si>
    <t>SC03SC03PT</t>
  </si>
  <si>
    <t>SC04SC03PT</t>
  </si>
  <si>
    <t>SC05SC03PT</t>
  </si>
  <si>
    <t>SC06SC03PT</t>
  </si>
  <si>
    <t>SC07SC03PT</t>
  </si>
  <si>
    <t>SC08SC03PT</t>
  </si>
  <si>
    <t>SC09SC03PT</t>
  </si>
  <si>
    <t>SC10SC03PT</t>
  </si>
  <si>
    <t>SC11SC03PT</t>
  </si>
  <si>
    <t>SC12SC03PT</t>
  </si>
  <si>
    <t>SS01SS03PT</t>
  </si>
  <si>
    <t>SS02SS03PT</t>
  </si>
  <si>
    <t>SS03SS03PT</t>
  </si>
  <si>
    <t>SS04SS03PT</t>
  </si>
  <si>
    <t>SS05SS03PT</t>
  </si>
  <si>
    <t>SS06SS03PT</t>
  </si>
  <si>
    <t>SS07SS03PT</t>
  </si>
  <si>
    <t>SS08SS03PT</t>
  </si>
  <si>
    <t>SS09SS03PT</t>
  </si>
  <si>
    <t>SS10SS03PT</t>
  </si>
  <si>
    <t>SS11SS03PT</t>
  </si>
  <si>
    <t>SS12SS03PT</t>
  </si>
  <si>
    <t>BS01BR03PT</t>
  </si>
  <si>
    <t>BS02BR03PT</t>
  </si>
  <si>
    <t>BS03BR03PT</t>
  </si>
  <si>
    <t>BS04BR03PT</t>
  </si>
  <si>
    <t>BS05BR03PT</t>
  </si>
  <si>
    <t>BS06BR03PT</t>
  </si>
  <si>
    <t>BS07BR03PT</t>
  </si>
  <si>
    <t>BS08BR03PT</t>
  </si>
  <si>
    <t>BS09BR03PT</t>
  </si>
  <si>
    <t>BS10BR03PT</t>
  </si>
  <si>
    <t>BS11BR03PT</t>
  </si>
  <si>
    <t>BS12BR03PT</t>
  </si>
  <si>
    <t>MA13MA03PT</t>
  </si>
  <si>
    <t>MA14MA03PT</t>
  </si>
  <si>
    <t>MA15MA03PT</t>
  </si>
  <si>
    <t>MA16MA03PT</t>
  </si>
  <si>
    <t>MA17MA03PT</t>
  </si>
  <si>
    <t>MA18MA03PT</t>
  </si>
  <si>
    <t>MA19MA03PT</t>
  </si>
  <si>
    <t>MA20MA03PT</t>
  </si>
  <si>
    <t>MA21MA03PT</t>
  </si>
  <si>
    <t>MA22MA03PT</t>
  </si>
  <si>
    <t>MA23MA03PT</t>
  </si>
  <si>
    <t>MA24MA03PT</t>
  </si>
  <si>
    <t>LA13EN03PT</t>
  </si>
  <si>
    <t>LA14EN03PT</t>
  </si>
  <si>
    <t>LA15EN03PT</t>
  </si>
  <si>
    <t>LA16EN03PT</t>
  </si>
  <si>
    <t>LA17EN03PT</t>
  </si>
  <si>
    <t>LA18EN03PT</t>
  </si>
  <si>
    <t>LA19EN03PT</t>
  </si>
  <si>
    <t>LA20EN03PT</t>
  </si>
  <si>
    <t>LA21EN03PT</t>
  </si>
  <si>
    <t>LA22EN03PT</t>
  </si>
  <si>
    <t>LA23EN03PT</t>
  </si>
  <si>
    <t>LA24EN03PT</t>
  </si>
  <si>
    <t>WB13WB03PT</t>
  </si>
  <si>
    <t>WB14WB03PT</t>
  </si>
  <si>
    <t>WB15WB03PT</t>
  </si>
  <si>
    <t>WB16WB03PT</t>
  </si>
  <si>
    <t>WB17WB03PT</t>
  </si>
  <si>
    <t>WB18WB03PT</t>
  </si>
  <si>
    <t>WB19WB03PT</t>
  </si>
  <si>
    <t>WB20WB03PT</t>
  </si>
  <si>
    <t>WB21WB03PT</t>
  </si>
  <si>
    <t>WB22WB03PT</t>
  </si>
  <si>
    <t>WB23WB03PT</t>
  </si>
  <si>
    <t>WB24WB03PT</t>
  </si>
  <si>
    <t>LI13LC03PT</t>
  </si>
  <si>
    <t>LI14LC03PT</t>
  </si>
  <si>
    <t>LI15LC03PT</t>
  </si>
  <si>
    <t>LI16LC03PT</t>
  </si>
  <si>
    <t>LI17LC03PT</t>
  </si>
  <si>
    <t>LI18LC03PT</t>
  </si>
  <si>
    <t>LI19LC03PT</t>
  </si>
  <si>
    <t>LI20LC03PT</t>
  </si>
  <si>
    <t>LI21LC03PT</t>
  </si>
  <si>
    <t>LI22LC03PT</t>
  </si>
  <si>
    <t>LI23LC03PT</t>
  </si>
  <si>
    <t>LI24LC03PT</t>
  </si>
  <si>
    <t>SC13SC03PT</t>
  </si>
  <si>
    <t>SC14SC03PT</t>
  </si>
  <si>
    <t>SC15SC03PT</t>
  </si>
  <si>
    <t>SC16SC03PT</t>
  </si>
  <si>
    <t>SC17SC03PT</t>
  </si>
  <si>
    <t>SC18SC03PT</t>
  </si>
  <si>
    <t>SC19SC03PT</t>
  </si>
  <si>
    <t>SC20SC03PT</t>
  </si>
  <si>
    <t>SC21SC03PT</t>
  </si>
  <si>
    <t>SC22SC03PT</t>
  </si>
  <si>
    <t>SC23SC03PT</t>
  </si>
  <si>
    <t>SC24SC03PT</t>
  </si>
  <si>
    <t>SS13SS03PT</t>
  </si>
  <si>
    <t>SS14SS03PT</t>
  </si>
  <si>
    <t>SS15SS03PT</t>
  </si>
  <si>
    <t>SS16SS03PT</t>
  </si>
  <si>
    <t>SS17SS03PT</t>
  </si>
  <si>
    <t>SS18SS03PT</t>
  </si>
  <si>
    <t>SS19SS03PT</t>
  </si>
  <si>
    <t>SS20SS03PT</t>
  </si>
  <si>
    <t>SS21SS03PT</t>
  </si>
  <si>
    <t>SS22SS03PT</t>
  </si>
  <si>
    <t>SS23SS03PT</t>
  </si>
  <si>
    <t>SS24SS03PT</t>
  </si>
  <si>
    <t>BS13BR03PT</t>
  </si>
  <si>
    <t>BS14BR03PT</t>
  </si>
  <si>
    <t>BS15BR03PT</t>
  </si>
  <si>
    <t>BS16BR03PT</t>
  </si>
  <si>
    <t>BS17BR03PT</t>
  </si>
  <si>
    <t>BS18BR03PT</t>
  </si>
  <si>
    <t>BS19BR03PT</t>
  </si>
  <si>
    <t>BS20BR03PT</t>
  </si>
  <si>
    <t>BS21BR03PT</t>
  </si>
  <si>
    <t>BS22BR03PT</t>
  </si>
  <si>
    <t>BS23BR03PT</t>
  </si>
  <si>
    <t>BS24BR03PT</t>
  </si>
  <si>
    <t>MA25MA03PT</t>
  </si>
  <si>
    <t>MA26MA03PT</t>
  </si>
  <si>
    <t>MA27MA03PT</t>
  </si>
  <si>
    <t>MA28MA03PT</t>
  </si>
  <si>
    <t>MA29MA03PT</t>
  </si>
  <si>
    <t>MA30MA03PT</t>
  </si>
  <si>
    <t>MA31MA03PT</t>
  </si>
  <si>
    <t>MA32MA03PT</t>
  </si>
  <si>
    <t>MA33MA03PT</t>
  </si>
  <si>
    <t>MA34MA03PT</t>
  </si>
  <si>
    <t>MA35MA03PT</t>
  </si>
  <si>
    <t>MA36MA03PT</t>
  </si>
  <si>
    <t>LA25EN03PT</t>
  </si>
  <si>
    <t>LA26EN03PT</t>
  </si>
  <si>
    <t>LA27EN03PT</t>
  </si>
  <si>
    <t>LA28EN03PT</t>
  </si>
  <si>
    <t>LA29EN03PT</t>
  </si>
  <si>
    <t>LA30EN03PT</t>
  </si>
  <si>
    <t>LA31EN03PT</t>
  </si>
  <si>
    <t>LA32EN03PT</t>
  </si>
  <si>
    <t>LA33EN03PT</t>
  </si>
  <si>
    <t>LA34EN03PT</t>
  </si>
  <si>
    <t>LA35EN03PT</t>
  </si>
  <si>
    <t>LA36EN03PT</t>
  </si>
  <si>
    <t>WB25WB03PT</t>
  </si>
  <si>
    <t>WB26WB03PT</t>
  </si>
  <si>
    <t>WB27WB03PT</t>
  </si>
  <si>
    <t>WB28WB03PT</t>
  </si>
  <si>
    <t>WB29WB03PT</t>
  </si>
  <si>
    <t>WB30WB03PT</t>
  </si>
  <si>
    <t>WB31WB03PT</t>
  </si>
  <si>
    <t>WB32WB03PT</t>
  </si>
  <si>
    <t>WB33WB03PT</t>
  </si>
  <si>
    <t>WB34WB03PT</t>
  </si>
  <si>
    <t>WB35WB03PT</t>
  </si>
  <si>
    <t>WB36WB03PT</t>
  </si>
  <si>
    <t>LI25LC03PT</t>
  </si>
  <si>
    <t>LI26LC03PT</t>
  </si>
  <si>
    <t>LI27LC03PT</t>
  </si>
  <si>
    <t>LI28LC03PT</t>
  </si>
  <si>
    <t>LI29LC03PT</t>
  </si>
  <si>
    <t>LI30LC03PT</t>
  </si>
  <si>
    <t>LI31LC03PT</t>
  </si>
  <si>
    <t>LI32LC03PT</t>
  </si>
  <si>
    <t>LI33LC03PT</t>
  </si>
  <si>
    <t>LI34LC03PT</t>
  </si>
  <si>
    <t>LI35LC03PT</t>
  </si>
  <si>
    <t>LI36LC03PT</t>
  </si>
  <si>
    <t>SC25SC03PT</t>
  </si>
  <si>
    <t>SC26SC03PT</t>
  </si>
  <si>
    <t>SC27SC03PT</t>
  </si>
  <si>
    <t>SC28SC03PT</t>
  </si>
  <si>
    <t>SC29SC03PT</t>
  </si>
  <si>
    <t>SC30SC03PT</t>
  </si>
  <si>
    <t>SC31SC03PT</t>
  </si>
  <si>
    <t>SC32SC03PT</t>
  </si>
  <si>
    <t>SC33SC03PT</t>
  </si>
  <si>
    <t>SC34SC03PT</t>
  </si>
  <si>
    <t>SC35SC03PT</t>
  </si>
  <si>
    <t>SC36SC03PT</t>
  </si>
  <si>
    <t>SS25SS03PT</t>
  </si>
  <si>
    <t>SS26SS03PT</t>
  </si>
  <si>
    <t>SS27SS03PT</t>
  </si>
  <si>
    <t>SS28SS03PT</t>
  </si>
  <si>
    <t>SS29SS03PT</t>
  </si>
  <si>
    <t>SS30SS03PT</t>
  </si>
  <si>
    <t>SS31SS03PT</t>
  </si>
  <si>
    <t>SS32SS03PT</t>
  </si>
  <si>
    <t>SS33SS03PT</t>
  </si>
  <si>
    <t>SS34SS03PT</t>
  </si>
  <si>
    <t>SS35SS03PT</t>
  </si>
  <si>
    <t>SS36SS03PT</t>
  </si>
  <si>
    <t>BS25BR03PT</t>
  </si>
  <si>
    <t>BS26BR03PT</t>
  </si>
  <si>
    <t>BS27BR03PT</t>
  </si>
  <si>
    <t>BS28BR03PT</t>
  </si>
  <si>
    <t>BS29BR03PT</t>
  </si>
  <si>
    <t>BS30BR03PT</t>
  </si>
  <si>
    <t>BS31BR03PT</t>
  </si>
  <si>
    <t>BS32BR03PT</t>
  </si>
  <si>
    <t>BS33BR03PT</t>
  </si>
  <si>
    <t>BS34BR03PT</t>
  </si>
  <si>
    <t>BS35BR03PT</t>
  </si>
  <si>
    <t>BS36BR03PT</t>
  </si>
  <si>
    <t>MA37MA03PT</t>
  </si>
  <si>
    <t>MA38MA03PT</t>
  </si>
  <si>
    <t>MA39MA03PT</t>
  </si>
  <si>
    <t>MA40MA03PT</t>
  </si>
  <si>
    <t>MA41MA03PT</t>
  </si>
  <si>
    <t>MA42MA03PT</t>
  </si>
  <si>
    <t>MA43MA03PT</t>
  </si>
  <si>
    <t>MA44MA03PT</t>
  </si>
  <si>
    <t>MA45MA03PT</t>
  </si>
  <si>
    <t>MA46MA03PT</t>
  </si>
  <si>
    <t>MA47MA03PT</t>
  </si>
  <si>
    <t>MA48MA03PT</t>
  </si>
  <si>
    <t>LA37EN03PT</t>
  </si>
  <si>
    <t>LA38EN03PT</t>
  </si>
  <si>
    <t>LA39EN03PT</t>
  </si>
  <si>
    <t>LA40EN03PT</t>
  </si>
  <si>
    <t>LA41EN03PT</t>
  </si>
  <si>
    <t>LA42EN03PT</t>
  </si>
  <si>
    <t>LA43EN03PT</t>
  </si>
  <si>
    <t>LA44EN03PT</t>
  </si>
  <si>
    <t>LA45EN03PT</t>
  </si>
  <si>
    <t>LA46EN03PT</t>
  </si>
  <si>
    <t>LA47EN03PT</t>
  </si>
  <si>
    <t>LA48EN03PT</t>
  </si>
  <si>
    <t>WB37WB03PT</t>
  </si>
  <si>
    <t>WB38WB03PT</t>
  </si>
  <si>
    <t>WB39WB03PT</t>
  </si>
  <si>
    <t>WB40WB03PT</t>
  </si>
  <si>
    <t>WB41WB03PT</t>
  </si>
  <si>
    <t>WB42WB03PT</t>
  </si>
  <si>
    <t>WB43WB03PT</t>
  </si>
  <si>
    <t>WB44WB03PT</t>
  </si>
  <si>
    <t>WB45WB03PT</t>
  </si>
  <si>
    <t>WB46WB03PT</t>
  </si>
  <si>
    <t>WB47WB03PT</t>
  </si>
  <si>
    <t>WB48WB03PT</t>
  </si>
  <si>
    <t>LI37LC03PT</t>
  </si>
  <si>
    <t>LI38LC03PT</t>
  </si>
  <si>
    <t>LI39LC03PT</t>
  </si>
  <si>
    <t>LI40LC03PT</t>
  </si>
  <si>
    <t>LI41LC03PT</t>
  </si>
  <si>
    <t>LI42LC03PT</t>
  </si>
  <si>
    <t>LI43LC03PT</t>
  </si>
  <si>
    <t>LI44LC03PT</t>
  </si>
  <si>
    <t>LI45LC03PT</t>
  </si>
  <si>
    <t>LI46LC03PT</t>
  </si>
  <si>
    <t>LI47LC03PT</t>
  </si>
  <si>
    <t>LI48LC03PT</t>
  </si>
  <si>
    <t>SC37SC03PT</t>
  </si>
  <si>
    <t>SC38SC03PT</t>
  </si>
  <si>
    <t>SC39SC03PT</t>
  </si>
  <si>
    <t>SC40SC03PT</t>
  </si>
  <si>
    <t>SC41SC03PT</t>
  </si>
  <si>
    <t>SC42SC03PT</t>
  </si>
  <si>
    <t>SC43SC03PT</t>
  </si>
  <si>
    <t>SC44SC03PT</t>
  </si>
  <si>
    <t>SC45SC03PT</t>
  </si>
  <si>
    <t>SC46SC03PT</t>
  </si>
  <si>
    <t>SC47SC03PT</t>
  </si>
  <si>
    <t>SC48SC03PT</t>
  </si>
  <si>
    <t>SS37SS03PT</t>
  </si>
  <si>
    <t>SS38SS03PT</t>
  </si>
  <si>
    <t>SS39SS03PT</t>
  </si>
  <si>
    <t>SS40SS03PT</t>
  </si>
  <si>
    <t>SS41SS03PT</t>
  </si>
  <si>
    <t>SS42SS03PT</t>
  </si>
  <si>
    <t>SS43SS03PT</t>
  </si>
  <si>
    <t>SS44SS03PT</t>
  </si>
  <si>
    <t>SS45SS03PT</t>
  </si>
  <si>
    <t>SS46SS03PT</t>
  </si>
  <si>
    <t>SS47SS03PT</t>
  </si>
  <si>
    <t>SS48SS03PT</t>
  </si>
  <si>
    <t>BS37BR03PT</t>
  </si>
  <si>
    <t>BS38BR03PT</t>
  </si>
  <si>
    <t>BS39BR03PT</t>
  </si>
  <si>
    <t>BS40BR03PT</t>
  </si>
  <si>
    <t>BS41BR03PT</t>
  </si>
  <si>
    <t>BS42BR03PT</t>
  </si>
  <si>
    <t>BS43BR03PT</t>
  </si>
  <si>
    <t>BS44BR03PT</t>
  </si>
  <si>
    <t>BS45BR03PT</t>
  </si>
  <si>
    <t>BS46BR03PT</t>
  </si>
  <si>
    <t>BS47BR03PT</t>
  </si>
  <si>
    <t>BS48BR03PT</t>
  </si>
  <si>
    <t>MA49MA03PT</t>
  </si>
  <si>
    <t>MA50MA03PT</t>
  </si>
  <si>
    <t>MA51MA03PT</t>
  </si>
  <si>
    <t>MA52MA03PT</t>
  </si>
  <si>
    <t>MA53MA03PT</t>
  </si>
  <si>
    <t>MA54MA03PT</t>
  </si>
  <si>
    <t>MA55MA03PT</t>
  </si>
  <si>
    <t>MA56MA03PT</t>
  </si>
  <si>
    <t>MA57MA03PT</t>
  </si>
  <si>
    <t>MA58MA03PT</t>
  </si>
  <si>
    <t>MA59MA03PT</t>
  </si>
  <si>
    <t>MA60MA03PT</t>
  </si>
  <si>
    <t>LA49EN03PT</t>
  </si>
  <si>
    <t>LA50EN03PT</t>
  </si>
  <si>
    <t>LA51EN03PT</t>
  </si>
  <si>
    <t>LA52EN03PT</t>
  </si>
  <si>
    <t>LA53EN03PT</t>
  </si>
  <si>
    <t>LA54EN03PT</t>
  </si>
  <si>
    <t>LA55EN03PT</t>
  </si>
  <si>
    <t>LA56EN03PT</t>
  </si>
  <si>
    <t>LA57EN03PT</t>
  </si>
  <si>
    <t>LA58EN03PT</t>
  </si>
  <si>
    <t>LA59EN03PT</t>
  </si>
  <si>
    <t>LA60EN03PT</t>
  </si>
  <si>
    <t>WB49WB03PT</t>
  </si>
  <si>
    <t>WB50WB03PT</t>
  </si>
  <si>
    <t>WB51WB03PT</t>
  </si>
  <si>
    <t>WB52WB03PT</t>
  </si>
  <si>
    <t>WB53WB03PT</t>
  </si>
  <si>
    <t>WB54WB03PT</t>
  </si>
  <si>
    <t>WB55WB03PT</t>
  </si>
  <si>
    <t>WB56WB03PT</t>
  </si>
  <si>
    <t>WB57WB03PT</t>
  </si>
  <si>
    <t>WB58WB03PT</t>
  </si>
  <si>
    <t>WB59WB03PT</t>
  </si>
  <si>
    <t>WB60WB03PT</t>
  </si>
  <si>
    <t>LI49LC03PT</t>
  </si>
  <si>
    <t>LI50LC03PT</t>
  </si>
  <si>
    <t>LI51LC03PT</t>
  </si>
  <si>
    <t>LI52LC03PT</t>
  </si>
  <si>
    <t>LI53LC03PT</t>
  </si>
  <si>
    <t>LI54LC03PT</t>
  </si>
  <si>
    <t>LI55LC03PT</t>
  </si>
  <si>
    <t>LI56LC03PT</t>
  </si>
  <si>
    <t>LI57LC03PT</t>
  </si>
  <si>
    <t>LI58LC03PT</t>
  </si>
  <si>
    <t>LI59LC03PT</t>
  </si>
  <si>
    <t>LI60LC03PT</t>
  </si>
  <si>
    <t>SC49SC03PT</t>
  </si>
  <si>
    <t>SC50SC03PT</t>
  </si>
  <si>
    <t>SC51SC03PT</t>
  </si>
  <si>
    <t>SC52SC03PT</t>
  </si>
  <si>
    <t>SC53SC03PT</t>
  </si>
  <si>
    <t>SC54SC03PT</t>
  </si>
  <si>
    <t>SC55SC03PT</t>
  </si>
  <si>
    <t>SC56SC03PT</t>
  </si>
  <si>
    <t>SC57SC03PT</t>
  </si>
  <si>
    <t>SC58SC03PT</t>
  </si>
  <si>
    <t>SC59SC03PT</t>
  </si>
  <si>
    <t>SC60SC03PT</t>
  </si>
  <si>
    <t>SS49SS03PT</t>
  </si>
  <si>
    <t>SS50SS03PT</t>
  </si>
  <si>
    <t>SS51SS03PT</t>
  </si>
  <si>
    <t>SS52SS03PT</t>
  </si>
  <si>
    <t>SS53SS03PT</t>
  </si>
  <si>
    <t>SS54SS03PT</t>
  </si>
  <si>
    <t>SS55SS03PT</t>
  </si>
  <si>
    <t>SS56SS03PT</t>
  </si>
  <si>
    <t>SS57SS03PT</t>
  </si>
  <si>
    <t>SS58SS03PT</t>
  </si>
  <si>
    <t>SS59SS03PT</t>
  </si>
  <si>
    <t>SS60SS03PT</t>
  </si>
  <si>
    <t>BS49BR03PT</t>
  </si>
  <si>
    <t>BS50BR03PT</t>
  </si>
  <si>
    <t>BS51BR03PT</t>
  </si>
  <si>
    <t>BS52BR03PT</t>
  </si>
  <si>
    <t>BS53BR03PT</t>
  </si>
  <si>
    <t>BS54BR03PT</t>
  </si>
  <si>
    <t>BS55BR03PT</t>
  </si>
  <si>
    <t>BS56BR03PT</t>
  </si>
  <si>
    <t>BS57BR03PT</t>
  </si>
  <si>
    <t>BS58BR03PT</t>
  </si>
  <si>
    <t>BS59BR03PT</t>
  </si>
  <si>
    <t>BS60BR03PT</t>
  </si>
  <si>
    <t>MA61MA03PT</t>
  </si>
  <si>
    <t>MA62MA03PT</t>
  </si>
  <si>
    <t>MA63MA03PT</t>
  </si>
  <si>
    <t>MA64MA03PT</t>
  </si>
  <si>
    <t>MA65MA03PT</t>
  </si>
  <si>
    <t>MA66MA03PT</t>
  </si>
  <si>
    <t>MA67MA03PT</t>
  </si>
  <si>
    <t>MA68MA03PT</t>
  </si>
  <si>
    <t>MA69MA03PT</t>
  </si>
  <si>
    <t>MA70MA03PT</t>
  </si>
  <si>
    <t>MA71MA03PT</t>
  </si>
  <si>
    <t>MA72MA03PT</t>
  </si>
  <si>
    <t>LA61EN03PT</t>
  </si>
  <si>
    <t>LA62EN03PT</t>
  </si>
  <si>
    <t>LA63EN03PT</t>
  </si>
  <si>
    <t>LA64EN03PT</t>
  </si>
  <si>
    <t>LA65EN03PT</t>
  </si>
  <si>
    <t>LA66EN03PT</t>
  </si>
  <si>
    <t>LA67EN03PT</t>
  </si>
  <si>
    <t>LA68EN03PT</t>
  </si>
  <si>
    <t>LA69EN03PT</t>
  </si>
  <si>
    <t>LA70EN03PT</t>
  </si>
  <si>
    <t>LA71EN03PT</t>
  </si>
  <si>
    <t>LA72EN03PT</t>
  </si>
  <si>
    <t>WB61WB03PT</t>
  </si>
  <si>
    <t>WB62WB03PT</t>
  </si>
  <si>
    <t>WB63WB03PT</t>
  </si>
  <si>
    <t>WB64WB03PT</t>
  </si>
  <si>
    <t>WB65WB03PT</t>
  </si>
  <si>
    <t>WB66WB03PT</t>
  </si>
  <si>
    <t>WB67WB03PT</t>
  </si>
  <si>
    <t>WB68WB03PT</t>
  </si>
  <si>
    <t>WB69WB03PT</t>
  </si>
  <si>
    <t>WB70WB03PT</t>
  </si>
  <si>
    <t>WB71WB03PT</t>
  </si>
  <si>
    <t>WB72WB03PT</t>
  </si>
  <si>
    <t>LI61LC03PT</t>
  </si>
  <si>
    <t>LI62LC03PT</t>
  </si>
  <si>
    <t>LI63LC03PT</t>
  </si>
  <si>
    <t>LI64LC03PT</t>
  </si>
  <si>
    <t>LI65LC03PT</t>
  </si>
  <si>
    <t>LI66LC03PT</t>
  </si>
  <si>
    <t>LI67LC03PT</t>
  </si>
  <si>
    <t>LI68LC03PT</t>
  </si>
  <si>
    <t>LI69LC03PT</t>
  </si>
  <si>
    <t>LI70LC03PT</t>
  </si>
  <si>
    <t>LI71LC03PT</t>
  </si>
  <si>
    <t>LI72LC03PT</t>
  </si>
  <si>
    <t>SC61SC03PT</t>
  </si>
  <si>
    <t>SC62SC03PT</t>
  </si>
  <si>
    <t>SC63SC03PT</t>
  </si>
  <si>
    <t>SC64SC03PT</t>
  </si>
  <si>
    <t>SC65SC03PT</t>
  </si>
  <si>
    <t>SC66SC03PT</t>
  </si>
  <si>
    <t>SC67SC03PT</t>
  </si>
  <si>
    <t>SC68SC03PT</t>
  </si>
  <si>
    <t>SC69SC03PT</t>
  </si>
  <si>
    <t>SC70SC03PT</t>
  </si>
  <si>
    <t>SC71SC03PT</t>
  </si>
  <si>
    <t>SC72SC03PT</t>
  </si>
  <si>
    <t>SS61SS03PT</t>
  </si>
  <si>
    <t>SS62SS03PT</t>
  </si>
  <si>
    <t>SS63SS03PT</t>
  </si>
  <si>
    <t>SS64SS03PT</t>
  </si>
  <si>
    <t>SS65SS03PT</t>
  </si>
  <si>
    <t>SS66SS03PT</t>
  </si>
  <si>
    <t>SS67SS03PT</t>
  </si>
  <si>
    <t>SS68SS03PT</t>
  </si>
  <si>
    <t>SS69SS03PT</t>
  </si>
  <si>
    <t>SS70SS03PT</t>
  </si>
  <si>
    <t>SS71SS03PT</t>
  </si>
  <si>
    <t>SS72SS03PT</t>
  </si>
  <si>
    <t>BS61BR03PT</t>
  </si>
  <si>
    <t>BS62BR03PT</t>
  </si>
  <si>
    <t>BS63BR03PT</t>
  </si>
  <si>
    <t>BS64BR03PT</t>
  </si>
  <si>
    <t>BS65BR03PT</t>
  </si>
  <si>
    <t>BS66BR03PT</t>
  </si>
  <si>
    <t>BS67BR03PT</t>
  </si>
  <si>
    <t>BS68BR03PT</t>
  </si>
  <si>
    <t>BS69BR03PT</t>
  </si>
  <si>
    <t>BS70BR03PT</t>
  </si>
  <si>
    <t>BS71BR03PT</t>
  </si>
  <si>
    <t>BS72BR03PT</t>
  </si>
  <si>
    <t>MA73MA03PT</t>
  </si>
  <si>
    <t>MA74MA03PT</t>
  </si>
  <si>
    <t>MA75MA03PT</t>
  </si>
  <si>
    <t>MA76MA03PT</t>
  </si>
  <si>
    <t>MA77MA03PT</t>
  </si>
  <si>
    <t>MA78MA03PT</t>
  </si>
  <si>
    <t>MA79MA03PT</t>
  </si>
  <si>
    <t>MA80MA03PT</t>
  </si>
  <si>
    <t>MA81MA03PT</t>
  </si>
  <si>
    <t>MA82MA03PT</t>
  </si>
  <si>
    <t>MA83MA03PT</t>
  </si>
  <si>
    <t>MA84MA03PT</t>
  </si>
  <si>
    <t>LA73EN03PT</t>
  </si>
  <si>
    <t>LA74EN03PT</t>
  </si>
  <si>
    <t>LA75EN03PT</t>
  </si>
  <si>
    <t>LA76EN03PT</t>
  </si>
  <si>
    <t>LA77EN03PT</t>
  </si>
  <si>
    <t>LA78EN03PT</t>
  </si>
  <si>
    <t>LA79EN03PT</t>
  </si>
  <si>
    <t>LA80EN03PT</t>
  </si>
  <si>
    <t>LA81EN03PT</t>
  </si>
  <si>
    <t>LA82EN03PT</t>
  </si>
  <si>
    <t>LA83EN03PT</t>
  </si>
  <si>
    <t>LA84EN03PT</t>
  </si>
  <si>
    <t>WB73BA03PT</t>
  </si>
  <si>
    <t>WB74BA03PT</t>
  </si>
  <si>
    <t>WB75BA03PT</t>
  </si>
  <si>
    <t>WB76BA03PT</t>
  </si>
  <si>
    <t>WB77BA03PT</t>
  </si>
  <si>
    <t>WB78BA03PT</t>
  </si>
  <si>
    <t>WB79BA03PT</t>
  </si>
  <si>
    <t>WB80BA03PT</t>
  </si>
  <si>
    <t>WB81BA03PT</t>
  </si>
  <si>
    <t>WB82BA03PT</t>
  </si>
  <si>
    <t>WB83BA03PT</t>
  </si>
  <si>
    <t>WB84BA03PT</t>
  </si>
  <si>
    <t>WB73WB03PT</t>
  </si>
  <si>
    <t>WB74WB03PT</t>
  </si>
  <si>
    <t>WB75WB03PT</t>
  </si>
  <si>
    <t>WB76WB03PT</t>
  </si>
  <si>
    <t>WB77WB03PT</t>
  </si>
  <si>
    <t>WB78WB03PT</t>
  </si>
  <si>
    <t>WB79WB03PT</t>
  </si>
  <si>
    <t>WB80WB03PT</t>
  </si>
  <si>
    <t>WB81WB03PT</t>
  </si>
  <si>
    <t>WB82WB03PT</t>
  </si>
  <si>
    <t>WB83WB03PT</t>
  </si>
  <si>
    <t>WB84WB03PT</t>
  </si>
  <si>
    <t>LI74LC03PT</t>
  </si>
  <si>
    <t>LI76LC03PT</t>
  </si>
  <si>
    <t>LI78LC03PT</t>
  </si>
  <si>
    <t>LI80LC03PT</t>
  </si>
  <si>
    <t>LI82LC03PT</t>
  </si>
  <si>
    <t>LI84LC03PT</t>
  </si>
  <si>
    <t>SC73SC03PT</t>
  </si>
  <si>
    <t>SC74SC03PT</t>
  </si>
  <si>
    <t>SC75SC03PT</t>
  </si>
  <si>
    <t>SC76SC03PT</t>
  </si>
  <si>
    <t>SC77SC03PT</t>
  </si>
  <si>
    <t>SC78SC03PT</t>
  </si>
  <si>
    <t>SC79SC03PT</t>
  </si>
  <si>
    <t>SC80SC03PT</t>
  </si>
  <si>
    <t>SC81SC03PT</t>
  </si>
  <si>
    <t>SC82SC03PT</t>
  </si>
  <si>
    <t>SC83SC03PT</t>
  </si>
  <si>
    <t>SC84SC03PT</t>
  </si>
  <si>
    <t>SS73SS03PT</t>
  </si>
  <si>
    <t>SS74SS03PT</t>
  </si>
  <si>
    <t>SS75SS03PT</t>
  </si>
  <si>
    <t>SS76SS03PT</t>
  </si>
  <si>
    <t>SS77SS03PT</t>
  </si>
  <si>
    <t>SS78SS03PT</t>
  </si>
  <si>
    <t>SS01SI03PT</t>
  </si>
  <si>
    <t>SS02SI03PT</t>
  </si>
  <si>
    <t>SS03SI03PT</t>
  </si>
  <si>
    <t>MA85GM03PT</t>
  </si>
  <si>
    <t>MA86GM03PT</t>
  </si>
  <si>
    <t>MA87GM03PT</t>
  </si>
  <si>
    <t>MA88GM03PT</t>
  </si>
  <si>
    <t>MA89GM03PT</t>
  </si>
  <si>
    <t>MA90GM03PT</t>
  </si>
  <si>
    <t>MA91GM03PT</t>
  </si>
  <si>
    <t>MA92GM03PT</t>
  </si>
  <si>
    <t>MA93GM03PT</t>
  </si>
  <si>
    <t>MA94GM03PT</t>
  </si>
  <si>
    <t>MA95GM03PT</t>
  </si>
  <si>
    <t>MA96GM03PT</t>
  </si>
  <si>
    <t>LA85EN03PT</t>
  </si>
  <si>
    <t>LA86EN03PT</t>
  </si>
  <si>
    <t>LA87EN03PT</t>
  </si>
  <si>
    <t>LA88EN03PT</t>
  </si>
  <si>
    <t>LA89EN03PT</t>
  </si>
  <si>
    <t>LA90EN03PT</t>
  </si>
  <si>
    <t>LA91EN03PT</t>
  </si>
  <si>
    <t>LA92EN03PT</t>
  </si>
  <si>
    <t>LA93EN03PT</t>
  </si>
  <si>
    <t>LA94EN03PT</t>
  </si>
  <si>
    <t>LA95EN03PT</t>
  </si>
  <si>
    <t>LA96EN03PT</t>
  </si>
  <si>
    <t>WB85WB03PT</t>
  </si>
  <si>
    <t>WB86WB03PT</t>
  </si>
  <si>
    <t>WB87WB03PT</t>
  </si>
  <si>
    <t>WB88WB03PT</t>
  </si>
  <si>
    <t>WB89WB03PT</t>
  </si>
  <si>
    <t>WB90WB03PT</t>
  </si>
  <si>
    <t>WB91WB03PT</t>
  </si>
  <si>
    <t>WB92WB03PT</t>
  </si>
  <si>
    <t>WB93WB03PT</t>
  </si>
  <si>
    <t>WB94WB03PT</t>
  </si>
  <si>
    <t>WB95WB03PT</t>
  </si>
  <si>
    <t>WB96WB03PT</t>
  </si>
  <si>
    <t>LI86LC03PT</t>
  </si>
  <si>
    <t>LI88LC03PT</t>
  </si>
  <si>
    <t>LI90LC03PT</t>
  </si>
  <si>
    <t>LI92LC03PT</t>
  </si>
  <si>
    <t>LI94LC03PT</t>
  </si>
  <si>
    <t>LI96LC03PT</t>
  </si>
  <si>
    <t>SC85ES03PT</t>
  </si>
  <si>
    <t>SC86ES03PT</t>
  </si>
  <si>
    <t>SC87ES03PT</t>
  </si>
  <si>
    <t>SC88ES03PT</t>
  </si>
  <si>
    <t>SC89ES03PT</t>
  </si>
  <si>
    <t>SC90ES03PT</t>
  </si>
  <si>
    <t>SC91ES03PT</t>
  </si>
  <si>
    <t>SC92ES03PT</t>
  </si>
  <si>
    <t>SC93ES03PT</t>
  </si>
  <si>
    <t>SC94ES03PT</t>
  </si>
  <si>
    <t>SC95ES03PT</t>
  </si>
  <si>
    <t>SC96ES03PT</t>
  </si>
  <si>
    <t>SS85UK03PT</t>
  </si>
  <si>
    <t>SS86UK03PT</t>
  </si>
  <si>
    <t>SS87UK03PT</t>
  </si>
  <si>
    <t>SS88UK03PT</t>
  </si>
  <si>
    <t>SS89UK03PT</t>
  </si>
  <si>
    <t>SS90UK03PT</t>
  </si>
  <si>
    <t>SS91UK03PT</t>
  </si>
  <si>
    <t>SS92UK03PT</t>
  </si>
  <si>
    <t>SS93UK03PT</t>
  </si>
  <si>
    <t>SS94UK03PT</t>
  </si>
  <si>
    <t>SS95UK03PT</t>
  </si>
  <si>
    <t>SS96UK03PT</t>
  </si>
  <si>
    <t>SS85WH03PT</t>
  </si>
  <si>
    <t>SS86WH03PT</t>
  </si>
  <si>
    <t>SS87WH03PT</t>
  </si>
  <si>
    <t>SS88WH03PT</t>
  </si>
  <si>
    <t>SS89WH03PT</t>
  </si>
  <si>
    <t>SS90WH03PT</t>
  </si>
  <si>
    <t>SS91WH03PT</t>
  </si>
  <si>
    <t>SS92WH03PT</t>
  </si>
  <si>
    <t>SS93WH03PT</t>
  </si>
  <si>
    <t>SS94WH03PT</t>
  </si>
  <si>
    <t>SS95WH03PT</t>
  </si>
  <si>
    <t>SS96WH03PT</t>
  </si>
  <si>
    <t>BS97NT03PT</t>
  </si>
  <si>
    <t>BS98NT03PT</t>
  </si>
  <si>
    <t>BS99NT03PT</t>
  </si>
  <si>
    <t>BS00NT03PT</t>
  </si>
  <si>
    <t>BS01NT03PT</t>
  </si>
  <si>
    <t>BS02NT03PT</t>
  </si>
  <si>
    <t>MA97AL03PT</t>
  </si>
  <si>
    <t>MA98AL03PT</t>
  </si>
  <si>
    <t>MA99AL03PT</t>
  </si>
  <si>
    <t>MA00AL03PT</t>
  </si>
  <si>
    <t>MA01AL03PT</t>
  </si>
  <si>
    <t>MA02AL03PT</t>
  </si>
  <si>
    <t>MA03AL03PT</t>
  </si>
  <si>
    <t>MA04AL03PT</t>
  </si>
  <si>
    <t>MA05AL03PT</t>
  </si>
  <si>
    <t>MA06AL03PT</t>
  </si>
  <si>
    <t>MA07AL03PT</t>
  </si>
  <si>
    <t>MA08AL03PT</t>
  </si>
  <si>
    <t>LA97EN03PT</t>
  </si>
  <si>
    <t>LA98EN03PT</t>
  </si>
  <si>
    <t>LA99EN03PT</t>
  </si>
  <si>
    <t>LA00EN03PT</t>
  </si>
  <si>
    <t>LA97FR03PT</t>
  </si>
  <si>
    <t>LA98FR03PT</t>
  </si>
  <si>
    <t>LA99FR03PT</t>
  </si>
  <si>
    <t>LA00FR03PT</t>
  </si>
  <si>
    <t>LA01FR03PT</t>
  </si>
  <si>
    <t>LA02FR03PT</t>
  </si>
  <si>
    <t>LA03FR03PT</t>
  </si>
  <si>
    <t>LA04FR03PT</t>
  </si>
  <si>
    <t>LA05FR03PT</t>
  </si>
  <si>
    <t>LA06FR03PT</t>
  </si>
  <si>
    <t>LA07FR03PT</t>
  </si>
  <si>
    <t>LA08FR03PT</t>
  </si>
  <si>
    <t>LA01RS03PT</t>
  </si>
  <si>
    <t>LA02RS03PT</t>
  </si>
  <si>
    <t>LA01ES03PT</t>
  </si>
  <si>
    <t>LA02ES03PT</t>
  </si>
  <si>
    <t>LA03ES03PT</t>
  </si>
  <si>
    <t>LA04ES03PT</t>
  </si>
  <si>
    <t>LA05ES03PT</t>
  </si>
  <si>
    <t>LA06ES03PT</t>
  </si>
  <si>
    <t>LA07ES03PT</t>
  </si>
  <si>
    <t>LA08ES03PT</t>
  </si>
  <si>
    <t>LA09ES03PT</t>
  </si>
  <si>
    <t>LA10ES03PT</t>
  </si>
  <si>
    <t>LA11ES03PT</t>
  </si>
  <si>
    <t>LA12ES03PT</t>
  </si>
  <si>
    <t>SU97AA03PT</t>
  </si>
  <si>
    <t>SU98AA03PT</t>
  </si>
  <si>
    <t>SU99AA03PT</t>
  </si>
  <si>
    <t>SU00AA03PT</t>
  </si>
  <si>
    <t>SU01AA03PT</t>
  </si>
  <si>
    <t>SU02AA03PT</t>
  </si>
  <si>
    <t>SU03AA03PT</t>
  </si>
  <si>
    <t>SU04AA03PT</t>
  </si>
  <si>
    <t>SU05AA03PT</t>
  </si>
  <si>
    <t>SU06AA03PT</t>
  </si>
  <si>
    <t>SU07AA03PT</t>
  </si>
  <si>
    <t>SU08AA03PT</t>
  </si>
  <si>
    <t>SU01CA03PT</t>
  </si>
  <si>
    <t>SU02CA03PT</t>
  </si>
  <si>
    <t>SU03CA03PT</t>
  </si>
  <si>
    <t>SU04CA03PT</t>
  </si>
  <si>
    <t>SU05CA03PT</t>
  </si>
  <si>
    <t>SU06CA03PT</t>
  </si>
  <si>
    <t>SU07CA03PT</t>
  </si>
  <si>
    <t>SU08CA03PT</t>
  </si>
  <si>
    <t>SU09CA03PT</t>
  </si>
  <si>
    <t>SU10CA03PT</t>
  </si>
  <si>
    <t>WB97ET03PT</t>
  </si>
  <si>
    <t>WB98ET03PT</t>
  </si>
  <si>
    <t>WB99ET03PT</t>
  </si>
  <si>
    <t>WB00ET03PT</t>
  </si>
  <si>
    <t>WB01ET03PT</t>
  </si>
  <si>
    <t>WB02ET03PT</t>
  </si>
  <si>
    <t>WB03ET03PT</t>
  </si>
  <si>
    <t>WB04ET03PT</t>
  </si>
  <si>
    <t>WB05ET03PT</t>
  </si>
  <si>
    <t>WB06ET03PT</t>
  </si>
  <si>
    <t>WB07ET03PT</t>
  </si>
  <si>
    <t>WB08ET03PT</t>
  </si>
  <si>
    <t>SU01MU03PT</t>
  </si>
  <si>
    <t>SU02MU03PT</t>
  </si>
  <si>
    <t>SU03MU03PT</t>
  </si>
  <si>
    <t>SU04MU03PT</t>
  </si>
  <si>
    <t>SU05MU03PT</t>
  </si>
  <si>
    <t>SU06MU03PT</t>
  </si>
  <si>
    <t>SU05MT03PT</t>
  </si>
  <si>
    <t>SU06MT03PT</t>
  </si>
  <si>
    <t>WB01SP03PT</t>
  </si>
  <si>
    <t>WB02SP03PT</t>
  </si>
  <si>
    <t>WB03SP03PT</t>
  </si>
  <si>
    <t>WB04SP03PT</t>
  </si>
  <si>
    <t>WB05SP03PT</t>
  </si>
  <si>
    <t>WB06SP03PT</t>
  </si>
  <si>
    <t>LI01I903PT</t>
  </si>
  <si>
    <t>LI02I903PT</t>
  </si>
  <si>
    <t>LI03I903PT</t>
  </si>
  <si>
    <t>LI04I903PT</t>
  </si>
  <si>
    <t>LI98LC03PT</t>
  </si>
  <si>
    <t>LI00LC03PT</t>
  </si>
  <si>
    <t>SC01AS03PT</t>
  </si>
  <si>
    <t>SC02AS03PT</t>
  </si>
  <si>
    <t>SC03AS03PT</t>
  </si>
  <si>
    <t>SC04AS03PT</t>
  </si>
  <si>
    <t>SC05AS03PT</t>
  </si>
  <si>
    <t>SC97BI03PT</t>
  </si>
  <si>
    <t>SC98BI03PT</t>
  </si>
  <si>
    <t>SC99BI03PT</t>
  </si>
  <si>
    <t>SC00BI03PT</t>
  </si>
  <si>
    <t>SC01BI03PT</t>
  </si>
  <si>
    <t>SC02BI03PT</t>
  </si>
  <si>
    <t>SC03BI03PT</t>
  </si>
  <si>
    <t>SC04BI03PT</t>
  </si>
  <si>
    <t>SC05BI03PT</t>
  </si>
  <si>
    <t>SC06BI03PT</t>
  </si>
  <si>
    <t>SC07BI03PT</t>
  </si>
  <si>
    <t>SC08BI03PT</t>
  </si>
  <si>
    <t>SC01HE03PT</t>
  </si>
  <si>
    <t>SC02HE03PT</t>
  </si>
  <si>
    <t>SC03HE03PT</t>
  </si>
  <si>
    <t>SC04HE03PT</t>
  </si>
  <si>
    <t>SC05HE03PT</t>
  </si>
  <si>
    <t>SC06HE03PT</t>
  </si>
  <si>
    <t>SC01NS03PT</t>
  </si>
  <si>
    <t>SC02NS03PT</t>
  </si>
  <si>
    <t>SC03NS03PT</t>
  </si>
  <si>
    <t>SC04NS03PT</t>
  </si>
  <si>
    <t>SC05NS03PT</t>
  </si>
  <si>
    <t>SC06NS03PT</t>
  </si>
  <si>
    <t>SC01SP03PT</t>
  </si>
  <si>
    <t>SC02SP03PT</t>
  </si>
  <si>
    <t>SC03SP03PT</t>
  </si>
  <si>
    <t>SC04SP03PT</t>
  </si>
  <si>
    <t>SS97UK03PT</t>
  </si>
  <si>
    <t>SS98UK03PT</t>
  </si>
  <si>
    <t>SS99UK03PT</t>
  </si>
  <si>
    <t>SS00UK03PT</t>
  </si>
  <si>
    <t>SS01UK03PT</t>
  </si>
  <si>
    <t>SS02UK03PT</t>
  </si>
  <si>
    <t>SS03UK03PT</t>
  </si>
  <si>
    <t>SS04UK03PT</t>
  </si>
  <si>
    <t>SS05UK03PT</t>
  </si>
  <si>
    <t>SS06UK03PT</t>
  </si>
  <si>
    <t>SS07UK03PT</t>
  </si>
  <si>
    <t>SS08UK03PT</t>
  </si>
  <si>
    <t>SS97WG03PT</t>
  </si>
  <si>
    <t>SS98WG03PT</t>
  </si>
  <si>
    <t>SS99WG03PT</t>
  </si>
  <si>
    <t>SS00WG03PT</t>
  </si>
  <si>
    <t>SS01WG03PT</t>
  </si>
  <si>
    <t>SS02WG03PT</t>
  </si>
  <si>
    <t>SS03WG03PT</t>
  </si>
  <si>
    <t>SS04WG03PT</t>
  </si>
  <si>
    <t>SS05WG03PT</t>
  </si>
  <si>
    <t>SS06WG03PT</t>
  </si>
  <si>
    <t>SS07WG03PT</t>
  </si>
  <si>
    <t>SS08WG03PT</t>
  </si>
  <si>
    <t>BS01AP22PT</t>
  </si>
  <si>
    <t>BS02AP22PT</t>
  </si>
  <si>
    <t>BS97AP18PT</t>
  </si>
  <si>
    <t>BS98AP18PT</t>
  </si>
  <si>
    <t>BS99AP18PT</t>
  </si>
  <si>
    <t>BS00AP18PT</t>
  </si>
  <si>
    <t>BS01AP18PT</t>
  </si>
  <si>
    <t>BS02AP18PT</t>
  </si>
  <si>
    <t>BS01MI03PT</t>
  </si>
  <si>
    <t>BS02MI03PT</t>
  </si>
  <si>
    <t>BS03MI03PT</t>
  </si>
  <si>
    <t>BS04MI03PT</t>
  </si>
  <si>
    <t>BS05MI03PT</t>
  </si>
  <si>
    <t>BS06MI03PT</t>
  </si>
  <si>
    <t>BS01SL03PT</t>
  </si>
  <si>
    <t>BS02SL03PT</t>
  </si>
  <si>
    <t>BS03SL03PT</t>
  </si>
  <si>
    <t>BS04SL03PT</t>
  </si>
  <si>
    <t>BS05SL03PT</t>
  </si>
  <si>
    <t>BS06SL03PT</t>
  </si>
  <si>
    <t>BS07SL03PT</t>
  </si>
  <si>
    <t>BS08SL03PT</t>
  </si>
  <si>
    <t>BS09SL03PT</t>
  </si>
  <si>
    <t>BS10SL03PT</t>
  </si>
  <si>
    <t>BS11SL03PT</t>
  </si>
  <si>
    <t>BS12SL03PT</t>
  </si>
  <si>
    <t>SU01ED03PT</t>
  </si>
  <si>
    <t>SU02ED03PT</t>
  </si>
  <si>
    <t>SU03ED03PT</t>
  </si>
  <si>
    <t>SU04ED03PT</t>
  </si>
  <si>
    <t>SU05ED03PT</t>
  </si>
  <si>
    <t>SU06ED03PT</t>
  </si>
  <si>
    <t>SU07ED03PT</t>
  </si>
  <si>
    <t>SU08ED03PT</t>
  </si>
  <si>
    <t>MA09GE03PT</t>
  </si>
  <si>
    <t>MA10GE03PT</t>
  </si>
  <si>
    <t>MA11GE03PT</t>
  </si>
  <si>
    <t>MA12GE03PT</t>
  </si>
  <si>
    <t>MA13GE03PT</t>
  </si>
  <si>
    <t>MA14GE03PT</t>
  </si>
  <si>
    <t>MA15GE03PT</t>
  </si>
  <si>
    <t>MA16GE03PT</t>
  </si>
  <si>
    <t>MA17GE03PT</t>
  </si>
  <si>
    <t>MA18GE03PT</t>
  </si>
  <si>
    <t>MA19GE03PT</t>
  </si>
  <si>
    <t>MA20GE03PT</t>
  </si>
  <si>
    <t>LA03RS03PT</t>
  </si>
  <si>
    <t>LA04RS03PT</t>
  </si>
  <si>
    <t>LA05RS03PT</t>
  </si>
  <si>
    <t>SC09PS03PT</t>
  </si>
  <si>
    <t>SC10PS03PT</t>
  </si>
  <si>
    <t>SC11PS03PT</t>
  </si>
  <si>
    <t>SC12PS03PT</t>
  </si>
  <si>
    <t>SC13PS03PT</t>
  </si>
  <si>
    <t>SC14PS03PT</t>
  </si>
  <si>
    <t>SC15PS03PT</t>
  </si>
  <si>
    <t>SC16PS03PT</t>
  </si>
  <si>
    <t>SC17PS03PT</t>
  </si>
  <si>
    <t>SC18PS03PT</t>
  </si>
  <si>
    <t>SC19PS03PT</t>
  </si>
  <si>
    <t>SC20PS03PT</t>
  </si>
  <si>
    <t>SS01HC03PT</t>
  </si>
  <si>
    <t>SS02HC03PT</t>
  </si>
  <si>
    <t>SS03HC03PT</t>
  </si>
  <si>
    <t>SS04HC03PT</t>
  </si>
  <si>
    <t>SS05HC03PT</t>
  </si>
  <si>
    <t>SS06HC03PT</t>
  </si>
  <si>
    <t>SS07HC03PT</t>
  </si>
  <si>
    <t>SS08HC03PT</t>
  </si>
  <si>
    <t>SS09HC03PT</t>
  </si>
  <si>
    <t>SS10HC03PT</t>
  </si>
  <si>
    <t>BS01CC03PT</t>
  </si>
  <si>
    <t>BS02CC03PT</t>
  </si>
  <si>
    <t>BS03CC03PT</t>
  </si>
  <si>
    <t>BS04CC03PT</t>
  </si>
  <si>
    <t>BS05CC03PT</t>
  </si>
  <si>
    <t>BS33LC03PT</t>
  </si>
  <si>
    <t>BS34LC03PT</t>
  </si>
  <si>
    <t>BS35LC03PT</t>
  </si>
  <si>
    <t>BS36LC03PT</t>
  </si>
  <si>
    <t>BS37LC03PT</t>
  </si>
  <si>
    <t>BS38LC03PT</t>
  </si>
  <si>
    <t>BS09OT03PT</t>
  </si>
  <si>
    <t>BS10OT03PT</t>
  </si>
  <si>
    <t>BS11OT03PT</t>
  </si>
  <si>
    <t>BS12OT03PT</t>
  </si>
  <si>
    <t>BS13OT03PT</t>
  </si>
  <si>
    <t>BS14OT03PT</t>
  </si>
  <si>
    <t>BS15OT03PT</t>
  </si>
  <si>
    <t>BS16OT03PT</t>
  </si>
  <si>
    <t>BS17OT03PT</t>
  </si>
  <si>
    <t>BS18OT03PT</t>
  </si>
  <si>
    <t>BS19OT03PT</t>
  </si>
  <si>
    <t>BS20OT03PT</t>
  </si>
  <si>
    <t>SU09AM03PT</t>
  </si>
  <si>
    <t>SU10AM03PT</t>
  </si>
  <si>
    <t>SU11AM03PT</t>
  </si>
  <si>
    <t>SU12AM03PT</t>
  </si>
  <si>
    <t>SU13AM03PT</t>
  </si>
  <si>
    <t>SU14AM03PT</t>
  </si>
  <si>
    <t>MA21AL03PT</t>
  </si>
  <si>
    <t>MA22AL03PT</t>
  </si>
  <si>
    <t>MA23AL03PT</t>
  </si>
  <si>
    <t>MA24AL03PT</t>
  </si>
  <si>
    <t>MA25AL03PT</t>
  </si>
  <si>
    <t>MA26AL03PT</t>
  </si>
  <si>
    <t>MA27AL03PT</t>
  </si>
  <si>
    <t>MA28AL03PT</t>
  </si>
  <si>
    <t>MA29AL03PT</t>
  </si>
  <si>
    <t>MA30AL03PT</t>
  </si>
  <si>
    <t>MA31AL03PT</t>
  </si>
  <si>
    <t>MA32AL03PT</t>
  </si>
  <si>
    <t>LA01BL03PT</t>
  </si>
  <si>
    <t>LA02BL03PT</t>
  </si>
  <si>
    <t>LA03BL03PT</t>
  </si>
  <si>
    <t>LA04BL03PT</t>
  </si>
  <si>
    <t>LA05BL03PT</t>
  </si>
  <si>
    <t>LI01I103PT</t>
  </si>
  <si>
    <t>LI02I103PT</t>
  </si>
  <si>
    <t>LI03I103PT</t>
  </si>
  <si>
    <t>LI04I103PT</t>
  </si>
  <si>
    <t>LI05I103PT</t>
  </si>
  <si>
    <t>LI06I103PT</t>
  </si>
  <si>
    <t>LA21GR03PT</t>
  </si>
  <si>
    <t>LA22GR03PT</t>
  </si>
  <si>
    <t>LA23GR03PT</t>
  </si>
  <si>
    <t>LA24GR03PT</t>
  </si>
  <si>
    <t>LA25GR03PT</t>
  </si>
  <si>
    <t>LA26GR03PT</t>
  </si>
  <si>
    <t>LA27GR03PT</t>
  </si>
  <si>
    <t>LA28GR03PT</t>
  </si>
  <si>
    <t>LA29GR03PT</t>
  </si>
  <si>
    <t>LA30GR03PT</t>
  </si>
  <si>
    <t>LA31GR03PT</t>
  </si>
  <si>
    <t>LA32GR03PT</t>
  </si>
  <si>
    <t>SC21CH03PT</t>
  </si>
  <si>
    <t>SC22CH03PT</t>
  </si>
  <si>
    <t>SC23CH03PT</t>
  </si>
  <si>
    <t>SC24CH03PT</t>
  </si>
  <si>
    <t>SC25CH03PT</t>
  </si>
  <si>
    <t>SC26CH03PT</t>
  </si>
  <si>
    <t>SC27CH03PT</t>
  </si>
  <si>
    <t>SC28CH03PT</t>
  </si>
  <si>
    <t>SC29CH03PT</t>
  </si>
  <si>
    <t>SC30CH03PT</t>
  </si>
  <si>
    <t>SC31CH03PT</t>
  </si>
  <si>
    <t>SC32CH03PT</t>
  </si>
  <si>
    <t>BS21NC03PT</t>
  </si>
  <si>
    <t>BS22NC03PT</t>
  </si>
  <si>
    <t>BS23NC03PT</t>
  </si>
  <si>
    <t>BS24NC03PT</t>
  </si>
  <si>
    <t>BS25NC03PT</t>
  </si>
  <si>
    <t>BS26NC03PT</t>
  </si>
  <si>
    <t>BS27NC03PT</t>
  </si>
  <si>
    <t>BS28NC03PT</t>
  </si>
  <si>
    <t>BS29NC03PT</t>
  </si>
  <si>
    <t>BS30NC03PT</t>
  </si>
  <si>
    <t>BS31NC03PT</t>
  </si>
  <si>
    <t>BS32NC03PT</t>
  </si>
  <si>
    <t>MA21AC03PT</t>
  </si>
  <si>
    <t>MA22AC03PT</t>
  </si>
  <si>
    <t>MA23AC03PT</t>
  </si>
  <si>
    <t>MA24AC03PT</t>
  </si>
  <si>
    <t>MA25AC03PT</t>
  </si>
  <si>
    <t>MA26AC03PT</t>
  </si>
  <si>
    <t>MA27AC03PT</t>
  </si>
  <si>
    <t>MA28AC03PT</t>
  </si>
  <si>
    <t>MA29AC03PT</t>
  </si>
  <si>
    <t>MA30AC03PT</t>
  </si>
  <si>
    <t>MA31AC03PT</t>
  </si>
  <si>
    <t>MA32AC03PT</t>
  </si>
  <si>
    <t>MA01CM03PT</t>
  </si>
  <si>
    <t>MA02CM03PT</t>
  </si>
  <si>
    <t>MA03CM03PT</t>
  </si>
  <si>
    <t>MA04CM03PT</t>
  </si>
  <si>
    <t>MA05CM03PT</t>
  </si>
  <si>
    <t>MA06CM03PT</t>
  </si>
  <si>
    <t>MA07CM03PT</t>
  </si>
  <si>
    <t>MA08CM03PT</t>
  </si>
  <si>
    <t>MA09CM03PT</t>
  </si>
  <si>
    <t>MA10CM03PT</t>
  </si>
  <si>
    <t>MA11CM03PT</t>
  </si>
  <si>
    <t>MA12CM03PT</t>
  </si>
  <si>
    <t>MA13CM03PT</t>
  </si>
  <si>
    <t>MA14CM03PT</t>
  </si>
  <si>
    <t>MA15CM03PT</t>
  </si>
  <si>
    <t>MA16CM03PT</t>
  </si>
  <si>
    <t>MA17CM03PT</t>
  </si>
  <si>
    <t>MA18CM03PT</t>
  </si>
  <si>
    <t>MA19CM03PT</t>
  </si>
  <si>
    <t>MA20CM03PT</t>
  </si>
  <si>
    <t>MA39HM03PT</t>
  </si>
  <si>
    <t>MA40HM03PT</t>
  </si>
  <si>
    <t>MA41HM03PT</t>
  </si>
  <si>
    <t>MA42HM03PT</t>
  </si>
  <si>
    <t>MA43HM03PT</t>
  </si>
  <si>
    <t>MA44HM03PT</t>
  </si>
  <si>
    <t>MA33TR03PT</t>
  </si>
  <si>
    <t>MA34TR03PT</t>
  </si>
  <si>
    <t>MA35TR03PT</t>
  </si>
  <si>
    <t>MA36TR03PT</t>
  </si>
  <si>
    <t>MA37TR03PT</t>
  </si>
  <si>
    <t>MA38TR03PT</t>
  </si>
  <si>
    <t>LA11EC03PT</t>
  </si>
  <si>
    <t>LA12EC03PT</t>
  </si>
  <si>
    <t>LA13EC03PT</t>
  </si>
  <si>
    <t>LA14EC03PT</t>
  </si>
  <si>
    <t>LA15EC03PT</t>
  </si>
  <si>
    <t>LA16EC03PT</t>
  </si>
  <si>
    <t>LA17EC03PT</t>
  </si>
  <si>
    <t>LA18EC03PT</t>
  </si>
  <si>
    <t>LA19EC03PT</t>
  </si>
  <si>
    <t>LA20EC03PT</t>
  </si>
  <si>
    <t>LA11GR03PT</t>
  </si>
  <si>
    <t>LA12GR03PT</t>
  </si>
  <si>
    <t>LA13GR03PT</t>
  </si>
  <si>
    <t>LA14GR03PT</t>
  </si>
  <si>
    <t>LA15GR03PT</t>
  </si>
  <si>
    <t>LA16GR03PT</t>
  </si>
  <si>
    <t>LA17GR03PT</t>
  </si>
  <si>
    <t>LA18GR03PT</t>
  </si>
  <si>
    <t>LA19GR03PT</t>
  </si>
  <si>
    <t>LA20GR03PT</t>
  </si>
  <si>
    <t>SU07MT03PT</t>
  </si>
  <si>
    <t>SU08MT03PT</t>
  </si>
  <si>
    <t>SC01CP03PT</t>
  </si>
  <si>
    <t>SC02CP03PT</t>
  </si>
  <si>
    <t>SC03CP03PT</t>
  </si>
  <si>
    <t>SC04CP03PT</t>
  </si>
  <si>
    <t>SC05CP03PT</t>
  </si>
  <si>
    <t>SC06CP03PT</t>
  </si>
  <si>
    <t>SC07CP03PT</t>
  </si>
  <si>
    <t>SC08CP03PT</t>
  </si>
  <si>
    <t>SC09CP03PT</t>
  </si>
  <si>
    <t>SC10CP03PT</t>
  </si>
  <si>
    <t>SC33PH03PT</t>
  </si>
  <si>
    <t>SC34PH03PT</t>
  </si>
  <si>
    <t>SC35PH03PT</t>
  </si>
  <si>
    <t>SC36PH03PT</t>
  </si>
  <si>
    <t>SC37PH03PT</t>
  </si>
  <si>
    <t>SC38PH03PT</t>
  </si>
  <si>
    <t>SC39PH03PT</t>
  </si>
  <si>
    <t>SC40PH03PT</t>
  </si>
  <si>
    <t>SC41PH03PT</t>
  </si>
  <si>
    <t>SC42PH03PT</t>
  </si>
  <si>
    <t>SC43PH03PT</t>
  </si>
  <si>
    <t>SC44PH03PT</t>
  </si>
  <si>
    <t>SS85AH03PT</t>
  </si>
  <si>
    <t>SS86AH03PT</t>
  </si>
  <si>
    <t>SS87AH03PT</t>
  </si>
  <si>
    <t>SS88AH03PT</t>
  </si>
  <si>
    <t>SS89AH03PT</t>
  </si>
  <si>
    <t>SS90AH03PT</t>
  </si>
  <si>
    <t>SS91AH03PT</t>
  </si>
  <si>
    <t>SS92AH03PT</t>
  </si>
  <si>
    <t>SS93AH03PT</t>
  </si>
  <si>
    <t>SS94AH03PT</t>
  </si>
  <si>
    <t>SS95AH03PT</t>
  </si>
  <si>
    <t>SS96AH03PT</t>
  </si>
  <si>
    <t>SS33CE03PT</t>
  </si>
  <si>
    <t>SS34CE03PT</t>
  </si>
  <si>
    <t>SS35CE03PT</t>
  </si>
  <si>
    <t>SS36CE03PT</t>
  </si>
  <si>
    <t>SS37CE03PT</t>
  </si>
  <si>
    <t>SS38CE03PT</t>
  </si>
  <si>
    <t>SS39CE03PT</t>
  </si>
  <si>
    <t>SS40CE03PT</t>
  </si>
  <si>
    <t>SS41CE03PT</t>
  </si>
  <si>
    <t>SS42CE03PT</t>
  </si>
  <si>
    <t>SS43CE03PT</t>
  </si>
  <si>
    <t>SS44CE03PT</t>
  </si>
  <si>
    <t>SS33CO03PT</t>
  </si>
  <si>
    <t>SS34CO03PT</t>
  </si>
  <si>
    <t>SS35CO03PT</t>
  </si>
  <si>
    <t>SS36CO03PT</t>
  </si>
  <si>
    <t>SS37CO03PT</t>
  </si>
  <si>
    <t>SS38CO03PT</t>
  </si>
  <si>
    <t>SS11HC03PT</t>
  </si>
  <si>
    <t>SS12HC03PT</t>
  </si>
  <si>
    <t>SS13HC03PT</t>
  </si>
  <si>
    <t>SS14HC03PT</t>
  </si>
  <si>
    <t>SS15HC03PT</t>
  </si>
  <si>
    <t>SS16HC03PT</t>
  </si>
  <si>
    <t>SS17HC03PT</t>
  </si>
  <si>
    <t>SS18HC03PT</t>
  </si>
  <si>
    <t>SS19HC03PT</t>
  </si>
  <si>
    <t>SS20HC03PT</t>
  </si>
  <si>
    <t>SS33UC03PT</t>
  </si>
  <si>
    <t>SS34UC03PT</t>
  </si>
  <si>
    <t>SS35UC03PT</t>
  </si>
  <si>
    <t>SS36UC03PT</t>
  </si>
  <si>
    <t>BS06CC03PT</t>
  </si>
  <si>
    <t>BS07CC03PT</t>
  </si>
  <si>
    <t>BS08CC03PT</t>
  </si>
  <si>
    <t>BS09CC03PT</t>
  </si>
  <si>
    <t>BS10CC03PT</t>
  </si>
  <si>
    <t>BS33CG03PT</t>
  </si>
  <si>
    <t>BS34CG03PT</t>
  </si>
  <si>
    <t>BS35CG03PT</t>
  </si>
  <si>
    <t>BS36CG03PT</t>
  </si>
  <si>
    <t>BS37CG03PT</t>
  </si>
  <si>
    <t>BS38CG03PT</t>
  </si>
  <si>
    <t>BS39LC03PT</t>
  </si>
  <si>
    <t>BS40LC03PT</t>
  </si>
  <si>
    <t>BS41LC03PT</t>
  </si>
  <si>
    <t>BS42LC03PT</t>
  </si>
  <si>
    <t>BS43LC03PT</t>
  </si>
  <si>
    <t>BS44LC03PT</t>
  </si>
  <si>
    <t>SpecificationAbb</t>
  </si>
  <si>
    <t>Code2</t>
  </si>
  <si>
    <t>Subject</t>
  </si>
  <si>
    <t>Edition</t>
  </si>
  <si>
    <t>EditionOrder</t>
  </si>
  <si>
    <t>PT</t>
  </si>
  <si>
    <t>EnrollmentID</t>
  </si>
  <si>
    <t>EnrollmentName</t>
  </si>
  <si>
    <t>UnitID</t>
  </si>
  <si>
    <t>Score</t>
  </si>
  <si>
    <t>SubjectId</t>
  </si>
  <si>
    <t>ScoreType</t>
  </si>
  <si>
    <t>percent</t>
  </si>
  <si>
    <t>Rosetta Stone V3 Levels 1&amp;2</t>
  </si>
  <si>
    <t>completed</t>
  </si>
  <si>
    <t>State Exam Dutch Vmbo</t>
  </si>
  <si>
    <t>number</t>
  </si>
  <si>
    <t>State Exam Dutch Havo</t>
  </si>
  <si>
    <t>State Exam Dutch Vwo</t>
  </si>
  <si>
    <t>Rosetta Stone V3 Level 3</t>
  </si>
  <si>
    <t>Rosetta Stone V3 Level 4</t>
  </si>
  <si>
    <t>Rosetta Stone V3 Level 5</t>
  </si>
  <si>
    <t>Typemaster</t>
  </si>
  <si>
    <t>Social Studies Essay</t>
  </si>
  <si>
    <t>title</t>
  </si>
  <si>
    <t>Science Project</t>
  </si>
  <si>
    <t>Biblical Studies Essay</t>
  </si>
  <si>
    <t>English Essay</t>
  </si>
  <si>
    <t>Science Essay</t>
  </si>
  <si>
    <t>Mathematics Paper</t>
  </si>
  <si>
    <t>English Dissertation</t>
  </si>
  <si>
    <t>Stars</t>
  </si>
  <si>
    <t>ReplacedById</t>
  </si>
  <si>
    <t>L1U1</t>
  </si>
  <si>
    <t>R.S.</t>
  </si>
  <si>
    <t>L1U2</t>
  </si>
  <si>
    <t>L1U3</t>
  </si>
  <si>
    <t>L1U4</t>
  </si>
  <si>
    <t>L2U1</t>
  </si>
  <si>
    <t>L2U2</t>
  </si>
  <si>
    <t>L2U3</t>
  </si>
  <si>
    <t>L2U4</t>
  </si>
  <si>
    <t>L3U1</t>
  </si>
  <si>
    <t>L3U2</t>
  </si>
  <si>
    <t>L3U3</t>
  </si>
  <si>
    <t>L3U4</t>
  </si>
  <si>
    <t>L4U1</t>
  </si>
  <si>
    <t>L4U2</t>
  </si>
  <si>
    <t>L4U3</t>
  </si>
  <si>
    <t>L4U4</t>
  </si>
  <si>
    <t>L5U1</t>
  </si>
  <si>
    <t>L5U2</t>
  </si>
  <si>
    <t>L5U3</t>
  </si>
  <si>
    <t>L5U4</t>
  </si>
  <si>
    <t>Vmbo</t>
  </si>
  <si>
    <t>Havo</t>
  </si>
  <si>
    <t>Vwo</t>
  </si>
  <si>
    <t>TypeM</t>
  </si>
  <si>
    <t>S.S.Ess.</t>
  </si>
  <si>
    <t>CW</t>
  </si>
  <si>
    <t>Sc.Proj.</t>
  </si>
  <si>
    <t>Bi.St.Ess.</t>
  </si>
  <si>
    <t>EN.Ess.</t>
  </si>
  <si>
    <t>Sc.Ess.</t>
  </si>
  <si>
    <t>Ma.Ppr.</t>
  </si>
  <si>
    <t>EN.Diss.</t>
  </si>
  <si>
    <t>Arts / Crafts</t>
  </si>
  <si>
    <t>letter</t>
  </si>
  <si>
    <t>Sports</t>
  </si>
  <si>
    <t>RepeatCourseUnitID</t>
  </si>
  <si>
    <t>Schoolyear</t>
  </si>
  <si>
    <t>Term</t>
  </si>
  <si>
    <t>2020-2021</t>
  </si>
  <si>
    <t>N</t>
  </si>
  <si>
    <t>S</t>
  </si>
  <si>
    <t>G</t>
  </si>
  <si>
    <t>Id</t>
  </si>
  <si>
    <t>Description</t>
  </si>
  <si>
    <t>Taalvaardigheid</t>
  </si>
  <si>
    <t>schrijvuh</t>
  </si>
  <si>
    <t>spelluhtjes</t>
  </si>
  <si>
    <t>mondelingh</t>
  </si>
  <si>
    <t>litaruurtjuh</t>
  </si>
  <si>
    <t>DutchCourseId</t>
  </si>
  <si>
    <t>StudentId</t>
  </si>
  <si>
    <t>type</t>
  </si>
  <si>
    <t>weight</t>
  </si>
  <si>
    <t>5,5</t>
  </si>
  <si>
    <t>mo</t>
  </si>
  <si>
    <t>so</t>
  </si>
  <si>
    <t>7,6</t>
  </si>
  <si>
    <t>rep</t>
  </si>
  <si>
    <t>EnrolemntID</t>
  </si>
  <si>
    <t>studentID</t>
  </si>
  <si>
    <t>SubjectGroupId</t>
  </si>
  <si>
    <t>EnrolmentDate</t>
  </si>
  <si>
    <t>active</t>
  </si>
  <si>
    <t>TermNo</t>
  </si>
  <si>
    <t>Start</t>
  </si>
  <si>
    <t>End</t>
  </si>
  <si>
    <t>SchoolYearId</t>
  </si>
  <si>
    <t>Year</t>
  </si>
  <si>
    <t>Terms</t>
  </si>
  <si>
    <t>2021/2022</t>
  </si>
  <si>
    <t>2020/2021</t>
  </si>
  <si>
    <t>2019/2020</t>
  </si>
  <si>
    <t>2018/2019</t>
  </si>
  <si>
    <t>2017/2018</t>
  </si>
  <si>
    <t>2016/2017</t>
  </si>
  <si>
    <t>2015/2016</t>
  </si>
  <si>
    <t>2014/2015</t>
  </si>
  <si>
    <t>2013/2014</t>
  </si>
  <si>
    <t>2012/2013</t>
  </si>
  <si>
    <t>2011/2012</t>
  </si>
  <si>
    <t>State</t>
  </si>
  <si>
    <t>Enrolled</t>
  </si>
  <si>
    <t>Unenrolled</t>
  </si>
  <si>
    <t>Reason</t>
  </si>
  <si>
    <t>Disagreement</t>
  </si>
  <si>
    <t>Graduated</t>
  </si>
  <si>
    <t>Catharina Johanna</t>
  </si>
  <si>
    <t>Elbert Daniël</t>
  </si>
  <si>
    <t>Loïs Eunice</t>
  </si>
  <si>
    <t>Denomination</t>
  </si>
  <si>
    <t>Steenbeek</t>
  </si>
  <si>
    <t>Lukas</t>
  </si>
  <si>
    <t>Nathanaël</t>
  </si>
  <si>
    <t>Anna</t>
  </si>
  <si>
    <t>Felicia (?)</t>
  </si>
  <si>
    <t>Moved to other location</t>
  </si>
  <si>
    <t>ABCs</t>
  </si>
  <si>
    <t>Email</t>
  </si>
  <si>
    <t>joostvandenbrand@gmail.com</t>
  </si>
  <si>
    <t>harkesfj@gmail.com</t>
  </si>
  <si>
    <t>rob@vhouwenling.nl</t>
  </si>
  <si>
    <t>irene7416@naver.com</t>
  </si>
  <si>
    <t>aplittel@hotmail.com</t>
  </si>
  <si>
    <t>hugo@trimp.nl</t>
  </si>
  <si>
    <t>robertsteenbeek@hotmail.com</t>
  </si>
  <si>
    <t>janvanwijngaarden@live.nl</t>
  </si>
  <si>
    <t>claudia@trimp.nl</t>
  </si>
  <si>
    <t>seai81@hotmail.com</t>
  </si>
  <si>
    <t>Parent</t>
  </si>
  <si>
    <t>Joost</t>
  </si>
  <si>
    <t xml:space="preserve">F.J. </t>
  </si>
  <si>
    <t>Rob</t>
  </si>
  <si>
    <t>Annemieke</t>
  </si>
  <si>
    <t>Paul</t>
  </si>
  <si>
    <t>Hugo</t>
  </si>
  <si>
    <t>Robert</t>
  </si>
  <si>
    <t>Wijngaarden</t>
  </si>
  <si>
    <t>Jan</t>
  </si>
  <si>
    <t>Claudia</t>
  </si>
  <si>
    <t>Amsterdam</t>
  </si>
  <si>
    <t>3459QA</t>
  </si>
  <si>
    <t>4463MM</t>
  </si>
  <si>
    <t>3654LR</t>
  </si>
  <si>
    <t>3767DT</t>
  </si>
  <si>
    <t>4915YR</t>
  </si>
  <si>
    <t>3477XR</t>
  </si>
  <si>
    <t>4456XW</t>
  </si>
  <si>
    <t>3901QI</t>
  </si>
  <si>
    <t>4750LG</t>
  </si>
  <si>
    <t>3278UE</t>
  </si>
  <si>
    <t>4283RT</t>
  </si>
  <si>
    <t>4953GR</t>
  </si>
  <si>
    <t>4493GR</t>
  </si>
  <si>
    <t>3065XL</t>
  </si>
  <si>
    <t>3372BL</t>
  </si>
  <si>
    <t>3394BE</t>
  </si>
  <si>
    <t>Alphen a/d Rijn</t>
  </si>
  <si>
    <t>Capelle aan den IJssel</t>
  </si>
  <si>
    <t>Boskoop</t>
  </si>
  <si>
    <t>Gouda</t>
  </si>
  <si>
    <t>Woerden</t>
  </si>
  <si>
    <t>Den Haag</t>
  </si>
  <si>
    <t>Leiderdorp</t>
  </si>
  <si>
    <t>StateID</t>
  </si>
  <si>
    <t>General Level 8</t>
  </si>
  <si>
    <t>General Level 9</t>
  </si>
  <si>
    <t>Vocational Level 7</t>
  </si>
  <si>
    <t>Level 2</t>
  </si>
  <si>
    <t>Level 3</t>
  </si>
  <si>
    <t>Level 4</t>
  </si>
  <si>
    <t>Level 5</t>
  </si>
  <si>
    <t>Level 6</t>
  </si>
  <si>
    <t>Animal Science</t>
  </si>
  <si>
    <t>ICCE Literature 10</t>
  </si>
  <si>
    <t>UK Social Studies</t>
  </si>
  <si>
    <t>Biology Level 8</t>
  </si>
  <si>
    <t>British and European History /  World History</t>
  </si>
  <si>
    <t>Certificate+</t>
  </si>
  <si>
    <t>Course+</t>
  </si>
  <si>
    <t>ICCE Literature Level 9 / Literature Level 9</t>
  </si>
  <si>
    <t>PACE</t>
  </si>
  <si>
    <t>Grade</t>
  </si>
  <si>
    <t>PACE_ID</t>
  </si>
  <si>
    <t>Graduation General Certificate</t>
  </si>
  <si>
    <t>Graduation Type</t>
  </si>
  <si>
    <t>Hoogendoorn</t>
  </si>
  <si>
    <t>Dennis</t>
  </si>
  <si>
    <t>Frannie</t>
  </si>
  <si>
    <t>Boaz</t>
  </si>
  <si>
    <t>To new class</t>
  </si>
  <si>
    <t>To Seniors</t>
  </si>
  <si>
    <t>To Juniors</t>
  </si>
  <si>
    <t>To ABCs</t>
  </si>
  <si>
    <t>Count</t>
  </si>
  <si>
    <t>Adres 17</t>
  </si>
  <si>
    <t>Adres 18</t>
  </si>
  <si>
    <t>Bible Reading Level 7</t>
  </si>
  <si>
    <t xml:space="preserve">Dit bestaat nog niet. Misschien komt er later nog materiaal beschikbaar voor dit niveau. </t>
  </si>
  <si>
    <t>BI73BR03PT</t>
  </si>
  <si>
    <t>BI74BR03PT</t>
  </si>
  <si>
    <t>BI75BR03PT</t>
  </si>
  <si>
    <t>BI76BR03PT</t>
  </si>
  <si>
    <t>BI77BR03PT</t>
  </si>
  <si>
    <t>BI78BR03PT</t>
  </si>
  <si>
    <t>BI79BR03PT</t>
  </si>
  <si>
    <t>BI80BR03PT</t>
  </si>
  <si>
    <t>BI81BR03PT</t>
  </si>
  <si>
    <t>BI82BR03PT</t>
  </si>
  <si>
    <t>BI83BR03PT</t>
  </si>
  <si>
    <t>BI84BR03PT</t>
  </si>
  <si>
    <t>Holiday</t>
  </si>
  <si>
    <t>Weekend</t>
  </si>
  <si>
    <t>WeekDay</t>
  </si>
  <si>
    <t>Remark</t>
  </si>
  <si>
    <t>Najaarsvakantie</t>
  </si>
  <si>
    <t>Studiedag</t>
  </si>
  <si>
    <t>Kerstvakantie</t>
  </si>
  <si>
    <t>Voorjaarsvakantie</t>
  </si>
  <si>
    <t>BI33LC03PT</t>
  </si>
  <si>
    <t>BI34LC03PT</t>
  </si>
  <si>
    <t>BI35LC03PT</t>
  </si>
  <si>
    <t>BI36LC03PT</t>
  </si>
  <si>
    <t>BI37LC03PT</t>
  </si>
  <si>
    <t>BI38LC03PT</t>
  </si>
  <si>
    <t>BI39LC03PT</t>
  </si>
  <si>
    <t>BI40LC03PT</t>
  </si>
  <si>
    <t>BI41LC03PT</t>
  </si>
  <si>
    <t>BI42LC03PT</t>
  </si>
  <si>
    <t>BI43LC03PT</t>
  </si>
  <si>
    <t>BI44LC03PT</t>
  </si>
  <si>
    <t>PaceCourseID</t>
  </si>
  <si>
    <t>Order</t>
  </si>
  <si>
    <t>Word Building Level 9</t>
  </si>
  <si>
    <t>Science Level 11</t>
  </si>
  <si>
    <t>Science Level 12</t>
  </si>
  <si>
    <t>Science Level 10</t>
  </si>
  <si>
    <t>Science Level 9</t>
  </si>
  <si>
    <t>Earth Science</t>
  </si>
  <si>
    <t>Science Level 8</t>
  </si>
  <si>
    <t>Biology</t>
  </si>
  <si>
    <t>Social Studies Level 9 World History</t>
  </si>
  <si>
    <t>Social Studies Level 8 British and European History</t>
  </si>
  <si>
    <t>Social Studies Level 8 American History</t>
  </si>
  <si>
    <t>Social Studies Level 9 World Geography</t>
  </si>
  <si>
    <t>Social Studies Level 10</t>
  </si>
  <si>
    <t>US History</t>
  </si>
  <si>
    <t>Social Studies Level 11</t>
  </si>
  <si>
    <t>Social Studies Level 10 American History</t>
  </si>
  <si>
    <t>UH</t>
  </si>
  <si>
    <t>Social Studies Level 12</t>
  </si>
  <si>
    <t>Social Studies Level 12 Collectivism</t>
  </si>
  <si>
    <t>Social Studies Level 12 US Constitution</t>
  </si>
  <si>
    <t>Social Studies Level 5 UK</t>
  </si>
  <si>
    <t>Science Level 2 Animal</t>
  </si>
  <si>
    <t>US</t>
  </si>
  <si>
    <t>Alias__</t>
  </si>
  <si>
    <t>Baptized__</t>
  </si>
  <si>
    <t>CourseName__</t>
  </si>
  <si>
    <t>Test__</t>
  </si>
  <si>
    <t>SubjectGroupID__</t>
  </si>
  <si>
    <t>Number__</t>
  </si>
  <si>
    <t>PaceCount__</t>
  </si>
  <si>
    <t>Dorcas Mayowa Oluwatofarati Temitope Esther</t>
  </si>
  <si>
    <t>PassThreshold__</t>
  </si>
  <si>
    <t>Code__</t>
  </si>
  <si>
    <t>CreditValuePace</t>
  </si>
  <si>
    <t>Grammar</t>
  </si>
  <si>
    <t>?</t>
  </si>
  <si>
    <t>EG</t>
  </si>
  <si>
    <t>English Grammar</t>
  </si>
  <si>
    <t>Apologetics</t>
  </si>
  <si>
    <t>Algebra 1</t>
  </si>
  <si>
    <t>English 1</t>
  </si>
  <si>
    <t>Greek 1</t>
  </si>
  <si>
    <t>NT Christ History</t>
  </si>
  <si>
    <t>British &amp; European History</t>
  </si>
  <si>
    <t>NT Survey</t>
  </si>
  <si>
    <t>OT Survey</t>
  </si>
  <si>
    <t>Added</t>
  </si>
  <si>
    <t>Biblical Studies II</t>
  </si>
  <si>
    <t>Biblical Studies I</t>
  </si>
  <si>
    <t>Biblical Studies III</t>
  </si>
  <si>
    <t>Pace</t>
  </si>
  <si>
    <t>Business Math</t>
  </si>
  <si>
    <t>Basic Intro to Physical Science</t>
  </si>
  <si>
    <t>Basic History of Civilization</t>
  </si>
  <si>
    <t>History of Civilization 1</t>
  </si>
  <si>
    <t>Biology Activity Pac</t>
  </si>
  <si>
    <t>Social Studies — US Civics</t>
  </si>
  <si>
    <t>1098-p</t>
  </si>
  <si>
    <t>1099-p</t>
  </si>
  <si>
    <t>1100-p</t>
  </si>
  <si>
    <t>Basic Intro to Christian Counseling</t>
  </si>
  <si>
    <t>Basic Greek</t>
  </si>
  <si>
    <t>125, 126</t>
  </si>
  <si>
    <t>Basic Beginning Art</t>
  </si>
  <si>
    <t>Test</t>
  </si>
  <si>
    <t>Algebra I-2</t>
  </si>
  <si>
    <t>Social Studies — World Geography</t>
  </si>
  <si>
    <t>Math</t>
  </si>
  <si>
    <t>Algebra I-3</t>
  </si>
  <si>
    <t>Algebra I-4</t>
  </si>
  <si>
    <t>Algebra-II-4</t>
  </si>
  <si>
    <t>Algebra-II-5</t>
  </si>
  <si>
    <t>Algebra-II-6</t>
  </si>
  <si>
    <t>Algebra-II-7</t>
  </si>
  <si>
    <t>Algebra-II-8</t>
  </si>
  <si>
    <t>Old</t>
  </si>
  <si>
    <t>Version</t>
  </si>
  <si>
    <t>English I-2</t>
  </si>
  <si>
    <t>Useful</t>
  </si>
  <si>
    <t>Physical Science — 3</t>
  </si>
  <si>
    <t>Physical Science — 4</t>
  </si>
  <si>
    <t>Physical Science — 5</t>
  </si>
  <si>
    <t>Physical Science — 6</t>
  </si>
  <si>
    <t>Physical Science — 7</t>
  </si>
  <si>
    <t>Physical Science — 8</t>
  </si>
  <si>
    <t>Physical Science — 9</t>
  </si>
  <si>
    <t>Physical Science — 10</t>
  </si>
  <si>
    <t>Physical Science — 11</t>
  </si>
  <si>
    <t>Physical Science — 12</t>
  </si>
  <si>
    <t>112, 113, 114</t>
  </si>
  <si>
    <t>Unknown</t>
  </si>
  <si>
    <t>Adres 19</t>
  </si>
  <si>
    <t>Refaja</t>
  </si>
  <si>
    <t>Gabriël</t>
  </si>
  <si>
    <t>Sofia</t>
  </si>
  <si>
    <t>Chen</t>
  </si>
  <si>
    <t>Eva</t>
  </si>
  <si>
    <t>Daniel</t>
  </si>
  <si>
    <t>Dutch</t>
  </si>
  <si>
    <t>Spanish</t>
  </si>
  <si>
    <t>Mandarin Chinese</t>
  </si>
  <si>
    <t>Moroccan Tamazight</t>
  </si>
  <si>
    <t>Berbers</t>
  </si>
  <si>
    <t>Surname+</t>
  </si>
  <si>
    <t>No</t>
  </si>
  <si>
    <t>Yes, immersion</t>
  </si>
  <si>
    <t>Yes, affusion</t>
  </si>
  <si>
    <t>CurrentDenomination</t>
  </si>
  <si>
    <t>Such as Gereformeerde Gemeente</t>
  </si>
  <si>
    <t>Dutch Reformed without certainty of salvation</t>
  </si>
  <si>
    <t>Dutch Reformed with certainty of salvation</t>
  </si>
  <si>
    <t>Evangelical</t>
  </si>
  <si>
    <t>Non-denominational</t>
  </si>
  <si>
    <t>Pentecostal</t>
  </si>
  <si>
    <t>Reformed</t>
  </si>
  <si>
    <t>Other</t>
  </si>
  <si>
    <t>Registration new student</t>
  </si>
  <si>
    <t>Graduation Advanced Certificate</t>
  </si>
  <si>
    <t>Harold</t>
  </si>
  <si>
    <t>Marith</t>
  </si>
  <si>
    <t>Moved to Switzerland</t>
  </si>
  <si>
    <t>Moved to South-Korea</t>
  </si>
  <si>
    <t>Herfstvakantie</t>
  </si>
  <si>
    <t>Meivakantie</t>
  </si>
  <si>
    <t>DayOff</t>
  </si>
  <si>
    <t>Zomervakantie</t>
  </si>
  <si>
    <t>Week</t>
  </si>
  <si>
    <t>TermWeek</t>
  </si>
  <si>
    <t>Romeijn</t>
  </si>
  <si>
    <t>Hanna</t>
  </si>
  <si>
    <t>s.bezemer@ceder.nl</t>
  </si>
  <si>
    <t>a.yong@ceder.nl</t>
  </si>
  <si>
    <t>h.visser@ceder.nl</t>
  </si>
  <si>
    <t>a.trimp@ceder.nl</t>
  </si>
  <si>
    <t>Ter Aar</t>
  </si>
  <si>
    <t>BS03AP22PT</t>
  </si>
  <si>
    <t>BS04AP22PT</t>
  </si>
  <si>
    <t>Dit zijn PACE's 98-101. Hier mag gekozen worden voor Apologetics II (i.e. boekjes 3 en 4) of uit Groep 1 (i.e. Christian Studies, van Intermediate)</t>
  </si>
  <si>
    <t xml:space="preserve">Dit kan dubbele resultaten geven als er niet gejoined wordt op een extra veld, zoals "edition". </t>
  </si>
  <si>
    <t>Voor de "Enrollment-Course" van "Apologetics I" moet er een vak gekozen worden, "Apologetics I-A" of "Apologetics I-B". Let op dat de oude namen van deze twee vakken respectievelijk zijn "Apologetics I" en "Apologetics II".</t>
  </si>
  <si>
    <t>Voor de "Enrollment-Course" van "Apologetics II" moet er een vak gekozen worden, "Apologetics I-A" of "Apologetics I-B". Let op dat de oude namen van deze twee vakken respectievelijk zijn "Apologetics I" en "Apologetics II".</t>
  </si>
  <si>
    <t>ICCE-Alias</t>
  </si>
  <si>
    <t>Apologetics I-A</t>
  </si>
  <si>
    <t>Apologetics I-B</t>
  </si>
  <si>
    <t>Dit zijn PACE's 97,102, in de oude editie (2018)</t>
  </si>
  <si>
    <t>Dit zijn alleen twee PACE's 97,102</t>
  </si>
  <si>
    <t>Dit zijn alleen vier PACE's 98-101</t>
  </si>
  <si>
    <t>Inactive</t>
  </si>
  <si>
    <t>Dit is tot 1/1/2024 een keuzevak voor het Enrollment-Course "British and European History /  World History" binnen General, en alleen de 3rd Edition mag dan gebruikt worden. Daarna mag dit vak alleen nog gekozen worden binnen Intermediate en alleen met de 4th Editions</t>
  </si>
  <si>
    <t>World History 3rd Edition</t>
  </si>
  <si>
    <t>Social Studies Level 10 World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</si>
</sst>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00"/>
    <numFmt numFmtId="167" formatCode="yyyy\-mm\-dd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49" fontId="2" fillId="0" borderId="0" xfId="0" applyNumberFormat="1" applyFont="1"/>
    <xf numFmtId="10" fontId="2" fillId="0" borderId="0" xfId="0" applyNumberFormat="1" applyFont="1"/>
    <xf numFmtId="10" fontId="0" fillId="0" borderId="0" xfId="0" applyNumberFormat="1"/>
    <xf numFmtId="14" fontId="0" fillId="0" borderId="0" xfId="0" applyNumberFormat="1"/>
    <xf numFmtId="0" fontId="3" fillId="0" borderId="0" xfId="1" applyAlignment="1">
      <alignment wrapText="1"/>
    </xf>
    <xf numFmtId="164" fontId="2" fillId="0" borderId="0" xfId="0" applyNumberFormat="1" applyFont="1"/>
    <xf numFmtId="164" fontId="0" fillId="0" borderId="0" xfId="0" applyNumberFormat="1"/>
    <xf numFmtId="1" fontId="2" fillId="0" borderId="0" xfId="0" applyNumberFormat="1" applyFont="1"/>
    <xf numFmtId="1" fontId="0" fillId="0" borderId="0" xfId="0" applyNumberFormat="1"/>
    <xf numFmtId="0" fontId="0" fillId="2" borderId="0" xfId="0" applyFill="1"/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165" fontId="0" fillId="0" borderId="0" xfId="0" applyNumberFormat="1"/>
    <xf numFmtId="0" fontId="2" fillId="3" borderId="0" xfId="0" applyFont="1" applyFill="1"/>
    <xf numFmtId="166" fontId="0" fillId="0" borderId="0" xfId="0" applyNumberFormat="1"/>
    <xf numFmtId="0" fontId="0" fillId="3" borderId="0" xfId="0" applyFill="1"/>
    <xf numFmtId="0" fontId="2" fillId="4" borderId="0" xfId="0" applyFont="1" applyFill="1" applyAlignment="1">
      <alignment wrapText="1"/>
    </xf>
    <xf numFmtId="0" fontId="2" fillId="4" borderId="0" xfId="0" applyFont="1" applyFill="1"/>
    <xf numFmtId="167" fontId="0" fillId="0" borderId="0" xfId="0" applyNumberFormat="1"/>
    <xf numFmtId="0" fontId="3" fillId="0" borderId="0" xfId="1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w Yong" id="{ED3C2A54-253E-8247-B5F2-03A3DBEAA2E8}" userId="25d555228554b6a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3-03-29T14:56:03.96" personId="{ED3C2A54-253E-8247-B5F2-03A3DBEAA2E8}" id="{F3C4A143-54AC-C247-983D-96785D22BD2C}">
    <text>This column should be removed. Will be set in "Transaction" and then through JOIN joined.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3-03-29T14:49:50.50" personId="{ED3C2A54-253E-8247-B5F2-03A3DBEAA2E8}" id="{776FD7E9-6949-A14E-9472-ED070CE8D5D7}">
    <text xml:space="preserve">This field can be used to easily sum up the number of students currently present.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3-03-29T14:46:35.36" personId="{ED3C2A54-253E-8247-B5F2-03A3DBEAA2E8}" id="{01BBC1D8-4282-D04A-9107-75370B78B08D}">
    <text xml:space="preserve">This needs to map to a Dates table containing each date and term and year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3-12-22T09:46:27.07" personId="{ED3C2A54-253E-8247-B5F2-03A3DBEAA2E8}" id="{9E87C762-5A6C-F84E-B892-9A1AE3D1B989}">
    <text xml:space="preserve">Let op. De CourseName **lijkt** vaak op de naam van het vak in "Course", maar dit is van een andere granulariteit. Zie noot bij Apologetics I
</text>
  </threadedComment>
  <threadedComment ref="F1" dT="2023-03-08T16:01:53.05" personId="{ED3C2A54-253E-8247-B5F2-03A3DBEAA2E8}" id="{CFCB9A8A-0865-474E-8E37-143B88F870D0}">
    <text xml:space="preserve">I forgot why I created this column
</text>
  </threadedComment>
  <threadedComment ref="H1" dT="2023-02-15T13:14:54.02" personId="{ED3C2A54-253E-8247-B5F2-03A3DBEAA2E8}" id="{8AAD9E12-8D82-C649-BE59-0FAD21ACAF53}">
    <text xml:space="preserve">This one needs to be finalized after the FCO has been chosen, because only then the subjectGroupID is known. </text>
  </threadedComment>
  <threadedComment ref="D15" dT="2023-05-17T12:56:54.87" personId="{ED3C2A54-253E-8247-B5F2-03A3DBEAA2E8}" id="{691C25E4-8B58-F543-B2DC-CDA552BDC68F}">
    <text xml:space="preserve">Why does it say "trig calc geo" on vSPC?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49" dT="2023-04-19T11:56:29.37" personId="{ED3C2A54-253E-8247-B5F2-03A3DBEAA2E8}" id="{2476259B-683F-4248-AD76-C39A1BC17B33}">
    <text xml:space="preserve">Er staat 74 op het blad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1" dT="2023-01-25T18:00:44.56" personId="{ED3C2A54-253E-8247-B5F2-03A3DBEAA2E8}" id="{BB5DA368-EED2-4547-8826-B8683BBA12F6}">
    <text>Code based on subject instead of course name</text>
  </threadedComment>
  <threadedComment ref="H1" dT="2023-02-15T16:10:18.85" personId="{ED3C2A54-253E-8247-B5F2-03A3DBEAA2E8}" id="{1FAB2F44-2E45-5E4B-B054-C8DECEF20965}">
    <text>moet nog aangepast worden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h.visser@ceder.nl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mailto:s.bezemer@ceder.nl" TargetMode="External"/><Relationship Id="rId1" Type="http://schemas.openxmlformats.org/officeDocument/2006/relationships/hyperlink" Target="mailto:a.yong@ceder.nl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a.trimp@ceder.n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090F-45F7-794D-8F8E-1E0ECF359C90}">
  <dimension ref="A1:G78"/>
  <sheetViews>
    <sheetView zoomScale="176" workbookViewId="0">
      <pane xSplit="2" ySplit="1" topLeftCell="C37" activePane="bottomRight" state="frozen"/>
      <selection pane="topRight" activeCell="C1" sqref="C1"/>
      <selection pane="bottomLeft" activeCell="A2" sqref="A2"/>
      <selection pane="bottomRight" activeCell="B48" sqref="B48"/>
    </sheetView>
  </sheetViews>
  <sheetFormatPr baseColWidth="10" defaultRowHeight="15" x14ac:dyDescent="0.2"/>
  <cols>
    <col min="2" max="2" width="24" bestFit="1" customWidth="1"/>
  </cols>
  <sheetData>
    <row r="1" spans="1:7" x14ac:dyDescent="0.2">
      <c r="A1" s="3" t="s">
        <v>0</v>
      </c>
      <c r="B1" s="3" t="s">
        <v>1872</v>
      </c>
      <c r="C1" s="3" t="s">
        <v>437</v>
      </c>
      <c r="D1" s="3" t="s">
        <v>91</v>
      </c>
      <c r="E1" s="3" t="s">
        <v>210</v>
      </c>
      <c r="F1" s="3" t="s">
        <v>1898</v>
      </c>
      <c r="G1" s="3" t="s">
        <v>1900</v>
      </c>
    </row>
    <row r="2" spans="1:7" x14ac:dyDescent="0.2">
      <c r="A2">
        <v>1</v>
      </c>
      <c r="B2" t="s">
        <v>1873</v>
      </c>
      <c r="C2">
        <v>3</v>
      </c>
      <c r="D2" t="s">
        <v>1770</v>
      </c>
    </row>
    <row r="3" spans="1:7" x14ac:dyDescent="0.2">
      <c r="A3">
        <v>2</v>
      </c>
      <c r="B3" t="s">
        <v>1873</v>
      </c>
      <c r="C3">
        <v>4</v>
      </c>
      <c r="D3" t="s">
        <v>1770</v>
      </c>
    </row>
    <row r="4" spans="1:7" x14ac:dyDescent="0.2">
      <c r="A4">
        <v>3</v>
      </c>
      <c r="B4" t="s">
        <v>1873</v>
      </c>
      <c r="C4">
        <v>6</v>
      </c>
      <c r="D4" t="s">
        <v>1770</v>
      </c>
    </row>
    <row r="5" spans="1:7" x14ac:dyDescent="0.2">
      <c r="A5">
        <v>4</v>
      </c>
      <c r="B5" t="s">
        <v>1873</v>
      </c>
      <c r="C5">
        <v>7</v>
      </c>
      <c r="D5" t="s">
        <v>1770</v>
      </c>
    </row>
    <row r="6" spans="1:7" x14ac:dyDescent="0.2">
      <c r="A6">
        <v>5</v>
      </c>
      <c r="B6" t="s">
        <v>1873</v>
      </c>
      <c r="C6">
        <v>8</v>
      </c>
      <c r="D6" t="s">
        <v>1770</v>
      </c>
    </row>
    <row r="7" spans="1:7" x14ac:dyDescent="0.2">
      <c r="A7">
        <v>6</v>
      </c>
      <c r="B7" t="s">
        <v>320</v>
      </c>
      <c r="C7">
        <v>1</v>
      </c>
      <c r="D7" t="s">
        <v>1770</v>
      </c>
    </row>
    <row r="8" spans="1:7" x14ac:dyDescent="0.2">
      <c r="A8">
        <v>7</v>
      </c>
      <c r="B8" t="s">
        <v>1874</v>
      </c>
      <c r="C8">
        <v>10</v>
      </c>
      <c r="D8" t="s">
        <v>1770</v>
      </c>
      <c r="E8" t="s">
        <v>388</v>
      </c>
    </row>
    <row r="9" spans="1:7" x14ac:dyDescent="0.2">
      <c r="A9">
        <v>8</v>
      </c>
      <c r="B9" t="s">
        <v>1875</v>
      </c>
      <c r="C9">
        <v>11</v>
      </c>
      <c r="D9" t="s">
        <v>1770</v>
      </c>
    </row>
    <row r="10" spans="1:7" x14ac:dyDescent="0.2">
      <c r="A10">
        <v>9</v>
      </c>
      <c r="B10" t="s">
        <v>1867</v>
      </c>
      <c r="C10">
        <v>109</v>
      </c>
      <c r="D10" t="s">
        <v>1770</v>
      </c>
      <c r="E10" t="s">
        <v>1869</v>
      </c>
    </row>
    <row r="11" spans="1:7" x14ac:dyDescent="0.2">
      <c r="A11">
        <v>10</v>
      </c>
      <c r="B11" t="s">
        <v>1877</v>
      </c>
      <c r="C11">
        <v>1</v>
      </c>
      <c r="D11" t="s">
        <v>1770</v>
      </c>
    </row>
    <row r="12" spans="1:7" x14ac:dyDescent="0.2">
      <c r="A12">
        <v>11</v>
      </c>
      <c r="B12" t="s">
        <v>1877</v>
      </c>
      <c r="C12">
        <v>2</v>
      </c>
      <c r="D12" t="s">
        <v>1770</v>
      </c>
    </row>
    <row r="13" spans="1:7" x14ac:dyDescent="0.2">
      <c r="A13">
        <v>12</v>
      </c>
      <c r="B13" t="s">
        <v>1877</v>
      </c>
      <c r="C13">
        <v>3</v>
      </c>
      <c r="D13" t="s">
        <v>1770</v>
      </c>
    </row>
    <row r="14" spans="1:7" x14ac:dyDescent="0.2">
      <c r="A14">
        <v>13</v>
      </c>
      <c r="B14" t="s">
        <v>1877</v>
      </c>
      <c r="C14">
        <v>4</v>
      </c>
      <c r="D14" t="s">
        <v>1770</v>
      </c>
    </row>
    <row r="15" spans="1:7" x14ac:dyDescent="0.2">
      <c r="A15">
        <v>14</v>
      </c>
      <c r="B15" t="s">
        <v>1877</v>
      </c>
      <c r="C15">
        <v>5</v>
      </c>
      <c r="D15" t="s">
        <v>1770</v>
      </c>
    </row>
    <row r="16" spans="1:7" x14ac:dyDescent="0.2">
      <c r="A16">
        <v>15</v>
      </c>
      <c r="B16" t="s">
        <v>1877</v>
      </c>
      <c r="C16">
        <v>6</v>
      </c>
      <c r="D16" t="s">
        <v>1770</v>
      </c>
    </row>
    <row r="17" spans="1:4" x14ac:dyDescent="0.2">
      <c r="A17">
        <v>16</v>
      </c>
      <c r="B17" t="s">
        <v>1878</v>
      </c>
      <c r="C17">
        <v>4</v>
      </c>
      <c r="D17" t="s">
        <v>1770</v>
      </c>
    </row>
    <row r="18" spans="1:4" x14ac:dyDescent="0.2">
      <c r="A18">
        <v>17</v>
      </c>
      <c r="B18" t="s">
        <v>333</v>
      </c>
      <c r="C18">
        <v>1</v>
      </c>
      <c r="D18" t="s">
        <v>1770</v>
      </c>
    </row>
    <row r="19" spans="1:4" x14ac:dyDescent="0.2">
      <c r="A19">
        <v>18</v>
      </c>
      <c r="B19" t="s">
        <v>333</v>
      </c>
      <c r="C19">
        <v>2</v>
      </c>
      <c r="D19" t="s">
        <v>1770</v>
      </c>
    </row>
    <row r="20" spans="1:4" x14ac:dyDescent="0.2">
      <c r="A20">
        <v>19</v>
      </c>
      <c r="B20" t="s">
        <v>333</v>
      </c>
      <c r="C20">
        <v>3</v>
      </c>
      <c r="D20" t="s">
        <v>1770</v>
      </c>
    </row>
    <row r="21" spans="1:4" x14ac:dyDescent="0.2">
      <c r="A21">
        <v>20</v>
      </c>
      <c r="B21" t="s">
        <v>333</v>
      </c>
      <c r="C21">
        <v>5</v>
      </c>
      <c r="D21" t="s">
        <v>1770</v>
      </c>
    </row>
    <row r="22" spans="1:4" x14ac:dyDescent="0.2">
      <c r="A22">
        <v>21</v>
      </c>
      <c r="B22" t="s">
        <v>1860</v>
      </c>
      <c r="C22">
        <v>1097</v>
      </c>
      <c r="D22" t="s">
        <v>1770</v>
      </c>
    </row>
    <row r="23" spans="1:4" x14ac:dyDescent="0.2">
      <c r="A23">
        <v>22</v>
      </c>
      <c r="B23" t="s">
        <v>1860</v>
      </c>
      <c r="C23" t="s">
        <v>1879</v>
      </c>
      <c r="D23" t="s">
        <v>1770</v>
      </c>
    </row>
    <row r="24" spans="1:4" x14ac:dyDescent="0.2">
      <c r="A24">
        <v>23</v>
      </c>
      <c r="B24" t="s">
        <v>1860</v>
      </c>
      <c r="C24" t="s">
        <v>1880</v>
      </c>
      <c r="D24" t="s">
        <v>1770</v>
      </c>
    </row>
    <row r="25" spans="1:4" x14ac:dyDescent="0.2">
      <c r="A25">
        <v>24</v>
      </c>
      <c r="B25" t="s">
        <v>1860</v>
      </c>
      <c r="C25" t="s">
        <v>1881</v>
      </c>
      <c r="D25" t="s">
        <v>1770</v>
      </c>
    </row>
    <row r="26" spans="1:4" x14ac:dyDescent="0.2">
      <c r="A26">
        <v>25</v>
      </c>
      <c r="B26" t="s">
        <v>331</v>
      </c>
      <c r="C26">
        <v>1</v>
      </c>
      <c r="D26" t="s">
        <v>1770</v>
      </c>
    </row>
    <row r="27" spans="1:4" x14ac:dyDescent="0.2">
      <c r="A27">
        <v>26</v>
      </c>
      <c r="B27" t="s">
        <v>1882</v>
      </c>
      <c r="C27">
        <v>6</v>
      </c>
      <c r="D27" t="s">
        <v>1770</v>
      </c>
    </row>
    <row r="28" spans="1:4" x14ac:dyDescent="0.2">
      <c r="A28">
        <v>27</v>
      </c>
      <c r="B28" t="s">
        <v>1883</v>
      </c>
      <c r="C28">
        <v>122</v>
      </c>
      <c r="D28" t="s">
        <v>1770</v>
      </c>
    </row>
    <row r="29" spans="1:4" x14ac:dyDescent="0.2">
      <c r="A29">
        <v>28</v>
      </c>
      <c r="B29" t="s">
        <v>1883</v>
      </c>
      <c r="C29">
        <v>123</v>
      </c>
      <c r="D29" t="s">
        <v>1770</v>
      </c>
    </row>
    <row r="30" spans="1:4" x14ac:dyDescent="0.2">
      <c r="A30">
        <v>29</v>
      </c>
      <c r="B30" t="s">
        <v>1883</v>
      </c>
      <c r="C30">
        <v>125</v>
      </c>
      <c r="D30" t="s">
        <v>1770</v>
      </c>
    </row>
    <row r="31" spans="1:4" x14ac:dyDescent="0.2">
      <c r="A31">
        <v>30</v>
      </c>
      <c r="B31" t="s">
        <v>1883</v>
      </c>
      <c r="C31">
        <v>126</v>
      </c>
      <c r="D31" t="s">
        <v>1770</v>
      </c>
    </row>
    <row r="32" spans="1:4" x14ac:dyDescent="0.2">
      <c r="A32">
        <v>31</v>
      </c>
      <c r="B32" t="s">
        <v>298</v>
      </c>
      <c r="C32">
        <v>2</v>
      </c>
      <c r="D32" t="s">
        <v>1770</v>
      </c>
    </row>
    <row r="33" spans="1:4" x14ac:dyDescent="0.2">
      <c r="A33">
        <v>32</v>
      </c>
      <c r="B33" t="s">
        <v>311</v>
      </c>
      <c r="C33">
        <v>1</v>
      </c>
      <c r="D33" t="s">
        <v>1770</v>
      </c>
    </row>
    <row r="34" spans="1:4" x14ac:dyDescent="0.2">
      <c r="A34">
        <v>33</v>
      </c>
      <c r="B34" t="s">
        <v>1885</v>
      </c>
      <c r="C34">
        <v>77</v>
      </c>
      <c r="D34" t="s">
        <v>1770</v>
      </c>
    </row>
    <row r="35" spans="1:4" x14ac:dyDescent="0.2">
      <c r="A35">
        <v>34</v>
      </c>
      <c r="B35" t="s">
        <v>1885</v>
      </c>
      <c r="C35">
        <v>78</v>
      </c>
      <c r="D35" t="s">
        <v>1770</v>
      </c>
    </row>
    <row r="36" spans="1:4" x14ac:dyDescent="0.2">
      <c r="A36">
        <v>35</v>
      </c>
      <c r="B36" t="s">
        <v>322</v>
      </c>
      <c r="C36">
        <v>1</v>
      </c>
      <c r="D36" t="s">
        <v>1770</v>
      </c>
    </row>
    <row r="37" spans="1:4" x14ac:dyDescent="0.2">
      <c r="A37">
        <v>36</v>
      </c>
      <c r="B37" t="s">
        <v>322</v>
      </c>
      <c r="C37">
        <v>2</v>
      </c>
      <c r="D37" t="s">
        <v>1770</v>
      </c>
    </row>
    <row r="38" spans="1:4" x14ac:dyDescent="0.2">
      <c r="A38">
        <v>37</v>
      </c>
      <c r="B38" t="s">
        <v>322</v>
      </c>
      <c r="C38">
        <v>3</v>
      </c>
      <c r="D38" t="s">
        <v>1770</v>
      </c>
    </row>
    <row r="39" spans="1:4" x14ac:dyDescent="0.2">
      <c r="A39">
        <v>38</v>
      </c>
      <c r="B39" t="s">
        <v>322</v>
      </c>
      <c r="C39">
        <v>4</v>
      </c>
      <c r="D39" t="s">
        <v>1770</v>
      </c>
    </row>
    <row r="40" spans="1:4" x14ac:dyDescent="0.2">
      <c r="A40">
        <v>39</v>
      </c>
      <c r="B40" t="s">
        <v>322</v>
      </c>
      <c r="C40">
        <v>5</v>
      </c>
      <c r="D40" t="s">
        <v>1770</v>
      </c>
    </row>
    <row r="41" spans="1:4" x14ac:dyDescent="0.2">
      <c r="A41">
        <v>40</v>
      </c>
      <c r="B41" t="s">
        <v>151</v>
      </c>
      <c r="C41">
        <v>102</v>
      </c>
      <c r="D41" t="s">
        <v>1886</v>
      </c>
    </row>
    <row r="42" spans="1:4" x14ac:dyDescent="0.2">
      <c r="A42">
        <v>41</v>
      </c>
      <c r="B42" t="s">
        <v>145</v>
      </c>
      <c r="C42">
        <v>73</v>
      </c>
      <c r="D42" t="s">
        <v>1886</v>
      </c>
    </row>
    <row r="43" spans="1:4" x14ac:dyDescent="0.2">
      <c r="A43">
        <v>42</v>
      </c>
      <c r="B43" t="s">
        <v>145</v>
      </c>
      <c r="C43">
        <v>98</v>
      </c>
      <c r="D43" t="s">
        <v>1886</v>
      </c>
    </row>
    <row r="44" spans="1:4" x14ac:dyDescent="0.2">
      <c r="A44">
        <v>43</v>
      </c>
      <c r="B44" t="s">
        <v>1887</v>
      </c>
      <c r="C44">
        <v>98</v>
      </c>
      <c r="D44" t="s">
        <v>1886</v>
      </c>
    </row>
    <row r="45" spans="1:4" x14ac:dyDescent="0.2">
      <c r="A45">
        <v>44</v>
      </c>
      <c r="B45" t="s">
        <v>303</v>
      </c>
      <c r="C45">
        <v>99</v>
      </c>
      <c r="D45" t="s">
        <v>1886</v>
      </c>
    </row>
    <row r="46" spans="1:4" x14ac:dyDescent="0.2">
      <c r="A46">
        <v>45</v>
      </c>
      <c r="B46" t="s">
        <v>1888</v>
      </c>
      <c r="C46">
        <v>108</v>
      </c>
      <c r="D46" t="s">
        <v>1886</v>
      </c>
    </row>
    <row r="47" spans="1:4" x14ac:dyDescent="0.2">
      <c r="A47">
        <v>46</v>
      </c>
      <c r="B47" t="s">
        <v>1860</v>
      </c>
      <c r="C47">
        <v>97</v>
      </c>
      <c r="D47" t="s">
        <v>1886</v>
      </c>
    </row>
    <row r="48" spans="1:4" x14ac:dyDescent="0.2">
      <c r="A48">
        <v>47</v>
      </c>
      <c r="B48" t="s">
        <v>1889</v>
      </c>
      <c r="C48">
        <v>81</v>
      </c>
      <c r="D48" t="s">
        <v>1770</v>
      </c>
    </row>
    <row r="49" spans="1:7" x14ac:dyDescent="0.2">
      <c r="A49">
        <v>48</v>
      </c>
      <c r="B49" t="s">
        <v>1890</v>
      </c>
      <c r="C49">
        <v>99</v>
      </c>
      <c r="D49" t="s">
        <v>1770</v>
      </c>
    </row>
    <row r="50" spans="1:7" x14ac:dyDescent="0.2">
      <c r="A50">
        <v>49</v>
      </c>
      <c r="B50" t="s">
        <v>1891</v>
      </c>
      <c r="C50">
        <v>100</v>
      </c>
      <c r="D50" t="s">
        <v>1770</v>
      </c>
    </row>
    <row r="51" spans="1:7" x14ac:dyDescent="0.2">
      <c r="A51">
        <v>50</v>
      </c>
      <c r="B51" t="s">
        <v>1892</v>
      </c>
      <c r="C51">
        <v>124</v>
      </c>
      <c r="D51" t="s">
        <v>1770</v>
      </c>
    </row>
    <row r="52" spans="1:7" x14ac:dyDescent="0.2">
      <c r="A52">
        <v>51</v>
      </c>
      <c r="B52" t="s">
        <v>1893</v>
      </c>
      <c r="C52">
        <v>125</v>
      </c>
      <c r="D52" t="s">
        <v>1770</v>
      </c>
    </row>
    <row r="53" spans="1:7" x14ac:dyDescent="0.2">
      <c r="A53">
        <v>52</v>
      </c>
      <c r="B53" t="s">
        <v>1894</v>
      </c>
      <c r="C53">
        <v>126</v>
      </c>
      <c r="D53" t="s">
        <v>1770</v>
      </c>
    </row>
    <row r="54" spans="1:7" x14ac:dyDescent="0.2">
      <c r="A54">
        <v>53</v>
      </c>
      <c r="B54" t="s">
        <v>1895</v>
      </c>
      <c r="C54">
        <v>127</v>
      </c>
      <c r="D54" t="s">
        <v>1770</v>
      </c>
    </row>
    <row r="55" spans="1:7" x14ac:dyDescent="0.2">
      <c r="A55">
        <v>54</v>
      </c>
      <c r="B55" t="s">
        <v>1896</v>
      </c>
      <c r="C55">
        <v>128</v>
      </c>
      <c r="D55" t="s">
        <v>1770</v>
      </c>
    </row>
    <row r="56" spans="1:7" x14ac:dyDescent="0.2">
      <c r="A56">
        <v>55</v>
      </c>
      <c r="B56" t="s">
        <v>190</v>
      </c>
      <c r="C56">
        <v>83</v>
      </c>
      <c r="D56" t="s">
        <v>1770</v>
      </c>
      <c r="F56" t="s">
        <v>1897</v>
      </c>
      <c r="G56">
        <v>1</v>
      </c>
    </row>
    <row r="57" spans="1:7" x14ac:dyDescent="0.2">
      <c r="A57">
        <v>56</v>
      </c>
      <c r="B57" t="s">
        <v>1899</v>
      </c>
      <c r="C57">
        <v>98</v>
      </c>
      <c r="D57" t="s">
        <v>1770</v>
      </c>
    </row>
    <row r="58" spans="1:7" x14ac:dyDescent="0.2">
      <c r="A58">
        <v>57</v>
      </c>
      <c r="B58" t="s">
        <v>145</v>
      </c>
      <c r="C58">
        <v>93</v>
      </c>
      <c r="D58" t="s">
        <v>1770</v>
      </c>
    </row>
    <row r="59" spans="1:7" x14ac:dyDescent="0.2">
      <c r="A59">
        <v>58</v>
      </c>
      <c r="B59" t="s">
        <v>145</v>
      </c>
      <c r="C59">
        <v>97</v>
      </c>
      <c r="D59" t="s">
        <v>1770</v>
      </c>
    </row>
    <row r="60" spans="1:7" x14ac:dyDescent="0.2">
      <c r="A60">
        <v>59</v>
      </c>
      <c r="B60" t="s">
        <v>145</v>
      </c>
      <c r="C60">
        <v>99</v>
      </c>
      <c r="D60" t="s">
        <v>1770</v>
      </c>
    </row>
    <row r="61" spans="1:7" x14ac:dyDescent="0.2">
      <c r="A61">
        <v>60</v>
      </c>
      <c r="B61" t="s">
        <v>145</v>
      </c>
      <c r="C61">
        <v>100</v>
      </c>
      <c r="D61" t="s">
        <v>1770</v>
      </c>
    </row>
    <row r="62" spans="1:7" x14ac:dyDescent="0.2">
      <c r="A62">
        <v>61</v>
      </c>
      <c r="B62" t="s">
        <v>1901</v>
      </c>
      <c r="C62">
        <v>111</v>
      </c>
      <c r="D62" t="s">
        <v>1770</v>
      </c>
    </row>
    <row r="63" spans="1:7" x14ac:dyDescent="0.2">
      <c r="A63">
        <v>62</v>
      </c>
      <c r="B63" t="s">
        <v>1902</v>
      </c>
      <c r="C63">
        <v>112</v>
      </c>
      <c r="D63" t="s">
        <v>1770</v>
      </c>
    </row>
    <row r="64" spans="1:7" x14ac:dyDescent="0.2">
      <c r="A64">
        <v>63</v>
      </c>
      <c r="B64" t="s">
        <v>1903</v>
      </c>
      <c r="C64">
        <v>113</v>
      </c>
      <c r="D64" t="s">
        <v>1770</v>
      </c>
    </row>
    <row r="65" spans="1:4" x14ac:dyDescent="0.2">
      <c r="A65">
        <v>64</v>
      </c>
      <c r="B65" t="s">
        <v>1904</v>
      </c>
      <c r="C65">
        <v>114</v>
      </c>
      <c r="D65" t="s">
        <v>1770</v>
      </c>
    </row>
    <row r="66" spans="1:4" x14ac:dyDescent="0.2">
      <c r="A66">
        <v>65</v>
      </c>
      <c r="B66" t="s">
        <v>1905</v>
      </c>
      <c r="C66">
        <v>115</v>
      </c>
      <c r="D66" t="s">
        <v>1770</v>
      </c>
    </row>
    <row r="67" spans="1:4" x14ac:dyDescent="0.2">
      <c r="A67">
        <v>66</v>
      </c>
      <c r="B67" t="s">
        <v>1906</v>
      </c>
      <c r="C67">
        <v>116</v>
      </c>
      <c r="D67" t="s">
        <v>1770</v>
      </c>
    </row>
    <row r="68" spans="1:4" x14ac:dyDescent="0.2">
      <c r="A68">
        <v>67</v>
      </c>
      <c r="B68" t="s">
        <v>1907</v>
      </c>
      <c r="C68">
        <v>117</v>
      </c>
      <c r="D68" t="s">
        <v>1770</v>
      </c>
    </row>
    <row r="69" spans="1:4" x14ac:dyDescent="0.2">
      <c r="A69">
        <v>68</v>
      </c>
      <c r="B69" t="s">
        <v>1908</v>
      </c>
      <c r="C69">
        <v>118</v>
      </c>
      <c r="D69" t="s">
        <v>1770</v>
      </c>
    </row>
    <row r="70" spans="1:4" x14ac:dyDescent="0.2">
      <c r="A70">
        <v>69</v>
      </c>
      <c r="B70" t="s">
        <v>1909</v>
      </c>
      <c r="C70">
        <v>119</v>
      </c>
      <c r="D70" t="s">
        <v>1770</v>
      </c>
    </row>
    <row r="71" spans="1:4" x14ac:dyDescent="0.2">
      <c r="A71">
        <v>70</v>
      </c>
      <c r="B71" t="s">
        <v>1910</v>
      </c>
      <c r="C71">
        <v>120</v>
      </c>
      <c r="D71" t="s">
        <v>1770</v>
      </c>
    </row>
    <row r="72" spans="1:4" x14ac:dyDescent="0.2">
      <c r="A72">
        <v>71</v>
      </c>
      <c r="B72" t="s">
        <v>148</v>
      </c>
      <c r="C72">
        <v>86</v>
      </c>
      <c r="D72" t="s">
        <v>1886</v>
      </c>
    </row>
    <row r="73" spans="1:4" x14ac:dyDescent="0.2">
      <c r="A73">
        <v>72</v>
      </c>
      <c r="B73" t="s">
        <v>148</v>
      </c>
      <c r="C73">
        <v>88</v>
      </c>
      <c r="D73" t="s">
        <v>1886</v>
      </c>
    </row>
    <row r="74" spans="1:4" x14ac:dyDescent="0.2">
      <c r="A74">
        <v>73</v>
      </c>
      <c r="B74" t="s">
        <v>148</v>
      </c>
      <c r="C74">
        <v>90</v>
      </c>
      <c r="D74" t="s">
        <v>1886</v>
      </c>
    </row>
    <row r="75" spans="1:4" x14ac:dyDescent="0.2">
      <c r="A75">
        <v>74</v>
      </c>
      <c r="B75" t="s">
        <v>148</v>
      </c>
      <c r="C75">
        <v>94</v>
      </c>
      <c r="D75" t="s">
        <v>1886</v>
      </c>
    </row>
    <row r="76" spans="1:4" x14ac:dyDescent="0.2">
      <c r="A76">
        <v>75</v>
      </c>
      <c r="B76" t="s">
        <v>148</v>
      </c>
      <c r="C76">
        <v>96</v>
      </c>
      <c r="D76" t="s">
        <v>1886</v>
      </c>
    </row>
    <row r="77" spans="1:4" x14ac:dyDescent="0.2">
      <c r="A77">
        <v>76</v>
      </c>
      <c r="B77" t="s">
        <v>148</v>
      </c>
      <c r="C77">
        <v>8</v>
      </c>
      <c r="D77" t="s">
        <v>1770</v>
      </c>
    </row>
    <row r="78" spans="1:4" x14ac:dyDescent="0.2">
      <c r="A78">
        <v>77</v>
      </c>
      <c r="B78" t="s">
        <v>148</v>
      </c>
      <c r="C78">
        <v>96</v>
      </c>
      <c r="D78" t="s">
        <v>1770</v>
      </c>
    </row>
  </sheetData>
  <autoFilter ref="A1:G57" xr:uid="{EDA4090F-45F7-794D-8F8E-1E0ECF359C9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19CA-956E-C441-A614-F9299A9457E6}">
  <dimension ref="A1:F92"/>
  <sheetViews>
    <sheetView zoomScale="178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" sqref="F2"/>
    </sheetView>
  </sheetViews>
  <sheetFormatPr baseColWidth="10" defaultRowHeight="15" x14ac:dyDescent="0.2"/>
  <cols>
    <col min="3" max="3" width="12.6640625" bestFit="1" customWidth="1"/>
  </cols>
  <sheetData>
    <row r="1" spans="1:6" x14ac:dyDescent="0.2">
      <c r="A1" s="3" t="s">
        <v>0</v>
      </c>
      <c r="B1" s="3" t="s">
        <v>13</v>
      </c>
      <c r="C1" s="3" t="s">
        <v>436</v>
      </c>
      <c r="D1" s="3" t="s">
        <v>1770</v>
      </c>
      <c r="E1" s="3" t="s">
        <v>1868</v>
      </c>
      <c r="F1" s="3" t="s">
        <v>90</v>
      </c>
    </row>
    <row r="2" spans="1:6" x14ac:dyDescent="0.2">
      <c r="A2">
        <v>1</v>
      </c>
      <c r="B2" t="s">
        <v>1702</v>
      </c>
      <c r="C2" t="s">
        <v>138</v>
      </c>
      <c r="D2">
        <v>79</v>
      </c>
      <c r="F2" s="7">
        <v>45245</v>
      </c>
    </row>
    <row r="3" spans="1:6" x14ac:dyDescent="0.2">
      <c r="A3">
        <v>2</v>
      </c>
      <c r="B3" t="s">
        <v>1702</v>
      </c>
      <c r="C3" t="s">
        <v>190</v>
      </c>
      <c r="D3">
        <v>83</v>
      </c>
      <c r="F3" s="7">
        <v>45245</v>
      </c>
    </row>
    <row r="4" spans="1:6" x14ac:dyDescent="0.2">
      <c r="A4">
        <v>3</v>
      </c>
      <c r="B4" t="s">
        <v>1702</v>
      </c>
      <c r="C4" t="s">
        <v>145</v>
      </c>
      <c r="D4">
        <v>84</v>
      </c>
      <c r="F4" s="7">
        <v>45245</v>
      </c>
    </row>
    <row r="5" spans="1:6" x14ac:dyDescent="0.2">
      <c r="A5">
        <v>4</v>
      </c>
      <c r="B5" t="s">
        <v>1702</v>
      </c>
      <c r="C5" t="s">
        <v>148</v>
      </c>
      <c r="D5">
        <v>78</v>
      </c>
      <c r="F5" s="7">
        <v>45245</v>
      </c>
    </row>
    <row r="6" spans="1:6" x14ac:dyDescent="0.2">
      <c r="A6">
        <v>5</v>
      </c>
      <c r="B6" t="s">
        <v>1702</v>
      </c>
      <c r="C6" t="s">
        <v>151</v>
      </c>
      <c r="D6">
        <v>83</v>
      </c>
      <c r="F6" s="7">
        <v>45245</v>
      </c>
    </row>
    <row r="7" spans="1:6" x14ac:dyDescent="0.2">
      <c r="A7">
        <v>6</v>
      </c>
      <c r="B7" t="s">
        <v>1702</v>
      </c>
      <c r="C7" t="s">
        <v>154</v>
      </c>
      <c r="F7" s="7">
        <v>45245</v>
      </c>
    </row>
    <row r="8" spans="1:6" x14ac:dyDescent="0.2">
      <c r="A8">
        <v>8</v>
      </c>
      <c r="B8" t="s">
        <v>1702</v>
      </c>
      <c r="C8" t="s">
        <v>1860</v>
      </c>
      <c r="F8" s="7">
        <v>45245</v>
      </c>
    </row>
    <row r="9" spans="1:6" x14ac:dyDescent="0.2">
      <c r="A9">
        <v>9</v>
      </c>
      <c r="B9" t="s">
        <v>1702</v>
      </c>
      <c r="C9" t="s">
        <v>276</v>
      </c>
      <c r="D9">
        <v>3</v>
      </c>
      <c r="F9" s="7">
        <v>45245</v>
      </c>
    </row>
    <row r="10" spans="1:6" x14ac:dyDescent="0.2">
      <c r="A10">
        <v>10</v>
      </c>
      <c r="B10" t="s">
        <v>67</v>
      </c>
      <c r="C10" t="s">
        <v>1861</v>
      </c>
      <c r="D10">
        <v>105</v>
      </c>
      <c r="F10" s="7">
        <v>45245</v>
      </c>
    </row>
    <row r="11" spans="1:6" x14ac:dyDescent="0.2">
      <c r="A11">
        <v>11</v>
      </c>
      <c r="B11" t="s">
        <v>67</v>
      </c>
      <c r="C11" t="s">
        <v>1862</v>
      </c>
      <c r="D11">
        <v>105</v>
      </c>
      <c r="F11" s="7">
        <v>45245</v>
      </c>
    </row>
    <row r="12" spans="1:6" x14ac:dyDescent="0.2">
      <c r="A12">
        <v>12</v>
      </c>
      <c r="B12" t="s">
        <v>67</v>
      </c>
      <c r="C12" t="s">
        <v>303</v>
      </c>
      <c r="D12">
        <v>106</v>
      </c>
      <c r="F12" s="7">
        <v>45245</v>
      </c>
    </row>
    <row r="13" spans="1:6" x14ac:dyDescent="0.2">
      <c r="A13">
        <v>13</v>
      </c>
      <c r="B13" t="s">
        <v>67</v>
      </c>
      <c r="C13" t="s">
        <v>148</v>
      </c>
      <c r="D13">
        <v>108</v>
      </c>
      <c r="F13" s="7">
        <v>45245</v>
      </c>
    </row>
    <row r="14" spans="1:6" x14ac:dyDescent="0.2">
      <c r="A14">
        <v>14</v>
      </c>
      <c r="B14" t="s">
        <v>67</v>
      </c>
      <c r="C14" t="s">
        <v>1829</v>
      </c>
      <c r="D14">
        <v>105</v>
      </c>
      <c r="F14" s="7">
        <v>45245</v>
      </c>
    </row>
    <row r="15" spans="1:6" x14ac:dyDescent="0.2">
      <c r="A15">
        <v>15</v>
      </c>
      <c r="B15" t="s">
        <v>67</v>
      </c>
      <c r="C15" t="s">
        <v>327</v>
      </c>
      <c r="D15">
        <v>105</v>
      </c>
      <c r="F15" s="7">
        <v>45245</v>
      </c>
    </row>
    <row r="16" spans="1:6" x14ac:dyDescent="0.2">
      <c r="A16">
        <v>16</v>
      </c>
      <c r="B16" t="s">
        <v>67</v>
      </c>
      <c r="C16" t="s">
        <v>333</v>
      </c>
      <c r="D16">
        <v>11</v>
      </c>
      <c r="F16" s="7">
        <v>45245</v>
      </c>
    </row>
    <row r="17" spans="1:6" x14ac:dyDescent="0.2">
      <c r="A17">
        <v>17</v>
      </c>
      <c r="B17" t="s">
        <v>67</v>
      </c>
      <c r="C17" t="s">
        <v>1860</v>
      </c>
      <c r="D17">
        <v>11</v>
      </c>
      <c r="F17" s="7">
        <v>45245</v>
      </c>
    </row>
    <row r="18" spans="1:6" x14ac:dyDescent="0.2">
      <c r="A18">
        <v>18</v>
      </c>
      <c r="B18" t="s">
        <v>67</v>
      </c>
      <c r="C18" t="s">
        <v>305</v>
      </c>
      <c r="D18">
        <v>5</v>
      </c>
      <c r="F18" s="7">
        <v>45245</v>
      </c>
    </row>
    <row r="19" spans="1:6" x14ac:dyDescent="0.2">
      <c r="A19">
        <v>19</v>
      </c>
      <c r="B19" t="s">
        <v>65</v>
      </c>
      <c r="C19" t="s">
        <v>138</v>
      </c>
      <c r="D19">
        <v>75</v>
      </c>
      <c r="E19">
        <v>81</v>
      </c>
      <c r="F19" s="7">
        <v>45245</v>
      </c>
    </row>
    <row r="20" spans="1:6" x14ac:dyDescent="0.2">
      <c r="A20">
        <v>20</v>
      </c>
      <c r="B20" t="s">
        <v>65</v>
      </c>
      <c r="C20" t="s">
        <v>190</v>
      </c>
      <c r="D20">
        <v>80</v>
      </c>
      <c r="F20" s="7">
        <v>45245</v>
      </c>
    </row>
    <row r="21" spans="1:6" x14ac:dyDescent="0.2">
      <c r="A21">
        <v>21</v>
      </c>
      <c r="B21" t="s">
        <v>65</v>
      </c>
      <c r="C21" t="s">
        <v>145</v>
      </c>
      <c r="D21">
        <v>82</v>
      </c>
      <c r="E21">
        <v>88</v>
      </c>
      <c r="F21" s="7">
        <v>45245</v>
      </c>
    </row>
    <row r="22" spans="1:6" x14ac:dyDescent="0.2">
      <c r="A22">
        <v>22</v>
      </c>
      <c r="B22" t="s">
        <v>65</v>
      </c>
      <c r="C22" t="s">
        <v>148</v>
      </c>
      <c r="D22">
        <v>74</v>
      </c>
      <c r="F22" s="7">
        <v>45245</v>
      </c>
    </row>
    <row r="23" spans="1:6" x14ac:dyDescent="0.2">
      <c r="A23">
        <v>23</v>
      </c>
      <c r="B23" t="s">
        <v>65</v>
      </c>
      <c r="C23" t="s">
        <v>151</v>
      </c>
      <c r="D23">
        <v>82</v>
      </c>
      <c r="F23" s="7">
        <v>45245</v>
      </c>
    </row>
    <row r="24" spans="1:6" x14ac:dyDescent="0.2">
      <c r="A24">
        <v>24</v>
      </c>
      <c r="B24" t="s">
        <v>65</v>
      </c>
      <c r="C24" t="s">
        <v>276</v>
      </c>
      <c r="D24">
        <v>3</v>
      </c>
      <c r="F24" s="7">
        <v>45245</v>
      </c>
    </row>
    <row r="25" spans="1:6" x14ac:dyDescent="0.2">
      <c r="A25">
        <v>25</v>
      </c>
      <c r="B25" t="s">
        <v>39</v>
      </c>
      <c r="C25" t="s">
        <v>1861</v>
      </c>
      <c r="D25">
        <v>103</v>
      </c>
      <c r="F25" s="7">
        <v>45245</v>
      </c>
    </row>
    <row r="26" spans="1:6" x14ac:dyDescent="0.2">
      <c r="A26">
        <v>26</v>
      </c>
      <c r="B26" t="s">
        <v>39</v>
      </c>
      <c r="C26" t="s">
        <v>1862</v>
      </c>
      <c r="D26">
        <v>104</v>
      </c>
      <c r="F26" s="7">
        <v>45245</v>
      </c>
    </row>
    <row r="27" spans="1:6" x14ac:dyDescent="0.2">
      <c r="A27">
        <v>27</v>
      </c>
      <c r="B27" t="s">
        <v>39</v>
      </c>
      <c r="C27" t="s">
        <v>303</v>
      </c>
      <c r="D27">
        <v>103</v>
      </c>
      <c r="F27" s="7">
        <v>45245</v>
      </c>
    </row>
    <row r="28" spans="1:6" x14ac:dyDescent="0.2">
      <c r="A28">
        <v>28</v>
      </c>
      <c r="B28" t="s">
        <v>39</v>
      </c>
      <c r="C28" t="s">
        <v>148</v>
      </c>
      <c r="D28">
        <v>104</v>
      </c>
      <c r="F28" s="7">
        <v>45245</v>
      </c>
    </row>
    <row r="29" spans="1:6" x14ac:dyDescent="0.2">
      <c r="A29">
        <v>29</v>
      </c>
      <c r="B29" t="s">
        <v>39</v>
      </c>
      <c r="C29" t="s">
        <v>1829</v>
      </c>
      <c r="D29">
        <v>102</v>
      </c>
      <c r="F29" s="7">
        <v>45245</v>
      </c>
    </row>
    <row r="30" spans="1:6" x14ac:dyDescent="0.2">
      <c r="A30">
        <v>30</v>
      </c>
      <c r="B30" t="s">
        <v>39</v>
      </c>
      <c r="C30" t="s">
        <v>327</v>
      </c>
      <c r="D30">
        <v>103</v>
      </c>
      <c r="F30" s="7">
        <v>45245</v>
      </c>
    </row>
    <row r="31" spans="1:6" x14ac:dyDescent="0.2">
      <c r="A31">
        <v>31</v>
      </c>
      <c r="B31" t="s">
        <v>39</v>
      </c>
      <c r="C31" t="s">
        <v>333</v>
      </c>
      <c r="D31">
        <v>8</v>
      </c>
      <c r="E31">
        <v>9</v>
      </c>
      <c r="F31" s="7">
        <v>45245</v>
      </c>
    </row>
    <row r="32" spans="1:6" x14ac:dyDescent="0.2">
      <c r="A32">
        <v>32</v>
      </c>
      <c r="B32" t="s">
        <v>39</v>
      </c>
      <c r="C32" t="s">
        <v>1860</v>
      </c>
      <c r="D32">
        <v>97</v>
      </c>
      <c r="F32" s="7">
        <v>45245</v>
      </c>
    </row>
    <row r="33" spans="1:6" x14ac:dyDescent="0.2">
      <c r="A33">
        <v>33</v>
      </c>
      <c r="B33" t="s">
        <v>62</v>
      </c>
      <c r="C33" t="s">
        <v>340</v>
      </c>
      <c r="D33">
        <v>109</v>
      </c>
      <c r="F33" s="7">
        <v>45245</v>
      </c>
    </row>
    <row r="34" spans="1:6" x14ac:dyDescent="0.2">
      <c r="A34">
        <v>34</v>
      </c>
      <c r="B34" t="s">
        <v>62</v>
      </c>
      <c r="C34" t="s">
        <v>342</v>
      </c>
      <c r="D34">
        <v>108</v>
      </c>
      <c r="F34" s="7">
        <v>45245</v>
      </c>
    </row>
    <row r="35" spans="1:6" x14ac:dyDescent="0.2">
      <c r="A35">
        <v>35</v>
      </c>
      <c r="B35" t="s">
        <v>62</v>
      </c>
      <c r="C35" t="s">
        <v>1829</v>
      </c>
      <c r="D35">
        <v>108</v>
      </c>
      <c r="F35" s="7">
        <v>45245</v>
      </c>
    </row>
    <row r="36" spans="1:6" x14ac:dyDescent="0.2">
      <c r="A36">
        <v>36</v>
      </c>
      <c r="B36" t="s">
        <v>62</v>
      </c>
      <c r="C36" t="s">
        <v>346</v>
      </c>
      <c r="D36">
        <v>108</v>
      </c>
      <c r="E36" t="s">
        <v>1911</v>
      </c>
      <c r="F36" s="7">
        <v>45245</v>
      </c>
    </row>
    <row r="37" spans="1:6" x14ac:dyDescent="0.2">
      <c r="A37">
        <v>37</v>
      </c>
      <c r="B37" t="s">
        <v>62</v>
      </c>
      <c r="C37" t="s">
        <v>327</v>
      </c>
      <c r="D37">
        <v>108</v>
      </c>
      <c r="F37" s="7">
        <v>45245</v>
      </c>
    </row>
    <row r="38" spans="1:6" x14ac:dyDescent="0.2">
      <c r="A38">
        <v>38</v>
      </c>
      <c r="B38" t="s">
        <v>62</v>
      </c>
      <c r="C38" t="s">
        <v>1876</v>
      </c>
      <c r="D38">
        <v>0</v>
      </c>
      <c r="E38">
        <v>9</v>
      </c>
      <c r="F38" s="7">
        <v>45245</v>
      </c>
    </row>
    <row r="39" spans="1:6" x14ac:dyDescent="0.2">
      <c r="A39">
        <v>39</v>
      </c>
      <c r="B39" t="s">
        <v>62</v>
      </c>
      <c r="C39" t="s">
        <v>1863</v>
      </c>
      <c r="D39">
        <v>121</v>
      </c>
      <c r="E39" t="s">
        <v>1884</v>
      </c>
      <c r="F39" s="7">
        <v>45245</v>
      </c>
    </row>
    <row r="40" spans="1:6" x14ac:dyDescent="0.2">
      <c r="A40">
        <v>40</v>
      </c>
      <c r="B40" t="s">
        <v>62</v>
      </c>
      <c r="C40" t="s">
        <v>1864</v>
      </c>
      <c r="D40">
        <v>121</v>
      </c>
      <c r="F40" s="7">
        <v>45245</v>
      </c>
    </row>
    <row r="41" spans="1:6" x14ac:dyDescent="0.2">
      <c r="A41">
        <v>41</v>
      </c>
      <c r="B41" t="s">
        <v>76</v>
      </c>
      <c r="C41" t="s">
        <v>138</v>
      </c>
      <c r="D41">
        <v>74</v>
      </c>
      <c r="F41" s="7">
        <v>45245</v>
      </c>
    </row>
    <row r="42" spans="1:6" x14ac:dyDescent="0.2">
      <c r="A42">
        <v>42</v>
      </c>
      <c r="B42" t="s">
        <v>76</v>
      </c>
      <c r="C42" t="s">
        <v>190</v>
      </c>
      <c r="D42">
        <v>75</v>
      </c>
      <c r="F42" s="7">
        <v>45245</v>
      </c>
    </row>
    <row r="43" spans="1:6" x14ac:dyDescent="0.2">
      <c r="A43">
        <v>43</v>
      </c>
      <c r="B43" t="s">
        <v>76</v>
      </c>
      <c r="C43" t="s">
        <v>145</v>
      </c>
      <c r="D43">
        <v>75</v>
      </c>
      <c r="E43">
        <v>81</v>
      </c>
      <c r="F43" s="7">
        <v>45245</v>
      </c>
    </row>
    <row r="44" spans="1:6" x14ac:dyDescent="0.2">
      <c r="A44">
        <v>44</v>
      </c>
      <c r="B44" t="s">
        <v>76</v>
      </c>
      <c r="C44" t="s">
        <v>148</v>
      </c>
      <c r="D44">
        <v>74</v>
      </c>
      <c r="E44">
        <v>8</v>
      </c>
      <c r="F44" s="7">
        <v>45245</v>
      </c>
    </row>
    <row r="45" spans="1:6" x14ac:dyDescent="0.2">
      <c r="A45">
        <v>45</v>
      </c>
      <c r="B45" t="s">
        <v>76</v>
      </c>
      <c r="C45" t="s">
        <v>151</v>
      </c>
      <c r="D45">
        <v>76</v>
      </c>
      <c r="F45" s="7">
        <v>45245</v>
      </c>
    </row>
    <row r="46" spans="1:6" x14ac:dyDescent="0.2">
      <c r="A46">
        <v>46</v>
      </c>
      <c r="B46" t="s">
        <v>76</v>
      </c>
      <c r="C46" t="s">
        <v>154</v>
      </c>
      <c r="D46">
        <v>76</v>
      </c>
      <c r="F46" s="7">
        <v>45245</v>
      </c>
    </row>
    <row r="47" spans="1:6" x14ac:dyDescent="0.2">
      <c r="A47">
        <v>47</v>
      </c>
      <c r="B47" t="s">
        <v>55</v>
      </c>
      <c r="C47" t="s">
        <v>1861</v>
      </c>
      <c r="D47">
        <v>99</v>
      </c>
      <c r="F47" s="7">
        <v>45245</v>
      </c>
    </row>
    <row r="48" spans="1:6" x14ac:dyDescent="0.2">
      <c r="A48">
        <v>48</v>
      </c>
      <c r="B48" t="s">
        <v>55</v>
      </c>
      <c r="C48" t="s">
        <v>1862</v>
      </c>
      <c r="D48">
        <v>100</v>
      </c>
      <c r="F48" s="7">
        <v>45245</v>
      </c>
    </row>
    <row r="49" spans="1:6" x14ac:dyDescent="0.2">
      <c r="A49">
        <v>49</v>
      </c>
      <c r="B49" t="s">
        <v>55</v>
      </c>
      <c r="C49" t="s">
        <v>303</v>
      </c>
      <c r="D49">
        <v>100</v>
      </c>
      <c r="F49" s="7">
        <v>45245</v>
      </c>
    </row>
    <row r="50" spans="1:6" x14ac:dyDescent="0.2">
      <c r="A50">
        <v>50</v>
      </c>
      <c r="B50" t="s">
        <v>55</v>
      </c>
      <c r="C50" t="s">
        <v>148</v>
      </c>
      <c r="D50">
        <v>98</v>
      </c>
      <c r="F50" s="7">
        <v>45245</v>
      </c>
    </row>
    <row r="51" spans="1:6" x14ac:dyDescent="0.2">
      <c r="A51">
        <v>51</v>
      </c>
      <c r="B51" t="s">
        <v>55</v>
      </c>
      <c r="C51" t="s">
        <v>1829</v>
      </c>
      <c r="D51">
        <v>100</v>
      </c>
      <c r="F51" s="7">
        <v>45245</v>
      </c>
    </row>
    <row r="52" spans="1:6" x14ac:dyDescent="0.2">
      <c r="A52">
        <v>52</v>
      </c>
      <c r="B52" t="s">
        <v>55</v>
      </c>
      <c r="C52" t="s">
        <v>327</v>
      </c>
      <c r="D52">
        <v>100</v>
      </c>
      <c r="F52" s="7">
        <v>45245</v>
      </c>
    </row>
    <row r="53" spans="1:6" x14ac:dyDescent="0.2">
      <c r="A53">
        <v>53</v>
      </c>
      <c r="B53" t="s">
        <v>55</v>
      </c>
      <c r="C53" t="s">
        <v>333</v>
      </c>
      <c r="D53">
        <v>5</v>
      </c>
      <c r="E53">
        <v>8</v>
      </c>
      <c r="F53" s="7">
        <v>45245</v>
      </c>
    </row>
    <row r="54" spans="1:6" x14ac:dyDescent="0.2">
      <c r="A54">
        <v>54</v>
      </c>
      <c r="B54" t="s">
        <v>55</v>
      </c>
      <c r="C54" t="s">
        <v>1860</v>
      </c>
      <c r="F54" s="7">
        <v>45245</v>
      </c>
    </row>
    <row r="55" spans="1:6" x14ac:dyDescent="0.2">
      <c r="A55">
        <v>55</v>
      </c>
      <c r="B55" t="s">
        <v>55</v>
      </c>
      <c r="C55" t="s">
        <v>305</v>
      </c>
      <c r="D55">
        <v>5</v>
      </c>
      <c r="F55" s="7">
        <v>45245</v>
      </c>
    </row>
    <row r="56" spans="1:6" x14ac:dyDescent="0.2">
      <c r="A56">
        <v>56</v>
      </c>
      <c r="B56" t="s">
        <v>55</v>
      </c>
      <c r="C56" t="s">
        <v>391</v>
      </c>
      <c r="D56">
        <v>88</v>
      </c>
      <c r="F56" s="7">
        <v>45245</v>
      </c>
    </row>
    <row r="57" spans="1:6" x14ac:dyDescent="0.2">
      <c r="A57">
        <v>57</v>
      </c>
      <c r="B57" t="s">
        <v>33</v>
      </c>
      <c r="C57" t="s">
        <v>278</v>
      </c>
      <c r="D57">
        <v>91</v>
      </c>
      <c r="F57" s="7">
        <v>45245</v>
      </c>
    </row>
    <row r="58" spans="1:6" x14ac:dyDescent="0.2">
      <c r="A58">
        <v>58</v>
      </c>
      <c r="B58" t="s">
        <v>33</v>
      </c>
      <c r="C58" t="s">
        <v>280</v>
      </c>
      <c r="D58">
        <v>92</v>
      </c>
      <c r="F58" s="7">
        <v>45245</v>
      </c>
    </row>
    <row r="59" spans="1:6" x14ac:dyDescent="0.2">
      <c r="A59">
        <v>59</v>
      </c>
      <c r="B59" t="s">
        <v>33</v>
      </c>
      <c r="C59" t="s">
        <v>145</v>
      </c>
      <c r="D59">
        <v>95</v>
      </c>
      <c r="F59" s="7">
        <v>45245</v>
      </c>
    </row>
    <row r="60" spans="1:6" x14ac:dyDescent="0.2">
      <c r="A60">
        <v>60</v>
      </c>
      <c r="B60" t="s">
        <v>33</v>
      </c>
      <c r="C60" t="s">
        <v>148</v>
      </c>
      <c r="D60">
        <v>88</v>
      </c>
      <c r="F60" s="7">
        <v>45245</v>
      </c>
    </row>
    <row r="61" spans="1:6" x14ac:dyDescent="0.2">
      <c r="A61">
        <v>61</v>
      </c>
      <c r="B61" t="s">
        <v>33</v>
      </c>
      <c r="C61" t="s">
        <v>1827</v>
      </c>
      <c r="D61">
        <v>93</v>
      </c>
      <c r="F61" s="7">
        <v>45245</v>
      </c>
    </row>
    <row r="62" spans="1:6" x14ac:dyDescent="0.2">
      <c r="A62">
        <v>62</v>
      </c>
      <c r="B62" t="s">
        <v>33</v>
      </c>
      <c r="C62" t="s">
        <v>286</v>
      </c>
      <c r="D62">
        <v>101</v>
      </c>
      <c r="F62" s="7">
        <v>45245</v>
      </c>
    </row>
    <row r="63" spans="1:6" x14ac:dyDescent="0.2">
      <c r="A63">
        <v>63</v>
      </c>
      <c r="B63" t="s">
        <v>33</v>
      </c>
      <c r="C63" t="s">
        <v>1865</v>
      </c>
      <c r="D63">
        <v>88</v>
      </c>
      <c r="F63" s="7">
        <v>45245</v>
      </c>
    </row>
    <row r="64" spans="1:6" x14ac:dyDescent="0.2">
      <c r="A64">
        <v>64</v>
      </c>
      <c r="B64" t="s">
        <v>33</v>
      </c>
      <c r="C64" t="s">
        <v>1866</v>
      </c>
      <c r="D64">
        <v>102</v>
      </c>
      <c r="F64" s="7">
        <v>45245</v>
      </c>
    </row>
    <row r="65" spans="1:6" x14ac:dyDescent="0.2">
      <c r="A65">
        <v>65</v>
      </c>
      <c r="B65" t="s">
        <v>1701</v>
      </c>
      <c r="C65" t="s">
        <v>278</v>
      </c>
      <c r="D65">
        <v>84</v>
      </c>
      <c r="F65" s="7">
        <v>45245</v>
      </c>
    </row>
    <row r="66" spans="1:6" x14ac:dyDescent="0.2">
      <c r="A66">
        <v>66</v>
      </c>
      <c r="B66" t="s">
        <v>1701</v>
      </c>
      <c r="C66" t="s">
        <v>280</v>
      </c>
      <c r="D66">
        <v>86</v>
      </c>
      <c r="F66" s="7">
        <v>45245</v>
      </c>
    </row>
    <row r="67" spans="1:6" x14ac:dyDescent="0.2">
      <c r="A67">
        <v>67</v>
      </c>
      <c r="B67" t="s">
        <v>1701</v>
      </c>
      <c r="C67" t="s">
        <v>145</v>
      </c>
      <c r="D67">
        <v>87</v>
      </c>
      <c r="F67" s="7">
        <v>45245</v>
      </c>
    </row>
    <row r="68" spans="1:6" x14ac:dyDescent="0.2">
      <c r="A68">
        <v>68</v>
      </c>
      <c r="B68" t="s">
        <v>1701</v>
      </c>
      <c r="C68" t="s">
        <v>148</v>
      </c>
      <c r="D68">
        <v>84</v>
      </c>
      <c r="F68" s="7">
        <v>45245</v>
      </c>
    </row>
    <row r="69" spans="1:6" x14ac:dyDescent="0.2">
      <c r="A69">
        <v>69</v>
      </c>
      <c r="B69" t="s">
        <v>1701</v>
      </c>
      <c r="C69" t="s">
        <v>1827</v>
      </c>
      <c r="D69">
        <v>86</v>
      </c>
      <c r="F69" s="7">
        <v>45245</v>
      </c>
    </row>
    <row r="70" spans="1:6" x14ac:dyDescent="0.2">
      <c r="A70">
        <v>70</v>
      </c>
      <c r="B70" t="s">
        <v>1701</v>
      </c>
      <c r="C70" t="s">
        <v>286</v>
      </c>
      <c r="D70">
        <v>98</v>
      </c>
      <c r="F70" s="7">
        <v>45245</v>
      </c>
    </row>
    <row r="71" spans="1:6" x14ac:dyDescent="0.2">
      <c r="A71">
        <v>72</v>
      </c>
      <c r="B71" t="s">
        <v>1701</v>
      </c>
      <c r="C71" t="s">
        <v>1866</v>
      </c>
      <c r="D71">
        <v>98</v>
      </c>
      <c r="F71" s="7">
        <v>45245</v>
      </c>
    </row>
    <row r="72" spans="1:6" x14ac:dyDescent="0.2">
      <c r="A72">
        <v>73</v>
      </c>
      <c r="B72" t="s">
        <v>16</v>
      </c>
      <c r="C72" t="s">
        <v>278</v>
      </c>
      <c r="D72">
        <v>89</v>
      </c>
      <c r="F72" s="7">
        <v>45245</v>
      </c>
    </row>
    <row r="73" spans="1:6" x14ac:dyDescent="0.2">
      <c r="A73">
        <v>74</v>
      </c>
      <c r="B73" t="s">
        <v>16</v>
      </c>
      <c r="C73" t="s">
        <v>280</v>
      </c>
      <c r="D73">
        <v>92</v>
      </c>
      <c r="F73" s="7">
        <v>45245</v>
      </c>
    </row>
    <row r="74" spans="1:6" x14ac:dyDescent="0.2">
      <c r="A74">
        <v>75</v>
      </c>
      <c r="B74" t="s">
        <v>16</v>
      </c>
      <c r="C74" t="s">
        <v>145</v>
      </c>
      <c r="D74">
        <v>92</v>
      </c>
      <c r="F74" s="7">
        <v>45245</v>
      </c>
    </row>
    <row r="75" spans="1:6" x14ac:dyDescent="0.2">
      <c r="A75">
        <v>76</v>
      </c>
      <c r="B75" t="s">
        <v>16</v>
      </c>
      <c r="C75" t="s">
        <v>148</v>
      </c>
      <c r="D75">
        <v>94</v>
      </c>
      <c r="F75" s="7">
        <v>45245</v>
      </c>
    </row>
    <row r="76" spans="1:6" x14ac:dyDescent="0.2">
      <c r="A76">
        <v>77</v>
      </c>
      <c r="B76" t="s">
        <v>16</v>
      </c>
      <c r="C76" t="s">
        <v>1827</v>
      </c>
      <c r="D76">
        <v>92</v>
      </c>
      <c r="F76" s="7">
        <v>45245</v>
      </c>
    </row>
    <row r="77" spans="1:6" x14ac:dyDescent="0.2">
      <c r="A77">
        <v>78</v>
      </c>
      <c r="B77" t="s">
        <v>16</v>
      </c>
      <c r="C77" t="s">
        <v>286</v>
      </c>
      <c r="D77">
        <v>103</v>
      </c>
      <c r="F77" s="7">
        <v>45245</v>
      </c>
    </row>
    <row r="78" spans="1:6" x14ac:dyDescent="0.2">
      <c r="A78">
        <v>80</v>
      </c>
      <c r="B78" t="s">
        <v>16</v>
      </c>
      <c r="C78" t="s">
        <v>1866</v>
      </c>
      <c r="D78">
        <v>104</v>
      </c>
      <c r="F78" s="7">
        <v>45245</v>
      </c>
    </row>
    <row r="79" spans="1:6" x14ac:dyDescent="0.2">
      <c r="A79">
        <v>81</v>
      </c>
      <c r="B79" t="s">
        <v>63</v>
      </c>
      <c r="C79" t="s">
        <v>1861</v>
      </c>
      <c r="D79">
        <v>97</v>
      </c>
      <c r="E79">
        <v>102</v>
      </c>
      <c r="F79" s="7">
        <v>45245</v>
      </c>
    </row>
    <row r="80" spans="1:6" x14ac:dyDescent="0.2">
      <c r="A80">
        <v>82</v>
      </c>
      <c r="B80" t="s">
        <v>63</v>
      </c>
      <c r="C80" t="s">
        <v>1862</v>
      </c>
      <c r="D80">
        <v>98</v>
      </c>
      <c r="F80" s="7">
        <v>45245</v>
      </c>
    </row>
    <row r="81" spans="1:6" x14ac:dyDescent="0.2">
      <c r="A81">
        <v>83</v>
      </c>
      <c r="B81" t="s">
        <v>63</v>
      </c>
      <c r="C81" t="s">
        <v>303</v>
      </c>
      <c r="D81">
        <v>97</v>
      </c>
      <c r="F81" s="7">
        <v>45245</v>
      </c>
    </row>
    <row r="82" spans="1:6" x14ac:dyDescent="0.2">
      <c r="A82">
        <v>84</v>
      </c>
      <c r="B82" t="s">
        <v>63</v>
      </c>
      <c r="C82" t="s">
        <v>148</v>
      </c>
      <c r="D82">
        <v>99</v>
      </c>
      <c r="F82" s="7">
        <v>45245</v>
      </c>
    </row>
    <row r="83" spans="1:6" x14ac:dyDescent="0.2">
      <c r="A83">
        <v>85</v>
      </c>
      <c r="B83" t="s">
        <v>63</v>
      </c>
      <c r="C83" t="s">
        <v>1829</v>
      </c>
      <c r="D83">
        <v>97</v>
      </c>
      <c r="F83" s="7">
        <v>45245</v>
      </c>
    </row>
    <row r="84" spans="1:6" x14ac:dyDescent="0.2">
      <c r="A84">
        <v>86</v>
      </c>
      <c r="B84" t="s">
        <v>63</v>
      </c>
      <c r="C84" t="s">
        <v>327</v>
      </c>
      <c r="D84">
        <v>97</v>
      </c>
      <c r="F84" s="7">
        <v>45245</v>
      </c>
    </row>
    <row r="85" spans="1:6" x14ac:dyDescent="0.2">
      <c r="A85">
        <v>87</v>
      </c>
      <c r="B85" t="s">
        <v>63</v>
      </c>
      <c r="C85" t="s">
        <v>1860</v>
      </c>
      <c r="D85">
        <v>1</v>
      </c>
      <c r="F85" s="7">
        <v>45245</v>
      </c>
    </row>
    <row r="86" spans="1:6" x14ac:dyDescent="0.2">
      <c r="A86">
        <v>88</v>
      </c>
      <c r="B86" t="s">
        <v>12</v>
      </c>
      <c r="C86" t="s">
        <v>340</v>
      </c>
      <c r="D86">
        <v>109</v>
      </c>
      <c r="F86" s="7">
        <v>45245</v>
      </c>
    </row>
    <row r="87" spans="1:6" x14ac:dyDescent="0.2">
      <c r="A87">
        <v>89</v>
      </c>
      <c r="B87" t="s">
        <v>12</v>
      </c>
      <c r="C87" t="s">
        <v>342</v>
      </c>
      <c r="D87">
        <v>109</v>
      </c>
      <c r="F87" s="7">
        <v>45245</v>
      </c>
    </row>
    <row r="88" spans="1:6" x14ac:dyDescent="0.2">
      <c r="A88">
        <v>90</v>
      </c>
      <c r="B88" t="s">
        <v>12</v>
      </c>
      <c r="C88" t="s">
        <v>346</v>
      </c>
      <c r="D88">
        <v>108</v>
      </c>
      <c r="F88" s="7">
        <v>45245</v>
      </c>
    </row>
    <row r="89" spans="1:6" x14ac:dyDescent="0.2">
      <c r="A89">
        <v>91</v>
      </c>
      <c r="B89" t="s">
        <v>12</v>
      </c>
      <c r="C89" t="s">
        <v>1876</v>
      </c>
      <c r="D89">
        <v>1</v>
      </c>
      <c r="F89" s="7">
        <v>45245</v>
      </c>
    </row>
    <row r="90" spans="1:6" x14ac:dyDescent="0.2">
      <c r="A90">
        <v>91</v>
      </c>
      <c r="B90" t="s">
        <v>62</v>
      </c>
      <c r="C90" t="s">
        <v>1882</v>
      </c>
      <c r="D90">
        <v>1</v>
      </c>
      <c r="E90">
        <v>6</v>
      </c>
      <c r="F90" s="7">
        <v>45245</v>
      </c>
    </row>
    <row r="91" spans="1:6" x14ac:dyDescent="0.2">
      <c r="A91">
        <v>92</v>
      </c>
      <c r="B91" t="s">
        <v>12</v>
      </c>
      <c r="C91" t="s">
        <v>1867</v>
      </c>
      <c r="D91">
        <v>110</v>
      </c>
      <c r="F91" s="7">
        <v>45245</v>
      </c>
    </row>
    <row r="92" spans="1:6" x14ac:dyDescent="0.2">
      <c r="A92">
        <v>93</v>
      </c>
      <c r="B92" t="s">
        <v>12</v>
      </c>
      <c r="C92" t="s">
        <v>351</v>
      </c>
      <c r="D92">
        <v>1</v>
      </c>
      <c r="F92" s="7">
        <v>45245</v>
      </c>
    </row>
  </sheetData>
  <autoFilter ref="A1:E92" xr:uid="{9CA819CA-956E-C441-A614-F9299A9457E6}">
    <sortState xmlns:xlrd2="http://schemas.microsoft.com/office/spreadsheetml/2017/richdata2" ref="A2:E92">
      <sortCondition ref="A1:A92"/>
    </sortState>
  </autoFilter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469C-EEEE-2C40-ACB1-A92C28DD0D24}">
  <dimension ref="A1:C6"/>
  <sheetViews>
    <sheetView zoomScale="236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baseColWidth="10" defaultRowHeight="15" x14ac:dyDescent="0.2"/>
  <cols>
    <col min="1" max="1" width="2.83203125" bestFit="1" customWidth="1"/>
    <col min="2" max="2" width="12.33203125" bestFit="1" customWidth="1"/>
    <col min="3" max="3" width="19.6640625" bestFit="1" customWidth="1"/>
  </cols>
  <sheetData>
    <row r="1" spans="1:3" x14ac:dyDescent="0.2">
      <c r="A1" s="3" t="s">
        <v>0</v>
      </c>
      <c r="B1" s="3" t="s">
        <v>1690</v>
      </c>
      <c r="C1" s="3" t="s">
        <v>1693</v>
      </c>
    </row>
    <row r="2" spans="1:3" x14ac:dyDescent="0.2">
      <c r="A2">
        <v>1</v>
      </c>
      <c r="B2" t="s">
        <v>1691</v>
      </c>
    </row>
    <row r="3" spans="1:3" x14ac:dyDescent="0.2">
      <c r="A3">
        <v>2</v>
      </c>
      <c r="B3" t="s">
        <v>1692</v>
      </c>
      <c r="C3" t="s">
        <v>1705</v>
      </c>
    </row>
    <row r="4" spans="1:3" x14ac:dyDescent="0.2">
      <c r="A4">
        <v>3</v>
      </c>
      <c r="B4" t="s">
        <v>1692</v>
      </c>
      <c r="C4" t="s">
        <v>1694</v>
      </c>
    </row>
    <row r="5" spans="1:3" x14ac:dyDescent="0.2">
      <c r="A5">
        <v>4</v>
      </c>
      <c r="B5" t="s">
        <v>1692</v>
      </c>
      <c r="C5" t="s">
        <v>1695</v>
      </c>
    </row>
    <row r="6" spans="1:3" x14ac:dyDescent="0.2">
      <c r="A6">
        <v>0</v>
      </c>
      <c r="B6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O61"/>
  <sheetViews>
    <sheetView zoomScale="160" zoomScaleNormal="16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H28" activeCellId="1" sqref="H2 H28"/>
    </sheetView>
  </sheetViews>
  <sheetFormatPr baseColWidth="10" defaultColWidth="8.83203125" defaultRowHeight="15" x14ac:dyDescent="0.2"/>
  <cols>
    <col min="1" max="1" width="5.33203125" bestFit="1" customWidth="1"/>
    <col min="2" max="2" width="15.6640625" bestFit="1" customWidth="1"/>
    <col min="3" max="3" width="14.33203125" bestFit="1" customWidth="1"/>
    <col min="4" max="4" width="24.5" bestFit="1" customWidth="1"/>
    <col min="5" max="5" width="10.33203125" bestFit="1" customWidth="1"/>
    <col min="6" max="6" width="28.5" customWidth="1"/>
    <col min="7" max="7" width="12.83203125" bestFit="1" customWidth="1"/>
    <col min="8" max="8" width="11.5" bestFit="1" customWidth="1"/>
    <col min="10" max="10" width="9" bestFit="1" customWidth="1"/>
    <col min="11" max="11" width="13.5" bestFit="1" customWidth="1"/>
    <col min="12" max="12" width="16.1640625" bestFit="1" customWidth="1"/>
    <col min="15" max="15" width="12.33203125" bestFit="1" customWidth="1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1707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1753</v>
      </c>
      <c r="N1" s="3" t="s">
        <v>1846</v>
      </c>
      <c r="O1" s="3" t="s">
        <v>1699</v>
      </c>
    </row>
    <row r="2" spans="1:15" x14ac:dyDescent="0.2">
      <c r="A2">
        <v>1</v>
      </c>
      <c r="B2" t="s">
        <v>11</v>
      </c>
      <c r="D2" t="s">
        <v>12</v>
      </c>
      <c r="E2" t="s">
        <v>12</v>
      </c>
      <c r="G2" s="23">
        <v>39083</v>
      </c>
      <c r="H2">
        <v>1</v>
      </c>
      <c r="I2" t="s">
        <v>13</v>
      </c>
      <c r="J2">
        <v>4</v>
      </c>
      <c r="K2">
        <v>2</v>
      </c>
      <c r="L2">
        <v>1</v>
      </c>
      <c r="M2">
        <v>1</v>
      </c>
      <c r="N2" t="s">
        <v>1926</v>
      </c>
      <c r="O2">
        <v>5</v>
      </c>
    </row>
    <row r="3" spans="1:15" x14ac:dyDescent="0.2">
      <c r="A3">
        <v>2</v>
      </c>
      <c r="B3" t="s">
        <v>11</v>
      </c>
      <c r="D3" t="s">
        <v>14</v>
      </c>
      <c r="E3" t="s">
        <v>15</v>
      </c>
      <c r="G3" s="23">
        <f ca="1">G2+3*RANDBETWEEN(-365, 365)</f>
        <v>39089</v>
      </c>
      <c r="H3">
        <v>1</v>
      </c>
      <c r="I3" t="s">
        <v>13</v>
      </c>
      <c r="J3">
        <v>4</v>
      </c>
      <c r="K3">
        <v>2</v>
      </c>
      <c r="L3">
        <v>1</v>
      </c>
      <c r="M3">
        <v>1</v>
      </c>
      <c r="N3" t="s">
        <v>1926</v>
      </c>
      <c r="O3">
        <v>5</v>
      </c>
    </row>
    <row r="4" spans="1:15" x14ac:dyDescent="0.2">
      <c r="A4">
        <v>3</v>
      </c>
      <c r="B4" t="s">
        <v>11</v>
      </c>
      <c r="D4" t="s">
        <v>1852</v>
      </c>
      <c r="E4" t="s">
        <v>16</v>
      </c>
      <c r="G4" s="23">
        <f t="shared" ref="G4:G61" ca="1" si="0">G3+3*RANDBETWEEN(-365, 365)</f>
        <v>38408</v>
      </c>
      <c r="H4">
        <v>1</v>
      </c>
      <c r="I4" t="s">
        <v>13</v>
      </c>
      <c r="J4">
        <v>4</v>
      </c>
      <c r="K4">
        <v>2</v>
      </c>
      <c r="L4">
        <v>1</v>
      </c>
      <c r="M4">
        <v>1</v>
      </c>
      <c r="N4" t="s">
        <v>1926</v>
      </c>
      <c r="O4">
        <v>5</v>
      </c>
    </row>
    <row r="5" spans="1:15" x14ac:dyDescent="0.2">
      <c r="A5">
        <v>4</v>
      </c>
      <c r="B5" t="s">
        <v>17</v>
      </c>
      <c r="D5" t="s">
        <v>18</v>
      </c>
      <c r="E5" t="s">
        <v>19</v>
      </c>
      <c r="G5" s="23">
        <f t="shared" ca="1" si="0"/>
        <v>38309</v>
      </c>
      <c r="H5">
        <v>2</v>
      </c>
      <c r="I5" t="s">
        <v>13</v>
      </c>
      <c r="J5">
        <v>4</v>
      </c>
      <c r="K5">
        <v>1</v>
      </c>
      <c r="L5">
        <v>2</v>
      </c>
      <c r="M5">
        <v>4</v>
      </c>
      <c r="N5" t="s">
        <v>1926</v>
      </c>
      <c r="O5">
        <v>0</v>
      </c>
    </row>
    <row r="6" spans="1:15" x14ac:dyDescent="0.2">
      <c r="A6">
        <v>5</v>
      </c>
      <c r="B6" t="s">
        <v>20</v>
      </c>
      <c r="D6" t="s">
        <v>21</v>
      </c>
      <c r="E6" t="s">
        <v>21</v>
      </c>
      <c r="G6" s="23">
        <f t="shared" ca="1" si="0"/>
        <v>38942</v>
      </c>
      <c r="H6">
        <v>3</v>
      </c>
      <c r="I6" t="s">
        <v>13</v>
      </c>
      <c r="J6">
        <v>4</v>
      </c>
      <c r="K6">
        <v>1</v>
      </c>
      <c r="L6">
        <v>5</v>
      </c>
      <c r="M6">
        <v>1</v>
      </c>
      <c r="N6" t="s">
        <v>1926</v>
      </c>
      <c r="O6">
        <v>0</v>
      </c>
    </row>
    <row r="7" spans="1:15" x14ac:dyDescent="0.2">
      <c r="A7">
        <v>6</v>
      </c>
      <c r="B7" t="s">
        <v>22</v>
      </c>
      <c r="C7" t="s">
        <v>23</v>
      </c>
      <c r="D7" t="s">
        <v>24</v>
      </c>
      <c r="E7" t="s">
        <v>24</v>
      </c>
      <c r="G7" s="23">
        <f t="shared" ca="1" si="0"/>
        <v>38024</v>
      </c>
      <c r="H7">
        <v>4</v>
      </c>
      <c r="I7" t="s">
        <v>13</v>
      </c>
      <c r="J7">
        <v>4</v>
      </c>
      <c r="K7">
        <v>1</v>
      </c>
      <c r="L7">
        <v>2</v>
      </c>
      <c r="M7">
        <v>1</v>
      </c>
      <c r="N7" t="s">
        <v>1926</v>
      </c>
      <c r="O7">
        <v>0</v>
      </c>
    </row>
    <row r="8" spans="1:15" x14ac:dyDescent="0.2">
      <c r="A8">
        <v>7</v>
      </c>
      <c r="B8" t="s">
        <v>22</v>
      </c>
      <c r="C8" t="s">
        <v>23</v>
      </c>
      <c r="D8" t="s">
        <v>25</v>
      </c>
      <c r="E8" t="s">
        <v>25</v>
      </c>
      <c r="G8" s="23">
        <f t="shared" ca="1" si="0"/>
        <v>38309</v>
      </c>
      <c r="H8">
        <v>4</v>
      </c>
      <c r="I8" t="s">
        <v>13</v>
      </c>
      <c r="J8">
        <v>4</v>
      </c>
      <c r="K8">
        <v>1</v>
      </c>
      <c r="L8">
        <v>2</v>
      </c>
      <c r="M8">
        <v>1</v>
      </c>
      <c r="N8" t="s">
        <v>1926</v>
      </c>
      <c r="O8">
        <v>0</v>
      </c>
    </row>
    <row r="9" spans="1:15" x14ac:dyDescent="0.2">
      <c r="A9">
        <v>8</v>
      </c>
      <c r="B9" t="s">
        <v>26</v>
      </c>
      <c r="C9" t="s">
        <v>27</v>
      </c>
      <c r="D9" t="s">
        <v>28</v>
      </c>
      <c r="E9" t="s">
        <v>28</v>
      </c>
      <c r="G9" s="23">
        <f t="shared" ca="1" si="0"/>
        <v>38504</v>
      </c>
      <c r="H9">
        <v>5</v>
      </c>
      <c r="I9" t="s">
        <v>13</v>
      </c>
      <c r="J9">
        <v>4</v>
      </c>
      <c r="K9">
        <v>1</v>
      </c>
      <c r="L9">
        <v>2</v>
      </c>
      <c r="M9">
        <v>1</v>
      </c>
      <c r="N9" t="s">
        <v>1926</v>
      </c>
      <c r="O9">
        <v>0</v>
      </c>
    </row>
    <row r="10" spans="1:15" x14ac:dyDescent="0.2">
      <c r="A10">
        <v>9</v>
      </c>
      <c r="B10" t="s">
        <v>29</v>
      </c>
      <c r="D10" t="s">
        <v>30</v>
      </c>
      <c r="E10" t="s">
        <v>30</v>
      </c>
      <c r="G10" s="23">
        <f t="shared" ca="1" si="0"/>
        <v>39320</v>
      </c>
      <c r="H10">
        <v>6</v>
      </c>
      <c r="I10" t="s">
        <v>13</v>
      </c>
      <c r="J10">
        <v>4</v>
      </c>
      <c r="K10">
        <v>1</v>
      </c>
      <c r="L10">
        <v>2</v>
      </c>
      <c r="M10">
        <v>2</v>
      </c>
      <c r="N10" t="s">
        <v>1926</v>
      </c>
      <c r="O10">
        <v>6</v>
      </c>
    </row>
    <row r="11" spans="1:15" x14ac:dyDescent="0.2">
      <c r="A11">
        <v>10</v>
      </c>
      <c r="B11" t="s">
        <v>31</v>
      </c>
      <c r="D11" t="s">
        <v>32</v>
      </c>
      <c r="E11" t="s">
        <v>33</v>
      </c>
      <c r="G11" s="23">
        <f t="shared" ca="1" si="0"/>
        <v>38414</v>
      </c>
      <c r="H11">
        <v>7</v>
      </c>
      <c r="I11" t="s">
        <v>13</v>
      </c>
      <c r="J11">
        <v>4</v>
      </c>
      <c r="K11">
        <v>1</v>
      </c>
      <c r="L11">
        <v>3</v>
      </c>
      <c r="M11">
        <v>1</v>
      </c>
      <c r="N11" t="s">
        <v>1926</v>
      </c>
      <c r="O11">
        <v>3</v>
      </c>
    </row>
    <row r="12" spans="1:15" x14ac:dyDescent="0.2">
      <c r="A12">
        <v>11</v>
      </c>
      <c r="B12" t="s">
        <v>34</v>
      </c>
      <c r="D12" t="s">
        <v>35</v>
      </c>
      <c r="E12" t="s">
        <v>36</v>
      </c>
      <c r="G12" s="23">
        <f t="shared" ca="1" si="0"/>
        <v>37895</v>
      </c>
      <c r="H12">
        <v>8</v>
      </c>
      <c r="I12" t="s">
        <v>13</v>
      </c>
      <c r="J12">
        <v>4</v>
      </c>
      <c r="K12">
        <v>1</v>
      </c>
      <c r="L12">
        <v>2</v>
      </c>
      <c r="M12">
        <v>4</v>
      </c>
      <c r="N12" t="s">
        <v>1927</v>
      </c>
      <c r="O12">
        <v>4</v>
      </c>
    </row>
    <row r="13" spans="1:15" x14ac:dyDescent="0.2">
      <c r="A13">
        <v>12</v>
      </c>
      <c r="B13" t="s">
        <v>37</v>
      </c>
      <c r="D13" t="s">
        <v>38</v>
      </c>
      <c r="E13" t="s">
        <v>39</v>
      </c>
      <c r="G13" s="23">
        <f t="shared" ca="1" si="0"/>
        <v>37019</v>
      </c>
      <c r="H13">
        <v>9</v>
      </c>
      <c r="I13" t="s">
        <v>13</v>
      </c>
      <c r="J13">
        <v>4</v>
      </c>
      <c r="K13">
        <v>1</v>
      </c>
      <c r="L13">
        <v>2</v>
      </c>
      <c r="M13">
        <v>1</v>
      </c>
      <c r="N13" t="s">
        <v>1926</v>
      </c>
      <c r="O13">
        <v>1</v>
      </c>
    </row>
    <row r="14" spans="1:15" x14ac:dyDescent="0.2">
      <c r="A14">
        <v>13</v>
      </c>
      <c r="B14" t="s">
        <v>37</v>
      </c>
      <c r="D14" t="s">
        <v>40</v>
      </c>
      <c r="E14" t="s">
        <v>41</v>
      </c>
      <c r="G14" s="23">
        <f t="shared" ca="1" si="0"/>
        <v>37928</v>
      </c>
      <c r="H14">
        <v>9</v>
      </c>
      <c r="I14" t="s">
        <v>13</v>
      </c>
      <c r="J14">
        <v>4</v>
      </c>
      <c r="K14">
        <v>1</v>
      </c>
      <c r="L14">
        <v>2</v>
      </c>
      <c r="M14">
        <v>1</v>
      </c>
      <c r="N14" t="s">
        <v>1926</v>
      </c>
      <c r="O14">
        <v>1</v>
      </c>
    </row>
    <row r="15" spans="1:15" x14ac:dyDescent="0.2">
      <c r="A15">
        <v>14</v>
      </c>
      <c r="B15" t="s">
        <v>42</v>
      </c>
      <c r="C15" t="s">
        <v>43</v>
      </c>
      <c r="D15" t="s">
        <v>44</v>
      </c>
      <c r="E15" t="s">
        <v>45</v>
      </c>
      <c r="G15" s="23">
        <f t="shared" ca="1" si="0"/>
        <v>36953</v>
      </c>
      <c r="H15">
        <v>10</v>
      </c>
      <c r="I15" t="s">
        <v>13</v>
      </c>
      <c r="J15">
        <v>4</v>
      </c>
      <c r="K15">
        <v>1</v>
      </c>
      <c r="L15">
        <v>2</v>
      </c>
      <c r="M15">
        <v>1</v>
      </c>
      <c r="N15" t="s">
        <v>1926</v>
      </c>
      <c r="O15">
        <v>0</v>
      </c>
    </row>
    <row r="16" spans="1:15" x14ac:dyDescent="0.2">
      <c r="A16">
        <v>15</v>
      </c>
      <c r="B16" t="s">
        <v>42</v>
      </c>
      <c r="C16" t="s">
        <v>43</v>
      </c>
      <c r="D16" t="s">
        <v>46</v>
      </c>
      <c r="E16" t="s">
        <v>47</v>
      </c>
      <c r="G16" s="23">
        <f t="shared" ca="1" si="0"/>
        <v>37295</v>
      </c>
      <c r="H16">
        <v>10</v>
      </c>
      <c r="I16" t="s">
        <v>13</v>
      </c>
      <c r="J16">
        <v>4</v>
      </c>
      <c r="K16">
        <v>1</v>
      </c>
      <c r="L16">
        <v>2</v>
      </c>
      <c r="M16">
        <v>1</v>
      </c>
      <c r="N16" t="s">
        <v>1926</v>
      </c>
      <c r="O16">
        <v>0</v>
      </c>
    </row>
    <row r="17" spans="1:15" x14ac:dyDescent="0.2">
      <c r="A17">
        <v>16</v>
      </c>
      <c r="B17" t="s">
        <v>42</v>
      </c>
      <c r="C17" t="s">
        <v>43</v>
      </c>
      <c r="D17" t="s">
        <v>48</v>
      </c>
      <c r="E17" t="s">
        <v>49</v>
      </c>
      <c r="G17" s="23">
        <f t="shared" ca="1" si="0"/>
        <v>37838</v>
      </c>
      <c r="H17">
        <v>10</v>
      </c>
      <c r="I17" t="s">
        <v>13</v>
      </c>
      <c r="J17">
        <v>4</v>
      </c>
      <c r="K17">
        <v>1</v>
      </c>
      <c r="L17">
        <v>2</v>
      </c>
      <c r="M17">
        <v>1</v>
      </c>
      <c r="N17" t="s">
        <v>1926</v>
      </c>
      <c r="O17">
        <v>0</v>
      </c>
    </row>
    <row r="18" spans="1:15" x14ac:dyDescent="0.2">
      <c r="A18">
        <v>17</v>
      </c>
      <c r="B18" t="s">
        <v>50</v>
      </c>
      <c r="C18" t="s">
        <v>43</v>
      </c>
      <c r="D18" t="s">
        <v>1698</v>
      </c>
      <c r="E18" t="s">
        <v>51</v>
      </c>
      <c r="G18" s="23">
        <f t="shared" ca="1" si="0"/>
        <v>38390</v>
      </c>
      <c r="H18">
        <v>11</v>
      </c>
      <c r="I18" t="s">
        <v>13</v>
      </c>
      <c r="J18">
        <v>4</v>
      </c>
      <c r="K18">
        <v>1</v>
      </c>
      <c r="L18">
        <v>2</v>
      </c>
      <c r="M18">
        <v>3</v>
      </c>
      <c r="N18" t="s">
        <v>1926</v>
      </c>
      <c r="O18">
        <v>0</v>
      </c>
    </row>
    <row r="19" spans="1:15" x14ac:dyDescent="0.2">
      <c r="A19">
        <v>18</v>
      </c>
      <c r="B19" t="s">
        <v>50</v>
      </c>
      <c r="C19" t="s">
        <v>43</v>
      </c>
      <c r="D19" t="s">
        <v>52</v>
      </c>
      <c r="E19" t="s">
        <v>52</v>
      </c>
      <c r="G19" s="23">
        <f t="shared" ca="1" si="0"/>
        <v>38288</v>
      </c>
      <c r="H19">
        <v>11</v>
      </c>
      <c r="I19" t="s">
        <v>13</v>
      </c>
      <c r="J19">
        <v>4</v>
      </c>
      <c r="K19">
        <v>1</v>
      </c>
      <c r="L19">
        <v>2</v>
      </c>
      <c r="M19">
        <v>3</v>
      </c>
      <c r="N19" t="s">
        <v>1926</v>
      </c>
      <c r="O19">
        <v>0</v>
      </c>
    </row>
    <row r="20" spans="1:15" x14ac:dyDescent="0.2">
      <c r="A20">
        <v>19</v>
      </c>
      <c r="B20" t="s">
        <v>53</v>
      </c>
      <c r="D20" t="s">
        <v>54</v>
      </c>
      <c r="E20" t="s">
        <v>55</v>
      </c>
      <c r="G20" s="23">
        <f t="shared" ca="1" si="0"/>
        <v>37994</v>
      </c>
      <c r="H20">
        <v>12</v>
      </c>
      <c r="I20" t="s">
        <v>13</v>
      </c>
      <c r="J20">
        <v>4</v>
      </c>
      <c r="K20">
        <v>6</v>
      </c>
      <c r="L20">
        <v>2</v>
      </c>
      <c r="M20">
        <v>1</v>
      </c>
      <c r="N20" t="s">
        <v>1926</v>
      </c>
      <c r="O20">
        <v>0</v>
      </c>
    </row>
    <row r="21" spans="1:15" x14ac:dyDescent="0.2">
      <c r="A21">
        <v>20</v>
      </c>
      <c r="B21" t="s">
        <v>53</v>
      </c>
      <c r="D21" t="s">
        <v>56</v>
      </c>
      <c r="E21" t="s">
        <v>57</v>
      </c>
      <c r="G21" s="23">
        <f t="shared" ca="1" si="0"/>
        <v>36908</v>
      </c>
      <c r="H21">
        <v>12</v>
      </c>
      <c r="I21" t="s">
        <v>13</v>
      </c>
      <c r="J21">
        <v>4</v>
      </c>
      <c r="K21">
        <v>6</v>
      </c>
      <c r="L21">
        <v>2</v>
      </c>
      <c r="M21">
        <v>1</v>
      </c>
      <c r="N21" t="s">
        <v>1926</v>
      </c>
      <c r="O21">
        <v>0</v>
      </c>
    </row>
    <row r="22" spans="1:15" x14ac:dyDescent="0.2">
      <c r="A22">
        <v>21</v>
      </c>
      <c r="B22" t="s">
        <v>58</v>
      </c>
      <c r="D22" t="s">
        <v>59</v>
      </c>
      <c r="E22" t="s">
        <v>60</v>
      </c>
      <c r="G22" s="23">
        <f t="shared" ca="1" si="0"/>
        <v>36299</v>
      </c>
      <c r="H22">
        <v>13</v>
      </c>
      <c r="I22" t="s">
        <v>13</v>
      </c>
      <c r="J22">
        <v>4</v>
      </c>
      <c r="K22">
        <v>1</v>
      </c>
      <c r="L22">
        <v>2</v>
      </c>
      <c r="M22">
        <v>1</v>
      </c>
      <c r="N22" t="s">
        <v>1926</v>
      </c>
      <c r="O22">
        <v>4</v>
      </c>
    </row>
    <row r="23" spans="1:15" x14ac:dyDescent="0.2">
      <c r="A23">
        <v>22</v>
      </c>
      <c r="B23" t="s">
        <v>58</v>
      </c>
      <c r="D23" t="s">
        <v>61</v>
      </c>
      <c r="E23" t="s">
        <v>62</v>
      </c>
      <c r="G23" s="23">
        <f t="shared" ca="1" si="0"/>
        <v>36671</v>
      </c>
      <c r="H23">
        <v>13</v>
      </c>
      <c r="I23" t="s">
        <v>13</v>
      </c>
      <c r="J23">
        <v>4</v>
      </c>
      <c r="K23">
        <v>1</v>
      </c>
      <c r="L23">
        <v>2</v>
      </c>
      <c r="M23">
        <v>1</v>
      </c>
      <c r="N23" t="s">
        <v>1927</v>
      </c>
      <c r="O23">
        <v>4</v>
      </c>
    </row>
    <row r="24" spans="1:15" x14ac:dyDescent="0.2">
      <c r="A24">
        <v>23</v>
      </c>
      <c r="B24" t="s">
        <v>58</v>
      </c>
      <c r="D24" t="s">
        <v>1696</v>
      </c>
      <c r="E24" t="s">
        <v>63</v>
      </c>
      <c r="G24" s="23">
        <f t="shared" ca="1" si="0"/>
        <v>37313</v>
      </c>
      <c r="H24">
        <v>13</v>
      </c>
      <c r="I24" t="s">
        <v>13</v>
      </c>
      <c r="J24">
        <v>4</v>
      </c>
      <c r="K24">
        <v>1</v>
      </c>
      <c r="L24">
        <v>2</v>
      </c>
      <c r="M24">
        <v>1</v>
      </c>
      <c r="N24" t="s">
        <v>1927</v>
      </c>
      <c r="O24">
        <v>4</v>
      </c>
    </row>
    <row r="25" spans="1:15" x14ac:dyDescent="0.2">
      <c r="A25">
        <v>24</v>
      </c>
      <c r="B25" t="s">
        <v>64</v>
      </c>
      <c r="D25" t="s">
        <v>1697</v>
      </c>
      <c r="E25" t="s">
        <v>65</v>
      </c>
      <c r="G25" s="23">
        <f t="shared" ca="1" si="0"/>
        <v>38108</v>
      </c>
      <c r="H25">
        <v>14</v>
      </c>
      <c r="I25" t="s">
        <v>13</v>
      </c>
      <c r="J25">
        <v>4</v>
      </c>
      <c r="K25">
        <v>1</v>
      </c>
      <c r="L25">
        <v>3</v>
      </c>
      <c r="M25">
        <v>1</v>
      </c>
      <c r="N25" t="s">
        <v>1926</v>
      </c>
      <c r="O25">
        <v>4</v>
      </c>
    </row>
    <row r="26" spans="1:15" x14ac:dyDescent="0.2">
      <c r="A26">
        <v>25</v>
      </c>
      <c r="B26" t="s">
        <v>64</v>
      </c>
      <c r="D26" t="s">
        <v>66</v>
      </c>
      <c r="E26" t="s">
        <v>67</v>
      </c>
      <c r="G26" s="23">
        <f t="shared" ca="1" si="0"/>
        <v>37043</v>
      </c>
      <c r="H26">
        <v>14</v>
      </c>
      <c r="I26" t="s">
        <v>13</v>
      </c>
      <c r="J26">
        <v>4</v>
      </c>
      <c r="K26">
        <v>1</v>
      </c>
      <c r="L26">
        <v>3</v>
      </c>
      <c r="M26">
        <v>1</v>
      </c>
      <c r="N26" t="s">
        <v>1926</v>
      </c>
      <c r="O26">
        <v>4</v>
      </c>
    </row>
    <row r="27" spans="1:15" x14ac:dyDescent="0.2">
      <c r="A27">
        <v>26</v>
      </c>
      <c r="B27" t="s">
        <v>68</v>
      </c>
      <c r="D27" t="s">
        <v>69</v>
      </c>
      <c r="E27" t="s">
        <v>70</v>
      </c>
      <c r="G27" s="23">
        <f t="shared" ca="1" si="0"/>
        <v>37928</v>
      </c>
      <c r="H27">
        <v>15</v>
      </c>
      <c r="I27" t="s">
        <v>13</v>
      </c>
      <c r="J27">
        <v>4</v>
      </c>
      <c r="K27">
        <v>1</v>
      </c>
      <c r="L27">
        <v>2</v>
      </c>
      <c r="M27">
        <v>4</v>
      </c>
      <c r="N27" t="s">
        <v>1926</v>
      </c>
      <c r="O27">
        <v>0</v>
      </c>
    </row>
    <row r="28" spans="1:15" x14ac:dyDescent="0.2">
      <c r="A28">
        <v>27</v>
      </c>
      <c r="B28" t="s">
        <v>68</v>
      </c>
      <c r="D28" t="s">
        <v>71</v>
      </c>
      <c r="E28" t="s">
        <v>72</v>
      </c>
      <c r="G28" s="23">
        <f t="shared" ca="1" si="0"/>
        <v>37208</v>
      </c>
      <c r="H28">
        <v>15</v>
      </c>
      <c r="I28" t="s">
        <v>13</v>
      </c>
      <c r="J28">
        <v>4</v>
      </c>
      <c r="K28">
        <v>1</v>
      </c>
      <c r="L28">
        <v>2</v>
      </c>
      <c r="M28">
        <v>4</v>
      </c>
      <c r="N28" t="s">
        <v>1926</v>
      </c>
      <c r="O28">
        <v>0</v>
      </c>
    </row>
    <row r="29" spans="1:15" x14ac:dyDescent="0.2">
      <c r="A29">
        <v>28</v>
      </c>
      <c r="B29" t="s">
        <v>73</v>
      </c>
      <c r="D29" t="s">
        <v>51</v>
      </c>
      <c r="E29" t="s">
        <v>51</v>
      </c>
      <c r="G29" s="23">
        <f t="shared" ca="1" si="0"/>
        <v>37478</v>
      </c>
      <c r="H29">
        <v>16</v>
      </c>
      <c r="I29" t="s">
        <v>13</v>
      </c>
      <c r="J29">
        <v>4</v>
      </c>
      <c r="K29">
        <v>1</v>
      </c>
      <c r="L29">
        <v>2</v>
      </c>
      <c r="M29">
        <v>4</v>
      </c>
      <c r="N29" t="s">
        <v>1926</v>
      </c>
      <c r="O29">
        <v>0</v>
      </c>
    </row>
    <row r="30" spans="1:15" x14ac:dyDescent="0.2">
      <c r="A30">
        <v>29</v>
      </c>
      <c r="B30" t="s">
        <v>74</v>
      </c>
      <c r="D30" t="s">
        <v>75</v>
      </c>
      <c r="E30" t="s">
        <v>76</v>
      </c>
      <c r="G30" s="23">
        <v>40453</v>
      </c>
      <c r="H30">
        <v>17</v>
      </c>
      <c r="I30" t="s">
        <v>13</v>
      </c>
      <c r="J30">
        <v>4</v>
      </c>
      <c r="K30">
        <v>1</v>
      </c>
      <c r="L30">
        <v>4</v>
      </c>
      <c r="M30">
        <v>1</v>
      </c>
      <c r="N30" t="s">
        <v>1926</v>
      </c>
      <c r="O30">
        <v>4</v>
      </c>
    </row>
    <row r="31" spans="1:15" x14ac:dyDescent="0.2">
      <c r="A31">
        <v>30</v>
      </c>
      <c r="B31" t="s">
        <v>74</v>
      </c>
      <c r="D31" t="s">
        <v>77</v>
      </c>
      <c r="E31" t="s">
        <v>77</v>
      </c>
      <c r="F31" s="24" t="s">
        <v>1953</v>
      </c>
      <c r="G31" s="23">
        <v>30584</v>
      </c>
      <c r="H31">
        <v>17</v>
      </c>
      <c r="I31" t="s">
        <v>78</v>
      </c>
      <c r="J31">
        <v>0</v>
      </c>
      <c r="K31">
        <v>1</v>
      </c>
      <c r="L31">
        <v>2</v>
      </c>
      <c r="M31">
        <v>0</v>
      </c>
      <c r="N31" t="s">
        <v>1928</v>
      </c>
      <c r="O31">
        <v>4</v>
      </c>
    </row>
    <row r="32" spans="1:15" x14ac:dyDescent="0.2">
      <c r="A32">
        <v>31</v>
      </c>
      <c r="B32" t="s">
        <v>79</v>
      </c>
      <c r="D32" t="s">
        <v>80</v>
      </c>
      <c r="E32" t="s">
        <v>80</v>
      </c>
      <c r="F32" s="24" t="s">
        <v>1952</v>
      </c>
      <c r="G32" s="23">
        <f t="shared" ca="1" si="0"/>
        <v>30803</v>
      </c>
      <c r="H32">
        <v>20</v>
      </c>
      <c r="I32" t="s">
        <v>81</v>
      </c>
      <c r="J32">
        <v>0</v>
      </c>
      <c r="K32">
        <v>1</v>
      </c>
      <c r="L32">
        <v>2</v>
      </c>
      <c r="M32">
        <v>0</v>
      </c>
      <c r="N32" t="s">
        <v>1912</v>
      </c>
      <c r="O32">
        <v>0</v>
      </c>
    </row>
    <row r="33" spans="1:15" x14ac:dyDescent="0.2">
      <c r="A33">
        <v>32</v>
      </c>
      <c r="B33" t="s">
        <v>73</v>
      </c>
      <c r="D33" t="s">
        <v>1951</v>
      </c>
      <c r="E33" t="s">
        <v>1951</v>
      </c>
      <c r="F33" s="24" t="s">
        <v>1954</v>
      </c>
      <c r="G33" s="23">
        <f t="shared" ca="1" si="0"/>
        <v>30362</v>
      </c>
      <c r="H33">
        <v>16</v>
      </c>
      <c r="I33" t="s">
        <v>81</v>
      </c>
      <c r="J33">
        <v>3</v>
      </c>
      <c r="K33">
        <v>1</v>
      </c>
      <c r="L33">
        <v>2</v>
      </c>
      <c r="M33">
        <v>0</v>
      </c>
      <c r="N33" t="s">
        <v>1912</v>
      </c>
      <c r="O33">
        <v>0</v>
      </c>
    </row>
    <row r="34" spans="1:15" x14ac:dyDescent="0.2">
      <c r="A34">
        <v>33</v>
      </c>
      <c r="B34" t="s">
        <v>64</v>
      </c>
      <c r="D34" t="s">
        <v>82</v>
      </c>
      <c r="E34" t="s">
        <v>82</v>
      </c>
      <c r="F34" s="24" t="s">
        <v>1955</v>
      </c>
      <c r="G34" s="23">
        <f t="shared" ca="1" si="0"/>
        <v>30845</v>
      </c>
      <c r="H34">
        <v>14</v>
      </c>
      <c r="I34" t="s">
        <v>81</v>
      </c>
      <c r="J34">
        <v>1</v>
      </c>
      <c r="K34">
        <v>1</v>
      </c>
      <c r="L34">
        <v>2</v>
      </c>
      <c r="M34">
        <v>0</v>
      </c>
      <c r="N34" t="s">
        <v>1912</v>
      </c>
      <c r="O34">
        <v>0</v>
      </c>
    </row>
    <row r="35" spans="1:15" x14ac:dyDescent="0.2">
      <c r="A35">
        <v>34</v>
      </c>
      <c r="B35" t="s">
        <v>83</v>
      </c>
      <c r="D35" t="s">
        <v>84</v>
      </c>
      <c r="E35" t="s">
        <v>84</v>
      </c>
      <c r="G35" s="23">
        <f t="shared" ca="1" si="0"/>
        <v>31247</v>
      </c>
      <c r="H35">
        <v>20</v>
      </c>
      <c r="I35" t="s">
        <v>78</v>
      </c>
      <c r="J35">
        <v>0</v>
      </c>
      <c r="K35">
        <v>1</v>
      </c>
      <c r="L35">
        <v>2</v>
      </c>
      <c r="M35">
        <v>0</v>
      </c>
      <c r="N35" t="s">
        <v>1912</v>
      </c>
      <c r="O35">
        <v>0</v>
      </c>
    </row>
    <row r="36" spans="1:15" x14ac:dyDescent="0.2">
      <c r="A36">
        <v>35</v>
      </c>
      <c r="B36" t="s">
        <v>50</v>
      </c>
      <c r="C36" t="s">
        <v>43</v>
      </c>
      <c r="D36" t="s">
        <v>85</v>
      </c>
      <c r="E36" t="s">
        <v>85</v>
      </c>
      <c r="G36" s="23">
        <f t="shared" ca="1" si="0"/>
        <v>31850</v>
      </c>
      <c r="H36">
        <v>20</v>
      </c>
      <c r="I36" t="s">
        <v>81</v>
      </c>
      <c r="J36">
        <v>2</v>
      </c>
      <c r="K36">
        <v>1</v>
      </c>
      <c r="L36">
        <v>2</v>
      </c>
      <c r="M36">
        <v>0</v>
      </c>
      <c r="N36" t="s">
        <v>1912</v>
      </c>
      <c r="O36">
        <v>0</v>
      </c>
    </row>
    <row r="37" spans="1:15" x14ac:dyDescent="0.2">
      <c r="A37">
        <v>36</v>
      </c>
      <c r="B37" t="s">
        <v>86</v>
      </c>
      <c r="C37" t="s">
        <v>27</v>
      </c>
      <c r="D37" t="s">
        <v>87</v>
      </c>
      <c r="E37" t="s">
        <v>87</v>
      </c>
      <c r="G37" s="23">
        <f t="shared" ca="1" si="0"/>
        <v>32501</v>
      </c>
      <c r="H37">
        <v>21</v>
      </c>
      <c r="I37" t="s">
        <v>81</v>
      </c>
      <c r="J37">
        <v>0</v>
      </c>
      <c r="K37">
        <v>1</v>
      </c>
      <c r="L37">
        <v>2</v>
      </c>
      <c r="M37">
        <v>0</v>
      </c>
      <c r="N37" t="s">
        <v>1912</v>
      </c>
      <c r="O37">
        <v>0</v>
      </c>
    </row>
    <row r="38" spans="1:15" x14ac:dyDescent="0.2">
      <c r="A38">
        <v>37</v>
      </c>
      <c r="B38" t="s">
        <v>53</v>
      </c>
      <c r="D38" t="s">
        <v>88</v>
      </c>
      <c r="E38" t="s">
        <v>88</v>
      </c>
      <c r="F38" t="s">
        <v>1711</v>
      </c>
      <c r="G38" s="23">
        <f t="shared" ca="1" si="0"/>
        <v>33341</v>
      </c>
      <c r="H38">
        <v>12</v>
      </c>
      <c r="I38" t="s">
        <v>78</v>
      </c>
      <c r="J38">
        <v>0</v>
      </c>
      <c r="K38">
        <v>6</v>
      </c>
      <c r="L38">
        <v>2</v>
      </c>
      <c r="M38">
        <v>0</v>
      </c>
      <c r="N38" t="s">
        <v>1912</v>
      </c>
      <c r="O38">
        <v>0</v>
      </c>
    </row>
    <row r="39" spans="1:15" x14ac:dyDescent="0.2">
      <c r="A39">
        <v>38</v>
      </c>
      <c r="B39" t="s">
        <v>1700</v>
      </c>
      <c r="D39" t="s">
        <v>1701</v>
      </c>
      <c r="E39" t="s">
        <v>1701</v>
      </c>
      <c r="G39" s="23">
        <f t="shared" ca="1" si="0"/>
        <v>34271</v>
      </c>
      <c r="H39">
        <v>18</v>
      </c>
      <c r="I39" t="s">
        <v>13</v>
      </c>
      <c r="J39">
        <v>4</v>
      </c>
      <c r="K39">
        <v>1</v>
      </c>
      <c r="L39">
        <v>2</v>
      </c>
      <c r="M39">
        <v>0</v>
      </c>
      <c r="N39" t="s">
        <v>1912</v>
      </c>
      <c r="O39">
        <v>0</v>
      </c>
    </row>
    <row r="40" spans="1:15" x14ac:dyDescent="0.2">
      <c r="A40">
        <v>39</v>
      </c>
      <c r="B40" t="s">
        <v>1700</v>
      </c>
      <c r="D40" t="s">
        <v>1702</v>
      </c>
      <c r="E40" t="s">
        <v>1702</v>
      </c>
      <c r="G40" s="23">
        <f t="shared" ca="1" si="0"/>
        <v>34016</v>
      </c>
      <c r="H40">
        <v>18</v>
      </c>
      <c r="I40" t="s">
        <v>13</v>
      </c>
      <c r="J40">
        <v>4</v>
      </c>
      <c r="K40">
        <v>1</v>
      </c>
      <c r="L40">
        <v>2</v>
      </c>
      <c r="M40">
        <v>0</v>
      </c>
      <c r="N40" t="s">
        <v>1912</v>
      </c>
      <c r="O40">
        <v>0</v>
      </c>
    </row>
    <row r="41" spans="1:15" x14ac:dyDescent="0.2">
      <c r="A41">
        <v>40</v>
      </c>
      <c r="B41" t="s">
        <v>1700</v>
      </c>
      <c r="D41" t="s">
        <v>1704</v>
      </c>
      <c r="E41" t="s">
        <v>1703</v>
      </c>
      <c r="G41" s="23">
        <f t="shared" ca="1" si="0"/>
        <v>34907</v>
      </c>
      <c r="H41">
        <v>18</v>
      </c>
      <c r="I41" t="s">
        <v>13</v>
      </c>
      <c r="J41">
        <v>3</v>
      </c>
      <c r="K41">
        <v>1</v>
      </c>
      <c r="L41">
        <v>2</v>
      </c>
      <c r="M41">
        <v>0</v>
      </c>
      <c r="N41" t="s">
        <v>1912</v>
      </c>
      <c r="O41">
        <v>0</v>
      </c>
    </row>
    <row r="42" spans="1:15" x14ac:dyDescent="0.2">
      <c r="A42">
        <v>41</v>
      </c>
      <c r="B42" t="s">
        <v>22</v>
      </c>
      <c r="C42" t="s">
        <v>23</v>
      </c>
      <c r="D42" t="s">
        <v>1719</v>
      </c>
      <c r="E42" t="s">
        <v>1719</v>
      </c>
      <c r="F42" t="s">
        <v>1708</v>
      </c>
      <c r="G42" s="23">
        <f t="shared" ca="1" si="0"/>
        <v>34223</v>
      </c>
      <c r="H42">
        <v>4</v>
      </c>
      <c r="I42" t="s">
        <v>1718</v>
      </c>
      <c r="J42">
        <v>0</v>
      </c>
      <c r="K42">
        <v>1</v>
      </c>
      <c r="L42">
        <v>2</v>
      </c>
      <c r="M42">
        <v>0</v>
      </c>
      <c r="N42" t="s">
        <v>1912</v>
      </c>
      <c r="O42">
        <v>0</v>
      </c>
    </row>
    <row r="43" spans="1:15" x14ac:dyDescent="0.2">
      <c r="A43">
        <v>42</v>
      </c>
      <c r="B43" t="s">
        <v>37</v>
      </c>
      <c r="D43" t="s">
        <v>1720</v>
      </c>
      <c r="E43" t="s">
        <v>1777</v>
      </c>
      <c r="F43" t="s">
        <v>1709</v>
      </c>
      <c r="G43" s="23">
        <f t="shared" ca="1" si="0"/>
        <v>35033</v>
      </c>
      <c r="H43">
        <v>9</v>
      </c>
      <c r="I43" t="s">
        <v>1718</v>
      </c>
      <c r="J43">
        <v>0</v>
      </c>
      <c r="K43">
        <v>1</v>
      </c>
      <c r="L43">
        <v>2</v>
      </c>
      <c r="M43">
        <v>0</v>
      </c>
      <c r="N43" t="s">
        <v>1912</v>
      </c>
      <c r="O43">
        <v>0</v>
      </c>
    </row>
    <row r="44" spans="1:15" x14ac:dyDescent="0.2">
      <c r="A44">
        <v>43</v>
      </c>
      <c r="B44" t="s">
        <v>37</v>
      </c>
      <c r="D44" t="s">
        <v>1728</v>
      </c>
      <c r="E44" t="s">
        <v>1776</v>
      </c>
      <c r="G44" s="23">
        <f t="shared" ca="1" si="0"/>
        <v>34019</v>
      </c>
      <c r="H44">
        <v>9</v>
      </c>
      <c r="I44" t="s">
        <v>1718</v>
      </c>
      <c r="J44">
        <v>0</v>
      </c>
      <c r="K44">
        <v>1</v>
      </c>
      <c r="M44">
        <v>0</v>
      </c>
      <c r="N44" t="s">
        <v>1912</v>
      </c>
      <c r="O44">
        <v>0</v>
      </c>
    </row>
    <row r="45" spans="1:15" x14ac:dyDescent="0.2">
      <c r="A45">
        <v>44</v>
      </c>
      <c r="B45" t="s">
        <v>42</v>
      </c>
      <c r="C45" t="s">
        <v>43</v>
      </c>
      <c r="D45" t="s">
        <v>1721</v>
      </c>
      <c r="E45" t="s">
        <v>1721</v>
      </c>
      <c r="F45" t="s">
        <v>1710</v>
      </c>
      <c r="G45" s="23">
        <f t="shared" ca="1" si="0"/>
        <v>34340</v>
      </c>
      <c r="H45">
        <v>10</v>
      </c>
      <c r="I45" t="s">
        <v>1718</v>
      </c>
      <c r="J45">
        <v>0</v>
      </c>
      <c r="K45">
        <v>1</v>
      </c>
      <c r="L45">
        <v>2</v>
      </c>
      <c r="M45">
        <v>0</v>
      </c>
      <c r="N45" t="s">
        <v>1912</v>
      </c>
      <c r="O45">
        <v>0</v>
      </c>
    </row>
    <row r="46" spans="1:15" x14ac:dyDescent="0.2">
      <c r="A46">
        <v>45</v>
      </c>
      <c r="B46" t="s">
        <v>58</v>
      </c>
      <c r="D46" t="s">
        <v>1722</v>
      </c>
      <c r="E46" t="s">
        <v>1722</v>
      </c>
      <c r="F46" t="s">
        <v>1712</v>
      </c>
      <c r="G46" s="23">
        <f t="shared" ca="1" si="0"/>
        <v>33431</v>
      </c>
      <c r="H46">
        <v>13</v>
      </c>
      <c r="I46" t="s">
        <v>1718</v>
      </c>
      <c r="J46">
        <v>0</v>
      </c>
      <c r="K46">
        <v>1</v>
      </c>
      <c r="L46">
        <v>2</v>
      </c>
      <c r="M46">
        <v>0</v>
      </c>
      <c r="N46" t="s">
        <v>1912</v>
      </c>
      <c r="O46">
        <v>0</v>
      </c>
    </row>
    <row r="47" spans="1:15" x14ac:dyDescent="0.2">
      <c r="A47">
        <v>46</v>
      </c>
      <c r="B47" t="s">
        <v>58</v>
      </c>
      <c r="D47" t="s">
        <v>1723</v>
      </c>
      <c r="E47" t="s">
        <v>1723</v>
      </c>
      <c r="F47" t="s">
        <v>1712</v>
      </c>
      <c r="G47" s="23">
        <f t="shared" ca="1" si="0"/>
        <v>33026</v>
      </c>
      <c r="H47">
        <v>13</v>
      </c>
      <c r="I47" t="s">
        <v>1718</v>
      </c>
      <c r="J47">
        <v>0</v>
      </c>
      <c r="K47">
        <v>1</v>
      </c>
      <c r="L47">
        <v>2</v>
      </c>
      <c r="M47">
        <v>0</v>
      </c>
      <c r="N47" t="s">
        <v>1912</v>
      </c>
      <c r="O47">
        <v>0</v>
      </c>
    </row>
    <row r="48" spans="1:15" x14ac:dyDescent="0.2">
      <c r="A48">
        <v>47</v>
      </c>
      <c r="B48" t="s">
        <v>64</v>
      </c>
      <c r="D48" t="s">
        <v>1724</v>
      </c>
      <c r="E48" t="s">
        <v>1724</v>
      </c>
      <c r="F48" t="s">
        <v>1713</v>
      </c>
      <c r="G48" s="23">
        <f t="shared" ca="1" si="0"/>
        <v>32081</v>
      </c>
      <c r="H48">
        <v>14</v>
      </c>
      <c r="I48" t="s">
        <v>1718</v>
      </c>
      <c r="J48">
        <v>0</v>
      </c>
      <c r="K48">
        <v>1</v>
      </c>
      <c r="L48">
        <v>2</v>
      </c>
      <c r="M48">
        <v>0</v>
      </c>
      <c r="N48" t="s">
        <v>1912</v>
      </c>
      <c r="O48">
        <v>0</v>
      </c>
    </row>
    <row r="49" spans="1:15" x14ac:dyDescent="0.2">
      <c r="A49">
        <v>48</v>
      </c>
      <c r="B49" t="s">
        <v>1700</v>
      </c>
      <c r="D49" t="s">
        <v>1725</v>
      </c>
      <c r="E49" t="s">
        <v>1725</v>
      </c>
      <c r="F49" t="s">
        <v>1714</v>
      </c>
      <c r="G49" s="23">
        <f t="shared" ca="1" si="0"/>
        <v>31676</v>
      </c>
      <c r="H49">
        <v>18</v>
      </c>
      <c r="I49" t="s">
        <v>1718</v>
      </c>
      <c r="J49">
        <v>0</v>
      </c>
      <c r="K49">
        <v>1</v>
      </c>
      <c r="L49">
        <v>2</v>
      </c>
      <c r="M49">
        <v>0</v>
      </c>
      <c r="N49" t="s">
        <v>1912</v>
      </c>
      <c r="O49">
        <v>0</v>
      </c>
    </row>
    <row r="50" spans="1:15" x14ac:dyDescent="0.2">
      <c r="A50">
        <v>49</v>
      </c>
      <c r="B50" t="s">
        <v>1726</v>
      </c>
      <c r="C50" t="s">
        <v>43</v>
      </c>
      <c r="D50" t="s">
        <v>1727</v>
      </c>
      <c r="E50" t="s">
        <v>1727</v>
      </c>
      <c r="F50" t="s">
        <v>1715</v>
      </c>
      <c r="G50" s="23">
        <f t="shared" ca="1" si="0"/>
        <v>31112</v>
      </c>
      <c r="H50">
        <v>22</v>
      </c>
      <c r="I50" t="s">
        <v>1718</v>
      </c>
      <c r="J50">
        <v>0</v>
      </c>
      <c r="K50">
        <v>1</v>
      </c>
      <c r="L50">
        <v>2</v>
      </c>
      <c r="M50">
        <v>0</v>
      </c>
      <c r="N50" t="s">
        <v>1912</v>
      </c>
      <c r="O50">
        <v>0</v>
      </c>
    </row>
    <row r="51" spans="1:15" x14ac:dyDescent="0.2">
      <c r="A51">
        <v>50</v>
      </c>
      <c r="B51" t="s">
        <v>64</v>
      </c>
      <c r="D51" t="s">
        <v>1728</v>
      </c>
      <c r="E51" t="s">
        <v>1728</v>
      </c>
      <c r="F51" t="s">
        <v>1716</v>
      </c>
      <c r="G51" s="23">
        <f t="shared" ca="1" si="0"/>
        <v>32195</v>
      </c>
      <c r="H51">
        <v>23</v>
      </c>
      <c r="I51" t="s">
        <v>1718</v>
      </c>
      <c r="J51">
        <v>0</v>
      </c>
      <c r="K51">
        <v>1</v>
      </c>
      <c r="L51">
        <v>2</v>
      </c>
      <c r="M51">
        <v>0</v>
      </c>
      <c r="N51" t="s">
        <v>1912</v>
      </c>
      <c r="O51">
        <v>0</v>
      </c>
    </row>
    <row r="52" spans="1:15" x14ac:dyDescent="0.2">
      <c r="A52">
        <v>51</v>
      </c>
      <c r="B52" t="s">
        <v>1912</v>
      </c>
      <c r="D52" t="s">
        <v>1912</v>
      </c>
      <c r="E52" t="s">
        <v>1912</v>
      </c>
      <c r="F52" t="s">
        <v>1717</v>
      </c>
      <c r="G52" s="23">
        <f t="shared" ca="1" si="0"/>
        <v>31187</v>
      </c>
      <c r="H52">
        <v>24</v>
      </c>
      <c r="I52" t="s">
        <v>1718</v>
      </c>
      <c r="J52">
        <v>0</v>
      </c>
      <c r="K52">
        <v>1</v>
      </c>
      <c r="L52">
        <v>2</v>
      </c>
      <c r="M52">
        <v>0</v>
      </c>
      <c r="N52" t="s">
        <v>1912</v>
      </c>
      <c r="O52">
        <v>0</v>
      </c>
    </row>
    <row r="53" spans="1:15" x14ac:dyDescent="0.2">
      <c r="A53">
        <v>52</v>
      </c>
      <c r="B53" t="s">
        <v>1775</v>
      </c>
      <c r="D53" t="s">
        <v>1728</v>
      </c>
      <c r="E53" t="s">
        <v>1728</v>
      </c>
      <c r="G53" s="23">
        <f t="shared" ca="1" si="0"/>
        <v>30971</v>
      </c>
      <c r="H53">
        <v>25</v>
      </c>
      <c r="I53" t="s">
        <v>1718</v>
      </c>
      <c r="J53">
        <v>0</v>
      </c>
      <c r="K53">
        <v>1</v>
      </c>
      <c r="M53">
        <v>0</v>
      </c>
      <c r="N53" t="s">
        <v>1912</v>
      </c>
      <c r="O53">
        <v>0</v>
      </c>
    </row>
    <row r="54" spans="1:15" x14ac:dyDescent="0.2">
      <c r="A54">
        <v>53</v>
      </c>
      <c r="B54" t="s">
        <v>1775</v>
      </c>
      <c r="D54" t="s">
        <v>1778</v>
      </c>
      <c r="E54" t="s">
        <v>1778</v>
      </c>
      <c r="G54" s="23">
        <f t="shared" ca="1" si="0"/>
        <v>30710</v>
      </c>
      <c r="H54">
        <v>25</v>
      </c>
      <c r="I54" t="s">
        <v>13</v>
      </c>
      <c r="J54">
        <v>3</v>
      </c>
      <c r="K54">
        <v>1</v>
      </c>
      <c r="M54">
        <v>1</v>
      </c>
      <c r="N54" t="s">
        <v>1912</v>
      </c>
      <c r="O54">
        <v>0</v>
      </c>
    </row>
    <row r="55" spans="1:15" x14ac:dyDescent="0.2">
      <c r="A55">
        <v>54</v>
      </c>
      <c r="B55" t="s">
        <v>1700</v>
      </c>
      <c r="E55" t="s">
        <v>1914</v>
      </c>
      <c r="G55" s="23">
        <f t="shared" ca="1" si="0"/>
        <v>30323</v>
      </c>
      <c r="H55">
        <v>18</v>
      </c>
      <c r="I55" t="s">
        <v>13</v>
      </c>
      <c r="J55">
        <v>1</v>
      </c>
      <c r="K55">
        <v>1</v>
      </c>
      <c r="M55">
        <v>1</v>
      </c>
      <c r="N55" t="s">
        <v>1912</v>
      </c>
      <c r="O55">
        <v>0</v>
      </c>
    </row>
    <row r="56" spans="1:15" x14ac:dyDescent="0.2">
      <c r="A56">
        <v>55</v>
      </c>
      <c r="B56" t="s">
        <v>1700</v>
      </c>
      <c r="D56" t="s">
        <v>1915</v>
      </c>
      <c r="E56" t="s">
        <v>1915</v>
      </c>
      <c r="G56" s="23">
        <f t="shared" ca="1" si="0"/>
        <v>31223</v>
      </c>
      <c r="H56">
        <v>18</v>
      </c>
      <c r="I56" t="s">
        <v>13</v>
      </c>
      <c r="J56">
        <v>2</v>
      </c>
      <c r="K56">
        <v>1</v>
      </c>
      <c r="M56">
        <v>1</v>
      </c>
      <c r="N56" t="s">
        <v>1912</v>
      </c>
      <c r="O56">
        <v>0</v>
      </c>
    </row>
    <row r="57" spans="1:15" x14ac:dyDescent="0.2">
      <c r="A57">
        <v>56</v>
      </c>
      <c r="B57" t="s">
        <v>1917</v>
      </c>
      <c r="E57" t="s">
        <v>1916</v>
      </c>
      <c r="G57" s="23">
        <f t="shared" ca="1" si="0"/>
        <v>30725</v>
      </c>
      <c r="H57">
        <v>26</v>
      </c>
      <c r="I57" t="s">
        <v>13</v>
      </c>
      <c r="J57">
        <v>1</v>
      </c>
      <c r="K57">
        <v>6</v>
      </c>
      <c r="L57">
        <v>1</v>
      </c>
      <c r="M57">
        <v>1</v>
      </c>
      <c r="N57" t="s">
        <v>1912</v>
      </c>
      <c r="O57">
        <v>0</v>
      </c>
    </row>
    <row r="58" spans="1:15" x14ac:dyDescent="0.2">
      <c r="A58">
        <v>57</v>
      </c>
      <c r="B58" t="s">
        <v>42</v>
      </c>
      <c r="C58" t="s">
        <v>43</v>
      </c>
      <c r="E58" t="s">
        <v>1918</v>
      </c>
      <c r="G58" s="23">
        <f t="shared" ca="1" si="0"/>
        <v>30311</v>
      </c>
      <c r="H58">
        <v>10</v>
      </c>
      <c r="I58" t="s">
        <v>13</v>
      </c>
      <c r="J58">
        <v>1</v>
      </c>
      <c r="K58">
        <v>1</v>
      </c>
      <c r="M58">
        <v>1</v>
      </c>
      <c r="N58" t="s">
        <v>1912</v>
      </c>
      <c r="O58">
        <v>0</v>
      </c>
    </row>
    <row r="59" spans="1:15" x14ac:dyDescent="0.2">
      <c r="A59">
        <v>58</v>
      </c>
      <c r="B59" t="s">
        <v>29</v>
      </c>
      <c r="D59" t="s">
        <v>1919</v>
      </c>
      <c r="E59" t="s">
        <v>1919</v>
      </c>
      <c r="G59" s="23">
        <f t="shared" ca="1" si="0"/>
        <v>29705</v>
      </c>
      <c r="H59">
        <v>6</v>
      </c>
      <c r="I59" t="s">
        <v>13</v>
      </c>
      <c r="J59">
        <v>3</v>
      </c>
      <c r="K59">
        <v>1</v>
      </c>
      <c r="L59">
        <v>2</v>
      </c>
      <c r="M59">
        <v>2</v>
      </c>
      <c r="N59" t="s">
        <v>1912</v>
      </c>
      <c r="O59">
        <v>0</v>
      </c>
    </row>
    <row r="60" spans="1:15" x14ac:dyDescent="0.2">
      <c r="A60">
        <v>59</v>
      </c>
      <c r="B60" t="s">
        <v>1950</v>
      </c>
      <c r="C60" t="s">
        <v>1956</v>
      </c>
      <c r="D60" t="s">
        <v>1940</v>
      </c>
      <c r="E60" t="s">
        <v>1940</v>
      </c>
      <c r="G60" s="23">
        <f t="shared" ca="1" si="0"/>
        <v>29705</v>
      </c>
      <c r="H60">
        <v>27</v>
      </c>
      <c r="I60" t="s">
        <v>13</v>
      </c>
      <c r="J60">
        <v>3</v>
      </c>
      <c r="K60">
        <v>1</v>
      </c>
    </row>
    <row r="61" spans="1:15" x14ac:dyDescent="0.2">
      <c r="A61">
        <v>60</v>
      </c>
      <c r="B61" t="s">
        <v>1950</v>
      </c>
      <c r="C61" t="s">
        <v>1956</v>
      </c>
      <c r="D61" t="s">
        <v>1941</v>
      </c>
      <c r="E61" t="s">
        <v>1941</v>
      </c>
      <c r="G61" s="23">
        <f t="shared" ca="1" si="0"/>
        <v>30683</v>
      </c>
      <c r="H61">
        <v>27</v>
      </c>
      <c r="I61" t="s">
        <v>13</v>
      </c>
      <c r="J61">
        <v>2</v>
      </c>
      <c r="K61">
        <v>1</v>
      </c>
    </row>
  </sheetData>
  <autoFilter ref="A1:O61" xr:uid="{00000000-0001-0000-0000-000000000000}"/>
  <hyperlinks>
    <hyperlink ref="F31" r:id="rId1" xr:uid="{22CC679D-F313-3F46-8E80-980A462C2EE0}"/>
    <hyperlink ref="F32" r:id="rId2" xr:uid="{5FE7ED23-2369-C147-A04B-F1960D55CCB2}"/>
    <hyperlink ref="F33" r:id="rId3" xr:uid="{880877DD-B504-594D-81EF-80F3EFC89421}"/>
    <hyperlink ref="F34" r:id="rId4" xr:uid="{6E1AC49E-8077-8249-9EA2-1C9F692FC45D}"/>
  </hyperlinks>
  <pageMargins left="0.7" right="0.7" top="0.75" bottom="0.75" header="0.3" footer="0.3"/>
  <pageSetup paperSize="9" orientation="portrait" horizontalDpi="0" verticalDpi="0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zoomScale="222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5" sqref="A15"/>
    </sheetView>
  </sheetViews>
  <sheetFormatPr baseColWidth="10" defaultColWidth="11.5" defaultRowHeight="15" x14ac:dyDescent="0.2"/>
  <cols>
    <col min="1" max="1" width="3.1640625" bestFit="1" customWidth="1"/>
    <col min="4" max="4" width="24.83203125" bestFit="1" customWidth="1"/>
    <col min="5" max="5" width="24.83203125" customWidth="1"/>
    <col min="6" max="6" width="18.1640625" bestFit="1" customWidth="1"/>
  </cols>
  <sheetData>
    <row r="1" spans="1:7" x14ac:dyDescent="0.2">
      <c r="A1" s="3" t="s">
        <v>0</v>
      </c>
      <c r="B1" s="3" t="s">
        <v>89</v>
      </c>
      <c r="C1" s="3" t="s">
        <v>90</v>
      </c>
      <c r="D1" s="3" t="s">
        <v>91</v>
      </c>
      <c r="E1" s="3" t="s">
        <v>1774</v>
      </c>
      <c r="F1" s="3" t="s">
        <v>92</v>
      </c>
      <c r="G1" s="3" t="s">
        <v>1783</v>
      </c>
    </row>
    <row r="2" spans="1:7" x14ac:dyDescent="0.2">
      <c r="A2">
        <v>1</v>
      </c>
      <c r="B2">
        <v>57</v>
      </c>
      <c r="C2" s="7">
        <v>45159</v>
      </c>
      <c r="D2" t="s">
        <v>1938</v>
      </c>
      <c r="E2" t="s">
        <v>1782</v>
      </c>
      <c r="G2">
        <v>1</v>
      </c>
    </row>
    <row r="3" spans="1:7" x14ac:dyDescent="0.2">
      <c r="A3">
        <v>2</v>
      </c>
      <c r="B3">
        <v>56</v>
      </c>
      <c r="C3" s="7">
        <v>45159</v>
      </c>
      <c r="D3" t="s">
        <v>1938</v>
      </c>
      <c r="E3" t="s">
        <v>1782</v>
      </c>
      <c r="G3">
        <v>1</v>
      </c>
    </row>
    <row r="4" spans="1:7" x14ac:dyDescent="0.2">
      <c r="A4">
        <v>3</v>
      </c>
      <c r="B4">
        <v>9</v>
      </c>
      <c r="C4" s="7">
        <v>45108</v>
      </c>
      <c r="D4" t="s">
        <v>93</v>
      </c>
      <c r="F4" t="s">
        <v>1942</v>
      </c>
      <c r="G4">
        <v>-1</v>
      </c>
    </row>
    <row r="5" spans="1:7" x14ac:dyDescent="0.2">
      <c r="A5">
        <v>4</v>
      </c>
      <c r="B5">
        <v>58</v>
      </c>
      <c r="C5" s="7">
        <v>45108</v>
      </c>
      <c r="D5" t="s">
        <v>93</v>
      </c>
      <c r="F5" t="s">
        <v>1942</v>
      </c>
      <c r="G5">
        <v>-1</v>
      </c>
    </row>
    <row r="6" spans="1:7" x14ac:dyDescent="0.2">
      <c r="A6">
        <v>5</v>
      </c>
      <c r="B6">
        <v>28</v>
      </c>
      <c r="C6" s="7">
        <v>45108</v>
      </c>
      <c r="D6" t="s">
        <v>1773</v>
      </c>
      <c r="G6">
        <v>-1</v>
      </c>
    </row>
    <row r="7" spans="1:7" x14ac:dyDescent="0.2">
      <c r="A7">
        <v>6</v>
      </c>
      <c r="B7">
        <v>1</v>
      </c>
      <c r="C7" s="7">
        <v>45108</v>
      </c>
      <c r="D7" t="s">
        <v>1939</v>
      </c>
      <c r="G7">
        <v>-1</v>
      </c>
    </row>
    <row r="8" spans="1:7" x14ac:dyDescent="0.2">
      <c r="A8">
        <v>7</v>
      </c>
      <c r="B8">
        <v>29</v>
      </c>
      <c r="C8" s="7">
        <v>45159</v>
      </c>
      <c r="D8" t="s">
        <v>1779</v>
      </c>
      <c r="E8" t="s">
        <v>1780</v>
      </c>
      <c r="G8">
        <v>0</v>
      </c>
    </row>
    <row r="9" spans="1:7" x14ac:dyDescent="0.2">
      <c r="A9">
        <v>8</v>
      </c>
      <c r="B9">
        <v>39</v>
      </c>
      <c r="C9" s="7">
        <v>45159</v>
      </c>
      <c r="D9" t="s">
        <v>1779</v>
      </c>
      <c r="E9" t="s">
        <v>1780</v>
      </c>
      <c r="G9">
        <v>0</v>
      </c>
    </row>
    <row r="10" spans="1:7" x14ac:dyDescent="0.2">
      <c r="A10">
        <v>9</v>
      </c>
      <c r="B10">
        <v>24</v>
      </c>
      <c r="C10" s="7">
        <v>45159</v>
      </c>
      <c r="D10" t="s">
        <v>1779</v>
      </c>
      <c r="E10" t="s">
        <v>1780</v>
      </c>
      <c r="G10">
        <v>0</v>
      </c>
    </row>
    <row r="11" spans="1:7" x14ac:dyDescent="0.2">
      <c r="A11">
        <v>10</v>
      </c>
      <c r="B11">
        <v>5</v>
      </c>
      <c r="C11" s="7">
        <v>45159</v>
      </c>
      <c r="D11" t="s">
        <v>1779</v>
      </c>
      <c r="E11" t="s">
        <v>1780</v>
      </c>
      <c r="G11">
        <v>0</v>
      </c>
    </row>
    <row r="12" spans="1:7" x14ac:dyDescent="0.2">
      <c r="A12">
        <v>11</v>
      </c>
      <c r="B12">
        <v>59</v>
      </c>
      <c r="C12" s="7">
        <v>45159</v>
      </c>
      <c r="D12" t="s">
        <v>1779</v>
      </c>
      <c r="E12" t="s">
        <v>1781</v>
      </c>
      <c r="G12">
        <v>0</v>
      </c>
    </row>
    <row r="13" spans="1:7" x14ac:dyDescent="0.2">
      <c r="A13">
        <v>12</v>
      </c>
      <c r="B13">
        <v>6</v>
      </c>
      <c r="C13" s="7">
        <v>45108</v>
      </c>
      <c r="D13" t="s">
        <v>93</v>
      </c>
      <c r="F13" t="s">
        <v>1943</v>
      </c>
      <c r="G13">
        <v>-1</v>
      </c>
    </row>
    <row r="14" spans="1:7" x14ac:dyDescent="0.2">
      <c r="A14">
        <v>13</v>
      </c>
      <c r="B14">
        <v>7</v>
      </c>
      <c r="C14" s="7">
        <v>45108</v>
      </c>
      <c r="D14" t="s">
        <v>93</v>
      </c>
      <c r="F14" t="s">
        <v>1943</v>
      </c>
      <c r="G14">
        <v>-1</v>
      </c>
    </row>
  </sheetData>
  <autoFilter ref="A1:G15" xr:uid="{00000000-0001-0000-01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C40E-844D-624F-9242-2E76F924AAB9}">
  <dimension ref="A1:C8"/>
  <sheetViews>
    <sheetView zoomScale="286" workbookViewId="0">
      <selection activeCell="C2" sqref="C2"/>
    </sheetView>
  </sheetViews>
  <sheetFormatPr baseColWidth="10" defaultRowHeight="15" x14ac:dyDescent="0.2"/>
  <cols>
    <col min="2" max="2" width="37" bestFit="1" customWidth="1"/>
  </cols>
  <sheetData>
    <row r="1" spans="1:3" x14ac:dyDescent="0.2">
      <c r="A1" s="3" t="s">
        <v>0</v>
      </c>
      <c r="B1" s="3" t="s">
        <v>1929</v>
      </c>
      <c r="C1" s="3" t="s">
        <v>1803</v>
      </c>
    </row>
    <row r="2" spans="1:3" x14ac:dyDescent="0.2">
      <c r="A2">
        <v>0</v>
      </c>
      <c r="B2" t="s">
        <v>1912</v>
      </c>
    </row>
    <row r="3" spans="1:3" x14ac:dyDescent="0.2">
      <c r="A3">
        <v>1</v>
      </c>
      <c r="B3" t="s">
        <v>1931</v>
      </c>
      <c r="C3" t="s">
        <v>1930</v>
      </c>
    </row>
    <row r="4" spans="1:3" x14ac:dyDescent="0.2">
      <c r="A4">
        <v>2</v>
      </c>
      <c r="B4" t="s">
        <v>1932</v>
      </c>
    </row>
    <row r="5" spans="1:3" x14ac:dyDescent="0.2">
      <c r="A5">
        <v>3</v>
      </c>
      <c r="B5" t="s">
        <v>1933</v>
      </c>
    </row>
    <row r="6" spans="1:3" x14ac:dyDescent="0.2">
      <c r="A6">
        <v>4</v>
      </c>
      <c r="B6" t="s">
        <v>1934</v>
      </c>
    </row>
    <row r="7" spans="1:3" x14ac:dyDescent="0.2">
      <c r="A7">
        <v>5</v>
      </c>
      <c r="B7" t="s">
        <v>1935</v>
      </c>
    </row>
    <row r="8" spans="1:3" x14ac:dyDescent="0.2">
      <c r="A8">
        <v>6</v>
      </c>
      <c r="B8" t="s">
        <v>1936</v>
      </c>
      <c r="C8" t="s">
        <v>1937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14A6-F69E-6547-A945-9D03AA5119C9}">
  <dimension ref="A1:C8"/>
  <sheetViews>
    <sheetView zoomScale="228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5" sqref="B5"/>
    </sheetView>
  </sheetViews>
  <sheetFormatPr baseColWidth="10" defaultRowHeight="15" x14ac:dyDescent="0.2"/>
  <cols>
    <col min="2" max="2" width="17" bestFit="1" customWidth="1"/>
  </cols>
  <sheetData>
    <row r="1" spans="1:3" x14ac:dyDescent="0.2">
      <c r="A1" s="3" t="s">
        <v>0</v>
      </c>
      <c r="B1" s="3" t="s">
        <v>142</v>
      </c>
      <c r="C1" s="3" t="s">
        <v>1803</v>
      </c>
    </row>
    <row r="2" spans="1:3" x14ac:dyDescent="0.2">
      <c r="A2">
        <v>1</v>
      </c>
      <c r="B2" t="s">
        <v>1920</v>
      </c>
    </row>
    <row r="3" spans="1:3" x14ac:dyDescent="0.2">
      <c r="A3">
        <v>2</v>
      </c>
      <c r="B3" t="s">
        <v>190</v>
      </c>
    </row>
    <row r="4" spans="1:3" x14ac:dyDescent="0.2">
      <c r="A4">
        <v>3</v>
      </c>
      <c r="B4" t="s">
        <v>1921</v>
      </c>
    </row>
    <row r="5" spans="1:3" x14ac:dyDescent="0.2">
      <c r="A5">
        <v>4</v>
      </c>
      <c r="B5" t="s">
        <v>1922</v>
      </c>
    </row>
    <row r="6" spans="1:3" x14ac:dyDescent="0.2">
      <c r="A6">
        <v>5</v>
      </c>
      <c r="B6" t="s">
        <v>1923</v>
      </c>
      <c r="C6" t="s">
        <v>1924</v>
      </c>
    </row>
    <row r="7" spans="1:3" x14ac:dyDescent="0.2">
      <c r="A7">
        <v>6</v>
      </c>
    </row>
    <row r="8" spans="1:3" x14ac:dyDescent="0.2">
      <c r="A8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zoomScale="212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1.5" defaultRowHeight="15" x14ac:dyDescent="0.2"/>
  <cols>
    <col min="1" max="1" width="3.1640625" bestFit="1" customWidth="1"/>
    <col min="2" max="2" width="15.6640625" bestFit="1" customWidth="1"/>
    <col min="3" max="3" width="23.5" bestFit="1" customWidth="1"/>
    <col min="4" max="4" width="14.83203125" bestFit="1" customWidth="1"/>
    <col min="6" max="6" width="17.1640625" bestFit="1" customWidth="1"/>
    <col min="7" max="7" width="16.1640625" bestFit="1" customWidth="1"/>
  </cols>
  <sheetData>
    <row r="1" spans="1:7" x14ac:dyDescent="0.2">
      <c r="A1" s="3" t="s">
        <v>0</v>
      </c>
      <c r="B1" s="15" t="s">
        <v>1925</v>
      </c>
      <c r="C1" s="3" t="s">
        <v>99</v>
      </c>
      <c r="D1" s="3" t="s">
        <v>100</v>
      </c>
      <c r="E1" s="3" t="s">
        <v>101</v>
      </c>
      <c r="F1" s="3" t="s">
        <v>102</v>
      </c>
      <c r="G1" s="3" t="s">
        <v>103</v>
      </c>
    </row>
    <row r="2" spans="1:7" x14ac:dyDescent="0.2">
      <c r="A2">
        <v>1</v>
      </c>
      <c r="B2" s="16" t="s">
        <v>11</v>
      </c>
      <c r="C2" t="s">
        <v>104</v>
      </c>
      <c r="D2">
        <v>95</v>
      </c>
      <c r="E2" t="s">
        <v>1730</v>
      </c>
      <c r="F2" t="s">
        <v>1729</v>
      </c>
      <c r="G2" s="17">
        <v>44951</v>
      </c>
    </row>
    <row r="3" spans="1:7" x14ac:dyDescent="0.2">
      <c r="A3">
        <v>2</v>
      </c>
      <c r="B3" s="16" t="s">
        <v>17</v>
      </c>
      <c r="C3" t="s">
        <v>105</v>
      </c>
      <c r="D3">
        <v>41</v>
      </c>
      <c r="E3" t="s">
        <v>1731</v>
      </c>
      <c r="F3" t="s">
        <v>124</v>
      </c>
      <c r="G3" s="17">
        <v>44951</v>
      </c>
    </row>
    <row r="4" spans="1:7" x14ac:dyDescent="0.2">
      <c r="A4">
        <v>3</v>
      </c>
      <c r="B4" s="16" t="s">
        <v>20</v>
      </c>
      <c r="C4" t="s">
        <v>106</v>
      </c>
      <c r="D4">
        <v>46</v>
      </c>
      <c r="E4" t="s">
        <v>1732</v>
      </c>
      <c r="F4" t="s">
        <v>1746</v>
      </c>
      <c r="G4" s="17">
        <v>44951</v>
      </c>
    </row>
    <row r="5" spans="1:7" x14ac:dyDescent="0.2">
      <c r="A5">
        <v>4</v>
      </c>
      <c r="B5" s="16" t="s">
        <v>22</v>
      </c>
      <c r="C5" t="s">
        <v>107</v>
      </c>
      <c r="D5">
        <v>10</v>
      </c>
      <c r="E5" t="s">
        <v>1733</v>
      </c>
      <c r="F5" t="s">
        <v>1747</v>
      </c>
      <c r="G5" s="17">
        <v>44951</v>
      </c>
    </row>
    <row r="6" spans="1:7" x14ac:dyDescent="0.2">
      <c r="A6">
        <v>5</v>
      </c>
      <c r="B6" s="16" t="s">
        <v>26</v>
      </c>
      <c r="C6" t="s">
        <v>108</v>
      </c>
      <c r="D6">
        <v>85</v>
      </c>
      <c r="E6" t="s">
        <v>1734</v>
      </c>
      <c r="F6" t="s">
        <v>1748</v>
      </c>
      <c r="G6" s="17">
        <v>44951</v>
      </c>
    </row>
    <row r="7" spans="1:7" x14ac:dyDescent="0.2">
      <c r="A7">
        <v>6</v>
      </c>
      <c r="B7" s="16" t="s">
        <v>29</v>
      </c>
      <c r="C7" t="s">
        <v>109</v>
      </c>
      <c r="D7">
        <v>73</v>
      </c>
      <c r="E7" t="s">
        <v>1735</v>
      </c>
      <c r="F7" t="s">
        <v>1748</v>
      </c>
      <c r="G7" s="17">
        <v>44951</v>
      </c>
    </row>
    <row r="8" spans="1:7" x14ac:dyDescent="0.2">
      <c r="A8">
        <v>7</v>
      </c>
      <c r="B8" s="16" t="s">
        <v>31</v>
      </c>
      <c r="C8" t="s">
        <v>110</v>
      </c>
      <c r="D8">
        <v>96</v>
      </c>
      <c r="E8" t="s">
        <v>1736</v>
      </c>
      <c r="F8" t="s">
        <v>1749</v>
      </c>
      <c r="G8" s="17">
        <v>44951</v>
      </c>
    </row>
    <row r="9" spans="1:7" x14ac:dyDescent="0.2">
      <c r="A9">
        <v>8</v>
      </c>
      <c r="B9" s="16" t="s">
        <v>34</v>
      </c>
      <c r="C9" t="s">
        <v>111</v>
      </c>
      <c r="D9">
        <v>11</v>
      </c>
      <c r="E9" t="s">
        <v>1737</v>
      </c>
      <c r="F9" t="s">
        <v>1750</v>
      </c>
      <c r="G9" s="17">
        <v>44951</v>
      </c>
    </row>
    <row r="10" spans="1:7" x14ac:dyDescent="0.2">
      <c r="A10">
        <v>9</v>
      </c>
      <c r="B10" s="16" t="s">
        <v>37</v>
      </c>
      <c r="C10" t="s">
        <v>112</v>
      </c>
      <c r="D10">
        <v>45</v>
      </c>
      <c r="E10" t="s">
        <v>1738</v>
      </c>
      <c r="F10" t="s">
        <v>124</v>
      </c>
      <c r="G10" s="17">
        <v>44951</v>
      </c>
    </row>
    <row r="11" spans="1:7" x14ac:dyDescent="0.2">
      <c r="A11">
        <v>10</v>
      </c>
      <c r="B11" s="16" t="s">
        <v>42</v>
      </c>
      <c r="C11" t="s">
        <v>113</v>
      </c>
      <c r="D11">
        <v>59</v>
      </c>
      <c r="E11" t="s">
        <v>1739</v>
      </c>
      <c r="F11" t="s">
        <v>1751</v>
      </c>
      <c r="G11" s="17">
        <v>44951</v>
      </c>
    </row>
    <row r="12" spans="1:7" x14ac:dyDescent="0.2">
      <c r="A12">
        <v>11</v>
      </c>
      <c r="B12" s="16" t="s">
        <v>50</v>
      </c>
      <c r="C12" t="s">
        <v>114</v>
      </c>
      <c r="D12">
        <v>73</v>
      </c>
      <c r="E12" t="s">
        <v>1740</v>
      </c>
      <c r="F12" t="s">
        <v>1752</v>
      </c>
      <c r="G12" s="17">
        <v>44951</v>
      </c>
    </row>
    <row r="13" spans="1:7" x14ac:dyDescent="0.2">
      <c r="A13">
        <v>12</v>
      </c>
      <c r="B13" s="16" t="s">
        <v>53</v>
      </c>
      <c r="C13" t="s">
        <v>115</v>
      </c>
      <c r="D13">
        <v>50</v>
      </c>
      <c r="E13" t="s">
        <v>1741</v>
      </c>
      <c r="F13" t="s">
        <v>1752</v>
      </c>
      <c r="G13" s="17">
        <v>44951</v>
      </c>
    </row>
    <row r="14" spans="1:7" x14ac:dyDescent="0.2">
      <c r="A14">
        <v>13</v>
      </c>
      <c r="B14" s="16" t="s">
        <v>58</v>
      </c>
      <c r="C14" t="s">
        <v>116</v>
      </c>
      <c r="D14">
        <v>51</v>
      </c>
      <c r="E14" t="s">
        <v>1742</v>
      </c>
      <c r="F14" t="s">
        <v>1746</v>
      </c>
      <c r="G14" s="17">
        <v>44951</v>
      </c>
    </row>
    <row r="15" spans="1:7" x14ac:dyDescent="0.2">
      <c r="A15">
        <v>14</v>
      </c>
      <c r="B15" s="16" t="s">
        <v>64</v>
      </c>
      <c r="C15" t="s">
        <v>117</v>
      </c>
      <c r="D15">
        <v>79</v>
      </c>
      <c r="E15" t="s">
        <v>1743</v>
      </c>
      <c r="F15" t="s">
        <v>118</v>
      </c>
      <c r="G15" s="17">
        <v>44951</v>
      </c>
    </row>
    <row r="16" spans="1:7" x14ac:dyDescent="0.2">
      <c r="A16">
        <v>15</v>
      </c>
      <c r="B16" s="16" t="s">
        <v>68</v>
      </c>
      <c r="C16" t="s">
        <v>119</v>
      </c>
      <c r="D16">
        <v>22</v>
      </c>
      <c r="E16" t="s">
        <v>1744</v>
      </c>
      <c r="F16" t="s">
        <v>118</v>
      </c>
      <c r="G16" s="17">
        <v>44951</v>
      </c>
    </row>
    <row r="17" spans="1:7" x14ac:dyDescent="0.2">
      <c r="A17">
        <v>16</v>
      </c>
      <c r="B17" s="16" t="s">
        <v>73</v>
      </c>
      <c r="C17" t="s">
        <v>120</v>
      </c>
      <c r="D17">
        <v>77</v>
      </c>
      <c r="E17" t="s">
        <v>1745</v>
      </c>
      <c r="F17" t="s">
        <v>121</v>
      </c>
      <c r="G17" s="17">
        <v>44951</v>
      </c>
    </row>
    <row r="18" spans="1:7" x14ac:dyDescent="0.2">
      <c r="A18">
        <v>17</v>
      </c>
      <c r="B18" s="16" t="s">
        <v>74</v>
      </c>
      <c r="C18" t="s">
        <v>122</v>
      </c>
      <c r="D18">
        <v>29</v>
      </c>
      <c r="E18" t="s">
        <v>123</v>
      </c>
      <c r="F18" t="s">
        <v>124</v>
      </c>
      <c r="G18" s="17">
        <v>44951</v>
      </c>
    </row>
    <row r="19" spans="1:7" x14ac:dyDescent="0.2">
      <c r="A19">
        <v>18</v>
      </c>
      <c r="B19" s="16" t="s">
        <v>1700</v>
      </c>
      <c r="C19" t="s">
        <v>1784</v>
      </c>
      <c r="D19">
        <v>29</v>
      </c>
      <c r="E19" t="s">
        <v>123</v>
      </c>
      <c r="F19" t="s">
        <v>124</v>
      </c>
      <c r="G19" s="17">
        <v>44951</v>
      </c>
    </row>
    <row r="20" spans="1:7" x14ac:dyDescent="0.2">
      <c r="A20">
        <v>19</v>
      </c>
      <c r="B20" s="16" t="s">
        <v>1775</v>
      </c>
      <c r="C20" t="s">
        <v>1785</v>
      </c>
      <c r="D20">
        <v>29</v>
      </c>
      <c r="E20" t="s">
        <v>123</v>
      </c>
      <c r="F20" t="s">
        <v>124</v>
      </c>
      <c r="G20" s="17">
        <v>44951</v>
      </c>
    </row>
    <row r="21" spans="1:7" x14ac:dyDescent="0.2">
      <c r="A21">
        <v>20</v>
      </c>
      <c r="B21" s="16" t="s">
        <v>79</v>
      </c>
      <c r="C21" t="s">
        <v>1913</v>
      </c>
    </row>
  </sheetData>
  <autoFilter ref="A1:G18" xr:uid="{00000000-0009-0000-0000-000003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AA69-1413-4D4C-8832-6C4A62927418}">
  <dimension ref="A1:J1001"/>
  <sheetViews>
    <sheetView zoomScale="164" workbookViewId="0">
      <pane xSplit="2" ySplit="1" topLeftCell="C844" activePane="bottomRight" state="frozen"/>
      <selection pane="topRight" activeCell="C1" sqref="C1"/>
      <selection pane="bottomLeft" activeCell="A2" sqref="A2"/>
      <selection pane="bottomRight" activeCell="I869" sqref="I869"/>
    </sheetView>
  </sheetViews>
  <sheetFormatPr baseColWidth="10" defaultRowHeight="15" x14ac:dyDescent="0.2"/>
  <cols>
    <col min="7" max="7" width="14.6640625" bestFit="1" customWidth="1"/>
  </cols>
  <sheetData>
    <row r="1" spans="1:10" x14ac:dyDescent="0.2">
      <c r="A1" s="3" t="s">
        <v>0</v>
      </c>
      <c r="B1" s="3" t="s">
        <v>90</v>
      </c>
      <c r="C1" s="3" t="s">
        <v>1801</v>
      </c>
      <c r="D1" s="3" t="s">
        <v>1800</v>
      </c>
      <c r="E1" s="3" t="s">
        <v>1946</v>
      </c>
      <c r="F1" s="3" t="s">
        <v>1802</v>
      </c>
      <c r="G1" s="3" t="s">
        <v>1803</v>
      </c>
      <c r="H1" s="3" t="s">
        <v>1647</v>
      </c>
      <c r="I1" s="3" t="s">
        <v>1949</v>
      </c>
      <c r="J1" s="3" t="s">
        <v>1948</v>
      </c>
    </row>
    <row r="2" spans="1:10" x14ac:dyDescent="0.2">
      <c r="A2">
        <v>1</v>
      </c>
      <c r="B2" s="23">
        <v>44792</v>
      </c>
      <c r="C2">
        <f t="shared" ref="C2:C12" si="0">IF(OR(WEEKDAY(B2) = 7, WEEKDAY(B2) = 1), 1, 0)</f>
        <v>0</v>
      </c>
      <c r="D2">
        <v>1</v>
      </c>
      <c r="E2">
        <f t="shared" ref="E2:E11" si="1">IF((C2+D2)&gt;0, 1, 0)</f>
        <v>1</v>
      </c>
      <c r="F2" t="str">
        <f t="shared" ref="F2:F11" si="2">TEXT(B2, "dddd")</f>
        <v>Friday</v>
      </c>
      <c r="G2" t="s">
        <v>1947</v>
      </c>
      <c r="H2">
        <v>5</v>
      </c>
      <c r="I2">
        <v>5</v>
      </c>
      <c r="J2">
        <f>_xlfn.ISOWEEKNUM(B2)</f>
        <v>33</v>
      </c>
    </row>
    <row r="3" spans="1:10" x14ac:dyDescent="0.2">
      <c r="A3">
        <v>2</v>
      </c>
      <c r="B3" s="23">
        <v>44793</v>
      </c>
      <c r="C3">
        <f t="shared" si="0"/>
        <v>1</v>
      </c>
      <c r="D3">
        <v>1</v>
      </c>
      <c r="E3">
        <f t="shared" si="1"/>
        <v>1</v>
      </c>
      <c r="F3" t="str">
        <f t="shared" si="2"/>
        <v>Saturday</v>
      </c>
      <c r="G3" t="s">
        <v>1947</v>
      </c>
      <c r="H3">
        <v>5</v>
      </c>
      <c r="I3">
        <v>5</v>
      </c>
      <c r="J3">
        <f t="shared" ref="J3:J66" si="3">_xlfn.ISOWEEKNUM(B3)</f>
        <v>33</v>
      </c>
    </row>
    <row r="4" spans="1:10" x14ac:dyDescent="0.2">
      <c r="A4">
        <v>3</v>
      </c>
      <c r="B4" s="23">
        <v>44794</v>
      </c>
      <c r="C4">
        <f t="shared" si="0"/>
        <v>1</v>
      </c>
      <c r="D4">
        <v>1</v>
      </c>
      <c r="E4">
        <f t="shared" si="1"/>
        <v>1</v>
      </c>
      <c r="F4" t="str">
        <f t="shared" si="2"/>
        <v>Sunday</v>
      </c>
      <c r="G4" t="s">
        <v>1947</v>
      </c>
      <c r="H4">
        <v>5</v>
      </c>
      <c r="I4">
        <v>5</v>
      </c>
      <c r="J4">
        <f t="shared" si="3"/>
        <v>33</v>
      </c>
    </row>
    <row r="5" spans="1:10" x14ac:dyDescent="0.2">
      <c r="A5">
        <v>4</v>
      </c>
      <c r="B5" s="23">
        <v>44795</v>
      </c>
      <c r="C5">
        <f t="shared" si="0"/>
        <v>0</v>
      </c>
      <c r="D5">
        <v>0</v>
      </c>
      <c r="E5">
        <f t="shared" si="1"/>
        <v>0</v>
      </c>
      <c r="F5" t="str">
        <f t="shared" si="2"/>
        <v>Monday</v>
      </c>
      <c r="G5" s="3"/>
      <c r="H5">
        <v>1</v>
      </c>
      <c r="I5">
        <f>IF(J5&gt;J4, IF(H5&lt;&gt;H4,1, I4+1),I4)</f>
        <v>1</v>
      </c>
      <c r="J5">
        <f t="shared" si="3"/>
        <v>34</v>
      </c>
    </row>
    <row r="6" spans="1:10" x14ac:dyDescent="0.2">
      <c r="A6">
        <v>5</v>
      </c>
      <c r="B6" s="23">
        <v>44796</v>
      </c>
      <c r="C6">
        <f t="shared" si="0"/>
        <v>0</v>
      </c>
      <c r="D6">
        <v>0</v>
      </c>
      <c r="E6">
        <f t="shared" si="1"/>
        <v>0</v>
      </c>
      <c r="F6" t="str">
        <f t="shared" si="2"/>
        <v>Tuesday</v>
      </c>
      <c r="G6" s="3"/>
      <c r="H6">
        <v>1</v>
      </c>
      <c r="I6">
        <f t="shared" ref="I6:I69" si="4">IF(J6&gt;J5, IF(H6&lt;&gt;H5,1, I5+1),I5)</f>
        <v>1</v>
      </c>
      <c r="J6">
        <f t="shared" si="3"/>
        <v>34</v>
      </c>
    </row>
    <row r="7" spans="1:10" x14ac:dyDescent="0.2">
      <c r="A7">
        <v>6</v>
      </c>
      <c r="B7" s="23">
        <v>44797</v>
      </c>
      <c r="C7">
        <f t="shared" si="0"/>
        <v>0</v>
      </c>
      <c r="D7">
        <v>0</v>
      </c>
      <c r="E7">
        <f t="shared" si="1"/>
        <v>0</v>
      </c>
      <c r="F7" t="str">
        <f t="shared" si="2"/>
        <v>Wednesday</v>
      </c>
      <c r="G7" s="3"/>
      <c r="H7">
        <v>1</v>
      </c>
      <c r="I7">
        <f t="shared" si="4"/>
        <v>1</v>
      </c>
      <c r="J7">
        <f t="shared" si="3"/>
        <v>34</v>
      </c>
    </row>
    <row r="8" spans="1:10" x14ac:dyDescent="0.2">
      <c r="A8">
        <v>7</v>
      </c>
      <c r="B8" s="23">
        <v>44798</v>
      </c>
      <c r="C8">
        <f t="shared" si="0"/>
        <v>0</v>
      </c>
      <c r="D8">
        <v>0</v>
      </c>
      <c r="E8">
        <f t="shared" si="1"/>
        <v>0</v>
      </c>
      <c r="F8" t="str">
        <f t="shared" si="2"/>
        <v>Thursday</v>
      </c>
      <c r="G8" s="3"/>
      <c r="H8">
        <v>1</v>
      </c>
      <c r="I8">
        <f t="shared" si="4"/>
        <v>1</v>
      </c>
      <c r="J8">
        <f t="shared" si="3"/>
        <v>34</v>
      </c>
    </row>
    <row r="9" spans="1:10" x14ac:dyDescent="0.2">
      <c r="A9">
        <v>8</v>
      </c>
      <c r="B9" s="23">
        <v>44799</v>
      </c>
      <c r="C9">
        <f t="shared" si="0"/>
        <v>0</v>
      </c>
      <c r="D9">
        <v>0</v>
      </c>
      <c r="E9">
        <f t="shared" si="1"/>
        <v>0</v>
      </c>
      <c r="F9" t="str">
        <f t="shared" si="2"/>
        <v>Friday</v>
      </c>
      <c r="G9" s="3"/>
      <c r="H9">
        <v>1</v>
      </c>
      <c r="I9">
        <f t="shared" si="4"/>
        <v>1</v>
      </c>
      <c r="J9">
        <f t="shared" si="3"/>
        <v>34</v>
      </c>
    </row>
    <row r="10" spans="1:10" x14ac:dyDescent="0.2">
      <c r="A10">
        <v>9</v>
      </c>
      <c r="B10" s="23">
        <v>44800</v>
      </c>
      <c r="C10">
        <f t="shared" si="0"/>
        <v>1</v>
      </c>
      <c r="D10">
        <v>0</v>
      </c>
      <c r="E10">
        <f t="shared" si="1"/>
        <v>1</v>
      </c>
      <c r="F10" t="str">
        <f t="shared" si="2"/>
        <v>Saturday</v>
      </c>
      <c r="G10" s="3"/>
      <c r="H10">
        <v>1</v>
      </c>
      <c r="I10">
        <f t="shared" si="4"/>
        <v>1</v>
      </c>
      <c r="J10">
        <f t="shared" si="3"/>
        <v>34</v>
      </c>
    </row>
    <row r="11" spans="1:10" x14ac:dyDescent="0.2">
      <c r="A11">
        <v>10</v>
      </c>
      <c r="B11" s="23">
        <v>44801</v>
      </c>
      <c r="C11">
        <f t="shared" si="0"/>
        <v>1</v>
      </c>
      <c r="D11">
        <v>0</v>
      </c>
      <c r="E11">
        <f t="shared" si="1"/>
        <v>1</v>
      </c>
      <c r="F11" t="str">
        <f t="shared" si="2"/>
        <v>Sunday</v>
      </c>
      <c r="G11" s="3"/>
      <c r="H11">
        <v>1</v>
      </c>
      <c r="I11">
        <f t="shared" si="4"/>
        <v>1</v>
      </c>
      <c r="J11">
        <f t="shared" si="3"/>
        <v>34</v>
      </c>
    </row>
    <row r="12" spans="1:10" x14ac:dyDescent="0.2">
      <c r="A12">
        <v>11</v>
      </c>
      <c r="B12" s="23">
        <v>44802</v>
      </c>
      <c r="C12">
        <f t="shared" si="0"/>
        <v>0</v>
      </c>
      <c r="D12">
        <v>0</v>
      </c>
      <c r="E12">
        <f>IF((C12+D12)&gt;0, 1, 0)</f>
        <v>0</v>
      </c>
      <c r="F12" t="str">
        <f>TEXT(B12, "dddd")</f>
        <v>Monday</v>
      </c>
      <c r="H12">
        <v>1</v>
      </c>
      <c r="I12">
        <f t="shared" si="4"/>
        <v>2</v>
      </c>
      <c r="J12">
        <f t="shared" si="3"/>
        <v>35</v>
      </c>
    </row>
    <row r="13" spans="1:10" x14ac:dyDescent="0.2">
      <c r="A13">
        <v>12</v>
      </c>
      <c r="B13" s="23">
        <v>44803</v>
      </c>
      <c r="C13">
        <f t="shared" ref="C13:C76" si="5">IF(OR(WEEKDAY(B13) = 7, WEEKDAY(B13) = 1), 1, 0)</f>
        <v>0</v>
      </c>
      <c r="D13">
        <v>0</v>
      </c>
      <c r="E13">
        <f t="shared" ref="E13:E76" si="6">IF((C13+D13)&gt;0, 1, 0)</f>
        <v>0</v>
      </c>
      <c r="F13" t="str">
        <f t="shared" ref="F13:F76" si="7">TEXT(B13, "dddd")</f>
        <v>Tuesday</v>
      </c>
      <c r="H13">
        <v>1</v>
      </c>
      <c r="I13">
        <f t="shared" si="4"/>
        <v>2</v>
      </c>
      <c r="J13">
        <f t="shared" si="3"/>
        <v>35</v>
      </c>
    </row>
    <row r="14" spans="1:10" x14ac:dyDescent="0.2">
      <c r="A14">
        <v>13</v>
      </c>
      <c r="B14" s="23">
        <v>44804</v>
      </c>
      <c r="C14">
        <f t="shared" si="5"/>
        <v>0</v>
      </c>
      <c r="D14">
        <v>0</v>
      </c>
      <c r="E14">
        <f t="shared" si="6"/>
        <v>0</v>
      </c>
      <c r="F14" t="str">
        <f t="shared" si="7"/>
        <v>Wednesday</v>
      </c>
      <c r="H14">
        <v>1</v>
      </c>
      <c r="I14">
        <f t="shared" si="4"/>
        <v>2</v>
      </c>
      <c r="J14">
        <f t="shared" si="3"/>
        <v>35</v>
      </c>
    </row>
    <row r="15" spans="1:10" x14ac:dyDescent="0.2">
      <c r="A15">
        <v>14</v>
      </c>
      <c r="B15" s="23">
        <v>44805</v>
      </c>
      <c r="C15">
        <f t="shared" si="5"/>
        <v>0</v>
      </c>
      <c r="D15">
        <v>0</v>
      </c>
      <c r="E15">
        <f t="shared" si="6"/>
        <v>0</v>
      </c>
      <c r="F15" t="str">
        <f t="shared" si="7"/>
        <v>Thursday</v>
      </c>
      <c r="H15">
        <v>1</v>
      </c>
      <c r="I15">
        <f t="shared" si="4"/>
        <v>2</v>
      </c>
      <c r="J15">
        <f t="shared" si="3"/>
        <v>35</v>
      </c>
    </row>
    <row r="16" spans="1:10" x14ac:dyDescent="0.2">
      <c r="A16">
        <v>15</v>
      </c>
      <c r="B16" s="23">
        <v>44806</v>
      </c>
      <c r="C16">
        <f t="shared" si="5"/>
        <v>0</v>
      </c>
      <c r="D16">
        <v>0</v>
      </c>
      <c r="E16">
        <f t="shared" si="6"/>
        <v>0</v>
      </c>
      <c r="F16" t="str">
        <f t="shared" si="7"/>
        <v>Friday</v>
      </c>
      <c r="H16">
        <v>1</v>
      </c>
      <c r="I16">
        <f t="shared" si="4"/>
        <v>2</v>
      </c>
      <c r="J16">
        <f t="shared" si="3"/>
        <v>35</v>
      </c>
    </row>
    <row r="17" spans="1:10" x14ac:dyDescent="0.2">
      <c r="A17">
        <v>16</v>
      </c>
      <c r="B17" s="23">
        <v>44807</v>
      </c>
      <c r="C17">
        <f t="shared" si="5"/>
        <v>1</v>
      </c>
      <c r="D17">
        <v>0</v>
      </c>
      <c r="E17">
        <f t="shared" si="6"/>
        <v>1</v>
      </c>
      <c r="F17" t="str">
        <f t="shared" si="7"/>
        <v>Saturday</v>
      </c>
      <c r="H17">
        <v>1</v>
      </c>
      <c r="I17">
        <f t="shared" si="4"/>
        <v>2</v>
      </c>
      <c r="J17">
        <f t="shared" si="3"/>
        <v>35</v>
      </c>
    </row>
    <row r="18" spans="1:10" x14ac:dyDescent="0.2">
      <c r="A18">
        <v>17</v>
      </c>
      <c r="B18" s="23">
        <v>44808</v>
      </c>
      <c r="C18">
        <f t="shared" si="5"/>
        <v>1</v>
      </c>
      <c r="D18">
        <v>0</v>
      </c>
      <c r="E18">
        <f t="shared" si="6"/>
        <v>1</v>
      </c>
      <c r="F18" t="str">
        <f t="shared" si="7"/>
        <v>Sunday</v>
      </c>
      <c r="H18">
        <v>1</v>
      </c>
      <c r="I18">
        <f t="shared" si="4"/>
        <v>2</v>
      </c>
      <c r="J18">
        <f t="shared" si="3"/>
        <v>35</v>
      </c>
    </row>
    <row r="19" spans="1:10" x14ac:dyDescent="0.2">
      <c r="A19">
        <v>18</v>
      </c>
      <c r="B19" s="23">
        <v>44809</v>
      </c>
      <c r="C19">
        <f t="shared" si="5"/>
        <v>0</v>
      </c>
      <c r="D19">
        <v>0</v>
      </c>
      <c r="E19">
        <f t="shared" si="6"/>
        <v>0</v>
      </c>
      <c r="F19" t="str">
        <f t="shared" si="7"/>
        <v>Monday</v>
      </c>
      <c r="H19">
        <v>1</v>
      </c>
      <c r="I19">
        <f t="shared" si="4"/>
        <v>3</v>
      </c>
      <c r="J19">
        <f t="shared" si="3"/>
        <v>36</v>
      </c>
    </row>
    <row r="20" spans="1:10" x14ac:dyDescent="0.2">
      <c r="A20">
        <v>19</v>
      </c>
      <c r="B20" s="23">
        <v>44810</v>
      </c>
      <c r="C20">
        <f t="shared" si="5"/>
        <v>0</v>
      </c>
      <c r="D20">
        <v>0</v>
      </c>
      <c r="E20">
        <f t="shared" si="6"/>
        <v>0</v>
      </c>
      <c r="F20" t="str">
        <f t="shared" si="7"/>
        <v>Tuesday</v>
      </c>
      <c r="H20">
        <v>1</v>
      </c>
      <c r="I20">
        <f t="shared" si="4"/>
        <v>3</v>
      </c>
      <c r="J20">
        <f t="shared" si="3"/>
        <v>36</v>
      </c>
    </row>
    <row r="21" spans="1:10" x14ac:dyDescent="0.2">
      <c r="A21">
        <v>20</v>
      </c>
      <c r="B21" s="23">
        <v>44811</v>
      </c>
      <c r="C21">
        <f t="shared" si="5"/>
        <v>0</v>
      </c>
      <c r="D21">
        <v>0</v>
      </c>
      <c r="E21">
        <f t="shared" si="6"/>
        <v>0</v>
      </c>
      <c r="F21" t="str">
        <f t="shared" si="7"/>
        <v>Wednesday</v>
      </c>
      <c r="H21">
        <v>1</v>
      </c>
      <c r="I21">
        <f t="shared" si="4"/>
        <v>3</v>
      </c>
      <c r="J21">
        <f t="shared" si="3"/>
        <v>36</v>
      </c>
    </row>
    <row r="22" spans="1:10" x14ac:dyDescent="0.2">
      <c r="A22">
        <v>21</v>
      </c>
      <c r="B22" s="23">
        <v>44812</v>
      </c>
      <c r="C22">
        <f t="shared" si="5"/>
        <v>0</v>
      </c>
      <c r="D22">
        <v>0</v>
      </c>
      <c r="E22">
        <f t="shared" si="6"/>
        <v>0</v>
      </c>
      <c r="F22" t="str">
        <f t="shared" si="7"/>
        <v>Thursday</v>
      </c>
      <c r="H22">
        <v>1</v>
      </c>
      <c r="I22">
        <f t="shared" si="4"/>
        <v>3</v>
      </c>
      <c r="J22">
        <f t="shared" si="3"/>
        <v>36</v>
      </c>
    </row>
    <row r="23" spans="1:10" x14ac:dyDescent="0.2">
      <c r="A23">
        <v>22</v>
      </c>
      <c r="B23" s="23">
        <v>44813</v>
      </c>
      <c r="C23">
        <f t="shared" si="5"/>
        <v>0</v>
      </c>
      <c r="D23">
        <v>0</v>
      </c>
      <c r="E23">
        <f t="shared" si="6"/>
        <v>0</v>
      </c>
      <c r="F23" t="str">
        <f t="shared" si="7"/>
        <v>Friday</v>
      </c>
      <c r="H23">
        <v>1</v>
      </c>
      <c r="I23">
        <f t="shared" si="4"/>
        <v>3</v>
      </c>
      <c r="J23">
        <f t="shared" si="3"/>
        <v>36</v>
      </c>
    </row>
    <row r="24" spans="1:10" x14ac:dyDescent="0.2">
      <c r="A24">
        <v>23</v>
      </c>
      <c r="B24" s="23">
        <v>44814</v>
      </c>
      <c r="C24">
        <f t="shared" si="5"/>
        <v>1</v>
      </c>
      <c r="D24">
        <v>0</v>
      </c>
      <c r="E24">
        <f t="shared" si="6"/>
        <v>1</v>
      </c>
      <c r="F24" t="str">
        <f t="shared" si="7"/>
        <v>Saturday</v>
      </c>
      <c r="H24">
        <v>1</v>
      </c>
      <c r="I24">
        <f t="shared" si="4"/>
        <v>3</v>
      </c>
      <c r="J24">
        <f t="shared" si="3"/>
        <v>36</v>
      </c>
    </row>
    <row r="25" spans="1:10" x14ac:dyDescent="0.2">
      <c r="A25">
        <v>24</v>
      </c>
      <c r="B25" s="23">
        <v>44815</v>
      </c>
      <c r="C25">
        <f t="shared" si="5"/>
        <v>1</v>
      </c>
      <c r="D25">
        <v>0</v>
      </c>
      <c r="E25">
        <f t="shared" si="6"/>
        <v>1</v>
      </c>
      <c r="F25" t="str">
        <f t="shared" si="7"/>
        <v>Sunday</v>
      </c>
      <c r="H25">
        <v>1</v>
      </c>
      <c r="I25">
        <f t="shared" si="4"/>
        <v>3</v>
      </c>
      <c r="J25">
        <f t="shared" si="3"/>
        <v>36</v>
      </c>
    </row>
    <row r="26" spans="1:10" x14ac:dyDescent="0.2">
      <c r="A26">
        <v>25</v>
      </c>
      <c r="B26" s="23">
        <v>44816</v>
      </c>
      <c r="C26">
        <f t="shared" si="5"/>
        <v>0</v>
      </c>
      <c r="D26">
        <v>0</v>
      </c>
      <c r="E26">
        <f t="shared" si="6"/>
        <v>0</v>
      </c>
      <c r="F26" t="str">
        <f t="shared" si="7"/>
        <v>Monday</v>
      </c>
      <c r="H26">
        <v>1</v>
      </c>
      <c r="I26">
        <f t="shared" si="4"/>
        <v>4</v>
      </c>
      <c r="J26">
        <f t="shared" si="3"/>
        <v>37</v>
      </c>
    </row>
    <row r="27" spans="1:10" x14ac:dyDescent="0.2">
      <c r="A27">
        <v>26</v>
      </c>
      <c r="B27" s="23">
        <v>44817</v>
      </c>
      <c r="C27">
        <f t="shared" si="5"/>
        <v>0</v>
      </c>
      <c r="D27">
        <v>0</v>
      </c>
      <c r="E27">
        <f t="shared" si="6"/>
        <v>0</v>
      </c>
      <c r="F27" t="str">
        <f t="shared" si="7"/>
        <v>Tuesday</v>
      </c>
      <c r="H27">
        <v>1</v>
      </c>
      <c r="I27">
        <f t="shared" si="4"/>
        <v>4</v>
      </c>
      <c r="J27">
        <f t="shared" si="3"/>
        <v>37</v>
      </c>
    </row>
    <row r="28" spans="1:10" x14ac:dyDescent="0.2">
      <c r="A28">
        <v>27</v>
      </c>
      <c r="B28" s="23">
        <v>44818</v>
      </c>
      <c r="C28">
        <f t="shared" si="5"/>
        <v>0</v>
      </c>
      <c r="D28">
        <v>0</v>
      </c>
      <c r="E28">
        <f t="shared" si="6"/>
        <v>0</v>
      </c>
      <c r="F28" t="str">
        <f t="shared" si="7"/>
        <v>Wednesday</v>
      </c>
      <c r="H28">
        <v>1</v>
      </c>
      <c r="I28">
        <f t="shared" si="4"/>
        <v>4</v>
      </c>
      <c r="J28">
        <f t="shared" si="3"/>
        <v>37</v>
      </c>
    </row>
    <row r="29" spans="1:10" x14ac:dyDescent="0.2">
      <c r="A29">
        <v>28</v>
      </c>
      <c r="B29" s="23">
        <v>44819</v>
      </c>
      <c r="C29">
        <f t="shared" si="5"/>
        <v>0</v>
      </c>
      <c r="D29">
        <v>0</v>
      </c>
      <c r="E29">
        <f t="shared" si="6"/>
        <v>0</v>
      </c>
      <c r="F29" t="str">
        <f t="shared" si="7"/>
        <v>Thursday</v>
      </c>
      <c r="H29">
        <v>1</v>
      </c>
      <c r="I29">
        <f t="shared" si="4"/>
        <v>4</v>
      </c>
      <c r="J29">
        <f t="shared" si="3"/>
        <v>37</v>
      </c>
    </row>
    <row r="30" spans="1:10" x14ac:dyDescent="0.2">
      <c r="A30">
        <v>29</v>
      </c>
      <c r="B30" s="23">
        <v>44820</v>
      </c>
      <c r="C30">
        <f t="shared" si="5"/>
        <v>0</v>
      </c>
      <c r="D30">
        <v>0</v>
      </c>
      <c r="E30">
        <f t="shared" si="6"/>
        <v>0</v>
      </c>
      <c r="F30" t="str">
        <f t="shared" si="7"/>
        <v>Friday</v>
      </c>
      <c r="H30">
        <v>1</v>
      </c>
      <c r="I30">
        <f t="shared" si="4"/>
        <v>4</v>
      </c>
      <c r="J30">
        <f t="shared" si="3"/>
        <v>37</v>
      </c>
    </row>
    <row r="31" spans="1:10" x14ac:dyDescent="0.2">
      <c r="A31">
        <v>30</v>
      </c>
      <c r="B31" s="23">
        <v>44821</v>
      </c>
      <c r="C31">
        <f t="shared" si="5"/>
        <v>1</v>
      </c>
      <c r="D31">
        <v>0</v>
      </c>
      <c r="E31">
        <f t="shared" si="6"/>
        <v>1</v>
      </c>
      <c r="F31" t="str">
        <f t="shared" si="7"/>
        <v>Saturday</v>
      </c>
      <c r="H31">
        <v>1</v>
      </c>
      <c r="I31">
        <f t="shared" si="4"/>
        <v>4</v>
      </c>
      <c r="J31">
        <f t="shared" si="3"/>
        <v>37</v>
      </c>
    </row>
    <row r="32" spans="1:10" x14ac:dyDescent="0.2">
      <c r="A32">
        <v>31</v>
      </c>
      <c r="B32" s="23">
        <v>44822</v>
      </c>
      <c r="C32">
        <f t="shared" si="5"/>
        <v>1</v>
      </c>
      <c r="D32">
        <v>0</v>
      </c>
      <c r="E32">
        <f t="shared" si="6"/>
        <v>1</v>
      </c>
      <c r="F32" t="str">
        <f t="shared" si="7"/>
        <v>Sunday</v>
      </c>
      <c r="H32">
        <v>1</v>
      </c>
      <c r="I32">
        <f t="shared" si="4"/>
        <v>4</v>
      </c>
      <c r="J32">
        <f t="shared" si="3"/>
        <v>37</v>
      </c>
    </row>
    <row r="33" spans="1:10" x14ac:dyDescent="0.2">
      <c r="A33">
        <v>32</v>
      </c>
      <c r="B33" s="23">
        <v>44823</v>
      </c>
      <c r="C33">
        <f t="shared" si="5"/>
        <v>0</v>
      </c>
      <c r="D33">
        <v>0</v>
      </c>
      <c r="E33">
        <f t="shared" si="6"/>
        <v>0</v>
      </c>
      <c r="F33" t="str">
        <f t="shared" si="7"/>
        <v>Monday</v>
      </c>
      <c r="H33">
        <v>1</v>
      </c>
      <c r="I33">
        <f t="shared" si="4"/>
        <v>5</v>
      </c>
      <c r="J33">
        <f t="shared" si="3"/>
        <v>38</v>
      </c>
    </row>
    <row r="34" spans="1:10" x14ac:dyDescent="0.2">
      <c r="A34">
        <v>33</v>
      </c>
      <c r="B34" s="23">
        <v>44824</v>
      </c>
      <c r="C34">
        <f t="shared" si="5"/>
        <v>0</v>
      </c>
      <c r="D34">
        <v>0</v>
      </c>
      <c r="E34">
        <f t="shared" si="6"/>
        <v>0</v>
      </c>
      <c r="F34" t="str">
        <f t="shared" si="7"/>
        <v>Tuesday</v>
      </c>
      <c r="H34">
        <v>1</v>
      </c>
      <c r="I34">
        <f t="shared" si="4"/>
        <v>5</v>
      </c>
      <c r="J34">
        <f t="shared" si="3"/>
        <v>38</v>
      </c>
    </row>
    <row r="35" spans="1:10" x14ac:dyDescent="0.2">
      <c r="A35">
        <v>34</v>
      </c>
      <c r="B35" s="23">
        <v>44825</v>
      </c>
      <c r="C35">
        <f t="shared" si="5"/>
        <v>0</v>
      </c>
      <c r="D35">
        <v>0</v>
      </c>
      <c r="E35">
        <f t="shared" si="6"/>
        <v>0</v>
      </c>
      <c r="F35" t="str">
        <f t="shared" si="7"/>
        <v>Wednesday</v>
      </c>
      <c r="H35">
        <v>1</v>
      </c>
      <c r="I35">
        <f t="shared" si="4"/>
        <v>5</v>
      </c>
      <c r="J35">
        <f t="shared" si="3"/>
        <v>38</v>
      </c>
    </row>
    <row r="36" spans="1:10" x14ac:dyDescent="0.2">
      <c r="A36">
        <v>35</v>
      </c>
      <c r="B36" s="23">
        <v>44826</v>
      </c>
      <c r="C36">
        <f t="shared" si="5"/>
        <v>0</v>
      </c>
      <c r="D36">
        <v>0</v>
      </c>
      <c r="E36">
        <f t="shared" si="6"/>
        <v>0</v>
      </c>
      <c r="F36" t="str">
        <f t="shared" si="7"/>
        <v>Thursday</v>
      </c>
      <c r="H36">
        <v>1</v>
      </c>
      <c r="I36">
        <f t="shared" si="4"/>
        <v>5</v>
      </c>
      <c r="J36">
        <f t="shared" si="3"/>
        <v>38</v>
      </c>
    </row>
    <row r="37" spans="1:10" x14ac:dyDescent="0.2">
      <c r="A37">
        <v>36</v>
      </c>
      <c r="B37" s="23">
        <v>44827</v>
      </c>
      <c r="C37">
        <f t="shared" si="5"/>
        <v>0</v>
      </c>
      <c r="D37">
        <v>0</v>
      </c>
      <c r="E37">
        <f t="shared" si="6"/>
        <v>0</v>
      </c>
      <c r="F37" t="str">
        <f t="shared" si="7"/>
        <v>Friday</v>
      </c>
      <c r="H37">
        <v>1</v>
      </c>
      <c r="I37">
        <f t="shared" si="4"/>
        <v>5</v>
      </c>
      <c r="J37">
        <f t="shared" si="3"/>
        <v>38</v>
      </c>
    </row>
    <row r="38" spans="1:10" x14ac:dyDescent="0.2">
      <c r="A38">
        <v>37</v>
      </c>
      <c r="B38" s="23">
        <v>44828</v>
      </c>
      <c r="C38">
        <f t="shared" si="5"/>
        <v>1</v>
      </c>
      <c r="D38">
        <v>0</v>
      </c>
      <c r="E38">
        <f t="shared" si="6"/>
        <v>1</v>
      </c>
      <c r="F38" t="str">
        <f t="shared" si="7"/>
        <v>Saturday</v>
      </c>
      <c r="H38">
        <v>1</v>
      </c>
      <c r="I38">
        <f t="shared" si="4"/>
        <v>5</v>
      </c>
      <c r="J38">
        <f t="shared" si="3"/>
        <v>38</v>
      </c>
    </row>
    <row r="39" spans="1:10" x14ac:dyDescent="0.2">
      <c r="A39">
        <v>38</v>
      </c>
      <c r="B39" s="23">
        <v>44829</v>
      </c>
      <c r="C39">
        <f t="shared" si="5"/>
        <v>1</v>
      </c>
      <c r="D39">
        <v>0</v>
      </c>
      <c r="E39">
        <f t="shared" si="6"/>
        <v>1</v>
      </c>
      <c r="F39" t="str">
        <f t="shared" si="7"/>
        <v>Sunday</v>
      </c>
      <c r="H39">
        <v>1</v>
      </c>
      <c r="I39">
        <f t="shared" si="4"/>
        <v>5</v>
      </c>
      <c r="J39">
        <f t="shared" si="3"/>
        <v>38</v>
      </c>
    </row>
    <row r="40" spans="1:10" x14ac:dyDescent="0.2">
      <c r="A40">
        <v>39</v>
      </c>
      <c r="B40" s="23">
        <v>44830</v>
      </c>
      <c r="C40">
        <f t="shared" si="5"/>
        <v>0</v>
      </c>
      <c r="D40">
        <v>0</v>
      </c>
      <c r="E40">
        <f t="shared" si="6"/>
        <v>0</v>
      </c>
      <c r="F40" t="str">
        <f t="shared" si="7"/>
        <v>Monday</v>
      </c>
      <c r="H40">
        <v>1</v>
      </c>
      <c r="I40">
        <f t="shared" si="4"/>
        <v>6</v>
      </c>
      <c r="J40">
        <f t="shared" si="3"/>
        <v>39</v>
      </c>
    </row>
    <row r="41" spans="1:10" x14ac:dyDescent="0.2">
      <c r="A41">
        <v>40</v>
      </c>
      <c r="B41" s="23">
        <v>44831</v>
      </c>
      <c r="C41">
        <f t="shared" si="5"/>
        <v>0</v>
      </c>
      <c r="D41">
        <v>0</v>
      </c>
      <c r="E41">
        <f t="shared" si="6"/>
        <v>0</v>
      </c>
      <c r="F41" t="str">
        <f t="shared" si="7"/>
        <v>Tuesday</v>
      </c>
      <c r="H41">
        <v>1</v>
      </c>
      <c r="I41">
        <f t="shared" si="4"/>
        <v>6</v>
      </c>
      <c r="J41">
        <f t="shared" si="3"/>
        <v>39</v>
      </c>
    </row>
    <row r="42" spans="1:10" x14ac:dyDescent="0.2">
      <c r="A42">
        <v>41</v>
      </c>
      <c r="B42" s="23">
        <v>44832</v>
      </c>
      <c r="C42">
        <f t="shared" si="5"/>
        <v>0</v>
      </c>
      <c r="D42">
        <v>0</v>
      </c>
      <c r="E42">
        <f t="shared" si="6"/>
        <v>0</v>
      </c>
      <c r="F42" t="str">
        <f t="shared" si="7"/>
        <v>Wednesday</v>
      </c>
      <c r="H42">
        <v>1</v>
      </c>
      <c r="I42">
        <f t="shared" si="4"/>
        <v>6</v>
      </c>
      <c r="J42">
        <f t="shared" si="3"/>
        <v>39</v>
      </c>
    </row>
    <row r="43" spans="1:10" x14ac:dyDescent="0.2">
      <c r="A43">
        <v>42</v>
      </c>
      <c r="B43" s="23">
        <v>44833</v>
      </c>
      <c r="C43">
        <f t="shared" si="5"/>
        <v>0</v>
      </c>
      <c r="D43">
        <v>0</v>
      </c>
      <c r="E43">
        <f t="shared" si="6"/>
        <v>0</v>
      </c>
      <c r="F43" t="str">
        <f t="shared" si="7"/>
        <v>Thursday</v>
      </c>
      <c r="H43">
        <v>1</v>
      </c>
      <c r="I43">
        <f t="shared" si="4"/>
        <v>6</v>
      </c>
      <c r="J43">
        <f t="shared" si="3"/>
        <v>39</v>
      </c>
    </row>
    <row r="44" spans="1:10" x14ac:dyDescent="0.2">
      <c r="A44">
        <v>43</v>
      </c>
      <c r="B44" s="23">
        <v>44834</v>
      </c>
      <c r="C44">
        <f t="shared" si="5"/>
        <v>0</v>
      </c>
      <c r="D44">
        <v>0</v>
      </c>
      <c r="E44">
        <f t="shared" si="6"/>
        <v>0</v>
      </c>
      <c r="F44" t="str">
        <f t="shared" si="7"/>
        <v>Friday</v>
      </c>
      <c r="H44">
        <v>1</v>
      </c>
      <c r="I44">
        <f t="shared" si="4"/>
        <v>6</v>
      </c>
      <c r="J44">
        <f t="shared" si="3"/>
        <v>39</v>
      </c>
    </row>
    <row r="45" spans="1:10" x14ac:dyDescent="0.2">
      <c r="A45">
        <v>44</v>
      </c>
      <c r="B45" s="23">
        <v>44835</v>
      </c>
      <c r="C45">
        <f t="shared" si="5"/>
        <v>1</v>
      </c>
      <c r="D45">
        <v>0</v>
      </c>
      <c r="E45">
        <f t="shared" si="6"/>
        <v>1</v>
      </c>
      <c r="F45" t="str">
        <f t="shared" si="7"/>
        <v>Saturday</v>
      </c>
      <c r="H45">
        <v>1</v>
      </c>
      <c r="I45">
        <f t="shared" si="4"/>
        <v>6</v>
      </c>
      <c r="J45">
        <f t="shared" si="3"/>
        <v>39</v>
      </c>
    </row>
    <row r="46" spans="1:10" x14ac:dyDescent="0.2">
      <c r="A46">
        <v>45</v>
      </c>
      <c r="B46" s="23">
        <v>44836</v>
      </c>
      <c r="C46">
        <f t="shared" si="5"/>
        <v>1</v>
      </c>
      <c r="D46">
        <v>0</v>
      </c>
      <c r="E46">
        <f t="shared" si="6"/>
        <v>1</v>
      </c>
      <c r="F46" t="str">
        <f t="shared" si="7"/>
        <v>Sunday</v>
      </c>
      <c r="H46">
        <v>1</v>
      </c>
      <c r="I46">
        <f t="shared" si="4"/>
        <v>6</v>
      </c>
      <c r="J46">
        <f t="shared" si="3"/>
        <v>39</v>
      </c>
    </row>
    <row r="47" spans="1:10" x14ac:dyDescent="0.2">
      <c r="A47">
        <v>46</v>
      </c>
      <c r="B47" s="23">
        <v>44837</v>
      </c>
      <c r="C47">
        <f t="shared" si="5"/>
        <v>0</v>
      </c>
      <c r="D47">
        <v>0</v>
      </c>
      <c r="E47">
        <f t="shared" si="6"/>
        <v>0</v>
      </c>
      <c r="F47" t="str">
        <f t="shared" si="7"/>
        <v>Monday</v>
      </c>
      <c r="H47">
        <v>1</v>
      </c>
      <c r="I47">
        <f t="shared" si="4"/>
        <v>7</v>
      </c>
      <c r="J47">
        <f t="shared" si="3"/>
        <v>40</v>
      </c>
    </row>
    <row r="48" spans="1:10" x14ac:dyDescent="0.2">
      <c r="A48">
        <v>47</v>
      </c>
      <c r="B48" s="23">
        <v>44838</v>
      </c>
      <c r="C48">
        <f t="shared" si="5"/>
        <v>0</v>
      </c>
      <c r="D48">
        <v>0</v>
      </c>
      <c r="E48">
        <f t="shared" si="6"/>
        <v>0</v>
      </c>
      <c r="F48" t="str">
        <f t="shared" si="7"/>
        <v>Tuesday</v>
      </c>
      <c r="H48">
        <v>1</v>
      </c>
      <c r="I48">
        <f t="shared" si="4"/>
        <v>7</v>
      </c>
      <c r="J48">
        <f t="shared" si="3"/>
        <v>40</v>
      </c>
    </row>
    <row r="49" spans="1:10" x14ac:dyDescent="0.2">
      <c r="A49">
        <v>48</v>
      </c>
      <c r="B49" s="23">
        <v>44839</v>
      </c>
      <c r="C49">
        <f t="shared" si="5"/>
        <v>0</v>
      </c>
      <c r="D49">
        <v>0</v>
      </c>
      <c r="E49">
        <f t="shared" si="6"/>
        <v>0</v>
      </c>
      <c r="F49" t="str">
        <f t="shared" si="7"/>
        <v>Wednesday</v>
      </c>
      <c r="H49">
        <v>1</v>
      </c>
      <c r="I49">
        <f t="shared" si="4"/>
        <v>7</v>
      </c>
      <c r="J49">
        <f t="shared" si="3"/>
        <v>40</v>
      </c>
    </row>
    <row r="50" spans="1:10" x14ac:dyDescent="0.2">
      <c r="A50">
        <v>49</v>
      </c>
      <c r="B50" s="23">
        <v>44840</v>
      </c>
      <c r="C50">
        <f t="shared" si="5"/>
        <v>0</v>
      </c>
      <c r="D50">
        <v>0</v>
      </c>
      <c r="E50">
        <f t="shared" si="6"/>
        <v>0</v>
      </c>
      <c r="F50" t="str">
        <f t="shared" si="7"/>
        <v>Thursday</v>
      </c>
      <c r="H50">
        <v>1</v>
      </c>
      <c r="I50">
        <f t="shared" si="4"/>
        <v>7</v>
      </c>
      <c r="J50">
        <f t="shared" si="3"/>
        <v>40</v>
      </c>
    </row>
    <row r="51" spans="1:10" x14ac:dyDescent="0.2">
      <c r="A51">
        <v>50</v>
      </c>
      <c r="B51" s="23">
        <v>44841</v>
      </c>
      <c r="C51">
        <f t="shared" si="5"/>
        <v>0</v>
      </c>
      <c r="D51">
        <v>0</v>
      </c>
      <c r="E51">
        <f t="shared" si="6"/>
        <v>0</v>
      </c>
      <c r="F51" t="str">
        <f t="shared" si="7"/>
        <v>Friday</v>
      </c>
      <c r="H51">
        <v>1</v>
      </c>
      <c r="I51">
        <f t="shared" si="4"/>
        <v>7</v>
      </c>
      <c r="J51">
        <f t="shared" si="3"/>
        <v>40</v>
      </c>
    </row>
    <row r="52" spans="1:10" x14ac:dyDescent="0.2">
      <c r="A52">
        <v>51</v>
      </c>
      <c r="B52" s="23">
        <v>44842</v>
      </c>
      <c r="C52">
        <f t="shared" si="5"/>
        <v>1</v>
      </c>
      <c r="D52">
        <v>0</v>
      </c>
      <c r="E52">
        <f t="shared" si="6"/>
        <v>1</v>
      </c>
      <c r="F52" t="str">
        <f t="shared" si="7"/>
        <v>Saturday</v>
      </c>
      <c r="H52">
        <v>1</v>
      </c>
      <c r="I52">
        <f t="shared" si="4"/>
        <v>7</v>
      </c>
      <c r="J52">
        <f t="shared" si="3"/>
        <v>40</v>
      </c>
    </row>
    <row r="53" spans="1:10" x14ac:dyDescent="0.2">
      <c r="A53">
        <v>52</v>
      </c>
      <c r="B53" s="23">
        <v>44843</v>
      </c>
      <c r="C53">
        <f t="shared" si="5"/>
        <v>1</v>
      </c>
      <c r="D53">
        <v>0</v>
      </c>
      <c r="E53">
        <f t="shared" si="6"/>
        <v>1</v>
      </c>
      <c r="F53" t="str">
        <f t="shared" si="7"/>
        <v>Sunday</v>
      </c>
      <c r="H53">
        <v>1</v>
      </c>
      <c r="I53">
        <f t="shared" si="4"/>
        <v>7</v>
      </c>
      <c r="J53">
        <f t="shared" si="3"/>
        <v>40</v>
      </c>
    </row>
    <row r="54" spans="1:10" x14ac:dyDescent="0.2">
      <c r="A54">
        <v>53</v>
      </c>
      <c r="B54" s="23">
        <v>44844</v>
      </c>
      <c r="C54">
        <f t="shared" si="5"/>
        <v>0</v>
      </c>
      <c r="D54">
        <v>0</v>
      </c>
      <c r="E54">
        <f t="shared" si="6"/>
        <v>0</v>
      </c>
      <c r="F54" t="str">
        <f t="shared" si="7"/>
        <v>Monday</v>
      </c>
      <c r="H54">
        <v>1</v>
      </c>
      <c r="I54">
        <f t="shared" si="4"/>
        <v>8</v>
      </c>
      <c r="J54">
        <f t="shared" si="3"/>
        <v>41</v>
      </c>
    </row>
    <row r="55" spans="1:10" x14ac:dyDescent="0.2">
      <c r="A55">
        <v>54</v>
      </c>
      <c r="B55" s="23">
        <v>44845</v>
      </c>
      <c r="C55">
        <f t="shared" si="5"/>
        <v>0</v>
      </c>
      <c r="D55">
        <v>0</v>
      </c>
      <c r="E55">
        <f t="shared" si="6"/>
        <v>0</v>
      </c>
      <c r="F55" t="str">
        <f t="shared" si="7"/>
        <v>Tuesday</v>
      </c>
      <c r="H55">
        <v>1</v>
      </c>
      <c r="I55">
        <f t="shared" si="4"/>
        <v>8</v>
      </c>
      <c r="J55">
        <f t="shared" si="3"/>
        <v>41</v>
      </c>
    </row>
    <row r="56" spans="1:10" x14ac:dyDescent="0.2">
      <c r="A56">
        <v>55</v>
      </c>
      <c r="B56" s="23">
        <v>44846</v>
      </c>
      <c r="C56">
        <f t="shared" si="5"/>
        <v>0</v>
      </c>
      <c r="D56">
        <v>0</v>
      </c>
      <c r="E56">
        <f t="shared" si="6"/>
        <v>0</v>
      </c>
      <c r="F56" t="str">
        <f t="shared" si="7"/>
        <v>Wednesday</v>
      </c>
      <c r="H56">
        <v>1</v>
      </c>
      <c r="I56">
        <f t="shared" si="4"/>
        <v>8</v>
      </c>
      <c r="J56">
        <f t="shared" si="3"/>
        <v>41</v>
      </c>
    </row>
    <row r="57" spans="1:10" x14ac:dyDescent="0.2">
      <c r="A57">
        <v>56</v>
      </c>
      <c r="B57" s="23">
        <v>44847</v>
      </c>
      <c r="C57">
        <f t="shared" si="5"/>
        <v>0</v>
      </c>
      <c r="D57">
        <v>0</v>
      </c>
      <c r="E57">
        <f t="shared" si="6"/>
        <v>0</v>
      </c>
      <c r="F57" t="str">
        <f t="shared" si="7"/>
        <v>Thursday</v>
      </c>
      <c r="H57">
        <v>1</v>
      </c>
      <c r="I57">
        <f t="shared" si="4"/>
        <v>8</v>
      </c>
      <c r="J57">
        <f t="shared" si="3"/>
        <v>41</v>
      </c>
    </row>
    <row r="58" spans="1:10" x14ac:dyDescent="0.2">
      <c r="A58">
        <v>57</v>
      </c>
      <c r="B58" s="23">
        <v>44848</v>
      </c>
      <c r="C58">
        <f t="shared" si="5"/>
        <v>0</v>
      </c>
      <c r="D58">
        <v>0</v>
      </c>
      <c r="E58">
        <f t="shared" si="6"/>
        <v>0</v>
      </c>
      <c r="F58" t="str">
        <f t="shared" si="7"/>
        <v>Friday</v>
      </c>
      <c r="H58">
        <v>1</v>
      </c>
      <c r="I58">
        <f t="shared" si="4"/>
        <v>8</v>
      </c>
      <c r="J58">
        <f t="shared" si="3"/>
        <v>41</v>
      </c>
    </row>
    <row r="59" spans="1:10" x14ac:dyDescent="0.2">
      <c r="A59">
        <v>58</v>
      </c>
      <c r="B59" s="23">
        <v>44849</v>
      </c>
      <c r="C59">
        <f t="shared" si="5"/>
        <v>1</v>
      </c>
      <c r="D59">
        <v>0</v>
      </c>
      <c r="E59">
        <f t="shared" si="6"/>
        <v>1</v>
      </c>
      <c r="F59" t="str">
        <f t="shared" si="7"/>
        <v>Saturday</v>
      </c>
      <c r="H59">
        <v>1</v>
      </c>
      <c r="I59">
        <f t="shared" si="4"/>
        <v>8</v>
      </c>
      <c r="J59">
        <f t="shared" si="3"/>
        <v>41</v>
      </c>
    </row>
    <row r="60" spans="1:10" x14ac:dyDescent="0.2">
      <c r="A60">
        <v>59</v>
      </c>
      <c r="B60" s="23">
        <v>44850</v>
      </c>
      <c r="C60">
        <f t="shared" si="5"/>
        <v>1</v>
      </c>
      <c r="D60">
        <v>0</v>
      </c>
      <c r="E60">
        <f t="shared" si="6"/>
        <v>1</v>
      </c>
      <c r="F60" t="str">
        <f t="shared" si="7"/>
        <v>Sunday</v>
      </c>
      <c r="H60">
        <v>1</v>
      </c>
      <c r="I60">
        <f t="shared" si="4"/>
        <v>8</v>
      </c>
      <c r="J60">
        <f t="shared" si="3"/>
        <v>41</v>
      </c>
    </row>
    <row r="61" spans="1:10" x14ac:dyDescent="0.2">
      <c r="A61">
        <v>60</v>
      </c>
      <c r="B61" s="23">
        <v>44851</v>
      </c>
      <c r="C61">
        <f t="shared" si="5"/>
        <v>0</v>
      </c>
      <c r="D61">
        <v>0</v>
      </c>
      <c r="E61">
        <f t="shared" si="6"/>
        <v>0</v>
      </c>
      <c r="F61" t="str">
        <f t="shared" si="7"/>
        <v>Monday</v>
      </c>
      <c r="H61">
        <v>1</v>
      </c>
      <c r="I61">
        <f t="shared" si="4"/>
        <v>9</v>
      </c>
      <c r="J61">
        <f t="shared" si="3"/>
        <v>42</v>
      </c>
    </row>
    <row r="62" spans="1:10" x14ac:dyDescent="0.2">
      <c r="A62">
        <v>61</v>
      </c>
      <c r="B62" s="23">
        <v>44852</v>
      </c>
      <c r="C62">
        <f t="shared" si="5"/>
        <v>0</v>
      </c>
      <c r="D62">
        <v>0</v>
      </c>
      <c r="E62">
        <f t="shared" si="6"/>
        <v>0</v>
      </c>
      <c r="F62" t="str">
        <f t="shared" si="7"/>
        <v>Tuesday</v>
      </c>
      <c r="H62">
        <v>1</v>
      </c>
      <c r="I62">
        <f t="shared" si="4"/>
        <v>9</v>
      </c>
      <c r="J62">
        <f t="shared" si="3"/>
        <v>42</v>
      </c>
    </row>
    <row r="63" spans="1:10" x14ac:dyDescent="0.2">
      <c r="A63">
        <v>62</v>
      </c>
      <c r="B63" s="23">
        <v>44853</v>
      </c>
      <c r="C63">
        <f t="shared" si="5"/>
        <v>0</v>
      </c>
      <c r="D63">
        <v>0</v>
      </c>
      <c r="E63">
        <f t="shared" si="6"/>
        <v>0</v>
      </c>
      <c r="F63" t="str">
        <f t="shared" si="7"/>
        <v>Wednesday</v>
      </c>
      <c r="H63">
        <v>1</v>
      </c>
      <c r="I63">
        <f t="shared" si="4"/>
        <v>9</v>
      </c>
      <c r="J63">
        <f t="shared" si="3"/>
        <v>42</v>
      </c>
    </row>
    <row r="64" spans="1:10" x14ac:dyDescent="0.2">
      <c r="A64">
        <v>63</v>
      </c>
      <c r="B64" s="23">
        <v>44854</v>
      </c>
      <c r="C64">
        <f t="shared" si="5"/>
        <v>0</v>
      </c>
      <c r="D64">
        <v>0</v>
      </c>
      <c r="E64">
        <f t="shared" si="6"/>
        <v>0</v>
      </c>
      <c r="F64" t="str">
        <f t="shared" si="7"/>
        <v>Thursday</v>
      </c>
      <c r="H64">
        <v>1</v>
      </c>
      <c r="I64">
        <f t="shared" si="4"/>
        <v>9</v>
      </c>
      <c r="J64">
        <f t="shared" si="3"/>
        <v>42</v>
      </c>
    </row>
    <row r="65" spans="1:10" x14ac:dyDescent="0.2">
      <c r="A65">
        <v>64</v>
      </c>
      <c r="B65" s="23">
        <v>44855</v>
      </c>
      <c r="C65">
        <f t="shared" si="5"/>
        <v>0</v>
      </c>
      <c r="D65">
        <v>0</v>
      </c>
      <c r="E65">
        <f t="shared" si="6"/>
        <v>0</v>
      </c>
      <c r="F65" t="str">
        <f t="shared" si="7"/>
        <v>Friday</v>
      </c>
      <c r="H65">
        <v>1</v>
      </c>
      <c r="I65">
        <f t="shared" si="4"/>
        <v>9</v>
      </c>
      <c r="J65">
        <f t="shared" si="3"/>
        <v>42</v>
      </c>
    </row>
    <row r="66" spans="1:10" x14ac:dyDescent="0.2">
      <c r="A66">
        <v>65</v>
      </c>
      <c r="B66" s="23">
        <v>44856</v>
      </c>
      <c r="C66">
        <f t="shared" si="5"/>
        <v>1</v>
      </c>
      <c r="D66">
        <v>0</v>
      </c>
      <c r="E66">
        <f t="shared" si="6"/>
        <v>1</v>
      </c>
      <c r="F66" t="str">
        <f t="shared" si="7"/>
        <v>Saturday</v>
      </c>
      <c r="H66">
        <v>1</v>
      </c>
      <c r="I66">
        <f t="shared" si="4"/>
        <v>9</v>
      </c>
      <c r="J66">
        <f t="shared" si="3"/>
        <v>42</v>
      </c>
    </row>
    <row r="67" spans="1:10" x14ac:dyDescent="0.2">
      <c r="A67">
        <v>66</v>
      </c>
      <c r="B67" s="23">
        <v>44857</v>
      </c>
      <c r="C67">
        <f t="shared" si="5"/>
        <v>1</v>
      </c>
      <c r="D67">
        <v>0</v>
      </c>
      <c r="E67">
        <f t="shared" si="6"/>
        <v>1</v>
      </c>
      <c r="F67" t="str">
        <f t="shared" si="7"/>
        <v>Sunday</v>
      </c>
      <c r="H67">
        <v>1</v>
      </c>
      <c r="I67">
        <f t="shared" si="4"/>
        <v>9</v>
      </c>
      <c r="J67">
        <f t="shared" ref="J67:J130" si="8">_xlfn.ISOWEEKNUM(B67)</f>
        <v>42</v>
      </c>
    </row>
    <row r="68" spans="1:10" x14ac:dyDescent="0.2">
      <c r="A68">
        <v>67</v>
      </c>
      <c r="B68" s="23">
        <v>44858</v>
      </c>
      <c r="C68">
        <f t="shared" si="5"/>
        <v>0</v>
      </c>
      <c r="D68">
        <v>1</v>
      </c>
      <c r="E68">
        <f t="shared" si="6"/>
        <v>1</v>
      </c>
      <c r="F68" t="str">
        <f t="shared" si="7"/>
        <v>Monday</v>
      </c>
      <c r="G68" t="s">
        <v>1804</v>
      </c>
      <c r="H68">
        <v>1</v>
      </c>
      <c r="I68">
        <f t="shared" si="4"/>
        <v>10</v>
      </c>
      <c r="J68">
        <f t="shared" si="8"/>
        <v>43</v>
      </c>
    </row>
    <row r="69" spans="1:10" x14ac:dyDescent="0.2">
      <c r="A69">
        <v>68</v>
      </c>
      <c r="B69" s="23">
        <v>44859</v>
      </c>
      <c r="C69">
        <f t="shared" si="5"/>
        <v>0</v>
      </c>
      <c r="D69">
        <v>1</v>
      </c>
      <c r="E69">
        <f t="shared" si="6"/>
        <v>1</v>
      </c>
      <c r="F69" t="str">
        <f t="shared" si="7"/>
        <v>Tuesday</v>
      </c>
      <c r="G69" t="s">
        <v>1804</v>
      </c>
      <c r="H69">
        <v>1</v>
      </c>
      <c r="I69">
        <f t="shared" si="4"/>
        <v>10</v>
      </c>
      <c r="J69">
        <f t="shared" si="8"/>
        <v>43</v>
      </c>
    </row>
    <row r="70" spans="1:10" x14ac:dyDescent="0.2">
      <c r="A70">
        <v>69</v>
      </c>
      <c r="B70" s="23">
        <v>44860</v>
      </c>
      <c r="C70">
        <f t="shared" si="5"/>
        <v>0</v>
      </c>
      <c r="D70">
        <v>1</v>
      </c>
      <c r="E70">
        <f t="shared" si="6"/>
        <v>1</v>
      </c>
      <c r="F70" t="str">
        <f t="shared" si="7"/>
        <v>Wednesday</v>
      </c>
      <c r="G70" t="s">
        <v>1804</v>
      </c>
      <c r="H70">
        <v>1</v>
      </c>
      <c r="I70">
        <f t="shared" ref="I70:I133" si="9">IF(J70&gt;J69, IF(H70&lt;&gt;H69,1, I69+1),I69)</f>
        <v>10</v>
      </c>
      <c r="J70">
        <f t="shared" si="8"/>
        <v>43</v>
      </c>
    </row>
    <row r="71" spans="1:10" x14ac:dyDescent="0.2">
      <c r="A71">
        <v>70</v>
      </c>
      <c r="B71" s="23">
        <v>44861</v>
      </c>
      <c r="C71">
        <f t="shared" si="5"/>
        <v>0</v>
      </c>
      <c r="D71">
        <v>1</v>
      </c>
      <c r="E71">
        <f t="shared" si="6"/>
        <v>1</v>
      </c>
      <c r="F71" t="str">
        <f t="shared" si="7"/>
        <v>Thursday</v>
      </c>
      <c r="G71" t="s">
        <v>1804</v>
      </c>
      <c r="H71">
        <v>1</v>
      </c>
      <c r="I71">
        <f t="shared" si="9"/>
        <v>10</v>
      </c>
      <c r="J71">
        <f t="shared" si="8"/>
        <v>43</v>
      </c>
    </row>
    <row r="72" spans="1:10" x14ac:dyDescent="0.2">
      <c r="A72">
        <v>71</v>
      </c>
      <c r="B72" s="23">
        <v>44862</v>
      </c>
      <c r="C72">
        <f t="shared" si="5"/>
        <v>0</v>
      </c>
      <c r="D72">
        <v>1</v>
      </c>
      <c r="E72">
        <f t="shared" si="6"/>
        <v>1</v>
      </c>
      <c r="F72" t="str">
        <f t="shared" si="7"/>
        <v>Friday</v>
      </c>
      <c r="G72" t="s">
        <v>1804</v>
      </c>
      <c r="H72">
        <v>1</v>
      </c>
      <c r="I72">
        <f t="shared" si="9"/>
        <v>10</v>
      </c>
      <c r="J72">
        <f t="shared" si="8"/>
        <v>43</v>
      </c>
    </row>
    <row r="73" spans="1:10" x14ac:dyDescent="0.2">
      <c r="A73">
        <v>72</v>
      </c>
      <c r="B73" s="23">
        <v>44863</v>
      </c>
      <c r="C73">
        <f t="shared" si="5"/>
        <v>1</v>
      </c>
      <c r="D73">
        <v>1</v>
      </c>
      <c r="E73">
        <f t="shared" si="6"/>
        <v>1</v>
      </c>
      <c r="F73" t="str">
        <f t="shared" si="7"/>
        <v>Saturday</v>
      </c>
      <c r="G73" t="s">
        <v>1804</v>
      </c>
      <c r="H73">
        <v>1</v>
      </c>
      <c r="I73">
        <f t="shared" si="9"/>
        <v>10</v>
      </c>
      <c r="J73">
        <f t="shared" si="8"/>
        <v>43</v>
      </c>
    </row>
    <row r="74" spans="1:10" x14ac:dyDescent="0.2">
      <c r="A74">
        <v>73</v>
      </c>
      <c r="B74" s="23">
        <v>44864</v>
      </c>
      <c r="C74">
        <f t="shared" si="5"/>
        <v>1</v>
      </c>
      <c r="D74">
        <v>1</v>
      </c>
      <c r="E74">
        <f t="shared" si="6"/>
        <v>1</v>
      </c>
      <c r="F74" t="str">
        <f t="shared" si="7"/>
        <v>Sunday</v>
      </c>
      <c r="G74" t="s">
        <v>1804</v>
      </c>
      <c r="H74">
        <v>1</v>
      </c>
      <c r="I74">
        <f t="shared" si="9"/>
        <v>10</v>
      </c>
      <c r="J74">
        <f t="shared" si="8"/>
        <v>43</v>
      </c>
    </row>
    <row r="75" spans="1:10" x14ac:dyDescent="0.2">
      <c r="A75">
        <v>74</v>
      </c>
      <c r="B75" s="23">
        <v>44865</v>
      </c>
      <c r="C75">
        <f t="shared" si="5"/>
        <v>0</v>
      </c>
      <c r="D75">
        <v>1</v>
      </c>
      <c r="E75">
        <f t="shared" si="6"/>
        <v>1</v>
      </c>
      <c r="F75" t="str">
        <f t="shared" si="7"/>
        <v>Monday</v>
      </c>
      <c r="G75" t="s">
        <v>1805</v>
      </c>
      <c r="H75">
        <v>2</v>
      </c>
      <c r="I75">
        <f t="shared" si="9"/>
        <v>1</v>
      </c>
      <c r="J75">
        <f t="shared" si="8"/>
        <v>44</v>
      </c>
    </row>
    <row r="76" spans="1:10" x14ac:dyDescent="0.2">
      <c r="A76">
        <v>75</v>
      </c>
      <c r="B76" s="23">
        <v>44866</v>
      </c>
      <c r="C76">
        <f t="shared" si="5"/>
        <v>0</v>
      </c>
      <c r="D76">
        <v>0</v>
      </c>
      <c r="E76">
        <f t="shared" si="6"/>
        <v>0</v>
      </c>
      <c r="F76" t="str">
        <f t="shared" si="7"/>
        <v>Tuesday</v>
      </c>
      <c r="H76">
        <v>2</v>
      </c>
      <c r="I76">
        <f t="shared" si="9"/>
        <v>1</v>
      </c>
      <c r="J76">
        <f t="shared" si="8"/>
        <v>44</v>
      </c>
    </row>
    <row r="77" spans="1:10" x14ac:dyDescent="0.2">
      <c r="A77">
        <v>76</v>
      </c>
      <c r="B77" s="23">
        <v>44867</v>
      </c>
      <c r="C77">
        <f t="shared" ref="C77:C140" si="10">IF(OR(WEEKDAY(B77) = 7, WEEKDAY(B77) = 1), 1, 0)</f>
        <v>0</v>
      </c>
      <c r="D77">
        <v>0</v>
      </c>
      <c r="E77">
        <f t="shared" ref="E77:E140" si="11">IF((C77+D77)&gt;0, 1, 0)</f>
        <v>0</v>
      </c>
      <c r="F77" t="str">
        <f t="shared" ref="F77:F140" si="12">TEXT(B77, "dddd")</f>
        <v>Wednesday</v>
      </c>
      <c r="H77">
        <v>2</v>
      </c>
      <c r="I77">
        <f t="shared" si="9"/>
        <v>1</v>
      </c>
      <c r="J77">
        <f t="shared" si="8"/>
        <v>44</v>
      </c>
    </row>
    <row r="78" spans="1:10" x14ac:dyDescent="0.2">
      <c r="A78">
        <v>77</v>
      </c>
      <c r="B78" s="23">
        <v>44868</v>
      </c>
      <c r="C78">
        <f t="shared" si="10"/>
        <v>0</v>
      </c>
      <c r="D78">
        <v>0</v>
      </c>
      <c r="E78">
        <f t="shared" si="11"/>
        <v>0</v>
      </c>
      <c r="F78" t="str">
        <f t="shared" si="12"/>
        <v>Thursday</v>
      </c>
      <c r="H78">
        <v>2</v>
      </c>
      <c r="I78">
        <f t="shared" si="9"/>
        <v>1</v>
      </c>
      <c r="J78">
        <f t="shared" si="8"/>
        <v>44</v>
      </c>
    </row>
    <row r="79" spans="1:10" x14ac:dyDescent="0.2">
      <c r="A79">
        <v>78</v>
      </c>
      <c r="B79" s="23">
        <v>44869</v>
      </c>
      <c r="C79">
        <f t="shared" si="10"/>
        <v>0</v>
      </c>
      <c r="D79">
        <v>0</v>
      </c>
      <c r="E79">
        <f t="shared" si="11"/>
        <v>0</v>
      </c>
      <c r="F79" t="str">
        <f t="shared" si="12"/>
        <v>Friday</v>
      </c>
      <c r="H79">
        <v>2</v>
      </c>
      <c r="I79">
        <f t="shared" si="9"/>
        <v>1</v>
      </c>
      <c r="J79">
        <f t="shared" si="8"/>
        <v>44</v>
      </c>
    </row>
    <row r="80" spans="1:10" x14ac:dyDescent="0.2">
      <c r="A80">
        <v>79</v>
      </c>
      <c r="B80" s="23">
        <v>44870</v>
      </c>
      <c r="C80">
        <f t="shared" si="10"/>
        <v>1</v>
      </c>
      <c r="D80">
        <v>0</v>
      </c>
      <c r="E80">
        <f t="shared" si="11"/>
        <v>1</v>
      </c>
      <c r="F80" t="str">
        <f t="shared" si="12"/>
        <v>Saturday</v>
      </c>
      <c r="H80">
        <v>2</v>
      </c>
      <c r="I80">
        <f t="shared" si="9"/>
        <v>1</v>
      </c>
      <c r="J80">
        <f t="shared" si="8"/>
        <v>44</v>
      </c>
    </row>
    <row r="81" spans="1:10" x14ac:dyDescent="0.2">
      <c r="A81">
        <v>80</v>
      </c>
      <c r="B81" s="23">
        <v>44871</v>
      </c>
      <c r="C81">
        <f t="shared" si="10"/>
        <v>1</v>
      </c>
      <c r="D81">
        <v>0</v>
      </c>
      <c r="E81">
        <f t="shared" si="11"/>
        <v>1</v>
      </c>
      <c r="F81" t="str">
        <f t="shared" si="12"/>
        <v>Sunday</v>
      </c>
      <c r="H81">
        <v>2</v>
      </c>
      <c r="I81">
        <f t="shared" si="9"/>
        <v>1</v>
      </c>
      <c r="J81">
        <f t="shared" si="8"/>
        <v>44</v>
      </c>
    </row>
    <row r="82" spans="1:10" x14ac:dyDescent="0.2">
      <c r="A82">
        <v>81</v>
      </c>
      <c r="B82" s="23">
        <v>44872</v>
      </c>
      <c r="C82">
        <f t="shared" si="10"/>
        <v>0</v>
      </c>
      <c r="D82">
        <v>0</v>
      </c>
      <c r="E82">
        <f t="shared" si="11"/>
        <v>0</v>
      </c>
      <c r="F82" t="str">
        <f t="shared" si="12"/>
        <v>Monday</v>
      </c>
      <c r="H82">
        <v>2</v>
      </c>
      <c r="I82">
        <f t="shared" si="9"/>
        <v>2</v>
      </c>
      <c r="J82">
        <f t="shared" si="8"/>
        <v>45</v>
      </c>
    </row>
    <row r="83" spans="1:10" x14ac:dyDescent="0.2">
      <c r="A83">
        <v>82</v>
      </c>
      <c r="B83" s="23">
        <v>44873</v>
      </c>
      <c r="C83">
        <f t="shared" si="10"/>
        <v>0</v>
      </c>
      <c r="D83">
        <v>0</v>
      </c>
      <c r="E83">
        <f t="shared" si="11"/>
        <v>0</v>
      </c>
      <c r="F83" t="str">
        <f t="shared" si="12"/>
        <v>Tuesday</v>
      </c>
      <c r="H83">
        <v>2</v>
      </c>
      <c r="I83">
        <f t="shared" si="9"/>
        <v>2</v>
      </c>
      <c r="J83">
        <f t="shared" si="8"/>
        <v>45</v>
      </c>
    </row>
    <row r="84" spans="1:10" x14ac:dyDescent="0.2">
      <c r="A84">
        <v>83</v>
      </c>
      <c r="B84" s="23">
        <v>44874</v>
      </c>
      <c r="C84">
        <f t="shared" si="10"/>
        <v>0</v>
      </c>
      <c r="D84">
        <v>0</v>
      </c>
      <c r="E84">
        <f t="shared" si="11"/>
        <v>0</v>
      </c>
      <c r="F84" t="str">
        <f t="shared" si="12"/>
        <v>Wednesday</v>
      </c>
      <c r="H84">
        <v>2</v>
      </c>
      <c r="I84">
        <f t="shared" si="9"/>
        <v>2</v>
      </c>
      <c r="J84">
        <f t="shared" si="8"/>
        <v>45</v>
      </c>
    </row>
    <row r="85" spans="1:10" x14ac:dyDescent="0.2">
      <c r="A85">
        <v>84</v>
      </c>
      <c r="B85" s="23">
        <v>44875</v>
      </c>
      <c r="C85">
        <f t="shared" si="10"/>
        <v>0</v>
      </c>
      <c r="D85">
        <v>0</v>
      </c>
      <c r="E85">
        <f t="shared" si="11"/>
        <v>0</v>
      </c>
      <c r="F85" t="str">
        <f t="shared" si="12"/>
        <v>Thursday</v>
      </c>
      <c r="H85">
        <v>2</v>
      </c>
      <c r="I85">
        <f t="shared" si="9"/>
        <v>2</v>
      </c>
      <c r="J85">
        <f t="shared" si="8"/>
        <v>45</v>
      </c>
    </row>
    <row r="86" spans="1:10" x14ac:dyDescent="0.2">
      <c r="A86">
        <v>85</v>
      </c>
      <c r="B86" s="23">
        <v>44876</v>
      </c>
      <c r="C86">
        <f t="shared" si="10"/>
        <v>0</v>
      </c>
      <c r="D86">
        <v>0</v>
      </c>
      <c r="E86">
        <f t="shared" si="11"/>
        <v>0</v>
      </c>
      <c r="F86" t="str">
        <f t="shared" si="12"/>
        <v>Friday</v>
      </c>
      <c r="H86">
        <v>2</v>
      </c>
      <c r="I86">
        <f t="shared" si="9"/>
        <v>2</v>
      </c>
      <c r="J86">
        <f t="shared" si="8"/>
        <v>45</v>
      </c>
    </row>
    <row r="87" spans="1:10" x14ac:dyDescent="0.2">
      <c r="A87">
        <v>86</v>
      </c>
      <c r="B87" s="23">
        <v>44877</v>
      </c>
      <c r="C87">
        <f t="shared" si="10"/>
        <v>1</v>
      </c>
      <c r="D87">
        <v>0</v>
      </c>
      <c r="E87">
        <f t="shared" si="11"/>
        <v>1</v>
      </c>
      <c r="F87" t="str">
        <f t="shared" si="12"/>
        <v>Saturday</v>
      </c>
      <c r="H87">
        <v>2</v>
      </c>
      <c r="I87">
        <f t="shared" si="9"/>
        <v>2</v>
      </c>
      <c r="J87">
        <f t="shared" si="8"/>
        <v>45</v>
      </c>
    </row>
    <row r="88" spans="1:10" x14ac:dyDescent="0.2">
      <c r="A88">
        <v>87</v>
      </c>
      <c r="B88" s="23">
        <v>44878</v>
      </c>
      <c r="C88">
        <f t="shared" si="10"/>
        <v>1</v>
      </c>
      <c r="D88">
        <v>0</v>
      </c>
      <c r="E88">
        <f t="shared" si="11"/>
        <v>1</v>
      </c>
      <c r="F88" t="str">
        <f t="shared" si="12"/>
        <v>Sunday</v>
      </c>
      <c r="H88">
        <v>2</v>
      </c>
      <c r="I88">
        <f t="shared" si="9"/>
        <v>2</v>
      </c>
      <c r="J88">
        <f t="shared" si="8"/>
        <v>45</v>
      </c>
    </row>
    <row r="89" spans="1:10" x14ac:dyDescent="0.2">
      <c r="A89">
        <v>88</v>
      </c>
      <c r="B89" s="23">
        <v>44879</v>
      </c>
      <c r="C89">
        <f t="shared" si="10"/>
        <v>0</v>
      </c>
      <c r="D89">
        <v>0</v>
      </c>
      <c r="E89">
        <f t="shared" si="11"/>
        <v>0</v>
      </c>
      <c r="F89" t="str">
        <f t="shared" si="12"/>
        <v>Monday</v>
      </c>
      <c r="H89">
        <v>2</v>
      </c>
      <c r="I89">
        <f t="shared" si="9"/>
        <v>3</v>
      </c>
      <c r="J89">
        <f t="shared" si="8"/>
        <v>46</v>
      </c>
    </row>
    <row r="90" spans="1:10" x14ac:dyDescent="0.2">
      <c r="A90">
        <v>89</v>
      </c>
      <c r="B90" s="23">
        <v>44880</v>
      </c>
      <c r="C90">
        <f t="shared" si="10"/>
        <v>0</v>
      </c>
      <c r="D90">
        <v>0</v>
      </c>
      <c r="E90">
        <f t="shared" si="11"/>
        <v>0</v>
      </c>
      <c r="F90" t="str">
        <f t="shared" si="12"/>
        <v>Tuesday</v>
      </c>
      <c r="H90">
        <v>2</v>
      </c>
      <c r="I90">
        <f t="shared" si="9"/>
        <v>3</v>
      </c>
      <c r="J90">
        <f t="shared" si="8"/>
        <v>46</v>
      </c>
    </row>
    <row r="91" spans="1:10" x14ac:dyDescent="0.2">
      <c r="A91">
        <v>90</v>
      </c>
      <c r="B91" s="23">
        <v>44881</v>
      </c>
      <c r="C91">
        <f t="shared" si="10"/>
        <v>0</v>
      </c>
      <c r="D91">
        <v>0</v>
      </c>
      <c r="E91">
        <f t="shared" si="11"/>
        <v>0</v>
      </c>
      <c r="F91" t="str">
        <f t="shared" si="12"/>
        <v>Wednesday</v>
      </c>
      <c r="H91">
        <v>2</v>
      </c>
      <c r="I91">
        <f t="shared" si="9"/>
        <v>3</v>
      </c>
      <c r="J91">
        <f t="shared" si="8"/>
        <v>46</v>
      </c>
    </row>
    <row r="92" spans="1:10" x14ac:dyDescent="0.2">
      <c r="A92">
        <v>91</v>
      </c>
      <c r="B92" s="23">
        <v>44882</v>
      </c>
      <c r="C92">
        <f t="shared" si="10"/>
        <v>0</v>
      </c>
      <c r="D92">
        <v>0</v>
      </c>
      <c r="E92">
        <f t="shared" si="11"/>
        <v>0</v>
      </c>
      <c r="F92" t="str">
        <f t="shared" si="12"/>
        <v>Thursday</v>
      </c>
      <c r="H92">
        <v>2</v>
      </c>
      <c r="I92">
        <f t="shared" si="9"/>
        <v>3</v>
      </c>
      <c r="J92">
        <f t="shared" si="8"/>
        <v>46</v>
      </c>
    </row>
    <row r="93" spans="1:10" x14ac:dyDescent="0.2">
      <c r="A93">
        <v>92</v>
      </c>
      <c r="B93" s="23">
        <v>44883</v>
      </c>
      <c r="C93">
        <f t="shared" si="10"/>
        <v>0</v>
      </c>
      <c r="D93">
        <v>0</v>
      </c>
      <c r="E93">
        <f t="shared" si="11"/>
        <v>0</v>
      </c>
      <c r="F93" t="str">
        <f t="shared" si="12"/>
        <v>Friday</v>
      </c>
      <c r="H93">
        <v>2</v>
      </c>
      <c r="I93">
        <f t="shared" si="9"/>
        <v>3</v>
      </c>
      <c r="J93">
        <f t="shared" si="8"/>
        <v>46</v>
      </c>
    </row>
    <row r="94" spans="1:10" x14ac:dyDescent="0.2">
      <c r="A94">
        <v>93</v>
      </c>
      <c r="B94" s="23">
        <v>44884</v>
      </c>
      <c r="C94">
        <f t="shared" si="10"/>
        <v>1</v>
      </c>
      <c r="D94">
        <v>0</v>
      </c>
      <c r="E94">
        <f t="shared" si="11"/>
        <v>1</v>
      </c>
      <c r="F94" t="str">
        <f t="shared" si="12"/>
        <v>Saturday</v>
      </c>
      <c r="H94">
        <v>2</v>
      </c>
      <c r="I94">
        <f t="shared" si="9"/>
        <v>3</v>
      </c>
      <c r="J94">
        <f t="shared" si="8"/>
        <v>46</v>
      </c>
    </row>
    <row r="95" spans="1:10" x14ac:dyDescent="0.2">
      <c r="A95">
        <v>94</v>
      </c>
      <c r="B95" s="23">
        <v>44885</v>
      </c>
      <c r="C95">
        <f t="shared" si="10"/>
        <v>1</v>
      </c>
      <c r="D95">
        <v>0</v>
      </c>
      <c r="E95">
        <f t="shared" si="11"/>
        <v>1</v>
      </c>
      <c r="F95" t="str">
        <f t="shared" si="12"/>
        <v>Sunday</v>
      </c>
      <c r="H95">
        <v>2</v>
      </c>
      <c r="I95">
        <f t="shared" si="9"/>
        <v>3</v>
      </c>
      <c r="J95">
        <f t="shared" si="8"/>
        <v>46</v>
      </c>
    </row>
    <row r="96" spans="1:10" x14ac:dyDescent="0.2">
      <c r="A96">
        <v>95</v>
      </c>
      <c r="B96" s="23">
        <v>44886</v>
      </c>
      <c r="C96">
        <f t="shared" si="10"/>
        <v>0</v>
      </c>
      <c r="D96">
        <v>0</v>
      </c>
      <c r="E96">
        <f t="shared" si="11"/>
        <v>0</v>
      </c>
      <c r="F96" t="str">
        <f t="shared" si="12"/>
        <v>Monday</v>
      </c>
      <c r="H96">
        <v>2</v>
      </c>
      <c r="I96">
        <f t="shared" si="9"/>
        <v>4</v>
      </c>
      <c r="J96">
        <f t="shared" si="8"/>
        <v>47</v>
      </c>
    </row>
    <row r="97" spans="1:10" x14ac:dyDescent="0.2">
      <c r="A97">
        <v>96</v>
      </c>
      <c r="B97" s="23">
        <v>44887</v>
      </c>
      <c r="C97">
        <f t="shared" si="10"/>
        <v>0</v>
      </c>
      <c r="D97">
        <v>0</v>
      </c>
      <c r="E97">
        <f t="shared" si="11"/>
        <v>0</v>
      </c>
      <c r="F97" t="str">
        <f t="shared" si="12"/>
        <v>Tuesday</v>
      </c>
      <c r="H97">
        <v>2</v>
      </c>
      <c r="I97">
        <f t="shared" si="9"/>
        <v>4</v>
      </c>
      <c r="J97">
        <f t="shared" si="8"/>
        <v>47</v>
      </c>
    </row>
    <row r="98" spans="1:10" x14ac:dyDescent="0.2">
      <c r="A98">
        <v>97</v>
      </c>
      <c r="B98" s="23">
        <v>44888</v>
      </c>
      <c r="C98">
        <f t="shared" si="10"/>
        <v>0</v>
      </c>
      <c r="D98">
        <v>0</v>
      </c>
      <c r="E98">
        <f t="shared" si="11"/>
        <v>0</v>
      </c>
      <c r="F98" t="str">
        <f t="shared" si="12"/>
        <v>Wednesday</v>
      </c>
      <c r="H98">
        <v>2</v>
      </c>
      <c r="I98">
        <f t="shared" si="9"/>
        <v>4</v>
      </c>
      <c r="J98">
        <f t="shared" si="8"/>
        <v>47</v>
      </c>
    </row>
    <row r="99" spans="1:10" x14ac:dyDescent="0.2">
      <c r="A99">
        <v>98</v>
      </c>
      <c r="B99" s="23">
        <v>44889</v>
      </c>
      <c r="C99">
        <f t="shared" si="10"/>
        <v>0</v>
      </c>
      <c r="D99">
        <v>0</v>
      </c>
      <c r="E99">
        <f t="shared" si="11"/>
        <v>0</v>
      </c>
      <c r="F99" t="str">
        <f t="shared" si="12"/>
        <v>Thursday</v>
      </c>
      <c r="H99">
        <v>2</v>
      </c>
      <c r="I99">
        <f t="shared" si="9"/>
        <v>4</v>
      </c>
      <c r="J99">
        <f t="shared" si="8"/>
        <v>47</v>
      </c>
    </row>
    <row r="100" spans="1:10" x14ac:dyDescent="0.2">
      <c r="A100">
        <v>99</v>
      </c>
      <c r="B100" s="23">
        <v>44890</v>
      </c>
      <c r="C100">
        <f t="shared" si="10"/>
        <v>0</v>
      </c>
      <c r="D100">
        <v>0</v>
      </c>
      <c r="E100">
        <f t="shared" si="11"/>
        <v>0</v>
      </c>
      <c r="F100" t="str">
        <f t="shared" si="12"/>
        <v>Friday</v>
      </c>
      <c r="H100">
        <v>2</v>
      </c>
      <c r="I100">
        <f t="shared" si="9"/>
        <v>4</v>
      </c>
      <c r="J100">
        <f t="shared" si="8"/>
        <v>47</v>
      </c>
    </row>
    <row r="101" spans="1:10" x14ac:dyDescent="0.2">
      <c r="A101">
        <v>100</v>
      </c>
      <c r="B101" s="23">
        <v>44891</v>
      </c>
      <c r="C101">
        <f t="shared" si="10"/>
        <v>1</v>
      </c>
      <c r="D101">
        <v>0</v>
      </c>
      <c r="E101">
        <f t="shared" si="11"/>
        <v>1</v>
      </c>
      <c r="F101" t="str">
        <f t="shared" si="12"/>
        <v>Saturday</v>
      </c>
      <c r="H101">
        <v>2</v>
      </c>
      <c r="I101">
        <f t="shared" si="9"/>
        <v>4</v>
      </c>
      <c r="J101">
        <f t="shared" si="8"/>
        <v>47</v>
      </c>
    </row>
    <row r="102" spans="1:10" x14ac:dyDescent="0.2">
      <c r="A102">
        <v>101</v>
      </c>
      <c r="B102" s="23">
        <v>44892</v>
      </c>
      <c r="C102">
        <f t="shared" si="10"/>
        <v>1</v>
      </c>
      <c r="D102">
        <v>0</v>
      </c>
      <c r="E102">
        <f t="shared" si="11"/>
        <v>1</v>
      </c>
      <c r="F102" t="str">
        <f t="shared" si="12"/>
        <v>Sunday</v>
      </c>
      <c r="H102">
        <v>2</v>
      </c>
      <c r="I102">
        <f t="shared" si="9"/>
        <v>4</v>
      </c>
      <c r="J102">
        <f t="shared" si="8"/>
        <v>47</v>
      </c>
    </row>
    <row r="103" spans="1:10" x14ac:dyDescent="0.2">
      <c r="A103">
        <v>102</v>
      </c>
      <c r="B103" s="23">
        <v>44893</v>
      </c>
      <c r="C103">
        <f t="shared" si="10"/>
        <v>0</v>
      </c>
      <c r="D103">
        <v>0</v>
      </c>
      <c r="E103">
        <f t="shared" si="11"/>
        <v>0</v>
      </c>
      <c r="F103" t="str">
        <f t="shared" si="12"/>
        <v>Monday</v>
      </c>
      <c r="H103">
        <v>2</v>
      </c>
      <c r="I103">
        <f t="shared" si="9"/>
        <v>5</v>
      </c>
      <c r="J103">
        <f t="shared" si="8"/>
        <v>48</v>
      </c>
    </row>
    <row r="104" spans="1:10" x14ac:dyDescent="0.2">
      <c r="A104">
        <v>103</v>
      </c>
      <c r="B104" s="23">
        <v>44894</v>
      </c>
      <c r="C104">
        <f t="shared" si="10"/>
        <v>0</v>
      </c>
      <c r="D104">
        <v>0</v>
      </c>
      <c r="E104">
        <f t="shared" si="11"/>
        <v>0</v>
      </c>
      <c r="F104" t="str">
        <f t="shared" si="12"/>
        <v>Tuesday</v>
      </c>
      <c r="H104">
        <v>2</v>
      </c>
      <c r="I104">
        <f t="shared" si="9"/>
        <v>5</v>
      </c>
      <c r="J104">
        <f t="shared" si="8"/>
        <v>48</v>
      </c>
    </row>
    <row r="105" spans="1:10" x14ac:dyDescent="0.2">
      <c r="A105">
        <v>104</v>
      </c>
      <c r="B105" s="23">
        <v>44895</v>
      </c>
      <c r="C105">
        <f t="shared" si="10"/>
        <v>0</v>
      </c>
      <c r="D105">
        <v>0</v>
      </c>
      <c r="E105">
        <f t="shared" si="11"/>
        <v>0</v>
      </c>
      <c r="F105" t="str">
        <f t="shared" si="12"/>
        <v>Wednesday</v>
      </c>
      <c r="H105">
        <v>2</v>
      </c>
      <c r="I105">
        <f t="shared" si="9"/>
        <v>5</v>
      </c>
      <c r="J105">
        <f t="shared" si="8"/>
        <v>48</v>
      </c>
    </row>
    <row r="106" spans="1:10" x14ac:dyDescent="0.2">
      <c r="A106">
        <v>105</v>
      </c>
      <c r="B106" s="23">
        <v>44896</v>
      </c>
      <c r="C106">
        <f t="shared" si="10"/>
        <v>0</v>
      </c>
      <c r="D106">
        <v>0</v>
      </c>
      <c r="E106">
        <f t="shared" si="11"/>
        <v>0</v>
      </c>
      <c r="F106" t="str">
        <f t="shared" si="12"/>
        <v>Thursday</v>
      </c>
      <c r="H106">
        <v>2</v>
      </c>
      <c r="I106">
        <f t="shared" si="9"/>
        <v>5</v>
      </c>
      <c r="J106">
        <f t="shared" si="8"/>
        <v>48</v>
      </c>
    </row>
    <row r="107" spans="1:10" x14ac:dyDescent="0.2">
      <c r="A107">
        <v>106</v>
      </c>
      <c r="B107" s="23">
        <v>44897</v>
      </c>
      <c r="C107">
        <f t="shared" si="10"/>
        <v>0</v>
      </c>
      <c r="D107">
        <v>0</v>
      </c>
      <c r="E107">
        <f t="shared" si="11"/>
        <v>0</v>
      </c>
      <c r="F107" t="str">
        <f t="shared" si="12"/>
        <v>Friday</v>
      </c>
      <c r="H107">
        <v>2</v>
      </c>
      <c r="I107">
        <f t="shared" si="9"/>
        <v>5</v>
      </c>
      <c r="J107">
        <f t="shared" si="8"/>
        <v>48</v>
      </c>
    </row>
    <row r="108" spans="1:10" x14ac:dyDescent="0.2">
      <c r="A108">
        <v>107</v>
      </c>
      <c r="B108" s="23">
        <v>44898</v>
      </c>
      <c r="C108">
        <f t="shared" si="10"/>
        <v>1</v>
      </c>
      <c r="D108">
        <v>0</v>
      </c>
      <c r="E108">
        <f t="shared" si="11"/>
        <v>1</v>
      </c>
      <c r="F108" t="str">
        <f t="shared" si="12"/>
        <v>Saturday</v>
      </c>
      <c r="H108">
        <v>2</v>
      </c>
      <c r="I108">
        <f t="shared" si="9"/>
        <v>5</v>
      </c>
      <c r="J108">
        <f t="shared" si="8"/>
        <v>48</v>
      </c>
    </row>
    <row r="109" spans="1:10" x14ac:dyDescent="0.2">
      <c r="A109">
        <v>108</v>
      </c>
      <c r="B109" s="23">
        <v>44899</v>
      </c>
      <c r="C109">
        <f t="shared" si="10"/>
        <v>1</v>
      </c>
      <c r="D109">
        <v>0</v>
      </c>
      <c r="E109">
        <f t="shared" si="11"/>
        <v>1</v>
      </c>
      <c r="F109" t="str">
        <f t="shared" si="12"/>
        <v>Sunday</v>
      </c>
      <c r="H109">
        <v>2</v>
      </c>
      <c r="I109">
        <f t="shared" si="9"/>
        <v>5</v>
      </c>
      <c r="J109">
        <f t="shared" si="8"/>
        <v>48</v>
      </c>
    </row>
    <row r="110" spans="1:10" x14ac:dyDescent="0.2">
      <c r="A110">
        <v>109</v>
      </c>
      <c r="B110" s="23">
        <v>44900</v>
      </c>
      <c r="C110">
        <f t="shared" si="10"/>
        <v>0</v>
      </c>
      <c r="D110">
        <v>0</v>
      </c>
      <c r="E110">
        <f t="shared" si="11"/>
        <v>0</v>
      </c>
      <c r="F110" t="str">
        <f t="shared" si="12"/>
        <v>Monday</v>
      </c>
      <c r="H110">
        <v>2</v>
      </c>
      <c r="I110">
        <f t="shared" si="9"/>
        <v>6</v>
      </c>
      <c r="J110">
        <f t="shared" si="8"/>
        <v>49</v>
      </c>
    </row>
    <row r="111" spans="1:10" x14ac:dyDescent="0.2">
      <c r="A111">
        <v>110</v>
      </c>
      <c r="B111" s="23">
        <v>44901</v>
      </c>
      <c r="C111">
        <f t="shared" si="10"/>
        <v>0</v>
      </c>
      <c r="D111">
        <v>0</v>
      </c>
      <c r="E111">
        <f t="shared" si="11"/>
        <v>0</v>
      </c>
      <c r="F111" t="str">
        <f t="shared" si="12"/>
        <v>Tuesday</v>
      </c>
      <c r="H111">
        <v>2</v>
      </c>
      <c r="I111">
        <f t="shared" si="9"/>
        <v>6</v>
      </c>
      <c r="J111">
        <f t="shared" si="8"/>
        <v>49</v>
      </c>
    </row>
    <row r="112" spans="1:10" x14ac:dyDescent="0.2">
      <c r="A112">
        <v>111</v>
      </c>
      <c r="B112" s="23">
        <v>44902</v>
      </c>
      <c r="C112">
        <f t="shared" si="10"/>
        <v>0</v>
      </c>
      <c r="D112">
        <v>0</v>
      </c>
      <c r="E112">
        <f t="shared" si="11"/>
        <v>0</v>
      </c>
      <c r="F112" t="str">
        <f t="shared" si="12"/>
        <v>Wednesday</v>
      </c>
      <c r="H112">
        <v>2</v>
      </c>
      <c r="I112">
        <f t="shared" si="9"/>
        <v>6</v>
      </c>
      <c r="J112">
        <f t="shared" si="8"/>
        <v>49</v>
      </c>
    </row>
    <row r="113" spans="1:10" x14ac:dyDescent="0.2">
      <c r="A113">
        <v>112</v>
      </c>
      <c r="B113" s="23">
        <v>44903</v>
      </c>
      <c r="C113">
        <f t="shared" si="10"/>
        <v>0</v>
      </c>
      <c r="D113">
        <v>0</v>
      </c>
      <c r="E113">
        <f t="shared" si="11"/>
        <v>0</v>
      </c>
      <c r="F113" t="str">
        <f t="shared" si="12"/>
        <v>Thursday</v>
      </c>
      <c r="H113">
        <v>2</v>
      </c>
      <c r="I113">
        <f t="shared" si="9"/>
        <v>6</v>
      </c>
      <c r="J113">
        <f t="shared" si="8"/>
        <v>49</v>
      </c>
    </row>
    <row r="114" spans="1:10" x14ac:dyDescent="0.2">
      <c r="A114">
        <v>113</v>
      </c>
      <c r="B114" s="23">
        <v>44904</v>
      </c>
      <c r="C114">
        <f t="shared" si="10"/>
        <v>0</v>
      </c>
      <c r="D114">
        <v>0</v>
      </c>
      <c r="E114">
        <f t="shared" si="11"/>
        <v>0</v>
      </c>
      <c r="F114" t="str">
        <f t="shared" si="12"/>
        <v>Friday</v>
      </c>
      <c r="H114">
        <v>2</v>
      </c>
      <c r="I114">
        <f t="shared" si="9"/>
        <v>6</v>
      </c>
      <c r="J114">
        <f t="shared" si="8"/>
        <v>49</v>
      </c>
    </row>
    <row r="115" spans="1:10" x14ac:dyDescent="0.2">
      <c r="A115">
        <v>114</v>
      </c>
      <c r="B115" s="23">
        <v>44905</v>
      </c>
      <c r="C115">
        <f t="shared" si="10"/>
        <v>1</v>
      </c>
      <c r="D115">
        <v>0</v>
      </c>
      <c r="E115">
        <f t="shared" si="11"/>
        <v>1</v>
      </c>
      <c r="F115" t="str">
        <f t="shared" si="12"/>
        <v>Saturday</v>
      </c>
      <c r="H115">
        <v>2</v>
      </c>
      <c r="I115">
        <f t="shared" si="9"/>
        <v>6</v>
      </c>
      <c r="J115">
        <f t="shared" si="8"/>
        <v>49</v>
      </c>
    </row>
    <row r="116" spans="1:10" x14ac:dyDescent="0.2">
      <c r="A116">
        <v>115</v>
      </c>
      <c r="B116" s="23">
        <v>44906</v>
      </c>
      <c r="C116">
        <f t="shared" si="10"/>
        <v>1</v>
      </c>
      <c r="D116">
        <v>0</v>
      </c>
      <c r="E116">
        <f t="shared" si="11"/>
        <v>1</v>
      </c>
      <c r="F116" t="str">
        <f t="shared" si="12"/>
        <v>Sunday</v>
      </c>
      <c r="H116">
        <v>2</v>
      </c>
      <c r="I116">
        <f t="shared" si="9"/>
        <v>6</v>
      </c>
      <c r="J116">
        <f t="shared" si="8"/>
        <v>49</v>
      </c>
    </row>
    <row r="117" spans="1:10" x14ac:dyDescent="0.2">
      <c r="A117">
        <v>116</v>
      </c>
      <c r="B117" s="23">
        <v>44907</v>
      </c>
      <c r="C117">
        <f t="shared" si="10"/>
        <v>0</v>
      </c>
      <c r="D117">
        <v>0</v>
      </c>
      <c r="E117">
        <f t="shared" si="11"/>
        <v>0</v>
      </c>
      <c r="F117" t="str">
        <f t="shared" si="12"/>
        <v>Monday</v>
      </c>
      <c r="H117">
        <v>2</v>
      </c>
      <c r="I117">
        <f t="shared" si="9"/>
        <v>7</v>
      </c>
      <c r="J117">
        <f t="shared" si="8"/>
        <v>50</v>
      </c>
    </row>
    <row r="118" spans="1:10" x14ac:dyDescent="0.2">
      <c r="A118">
        <v>117</v>
      </c>
      <c r="B118" s="23">
        <v>44908</v>
      </c>
      <c r="C118">
        <f t="shared" si="10"/>
        <v>0</v>
      </c>
      <c r="D118">
        <v>0</v>
      </c>
      <c r="E118">
        <f t="shared" si="11"/>
        <v>0</v>
      </c>
      <c r="F118" t="str">
        <f t="shared" si="12"/>
        <v>Tuesday</v>
      </c>
      <c r="H118">
        <v>2</v>
      </c>
      <c r="I118">
        <f t="shared" si="9"/>
        <v>7</v>
      </c>
      <c r="J118">
        <f t="shared" si="8"/>
        <v>50</v>
      </c>
    </row>
    <row r="119" spans="1:10" x14ac:dyDescent="0.2">
      <c r="A119">
        <v>118</v>
      </c>
      <c r="B119" s="23">
        <v>44909</v>
      </c>
      <c r="C119">
        <f t="shared" si="10"/>
        <v>0</v>
      </c>
      <c r="D119">
        <v>0</v>
      </c>
      <c r="E119">
        <f t="shared" si="11"/>
        <v>0</v>
      </c>
      <c r="F119" t="str">
        <f t="shared" si="12"/>
        <v>Wednesday</v>
      </c>
      <c r="H119">
        <v>2</v>
      </c>
      <c r="I119">
        <f t="shared" si="9"/>
        <v>7</v>
      </c>
      <c r="J119">
        <f t="shared" si="8"/>
        <v>50</v>
      </c>
    </row>
    <row r="120" spans="1:10" x14ac:dyDescent="0.2">
      <c r="A120">
        <v>119</v>
      </c>
      <c r="B120" s="23">
        <v>44910</v>
      </c>
      <c r="C120">
        <f t="shared" si="10"/>
        <v>0</v>
      </c>
      <c r="D120">
        <v>0</v>
      </c>
      <c r="E120">
        <f t="shared" si="11"/>
        <v>0</v>
      </c>
      <c r="F120" t="str">
        <f t="shared" si="12"/>
        <v>Thursday</v>
      </c>
      <c r="H120">
        <v>2</v>
      </c>
      <c r="I120">
        <f t="shared" si="9"/>
        <v>7</v>
      </c>
      <c r="J120">
        <f t="shared" si="8"/>
        <v>50</v>
      </c>
    </row>
    <row r="121" spans="1:10" x14ac:dyDescent="0.2">
      <c r="A121">
        <v>120</v>
      </c>
      <c r="B121" s="23">
        <v>44911</v>
      </c>
      <c r="C121">
        <f t="shared" si="10"/>
        <v>0</v>
      </c>
      <c r="D121">
        <v>0</v>
      </c>
      <c r="E121">
        <f t="shared" si="11"/>
        <v>0</v>
      </c>
      <c r="F121" t="str">
        <f t="shared" si="12"/>
        <v>Friday</v>
      </c>
      <c r="H121">
        <v>2</v>
      </c>
      <c r="I121">
        <f t="shared" si="9"/>
        <v>7</v>
      </c>
      <c r="J121">
        <f t="shared" si="8"/>
        <v>50</v>
      </c>
    </row>
    <row r="122" spans="1:10" x14ac:dyDescent="0.2">
      <c r="A122">
        <v>121</v>
      </c>
      <c r="B122" s="23">
        <v>44912</v>
      </c>
      <c r="C122">
        <f t="shared" si="10"/>
        <v>1</v>
      </c>
      <c r="D122">
        <v>0</v>
      </c>
      <c r="E122">
        <f t="shared" si="11"/>
        <v>1</v>
      </c>
      <c r="F122" t="str">
        <f t="shared" si="12"/>
        <v>Saturday</v>
      </c>
      <c r="H122">
        <v>2</v>
      </c>
      <c r="I122">
        <f t="shared" si="9"/>
        <v>7</v>
      </c>
      <c r="J122">
        <f t="shared" si="8"/>
        <v>50</v>
      </c>
    </row>
    <row r="123" spans="1:10" x14ac:dyDescent="0.2">
      <c r="A123">
        <v>122</v>
      </c>
      <c r="B123" s="23">
        <v>44913</v>
      </c>
      <c r="C123">
        <f t="shared" si="10"/>
        <v>1</v>
      </c>
      <c r="D123">
        <v>0</v>
      </c>
      <c r="E123">
        <f t="shared" si="11"/>
        <v>1</v>
      </c>
      <c r="F123" t="str">
        <f t="shared" si="12"/>
        <v>Sunday</v>
      </c>
      <c r="H123">
        <v>2</v>
      </c>
      <c r="I123">
        <f t="shared" si="9"/>
        <v>7</v>
      </c>
      <c r="J123">
        <f t="shared" si="8"/>
        <v>50</v>
      </c>
    </row>
    <row r="124" spans="1:10" x14ac:dyDescent="0.2">
      <c r="A124">
        <v>123</v>
      </c>
      <c r="B124" s="23">
        <v>44914</v>
      </c>
      <c r="C124">
        <f t="shared" si="10"/>
        <v>0</v>
      </c>
      <c r="D124">
        <v>0</v>
      </c>
      <c r="E124">
        <f t="shared" si="11"/>
        <v>0</v>
      </c>
      <c r="F124" t="str">
        <f t="shared" si="12"/>
        <v>Monday</v>
      </c>
      <c r="H124">
        <v>2</v>
      </c>
      <c r="I124">
        <f t="shared" si="9"/>
        <v>8</v>
      </c>
      <c r="J124">
        <f t="shared" si="8"/>
        <v>51</v>
      </c>
    </row>
    <row r="125" spans="1:10" x14ac:dyDescent="0.2">
      <c r="A125">
        <v>124</v>
      </c>
      <c r="B125" s="23">
        <v>44915</v>
      </c>
      <c r="C125">
        <f t="shared" si="10"/>
        <v>0</v>
      </c>
      <c r="D125">
        <v>0</v>
      </c>
      <c r="E125">
        <f t="shared" si="11"/>
        <v>0</v>
      </c>
      <c r="F125" t="str">
        <f t="shared" si="12"/>
        <v>Tuesday</v>
      </c>
      <c r="H125">
        <v>2</v>
      </c>
      <c r="I125">
        <f t="shared" si="9"/>
        <v>8</v>
      </c>
      <c r="J125">
        <f t="shared" si="8"/>
        <v>51</v>
      </c>
    </row>
    <row r="126" spans="1:10" x14ac:dyDescent="0.2">
      <c r="A126">
        <v>125</v>
      </c>
      <c r="B126" s="23">
        <v>44916</v>
      </c>
      <c r="C126">
        <f t="shared" si="10"/>
        <v>0</v>
      </c>
      <c r="D126">
        <v>0</v>
      </c>
      <c r="E126">
        <f t="shared" si="11"/>
        <v>0</v>
      </c>
      <c r="F126" t="str">
        <f t="shared" si="12"/>
        <v>Wednesday</v>
      </c>
      <c r="H126">
        <v>2</v>
      </c>
      <c r="I126">
        <f t="shared" si="9"/>
        <v>8</v>
      </c>
      <c r="J126">
        <f t="shared" si="8"/>
        <v>51</v>
      </c>
    </row>
    <row r="127" spans="1:10" x14ac:dyDescent="0.2">
      <c r="A127">
        <v>126</v>
      </c>
      <c r="B127" s="23">
        <v>44917</v>
      </c>
      <c r="C127">
        <f t="shared" si="10"/>
        <v>0</v>
      </c>
      <c r="D127">
        <v>0</v>
      </c>
      <c r="E127">
        <f t="shared" si="11"/>
        <v>0</v>
      </c>
      <c r="F127" t="str">
        <f t="shared" si="12"/>
        <v>Thursday</v>
      </c>
      <c r="H127">
        <v>2</v>
      </c>
      <c r="I127">
        <f t="shared" si="9"/>
        <v>8</v>
      </c>
      <c r="J127">
        <f t="shared" si="8"/>
        <v>51</v>
      </c>
    </row>
    <row r="128" spans="1:10" x14ac:dyDescent="0.2">
      <c r="A128">
        <v>127</v>
      </c>
      <c r="B128" s="23">
        <v>44918</v>
      </c>
      <c r="C128">
        <f t="shared" si="10"/>
        <v>0</v>
      </c>
      <c r="D128">
        <v>0</v>
      </c>
      <c r="E128">
        <f t="shared" si="11"/>
        <v>0</v>
      </c>
      <c r="F128" t="str">
        <f t="shared" si="12"/>
        <v>Friday</v>
      </c>
      <c r="H128">
        <v>2</v>
      </c>
      <c r="I128">
        <f t="shared" si="9"/>
        <v>8</v>
      </c>
      <c r="J128">
        <f t="shared" si="8"/>
        <v>51</v>
      </c>
    </row>
    <row r="129" spans="1:10" x14ac:dyDescent="0.2">
      <c r="A129">
        <v>128</v>
      </c>
      <c r="B129" s="23">
        <v>44919</v>
      </c>
      <c r="C129">
        <f t="shared" si="10"/>
        <v>1</v>
      </c>
      <c r="D129">
        <v>0</v>
      </c>
      <c r="E129">
        <f t="shared" si="11"/>
        <v>1</v>
      </c>
      <c r="F129" t="str">
        <f t="shared" si="12"/>
        <v>Saturday</v>
      </c>
      <c r="H129">
        <v>2</v>
      </c>
      <c r="I129">
        <f t="shared" si="9"/>
        <v>8</v>
      </c>
      <c r="J129">
        <f t="shared" si="8"/>
        <v>51</v>
      </c>
    </row>
    <row r="130" spans="1:10" x14ac:dyDescent="0.2">
      <c r="A130">
        <v>129</v>
      </c>
      <c r="B130" s="23">
        <v>44920</v>
      </c>
      <c r="C130">
        <f t="shared" si="10"/>
        <v>1</v>
      </c>
      <c r="D130">
        <v>1</v>
      </c>
      <c r="E130">
        <f t="shared" si="11"/>
        <v>1</v>
      </c>
      <c r="F130" t="str">
        <f t="shared" si="12"/>
        <v>Sunday</v>
      </c>
      <c r="G130" t="s">
        <v>1806</v>
      </c>
      <c r="H130">
        <v>2</v>
      </c>
      <c r="I130">
        <f t="shared" si="9"/>
        <v>8</v>
      </c>
      <c r="J130">
        <f t="shared" si="8"/>
        <v>51</v>
      </c>
    </row>
    <row r="131" spans="1:10" x14ac:dyDescent="0.2">
      <c r="A131">
        <v>130</v>
      </c>
      <c r="B131" s="23">
        <v>44921</v>
      </c>
      <c r="C131">
        <f t="shared" si="10"/>
        <v>0</v>
      </c>
      <c r="D131">
        <v>1</v>
      </c>
      <c r="E131">
        <f t="shared" si="11"/>
        <v>1</v>
      </c>
      <c r="F131" t="str">
        <f t="shared" si="12"/>
        <v>Monday</v>
      </c>
      <c r="G131" t="s">
        <v>1806</v>
      </c>
      <c r="H131">
        <v>2</v>
      </c>
      <c r="I131">
        <f t="shared" si="9"/>
        <v>9</v>
      </c>
      <c r="J131">
        <f t="shared" ref="J131:J194" si="13">_xlfn.ISOWEEKNUM(B131)</f>
        <v>52</v>
      </c>
    </row>
    <row r="132" spans="1:10" x14ac:dyDescent="0.2">
      <c r="A132">
        <v>131</v>
      </c>
      <c r="B132" s="23">
        <v>44922</v>
      </c>
      <c r="C132">
        <f t="shared" si="10"/>
        <v>0</v>
      </c>
      <c r="D132">
        <v>1</v>
      </c>
      <c r="E132">
        <f t="shared" si="11"/>
        <v>1</v>
      </c>
      <c r="F132" t="str">
        <f t="shared" si="12"/>
        <v>Tuesday</v>
      </c>
      <c r="G132" t="s">
        <v>1806</v>
      </c>
      <c r="H132">
        <v>2</v>
      </c>
      <c r="I132">
        <f t="shared" si="9"/>
        <v>9</v>
      </c>
      <c r="J132">
        <f t="shared" si="13"/>
        <v>52</v>
      </c>
    </row>
    <row r="133" spans="1:10" x14ac:dyDescent="0.2">
      <c r="A133">
        <v>132</v>
      </c>
      <c r="B133" s="23">
        <v>44923</v>
      </c>
      <c r="C133">
        <f t="shared" si="10"/>
        <v>0</v>
      </c>
      <c r="D133">
        <v>1</v>
      </c>
      <c r="E133">
        <f t="shared" si="11"/>
        <v>1</v>
      </c>
      <c r="F133" t="str">
        <f t="shared" si="12"/>
        <v>Wednesday</v>
      </c>
      <c r="G133" t="s">
        <v>1806</v>
      </c>
      <c r="H133">
        <v>2</v>
      </c>
      <c r="I133">
        <f t="shared" si="9"/>
        <v>9</v>
      </c>
      <c r="J133">
        <f t="shared" si="13"/>
        <v>52</v>
      </c>
    </row>
    <row r="134" spans="1:10" x14ac:dyDescent="0.2">
      <c r="A134">
        <v>133</v>
      </c>
      <c r="B134" s="23">
        <v>44924</v>
      </c>
      <c r="C134">
        <f t="shared" si="10"/>
        <v>0</v>
      </c>
      <c r="D134">
        <v>1</v>
      </c>
      <c r="E134">
        <f t="shared" si="11"/>
        <v>1</v>
      </c>
      <c r="F134" t="str">
        <f t="shared" si="12"/>
        <v>Thursday</v>
      </c>
      <c r="G134" t="s">
        <v>1806</v>
      </c>
      <c r="H134">
        <v>2</v>
      </c>
      <c r="I134">
        <f t="shared" ref="I134:I197" si="14">IF(J134&gt;J133, IF(H134&lt;&gt;H133,1, I133+1),I133)</f>
        <v>9</v>
      </c>
      <c r="J134">
        <f t="shared" si="13"/>
        <v>52</v>
      </c>
    </row>
    <row r="135" spans="1:10" x14ac:dyDescent="0.2">
      <c r="A135">
        <v>134</v>
      </c>
      <c r="B135" s="23">
        <v>44925</v>
      </c>
      <c r="C135">
        <f t="shared" si="10"/>
        <v>0</v>
      </c>
      <c r="D135">
        <v>1</v>
      </c>
      <c r="E135">
        <f t="shared" si="11"/>
        <v>1</v>
      </c>
      <c r="F135" t="str">
        <f t="shared" si="12"/>
        <v>Friday</v>
      </c>
      <c r="G135" t="s">
        <v>1806</v>
      </c>
      <c r="H135">
        <v>2</v>
      </c>
      <c r="I135">
        <f t="shared" si="14"/>
        <v>9</v>
      </c>
      <c r="J135">
        <f t="shared" si="13"/>
        <v>52</v>
      </c>
    </row>
    <row r="136" spans="1:10" x14ac:dyDescent="0.2">
      <c r="A136">
        <v>135</v>
      </c>
      <c r="B136" s="23">
        <v>44926</v>
      </c>
      <c r="C136">
        <f t="shared" si="10"/>
        <v>1</v>
      </c>
      <c r="D136">
        <v>1</v>
      </c>
      <c r="E136">
        <f t="shared" si="11"/>
        <v>1</v>
      </c>
      <c r="F136" t="str">
        <f t="shared" si="12"/>
        <v>Saturday</v>
      </c>
      <c r="G136" t="s">
        <v>1806</v>
      </c>
      <c r="H136">
        <v>2</v>
      </c>
      <c r="I136">
        <f t="shared" si="14"/>
        <v>9</v>
      </c>
      <c r="J136">
        <f t="shared" si="13"/>
        <v>52</v>
      </c>
    </row>
    <row r="137" spans="1:10" x14ac:dyDescent="0.2">
      <c r="A137">
        <v>136</v>
      </c>
      <c r="B137" s="23">
        <v>44927</v>
      </c>
      <c r="C137">
        <f t="shared" si="10"/>
        <v>1</v>
      </c>
      <c r="D137">
        <v>1</v>
      </c>
      <c r="E137">
        <f t="shared" si="11"/>
        <v>1</v>
      </c>
      <c r="F137" t="str">
        <f t="shared" si="12"/>
        <v>Sunday</v>
      </c>
      <c r="G137" t="s">
        <v>1806</v>
      </c>
      <c r="H137">
        <v>2</v>
      </c>
      <c r="I137">
        <f t="shared" si="14"/>
        <v>9</v>
      </c>
      <c r="J137">
        <f t="shared" si="13"/>
        <v>52</v>
      </c>
    </row>
    <row r="138" spans="1:10" x14ac:dyDescent="0.2">
      <c r="A138">
        <v>137</v>
      </c>
      <c r="B138" s="23">
        <v>44928</v>
      </c>
      <c r="C138">
        <f t="shared" si="10"/>
        <v>0</v>
      </c>
      <c r="D138">
        <v>1</v>
      </c>
      <c r="E138">
        <f t="shared" si="11"/>
        <v>1</v>
      </c>
      <c r="F138" t="str">
        <f t="shared" si="12"/>
        <v>Monday</v>
      </c>
      <c r="G138" t="s">
        <v>1806</v>
      </c>
      <c r="H138">
        <v>2</v>
      </c>
      <c r="I138">
        <f t="shared" si="14"/>
        <v>9</v>
      </c>
      <c r="J138">
        <f t="shared" si="13"/>
        <v>1</v>
      </c>
    </row>
    <row r="139" spans="1:10" x14ac:dyDescent="0.2">
      <c r="A139">
        <v>138</v>
      </c>
      <c r="B139" s="23">
        <v>44929</v>
      </c>
      <c r="C139">
        <f t="shared" si="10"/>
        <v>0</v>
      </c>
      <c r="D139">
        <v>1</v>
      </c>
      <c r="E139">
        <f t="shared" si="11"/>
        <v>1</v>
      </c>
      <c r="F139" t="str">
        <f t="shared" si="12"/>
        <v>Tuesday</v>
      </c>
      <c r="G139" t="s">
        <v>1806</v>
      </c>
      <c r="H139">
        <v>2</v>
      </c>
      <c r="I139">
        <f t="shared" si="14"/>
        <v>9</v>
      </c>
      <c r="J139">
        <f t="shared" si="13"/>
        <v>1</v>
      </c>
    </row>
    <row r="140" spans="1:10" x14ac:dyDescent="0.2">
      <c r="A140">
        <v>139</v>
      </c>
      <c r="B140" s="23">
        <v>44930</v>
      </c>
      <c r="C140">
        <f t="shared" si="10"/>
        <v>0</v>
      </c>
      <c r="D140">
        <v>1</v>
      </c>
      <c r="E140">
        <f t="shared" si="11"/>
        <v>1</v>
      </c>
      <c r="F140" t="str">
        <f t="shared" si="12"/>
        <v>Wednesday</v>
      </c>
      <c r="G140" t="s">
        <v>1806</v>
      </c>
      <c r="H140">
        <v>2</v>
      </c>
      <c r="I140">
        <f t="shared" si="14"/>
        <v>9</v>
      </c>
      <c r="J140">
        <f t="shared" si="13"/>
        <v>1</v>
      </c>
    </row>
    <row r="141" spans="1:10" x14ac:dyDescent="0.2">
      <c r="A141">
        <v>140</v>
      </c>
      <c r="B141" s="23">
        <v>44931</v>
      </c>
      <c r="C141">
        <f t="shared" ref="C141:C204" si="15">IF(OR(WEEKDAY(B141) = 7, WEEKDAY(B141) = 1), 1, 0)</f>
        <v>0</v>
      </c>
      <c r="D141">
        <v>1</v>
      </c>
      <c r="E141">
        <f t="shared" ref="E141:E204" si="16">IF((C141+D141)&gt;0, 1, 0)</f>
        <v>1</v>
      </c>
      <c r="F141" t="str">
        <f t="shared" ref="F141:F204" si="17">TEXT(B141, "dddd")</f>
        <v>Thursday</v>
      </c>
      <c r="G141" t="s">
        <v>1806</v>
      </c>
      <c r="H141">
        <v>2</v>
      </c>
      <c r="I141">
        <f t="shared" si="14"/>
        <v>9</v>
      </c>
      <c r="J141">
        <f t="shared" si="13"/>
        <v>1</v>
      </c>
    </row>
    <row r="142" spans="1:10" x14ac:dyDescent="0.2">
      <c r="A142">
        <v>141</v>
      </c>
      <c r="B142" s="23">
        <v>44932</v>
      </c>
      <c r="C142">
        <f t="shared" si="15"/>
        <v>0</v>
      </c>
      <c r="D142">
        <v>1</v>
      </c>
      <c r="E142">
        <f t="shared" si="16"/>
        <v>1</v>
      </c>
      <c r="F142" t="str">
        <f t="shared" si="17"/>
        <v>Friday</v>
      </c>
      <c r="G142" t="s">
        <v>1806</v>
      </c>
      <c r="H142">
        <v>2</v>
      </c>
      <c r="I142">
        <f t="shared" si="14"/>
        <v>9</v>
      </c>
      <c r="J142">
        <f t="shared" si="13"/>
        <v>1</v>
      </c>
    </row>
    <row r="143" spans="1:10" x14ac:dyDescent="0.2">
      <c r="A143">
        <v>142</v>
      </c>
      <c r="B143" s="23">
        <v>44933</v>
      </c>
      <c r="C143">
        <f t="shared" si="15"/>
        <v>1</v>
      </c>
      <c r="D143">
        <v>1</v>
      </c>
      <c r="E143">
        <f t="shared" si="16"/>
        <v>1</v>
      </c>
      <c r="F143" t="str">
        <f t="shared" si="17"/>
        <v>Saturday</v>
      </c>
      <c r="G143" t="s">
        <v>1806</v>
      </c>
      <c r="H143">
        <v>2</v>
      </c>
      <c r="I143">
        <f t="shared" si="14"/>
        <v>9</v>
      </c>
      <c r="J143">
        <f t="shared" si="13"/>
        <v>1</v>
      </c>
    </row>
    <row r="144" spans="1:10" x14ac:dyDescent="0.2">
      <c r="A144">
        <v>143</v>
      </c>
      <c r="B144" s="23">
        <v>44934</v>
      </c>
      <c r="C144">
        <f t="shared" si="15"/>
        <v>1</v>
      </c>
      <c r="D144">
        <v>1</v>
      </c>
      <c r="E144">
        <f t="shared" si="16"/>
        <v>1</v>
      </c>
      <c r="F144" t="str">
        <f t="shared" si="17"/>
        <v>Sunday</v>
      </c>
      <c r="G144" t="s">
        <v>1806</v>
      </c>
      <c r="H144">
        <v>2</v>
      </c>
      <c r="I144">
        <f t="shared" si="14"/>
        <v>9</v>
      </c>
      <c r="J144">
        <f t="shared" si="13"/>
        <v>1</v>
      </c>
    </row>
    <row r="145" spans="1:10" x14ac:dyDescent="0.2">
      <c r="A145">
        <v>144</v>
      </c>
      <c r="B145" s="23">
        <v>44935</v>
      </c>
      <c r="C145">
        <f t="shared" si="15"/>
        <v>0</v>
      </c>
      <c r="D145">
        <v>1</v>
      </c>
      <c r="E145">
        <f t="shared" si="16"/>
        <v>1</v>
      </c>
      <c r="F145" t="str">
        <f t="shared" si="17"/>
        <v>Monday</v>
      </c>
      <c r="G145" t="s">
        <v>1805</v>
      </c>
      <c r="H145">
        <v>3</v>
      </c>
      <c r="I145">
        <f t="shared" si="14"/>
        <v>1</v>
      </c>
      <c r="J145">
        <f t="shared" si="13"/>
        <v>2</v>
      </c>
    </row>
    <row r="146" spans="1:10" x14ac:dyDescent="0.2">
      <c r="A146">
        <v>145</v>
      </c>
      <c r="B146" s="23">
        <v>44936</v>
      </c>
      <c r="C146">
        <f t="shared" si="15"/>
        <v>0</v>
      </c>
      <c r="D146">
        <v>0</v>
      </c>
      <c r="E146">
        <f t="shared" si="16"/>
        <v>0</v>
      </c>
      <c r="F146" t="str">
        <f t="shared" si="17"/>
        <v>Tuesday</v>
      </c>
      <c r="H146">
        <v>3</v>
      </c>
      <c r="I146">
        <f t="shared" si="14"/>
        <v>1</v>
      </c>
      <c r="J146">
        <f t="shared" si="13"/>
        <v>2</v>
      </c>
    </row>
    <row r="147" spans="1:10" x14ac:dyDescent="0.2">
      <c r="A147">
        <v>146</v>
      </c>
      <c r="B147" s="23">
        <v>44937</v>
      </c>
      <c r="C147">
        <f t="shared" si="15"/>
        <v>0</v>
      </c>
      <c r="D147">
        <v>0</v>
      </c>
      <c r="E147">
        <f t="shared" si="16"/>
        <v>0</v>
      </c>
      <c r="F147" t="str">
        <f t="shared" si="17"/>
        <v>Wednesday</v>
      </c>
      <c r="H147">
        <v>3</v>
      </c>
      <c r="I147">
        <f t="shared" si="14"/>
        <v>1</v>
      </c>
      <c r="J147">
        <f t="shared" si="13"/>
        <v>2</v>
      </c>
    </row>
    <row r="148" spans="1:10" x14ac:dyDescent="0.2">
      <c r="A148">
        <v>147</v>
      </c>
      <c r="B148" s="23">
        <v>44938</v>
      </c>
      <c r="C148">
        <f t="shared" si="15"/>
        <v>0</v>
      </c>
      <c r="D148">
        <v>0</v>
      </c>
      <c r="E148">
        <f t="shared" si="16"/>
        <v>0</v>
      </c>
      <c r="F148" t="str">
        <f t="shared" si="17"/>
        <v>Thursday</v>
      </c>
      <c r="H148">
        <v>3</v>
      </c>
      <c r="I148">
        <f t="shared" si="14"/>
        <v>1</v>
      </c>
      <c r="J148">
        <f t="shared" si="13"/>
        <v>2</v>
      </c>
    </row>
    <row r="149" spans="1:10" x14ac:dyDescent="0.2">
      <c r="A149">
        <v>148</v>
      </c>
      <c r="B149" s="23">
        <v>44939</v>
      </c>
      <c r="C149">
        <f t="shared" si="15"/>
        <v>0</v>
      </c>
      <c r="D149">
        <v>0</v>
      </c>
      <c r="E149">
        <f t="shared" si="16"/>
        <v>0</v>
      </c>
      <c r="F149" t="str">
        <f t="shared" si="17"/>
        <v>Friday</v>
      </c>
      <c r="H149">
        <v>3</v>
      </c>
      <c r="I149">
        <f t="shared" si="14"/>
        <v>1</v>
      </c>
      <c r="J149">
        <f t="shared" si="13"/>
        <v>2</v>
      </c>
    </row>
    <row r="150" spans="1:10" x14ac:dyDescent="0.2">
      <c r="A150">
        <v>149</v>
      </c>
      <c r="B150" s="23">
        <v>44940</v>
      </c>
      <c r="C150">
        <f t="shared" si="15"/>
        <v>1</v>
      </c>
      <c r="D150">
        <v>0</v>
      </c>
      <c r="E150">
        <f t="shared" si="16"/>
        <v>1</v>
      </c>
      <c r="F150" t="str">
        <f t="shared" si="17"/>
        <v>Saturday</v>
      </c>
      <c r="H150">
        <v>3</v>
      </c>
      <c r="I150">
        <f t="shared" si="14"/>
        <v>1</v>
      </c>
      <c r="J150">
        <f t="shared" si="13"/>
        <v>2</v>
      </c>
    </row>
    <row r="151" spans="1:10" x14ac:dyDescent="0.2">
      <c r="A151">
        <v>150</v>
      </c>
      <c r="B151" s="23">
        <v>44941</v>
      </c>
      <c r="C151">
        <f t="shared" si="15"/>
        <v>1</v>
      </c>
      <c r="D151">
        <v>0</v>
      </c>
      <c r="E151">
        <f t="shared" si="16"/>
        <v>1</v>
      </c>
      <c r="F151" t="str">
        <f t="shared" si="17"/>
        <v>Sunday</v>
      </c>
      <c r="H151">
        <v>3</v>
      </c>
      <c r="I151">
        <f t="shared" si="14"/>
        <v>1</v>
      </c>
      <c r="J151">
        <f t="shared" si="13"/>
        <v>2</v>
      </c>
    </row>
    <row r="152" spans="1:10" x14ac:dyDescent="0.2">
      <c r="A152">
        <v>151</v>
      </c>
      <c r="B152" s="23">
        <v>44942</v>
      </c>
      <c r="C152">
        <f t="shared" si="15"/>
        <v>0</v>
      </c>
      <c r="D152">
        <v>0</v>
      </c>
      <c r="E152">
        <f t="shared" si="16"/>
        <v>0</v>
      </c>
      <c r="F152" t="str">
        <f t="shared" si="17"/>
        <v>Monday</v>
      </c>
      <c r="H152">
        <v>3</v>
      </c>
      <c r="I152">
        <f t="shared" si="14"/>
        <v>2</v>
      </c>
      <c r="J152">
        <f t="shared" si="13"/>
        <v>3</v>
      </c>
    </row>
    <row r="153" spans="1:10" x14ac:dyDescent="0.2">
      <c r="A153">
        <v>152</v>
      </c>
      <c r="B153" s="23">
        <v>44943</v>
      </c>
      <c r="C153">
        <f t="shared" si="15"/>
        <v>0</v>
      </c>
      <c r="D153">
        <v>0</v>
      </c>
      <c r="E153">
        <f t="shared" si="16"/>
        <v>0</v>
      </c>
      <c r="F153" t="str">
        <f t="shared" si="17"/>
        <v>Tuesday</v>
      </c>
      <c r="H153">
        <v>3</v>
      </c>
      <c r="I153">
        <f t="shared" si="14"/>
        <v>2</v>
      </c>
      <c r="J153">
        <f t="shared" si="13"/>
        <v>3</v>
      </c>
    </row>
    <row r="154" spans="1:10" x14ac:dyDescent="0.2">
      <c r="A154">
        <v>153</v>
      </c>
      <c r="B154" s="23">
        <v>44944</v>
      </c>
      <c r="C154">
        <f t="shared" si="15"/>
        <v>0</v>
      </c>
      <c r="D154">
        <v>0</v>
      </c>
      <c r="E154">
        <f t="shared" si="16"/>
        <v>0</v>
      </c>
      <c r="F154" t="str">
        <f t="shared" si="17"/>
        <v>Wednesday</v>
      </c>
      <c r="H154">
        <v>3</v>
      </c>
      <c r="I154">
        <f t="shared" si="14"/>
        <v>2</v>
      </c>
      <c r="J154">
        <f t="shared" si="13"/>
        <v>3</v>
      </c>
    </row>
    <row r="155" spans="1:10" x14ac:dyDescent="0.2">
      <c r="A155">
        <v>154</v>
      </c>
      <c r="B155" s="23">
        <v>44945</v>
      </c>
      <c r="C155">
        <f t="shared" si="15"/>
        <v>0</v>
      </c>
      <c r="D155">
        <v>0</v>
      </c>
      <c r="E155">
        <f t="shared" si="16"/>
        <v>0</v>
      </c>
      <c r="F155" t="str">
        <f t="shared" si="17"/>
        <v>Thursday</v>
      </c>
      <c r="H155">
        <v>3</v>
      </c>
      <c r="I155">
        <f t="shared" si="14"/>
        <v>2</v>
      </c>
      <c r="J155">
        <f t="shared" si="13"/>
        <v>3</v>
      </c>
    </row>
    <row r="156" spans="1:10" x14ac:dyDescent="0.2">
      <c r="A156">
        <v>155</v>
      </c>
      <c r="B156" s="23">
        <v>44946</v>
      </c>
      <c r="C156">
        <f t="shared" si="15"/>
        <v>0</v>
      </c>
      <c r="D156">
        <v>0</v>
      </c>
      <c r="E156">
        <f t="shared" si="16"/>
        <v>0</v>
      </c>
      <c r="F156" t="str">
        <f t="shared" si="17"/>
        <v>Friday</v>
      </c>
      <c r="H156">
        <v>3</v>
      </c>
      <c r="I156">
        <f t="shared" si="14"/>
        <v>2</v>
      </c>
      <c r="J156">
        <f t="shared" si="13"/>
        <v>3</v>
      </c>
    </row>
    <row r="157" spans="1:10" x14ac:dyDescent="0.2">
      <c r="A157">
        <v>156</v>
      </c>
      <c r="B157" s="23">
        <v>44947</v>
      </c>
      <c r="C157">
        <f t="shared" si="15"/>
        <v>1</v>
      </c>
      <c r="D157">
        <v>0</v>
      </c>
      <c r="E157">
        <f t="shared" si="16"/>
        <v>1</v>
      </c>
      <c r="F157" t="str">
        <f t="shared" si="17"/>
        <v>Saturday</v>
      </c>
      <c r="H157">
        <v>3</v>
      </c>
      <c r="I157">
        <f t="shared" si="14"/>
        <v>2</v>
      </c>
      <c r="J157">
        <f t="shared" si="13"/>
        <v>3</v>
      </c>
    </row>
    <row r="158" spans="1:10" x14ac:dyDescent="0.2">
      <c r="A158">
        <v>157</v>
      </c>
      <c r="B158" s="23">
        <v>44948</v>
      </c>
      <c r="C158">
        <f t="shared" si="15"/>
        <v>1</v>
      </c>
      <c r="D158">
        <v>0</v>
      </c>
      <c r="E158">
        <f t="shared" si="16"/>
        <v>1</v>
      </c>
      <c r="F158" t="str">
        <f t="shared" si="17"/>
        <v>Sunday</v>
      </c>
      <c r="H158">
        <v>3</v>
      </c>
      <c r="I158">
        <f t="shared" si="14"/>
        <v>2</v>
      </c>
      <c r="J158">
        <f t="shared" si="13"/>
        <v>3</v>
      </c>
    </row>
    <row r="159" spans="1:10" x14ac:dyDescent="0.2">
      <c r="A159">
        <v>158</v>
      </c>
      <c r="B159" s="23">
        <v>44949</v>
      </c>
      <c r="C159">
        <f t="shared" si="15"/>
        <v>0</v>
      </c>
      <c r="D159">
        <v>0</v>
      </c>
      <c r="E159">
        <f t="shared" si="16"/>
        <v>0</v>
      </c>
      <c r="F159" t="str">
        <f t="shared" si="17"/>
        <v>Monday</v>
      </c>
      <c r="H159">
        <v>3</v>
      </c>
      <c r="I159">
        <f t="shared" si="14"/>
        <v>3</v>
      </c>
      <c r="J159">
        <f t="shared" si="13"/>
        <v>4</v>
      </c>
    </row>
    <row r="160" spans="1:10" x14ac:dyDescent="0.2">
      <c r="A160">
        <v>159</v>
      </c>
      <c r="B160" s="23">
        <v>44950</v>
      </c>
      <c r="C160">
        <f t="shared" si="15"/>
        <v>0</v>
      </c>
      <c r="D160">
        <v>0</v>
      </c>
      <c r="E160">
        <f t="shared" si="16"/>
        <v>0</v>
      </c>
      <c r="F160" t="str">
        <f t="shared" si="17"/>
        <v>Tuesday</v>
      </c>
      <c r="H160">
        <v>3</v>
      </c>
      <c r="I160">
        <f t="shared" si="14"/>
        <v>3</v>
      </c>
      <c r="J160">
        <f t="shared" si="13"/>
        <v>4</v>
      </c>
    </row>
    <row r="161" spans="1:10" x14ac:dyDescent="0.2">
      <c r="A161">
        <v>160</v>
      </c>
      <c r="B161" s="23">
        <v>44951</v>
      </c>
      <c r="C161">
        <f t="shared" si="15"/>
        <v>0</v>
      </c>
      <c r="D161">
        <v>0</v>
      </c>
      <c r="E161">
        <f t="shared" si="16"/>
        <v>0</v>
      </c>
      <c r="F161" t="str">
        <f t="shared" si="17"/>
        <v>Wednesday</v>
      </c>
      <c r="H161">
        <v>3</v>
      </c>
      <c r="I161">
        <f t="shared" si="14"/>
        <v>3</v>
      </c>
      <c r="J161">
        <f t="shared" si="13"/>
        <v>4</v>
      </c>
    </row>
    <row r="162" spans="1:10" x14ac:dyDescent="0.2">
      <c r="A162">
        <v>161</v>
      </c>
      <c r="B162" s="23">
        <v>44952</v>
      </c>
      <c r="C162">
        <f t="shared" si="15"/>
        <v>0</v>
      </c>
      <c r="D162">
        <v>0</v>
      </c>
      <c r="E162">
        <f t="shared" si="16"/>
        <v>0</v>
      </c>
      <c r="F162" t="str">
        <f t="shared" si="17"/>
        <v>Thursday</v>
      </c>
      <c r="H162">
        <v>3</v>
      </c>
      <c r="I162">
        <f t="shared" si="14"/>
        <v>3</v>
      </c>
      <c r="J162">
        <f t="shared" si="13"/>
        <v>4</v>
      </c>
    </row>
    <row r="163" spans="1:10" x14ac:dyDescent="0.2">
      <c r="A163">
        <v>162</v>
      </c>
      <c r="B163" s="23">
        <v>44953</v>
      </c>
      <c r="C163">
        <f t="shared" si="15"/>
        <v>0</v>
      </c>
      <c r="D163">
        <v>0</v>
      </c>
      <c r="E163">
        <f t="shared" si="16"/>
        <v>0</v>
      </c>
      <c r="F163" t="str">
        <f t="shared" si="17"/>
        <v>Friday</v>
      </c>
      <c r="H163">
        <v>3</v>
      </c>
      <c r="I163">
        <f t="shared" si="14"/>
        <v>3</v>
      </c>
      <c r="J163">
        <f t="shared" si="13"/>
        <v>4</v>
      </c>
    </row>
    <row r="164" spans="1:10" x14ac:dyDescent="0.2">
      <c r="A164">
        <v>163</v>
      </c>
      <c r="B164" s="23">
        <v>44954</v>
      </c>
      <c r="C164">
        <f t="shared" si="15"/>
        <v>1</v>
      </c>
      <c r="D164">
        <v>0</v>
      </c>
      <c r="E164">
        <f t="shared" si="16"/>
        <v>1</v>
      </c>
      <c r="F164" t="str">
        <f t="shared" si="17"/>
        <v>Saturday</v>
      </c>
      <c r="H164">
        <v>3</v>
      </c>
      <c r="I164">
        <f t="shared" si="14"/>
        <v>3</v>
      </c>
      <c r="J164">
        <f t="shared" si="13"/>
        <v>4</v>
      </c>
    </row>
    <row r="165" spans="1:10" x14ac:dyDescent="0.2">
      <c r="A165">
        <v>164</v>
      </c>
      <c r="B165" s="23">
        <v>44955</v>
      </c>
      <c r="C165">
        <f t="shared" si="15"/>
        <v>1</v>
      </c>
      <c r="D165">
        <v>0</v>
      </c>
      <c r="E165">
        <f t="shared" si="16"/>
        <v>1</v>
      </c>
      <c r="F165" t="str">
        <f t="shared" si="17"/>
        <v>Sunday</v>
      </c>
      <c r="H165">
        <v>3</v>
      </c>
      <c r="I165">
        <f t="shared" si="14"/>
        <v>3</v>
      </c>
      <c r="J165">
        <f t="shared" si="13"/>
        <v>4</v>
      </c>
    </row>
    <row r="166" spans="1:10" x14ac:dyDescent="0.2">
      <c r="A166">
        <v>165</v>
      </c>
      <c r="B166" s="23">
        <v>44956</v>
      </c>
      <c r="C166">
        <f t="shared" si="15"/>
        <v>0</v>
      </c>
      <c r="D166">
        <v>0</v>
      </c>
      <c r="E166">
        <f t="shared" si="16"/>
        <v>0</v>
      </c>
      <c r="F166" t="str">
        <f t="shared" si="17"/>
        <v>Monday</v>
      </c>
      <c r="H166">
        <v>3</v>
      </c>
      <c r="I166">
        <f t="shared" si="14"/>
        <v>4</v>
      </c>
      <c r="J166">
        <f t="shared" si="13"/>
        <v>5</v>
      </c>
    </row>
    <row r="167" spans="1:10" x14ac:dyDescent="0.2">
      <c r="A167">
        <v>166</v>
      </c>
      <c r="B167" s="23">
        <v>44957</v>
      </c>
      <c r="C167">
        <f t="shared" si="15"/>
        <v>0</v>
      </c>
      <c r="D167">
        <v>0</v>
      </c>
      <c r="E167">
        <f t="shared" si="16"/>
        <v>0</v>
      </c>
      <c r="F167" t="str">
        <f t="shared" si="17"/>
        <v>Tuesday</v>
      </c>
      <c r="H167">
        <v>3</v>
      </c>
      <c r="I167">
        <f t="shared" si="14"/>
        <v>4</v>
      </c>
      <c r="J167">
        <f t="shared" si="13"/>
        <v>5</v>
      </c>
    </row>
    <row r="168" spans="1:10" x14ac:dyDescent="0.2">
      <c r="A168">
        <v>167</v>
      </c>
      <c r="B168" s="23">
        <v>44958</v>
      </c>
      <c r="C168">
        <f t="shared" si="15"/>
        <v>0</v>
      </c>
      <c r="D168">
        <v>0</v>
      </c>
      <c r="E168">
        <f t="shared" si="16"/>
        <v>0</v>
      </c>
      <c r="F168" t="str">
        <f t="shared" si="17"/>
        <v>Wednesday</v>
      </c>
      <c r="H168">
        <v>3</v>
      </c>
      <c r="I168">
        <f t="shared" si="14"/>
        <v>4</v>
      </c>
      <c r="J168">
        <f t="shared" si="13"/>
        <v>5</v>
      </c>
    </row>
    <row r="169" spans="1:10" x14ac:dyDescent="0.2">
      <c r="A169">
        <v>168</v>
      </c>
      <c r="B169" s="23">
        <v>44959</v>
      </c>
      <c r="C169">
        <f t="shared" si="15"/>
        <v>0</v>
      </c>
      <c r="D169">
        <v>0</v>
      </c>
      <c r="E169">
        <f t="shared" si="16"/>
        <v>0</v>
      </c>
      <c r="F169" t="str">
        <f t="shared" si="17"/>
        <v>Thursday</v>
      </c>
      <c r="H169">
        <v>3</v>
      </c>
      <c r="I169">
        <f t="shared" si="14"/>
        <v>4</v>
      </c>
      <c r="J169">
        <f t="shared" si="13"/>
        <v>5</v>
      </c>
    </row>
    <row r="170" spans="1:10" x14ac:dyDescent="0.2">
      <c r="A170">
        <v>169</v>
      </c>
      <c r="B170" s="23">
        <v>44960</v>
      </c>
      <c r="C170">
        <f t="shared" si="15"/>
        <v>0</v>
      </c>
      <c r="D170">
        <v>0</v>
      </c>
      <c r="E170">
        <f t="shared" si="16"/>
        <v>0</v>
      </c>
      <c r="F170" t="str">
        <f t="shared" si="17"/>
        <v>Friday</v>
      </c>
      <c r="H170">
        <v>3</v>
      </c>
      <c r="I170">
        <f t="shared" si="14"/>
        <v>4</v>
      </c>
      <c r="J170">
        <f t="shared" si="13"/>
        <v>5</v>
      </c>
    </row>
    <row r="171" spans="1:10" x14ac:dyDescent="0.2">
      <c r="A171">
        <v>170</v>
      </c>
      <c r="B171" s="23">
        <v>44961</v>
      </c>
      <c r="C171">
        <f t="shared" si="15"/>
        <v>1</v>
      </c>
      <c r="D171">
        <v>0</v>
      </c>
      <c r="E171">
        <f t="shared" si="16"/>
        <v>1</v>
      </c>
      <c r="F171" t="str">
        <f t="shared" si="17"/>
        <v>Saturday</v>
      </c>
      <c r="H171">
        <v>3</v>
      </c>
      <c r="I171">
        <f t="shared" si="14"/>
        <v>4</v>
      </c>
      <c r="J171">
        <f t="shared" si="13"/>
        <v>5</v>
      </c>
    </row>
    <row r="172" spans="1:10" x14ac:dyDescent="0.2">
      <c r="A172">
        <v>171</v>
      </c>
      <c r="B172" s="23">
        <v>44962</v>
      </c>
      <c r="C172">
        <f t="shared" si="15"/>
        <v>1</v>
      </c>
      <c r="D172">
        <v>0</v>
      </c>
      <c r="E172">
        <f t="shared" si="16"/>
        <v>1</v>
      </c>
      <c r="F172" t="str">
        <f t="shared" si="17"/>
        <v>Sunday</v>
      </c>
      <c r="H172">
        <v>3</v>
      </c>
      <c r="I172">
        <f t="shared" si="14"/>
        <v>4</v>
      </c>
      <c r="J172">
        <f t="shared" si="13"/>
        <v>5</v>
      </c>
    </row>
    <row r="173" spans="1:10" x14ac:dyDescent="0.2">
      <c r="A173">
        <v>172</v>
      </c>
      <c r="B173" s="23">
        <v>44963</v>
      </c>
      <c r="C173">
        <f t="shared" si="15"/>
        <v>0</v>
      </c>
      <c r="D173">
        <v>0</v>
      </c>
      <c r="E173">
        <f t="shared" si="16"/>
        <v>0</v>
      </c>
      <c r="F173" t="str">
        <f t="shared" si="17"/>
        <v>Monday</v>
      </c>
      <c r="H173">
        <v>3</v>
      </c>
      <c r="I173">
        <f t="shared" si="14"/>
        <v>5</v>
      </c>
      <c r="J173">
        <f t="shared" si="13"/>
        <v>6</v>
      </c>
    </row>
    <row r="174" spans="1:10" x14ac:dyDescent="0.2">
      <c r="A174">
        <v>173</v>
      </c>
      <c r="B174" s="23">
        <v>44964</v>
      </c>
      <c r="C174">
        <f t="shared" si="15"/>
        <v>0</v>
      </c>
      <c r="D174">
        <v>0</v>
      </c>
      <c r="E174">
        <f t="shared" si="16"/>
        <v>0</v>
      </c>
      <c r="F174" t="str">
        <f t="shared" si="17"/>
        <v>Tuesday</v>
      </c>
      <c r="H174">
        <v>3</v>
      </c>
      <c r="I174">
        <f t="shared" si="14"/>
        <v>5</v>
      </c>
      <c r="J174">
        <f t="shared" si="13"/>
        <v>6</v>
      </c>
    </row>
    <row r="175" spans="1:10" x14ac:dyDescent="0.2">
      <c r="A175">
        <v>174</v>
      </c>
      <c r="B175" s="23">
        <v>44965</v>
      </c>
      <c r="C175">
        <f t="shared" si="15"/>
        <v>0</v>
      </c>
      <c r="D175">
        <v>0</v>
      </c>
      <c r="E175">
        <f t="shared" si="16"/>
        <v>0</v>
      </c>
      <c r="F175" t="str">
        <f t="shared" si="17"/>
        <v>Wednesday</v>
      </c>
      <c r="H175">
        <v>3</v>
      </c>
      <c r="I175">
        <f t="shared" si="14"/>
        <v>5</v>
      </c>
      <c r="J175">
        <f t="shared" si="13"/>
        <v>6</v>
      </c>
    </row>
    <row r="176" spans="1:10" x14ac:dyDescent="0.2">
      <c r="A176">
        <v>175</v>
      </c>
      <c r="B176" s="23">
        <v>44966</v>
      </c>
      <c r="C176">
        <f t="shared" si="15"/>
        <v>0</v>
      </c>
      <c r="D176">
        <v>0</v>
      </c>
      <c r="E176">
        <f t="shared" si="16"/>
        <v>0</v>
      </c>
      <c r="F176" t="str">
        <f t="shared" si="17"/>
        <v>Thursday</v>
      </c>
      <c r="H176">
        <v>3</v>
      </c>
      <c r="I176">
        <f t="shared" si="14"/>
        <v>5</v>
      </c>
      <c r="J176">
        <f t="shared" si="13"/>
        <v>6</v>
      </c>
    </row>
    <row r="177" spans="1:10" x14ac:dyDescent="0.2">
      <c r="A177">
        <v>176</v>
      </c>
      <c r="B177" s="23">
        <v>44967</v>
      </c>
      <c r="C177">
        <f t="shared" si="15"/>
        <v>0</v>
      </c>
      <c r="D177">
        <v>0</v>
      </c>
      <c r="E177">
        <f t="shared" si="16"/>
        <v>0</v>
      </c>
      <c r="F177" t="str">
        <f t="shared" si="17"/>
        <v>Friday</v>
      </c>
      <c r="H177">
        <v>3</v>
      </c>
      <c r="I177">
        <f t="shared" si="14"/>
        <v>5</v>
      </c>
      <c r="J177">
        <f t="shared" si="13"/>
        <v>6</v>
      </c>
    </row>
    <row r="178" spans="1:10" x14ac:dyDescent="0.2">
      <c r="A178">
        <v>177</v>
      </c>
      <c r="B178" s="23">
        <v>44968</v>
      </c>
      <c r="C178">
        <f t="shared" si="15"/>
        <v>1</v>
      </c>
      <c r="D178">
        <v>0</v>
      </c>
      <c r="E178">
        <f t="shared" si="16"/>
        <v>1</v>
      </c>
      <c r="F178" t="str">
        <f t="shared" si="17"/>
        <v>Saturday</v>
      </c>
      <c r="H178">
        <v>3</v>
      </c>
      <c r="I178">
        <f t="shared" si="14"/>
        <v>5</v>
      </c>
      <c r="J178">
        <f t="shared" si="13"/>
        <v>6</v>
      </c>
    </row>
    <row r="179" spans="1:10" x14ac:dyDescent="0.2">
      <c r="A179">
        <v>178</v>
      </c>
      <c r="B179" s="23">
        <v>44969</v>
      </c>
      <c r="C179">
        <f t="shared" si="15"/>
        <v>1</v>
      </c>
      <c r="D179">
        <v>0</v>
      </c>
      <c r="E179">
        <f t="shared" si="16"/>
        <v>1</v>
      </c>
      <c r="F179" t="str">
        <f t="shared" si="17"/>
        <v>Sunday</v>
      </c>
      <c r="H179">
        <v>3</v>
      </c>
      <c r="I179">
        <f t="shared" si="14"/>
        <v>5</v>
      </c>
      <c r="J179">
        <f t="shared" si="13"/>
        <v>6</v>
      </c>
    </row>
    <row r="180" spans="1:10" x14ac:dyDescent="0.2">
      <c r="A180">
        <v>179</v>
      </c>
      <c r="B180" s="23">
        <v>44970</v>
      </c>
      <c r="C180">
        <f t="shared" si="15"/>
        <v>0</v>
      </c>
      <c r="D180">
        <v>0</v>
      </c>
      <c r="E180">
        <f t="shared" si="16"/>
        <v>0</v>
      </c>
      <c r="F180" t="str">
        <f t="shared" si="17"/>
        <v>Monday</v>
      </c>
      <c r="H180">
        <v>3</v>
      </c>
      <c r="I180">
        <f t="shared" si="14"/>
        <v>6</v>
      </c>
      <c r="J180">
        <f t="shared" si="13"/>
        <v>7</v>
      </c>
    </row>
    <row r="181" spans="1:10" x14ac:dyDescent="0.2">
      <c r="A181">
        <v>180</v>
      </c>
      <c r="B181" s="23">
        <v>44971</v>
      </c>
      <c r="C181">
        <f t="shared" si="15"/>
        <v>0</v>
      </c>
      <c r="D181">
        <v>0</v>
      </c>
      <c r="E181">
        <f t="shared" si="16"/>
        <v>0</v>
      </c>
      <c r="F181" t="str">
        <f t="shared" si="17"/>
        <v>Tuesday</v>
      </c>
      <c r="H181">
        <v>3</v>
      </c>
      <c r="I181">
        <f t="shared" si="14"/>
        <v>6</v>
      </c>
      <c r="J181">
        <f t="shared" si="13"/>
        <v>7</v>
      </c>
    </row>
    <row r="182" spans="1:10" x14ac:dyDescent="0.2">
      <c r="A182">
        <v>181</v>
      </c>
      <c r="B182" s="23">
        <v>44972</v>
      </c>
      <c r="C182">
        <f t="shared" si="15"/>
        <v>0</v>
      </c>
      <c r="D182">
        <v>0</v>
      </c>
      <c r="E182">
        <f t="shared" si="16"/>
        <v>0</v>
      </c>
      <c r="F182" t="str">
        <f t="shared" si="17"/>
        <v>Wednesday</v>
      </c>
      <c r="H182">
        <v>3</v>
      </c>
      <c r="I182">
        <f t="shared" si="14"/>
        <v>6</v>
      </c>
      <c r="J182">
        <f t="shared" si="13"/>
        <v>7</v>
      </c>
    </row>
    <row r="183" spans="1:10" x14ac:dyDescent="0.2">
      <c r="A183">
        <v>182</v>
      </c>
      <c r="B183" s="23">
        <v>44973</v>
      </c>
      <c r="C183">
        <f t="shared" si="15"/>
        <v>0</v>
      </c>
      <c r="D183">
        <v>0</v>
      </c>
      <c r="E183">
        <f t="shared" si="16"/>
        <v>0</v>
      </c>
      <c r="F183" t="str">
        <f t="shared" si="17"/>
        <v>Thursday</v>
      </c>
      <c r="H183">
        <v>3</v>
      </c>
      <c r="I183">
        <f t="shared" si="14"/>
        <v>6</v>
      </c>
      <c r="J183">
        <f t="shared" si="13"/>
        <v>7</v>
      </c>
    </row>
    <row r="184" spans="1:10" x14ac:dyDescent="0.2">
      <c r="A184">
        <v>183</v>
      </c>
      <c r="B184" s="23">
        <v>44974</v>
      </c>
      <c r="C184">
        <f t="shared" si="15"/>
        <v>0</v>
      </c>
      <c r="D184">
        <v>0</v>
      </c>
      <c r="E184">
        <f t="shared" si="16"/>
        <v>0</v>
      </c>
      <c r="F184" t="str">
        <f t="shared" si="17"/>
        <v>Friday</v>
      </c>
      <c r="H184">
        <v>3</v>
      </c>
      <c r="I184">
        <f t="shared" si="14"/>
        <v>6</v>
      </c>
      <c r="J184">
        <f t="shared" si="13"/>
        <v>7</v>
      </c>
    </row>
    <row r="185" spans="1:10" x14ac:dyDescent="0.2">
      <c r="A185">
        <v>184</v>
      </c>
      <c r="B185" s="23">
        <v>44975</v>
      </c>
      <c r="C185">
        <f t="shared" si="15"/>
        <v>1</v>
      </c>
      <c r="D185">
        <v>0</v>
      </c>
      <c r="E185">
        <f t="shared" si="16"/>
        <v>1</v>
      </c>
      <c r="F185" t="str">
        <f t="shared" si="17"/>
        <v>Saturday</v>
      </c>
      <c r="H185">
        <v>3</v>
      </c>
      <c r="I185">
        <f t="shared" si="14"/>
        <v>6</v>
      </c>
      <c r="J185">
        <f t="shared" si="13"/>
        <v>7</v>
      </c>
    </row>
    <row r="186" spans="1:10" x14ac:dyDescent="0.2">
      <c r="A186">
        <v>185</v>
      </c>
      <c r="B186" s="23">
        <v>44976</v>
      </c>
      <c r="C186">
        <f t="shared" si="15"/>
        <v>1</v>
      </c>
      <c r="D186">
        <v>0</v>
      </c>
      <c r="E186">
        <f t="shared" si="16"/>
        <v>1</v>
      </c>
      <c r="F186" t="str">
        <f t="shared" si="17"/>
        <v>Sunday</v>
      </c>
      <c r="H186">
        <v>3</v>
      </c>
      <c r="I186">
        <f t="shared" si="14"/>
        <v>6</v>
      </c>
      <c r="J186">
        <f t="shared" si="13"/>
        <v>7</v>
      </c>
    </row>
    <row r="187" spans="1:10" x14ac:dyDescent="0.2">
      <c r="A187">
        <v>186</v>
      </c>
      <c r="B187" s="23">
        <v>44977</v>
      </c>
      <c r="C187">
        <f t="shared" si="15"/>
        <v>0</v>
      </c>
      <c r="D187">
        <v>0</v>
      </c>
      <c r="E187">
        <f t="shared" si="16"/>
        <v>0</v>
      </c>
      <c r="F187" t="str">
        <f t="shared" si="17"/>
        <v>Monday</v>
      </c>
      <c r="H187">
        <v>3</v>
      </c>
      <c r="I187">
        <f t="shared" si="14"/>
        <v>7</v>
      </c>
      <c r="J187">
        <f t="shared" si="13"/>
        <v>8</v>
      </c>
    </row>
    <row r="188" spans="1:10" x14ac:dyDescent="0.2">
      <c r="A188">
        <v>187</v>
      </c>
      <c r="B188" s="23">
        <v>44978</v>
      </c>
      <c r="C188">
        <f t="shared" si="15"/>
        <v>0</v>
      </c>
      <c r="D188">
        <v>0</v>
      </c>
      <c r="E188">
        <f t="shared" si="16"/>
        <v>0</v>
      </c>
      <c r="F188" t="str">
        <f t="shared" si="17"/>
        <v>Tuesday</v>
      </c>
      <c r="H188">
        <v>3</v>
      </c>
      <c r="I188">
        <f t="shared" si="14"/>
        <v>7</v>
      </c>
      <c r="J188">
        <f t="shared" si="13"/>
        <v>8</v>
      </c>
    </row>
    <row r="189" spans="1:10" x14ac:dyDescent="0.2">
      <c r="A189">
        <v>188</v>
      </c>
      <c r="B189" s="23">
        <v>44979</v>
      </c>
      <c r="C189">
        <f t="shared" si="15"/>
        <v>0</v>
      </c>
      <c r="D189">
        <v>0</v>
      </c>
      <c r="E189">
        <f t="shared" si="16"/>
        <v>0</v>
      </c>
      <c r="F189" t="str">
        <f t="shared" si="17"/>
        <v>Wednesday</v>
      </c>
      <c r="H189">
        <v>3</v>
      </c>
      <c r="I189">
        <f t="shared" si="14"/>
        <v>7</v>
      </c>
      <c r="J189">
        <f t="shared" si="13"/>
        <v>8</v>
      </c>
    </row>
    <row r="190" spans="1:10" x14ac:dyDescent="0.2">
      <c r="A190">
        <v>189</v>
      </c>
      <c r="B190" s="23">
        <v>44980</v>
      </c>
      <c r="C190">
        <f t="shared" si="15"/>
        <v>0</v>
      </c>
      <c r="D190">
        <v>0</v>
      </c>
      <c r="E190">
        <f t="shared" si="16"/>
        <v>0</v>
      </c>
      <c r="F190" t="str">
        <f t="shared" si="17"/>
        <v>Thursday</v>
      </c>
      <c r="H190">
        <v>3</v>
      </c>
      <c r="I190">
        <f t="shared" si="14"/>
        <v>7</v>
      </c>
      <c r="J190">
        <f t="shared" si="13"/>
        <v>8</v>
      </c>
    </row>
    <row r="191" spans="1:10" x14ac:dyDescent="0.2">
      <c r="A191">
        <v>190</v>
      </c>
      <c r="B191" s="23">
        <v>44981</v>
      </c>
      <c r="C191">
        <f t="shared" si="15"/>
        <v>0</v>
      </c>
      <c r="D191">
        <v>0</v>
      </c>
      <c r="E191">
        <f t="shared" si="16"/>
        <v>0</v>
      </c>
      <c r="F191" t="str">
        <f t="shared" si="17"/>
        <v>Friday</v>
      </c>
      <c r="H191">
        <v>3</v>
      </c>
      <c r="I191">
        <f t="shared" si="14"/>
        <v>7</v>
      </c>
      <c r="J191">
        <f t="shared" si="13"/>
        <v>8</v>
      </c>
    </row>
    <row r="192" spans="1:10" x14ac:dyDescent="0.2">
      <c r="A192">
        <v>191</v>
      </c>
      <c r="B192" s="23">
        <v>44982</v>
      </c>
      <c r="C192">
        <f t="shared" si="15"/>
        <v>1</v>
      </c>
      <c r="D192">
        <v>0</v>
      </c>
      <c r="E192">
        <f t="shared" si="16"/>
        <v>1</v>
      </c>
      <c r="F192" t="str">
        <f t="shared" si="17"/>
        <v>Saturday</v>
      </c>
      <c r="H192">
        <v>3</v>
      </c>
      <c r="I192">
        <f t="shared" si="14"/>
        <v>7</v>
      </c>
      <c r="J192">
        <f t="shared" si="13"/>
        <v>8</v>
      </c>
    </row>
    <row r="193" spans="1:10" x14ac:dyDescent="0.2">
      <c r="A193">
        <v>192</v>
      </c>
      <c r="B193" s="23">
        <v>44983</v>
      </c>
      <c r="C193">
        <f t="shared" si="15"/>
        <v>1</v>
      </c>
      <c r="D193">
        <v>0</v>
      </c>
      <c r="E193">
        <f t="shared" si="16"/>
        <v>1</v>
      </c>
      <c r="F193" t="str">
        <f t="shared" si="17"/>
        <v>Sunday</v>
      </c>
      <c r="H193">
        <v>3</v>
      </c>
      <c r="I193">
        <f t="shared" si="14"/>
        <v>7</v>
      </c>
      <c r="J193">
        <f t="shared" si="13"/>
        <v>8</v>
      </c>
    </row>
    <row r="194" spans="1:10" x14ac:dyDescent="0.2">
      <c r="A194">
        <v>193</v>
      </c>
      <c r="B194" s="23">
        <v>44984</v>
      </c>
      <c r="C194">
        <f t="shared" si="15"/>
        <v>0</v>
      </c>
      <c r="D194">
        <v>1</v>
      </c>
      <c r="E194">
        <f t="shared" si="16"/>
        <v>1</v>
      </c>
      <c r="F194" t="str">
        <f t="shared" si="17"/>
        <v>Monday</v>
      </c>
      <c r="G194" t="s">
        <v>1807</v>
      </c>
      <c r="H194">
        <v>3</v>
      </c>
      <c r="I194">
        <f t="shared" si="14"/>
        <v>8</v>
      </c>
      <c r="J194">
        <f t="shared" si="13"/>
        <v>9</v>
      </c>
    </row>
    <row r="195" spans="1:10" x14ac:dyDescent="0.2">
      <c r="A195">
        <v>194</v>
      </c>
      <c r="B195" s="23">
        <v>44985</v>
      </c>
      <c r="C195">
        <f t="shared" si="15"/>
        <v>0</v>
      </c>
      <c r="D195">
        <v>1</v>
      </c>
      <c r="E195">
        <f t="shared" si="16"/>
        <v>1</v>
      </c>
      <c r="F195" t="str">
        <f t="shared" si="17"/>
        <v>Tuesday</v>
      </c>
      <c r="G195" t="s">
        <v>1807</v>
      </c>
      <c r="H195">
        <v>3</v>
      </c>
      <c r="I195">
        <f t="shared" si="14"/>
        <v>8</v>
      </c>
      <c r="J195">
        <f t="shared" ref="J195:J258" si="18">_xlfn.ISOWEEKNUM(B195)</f>
        <v>9</v>
      </c>
    </row>
    <row r="196" spans="1:10" x14ac:dyDescent="0.2">
      <c r="A196">
        <v>195</v>
      </c>
      <c r="B196" s="23">
        <v>44986</v>
      </c>
      <c r="C196">
        <f t="shared" si="15"/>
        <v>0</v>
      </c>
      <c r="D196">
        <v>1</v>
      </c>
      <c r="E196">
        <f t="shared" si="16"/>
        <v>1</v>
      </c>
      <c r="F196" t="str">
        <f t="shared" si="17"/>
        <v>Wednesday</v>
      </c>
      <c r="G196" t="s">
        <v>1807</v>
      </c>
      <c r="H196">
        <v>3</v>
      </c>
      <c r="I196">
        <f t="shared" si="14"/>
        <v>8</v>
      </c>
      <c r="J196">
        <f t="shared" si="18"/>
        <v>9</v>
      </c>
    </row>
    <row r="197" spans="1:10" x14ac:dyDescent="0.2">
      <c r="A197">
        <v>196</v>
      </c>
      <c r="B197" s="23">
        <v>44987</v>
      </c>
      <c r="C197">
        <f t="shared" si="15"/>
        <v>0</v>
      </c>
      <c r="D197">
        <v>1</v>
      </c>
      <c r="E197">
        <f t="shared" si="16"/>
        <v>1</v>
      </c>
      <c r="F197" t="str">
        <f t="shared" si="17"/>
        <v>Thursday</v>
      </c>
      <c r="G197" t="s">
        <v>1807</v>
      </c>
      <c r="H197">
        <v>3</v>
      </c>
      <c r="I197">
        <f t="shared" si="14"/>
        <v>8</v>
      </c>
      <c r="J197">
        <f t="shared" si="18"/>
        <v>9</v>
      </c>
    </row>
    <row r="198" spans="1:10" x14ac:dyDescent="0.2">
      <c r="A198">
        <v>197</v>
      </c>
      <c r="B198" s="23">
        <v>44988</v>
      </c>
      <c r="C198">
        <f t="shared" si="15"/>
        <v>0</v>
      </c>
      <c r="D198">
        <v>1</v>
      </c>
      <c r="E198">
        <f t="shared" si="16"/>
        <v>1</v>
      </c>
      <c r="F198" t="str">
        <f t="shared" si="17"/>
        <v>Friday</v>
      </c>
      <c r="G198" t="s">
        <v>1807</v>
      </c>
      <c r="H198">
        <v>3</v>
      </c>
      <c r="I198">
        <f t="shared" ref="I198:I261" si="19">IF(J198&gt;J197, IF(H198&lt;&gt;H197,1, I197+1),I197)</f>
        <v>8</v>
      </c>
      <c r="J198">
        <f t="shared" si="18"/>
        <v>9</v>
      </c>
    </row>
    <row r="199" spans="1:10" x14ac:dyDescent="0.2">
      <c r="A199">
        <v>198</v>
      </c>
      <c r="B199" s="23">
        <v>44989</v>
      </c>
      <c r="C199">
        <f t="shared" si="15"/>
        <v>1</v>
      </c>
      <c r="D199">
        <v>1</v>
      </c>
      <c r="E199">
        <f t="shared" si="16"/>
        <v>1</v>
      </c>
      <c r="F199" t="str">
        <f t="shared" si="17"/>
        <v>Saturday</v>
      </c>
      <c r="G199" t="s">
        <v>1807</v>
      </c>
      <c r="H199">
        <v>3</v>
      </c>
      <c r="I199">
        <f t="shared" si="19"/>
        <v>8</v>
      </c>
      <c r="J199">
        <f t="shared" si="18"/>
        <v>9</v>
      </c>
    </row>
    <row r="200" spans="1:10" x14ac:dyDescent="0.2">
      <c r="A200">
        <v>199</v>
      </c>
      <c r="B200" s="23">
        <v>44990</v>
      </c>
      <c r="C200">
        <f t="shared" si="15"/>
        <v>1</v>
      </c>
      <c r="D200">
        <v>1</v>
      </c>
      <c r="E200">
        <f t="shared" si="16"/>
        <v>1</v>
      </c>
      <c r="F200" t="str">
        <f t="shared" si="17"/>
        <v>Sunday</v>
      </c>
      <c r="G200" t="s">
        <v>1807</v>
      </c>
      <c r="H200">
        <v>3</v>
      </c>
      <c r="I200">
        <f t="shared" si="19"/>
        <v>8</v>
      </c>
      <c r="J200">
        <f t="shared" si="18"/>
        <v>9</v>
      </c>
    </row>
    <row r="201" spans="1:10" x14ac:dyDescent="0.2">
      <c r="A201">
        <v>200</v>
      </c>
      <c r="B201" s="23">
        <v>44991</v>
      </c>
      <c r="C201">
        <f t="shared" si="15"/>
        <v>0</v>
      </c>
      <c r="D201">
        <v>1</v>
      </c>
      <c r="E201">
        <f t="shared" si="16"/>
        <v>1</v>
      </c>
      <c r="F201" t="str">
        <f t="shared" si="17"/>
        <v>Monday</v>
      </c>
      <c r="G201" t="s">
        <v>1805</v>
      </c>
      <c r="H201">
        <v>4</v>
      </c>
      <c r="I201">
        <f t="shared" si="19"/>
        <v>1</v>
      </c>
      <c r="J201">
        <f t="shared" si="18"/>
        <v>10</v>
      </c>
    </row>
    <row r="202" spans="1:10" x14ac:dyDescent="0.2">
      <c r="A202">
        <v>201</v>
      </c>
      <c r="B202" s="23">
        <v>44992</v>
      </c>
      <c r="C202">
        <f t="shared" si="15"/>
        <v>0</v>
      </c>
      <c r="D202">
        <v>0</v>
      </c>
      <c r="E202">
        <f t="shared" si="16"/>
        <v>0</v>
      </c>
      <c r="F202" t="str">
        <f t="shared" si="17"/>
        <v>Tuesday</v>
      </c>
      <c r="H202">
        <v>4</v>
      </c>
      <c r="I202">
        <f t="shared" si="19"/>
        <v>1</v>
      </c>
      <c r="J202">
        <f t="shared" si="18"/>
        <v>10</v>
      </c>
    </row>
    <row r="203" spans="1:10" x14ac:dyDescent="0.2">
      <c r="A203">
        <v>202</v>
      </c>
      <c r="B203" s="23">
        <v>44993</v>
      </c>
      <c r="C203">
        <f t="shared" si="15"/>
        <v>0</v>
      </c>
      <c r="D203">
        <v>0</v>
      </c>
      <c r="E203">
        <f t="shared" si="16"/>
        <v>0</v>
      </c>
      <c r="F203" t="str">
        <f t="shared" si="17"/>
        <v>Wednesday</v>
      </c>
      <c r="H203">
        <v>4</v>
      </c>
      <c r="I203">
        <f t="shared" si="19"/>
        <v>1</v>
      </c>
      <c r="J203">
        <f t="shared" si="18"/>
        <v>10</v>
      </c>
    </row>
    <row r="204" spans="1:10" x14ac:dyDescent="0.2">
      <c r="A204">
        <v>203</v>
      </c>
      <c r="B204" s="23">
        <v>44994</v>
      </c>
      <c r="C204">
        <f t="shared" si="15"/>
        <v>0</v>
      </c>
      <c r="D204">
        <v>0</v>
      </c>
      <c r="E204">
        <f t="shared" si="16"/>
        <v>0</v>
      </c>
      <c r="F204" t="str">
        <f t="shared" si="17"/>
        <v>Thursday</v>
      </c>
      <c r="H204">
        <v>4</v>
      </c>
      <c r="I204">
        <f t="shared" si="19"/>
        <v>1</v>
      </c>
      <c r="J204">
        <f t="shared" si="18"/>
        <v>10</v>
      </c>
    </row>
    <row r="205" spans="1:10" x14ac:dyDescent="0.2">
      <c r="A205">
        <v>204</v>
      </c>
      <c r="B205" s="23">
        <v>44995</v>
      </c>
      <c r="C205">
        <f t="shared" ref="C205:C268" si="20">IF(OR(WEEKDAY(B205) = 7, WEEKDAY(B205) = 1), 1, 0)</f>
        <v>0</v>
      </c>
      <c r="D205">
        <v>0</v>
      </c>
      <c r="E205">
        <f t="shared" ref="E205:E268" si="21">IF((C205+D205)&gt;0, 1, 0)</f>
        <v>0</v>
      </c>
      <c r="F205" t="str">
        <f t="shared" ref="F205:F268" si="22">TEXT(B205, "dddd")</f>
        <v>Friday</v>
      </c>
      <c r="H205">
        <v>4</v>
      </c>
      <c r="I205">
        <f t="shared" si="19"/>
        <v>1</v>
      </c>
      <c r="J205">
        <f t="shared" si="18"/>
        <v>10</v>
      </c>
    </row>
    <row r="206" spans="1:10" x14ac:dyDescent="0.2">
      <c r="A206">
        <v>205</v>
      </c>
      <c r="B206" s="23">
        <v>44996</v>
      </c>
      <c r="C206">
        <f t="shared" si="20"/>
        <v>1</v>
      </c>
      <c r="D206">
        <v>0</v>
      </c>
      <c r="E206">
        <f t="shared" si="21"/>
        <v>1</v>
      </c>
      <c r="F206" t="str">
        <f t="shared" si="22"/>
        <v>Saturday</v>
      </c>
      <c r="H206">
        <v>4</v>
      </c>
      <c r="I206">
        <f t="shared" si="19"/>
        <v>1</v>
      </c>
      <c r="J206">
        <f t="shared" si="18"/>
        <v>10</v>
      </c>
    </row>
    <row r="207" spans="1:10" x14ac:dyDescent="0.2">
      <c r="A207">
        <v>206</v>
      </c>
      <c r="B207" s="23">
        <v>44997</v>
      </c>
      <c r="C207">
        <f t="shared" si="20"/>
        <v>1</v>
      </c>
      <c r="D207">
        <v>0</v>
      </c>
      <c r="E207">
        <f t="shared" si="21"/>
        <v>1</v>
      </c>
      <c r="F207" t="str">
        <f t="shared" si="22"/>
        <v>Sunday</v>
      </c>
      <c r="H207">
        <v>4</v>
      </c>
      <c r="I207">
        <f t="shared" si="19"/>
        <v>1</v>
      </c>
      <c r="J207">
        <f t="shared" si="18"/>
        <v>10</v>
      </c>
    </row>
    <row r="208" spans="1:10" x14ac:dyDescent="0.2">
      <c r="A208">
        <v>207</v>
      </c>
      <c r="B208" s="23">
        <v>44998</v>
      </c>
      <c r="C208">
        <f t="shared" si="20"/>
        <v>0</v>
      </c>
      <c r="D208">
        <v>0</v>
      </c>
      <c r="E208">
        <f t="shared" si="21"/>
        <v>0</v>
      </c>
      <c r="F208" t="str">
        <f t="shared" si="22"/>
        <v>Monday</v>
      </c>
      <c r="H208">
        <v>4</v>
      </c>
      <c r="I208">
        <f t="shared" si="19"/>
        <v>2</v>
      </c>
      <c r="J208">
        <f t="shared" si="18"/>
        <v>11</v>
      </c>
    </row>
    <row r="209" spans="1:10" x14ac:dyDescent="0.2">
      <c r="A209">
        <v>208</v>
      </c>
      <c r="B209" s="23">
        <v>44999</v>
      </c>
      <c r="C209">
        <f t="shared" si="20"/>
        <v>0</v>
      </c>
      <c r="D209">
        <v>0</v>
      </c>
      <c r="E209">
        <f t="shared" si="21"/>
        <v>0</v>
      </c>
      <c r="F209" t="str">
        <f t="shared" si="22"/>
        <v>Tuesday</v>
      </c>
      <c r="H209">
        <v>4</v>
      </c>
      <c r="I209">
        <f t="shared" si="19"/>
        <v>2</v>
      </c>
      <c r="J209">
        <f t="shared" si="18"/>
        <v>11</v>
      </c>
    </row>
    <row r="210" spans="1:10" x14ac:dyDescent="0.2">
      <c r="A210">
        <v>209</v>
      </c>
      <c r="B210" s="23">
        <v>45000</v>
      </c>
      <c r="C210">
        <f t="shared" si="20"/>
        <v>0</v>
      </c>
      <c r="D210">
        <v>0</v>
      </c>
      <c r="E210">
        <f t="shared" si="21"/>
        <v>0</v>
      </c>
      <c r="F210" t="str">
        <f t="shared" si="22"/>
        <v>Wednesday</v>
      </c>
      <c r="H210">
        <v>4</v>
      </c>
      <c r="I210">
        <f t="shared" si="19"/>
        <v>2</v>
      </c>
      <c r="J210">
        <f t="shared" si="18"/>
        <v>11</v>
      </c>
    </row>
    <row r="211" spans="1:10" x14ac:dyDescent="0.2">
      <c r="A211">
        <v>210</v>
      </c>
      <c r="B211" s="23">
        <v>45001</v>
      </c>
      <c r="C211">
        <f t="shared" si="20"/>
        <v>0</v>
      </c>
      <c r="D211">
        <v>0</v>
      </c>
      <c r="E211">
        <f t="shared" si="21"/>
        <v>0</v>
      </c>
      <c r="F211" t="str">
        <f t="shared" si="22"/>
        <v>Thursday</v>
      </c>
      <c r="H211">
        <v>4</v>
      </c>
      <c r="I211">
        <f t="shared" si="19"/>
        <v>2</v>
      </c>
      <c r="J211">
        <f t="shared" si="18"/>
        <v>11</v>
      </c>
    </row>
    <row r="212" spans="1:10" x14ac:dyDescent="0.2">
      <c r="A212">
        <v>211</v>
      </c>
      <c r="B212" s="23">
        <v>45002</v>
      </c>
      <c r="C212">
        <f t="shared" si="20"/>
        <v>0</v>
      </c>
      <c r="D212">
        <v>0</v>
      </c>
      <c r="E212">
        <f t="shared" si="21"/>
        <v>0</v>
      </c>
      <c r="F212" t="str">
        <f t="shared" si="22"/>
        <v>Friday</v>
      </c>
      <c r="H212">
        <v>4</v>
      </c>
      <c r="I212">
        <f t="shared" si="19"/>
        <v>2</v>
      </c>
      <c r="J212">
        <f t="shared" si="18"/>
        <v>11</v>
      </c>
    </row>
    <row r="213" spans="1:10" x14ac:dyDescent="0.2">
      <c r="A213">
        <v>212</v>
      </c>
      <c r="B213" s="23">
        <v>45003</v>
      </c>
      <c r="C213">
        <f t="shared" si="20"/>
        <v>1</v>
      </c>
      <c r="D213">
        <v>0</v>
      </c>
      <c r="E213">
        <f t="shared" si="21"/>
        <v>1</v>
      </c>
      <c r="F213" t="str">
        <f t="shared" si="22"/>
        <v>Saturday</v>
      </c>
      <c r="H213">
        <v>4</v>
      </c>
      <c r="I213">
        <f t="shared" si="19"/>
        <v>2</v>
      </c>
      <c r="J213">
        <f t="shared" si="18"/>
        <v>11</v>
      </c>
    </row>
    <row r="214" spans="1:10" x14ac:dyDescent="0.2">
      <c r="A214">
        <v>213</v>
      </c>
      <c r="B214" s="23">
        <v>45004</v>
      </c>
      <c r="C214">
        <f t="shared" si="20"/>
        <v>1</v>
      </c>
      <c r="D214">
        <v>0</v>
      </c>
      <c r="E214">
        <f t="shared" si="21"/>
        <v>1</v>
      </c>
      <c r="F214" t="str">
        <f t="shared" si="22"/>
        <v>Sunday</v>
      </c>
      <c r="H214">
        <v>4</v>
      </c>
      <c r="I214">
        <f t="shared" si="19"/>
        <v>2</v>
      </c>
      <c r="J214">
        <f t="shared" si="18"/>
        <v>11</v>
      </c>
    </row>
    <row r="215" spans="1:10" x14ac:dyDescent="0.2">
      <c r="A215">
        <v>214</v>
      </c>
      <c r="B215" s="23">
        <v>45005</v>
      </c>
      <c r="C215">
        <f t="shared" si="20"/>
        <v>0</v>
      </c>
      <c r="D215">
        <v>0</v>
      </c>
      <c r="E215">
        <f t="shared" si="21"/>
        <v>0</v>
      </c>
      <c r="F215" t="str">
        <f t="shared" si="22"/>
        <v>Monday</v>
      </c>
      <c r="H215">
        <v>4</v>
      </c>
      <c r="I215">
        <f t="shared" si="19"/>
        <v>3</v>
      </c>
      <c r="J215">
        <f t="shared" si="18"/>
        <v>12</v>
      </c>
    </row>
    <row r="216" spans="1:10" x14ac:dyDescent="0.2">
      <c r="A216">
        <v>215</v>
      </c>
      <c r="B216" s="23">
        <v>45006</v>
      </c>
      <c r="C216">
        <f t="shared" si="20"/>
        <v>0</v>
      </c>
      <c r="D216">
        <v>0</v>
      </c>
      <c r="E216">
        <f t="shared" si="21"/>
        <v>0</v>
      </c>
      <c r="F216" t="str">
        <f t="shared" si="22"/>
        <v>Tuesday</v>
      </c>
      <c r="H216">
        <v>4</v>
      </c>
      <c r="I216">
        <f t="shared" si="19"/>
        <v>3</v>
      </c>
      <c r="J216">
        <f t="shared" si="18"/>
        <v>12</v>
      </c>
    </row>
    <row r="217" spans="1:10" x14ac:dyDescent="0.2">
      <c r="A217">
        <v>216</v>
      </c>
      <c r="B217" s="23">
        <v>45007</v>
      </c>
      <c r="C217">
        <f t="shared" si="20"/>
        <v>0</v>
      </c>
      <c r="D217">
        <v>0</v>
      </c>
      <c r="E217">
        <f t="shared" si="21"/>
        <v>0</v>
      </c>
      <c r="F217" t="str">
        <f t="shared" si="22"/>
        <v>Wednesday</v>
      </c>
      <c r="H217">
        <v>4</v>
      </c>
      <c r="I217">
        <f t="shared" si="19"/>
        <v>3</v>
      </c>
      <c r="J217">
        <f t="shared" si="18"/>
        <v>12</v>
      </c>
    </row>
    <row r="218" spans="1:10" x14ac:dyDescent="0.2">
      <c r="A218">
        <v>217</v>
      </c>
      <c r="B218" s="23">
        <v>45008</v>
      </c>
      <c r="C218">
        <f t="shared" si="20"/>
        <v>0</v>
      </c>
      <c r="D218">
        <v>0</v>
      </c>
      <c r="E218">
        <f t="shared" si="21"/>
        <v>0</v>
      </c>
      <c r="F218" t="str">
        <f t="shared" si="22"/>
        <v>Thursday</v>
      </c>
      <c r="H218">
        <v>4</v>
      </c>
      <c r="I218">
        <f t="shared" si="19"/>
        <v>3</v>
      </c>
      <c r="J218">
        <f t="shared" si="18"/>
        <v>12</v>
      </c>
    </row>
    <row r="219" spans="1:10" x14ac:dyDescent="0.2">
      <c r="A219">
        <v>218</v>
      </c>
      <c r="B219" s="23">
        <v>45009</v>
      </c>
      <c r="C219">
        <f t="shared" si="20"/>
        <v>0</v>
      </c>
      <c r="D219">
        <v>0</v>
      </c>
      <c r="E219">
        <f t="shared" si="21"/>
        <v>0</v>
      </c>
      <c r="F219" t="str">
        <f t="shared" si="22"/>
        <v>Friday</v>
      </c>
      <c r="H219">
        <v>4</v>
      </c>
      <c r="I219">
        <f t="shared" si="19"/>
        <v>3</v>
      </c>
      <c r="J219">
        <f t="shared" si="18"/>
        <v>12</v>
      </c>
    </row>
    <row r="220" spans="1:10" x14ac:dyDescent="0.2">
      <c r="A220">
        <v>219</v>
      </c>
      <c r="B220" s="23">
        <v>45010</v>
      </c>
      <c r="C220">
        <f t="shared" si="20"/>
        <v>1</v>
      </c>
      <c r="D220">
        <v>0</v>
      </c>
      <c r="E220">
        <f t="shared" si="21"/>
        <v>1</v>
      </c>
      <c r="F220" t="str">
        <f t="shared" si="22"/>
        <v>Saturday</v>
      </c>
      <c r="H220">
        <v>4</v>
      </c>
      <c r="I220">
        <f t="shared" si="19"/>
        <v>3</v>
      </c>
      <c r="J220">
        <f t="shared" si="18"/>
        <v>12</v>
      </c>
    </row>
    <row r="221" spans="1:10" x14ac:dyDescent="0.2">
      <c r="A221">
        <v>220</v>
      </c>
      <c r="B221" s="23">
        <v>45011</v>
      </c>
      <c r="C221">
        <f t="shared" si="20"/>
        <v>1</v>
      </c>
      <c r="D221">
        <v>0</v>
      </c>
      <c r="E221">
        <f t="shared" si="21"/>
        <v>1</v>
      </c>
      <c r="F221" t="str">
        <f t="shared" si="22"/>
        <v>Sunday</v>
      </c>
      <c r="H221">
        <v>4</v>
      </c>
      <c r="I221">
        <f t="shared" si="19"/>
        <v>3</v>
      </c>
      <c r="J221">
        <f t="shared" si="18"/>
        <v>12</v>
      </c>
    </row>
    <row r="222" spans="1:10" x14ac:dyDescent="0.2">
      <c r="A222">
        <v>221</v>
      </c>
      <c r="B222" s="23">
        <v>45012</v>
      </c>
      <c r="C222">
        <f t="shared" si="20"/>
        <v>0</v>
      </c>
      <c r="D222">
        <v>0</v>
      </c>
      <c r="E222">
        <f t="shared" si="21"/>
        <v>0</v>
      </c>
      <c r="F222" t="str">
        <f t="shared" si="22"/>
        <v>Monday</v>
      </c>
      <c r="H222">
        <v>4</v>
      </c>
      <c r="I222">
        <f t="shared" si="19"/>
        <v>4</v>
      </c>
      <c r="J222">
        <f t="shared" si="18"/>
        <v>13</v>
      </c>
    </row>
    <row r="223" spans="1:10" x14ac:dyDescent="0.2">
      <c r="A223">
        <v>222</v>
      </c>
      <c r="B223" s="23">
        <v>45013</v>
      </c>
      <c r="C223">
        <f t="shared" si="20"/>
        <v>0</v>
      </c>
      <c r="D223">
        <v>0</v>
      </c>
      <c r="E223">
        <f t="shared" si="21"/>
        <v>0</v>
      </c>
      <c r="F223" t="str">
        <f t="shared" si="22"/>
        <v>Tuesday</v>
      </c>
      <c r="H223">
        <v>4</v>
      </c>
      <c r="I223">
        <f t="shared" si="19"/>
        <v>4</v>
      </c>
      <c r="J223">
        <f t="shared" si="18"/>
        <v>13</v>
      </c>
    </row>
    <row r="224" spans="1:10" x14ac:dyDescent="0.2">
      <c r="A224">
        <v>223</v>
      </c>
      <c r="B224" s="23">
        <v>45014</v>
      </c>
      <c r="C224">
        <f t="shared" si="20"/>
        <v>0</v>
      </c>
      <c r="D224">
        <v>0</v>
      </c>
      <c r="E224">
        <f t="shared" si="21"/>
        <v>0</v>
      </c>
      <c r="F224" t="str">
        <f t="shared" si="22"/>
        <v>Wednesday</v>
      </c>
      <c r="H224">
        <v>4</v>
      </c>
      <c r="I224">
        <f t="shared" si="19"/>
        <v>4</v>
      </c>
      <c r="J224">
        <f t="shared" si="18"/>
        <v>13</v>
      </c>
    </row>
    <row r="225" spans="1:10" x14ac:dyDescent="0.2">
      <c r="A225">
        <v>224</v>
      </c>
      <c r="B225" s="23">
        <v>45015</v>
      </c>
      <c r="C225">
        <f t="shared" si="20"/>
        <v>0</v>
      </c>
      <c r="D225">
        <v>0</v>
      </c>
      <c r="E225">
        <f t="shared" si="21"/>
        <v>0</v>
      </c>
      <c r="F225" t="str">
        <f t="shared" si="22"/>
        <v>Thursday</v>
      </c>
      <c r="H225">
        <v>4</v>
      </c>
      <c r="I225">
        <f t="shared" si="19"/>
        <v>4</v>
      </c>
      <c r="J225">
        <f t="shared" si="18"/>
        <v>13</v>
      </c>
    </row>
    <row r="226" spans="1:10" x14ac:dyDescent="0.2">
      <c r="A226">
        <v>225</v>
      </c>
      <c r="B226" s="23">
        <v>45016</v>
      </c>
      <c r="C226">
        <f t="shared" si="20"/>
        <v>0</v>
      </c>
      <c r="D226">
        <v>0</v>
      </c>
      <c r="E226">
        <f t="shared" si="21"/>
        <v>0</v>
      </c>
      <c r="F226" t="str">
        <f t="shared" si="22"/>
        <v>Friday</v>
      </c>
      <c r="H226">
        <v>4</v>
      </c>
      <c r="I226">
        <f t="shared" si="19"/>
        <v>4</v>
      </c>
      <c r="J226">
        <f t="shared" si="18"/>
        <v>13</v>
      </c>
    </row>
    <row r="227" spans="1:10" x14ac:dyDescent="0.2">
      <c r="A227">
        <v>226</v>
      </c>
      <c r="B227" s="23">
        <v>45017</v>
      </c>
      <c r="C227">
        <f t="shared" si="20"/>
        <v>1</v>
      </c>
      <c r="D227">
        <v>0</v>
      </c>
      <c r="E227">
        <f t="shared" si="21"/>
        <v>1</v>
      </c>
      <c r="F227" t="str">
        <f t="shared" si="22"/>
        <v>Saturday</v>
      </c>
      <c r="H227">
        <v>4</v>
      </c>
      <c r="I227">
        <f t="shared" si="19"/>
        <v>4</v>
      </c>
      <c r="J227">
        <f t="shared" si="18"/>
        <v>13</v>
      </c>
    </row>
    <row r="228" spans="1:10" x14ac:dyDescent="0.2">
      <c r="A228">
        <v>227</v>
      </c>
      <c r="B228" s="23">
        <v>45018</v>
      </c>
      <c r="C228">
        <f t="shared" si="20"/>
        <v>1</v>
      </c>
      <c r="D228">
        <v>0</v>
      </c>
      <c r="E228">
        <f t="shared" si="21"/>
        <v>1</v>
      </c>
      <c r="F228" t="str">
        <f t="shared" si="22"/>
        <v>Sunday</v>
      </c>
      <c r="H228">
        <v>4</v>
      </c>
      <c r="I228">
        <f t="shared" si="19"/>
        <v>4</v>
      </c>
      <c r="J228">
        <f t="shared" si="18"/>
        <v>13</v>
      </c>
    </row>
    <row r="229" spans="1:10" x14ac:dyDescent="0.2">
      <c r="A229">
        <v>228</v>
      </c>
      <c r="B229" s="23">
        <v>45019</v>
      </c>
      <c r="C229">
        <f t="shared" si="20"/>
        <v>0</v>
      </c>
      <c r="D229">
        <v>0</v>
      </c>
      <c r="E229">
        <f t="shared" si="21"/>
        <v>0</v>
      </c>
      <c r="F229" t="str">
        <f t="shared" si="22"/>
        <v>Monday</v>
      </c>
      <c r="H229">
        <v>4</v>
      </c>
      <c r="I229">
        <f t="shared" si="19"/>
        <v>5</v>
      </c>
      <c r="J229">
        <f t="shared" si="18"/>
        <v>14</v>
      </c>
    </row>
    <row r="230" spans="1:10" x14ac:dyDescent="0.2">
      <c r="A230">
        <v>229</v>
      </c>
      <c r="B230" s="23">
        <v>45020</v>
      </c>
      <c r="C230">
        <f t="shared" si="20"/>
        <v>0</v>
      </c>
      <c r="D230">
        <v>0</v>
      </c>
      <c r="E230">
        <f t="shared" si="21"/>
        <v>0</v>
      </c>
      <c r="F230" t="str">
        <f t="shared" si="22"/>
        <v>Tuesday</v>
      </c>
      <c r="H230">
        <v>4</v>
      </c>
      <c r="I230">
        <f t="shared" si="19"/>
        <v>5</v>
      </c>
      <c r="J230">
        <f t="shared" si="18"/>
        <v>14</v>
      </c>
    </row>
    <row r="231" spans="1:10" x14ac:dyDescent="0.2">
      <c r="A231">
        <v>230</v>
      </c>
      <c r="B231" s="23">
        <v>45021</v>
      </c>
      <c r="C231">
        <f t="shared" si="20"/>
        <v>0</v>
      </c>
      <c r="D231">
        <v>0</v>
      </c>
      <c r="E231">
        <f t="shared" si="21"/>
        <v>0</v>
      </c>
      <c r="F231" t="str">
        <f t="shared" si="22"/>
        <v>Wednesday</v>
      </c>
      <c r="H231">
        <v>4</v>
      </c>
      <c r="I231">
        <f t="shared" si="19"/>
        <v>5</v>
      </c>
      <c r="J231">
        <f t="shared" si="18"/>
        <v>14</v>
      </c>
    </row>
    <row r="232" spans="1:10" x14ac:dyDescent="0.2">
      <c r="A232">
        <v>231</v>
      </c>
      <c r="B232" s="23">
        <v>45022</v>
      </c>
      <c r="C232">
        <f t="shared" si="20"/>
        <v>0</v>
      </c>
      <c r="D232">
        <v>0</v>
      </c>
      <c r="E232">
        <f t="shared" si="21"/>
        <v>0</v>
      </c>
      <c r="F232" t="str">
        <f t="shared" si="22"/>
        <v>Thursday</v>
      </c>
      <c r="H232">
        <v>4</v>
      </c>
      <c r="I232">
        <f t="shared" si="19"/>
        <v>5</v>
      </c>
      <c r="J232">
        <f t="shared" si="18"/>
        <v>14</v>
      </c>
    </row>
    <row r="233" spans="1:10" x14ac:dyDescent="0.2">
      <c r="A233">
        <v>232</v>
      </c>
      <c r="B233" s="23">
        <v>45023</v>
      </c>
      <c r="C233">
        <f t="shared" si="20"/>
        <v>0</v>
      </c>
      <c r="D233">
        <v>0</v>
      </c>
      <c r="E233">
        <f t="shared" si="21"/>
        <v>0</v>
      </c>
      <c r="F233" t="str">
        <f t="shared" si="22"/>
        <v>Friday</v>
      </c>
      <c r="H233">
        <v>4</v>
      </c>
      <c r="I233">
        <f t="shared" si="19"/>
        <v>5</v>
      </c>
      <c r="J233">
        <f t="shared" si="18"/>
        <v>14</v>
      </c>
    </row>
    <row r="234" spans="1:10" x14ac:dyDescent="0.2">
      <c r="A234">
        <v>233</v>
      </c>
      <c r="B234" s="23">
        <v>45024</v>
      </c>
      <c r="C234">
        <f t="shared" si="20"/>
        <v>1</v>
      </c>
      <c r="D234">
        <v>0</v>
      </c>
      <c r="E234">
        <f t="shared" si="21"/>
        <v>1</v>
      </c>
      <c r="F234" t="str">
        <f t="shared" si="22"/>
        <v>Saturday</v>
      </c>
      <c r="H234">
        <v>4</v>
      </c>
      <c r="I234">
        <f t="shared" si="19"/>
        <v>5</v>
      </c>
      <c r="J234">
        <f t="shared" si="18"/>
        <v>14</v>
      </c>
    </row>
    <row r="235" spans="1:10" x14ac:dyDescent="0.2">
      <c r="A235">
        <v>234</v>
      </c>
      <c r="B235" s="23">
        <v>45025</v>
      </c>
      <c r="C235">
        <f t="shared" si="20"/>
        <v>1</v>
      </c>
      <c r="D235">
        <v>0</v>
      </c>
      <c r="E235">
        <f t="shared" si="21"/>
        <v>1</v>
      </c>
      <c r="F235" t="str">
        <f t="shared" si="22"/>
        <v>Sunday</v>
      </c>
      <c r="H235">
        <v>4</v>
      </c>
      <c r="I235">
        <f t="shared" si="19"/>
        <v>5</v>
      </c>
      <c r="J235">
        <f t="shared" si="18"/>
        <v>14</v>
      </c>
    </row>
    <row r="236" spans="1:10" x14ac:dyDescent="0.2">
      <c r="A236">
        <v>235</v>
      </c>
      <c r="B236" s="23">
        <v>45026</v>
      </c>
      <c r="C236">
        <f t="shared" si="20"/>
        <v>0</v>
      </c>
      <c r="D236">
        <v>0</v>
      </c>
      <c r="E236">
        <f t="shared" si="21"/>
        <v>0</v>
      </c>
      <c r="F236" t="str">
        <f t="shared" si="22"/>
        <v>Monday</v>
      </c>
      <c r="H236">
        <v>4</v>
      </c>
      <c r="I236">
        <f t="shared" si="19"/>
        <v>6</v>
      </c>
      <c r="J236">
        <f t="shared" si="18"/>
        <v>15</v>
      </c>
    </row>
    <row r="237" spans="1:10" x14ac:dyDescent="0.2">
      <c r="A237">
        <v>236</v>
      </c>
      <c r="B237" s="23">
        <v>45027</v>
      </c>
      <c r="C237">
        <f t="shared" si="20"/>
        <v>0</v>
      </c>
      <c r="D237">
        <v>0</v>
      </c>
      <c r="E237">
        <f t="shared" si="21"/>
        <v>0</v>
      </c>
      <c r="F237" t="str">
        <f t="shared" si="22"/>
        <v>Tuesday</v>
      </c>
      <c r="H237">
        <v>4</v>
      </c>
      <c r="I237">
        <f t="shared" si="19"/>
        <v>6</v>
      </c>
      <c r="J237">
        <f t="shared" si="18"/>
        <v>15</v>
      </c>
    </row>
    <row r="238" spans="1:10" x14ac:dyDescent="0.2">
      <c r="A238">
        <v>237</v>
      </c>
      <c r="B238" s="23">
        <v>45028</v>
      </c>
      <c r="C238">
        <f t="shared" si="20"/>
        <v>0</v>
      </c>
      <c r="D238">
        <v>0</v>
      </c>
      <c r="E238">
        <f t="shared" si="21"/>
        <v>0</v>
      </c>
      <c r="F238" t="str">
        <f t="shared" si="22"/>
        <v>Wednesday</v>
      </c>
      <c r="H238">
        <v>4</v>
      </c>
      <c r="I238">
        <f t="shared" si="19"/>
        <v>6</v>
      </c>
      <c r="J238">
        <f t="shared" si="18"/>
        <v>15</v>
      </c>
    </row>
    <row r="239" spans="1:10" x14ac:dyDescent="0.2">
      <c r="A239">
        <v>238</v>
      </c>
      <c r="B239" s="23">
        <v>45029</v>
      </c>
      <c r="C239">
        <f t="shared" si="20"/>
        <v>0</v>
      </c>
      <c r="D239">
        <v>0</v>
      </c>
      <c r="E239">
        <f t="shared" si="21"/>
        <v>0</v>
      </c>
      <c r="F239" t="str">
        <f t="shared" si="22"/>
        <v>Thursday</v>
      </c>
      <c r="H239">
        <v>4</v>
      </c>
      <c r="I239">
        <f t="shared" si="19"/>
        <v>6</v>
      </c>
      <c r="J239">
        <f t="shared" si="18"/>
        <v>15</v>
      </c>
    </row>
    <row r="240" spans="1:10" x14ac:dyDescent="0.2">
      <c r="A240">
        <v>239</v>
      </c>
      <c r="B240" s="23">
        <v>45030</v>
      </c>
      <c r="C240">
        <f t="shared" si="20"/>
        <v>0</v>
      </c>
      <c r="D240">
        <v>0</v>
      </c>
      <c r="E240">
        <f t="shared" si="21"/>
        <v>0</v>
      </c>
      <c r="F240" t="str">
        <f t="shared" si="22"/>
        <v>Friday</v>
      </c>
      <c r="H240">
        <v>4</v>
      </c>
      <c r="I240">
        <f t="shared" si="19"/>
        <v>6</v>
      </c>
      <c r="J240">
        <f t="shared" si="18"/>
        <v>15</v>
      </c>
    </row>
    <row r="241" spans="1:10" x14ac:dyDescent="0.2">
      <c r="A241">
        <v>240</v>
      </c>
      <c r="B241" s="23">
        <v>45031</v>
      </c>
      <c r="C241">
        <f t="shared" si="20"/>
        <v>1</v>
      </c>
      <c r="D241">
        <v>0</v>
      </c>
      <c r="E241">
        <f t="shared" si="21"/>
        <v>1</v>
      </c>
      <c r="F241" t="str">
        <f t="shared" si="22"/>
        <v>Saturday</v>
      </c>
      <c r="H241">
        <v>4</v>
      </c>
      <c r="I241">
        <f t="shared" si="19"/>
        <v>6</v>
      </c>
      <c r="J241">
        <f t="shared" si="18"/>
        <v>15</v>
      </c>
    </row>
    <row r="242" spans="1:10" x14ac:dyDescent="0.2">
      <c r="A242">
        <v>241</v>
      </c>
      <c r="B242" s="23">
        <v>45032</v>
      </c>
      <c r="C242">
        <f t="shared" si="20"/>
        <v>1</v>
      </c>
      <c r="D242">
        <v>0</v>
      </c>
      <c r="E242">
        <f t="shared" si="21"/>
        <v>1</v>
      </c>
      <c r="F242" t="str">
        <f t="shared" si="22"/>
        <v>Sunday</v>
      </c>
      <c r="H242">
        <v>4</v>
      </c>
      <c r="I242">
        <f t="shared" si="19"/>
        <v>6</v>
      </c>
      <c r="J242">
        <f t="shared" si="18"/>
        <v>15</v>
      </c>
    </row>
    <row r="243" spans="1:10" x14ac:dyDescent="0.2">
      <c r="A243">
        <v>242</v>
      </c>
      <c r="B243" s="23">
        <v>45033</v>
      </c>
      <c r="C243">
        <f t="shared" si="20"/>
        <v>0</v>
      </c>
      <c r="D243">
        <v>0</v>
      </c>
      <c r="E243">
        <f t="shared" si="21"/>
        <v>0</v>
      </c>
      <c r="F243" t="str">
        <f t="shared" si="22"/>
        <v>Monday</v>
      </c>
      <c r="H243">
        <v>4</v>
      </c>
      <c r="I243">
        <f t="shared" si="19"/>
        <v>7</v>
      </c>
      <c r="J243">
        <f t="shared" si="18"/>
        <v>16</v>
      </c>
    </row>
    <row r="244" spans="1:10" x14ac:dyDescent="0.2">
      <c r="A244">
        <v>243</v>
      </c>
      <c r="B244" s="23">
        <v>45034</v>
      </c>
      <c r="C244">
        <f t="shared" si="20"/>
        <v>0</v>
      </c>
      <c r="D244">
        <v>0</v>
      </c>
      <c r="E244">
        <f t="shared" si="21"/>
        <v>0</v>
      </c>
      <c r="F244" t="str">
        <f t="shared" si="22"/>
        <v>Tuesday</v>
      </c>
      <c r="H244">
        <v>4</v>
      </c>
      <c r="I244">
        <f t="shared" si="19"/>
        <v>7</v>
      </c>
      <c r="J244">
        <f t="shared" si="18"/>
        <v>16</v>
      </c>
    </row>
    <row r="245" spans="1:10" x14ac:dyDescent="0.2">
      <c r="A245">
        <v>244</v>
      </c>
      <c r="B245" s="23">
        <v>45035</v>
      </c>
      <c r="C245">
        <f t="shared" si="20"/>
        <v>0</v>
      </c>
      <c r="D245">
        <v>0</v>
      </c>
      <c r="E245">
        <f t="shared" si="21"/>
        <v>0</v>
      </c>
      <c r="F245" t="str">
        <f t="shared" si="22"/>
        <v>Wednesday</v>
      </c>
      <c r="H245">
        <v>4</v>
      </c>
      <c r="I245">
        <f t="shared" si="19"/>
        <v>7</v>
      </c>
      <c r="J245">
        <f t="shared" si="18"/>
        <v>16</v>
      </c>
    </row>
    <row r="246" spans="1:10" x14ac:dyDescent="0.2">
      <c r="A246">
        <v>245</v>
      </c>
      <c r="B246" s="23">
        <v>45036</v>
      </c>
      <c r="C246">
        <f t="shared" si="20"/>
        <v>0</v>
      </c>
      <c r="D246">
        <v>0</v>
      </c>
      <c r="E246">
        <f t="shared" si="21"/>
        <v>0</v>
      </c>
      <c r="F246" t="str">
        <f t="shared" si="22"/>
        <v>Thursday</v>
      </c>
      <c r="H246">
        <v>4</v>
      </c>
      <c r="I246">
        <f t="shared" si="19"/>
        <v>7</v>
      </c>
      <c r="J246">
        <f t="shared" si="18"/>
        <v>16</v>
      </c>
    </row>
    <row r="247" spans="1:10" x14ac:dyDescent="0.2">
      <c r="A247">
        <v>246</v>
      </c>
      <c r="B247" s="23">
        <v>45037</v>
      </c>
      <c r="C247">
        <f t="shared" si="20"/>
        <v>0</v>
      </c>
      <c r="D247">
        <v>0</v>
      </c>
      <c r="E247">
        <f t="shared" si="21"/>
        <v>0</v>
      </c>
      <c r="F247" t="str">
        <f t="shared" si="22"/>
        <v>Friday</v>
      </c>
      <c r="H247">
        <v>4</v>
      </c>
      <c r="I247">
        <f t="shared" si="19"/>
        <v>7</v>
      </c>
      <c r="J247">
        <f t="shared" si="18"/>
        <v>16</v>
      </c>
    </row>
    <row r="248" spans="1:10" x14ac:dyDescent="0.2">
      <c r="A248">
        <v>247</v>
      </c>
      <c r="B248" s="23">
        <v>45038</v>
      </c>
      <c r="C248">
        <f t="shared" si="20"/>
        <v>1</v>
      </c>
      <c r="D248">
        <v>0</v>
      </c>
      <c r="E248">
        <f t="shared" si="21"/>
        <v>1</v>
      </c>
      <c r="F248" t="str">
        <f t="shared" si="22"/>
        <v>Saturday</v>
      </c>
      <c r="H248">
        <v>4</v>
      </c>
      <c r="I248">
        <f t="shared" si="19"/>
        <v>7</v>
      </c>
      <c r="J248">
        <f t="shared" si="18"/>
        <v>16</v>
      </c>
    </row>
    <row r="249" spans="1:10" x14ac:dyDescent="0.2">
      <c r="A249">
        <v>248</v>
      </c>
      <c r="B249" s="23">
        <v>45039</v>
      </c>
      <c r="C249">
        <f t="shared" si="20"/>
        <v>1</v>
      </c>
      <c r="D249">
        <v>0</v>
      </c>
      <c r="E249">
        <f t="shared" si="21"/>
        <v>1</v>
      </c>
      <c r="F249" t="str">
        <f t="shared" si="22"/>
        <v>Sunday</v>
      </c>
      <c r="H249">
        <v>4</v>
      </c>
      <c r="I249">
        <f t="shared" si="19"/>
        <v>7</v>
      </c>
      <c r="J249">
        <f t="shared" si="18"/>
        <v>16</v>
      </c>
    </row>
    <row r="250" spans="1:10" x14ac:dyDescent="0.2">
      <c r="A250">
        <v>249</v>
      </c>
      <c r="B250" s="23">
        <v>45040</v>
      </c>
      <c r="C250">
        <f t="shared" si="20"/>
        <v>0</v>
      </c>
      <c r="D250">
        <v>0</v>
      </c>
      <c r="E250">
        <f t="shared" si="21"/>
        <v>0</v>
      </c>
      <c r="F250" t="str">
        <f t="shared" si="22"/>
        <v>Monday</v>
      </c>
      <c r="H250">
        <v>4</v>
      </c>
      <c r="I250">
        <f t="shared" si="19"/>
        <v>8</v>
      </c>
      <c r="J250">
        <f t="shared" si="18"/>
        <v>17</v>
      </c>
    </row>
    <row r="251" spans="1:10" x14ac:dyDescent="0.2">
      <c r="A251">
        <v>250</v>
      </c>
      <c r="B251" s="23">
        <v>45041</v>
      </c>
      <c r="C251">
        <f t="shared" si="20"/>
        <v>0</v>
      </c>
      <c r="D251">
        <v>0</v>
      </c>
      <c r="E251">
        <f t="shared" si="21"/>
        <v>0</v>
      </c>
      <c r="F251" t="str">
        <f t="shared" si="22"/>
        <v>Tuesday</v>
      </c>
      <c r="H251">
        <v>4</v>
      </c>
      <c r="I251">
        <f t="shared" si="19"/>
        <v>8</v>
      </c>
      <c r="J251">
        <f t="shared" si="18"/>
        <v>17</v>
      </c>
    </row>
    <row r="252" spans="1:10" x14ac:dyDescent="0.2">
      <c r="A252">
        <v>251</v>
      </c>
      <c r="B252" s="23">
        <v>45042</v>
      </c>
      <c r="C252">
        <f t="shared" si="20"/>
        <v>0</v>
      </c>
      <c r="D252">
        <v>0</v>
      </c>
      <c r="E252">
        <f t="shared" si="21"/>
        <v>0</v>
      </c>
      <c r="F252" t="str">
        <f t="shared" si="22"/>
        <v>Wednesday</v>
      </c>
      <c r="H252">
        <v>4</v>
      </c>
      <c r="I252">
        <f t="shared" si="19"/>
        <v>8</v>
      </c>
      <c r="J252">
        <f t="shared" si="18"/>
        <v>17</v>
      </c>
    </row>
    <row r="253" spans="1:10" x14ac:dyDescent="0.2">
      <c r="A253">
        <v>252</v>
      </c>
      <c r="B253" s="23">
        <v>45043</v>
      </c>
      <c r="C253">
        <f t="shared" si="20"/>
        <v>0</v>
      </c>
      <c r="D253">
        <v>0</v>
      </c>
      <c r="E253">
        <f t="shared" si="21"/>
        <v>0</v>
      </c>
      <c r="F253" t="str">
        <f t="shared" si="22"/>
        <v>Thursday</v>
      </c>
      <c r="H253">
        <v>4</v>
      </c>
      <c r="I253">
        <f t="shared" si="19"/>
        <v>8</v>
      </c>
      <c r="J253">
        <f t="shared" si="18"/>
        <v>17</v>
      </c>
    </row>
    <row r="254" spans="1:10" x14ac:dyDescent="0.2">
      <c r="A254">
        <v>253</v>
      </c>
      <c r="B254" s="23">
        <v>45044</v>
      </c>
      <c r="C254">
        <f t="shared" si="20"/>
        <v>0</v>
      </c>
      <c r="D254">
        <v>0</v>
      </c>
      <c r="E254">
        <f t="shared" si="21"/>
        <v>0</v>
      </c>
      <c r="F254" t="str">
        <f t="shared" si="22"/>
        <v>Friday</v>
      </c>
      <c r="H254">
        <v>4</v>
      </c>
      <c r="I254">
        <f t="shared" si="19"/>
        <v>8</v>
      </c>
      <c r="J254">
        <f t="shared" si="18"/>
        <v>17</v>
      </c>
    </row>
    <row r="255" spans="1:10" x14ac:dyDescent="0.2">
      <c r="A255">
        <v>254</v>
      </c>
      <c r="B255" s="23">
        <v>45045</v>
      </c>
      <c r="C255">
        <f t="shared" si="20"/>
        <v>1</v>
      </c>
      <c r="D255">
        <v>1</v>
      </c>
      <c r="E255">
        <f t="shared" si="21"/>
        <v>1</v>
      </c>
      <c r="F255" t="str">
        <f t="shared" si="22"/>
        <v>Saturday</v>
      </c>
      <c r="G255" t="s">
        <v>1945</v>
      </c>
      <c r="H255">
        <v>4</v>
      </c>
      <c r="I255">
        <f t="shared" si="19"/>
        <v>8</v>
      </c>
      <c r="J255">
        <f t="shared" si="18"/>
        <v>17</v>
      </c>
    </row>
    <row r="256" spans="1:10" x14ac:dyDescent="0.2">
      <c r="A256">
        <v>255</v>
      </c>
      <c r="B256" s="23">
        <v>45046</v>
      </c>
      <c r="C256">
        <f t="shared" si="20"/>
        <v>1</v>
      </c>
      <c r="D256">
        <v>1</v>
      </c>
      <c r="E256">
        <f t="shared" si="21"/>
        <v>1</v>
      </c>
      <c r="F256" t="str">
        <f t="shared" si="22"/>
        <v>Sunday</v>
      </c>
      <c r="G256" t="s">
        <v>1945</v>
      </c>
      <c r="H256">
        <v>4</v>
      </c>
      <c r="I256">
        <f t="shared" si="19"/>
        <v>8</v>
      </c>
      <c r="J256">
        <f t="shared" si="18"/>
        <v>17</v>
      </c>
    </row>
    <row r="257" spans="1:10" x14ac:dyDescent="0.2">
      <c r="A257">
        <v>256</v>
      </c>
      <c r="B257" s="23">
        <v>45047</v>
      </c>
      <c r="C257">
        <f t="shared" si="20"/>
        <v>0</v>
      </c>
      <c r="D257">
        <v>1</v>
      </c>
      <c r="E257">
        <f t="shared" si="21"/>
        <v>1</v>
      </c>
      <c r="F257" t="str">
        <f t="shared" si="22"/>
        <v>Monday</v>
      </c>
      <c r="G257" t="s">
        <v>1945</v>
      </c>
      <c r="H257">
        <v>4</v>
      </c>
      <c r="I257">
        <f t="shared" si="19"/>
        <v>9</v>
      </c>
      <c r="J257">
        <f t="shared" si="18"/>
        <v>18</v>
      </c>
    </row>
    <row r="258" spans="1:10" x14ac:dyDescent="0.2">
      <c r="A258">
        <v>257</v>
      </c>
      <c r="B258" s="23">
        <v>45048</v>
      </c>
      <c r="C258">
        <f t="shared" si="20"/>
        <v>0</v>
      </c>
      <c r="D258">
        <v>1</v>
      </c>
      <c r="E258">
        <f t="shared" si="21"/>
        <v>1</v>
      </c>
      <c r="F258" t="str">
        <f t="shared" si="22"/>
        <v>Tuesday</v>
      </c>
      <c r="G258" t="s">
        <v>1945</v>
      </c>
      <c r="H258">
        <v>4</v>
      </c>
      <c r="I258">
        <f t="shared" si="19"/>
        <v>9</v>
      </c>
      <c r="J258">
        <f t="shared" si="18"/>
        <v>18</v>
      </c>
    </row>
    <row r="259" spans="1:10" x14ac:dyDescent="0.2">
      <c r="A259">
        <v>258</v>
      </c>
      <c r="B259" s="23">
        <v>45049</v>
      </c>
      <c r="C259">
        <f t="shared" si="20"/>
        <v>0</v>
      </c>
      <c r="D259">
        <v>1</v>
      </c>
      <c r="E259">
        <f t="shared" si="21"/>
        <v>1</v>
      </c>
      <c r="F259" t="str">
        <f t="shared" si="22"/>
        <v>Wednesday</v>
      </c>
      <c r="G259" t="s">
        <v>1945</v>
      </c>
      <c r="H259">
        <v>4</v>
      </c>
      <c r="I259">
        <f t="shared" si="19"/>
        <v>9</v>
      </c>
      <c r="J259">
        <f t="shared" ref="J259:J322" si="23">_xlfn.ISOWEEKNUM(B259)</f>
        <v>18</v>
      </c>
    </row>
    <row r="260" spans="1:10" x14ac:dyDescent="0.2">
      <c r="A260">
        <v>259</v>
      </c>
      <c r="B260" s="23">
        <v>45050</v>
      </c>
      <c r="C260">
        <f t="shared" si="20"/>
        <v>0</v>
      </c>
      <c r="D260">
        <v>1</v>
      </c>
      <c r="E260">
        <f t="shared" si="21"/>
        <v>1</v>
      </c>
      <c r="F260" t="str">
        <f t="shared" si="22"/>
        <v>Thursday</v>
      </c>
      <c r="G260" t="s">
        <v>1945</v>
      </c>
      <c r="H260">
        <v>4</v>
      </c>
      <c r="I260">
        <f t="shared" si="19"/>
        <v>9</v>
      </c>
      <c r="J260">
        <f t="shared" si="23"/>
        <v>18</v>
      </c>
    </row>
    <row r="261" spans="1:10" x14ac:dyDescent="0.2">
      <c r="A261">
        <v>260</v>
      </c>
      <c r="B261" s="23">
        <v>45051</v>
      </c>
      <c r="C261">
        <f t="shared" si="20"/>
        <v>0</v>
      </c>
      <c r="D261">
        <v>1</v>
      </c>
      <c r="E261">
        <f t="shared" si="21"/>
        <v>1</v>
      </c>
      <c r="F261" t="str">
        <f t="shared" si="22"/>
        <v>Friday</v>
      </c>
      <c r="G261" t="s">
        <v>1945</v>
      </c>
      <c r="H261">
        <v>4</v>
      </c>
      <c r="I261">
        <f t="shared" si="19"/>
        <v>9</v>
      </c>
      <c r="J261">
        <f t="shared" si="23"/>
        <v>18</v>
      </c>
    </row>
    <row r="262" spans="1:10" x14ac:dyDescent="0.2">
      <c r="A262">
        <v>261</v>
      </c>
      <c r="B262" s="23">
        <v>45052</v>
      </c>
      <c r="C262">
        <f t="shared" si="20"/>
        <v>1</v>
      </c>
      <c r="D262">
        <v>1</v>
      </c>
      <c r="E262">
        <f t="shared" si="21"/>
        <v>1</v>
      </c>
      <c r="F262" t="str">
        <f t="shared" si="22"/>
        <v>Saturday</v>
      </c>
      <c r="G262" t="s">
        <v>1945</v>
      </c>
      <c r="H262">
        <v>4</v>
      </c>
      <c r="I262">
        <f t="shared" ref="I262:I325" si="24">IF(J262&gt;J261, IF(H262&lt;&gt;H261,1, I261+1),I261)</f>
        <v>9</v>
      </c>
      <c r="J262">
        <f t="shared" si="23"/>
        <v>18</v>
      </c>
    </row>
    <row r="263" spans="1:10" x14ac:dyDescent="0.2">
      <c r="A263">
        <v>262</v>
      </c>
      <c r="B263" s="23">
        <v>45053</v>
      </c>
      <c r="C263">
        <f t="shared" si="20"/>
        <v>1</v>
      </c>
      <c r="D263">
        <v>1</v>
      </c>
      <c r="E263">
        <f t="shared" si="21"/>
        <v>1</v>
      </c>
      <c r="F263" t="str">
        <f t="shared" si="22"/>
        <v>Sunday</v>
      </c>
      <c r="G263" t="s">
        <v>1945</v>
      </c>
      <c r="H263">
        <v>4</v>
      </c>
      <c r="I263">
        <f t="shared" si="24"/>
        <v>9</v>
      </c>
      <c r="J263">
        <f t="shared" si="23"/>
        <v>18</v>
      </c>
    </row>
    <row r="264" spans="1:10" x14ac:dyDescent="0.2">
      <c r="A264">
        <v>263</v>
      </c>
      <c r="B264" s="23">
        <v>45054</v>
      </c>
      <c r="C264">
        <f t="shared" si="20"/>
        <v>0</v>
      </c>
      <c r="D264">
        <v>1</v>
      </c>
      <c r="E264">
        <f t="shared" si="21"/>
        <v>1</v>
      </c>
      <c r="F264" t="str">
        <f t="shared" si="22"/>
        <v>Monday</v>
      </c>
      <c r="G264" t="s">
        <v>1945</v>
      </c>
      <c r="H264">
        <v>4</v>
      </c>
      <c r="I264">
        <f t="shared" si="24"/>
        <v>10</v>
      </c>
      <c r="J264">
        <f t="shared" si="23"/>
        <v>19</v>
      </c>
    </row>
    <row r="265" spans="1:10" x14ac:dyDescent="0.2">
      <c r="A265">
        <v>264</v>
      </c>
      <c r="B265" s="23">
        <v>45055</v>
      </c>
      <c r="C265">
        <f t="shared" si="20"/>
        <v>0</v>
      </c>
      <c r="D265">
        <v>1</v>
      </c>
      <c r="E265">
        <f t="shared" si="21"/>
        <v>1</v>
      </c>
      <c r="F265" t="str">
        <f t="shared" si="22"/>
        <v>Tuesday</v>
      </c>
      <c r="G265" t="s">
        <v>1945</v>
      </c>
      <c r="H265">
        <v>4</v>
      </c>
      <c r="I265">
        <f t="shared" si="24"/>
        <v>10</v>
      </c>
      <c r="J265">
        <f t="shared" si="23"/>
        <v>19</v>
      </c>
    </row>
    <row r="266" spans="1:10" x14ac:dyDescent="0.2">
      <c r="A266">
        <v>265</v>
      </c>
      <c r="B266" s="23">
        <v>45056</v>
      </c>
      <c r="C266">
        <f t="shared" si="20"/>
        <v>0</v>
      </c>
      <c r="D266">
        <v>1</v>
      </c>
      <c r="E266">
        <f t="shared" si="21"/>
        <v>1</v>
      </c>
      <c r="F266" t="str">
        <f t="shared" si="22"/>
        <v>Wednesday</v>
      </c>
      <c r="G266" t="s">
        <v>1945</v>
      </c>
      <c r="H266">
        <v>4</v>
      </c>
      <c r="I266">
        <f t="shared" si="24"/>
        <v>10</v>
      </c>
      <c r="J266">
        <f t="shared" si="23"/>
        <v>19</v>
      </c>
    </row>
    <row r="267" spans="1:10" x14ac:dyDescent="0.2">
      <c r="A267">
        <v>266</v>
      </c>
      <c r="B267" s="23">
        <v>45057</v>
      </c>
      <c r="C267">
        <f t="shared" si="20"/>
        <v>0</v>
      </c>
      <c r="D267">
        <v>1</v>
      </c>
      <c r="E267">
        <f t="shared" si="21"/>
        <v>1</v>
      </c>
      <c r="F267" t="str">
        <f t="shared" si="22"/>
        <v>Thursday</v>
      </c>
      <c r="G267" t="s">
        <v>1945</v>
      </c>
      <c r="H267">
        <v>4</v>
      </c>
      <c r="I267">
        <f t="shared" si="24"/>
        <v>10</v>
      </c>
      <c r="J267">
        <f t="shared" si="23"/>
        <v>19</v>
      </c>
    </row>
    <row r="268" spans="1:10" x14ac:dyDescent="0.2">
      <c r="A268">
        <v>267</v>
      </c>
      <c r="B268" s="23">
        <v>45058</v>
      </c>
      <c r="C268">
        <f t="shared" si="20"/>
        <v>0</v>
      </c>
      <c r="D268">
        <v>1</v>
      </c>
      <c r="E268">
        <f t="shared" si="21"/>
        <v>1</v>
      </c>
      <c r="F268" t="str">
        <f t="shared" si="22"/>
        <v>Friday</v>
      </c>
      <c r="G268" t="s">
        <v>1945</v>
      </c>
      <c r="H268">
        <v>4</v>
      </c>
      <c r="I268">
        <f t="shared" si="24"/>
        <v>10</v>
      </c>
      <c r="J268">
        <f t="shared" si="23"/>
        <v>19</v>
      </c>
    </row>
    <row r="269" spans="1:10" x14ac:dyDescent="0.2">
      <c r="A269">
        <v>268</v>
      </c>
      <c r="B269" s="23">
        <v>45059</v>
      </c>
      <c r="C269">
        <f t="shared" ref="C269:C332" si="25">IF(OR(WEEKDAY(B269) = 7, WEEKDAY(B269) = 1), 1, 0)</f>
        <v>1</v>
      </c>
      <c r="D269">
        <v>1</v>
      </c>
      <c r="E269">
        <f t="shared" ref="E269:E332" si="26">IF((C269+D269)&gt;0, 1, 0)</f>
        <v>1</v>
      </c>
      <c r="F269" t="str">
        <f t="shared" ref="F269:F332" si="27">TEXT(B269, "dddd")</f>
        <v>Saturday</v>
      </c>
      <c r="G269" t="s">
        <v>1945</v>
      </c>
      <c r="H269">
        <v>4</v>
      </c>
      <c r="I269">
        <f t="shared" si="24"/>
        <v>10</v>
      </c>
      <c r="J269">
        <f t="shared" si="23"/>
        <v>19</v>
      </c>
    </row>
    <row r="270" spans="1:10" x14ac:dyDescent="0.2">
      <c r="A270">
        <v>269</v>
      </c>
      <c r="B270" s="23">
        <v>45060</v>
      </c>
      <c r="C270">
        <f t="shared" si="25"/>
        <v>1</v>
      </c>
      <c r="D270">
        <v>1</v>
      </c>
      <c r="E270">
        <f t="shared" si="26"/>
        <v>1</v>
      </c>
      <c r="F270" t="str">
        <f t="shared" si="27"/>
        <v>Sunday</v>
      </c>
      <c r="G270" t="s">
        <v>1945</v>
      </c>
      <c r="H270">
        <v>4</v>
      </c>
      <c r="I270">
        <f t="shared" si="24"/>
        <v>10</v>
      </c>
      <c r="J270">
        <f t="shared" si="23"/>
        <v>19</v>
      </c>
    </row>
    <row r="271" spans="1:10" x14ac:dyDescent="0.2">
      <c r="A271">
        <v>270</v>
      </c>
      <c r="B271" s="23">
        <v>45061</v>
      </c>
      <c r="C271">
        <f t="shared" si="25"/>
        <v>0</v>
      </c>
      <c r="D271">
        <v>1</v>
      </c>
      <c r="E271">
        <f t="shared" si="26"/>
        <v>1</v>
      </c>
      <c r="F271" t="str">
        <f t="shared" si="27"/>
        <v>Monday</v>
      </c>
      <c r="G271" t="s">
        <v>1805</v>
      </c>
      <c r="H271">
        <v>5</v>
      </c>
      <c r="I271">
        <f t="shared" si="24"/>
        <v>1</v>
      </c>
      <c r="J271">
        <f t="shared" si="23"/>
        <v>20</v>
      </c>
    </row>
    <row r="272" spans="1:10" x14ac:dyDescent="0.2">
      <c r="A272">
        <v>271</v>
      </c>
      <c r="B272" s="23">
        <v>45062</v>
      </c>
      <c r="C272">
        <f t="shared" si="25"/>
        <v>0</v>
      </c>
      <c r="D272">
        <v>0</v>
      </c>
      <c r="E272">
        <f t="shared" si="26"/>
        <v>0</v>
      </c>
      <c r="F272" t="str">
        <f t="shared" si="27"/>
        <v>Tuesday</v>
      </c>
      <c r="H272">
        <v>5</v>
      </c>
      <c r="I272">
        <f t="shared" si="24"/>
        <v>1</v>
      </c>
      <c r="J272">
        <f t="shared" si="23"/>
        <v>20</v>
      </c>
    </row>
    <row r="273" spans="1:10" x14ac:dyDescent="0.2">
      <c r="A273">
        <v>272</v>
      </c>
      <c r="B273" s="23">
        <v>45063</v>
      </c>
      <c r="C273">
        <f t="shared" si="25"/>
        <v>0</v>
      </c>
      <c r="D273">
        <v>0</v>
      </c>
      <c r="E273">
        <f t="shared" si="26"/>
        <v>0</v>
      </c>
      <c r="F273" t="str">
        <f t="shared" si="27"/>
        <v>Wednesday</v>
      </c>
      <c r="H273">
        <v>5</v>
      </c>
      <c r="I273">
        <f t="shared" si="24"/>
        <v>1</v>
      </c>
      <c r="J273">
        <f t="shared" si="23"/>
        <v>20</v>
      </c>
    </row>
    <row r="274" spans="1:10" x14ac:dyDescent="0.2">
      <c r="A274">
        <v>273</v>
      </c>
      <c r="B274" s="23">
        <v>45064</v>
      </c>
      <c r="C274">
        <f t="shared" si="25"/>
        <v>0</v>
      </c>
      <c r="D274">
        <v>0</v>
      </c>
      <c r="E274">
        <f t="shared" si="26"/>
        <v>0</v>
      </c>
      <c r="F274" t="str">
        <f t="shared" si="27"/>
        <v>Thursday</v>
      </c>
      <c r="H274">
        <v>5</v>
      </c>
      <c r="I274">
        <f t="shared" si="24"/>
        <v>1</v>
      </c>
      <c r="J274">
        <f t="shared" si="23"/>
        <v>20</v>
      </c>
    </row>
    <row r="275" spans="1:10" x14ac:dyDescent="0.2">
      <c r="A275">
        <v>274</v>
      </c>
      <c r="B275" s="23">
        <v>45065</v>
      </c>
      <c r="C275">
        <f t="shared" si="25"/>
        <v>0</v>
      </c>
      <c r="D275">
        <v>0</v>
      </c>
      <c r="E275">
        <f t="shared" si="26"/>
        <v>0</v>
      </c>
      <c r="F275" t="str">
        <f t="shared" si="27"/>
        <v>Friday</v>
      </c>
      <c r="H275">
        <v>5</v>
      </c>
      <c r="I275">
        <f t="shared" si="24"/>
        <v>1</v>
      </c>
      <c r="J275">
        <f t="shared" si="23"/>
        <v>20</v>
      </c>
    </row>
    <row r="276" spans="1:10" x14ac:dyDescent="0.2">
      <c r="A276">
        <v>275</v>
      </c>
      <c r="B276" s="23">
        <v>45066</v>
      </c>
      <c r="C276">
        <f t="shared" si="25"/>
        <v>1</v>
      </c>
      <c r="D276">
        <v>0</v>
      </c>
      <c r="E276">
        <f t="shared" si="26"/>
        <v>1</v>
      </c>
      <c r="F276" t="str">
        <f t="shared" si="27"/>
        <v>Saturday</v>
      </c>
      <c r="H276">
        <v>5</v>
      </c>
      <c r="I276">
        <f t="shared" si="24"/>
        <v>1</v>
      </c>
      <c r="J276">
        <f t="shared" si="23"/>
        <v>20</v>
      </c>
    </row>
    <row r="277" spans="1:10" x14ac:dyDescent="0.2">
      <c r="A277">
        <v>276</v>
      </c>
      <c r="B277" s="23">
        <v>45067</v>
      </c>
      <c r="C277">
        <f t="shared" si="25"/>
        <v>1</v>
      </c>
      <c r="D277">
        <v>0</v>
      </c>
      <c r="E277">
        <f t="shared" si="26"/>
        <v>1</v>
      </c>
      <c r="F277" t="str">
        <f t="shared" si="27"/>
        <v>Sunday</v>
      </c>
      <c r="H277">
        <v>5</v>
      </c>
      <c r="I277">
        <f t="shared" si="24"/>
        <v>1</v>
      </c>
      <c r="J277">
        <f t="shared" si="23"/>
        <v>20</v>
      </c>
    </row>
    <row r="278" spans="1:10" x14ac:dyDescent="0.2">
      <c r="A278">
        <v>277</v>
      </c>
      <c r="B278" s="23">
        <v>45068</v>
      </c>
      <c r="C278">
        <f t="shared" si="25"/>
        <v>0</v>
      </c>
      <c r="D278">
        <v>0</v>
      </c>
      <c r="E278">
        <f t="shared" si="26"/>
        <v>0</v>
      </c>
      <c r="F278" t="str">
        <f t="shared" si="27"/>
        <v>Monday</v>
      </c>
      <c r="H278">
        <v>5</v>
      </c>
      <c r="I278">
        <f t="shared" si="24"/>
        <v>2</v>
      </c>
      <c r="J278">
        <f t="shared" si="23"/>
        <v>21</v>
      </c>
    </row>
    <row r="279" spans="1:10" x14ac:dyDescent="0.2">
      <c r="A279">
        <v>278</v>
      </c>
      <c r="B279" s="23">
        <v>45069</v>
      </c>
      <c r="C279">
        <f t="shared" si="25"/>
        <v>0</v>
      </c>
      <c r="D279">
        <v>0</v>
      </c>
      <c r="E279">
        <f t="shared" si="26"/>
        <v>0</v>
      </c>
      <c r="F279" t="str">
        <f t="shared" si="27"/>
        <v>Tuesday</v>
      </c>
      <c r="H279">
        <v>5</v>
      </c>
      <c r="I279">
        <f t="shared" si="24"/>
        <v>2</v>
      </c>
      <c r="J279">
        <f t="shared" si="23"/>
        <v>21</v>
      </c>
    </row>
    <row r="280" spans="1:10" x14ac:dyDescent="0.2">
      <c r="A280">
        <v>279</v>
      </c>
      <c r="B280" s="23">
        <v>45070</v>
      </c>
      <c r="C280">
        <f t="shared" si="25"/>
        <v>0</v>
      </c>
      <c r="D280">
        <v>0</v>
      </c>
      <c r="E280">
        <f t="shared" si="26"/>
        <v>0</v>
      </c>
      <c r="F280" t="str">
        <f t="shared" si="27"/>
        <v>Wednesday</v>
      </c>
      <c r="H280">
        <v>5</v>
      </c>
      <c r="I280">
        <f t="shared" si="24"/>
        <v>2</v>
      </c>
      <c r="J280">
        <f t="shared" si="23"/>
        <v>21</v>
      </c>
    </row>
    <row r="281" spans="1:10" x14ac:dyDescent="0.2">
      <c r="A281">
        <v>280</v>
      </c>
      <c r="B281" s="23">
        <v>45071</v>
      </c>
      <c r="C281">
        <f t="shared" si="25"/>
        <v>0</v>
      </c>
      <c r="D281">
        <v>0</v>
      </c>
      <c r="E281">
        <f t="shared" si="26"/>
        <v>0</v>
      </c>
      <c r="F281" t="str">
        <f t="shared" si="27"/>
        <v>Thursday</v>
      </c>
      <c r="H281">
        <v>5</v>
      </c>
      <c r="I281">
        <f t="shared" si="24"/>
        <v>2</v>
      </c>
      <c r="J281">
        <f t="shared" si="23"/>
        <v>21</v>
      </c>
    </row>
    <row r="282" spans="1:10" x14ac:dyDescent="0.2">
      <c r="A282">
        <v>281</v>
      </c>
      <c r="B282" s="23">
        <v>45072</v>
      </c>
      <c r="C282">
        <f t="shared" si="25"/>
        <v>0</v>
      </c>
      <c r="D282">
        <v>0</v>
      </c>
      <c r="E282">
        <f t="shared" si="26"/>
        <v>0</v>
      </c>
      <c r="F282" t="str">
        <f t="shared" si="27"/>
        <v>Friday</v>
      </c>
      <c r="H282">
        <v>5</v>
      </c>
      <c r="I282">
        <f t="shared" si="24"/>
        <v>2</v>
      </c>
      <c r="J282">
        <f t="shared" si="23"/>
        <v>21</v>
      </c>
    </row>
    <row r="283" spans="1:10" x14ac:dyDescent="0.2">
      <c r="A283">
        <v>282</v>
      </c>
      <c r="B283" s="23">
        <v>45073</v>
      </c>
      <c r="C283">
        <f t="shared" si="25"/>
        <v>1</v>
      </c>
      <c r="D283">
        <v>0</v>
      </c>
      <c r="E283">
        <f t="shared" si="26"/>
        <v>1</v>
      </c>
      <c r="F283" t="str">
        <f t="shared" si="27"/>
        <v>Saturday</v>
      </c>
      <c r="H283">
        <v>5</v>
      </c>
      <c r="I283">
        <f t="shared" si="24"/>
        <v>2</v>
      </c>
      <c r="J283">
        <f t="shared" si="23"/>
        <v>21</v>
      </c>
    </row>
    <row r="284" spans="1:10" x14ac:dyDescent="0.2">
      <c r="A284">
        <v>283</v>
      </c>
      <c r="B284" s="23">
        <v>45074</v>
      </c>
      <c r="C284">
        <f t="shared" si="25"/>
        <v>1</v>
      </c>
      <c r="D284">
        <v>0</v>
      </c>
      <c r="E284">
        <f t="shared" si="26"/>
        <v>1</v>
      </c>
      <c r="F284" t="str">
        <f t="shared" si="27"/>
        <v>Sunday</v>
      </c>
      <c r="H284">
        <v>5</v>
      </c>
      <c r="I284">
        <f t="shared" si="24"/>
        <v>2</v>
      </c>
      <c r="J284">
        <f t="shared" si="23"/>
        <v>21</v>
      </c>
    </row>
    <row r="285" spans="1:10" x14ac:dyDescent="0.2">
      <c r="A285">
        <v>284</v>
      </c>
      <c r="B285" s="23">
        <v>45075</v>
      </c>
      <c r="C285">
        <f t="shared" si="25"/>
        <v>0</v>
      </c>
      <c r="D285">
        <v>0</v>
      </c>
      <c r="E285">
        <f t="shared" si="26"/>
        <v>0</v>
      </c>
      <c r="F285" t="str">
        <f t="shared" si="27"/>
        <v>Monday</v>
      </c>
      <c r="H285">
        <v>5</v>
      </c>
      <c r="I285">
        <f t="shared" si="24"/>
        <v>3</v>
      </c>
      <c r="J285">
        <f t="shared" si="23"/>
        <v>22</v>
      </c>
    </row>
    <row r="286" spans="1:10" x14ac:dyDescent="0.2">
      <c r="A286">
        <v>285</v>
      </c>
      <c r="B286" s="23">
        <v>45076</v>
      </c>
      <c r="C286">
        <f t="shared" si="25"/>
        <v>0</v>
      </c>
      <c r="D286">
        <v>0</v>
      </c>
      <c r="E286">
        <f t="shared" si="26"/>
        <v>0</v>
      </c>
      <c r="F286" t="str">
        <f t="shared" si="27"/>
        <v>Tuesday</v>
      </c>
      <c r="H286">
        <v>5</v>
      </c>
      <c r="I286">
        <f t="shared" si="24"/>
        <v>3</v>
      </c>
      <c r="J286">
        <f t="shared" si="23"/>
        <v>22</v>
      </c>
    </row>
    <row r="287" spans="1:10" x14ac:dyDescent="0.2">
      <c r="A287">
        <v>286</v>
      </c>
      <c r="B287" s="23">
        <v>45077</v>
      </c>
      <c r="C287">
        <f t="shared" si="25"/>
        <v>0</v>
      </c>
      <c r="D287">
        <v>0</v>
      </c>
      <c r="E287">
        <f t="shared" si="26"/>
        <v>0</v>
      </c>
      <c r="F287" t="str">
        <f t="shared" si="27"/>
        <v>Wednesday</v>
      </c>
      <c r="H287">
        <v>5</v>
      </c>
      <c r="I287">
        <f t="shared" si="24"/>
        <v>3</v>
      </c>
      <c r="J287">
        <f t="shared" si="23"/>
        <v>22</v>
      </c>
    </row>
    <row r="288" spans="1:10" x14ac:dyDescent="0.2">
      <c r="A288">
        <v>287</v>
      </c>
      <c r="B288" s="23">
        <v>45078</v>
      </c>
      <c r="C288">
        <f t="shared" si="25"/>
        <v>0</v>
      </c>
      <c r="D288">
        <v>0</v>
      </c>
      <c r="E288">
        <f t="shared" si="26"/>
        <v>0</v>
      </c>
      <c r="F288" t="str">
        <f t="shared" si="27"/>
        <v>Thursday</v>
      </c>
      <c r="H288">
        <v>5</v>
      </c>
      <c r="I288">
        <f t="shared" si="24"/>
        <v>3</v>
      </c>
      <c r="J288">
        <f t="shared" si="23"/>
        <v>22</v>
      </c>
    </row>
    <row r="289" spans="1:10" x14ac:dyDescent="0.2">
      <c r="A289">
        <v>288</v>
      </c>
      <c r="B289" s="23">
        <v>45079</v>
      </c>
      <c r="C289">
        <f t="shared" si="25"/>
        <v>0</v>
      </c>
      <c r="D289">
        <v>0</v>
      </c>
      <c r="E289">
        <f t="shared" si="26"/>
        <v>0</v>
      </c>
      <c r="F289" t="str">
        <f t="shared" si="27"/>
        <v>Friday</v>
      </c>
      <c r="H289">
        <v>5</v>
      </c>
      <c r="I289">
        <f t="shared" si="24"/>
        <v>3</v>
      </c>
      <c r="J289">
        <f t="shared" si="23"/>
        <v>22</v>
      </c>
    </row>
    <row r="290" spans="1:10" x14ac:dyDescent="0.2">
      <c r="A290">
        <v>289</v>
      </c>
      <c r="B290" s="23">
        <v>45080</v>
      </c>
      <c r="C290">
        <f t="shared" si="25"/>
        <v>1</v>
      </c>
      <c r="D290">
        <v>0</v>
      </c>
      <c r="E290">
        <f t="shared" si="26"/>
        <v>1</v>
      </c>
      <c r="F290" t="str">
        <f t="shared" si="27"/>
        <v>Saturday</v>
      </c>
      <c r="H290">
        <v>5</v>
      </c>
      <c r="I290">
        <f t="shared" si="24"/>
        <v>3</v>
      </c>
      <c r="J290">
        <f t="shared" si="23"/>
        <v>22</v>
      </c>
    </row>
    <row r="291" spans="1:10" x14ac:dyDescent="0.2">
      <c r="A291">
        <v>290</v>
      </c>
      <c r="B291" s="23">
        <v>45081</v>
      </c>
      <c r="C291">
        <f t="shared" si="25"/>
        <v>1</v>
      </c>
      <c r="D291">
        <v>0</v>
      </c>
      <c r="E291">
        <f t="shared" si="26"/>
        <v>1</v>
      </c>
      <c r="F291" t="str">
        <f t="shared" si="27"/>
        <v>Sunday</v>
      </c>
      <c r="H291">
        <v>5</v>
      </c>
      <c r="I291">
        <f t="shared" si="24"/>
        <v>3</v>
      </c>
      <c r="J291">
        <f t="shared" si="23"/>
        <v>22</v>
      </c>
    </row>
    <row r="292" spans="1:10" x14ac:dyDescent="0.2">
      <c r="A292">
        <v>291</v>
      </c>
      <c r="B292" s="23">
        <v>45082</v>
      </c>
      <c r="C292">
        <f t="shared" si="25"/>
        <v>0</v>
      </c>
      <c r="D292">
        <v>0</v>
      </c>
      <c r="E292">
        <f t="shared" si="26"/>
        <v>0</v>
      </c>
      <c r="F292" t="str">
        <f t="shared" si="27"/>
        <v>Monday</v>
      </c>
      <c r="H292">
        <v>5</v>
      </c>
      <c r="I292">
        <f t="shared" si="24"/>
        <v>4</v>
      </c>
      <c r="J292">
        <f t="shared" si="23"/>
        <v>23</v>
      </c>
    </row>
    <row r="293" spans="1:10" x14ac:dyDescent="0.2">
      <c r="A293">
        <v>292</v>
      </c>
      <c r="B293" s="23">
        <v>45083</v>
      </c>
      <c r="C293">
        <f t="shared" si="25"/>
        <v>0</v>
      </c>
      <c r="D293">
        <v>0</v>
      </c>
      <c r="E293">
        <f t="shared" si="26"/>
        <v>0</v>
      </c>
      <c r="F293" t="str">
        <f t="shared" si="27"/>
        <v>Tuesday</v>
      </c>
      <c r="H293">
        <v>5</v>
      </c>
      <c r="I293">
        <f t="shared" si="24"/>
        <v>4</v>
      </c>
      <c r="J293">
        <f t="shared" si="23"/>
        <v>23</v>
      </c>
    </row>
    <row r="294" spans="1:10" x14ac:dyDescent="0.2">
      <c r="A294">
        <v>293</v>
      </c>
      <c r="B294" s="23">
        <v>45084</v>
      </c>
      <c r="C294">
        <f t="shared" si="25"/>
        <v>0</v>
      </c>
      <c r="D294">
        <v>0</v>
      </c>
      <c r="E294">
        <f t="shared" si="26"/>
        <v>0</v>
      </c>
      <c r="F294" t="str">
        <f t="shared" si="27"/>
        <v>Wednesday</v>
      </c>
      <c r="H294">
        <v>5</v>
      </c>
      <c r="I294">
        <f t="shared" si="24"/>
        <v>4</v>
      </c>
      <c r="J294">
        <f t="shared" si="23"/>
        <v>23</v>
      </c>
    </row>
    <row r="295" spans="1:10" x14ac:dyDescent="0.2">
      <c r="A295">
        <v>294</v>
      </c>
      <c r="B295" s="23">
        <v>45085</v>
      </c>
      <c r="C295">
        <f t="shared" si="25"/>
        <v>0</v>
      </c>
      <c r="D295">
        <v>0</v>
      </c>
      <c r="E295">
        <f t="shared" si="26"/>
        <v>0</v>
      </c>
      <c r="F295" t="str">
        <f t="shared" si="27"/>
        <v>Thursday</v>
      </c>
      <c r="H295">
        <v>5</v>
      </c>
      <c r="I295">
        <f t="shared" si="24"/>
        <v>4</v>
      </c>
      <c r="J295">
        <f t="shared" si="23"/>
        <v>23</v>
      </c>
    </row>
    <row r="296" spans="1:10" x14ac:dyDescent="0.2">
      <c r="A296">
        <v>295</v>
      </c>
      <c r="B296" s="23">
        <v>45086</v>
      </c>
      <c r="C296">
        <f t="shared" si="25"/>
        <v>0</v>
      </c>
      <c r="D296">
        <v>0</v>
      </c>
      <c r="E296">
        <f t="shared" si="26"/>
        <v>0</v>
      </c>
      <c r="F296" t="str">
        <f t="shared" si="27"/>
        <v>Friday</v>
      </c>
      <c r="H296">
        <v>5</v>
      </c>
      <c r="I296">
        <f t="shared" si="24"/>
        <v>4</v>
      </c>
      <c r="J296">
        <f t="shared" si="23"/>
        <v>23</v>
      </c>
    </row>
    <row r="297" spans="1:10" x14ac:dyDescent="0.2">
      <c r="A297">
        <v>296</v>
      </c>
      <c r="B297" s="23">
        <v>45087</v>
      </c>
      <c r="C297">
        <f t="shared" si="25"/>
        <v>1</v>
      </c>
      <c r="D297">
        <v>0</v>
      </c>
      <c r="E297">
        <f t="shared" si="26"/>
        <v>1</v>
      </c>
      <c r="F297" t="str">
        <f t="shared" si="27"/>
        <v>Saturday</v>
      </c>
      <c r="H297">
        <v>5</v>
      </c>
      <c r="I297">
        <f t="shared" si="24"/>
        <v>4</v>
      </c>
      <c r="J297">
        <f t="shared" si="23"/>
        <v>23</v>
      </c>
    </row>
    <row r="298" spans="1:10" x14ac:dyDescent="0.2">
      <c r="A298">
        <v>297</v>
      </c>
      <c r="B298" s="23">
        <v>45088</v>
      </c>
      <c r="C298">
        <f t="shared" si="25"/>
        <v>1</v>
      </c>
      <c r="D298">
        <v>0</v>
      </c>
      <c r="E298">
        <f t="shared" si="26"/>
        <v>1</v>
      </c>
      <c r="F298" t="str">
        <f t="shared" si="27"/>
        <v>Sunday</v>
      </c>
      <c r="H298">
        <v>5</v>
      </c>
      <c r="I298">
        <f t="shared" si="24"/>
        <v>4</v>
      </c>
      <c r="J298">
        <f t="shared" si="23"/>
        <v>23</v>
      </c>
    </row>
    <row r="299" spans="1:10" x14ac:dyDescent="0.2">
      <c r="A299">
        <v>298</v>
      </c>
      <c r="B299" s="23">
        <v>45089</v>
      </c>
      <c r="C299">
        <f t="shared" si="25"/>
        <v>0</v>
      </c>
      <c r="D299">
        <v>0</v>
      </c>
      <c r="E299">
        <f t="shared" si="26"/>
        <v>0</v>
      </c>
      <c r="F299" t="str">
        <f t="shared" si="27"/>
        <v>Monday</v>
      </c>
      <c r="H299">
        <v>5</v>
      </c>
      <c r="I299">
        <f t="shared" si="24"/>
        <v>5</v>
      </c>
      <c r="J299">
        <f t="shared" si="23"/>
        <v>24</v>
      </c>
    </row>
    <row r="300" spans="1:10" x14ac:dyDescent="0.2">
      <c r="A300">
        <v>299</v>
      </c>
      <c r="B300" s="23">
        <v>45090</v>
      </c>
      <c r="C300">
        <f t="shared" si="25"/>
        <v>0</v>
      </c>
      <c r="D300">
        <v>0</v>
      </c>
      <c r="E300">
        <f t="shared" si="26"/>
        <v>0</v>
      </c>
      <c r="F300" t="str">
        <f t="shared" si="27"/>
        <v>Tuesday</v>
      </c>
      <c r="H300">
        <v>5</v>
      </c>
      <c r="I300">
        <f t="shared" si="24"/>
        <v>5</v>
      </c>
      <c r="J300">
        <f t="shared" si="23"/>
        <v>24</v>
      </c>
    </row>
    <row r="301" spans="1:10" x14ac:dyDescent="0.2">
      <c r="A301">
        <v>300</v>
      </c>
      <c r="B301" s="23">
        <v>45091</v>
      </c>
      <c r="C301">
        <f t="shared" si="25"/>
        <v>0</v>
      </c>
      <c r="D301">
        <v>0</v>
      </c>
      <c r="E301">
        <f t="shared" si="26"/>
        <v>0</v>
      </c>
      <c r="F301" t="str">
        <f t="shared" si="27"/>
        <v>Wednesday</v>
      </c>
      <c r="H301">
        <v>5</v>
      </c>
      <c r="I301">
        <f t="shared" si="24"/>
        <v>5</v>
      </c>
      <c r="J301">
        <f t="shared" si="23"/>
        <v>24</v>
      </c>
    </row>
    <row r="302" spans="1:10" x14ac:dyDescent="0.2">
      <c r="A302">
        <v>301</v>
      </c>
      <c r="B302" s="23">
        <v>45092</v>
      </c>
      <c r="C302">
        <f t="shared" si="25"/>
        <v>0</v>
      </c>
      <c r="D302">
        <v>0</v>
      </c>
      <c r="E302">
        <f t="shared" si="26"/>
        <v>0</v>
      </c>
      <c r="F302" t="str">
        <f t="shared" si="27"/>
        <v>Thursday</v>
      </c>
      <c r="H302">
        <v>5</v>
      </c>
      <c r="I302">
        <f t="shared" si="24"/>
        <v>5</v>
      </c>
      <c r="J302">
        <f t="shared" si="23"/>
        <v>24</v>
      </c>
    </row>
    <row r="303" spans="1:10" x14ac:dyDescent="0.2">
      <c r="A303">
        <v>302</v>
      </c>
      <c r="B303" s="23">
        <v>45093</v>
      </c>
      <c r="C303">
        <f t="shared" si="25"/>
        <v>0</v>
      </c>
      <c r="D303">
        <v>0</v>
      </c>
      <c r="E303">
        <f t="shared" si="26"/>
        <v>0</v>
      </c>
      <c r="F303" t="str">
        <f t="shared" si="27"/>
        <v>Friday</v>
      </c>
      <c r="H303">
        <v>5</v>
      </c>
      <c r="I303">
        <f t="shared" si="24"/>
        <v>5</v>
      </c>
      <c r="J303">
        <f t="shared" si="23"/>
        <v>24</v>
      </c>
    </row>
    <row r="304" spans="1:10" x14ac:dyDescent="0.2">
      <c r="A304">
        <v>303</v>
      </c>
      <c r="B304" s="23">
        <v>45094</v>
      </c>
      <c r="C304">
        <f t="shared" si="25"/>
        <v>1</v>
      </c>
      <c r="D304">
        <v>0</v>
      </c>
      <c r="E304">
        <f t="shared" si="26"/>
        <v>1</v>
      </c>
      <c r="F304" t="str">
        <f t="shared" si="27"/>
        <v>Saturday</v>
      </c>
      <c r="H304">
        <v>5</v>
      </c>
      <c r="I304">
        <f t="shared" si="24"/>
        <v>5</v>
      </c>
      <c r="J304">
        <f t="shared" si="23"/>
        <v>24</v>
      </c>
    </row>
    <row r="305" spans="1:10" x14ac:dyDescent="0.2">
      <c r="A305">
        <v>304</v>
      </c>
      <c r="B305" s="23">
        <v>45095</v>
      </c>
      <c r="C305">
        <f t="shared" si="25"/>
        <v>1</v>
      </c>
      <c r="D305">
        <v>0</v>
      </c>
      <c r="E305">
        <f t="shared" si="26"/>
        <v>1</v>
      </c>
      <c r="F305" t="str">
        <f t="shared" si="27"/>
        <v>Sunday</v>
      </c>
      <c r="H305">
        <v>5</v>
      </c>
      <c r="I305">
        <f t="shared" si="24"/>
        <v>5</v>
      </c>
      <c r="J305">
        <f t="shared" si="23"/>
        <v>24</v>
      </c>
    </row>
    <row r="306" spans="1:10" x14ac:dyDescent="0.2">
      <c r="A306">
        <v>305</v>
      </c>
      <c r="B306" s="23">
        <v>45096</v>
      </c>
      <c r="C306">
        <f t="shared" si="25"/>
        <v>0</v>
      </c>
      <c r="D306">
        <v>0</v>
      </c>
      <c r="E306">
        <f t="shared" si="26"/>
        <v>0</v>
      </c>
      <c r="F306" t="str">
        <f t="shared" si="27"/>
        <v>Monday</v>
      </c>
      <c r="H306">
        <v>5</v>
      </c>
      <c r="I306">
        <f t="shared" si="24"/>
        <v>6</v>
      </c>
      <c r="J306">
        <f t="shared" si="23"/>
        <v>25</v>
      </c>
    </row>
    <row r="307" spans="1:10" x14ac:dyDescent="0.2">
      <c r="A307">
        <v>306</v>
      </c>
      <c r="B307" s="23">
        <v>45097</v>
      </c>
      <c r="C307">
        <f t="shared" si="25"/>
        <v>0</v>
      </c>
      <c r="D307">
        <v>0</v>
      </c>
      <c r="E307">
        <f t="shared" si="26"/>
        <v>0</v>
      </c>
      <c r="F307" t="str">
        <f t="shared" si="27"/>
        <v>Tuesday</v>
      </c>
      <c r="H307">
        <v>5</v>
      </c>
      <c r="I307">
        <f t="shared" si="24"/>
        <v>6</v>
      </c>
      <c r="J307">
        <f t="shared" si="23"/>
        <v>25</v>
      </c>
    </row>
    <row r="308" spans="1:10" x14ac:dyDescent="0.2">
      <c r="A308">
        <v>307</v>
      </c>
      <c r="B308" s="23">
        <v>45098</v>
      </c>
      <c r="C308">
        <f t="shared" si="25"/>
        <v>0</v>
      </c>
      <c r="D308">
        <v>0</v>
      </c>
      <c r="E308">
        <f t="shared" si="26"/>
        <v>0</v>
      </c>
      <c r="F308" t="str">
        <f t="shared" si="27"/>
        <v>Wednesday</v>
      </c>
      <c r="H308">
        <v>5</v>
      </c>
      <c r="I308">
        <f t="shared" si="24"/>
        <v>6</v>
      </c>
      <c r="J308">
        <f t="shared" si="23"/>
        <v>25</v>
      </c>
    </row>
    <row r="309" spans="1:10" x14ac:dyDescent="0.2">
      <c r="A309">
        <v>308</v>
      </c>
      <c r="B309" s="23">
        <v>45099</v>
      </c>
      <c r="C309">
        <f t="shared" si="25"/>
        <v>0</v>
      </c>
      <c r="D309">
        <v>0</v>
      </c>
      <c r="E309">
        <f t="shared" si="26"/>
        <v>0</v>
      </c>
      <c r="F309" t="str">
        <f t="shared" si="27"/>
        <v>Thursday</v>
      </c>
      <c r="H309">
        <v>5</v>
      </c>
      <c r="I309">
        <f t="shared" si="24"/>
        <v>6</v>
      </c>
      <c r="J309">
        <f t="shared" si="23"/>
        <v>25</v>
      </c>
    </row>
    <row r="310" spans="1:10" x14ac:dyDescent="0.2">
      <c r="A310">
        <v>309</v>
      </c>
      <c r="B310" s="23">
        <v>45100</v>
      </c>
      <c r="C310">
        <f t="shared" si="25"/>
        <v>0</v>
      </c>
      <c r="D310">
        <v>0</v>
      </c>
      <c r="E310">
        <f t="shared" si="26"/>
        <v>0</v>
      </c>
      <c r="F310" t="str">
        <f t="shared" si="27"/>
        <v>Friday</v>
      </c>
      <c r="H310">
        <v>5</v>
      </c>
      <c r="I310">
        <f t="shared" si="24"/>
        <v>6</v>
      </c>
      <c r="J310">
        <f t="shared" si="23"/>
        <v>25</v>
      </c>
    </row>
    <row r="311" spans="1:10" x14ac:dyDescent="0.2">
      <c r="A311">
        <v>310</v>
      </c>
      <c r="B311" s="23">
        <v>45101</v>
      </c>
      <c r="C311">
        <f t="shared" si="25"/>
        <v>1</v>
      </c>
      <c r="D311">
        <v>0</v>
      </c>
      <c r="E311">
        <f t="shared" si="26"/>
        <v>1</v>
      </c>
      <c r="F311" t="str">
        <f t="shared" si="27"/>
        <v>Saturday</v>
      </c>
      <c r="H311">
        <v>5</v>
      </c>
      <c r="I311">
        <f t="shared" si="24"/>
        <v>6</v>
      </c>
      <c r="J311">
        <f t="shared" si="23"/>
        <v>25</v>
      </c>
    </row>
    <row r="312" spans="1:10" x14ac:dyDescent="0.2">
      <c r="A312">
        <v>311</v>
      </c>
      <c r="B312" s="23">
        <v>45102</v>
      </c>
      <c r="C312">
        <f t="shared" si="25"/>
        <v>1</v>
      </c>
      <c r="D312">
        <v>0</v>
      </c>
      <c r="E312">
        <f t="shared" si="26"/>
        <v>1</v>
      </c>
      <c r="F312" t="str">
        <f t="shared" si="27"/>
        <v>Sunday</v>
      </c>
      <c r="H312">
        <v>5</v>
      </c>
      <c r="I312">
        <f t="shared" si="24"/>
        <v>6</v>
      </c>
      <c r="J312">
        <f t="shared" si="23"/>
        <v>25</v>
      </c>
    </row>
    <row r="313" spans="1:10" x14ac:dyDescent="0.2">
      <c r="A313">
        <v>312</v>
      </c>
      <c r="B313" s="23">
        <v>45103</v>
      </c>
      <c r="C313">
        <f t="shared" si="25"/>
        <v>0</v>
      </c>
      <c r="D313">
        <v>0</v>
      </c>
      <c r="E313">
        <f t="shared" si="26"/>
        <v>0</v>
      </c>
      <c r="F313" t="str">
        <f t="shared" si="27"/>
        <v>Monday</v>
      </c>
      <c r="H313">
        <v>5</v>
      </c>
      <c r="I313">
        <f t="shared" si="24"/>
        <v>7</v>
      </c>
      <c r="J313">
        <f t="shared" si="23"/>
        <v>26</v>
      </c>
    </row>
    <row r="314" spans="1:10" x14ac:dyDescent="0.2">
      <c r="A314">
        <v>313</v>
      </c>
      <c r="B314" s="23">
        <v>45104</v>
      </c>
      <c r="C314">
        <f t="shared" si="25"/>
        <v>0</v>
      </c>
      <c r="D314">
        <v>0</v>
      </c>
      <c r="E314">
        <f t="shared" si="26"/>
        <v>0</v>
      </c>
      <c r="F314" t="str">
        <f t="shared" si="27"/>
        <v>Tuesday</v>
      </c>
      <c r="H314">
        <v>5</v>
      </c>
      <c r="I314">
        <f t="shared" si="24"/>
        <v>7</v>
      </c>
      <c r="J314">
        <f t="shared" si="23"/>
        <v>26</v>
      </c>
    </row>
    <row r="315" spans="1:10" x14ac:dyDescent="0.2">
      <c r="A315">
        <v>314</v>
      </c>
      <c r="B315" s="23">
        <v>45105</v>
      </c>
      <c r="C315">
        <f t="shared" si="25"/>
        <v>0</v>
      </c>
      <c r="D315">
        <v>0</v>
      </c>
      <c r="E315">
        <f t="shared" si="26"/>
        <v>0</v>
      </c>
      <c r="F315" t="str">
        <f t="shared" si="27"/>
        <v>Wednesday</v>
      </c>
      <c r="H315">
        <v>5</v>
      </c>
      <c r="I315">
        <f t="shared" si="24"/>
        <v>7</v>
      </c>
      <c r="J315">
        <f t="shared" si="23"/>
        <v>26</v>
      </c>
    </row>
    <row r="316" spans="1:10" x14ac:dyDescent="0.2">
      <c r="A316">
        <v>315</v>
      </c>
      <c r="B316" s="23">
        <v>45106</v>
      </c>
      <c r="C316">
        <f t="shared" si="25"/>
        <v>0</v>
      </c>
      <c r="D316">
        <v>0</v>
      </c>
      <c r="E316">
        <f t="shared" si="26"/>
        <v>0</v>
      </c>
      <c r="F316" t="str">
        <f t="shared" si="27"/>
        <v>Thursday</v>
      </c>
      <c r="H316">
        <v>5</v>
      </c>
      <c r="I316">
        <f t="shared" si="24"/>
        <v>7</v>
      </c>
      <c r="J316">
        <f t="shared" si="23"/>
        <v>26</v>
      </c>
    </row>
    <row r="317" spans="1:10" x14ac:dyDescent="0.2">
      <c r="A317">
        <v>316</v>
      </c>
      <c r="B317" s="23">
        <v>45107</v>
      </c>
      <c r="C317">
        <f t="shared" si="25"/>
        <v>0</v>
      </c>
      <c r="D317">
        <v>0</v>
      </c>
      <c r="E317">
        <f t="shared" si="26"/>
        <v>0</v>
      </c>
      <c r="F317" t="str">
        <f t="shared" si="27"/>
        <v>Friday</v>
      </c>
      <c r="H317">
        <v>5</v>
      </c>
      <c r="I317">
        <f t="shared" si="24"/>
        <v>7</v>
      </c>
      <c r="J317">
        <f t="shared" si="23"/>
        <v>26</v>
      </c>
    </row>
    <row r="318" spans="1:10" x14ac:dyDescent="0.2">
      <c r="A318">
        <v>317</v>
      </c>
      <c r="B318" s="23">
        <v>45108</v>
      </c>
      <c r="C318">
        <f t="shared" si="25"/>
        <v>1</v>
      </c>
      <c r="D318">
        <v>0</v>
      </c>
      <c r="E318">
        <f t="shared" si="26"/>
        <v>1</v>
      </c>
      <c r="F318" t="str">
        <f t="shared" si="27"/>
        <v>Saturday</v>
      </c>
      <c r="H318">
        <v>5</v>
      </c>
      <c r="I318">
        <f t="shared" si="24"/>
        <v>7</v>
      </c>
      <c r="J318">
        <f t="shared" si="23"/>
        <v>26</v>
      </c>
    </row>
    <row r="319" spans="1:10" x14ac:dyDescent="0.2">
      <c r="A319">
        <v>318</v>
      </c>
      <c r="B319" s="23">
        <v>45109</v>
      </c>
      <c r="C319">
        <f t="shared" si="25"/>
        <v>1</v>
      </c>
      <c r="D319">
        <v>0</v>
      </c>
      <c r="E319">
        <f t="shared" si="26"/>
        <v>1</v>
      </c>
      <c r="F319" t="str">
        <f t="shared" si="27"/>
        <v>Sunday</v>
      </c>
      <c r="H319">
        <v>5</v>
      </c>
      <c r="I319">
        <f t="shared" si="24"/>
        <v>7</v>
      </c>
      <c r="J319">
        <f t="shared" si="23"/>
        <v>26</v>
      </c>
    </row>
    <row r="320" spans="1:10" x14ac:dyDescent="0.2">
      <c r="A320">
        <v>319</v>
      </c>
      <c r="B320" s="23">
        <v>45110</v>
      </c>
      <c r="C320">
        <f t="shared" si="25"/>
        <v>0</v>
      </c>
      <c r="D320">
        <v>0</v>
      </c>
      <c r="E320">
        <f t="shared" si="26"/>
        <v>0</v>
      </c>
      <c r="F320" t="str">
        <f t="shared" si="27"/>
        <v>Monday</v>
      </c>
      <c r="H320">
        <v>5</v>
      </c>
      <c r="I320">
        <f t="shared" si="24"/>
        <v>8</v>
      </c>
      <c r="J320">
        <f t="shared" si="23"/>
        <v>27</v>
      </c>
    </row>
    <row r="321" spans="1:10" x14ac:dyDescent="0.2">
      <c r="A321">
        <v>320</v>
      </c>
      <c r="B321" s="23">
        <v>45111</v>
      </c>
      <c r="C321">
        <f t="shared" si="25"/>
        <v>0</v>
      </c>
      <c r="D321">
        <v>0</v>
      </c>
      <c r="E321">
        <f t="shared" si="26"/>
        <v>0</v>
      </c>
      <c r="F321" t="str">
        <f t="shared" si="27"/>
        <v>Tuesday</v>
      </c>
      <c r="H321">
        <v>5</v>
      </c>
      <c r="I321">
        <f t="shared" si="24"/>
        <v>8</v>
      </c>
      <c r="J321">
        <f t="shared" si="23"/>
        <v>27</v>
      </c>
    </row>
    <row r="322" spans="1:10" x14ac:dyDescent="0.2">
      <c r="A322">
        <v>321</v>
      </c>
      <c r="B322" s="23">
        <v>45112</v>
      </c>
      <c r="C322">
        <f t="shared" si="25"/>
        <v>0</v>
      </c>
      <c r="D322">
        <v>0</v>
      </c>
      <c r="E322">
        <f t="shared" si="26"/>
        <v>0</v>
      </c>
      <c r="F322" t="str">
        <f t="shared" si="27"/>
        <v>Wednesday</v>
      </c>
      <c r="H322">
        <v>5</v>
      </c>
      <c r="I322">
        <f t="shared" si="24"/>
        <v>8</v>
      </c>
      <c r="J322">
        <f t="shared" si="23"/>
        <v>27</v>
      </c>
    </row>
    <row r="323" spans="1:10" x14ac:dyDescent="0.2">
      <c r="A323">
        <v>322</v>
      </c>
      <c r="B323" s="23">
        <v>45113</v>
      </c>
      <c r="C323">
        <f t="shared" si="25"/>
        <v>0</v>
      </c>
      <c r="D323">
        <v>0</v>
      </c>
      <c r="E323">
        <f t="shared" si="26"/>
        <v>0</v>
      </c>
      <c r="F323" t="str">
        <f t="shared" si="27"/>
        <v>Thursday</v>
      </c>
      <c r="H323">
        <v>5</v>
      </c>
      <c r="I323">
        <f t="shared" si="24"/>
        <v>8</v>
      </c>
      <c r="J323">
        <f t="shared" ref="J323:J386" si="28">_xlfn.ISOWEEKNUM(B323)</f>
        <v>27</v>
      </c>
    </row>
    <row r="324" spans="1:10" x14ac:dyDescent="0.2">
      <c r="A324">
        <v>323</v>
      </c>
      <c r="B324" s="23">
        <v>45114</v>
      </c>
      <c r="C324">
        <f t="shared" si="25"/>
        <v>0</v>
      </c>
      <c r="D324">
        <v>0</v>
      </c>
      <c r="E324">
        <f t="shared" si="26"/>
        <v>0</v>
      </c>
      <c r="F324" t="str">
        <f t="shared" si="27"/>
        <v>Friday</v>
      </c>
      <c r="H324">
        <v>5</v>
      </c>
      <c r="I324">
        <f t="shared" si="24"/>
        <v>8</v>
      </c>
      <c r="J324">
        <f t="shared" si="28"/>
        <v>27</v>
      </c>
    </row>
    <row r="325" spans="1:10" x14ac:dyDescent="0.2">
      <c r="A325">
        <v>324</v>
      </c>
      <c r="B325" s="23">
        <v>45115</v>
      </c>
      <c r="C325">
        <f t="shared" si="25"/>
        <v>1</v>
      </c>
      <c r="D325">
        <v>1</v>
      </c>
      <c r="E325">
        <f t="shared" si="26"/>
        <v>1</v>
      </c>
      <c r="F325" t="str">
        <f t="shared" si="27"/>
        <v>Saturday</v>
      </c>
      <c r="G325" t="s">
        <v>1947</v>
      </c>
      <c r="H325">
        <v>5</v>
      </c>
      <c r="I325">
        <f t="shared" si="24"/>
        <v>8</v>
      </c>
      <c r="J325">
        <f t="shared" si="28"/>
        <v>27</v>
      </c>
    </row>
    <row r="326" spans="1:10" x14ac:dyDescent="0.2">
      <c r="A326">
        <v>325</v>
      </c>
      <c r="B326" s="23">
        <v>45116</v>
      </c>
      <c r="C326">
        <f t="shared" si="25"/>
        <v>1</v>
      </c>
      <c r="D326">
        <v>1</v>
      </c>
      <c r="E326">
        <f t="shared" si="26"/>
        <v>1</v>
      </c>
      <c r="F326" t="str">
        <f t="shared" si="27"/>
        <v>Sunday</v>
      </c>
      <c r="G326" t="s">
        <v>1947</v>
      </c>
      <c r="H326">
        <v>5</v>
      </c>
      <c r="I326">
        <f t="shared" ref="I326:I389" si="29">IF(J326&gt;J325, IF(H326&lt;&gt;H325,1, I325+1),I325)</f>
        <v>8</v>
      </c>
      <c r="J326">
        <f t="shared" si="28"/>
        <v>27</v>
      </c>
    </row>
    <row r="327" spans="1:10" x14ac:dyDescent="0.2">
      <c r="A327">
        <v>326</v>
      </c>
      <c r="B327" s="23">
        <v>45117</v>
      </c>
      <c r="C327">
        <f t="shared" si="25"/>
        <v>0</v>
      </c>
      <c r="D327">
        <v>1</v>
      </c>
      <c r="E327">
        <f t="shared" si="26"/>
        <v>1</v>
      </c>
      <c r="F327" t="str">
        <f t="shared" si="27"/>
        <v>Monday</v>
      </c>
      <c r="G327" t="s">
        <v>1947</v>
      </c>
      <c r="H327">
        <v>5</v>
      </c>
      <c r="I327">
        <f t="shared" si="29"/>
        <v>9</v>
      </c>
      <c r="J327">
        <f t="shared" si="28"/>
        <v>28</v>
      </c>
    </row>
    <row r="328" spans="1:10" x14ac:dyDescent="0.2">
      <c r="A328">
        <v>327</v>
      </c>
      <c r="B328" s="23">
        <v>45118</v>
      </c>
      <c r="C328">
        <f t="shared" si="25"/>
        <v>0</v>
      </c>
      <c r="D328">
        <v>1</v>
      </c>
      <c r="E328">
        <f t="shared" si="26"/>
        <v>1</v>
      </c>
      <c r="F328" t="str">
        <f t="shared" si="27"/>
        <v>Tuesday</v>
      </c>
      <c r="G328" t="s">
        <v>1947</v>
      </c>
      <c r="H328">
        <v>5</v>
      </c>
      <c r="I328">
        <f t="shared" si="29"/>
        <v>9</v>
      </c>
      <c r="J328">
        <f t="shared" si="28"/>
        <v>28</v>
      </c>
    </row>
    <row r="329" spans="1:10" x14ac:dyDescent="0.2">
      <c r="A329">
        <v>328</v>
      </c>
      <c r="B329" s="23">
        <v>45119</v>
      </c>
      <c r="C329">
        <f t="shared" si="25"/>
        <v>0</v>
      </c>
      <c r="D329">
        <v>1</v>
      </c>
      <c r="E329">
        <f t="shared" si="26"/>
        <v>1</v>
      </c>
      <c r="F329" t="str">
        <f t="shared" si="27"/>
        <v>Wednesday</v>
      </c>
      <c r="G329" t="s">
        <v>1947</v>
      </c>
      <c r="H329">
        <v>5</v>
      </c>
      <c r="I329">
        <f t="shared" si="29"/>
        <v>9</v>
      </c>
      <c r="J329">
        <f t="shared" si="28"/>
        <v>28</v>
      </c>
    </row>
    <row r="330" spans="1:10" x14ac:dyDescent="0.2">
      <c r="A330">
        <v>329</v>
      </c>
      <c r="B330" s="23">
        <v>45120</v>
      </c>
      <c r="C330">
        <f t="shared" si="25"/>
        <v>0</v>
      </c>
      <c r="D330">
        <v>1</v>
      </c>
      <c r="E330">
        <f t="shared" si="26"/>
        <v>1</v>
      </c>
      <c r="F330" t="str">
        <f t="shared" si="27"/>
        <v>Thursday</v>
      </c>
      <c r="G330" t="s">
        <v>1947</v>
      </c>
      <c r="H330">
        <v>5</v>
      </c>
      <c r="I330">
        <f t="shared" si="29"/>
        <v>9</v>
      </c>
      <c r="J330">
        <f t="shared" si="28"/>
        <v>28</v>
      </c>
    </row>
    <row r="331" spans="1:10" x14ac:dyDescent="0.2">
      <c r="A331">
        <v>330</v>
      </c>
      <c r="B331" s="23">
        <v>45121</v>
      </c>
      <c r="C331">
        <f t="shared" si="25"/>
        <v>0</v>
      </c>
      <c r="D331">
        <v>1</v>
      </c>
      <c r="E331">
        <f t="shared" si="26"/>
        <v>1</v>
      </c>
      <c r="F331" t="str">
        <f t="shared" si="27"/>
        <v>Friday</v>
      </c>
      <c r="G331" t="s">
        <v>1947</v>
      </c>
      <c r="H331">
        <v>5</v>
      </c>
      <c r="I331">
        <f t="shared" si="29"/>
        <v>9</v>
      </c>
      <c r="J331">
        <f t="shared" si="28"/>
        <v>28</v>
      </c>
    </row>
    <row r="332" spans="1:10" x14ac:dyDescent="0.2">
      <c r="A332">
        <v>331</v>
      </c>
      <c r="B332" s="23">
        <v>45122</v>
      </c>
      <c r="C332">
        <f t="shared" si="25"/>
        <v>1</v>
      </c>
      <c r="D332">
        <v>1</v>
      </c>
      <c r="E332">
        <f t="shared" si="26"/>
        <v>1</v>
      </c>
      <c r="F332" t="str">
        <f t="shared" si="27"/>
        <v>Saturday</v>
      </c>
      <c r="G332" t="s">
        <v>1947</v>
      </c>
      <c r="H332">
        <v>5</v>
      </c>
      <c r="I332">
        <f t="shared" si="29"/>
        <v>9</v>
      </c>
      <c r="J332">
        <f t="shared" si="28"/>
        <v>28</v>
      </c>
    </row>
    <row r="333" spans="1:10" x14ac:dyDescent="0.2">
      <c r="A333">
        <v>332</v>
      </c>
      <c r="B333" s="23">
        <v>45123</v>
      </c>
      <c r="C333">
        <f t="shared" ref="C333:C396" si="30">IF(OR(WEEKDAY(B333) = 7, WEEKDAY(B333) = 1), 1, 0)</f>
        <v>1</v>
      </c>
      <c r="D333">
        <v>1</v>
      </c>
      <c r="E333">
        <f t="shared" ref="E333:E396" si="31">IF((C333+D333)&gt;0, 1, 0)</f>
        <v>1</v>
      </c>
      <c r="F333" t="str">
        <f t="shared" ref="F333:F396" si="32">TEXT(B333, "dddd")</f>
        <v>Sunday</v>
      </c>
      <c r="G333" t="s">
        <v>1947</v>
      </c>
      <c r="H333">
        <v>5</v>
      </c>
      <c r="I333">
        <f t="shared" si="29"/>
        <v>9</v>
      </c>
      <c r="J333">
        <f t="shared" si="28"/>
        <v>28</v>
      </c>
    </row>
    <row r="334" spans="1:10" x14ac:dyDescent="0.2">
      <c r="A334">
        <v>333</v>
      </c>
      <c r="B334" s="23">
        <v>45124</v>
      </c>
      <c r="C334">
        <f t="shared" si="30"/>
        <v>0</v>
      </c>
      <c r="D334">
        <v>1</v>
      </c>
      <c r="E334">
        <f t="shared" si="31"/>
        <v>1</v>
      </c>
      <c r="F334" t="str">
        <f t="shared" si="32"/>
        <v>Monday</v>
      </c>
      <c r="G334" t="s">
        <v>1947</v>
      </c>
      <c r="H334">
        <v>5</v>
      </c>
      <c r="I334">
        <f t="shared" si="29"/>
        <v>10</v>
      </c>
      <c r="J334">
        <f t="shared" si="28"/>
        <v>29</v>
      </c>
    </row>
    <row r="335" spans="1:10" x14ac:dyDescent="0.2">
      <c r="A335">
        <v>334</v>
      </c>
      <c r="B335" s="23">
        <v>45125</v>
      </c>
      <c r="C335">
        <f t="shared" si="30"/>
        <v>0</v>
      </c>
      <c r="D335">
        <v>1</v>
      </c>
      <c r="E335">
        <f t="shared" si="31"/>
        <v>1</v>
      </c>
      <c r="F335" t="str">
        <f t="shared" si="32"/>
        <v>Tuesday</v>
      </c>
      <c r="G335" t="s">
        <v>1947</v>
      </c>
      <c r="H335">
        <v>5</v>
      </c>
      <c r="I335">
        <f t="shared" si="29"/>
        <v>10</v>
      </c>
      <c r="J335">
        <f t="shared" si="28"/>
        <v>29</v>
      </c>
    </row>
    <row r="336" spans="1:10" x14ac:dyDescent="0.2">
      <c r="A336">
        <v>335</v>
      </c>
      <c r="B336" s="23">
        <v>45126</v>
      </c>
      <c r="C336">
        <f t="shared" si="30"/>
        <v>0</v>
      </c>
      <c r="D336">
        <v>1</v>
      </c>
      <c r="E336">
        <f t="shared" si="31"/>
        <v>1</v>
      </c>
      <c r="F336" t="str">
        <f t="shared" si="32"/>
        <v>Wednesday</v>
      </c>
      <c r="G336" t="s">
        <v>1947</v>
      </c>
      <c r="H336">
        <v>5</v>
      </c>
      <c r="I336">
        <f t="shared" si="29"/>
        <v>10</v>
      </c>
      <c r="J336">
        <f t="shared" si="28"/>
        <v>29</v>
      </c>
    </row>
    <row r="337" spans="1:10" x14ac:dyDescent="0.2">
      <c r="A337">
        <v>336</v>
      </c>
      <c r="B337" s="23">
        <v>45127</v>
      </c>
      <c r="C337">
        <f t="shared" si="30"/>
        <v>0</v>
      </c>
      <c r="D337">
        <v>1</v>
      </c>
      <c r="E337">
        <f t="shared" si="31"/>
        <v>1</v>
      </c>
      <c r="F337" t="str">
        <f t="shared" si="32"/>
        <v>Thursday</v>
      </c>
      <c r="G337" t="s">
        <v>1947</v>
      </c>
      <c r="H337">
        <v>5</v>
      </c>
      <c r="I337">
        <f t="shared" si="29"/>
        <v>10</v>
      </c>
      <c r="J337">
        <f t="shared" si="28"/>
        <v>29</v>
      </c>
    </row>
    <row r="338" spans="1:10" x14ac:dyDescent="0.2">
      <c r="A338">
        <v>337</v>
      </c>
      <c r="B338" s="23">
        <v>45128</v>
      </c>
      <c r="C338">
        <f t="shared" si="30"/>
        <v>0</v>
      </c>
      <c r="D338">
        <v>1</v>
      </c>
      <c r="E338">
        <f t="shared" si="31"/>
        <v>1</v>
      </c>
      <c r="F338" t="str">
        <f t="shared" si="32"/>
        <v>Friday</v>
      </c>
      <c r="G338" t="s">
        <v>1947</v>
      </c>
      <c r="H338">
        <v>5</v>
      </c>
      <c r="I338">
        <f t="shared" si="29"/>
        <v>10</v>
      </c>
      <c r="J338">
        <f t="shared" si="28"/>
        <v>29</v>
      </c>
    </row>
    <row r="339" spans="1:10" x14ac:dyDescent="0.2">
      <c r="A339">
        <v>338</v>
      </c>
      <c r="B339" s="23">
        <v>45129</v>
      </c>
      <c r="C339">
        <f t="shared" si="30"/>
        <v>1</v>
      </c>
      <c r="D339">
        <v>1</v>
      </c>
      <c r="E339">
        <f t="shared" si="31"/>
        <v>1</v>
      </c>
      <c r="F339" t="str">
        <f t="shared" si="32"/>
        <v>Saturday</v>
      </c>
      <c r="G339" t="s">
        <v>1947</v>
      </c>
      <c r="H339">
        <v>5</v>
      </c>
      <c r="I339">
        <f t="shared" si="29"/>
        <v>10</v>
      </c>
      <c r="J339">
        <f t="shared" si="28"/>
        <v>29</v>
      </c>
    </row>
    <row r="340" spans="1:10" x14ac:dyDescent="0.2">
      <c r="A340">
        <v>339</v>
      </c>
      <c r="B340" s="23">
        <v>45130</v>
      </c>
      <c r="C340">
        <f t="shared" si="30"/>
        <v>1</v>
      </c>
      <c r="D340">
        <v>1</v>
      </c>
      <c r="E340">
        <f t="shared" si="31"/>
        <v>1</v>
      </c>
      <c r="F340" t="str">
        <f t="shared" si="32"/>
        <v>Sunday</v>
      </c>
      <c r="G340" t="s">
        <v>1947</v>
      </c>
      <c r="H340">
        <v>5</v>
      </c>
      <c r="I340">
        <f t="shared" si="29"/>
        <v>10</v>
      </c>
      <c r="J340">
        <f t="shared" si="28"/>
        <v>29</v>
      </c>
    </row>
    <row r="341" spans="1:10" x14ac:dyDescent="0.2">
      <c r="A341">
        <v>340</v>
      </c>
      <c r="B341" s="23">
        <v>45131</v>
      </c>
      <c r="C341">
        <f t="shared" si="30"/>
        <v>0</v>
      </c>
      <c r="D341">
        <v>1</v>
      </c>
      <c r="E341">
        <f t="shared" si="31"/>
        <v>1</v>
      </c>
      <c r="F341" t="str">
        <f t="shared" si="32"/>
        <v>Monday</v>
      </c>
      <c r="G341" t="s">
        <v>1947</v>
      </c>
      <c r="H341">
        <v>5</v>
      </c>
      <c r="I341">
        <f t="shared" si="29"/>
        <v>11</v>
      </c>
      <c r="J341">
        <f t="shared" si="28"/>
        <v>30</v>
      </c>
    </row>
    <row r="342" spans="1:10" x14ac:dyDescent="0.2">
      <c r="A342">
        <v>341</v>
      </c>
      <c r="B342" s="23">
        <v>45132</v>
      </c>
      <c r="C342">
        <f t="shared" si="30"/>
        <v>0</v>
      </c>
      <c r="D342">
        <v>1</v>
      </c>
      <c r="E342">
        <f t="shared" si="31"/>
        <v>1</v>
      </c>
      <c r="F342" t="str">
        <f t="shared" si="32"/>
        <v>Tuesday</v>
      </c>
      <c r="G342" t="s">
        <v>1947</v>
      </c>
      <c r="H342">
        <v>5</v>
      </c>
      <c r="I342">
        <f t="shared" si="29"/>
        <v>11</v>
      </c>
      <c r="J342">
        <f t="shared" si="28"/>
        <v>30</v>
      </c>
    </row>
    <row r="343" spans="1:10" x14ac:dyDescent="0.2">
      <c r="A343">
        <v>342</v>
      </c>
      <c r="B343" s="23">
        <v>45133</v>
      </c>
      <c r="C343">
        <f t="shared" si="30"/>
        <v>0</v>
      </c>
      <c r="D343">
        <v>1</v>
      </c>
      <c r="E343">
        <f t="shared" si="31"/>
        <v>1</v>
      </c>
      <c r="F343" t="str">
        <f t="shared" si="32"/>
        <v>Wednesday</v>
      </c>
      <c r="G343" t="s">
        <v>1947</v>
      </c>
      <c r="H343">
        <v>5</v>
      </c>
      <c r="I343">
        <f t="shared" si="29"/>
        <v>11</v>
      </c>
      <c r="J343">
        <f t="shared" si="28"/>
        <v>30</v>
      </c>
    </row>
    <row r="344" spans="1:10" x14ac:dyDescent="0.2">
      <c r="A344">
        <v>343</v>
      </c>
      <c r="B344" s="23">
        <v>45134</v>
      </c>
      <c r="C344">
        <f t="shared" si="30"/>
        <v>0</v>
      </c>
      <c r="D344">
        <v>1</v>
      </c>
      <c r="E344">
        <f t="shared" si="31"/>
        <v>1</v>
      </c>
      <c r="F344" t="str">
        <f t="shared" si="32"/>
        <v>Thursday</v>
      </c>
      <c r="G344" t="s">
        <v>1947</v>
      </c>
      <c r="H344">
        <v>5</v>
      </c>
      <c r="I344">
        <f t="shared" si="29"/>
        <v>11</v>
      </c>
      <c r="J344">
        <f t="shared" si="28"/>
        <v>30</v>
      </c>
    </row>
    <row r="345" spans="1:10" x14ac:dyDescent="0.2">
      <c r="A345">
        <v>344</v>
      </c>
      <c r="B345" s="23">
        <v>45135</v>
      </c>
      <c r="C345">
        <f t="shared" si="30"/>
        <v>0</v>
      </c>
      <c r="D345">
        <v>1</v>
      </c>
      <c r="E345">
        <f t="shared" si="31"/>
        <v>1</v>
      </c>
      <c r="F345" t="str">
        <f t="shared" si="32"/>
        <v>Friday</v>
      </c>
      <c r="G345" t="s">
        <v>1947</v>
      </c>
      <c r="H345">
        <v>5</v>
      </c>
      <c r="I345">
        <f t="shared" si="29"/>
        <v>11</v>
      </c>
      <c r="J345">
        <f t="shared" si="28"/>
        <v>30</v>
      </c>
    </row>
    <row r="346" spans="1:10" x14ac:dyDescent="0.2">
      <c r="A346">
        <v>345</v>
      </c>
      <c r="B346" s="23">
        <v>45136</v>
      </c>
      <c r="C346">
        <f t="shared" si="30"/>
        <v>1</v>
      </c>
      <c r="D346">
        <v>1</v>
      </c>
      <c r="E346">
        <f t="shared" si="31"/>
        <v>1</v>
      </c>
      <c r="F346" t="str">
        <f t="shared" si="32"/>
        <v>Saturday</v>
      </c>
      <c r="G346" t="s">
        <v>1947</v>
      </c>
      <c r="H346">
        <v>5</v>
      </c>
      <c r="I346">
        <f t="shared" si="29"/>
        <v>11</v>
      </c>
      <c r="J346">
        <f t="shared" si="28"/>
        <v>30</v>
      </c>
    </row>
    <row r="347" spans="1:10" x14ac:dyDescent="0.2">
      <c r="A347">
        <v>346</v>
      </c>
      <c r="B347" s="23">
        <v>45137</v>
      </c>
      <c r="C347">
        <f t="shared" si="30"/>
        <v>1</v>
      </c>
      <c r="D347">
        <v>1</v>
      </c>
      <c r="E347">
        <f t="shared" si="31"/>
        <v>1</v>
      </c>
      <c r="F347" t="str">
        <f t="shared" si="32"/>
        <v>Sunday</v>
      </c>
      <c r="G347" t="s">
        <v>1947</v>
      </c>
      <c r="H347">
        <v>5</v>
      </c>
      <c r="I347">
        <f t="shared" si="29"/>
        <v>11</v>
      </c>
      <c r="J347">
        <f t="shared" si="28"/>
        <v>30</v>
      </c>
    </row>
    <row r="348" spans="1:10" x14ac:dyDescent="0.2">
      <c r="A348">
        <v>347</v>
      </c>
      <c r="B348" s="23">
        <v>45138</v>
      </c>
      <c r="C348">
        <f t="shared" si="30"/>
        <v>0</v>
      </c>
      <c r="D348">
        <v>1</v>
      </c>
      <c r="E348">
        <f t="shared" si="31"/>
        <v>1</v>
      </c>
      <c r="F348" t="str">
        <f t="shared" si="32"/>
        <v>Monday</v>
      </c>
      <c r="G348" t="s">
        <v>1947</v>
      </c>
      <c r="H348">
        <v>5</v>
      </c>
      <c r="I348">
        <f t="shared" si="29"/>
        <v>12</v>
      </c>
      <c r="J348">
        <f t="shared" si="28"/>
        <v>31</v>
      </c>
    </row>
    <row r="349" spans="1:10" x14ac:dyDescent="0.2">
      <c r="A349">
        <v>348</v>
      </c>
      <c r="B349" s="23">
        <v>45139</v>
      </c>
      <c r="C349">
        <f t="shared" si="30"/>
        <v>0</v>
      </c>
      <c r="D349">
        <v>1</v>
      </c>
      <c r="E349">
        <f t="shared" si="31"/>
        <v>1</v>
      </c>
      <c r="F349" t="str">
        <f t="shared" si="32"/>
        <v>Tuesday</v>
      </c>
      <c r="G349" t="s">
        <v>1947</v>
      </c>
      <c r="H349">
        <v>5</v>
      </c>
      <c r="I349">
        <f t="shared" si="29"/>
        <v>12</v>
      </c>
      <c r="J349">
        <f t="shared" si="28"/>
        <v>31</v>
      </c>
    </row>
    <row r="350" spans="1:10" x14ac:dyDescent="0.2">
      <c r="A350">
        <v>349</v>
      </c>
      <c r="B350" s="23">
        <v>45140</v>
      </c>
      <c r="C350">
        <f t="shared" si="30"/>
        <v>0</v>
      </c>
      <c r="D350">
        <v>1</v>
      </c>
      <c r="E350">
        <f t="shared" si="31"/>
        <v>1</v>
      </c>
      <c r="F350" t="str">
        <f t="shared" si="32"/>
        <v>Wednesday</v>
      </c>
      <c r="G350" t="s">
        <v>1947</v>
      </c>
      <c r="H350">
        <v>5</v>
      </c>
      <c r="I350">
        <f t="shared" si="29"/>
        <v>12</v>
      </c>
      <c r="J350">
        <f t="shared" si="28"/>
        <v>31</v>
      </c>
    </row>
    <row r="351" spans="1:10" x14ac:dyDescent="0.2">
      <c r="A351">
        <v>350</v>
      </c>
      <c r="B351" s="23">
        <v>45141</v>
      </c>
      <c r="C351">
        <f t="shared" si="30"/>
        <v>0</v>
      </c>
      <c r="D351">
        <v>1</v>
      </c>
      <c r="E351">
        <f t="shared" si="31"/>
        <v>1</v>
      </c>
      <c r="F351" t="str">
        <f t="shared" si="32"/>
        <v>Thursday</v>
      </c>
      <c r="G351" t="s">
        <v>1947</v>
      </c>
      <c r="H351">
        <v>5</v>
      </c>
      <c r="I351">
        <f t="shared" si="29"/>
        <v>12</v>
      </c>
      <c r="J351">
        <f t="shared" si="28"/>
        <v>31</v>
      </c>
    </row>
    <row r="352" spans="1:10" x14ac:dyDescent="0.2">
      <c r="A352">
        <v>351</v>
      </c>
      <c r="B352" s="23">
        <v>45142</v>
      </c>
      <c r="C352">
        <f t="shared" si="30"/>
        <v>0</v>
      </c>
      <c r="D352">
        <v>1</v>
      </c>
      <c r="E352">
        <f t="shared" si="31"/>
        <v>1</v>
      </c>
      <c r="F352" t="str">
        <f t="shared" si="32"/>
        <v>Friday</v>
      </c>
      <c r="G352" t="s">
        <v>1947</v>
      </c>
      <c r="H352">
        <v>5</v>
      </c>
      <c r="I352">
        <f t="shared" si="29"/>
        <v>12</v>
      </c>
      <c r="J352">
        <f t="shared" si="28"/>
        <v>31</v>
      </c>
    </row>
    <row r="353" spans="1:10" x14ac:dyDescent="0.2">
      <c r="A353">
        <v>352</v>
      </c>
      <c r="B353" s="23">
        <v>45143</v>
      </c>
      <c r="C353">
        <f t="shared" si="30"/>
        <v>1</v>
      </c>
      <c r="D353">
        <v>1</v>
      </c>
      <c r="E353">
        <f t="shared" si="31"/>
        <v>1</v>
      </c>
      <c r="F353" t="str">
        <f t="shared" si="32"/>
        <v>Saturday</v>
      </c>
      <c r="G353" t="s">
        <v>1947</v>
      </c>
      <c r="H353">
        <v>5</v>
      </c>
      <c r="I353">
        <f t="shared" si="29"/>
        <v>12</v>
      </c>
      <c r="J353">
        <f t="shared" si="28"/>
        <v>31</v>
      </c>
    </row>
    <row r="354" spans="1:10" x14ac:dyDescent="0.2">
      <c r="A354">
        <v>353</v>
      </c>
      <c r="B354" s="23">
        <v>45144</v>
      </c>
      <c r="C354">
        <f t="shared" si="30"/>
        <v>1</v>
      </c>
      <c r="D354">
        <v>1</v>
      </c>
      <c r="E354">
        <f t="shared" si="31"/>
        <v>1</v>
      </c>
      <c r="F354" t="str">
        <f t="shared" si="32"/>
        <v>Sunday</v>
      </c>
      <c r="G354" t="s">
        <v>1947</v>
      </c>
      <c r="H354">
        <v>5</v>
      </c>
      <c r="I354">
        <f t="shared" si="29"/>
        <v>12</v>
      </c>
      <c r="J354">
        <f t="shared" si="28"/>
        <v>31</v>
      </c>
    </row>
    <row r="355" spans="1:10" x14ac:dyDescent="0.2">
      <c r="A355">
        <v>354</v>
      </c>
      <c r="B355" s="23">
        <v>45145</v>
      </c>
      <c r="C355">
        <f t="shared" si="30"/>
        <v>0</v>
      </c>
      <c r="D355">
        <v>1</v>
      </c>
      <c r="E355">
        <f t="shared" si="31"/>
        <v>1</v>
      </c>
      <c r="F355" t="str">
        <f t="shared" si="32"/>
        <v>Monday</v>
      </c>
      <c r="G355" t="s">
        <v>1947</v>
      </c>
      <c r="H355">
        <v>5</v>
      </c>
      <c r="I355">
        <f t="shared" si="29"/>
        <v>13</v>
      </c>
      <c r="J355">
        <f t="shared" si="28"/>
        <v>32</v>
      </c>
    </row>
    <row r="356" spans="1:10" x14ac:dyDescent="0.2">
      <c r="A356">
        <v>355</v>
      </c>
      <c r="B356" s="23">
        <v>45146</v>
      </c>
      <c r="C356">
        <f t="shared" si="30"/>
        <v>0</v>
      </c>
      <c r="D356">
        <v>1</v>
      </c>
      <c r="E356">
        <f t="shared" si="31"/>
        <v>1</v>
      </c>
      <c r="F356" t="str">
        <f t="shared" si="32"/>
        <v>Tuesday</v>
      </c>
      <c r="G356" t="s">
        <v>1947</v>
      </c>
      <c r="H356">
        <v>5</v>
      </c>
      <c r="I356">
        <f t="shared" si="29"/>
        <v>13</v>
      </c>
      <c r="J356">
        <f t="shared" si="28"/>
        <v>32</v>
      </c>
    </row>
    <row r="357" spans="1:10" x14ac:dyDescent="0.2">
      <c r="A357">
        <v>356</v>
      </c>
      <c r="B357" s="23">
        <v>45147</v>
      </c>
      <c r="C357">
        <f t="shared" si="30"/>
        <v>0</v>
      </c>
      <c r="D357">
        <v>1</v>
      </c>
      <c r="E357">
        <f t="shared" si="31"/>
        <v>1</v>
      </c>
      <c r="F357" t="str">
        <f t="shared" si="32"/>
        <v>Wednesday</v>
      </c>
      <c r="G357" t="s">
        <v>1947</v>
      </c>
      <c r="H357">
        <v>5</v>
      </c>
      <c r="I357">
        <f t="shared" si="29"/>
        <v>13</v>
      </c>
      <c r="J357">
        <f t="shared" si="28"/>
        <v>32</v>
      </c>
    </row>
    <row r="358" spans="1:10" x14ac:dyDescent="0.2">
      <c r="A358">
        <v>357</v>
      </c>
      <c r="B358" s="23">
        <v>45148</v>
      </c>
      <c r="C358">
        <f t="shared" si="30"/>
        <v>0</v>
      </c>
      <c r="D358">
        <v>1</v>
      </c>
      <c r="E358">
        <f t="shared" si="31"/>
        <v>1</v>
      </c>
      <c r="F358" t="str">
        <f t="shared" si="32"/>
        <v>Thursday</v>
      </c>
      <c r="G358" t="s">
        <v>1947</v>
      </c>
      <c r="H358">
        <v>5</v>
      </c>
      <c r="I358">
        <f t="shared" si="29"/>
        <v>13</v>
      </c>
      <c r="J358">
        <f t="shared" si="28"/>
        <v>32</v>
      </c>
    </row>
    <row r="359" spans="1:10" x14ac:dyDescent="0.2">
      <c r="A359">
        <v>358</v>
      </c>
      <c r="B359" s="23">
        <v>45149</v>
      </c>
      <c r="C359">
        <f t="shared" si="30"/>
        <v>0</v>
      </c>
      <c r="D359">
        <v>1</v>
      </c>
      <c r="E359">
        <f t="shared" si="31"/>
        <v>1</v>
      </c>
      <c r="F359" t="str">
        <f t="shared" si="32"/>
        <v>Friday</v>
      </c>
      <c r="G359" t="s">
        <v>1947</v>
      </c>
      <c r="H359">
        <v>5</v>
      </c>
      <c r="I359">
        <f t="shared" si="29"/>
        <v>13</v>
      </c>
      <c r="J359">
        <f t="shared" si="28"/>
        <v>32</v>
      </c>
    </row>
    <row r="360" spans="1:10" x14ac:dyDescent="0.2">
      <c r="A360">
        <v>359</v>
      </c>
      <c r="B360" s="23">
        <v>45150</v>
      </c>
      <c r="C360">
        <f t="shared" si="30"/>
        <v>1</v>
      </c>
      <c r="D360">
        <v>1</v>
      </c>
      <c r="E360">
        <f t="shared" si="31"/>
        <v>1</v>
      </c>
      <c r="F360" t="str">
        <f t="shared" si="32"/>
        <v>Saturday</v>
      </c>
      <c r="G360" t="s">
        <v>1947</v>
      </c>
      <c r="H360">
        <v>5</v>
      </c>
      <c r="I360">
        <f t="shared" si="29"/>
        <v>13</v>
      </c>
      <c r="J360">
        <f t="shared" si="28"/>
        <v>32</v>
      </c>
    </row>
    <row r="361" spans="1:10" x14ac:dyDescent="0.2">
      <c r="A361">
        <v>360</v>
      </c>
      <c r="B361" s="23">
        <v>45151</v>
      </c>
      <c r="C361">
        <f t="shared" si="30"/>
        <v>1</v>
      </c>
      <c r="D361">
        <v>1</v>
      </c>
      <c r="E361">
        <f t="shared" si="31"/>
        <v>1</v>
      </c>
      <c r="F361" t="str">
        <f t="shared" si="32"/>
        <v>Sunday</v>
      </c>
      <c r="G361" t="s">
        <v>1947</v>
      </c>
      <c r="H361">
        <v>5</v>
      </c>
      <c r="I361">
        <f t="shared" si="29"/>
        <v>13</v>
      </c>
      <c r="J361">
        <f t="shared" si="28"/>
        <v>32</v>
      </c>
    </row>
    <row r="362" spans="1:10" x14ac:dyDescent="0.2">
      <c r="A362">
        <v>361</v>
      </c>
      <c r="B362" s="23">
        <v>45152</v>
      </c>
      <c r="C362">
        <f t="shared" si="30"/>
        <v>0</v>
      </c>
      <c r="D362">
        <v>1</v>
      </c>
      <c r="E362">
        <f t="shared" si="31"/>
        <v>1</v>
      </c>
      <c r="F362" t="str">
        <f t="shared" si="32"/>
        <v>Monday</v>
      </c>
      <c r="G362" t="s">
        <v>1947</v>
      </c>
      <c r="H362">
        <v>5</v>
      </c>
      <c r="I362">
        <f t="shared" si="29"/>
        <v>14</v>
      </c>
      <c r="J362">
        <f t="shared" si="28"/>
        <v>33</v>
      </c>
    </row>
    <row r="363" spans="1:10" x14ac:dyDescent="0.2">
      <c r="A363">
        <v>362</v>
      </c>
      <c r="B363" s="23">
        <v>45153</v>
      </c>
      <c r="C363">
        <f t="shared" si="30"/>
        <v>0</v>
      </c>
      <c r="D363">
        <v>1</v>
      </c>
      <c r="E363">
        <f t="shared" si="31"/>
        <v>1</v>
      </c>
      <c r="F363" t="str">
        <f t="shared" si="32"/>
        <v>Tuesday</v>
      </c>
      <c r="G363" t="s">
        <v>1947</v>
      </c>
      <c r="H363">
        <v>5</v>
      </c>
      <c r="I363">
        <f t="shared" si="29"/>
        <v>14</v>
      </c>
      <c r="J363">
        <f t="shared" si="28"/>
        <v>33</v>
      </c>
    </row>
    <row r="364" spans="1:10" x14ac:dyDescent="0.2">
      <c r="A364">
        <v>363</v>
      </c>
      <c r="B364" s="23">
        <v>45154</v>
      </c>
      <c r="C364">
        <f t="shared" si="30"/>
        <v>0</v>
      </c>
      <c r="D364">
        <v>1</v>
      </c>
      <c r="E364">
        <f t="shared" si="31"/>
        <v>1</v>
      </c>
      <c r="F364" t="str">
        <f t="shared" si="32"/>
        <v>Wednesday</v>
      </c>
      <c r="G364" t="s">
        <v>1947</v>
      </c>
      <c r="H364">
        <v>5</v>
      </c>
      <c r="I364">
        <f t="shared" si="29"/>
        <v>14</v>
      </c>
      <c r="J364">
        <f t="shared" si="28"/>
        <v>33</v>
      </c>
    </row>
    <row r="365" spans="1:10" x14ac:dyDescent="0.2">
      <c r="A365">
        <v>364</v>
      </c>
      <c r="B365" s="23">
        <v>45155</v>
      </c>
      <c r="C365">
        <f t="shared" si="30"/>
        <v>0</v>
      </c>
      <c r="D365">
        <v>1</v>
      </c>
      <c r="E365">
        <f t="shared" si="31"/>
        <v>1</v>
      </c>
      <c r="F365" t="str">
        <f t="shared" si="32"/>
        <v>Thursday</v>
      </c>
      <c r="G365" t="s">
        <v>1947</v>
      </c>
      <c r="H365">
        <v>5</v>
      </c>
      <c r="I365">
        <f t="shared" si="29"/>
        <v>14</v>
      </c>
      <c r="J365">
        <f t="shared" si="28"/>
        <v>33</v>
      </c>
    </row>
    <row r="366" spans="1:10" x14ac:dyDescent="0.2">
      <c r="A366">
        <v>365</v>
      </c>
      <c r="B366" s="23">
        <v>45156</v>
      </c>
      <c r="C366">
        <f t="shared" si="30"/>
        <v>0</v>
      </c>
      <c r="D366">
        <v>1</v>
      </c>
      <c r="E366">
        <f t="shared" si="31"/>
        <v>1</v>
      </c>
      <c r="F366" t="str">
        <f t="shared" si="32"/>
        <v>Friday</v>
      </c>
      <c r="G366" t="s">
        <v>1947</v>
      </c>
      <c r="H366">
        <v>5</v>
      </c>
      <c r="I366">
        <f t="shared" si="29"/>
        <v>14</v>
      </c>
      <c r="J366">
        <f t="shared" si="28"/>
        <v>33</v>
      </c>
    </row>
    <row r="367" spans="1:10" x14ac:dyDescent="0.2">
      <c r="A367">
        <v>366</v>
      </c>
      <c r="B367" s="23">
        <v>45157</v>
      </c>
      <c r="C367">
        <f t="shared" si="30"/>
        <v>1</v>
      </c>
      <c r="D367">
        <v>1</v>
      </c>
      <c r="E367">
        <f t="shared" si="31"/>
        <v>1</v>
      </c>
      <c r="F367" t="str">
        <f t="shared" si="32"/>
        <v>Saturday</v>
      </c>
      <c r="G367" t="s">
        <v>1947</v>
      </c>
      <c r="H367">
        <v>5</v>
      </c>
      <c r="I367">
        <f t="shared" si="29"/>
        <v>14</v>
      </c>
      <c r="J367">
        <f t="shared" si="28"/>
        <v>33</v>
      </c>
    </row>
    <row r="368" spans="1:10" x14ac:dyDescent="0.2">
      <c r="A368">
        <v>367</v>
      </c>
      <c r="B368" s="23">
        <v>45158</v>
      </c>
      <c r="C368">
        <f t="shared" si="30"/>
        <v>1</v>
      </c>
      <c r="D368">
        <v>1</v>
      </c>
      <c r="E368">
        <f t="shared" si="31"/>
        <v>1</v>
      </c>
      <c r="F368" t="str">
        <f t="shared" si="32"/>
        <v>Sunday</v>
      </c>
      <c r="G368" t="s">
        <v>1947</v>
      </c>
      <c r="H368">
        <v>5</v>
      </c>
      <c r="I368">
        <f t="shared" si="29"/>
        <v>14</v>
      </c>
      <c r="J368">
        <f t="shared" si="28"/>
        <v>33</v>
      </c>
    </row>
    <row r="369" spans="1:10" x14ac:dyDescent="0.2">
      <c r="A369">
        <v>368</v>
      </c>
      <c r="B369" s="23">
        <v>45159</v>
      </c>
      <c r="C369">
        <f t="shared" si="30"/>
        <v>0</v>
      </c>
      <c r="D369">
        <v>0</v>
      </c>
      <c r="E369">
        <f t="shared" si="31"/>
        <v>0</v>
      </c>
      <c r="F369" t="str">
        <f t="shared" si="32"/>
        <v>Monday</v>
      </c>
      <c r="H369">
        <v>1</v>
      </c>
      <c r="I369">
        <f t="shared" si="29"/>
        <v>1</v>
      </c>
      <c r="J369">
        <f t="shared" si="28"/>
        <v>34</v>
      </c>
    </row>
    <row r="370" spans="1:10" x14ac:dyDescent="0.2">
      <c r="A370">
        <v>369</v>
      </c>
      <c r="B370" s="23">
        <v>45160</v>
      </c>
      <c r="C370">
        <f t="shared" si="30"/>
        <v>0</v>
      </c>
      <c r="D370">
        <v>0</v>
      </c>
      <c r="E370">
        <f t="shared" si="31"/>
        <v>0</v>
      </c>
      <c r="F370" t="str">
        <f t="shared" si="32"/>
        <v>Tuesday</v>
      </c>
      <c r="H370">
        <v>1</v>
      </c>
      <c r="I370">
        <f t="shared" si="29"/>
        <v>1</v>
      </c>
      <c r="J370">
        <f t="shared" si="28"/>
        <v>34</v>
      </c>
    </row>
    <row r="371" spans="1:10" x14ac:dyDescent="0.2">
      <c r="A371">
        <v>370</v>
      </c>
      <c r="B371" s="23">
        <v>45161</v>
      </c>
      <c r="C371">
        <f t="shared" si="30"/>
        <v>0</v>
      </c>
      <c r="D371">
        <v>0</v>
      </c>
      <c r="E371">
        <f t="shared" si="31"/>
        <v>0</v>
      </c>
      <c r="F371" t="str">
        <f t="shared" si="32"/>
        <v>Wednesday</v>
      </c>
      <c r="H371">
        <v>1</v>
      </c>
      <c r="I371">
        <f t="shared" si="29"/>
        <v>1</v>
      </c>
      <c r="J371">
        <f t="shared" si="28"/>
        <v>34</v>
      </c>
    </row>
    <row r="372" spans="1:10" x14ac:dyDescent="0.2">
      <c r="A372">
        <v>371</v>
      </c>
      <c r="B372" s="23">
        <v>45162</v>
      </c>
      <c r="C372">
        <f t="shared" si="30"/>
        <v>0</v>
      </c>
      <c r="D372">
        <v>0</v>
      </c>
      <c r="E372">
        <f t="shared" si="31"/>
        <v>0</v>
      </c>
      <c r="F372" t="str">
        <f t="shared" si="32"/>
        <v>Thursday</v>
      </c>
      <c r="H372">
        <v>1</v>
      </c>
      <c r="I372">
        <f t="shared" si="29"/>
        <v>1</v>
      </c>
      <c r="J372">
        <f t="shared" si="28"/>
        <v>34</v>
      </c>
    </row>
    <row r="373" spans="1:10" x14ac:dyDescent="0.2">
      <c r="A373">
        <v>372</v>
      </c>
      <c r="B373" s="23">
        <v>45163</v>
      </c>
      <c r="C373">
        <f t="shared" si="30"/>
        <v>0</v>
      </c>
      <c r="D373">
        <v>0</v>
      </c>
      <c r="E373">
        <f t="shared" si="31"/>
        <v>0</v>
      </c>
      <c r="F373" t="str">
        <f t="shared" si="32"/>
        <v>Friday</v>
      </c>
      <c r="H373">
        <v>1</v>
      </c>
      <c r="I373">
        <f t="shared" si="29"/>
        <v>1</v>
      </c>
      <c r="J373">
        <f t="shared" si="28"/>
        <v>34</v>
      </c>
    </row>
    <row r="374" spans="1:10" x14ac:dyDescent="0.2">
      <c r="A374">
        <v>373</v>
      </c>
      <c r="B374" s="23">
        <v>45164</v>
      </c>
      <c r="C374">
        <f t="shared" si="30"/>
        <v>1</v>
      </c>
      <c r="D374">
        <v>0</v>
      </c>
      <c r="E374">
        <f t="shared" si="31"/>
        <v>1</v>
      </c>
      <c r="F374" t="str">
        <f t="shared" si="32"/>
        <v>Saturday</v>
      </c>
      <c r="H374">
        <v>1</v>
      </c>
      <c r="I374">
        <f t="shared" si="29"/>
        <v>1</v>
      </c>
      <c r="J374">
        <f t="shared" si="28"/>
        <v>34</v>
      </c>
    </row>
    <row r="375" spans="1:10" x14ac:dyDescent="0.2">
      <c r="A375">
        <v>374</v>
      </c>
      <c r="B375" s="23">
        <v>45165</v>
      </c>
      <c r="C375">
        <f t="shared" si="30"/>
        <v>1</v>
      </c>
      <c r="D375">
        <v>0</v>
      </c>
      <c r="E375">
        <f t="shared" si="31"/>
        <v>1</v>
      </c>
      <c r="F375" t="str">
        <f t="shared" si="32"/>
        <v>Sunday</v>
      </c>
      <c r="H375">
        <v>1</v>
      </c>
      <c r="I375">
        <f t="shared" si="29"/>
        <v>1</v>
      </c>
      <c r="J375">
        <f t="shared" si="28"/>
        <v>34</v>
      </c>
    </row>
    <row r="376" spans="1:10" x14ac:dyDescent="0.2">
      <c r="A376">
        <v>375</v>
      </c>
      <c r="B376" s="23">
        <v>45166</v>
      </c>
      <c r="C376">
        <f t="shared" si="30"/>
        <v>0</v>
      </c>
      <c r="D376">
        <v>0</v>
      </c>
      <c r="E376">
        <f t="shared" si="31"/>
        <v>0</v>
      </c>
      <c r="F376" t="str">
        <f t="shared" si="32"/>
        <v>Monday</v>
      </c>
      <c r="H376">
        <v>1</v>
      </c>
      <c r="I376">
        <f t="shared" si="29"/>
        <v>2</v>
      </c>
      <c r="J376">
        <f t="shared" si="28"/>
        <v>35</v>
      </c>
    </row>
    <row r="377" spans="1:10" x14ac:dyDescent="0.2">
      <c r="A377">
        <v>376</v>
      </c>
      <c r="B377" s="23">
        <v>45167</v>
      </c>
      <c r="C377">
        <f t="shared" si="30"/>
        <v>0</v>
      </c>
      <c r="D377">
        <v>0</v>
      </c>
      <c r="E377">
        <f t="shared" si="31"/>
        <v>0</v>
      </c>
      <c r="F377" t="str">
        <f t="shared" si="32"/>
        <v>Tuesday</v>
      </c>
      <c r="H377">
        <v>1</v>
      </c>
      <c r="I377">
        <f t="shared" si="29"/>
        <v>2</v>
      </c>
      <c r="J377">
        <f t="shared" si="28"/>
        <v>35</v>
      </c>
    </row>
    <row r="378" spans="1:10" x14ac:dyDescent="0.2">
      <c r="A378">
        <v>377</v>
      </c>
      <c r="B378" s="23">
        <v>45168</v>
      </c>
      <c r="C378">
        <f t="shared" si="30"/>
        <v>0</v>
      </c>
      <c r="D378">
        <v>0</v>
      </c>
      <c r="E378">
        <f t="shared" si="31"/>
        <v>0</v>
      </c>
      <c r="F378" t="str">
        <f t="shared" si="32"/>
        <v>Wednesday</v>
      </c>
      <c r="H378">
        <v>1</v>
      </c>
      <c r="I378">
        <f t="shared" si="29"/>
        <v>2</v>
      </c>
      <c r="J378">
        <f t="shared" si="28"/>
        <v>35</v>
      </c>
    </row>
    <row r="379" spans="1:10" x14ac:dyDescent="0.2">
      <c r="A379">
        <v>378</v>
      </c>
      <c r="B379" s="23">
        <v>45169</v>
      </c>
      <c r="C379">
        <f t="shared" si="30"/>
        <v>0</v>
      </c>
      <c r="D379">
        <v>0</v>
      </c>
      <c r="E379">
        <f t="shared" si="31"/>
        <v>0</v>
      </c>
      <c r="F379" t="str">
        <f t="shared" si="32"/>
        <v>Thursday</v>
      </c>
      <c r="H379">
        <v>1</v>
      </c>
      <c r="I379">
        <f t="shared" si="29"/>
        <v>2</v>
      </c>
      <c r="J379">
        <f t="shared" si="28"/>
        <v>35</v>
      </c>
    </row>
    <row r="380" spans="1:10" x14ac:dyDescent="0.2">
      <c r="A380">
        <v>379</v>
      </c>
      <c r="B380" s="23">
        <v>45170</v>
      </c>
      <c r="C380">
        <f t="shared" si="30"/>
        <v>0</v>
      </c>
      <c r="D380">
        <v>0</v>
      </c>
      <c r="E380">
        <f t="shared" si="31"/>
        <v>0</v>
      </c>
      <c r="F380" t="str">
        <f t="shared" si="32"/>
        <v>Friday</v>
      </c>
      <c r="H380">
        <v>1</v>
      </c>
      <c r="I380">
        <f t="shared" si="29"/>
        <v>2</v>
      </c>
      <c r="J380">
        <f t="shared" si="28"/>
        <v>35</v>
      </c>
    </row>
    <row r="381" spans="1:10" x14ac:dyDescent="0.2">
      <c r="A381">
        <v>380</v>
      </c>
      <c r="B381" s="23">
        <v>45171</v>
      </c>
      <c r="C381">
        <f t="shared" si="30"/>
        <v>1</v>
      </c>
      <c r="D381">
        <v>0</v>
      </c>
      <c r="E381">
        <f t="shared" si="31"/>
        <v>1</v>
      </c>
      <c r="F381" t="str">
        <f t="shared" si="32"/>
        <v>Saturday</v>
      </c>
      <c r="H381">
        <v>1</v>
      </c>
      <c r="I381">
        <f t="shared" si="29"/>
        <v>2</v>
      </c>
      <c r="J381">
        <f t="shared" si="28"/>
        <v>35</v>
      </c>
    </row>
    <row r="382" spans="1:10" x14ac:dyDescent="0.2">
      <c r="A382">
        <v>381</v>
      </c>
      <c r="B382" s="23">
        <v>45172</v>
      </c>
      <c r="C382">
        <f t="shared" si="30"/>
        <v>1</v>
      </c>
      <c r="D382">
        <v>0</v>
      </c>
      <c r="E382">
        <f t="shared" si="31"/>
        <v>1</v>
      </c>
      <c r="F382" t="str">
        <f t="shared" si="32"/>
        <v>Sunday</v>
      </c>
      <c r="H382">
        <v>1</v>
      </c>
      <c r="I382">
        <f t="shared" si="29"/>
        <v>2</v>
      </c>
      <c r="J382">
        <f t="shared" si="28"/>
        <v>35</v>
      </c>
    </row>
    <row r="383" spans="1:10" x14ac:dyDescent="0.2">
      <c r="A383">
        <v>382</v>
      </c>
      <c r="B383" s="23">
        <v>45173</v>
      </c>
      <c r="C383">
        <f t="shared" si="30"/>
        <v>0</v>
      </c>
      <c r="D383">
        <v>0</v>
      </c>
      <c r="E383">
        <f t="shared" si="31"/>
        <v>0</v>
      </c>
      <c r="F383" t="str">
        <f t="shared" si="32"/>
        <v>Monday</v>
      </c>
      <c r="H383">
        <v>1</v>
      </c>
      <c r="I383">
        <f t="shared" si="29"/>
        <v>3</v>
      </c>
      <c r="J383">
        <f t="shared" si="28"/>
        <v>36</v>
      </c>
    </row>
    <row r="384" spans="1:10" x14ac:dyDescent="0.2">
      <c r="A384">
        <v>383</v>
      </c>
      <c r="B384" s="23">
        <v>45174</v>
      </c>
      <c r="C384">
        <f t="shared" si="30"/>
        <v>0</v>
      </c>
      <c r="D384">
        <v>0</v>
      </c>
      <c r="E384">
        <f t="shared" si="31"/>
        <v>0</v>
      </c>
      <c r="F384" t="str">
        <f t="shared" si="32"/>
        <v>Tuesday</v>
      </c>
      <c r="H384">
        <v>1</v>
      </c>
      <c r="I384">
        <f t="shared" si="29"/>
        <v>3</v>
      </c>
      <c r="J384">
        <f t="shared" si="28"/>
        <v>36</v>
      </c>
    </row>
    <row r="385" spans="1:10" x14ac:dyDescent="0.2">
      <c r="A385">
        <v>384</v>
      </c>
      <c r="B385" s="23">
        <v>45175</v>
      </c>
      <c r="C385">
        <f t="shared" si="30"/>
        <v>0</v>
      </c>
      <c r="D385">
        <v>0</v>
      </c>
      <c r="E385">
        <f t="shared" si="31"/>
        <v>0</v>
      </c>
      <c r="F385" t="str">
        <f t="shared" si="32"/>
        <v>Wednesday</v>
      </c>
      <c r="H385">
        <v>1</v>
      </c>
      <c r="I385">
        <f t="shared" si="29"/>
        <v>3</v>
      </c>
      <c r="J385">
        <f t="shared" si="28"/>
        <v>36</v>
      </c>
    </row>
    <row r="386" spans="1:10" x14ac:dyDescent="0.2">
      <c r="A386">
        <v>385</v>
      </c>
      <c r="B386" s="23">
        <v>45176</v>
      </c>
      <c r="C386">
        <f t="shared" si="30"/>
        <v>0</v>
      </c>
      <c r="D386">
        <v>0</v>
      </c>
      <c r="E386">
        <f t="shared" si="31"/>
        <v>0</v>
      </c>
      <c r="F386" t="str">
        <f t="shared" si="32"/>
        <v>Thursday</v>
      </c>
      <c r="H386">
        <v>1</v>
      </c>
      <c r="I386">
        <f t="shared" si="29"/>
        <v>3</v>
      </c>
      <c r="J386">
        <f t="shared" si="28"/>
        <v>36</v>
      </c>
    </row>
    <row r="387" spans="1:10" x14ac:dyDescent="0.2">
      <c r="A387">
        <v>386</v>
      </c>
      <c r="B387" s="23">
        <v>45177</v>
      </c>
      <c r="C387">
        <f t="shared" si="30"/>
        <v>0</v>
      </c>
      <c r="D387">
        <v>0</v>
      </c>
      <c r="E387">
        <f t="shared" si="31"/>
        <v>0</v>
      </c>
      <c r="F387" t="str">
        <f t="shared" si="32"/>
        <v>Friday</v>
      </c>
      <c r="H387">
        <v>1</v>
      </c>
      <c r="I387">
        <f t="shared" si="29"/>
        <v>3</v>
      </c>
      <c r="J387">
        <f t="shared" ref="J387:J450" si="33">_xlfn.ISOWEEKNUM(B387)</f>
        <v>36</v>
      </c>
    </row>
    <row r="388" spans="1:10" x14ac:dyDescent="0.2">
      <c r="A388">
        <v>387</v>
      </c>
      <c r="B388" s="23">
        <v>45178</v>
      </c>
      <c r="C388">
        <f t="shared" si="30"/>
        <v>1</v>
      </c>
      <c r="D388">
        <v>0</v>
      </c>
      <c r="E388">
        <f t="shared" si="31"/>
        <v>1</v>
      </c>
      <c r="F388" t="str">
        <f t="shared" si="32"/>
        <v>Saturday</v>
      </c>
      <c r="H388">
        <v>1</v>
      </c>
      <c r="I388">
        <f t="shared" si="29"/>
        <v>3</v>
      </c>
      <c r="J388">
        <f t="shared" si="33"/>
        <v>36</v>
      </c>
    </row>
    <row r="389" spans="1:10" x14ac:dyDescent="0.2">
      <c r="A389">
        <v>388</v>
      </c>
      <c r="B389" s="23">
        <v>45179</v>
      </c>
      <c r="C389">
        <f t="shared" si="30"/>
        <v>1</v>
      </c>
      <c r="D389">
        <v>0</v>
      </c>
      <c r="E389">
        <f t="shared" si="31"/>
        <v>1</v>
      </c>
      <c r="F389" t="str">
        <f t="shared" si="32"/>
        <v>Sunday</v>
      </c>
      <c r="H389">
        <v>1</v>
      </c>
      <c r="I389">
        <f t="shared" si="29"/>
        <v>3</v>
      </c>
      <c r="J389">
        <f t="shared" si="33"/>
        <v>36</v>
      </c>
    </row>
    <row r="390" spans="1:10" x14ac:dyDescent="0.2">
      <c r="A390">
        <v>389</v>
      </c>
      <c r="B390" s="23">
        <v>45180</v>
      </c>
      <c r="C390">
        <f t="shared" si="30"/>
        <v>0</v>
      </c>
      <c r="D390">
        <v>0</v>
      </c>
      <c r="E390">
        <f t="shared" si="31"/>
        <v>0</v>
      </c>
      <c r="F390" t="str">
        <f t="shared" si="32"/>
        <v>Monday</v>
      </c>
      <c r="H390">
        <v>1</v>
      </c>
      <c r="I390">
        <f t="shared" ref="I390:I453" si="34">IF(J390&gt;J389, IF(H390&lt;&gt;H389,1, I389+1),I389)</f>
        <v>4</v>
      </c>
      <c r="J390">
        <f t="shared" si="33"/>
        <v>37</v>
      </c>
    </row>
    <row r="391" spans="1:10" x14ac:dyDescent="0.2">
      <c r="A391">
        <v>390</v>
      </c>
      <c r="B391" s="23">
        <v>45181</v>
      </c>
      <c r="C391">
        <f t="shared" si="30"/>
        <v>0</v>
      </c>
      <c r="D391">
        <v>0</v>
      </c>
      <c r="E391">
        <f t="shared" si="31"/>
        <v>0</v>
      </c>
      <c r="F391" t="str">
        <f t="shared" si="32"/>
        <v>Tuesday</v>
      </c>
      <c r="H391">
        <v>1</v>
      </c>
      <c r="I391">
        <f t="shared" si="34"/>
        <v>4</v>
      </c>
      <c r="J391">
        <f t="shared" si="33"/>
        <v>37</v>
      </c>
    </row>
    <row r="392" spans="1:10" x14ac:dyDescent="0.2">
      <c r="A392">
        <v>391</v>
      </c>
      <c r="B392" s="23">
        <v>45182</v>
      </c>
      <c r="C392">
        <f t="shared" si="30"/>
        <v>0</v>
      </c>
      <c r="D392">
        <v>0</v>
      </c>
      <c r="E392">
        <f t="shared" si="31"/>
        <v>0</v>
      </c>
      <c r="F392" t="str">
        <f t="shared" si="32"/>
        <v>Wednesday</v>
      </c>
      <c r="H392">
        <v>1</v>
      </c>
      <c r="I392">
        <f t="shared" si="34"/>
        <v>4</v>
      </c>
      <c r="J392">
        <f t="shared" si="33"/>
        <v>37</v>
      </c>
    </row>
    <row r="393" spans="1:10" x14ac:dyDescent="0.2">
      <c r="A393">
        <v>392</v>
      </c>
      <c r="B393" s="23">
        <v>45183</v>
      </c>
      <c r="C393">
        <f t="shared" si="30"/>
        <v>0</v>
      </c>
      <c r="D393">
        <v>0</v>
      </c>
      <c r="E393">
        <f t="shared" si="31"/>
        <v>0</v>
      </c>
      <c r="F393" t="str">
        <f t="shared" si="32"/>
        <v>Thursday</v>
      </c>
      <c r="H393">
        <v>1</v>
      </c>
      <c r="I393">
        <f t="shared" si="34"/>
        <v>4</v>
      </c>
      <c r="J393">
        <f t="shared" si="33"/>
        <v>37</v>
      </c>
    </row>
    <row r="394" spans="1:10" x14ac:dyDescent="0.2">
      <c r="A394">
        <v>393</v>
      </c>
      <c r="B394" s="23">
        <v>45184</v>
      </c>
      <c r="C394">
        <f t="shared" si="30"/>
        <v>0</v>
      </c>
      <c r="D394">
        <v>0</v>
      </c>
      <c r="E394">
        <f t="shared" si="31"/>
        <v>0</v>
      </c>
      <c r="F394" t="str">
        <f t="shared" si="32"/>
        <v>Friday</v>
      </c>
      <c r="H394">
        <v>1</v>
      </c>
      <c r="I394">
        <f t="shared" si="34"/>
        <v>4</v>
      </c>
      <c r="J394">
        <f t="shared" si="33"/>
        <v>37</v>
      </c>
    </row>
    <row r="395" spans="1:10" x14ac:dyDescent="0.2">
      <c r="A395">
        <v>394</v>
      </c>
      <c r="B395" s="23">
        <v>45185</v>
      </c>
      <c r="C395">
        <f t="shared" si="30"/>
        <v>1</v>
      </c>
      <c r="D395">
        <v>0</v>
      </c>
      <c r="E395">
        <f t="shared" si="31"/>
        <v>1</v>
      </c>
      <c r="F395" t="str">
        <f t="shared" si="32"/>
        <v>Saturday</v>
      </c>
      <c r="H395">
        <v>1</v>
      </c>
      <c r="I395">
        <f t="shared" si="34"/>
        <v>4</v>
      </c>
      <c r="J395">
        <f t="shared" si="33"/>
        <v>37</v>
      </c>
    </row>
    <row r="396" spans="1:10" x14ac:dyDescent="0.2">
      <c r="A396">
        <v>395</v>
      </c>
      <c r="B396" s="23">
        <v>45186</v>
      </c>
      <c r="C396">
        <f t="shared" si="30"/>
        <v>1</v>
      </c>
      <c r="D396">
        <v>0</v>
      </c>
      <c r="E396">
        <f t="shared" si="31"/>
        <v>1</v>
      </c>
      <c r="F396" t="str">
        <f t="shared" si="32"/>
        <v>Sunday</v>
      </c>
      <c r="H396">
        <v>1</v>
      </c>
      <c r="I396">
        <f t="shared" si="34"/>
        <v>4</v>
      </c>
      <c r="J396">
        <f t="shared" si="33"/>
        <v>37</v>
      </c>
    </row>
    <row r="397" spans="1:10" x14ac:dyDescent="0.2">
      <c r="A397">
        <v>396</v>
      </c>
      <c r="B397" s="23">
        <v>45187</v>
      </c>
      <c r="C397">
        <f t="shared" ref="C397:C460" si="35">IF(OR(WEEKDAY(B397) = 7, WEEKDAY(B397) = 1), 1, 0)</f>
        <v>0</v>
      </c>
      <c r="D397">
        <v>0</v>
      </c>
      <c r="E397">
        <f t="shared" ref="E397:E460" si="36">IF((C397+D397)&gt;0, 1, 0)</f>
        <v>0</v>
      </c>
      <c r="F397" t="str">
        <f t="shared" ref="F397:F460" si="37">TEXT(B397, "dddd")</f>
        <v>Monday</v>
      </c>
      <c r="H397">
        <v>1</v>
      </c>
      <c r="I397">
        <f t="shared" si="34"/>
        <v>5</v>
      </c>
      <c r="J397">
        <f t="shared" si="33"/>
        <v>38</v>
      </c>
    </row>
    <row r="398" spans="1:10" x14ac:dyDescent="0.2">
      <c r="A398">
        <v>397</v>
      </c>
      <c r="B398" s="23">
        <v>45188</v>
      </c>
      <c r="C398">
        <f t="shared" si="35"/>
        <v>0</v>
      </c>
      <c r="D398">
        <v>0</v>
      </c>
      <c r="E398">
        <f t="shared" si="36"/>
        <v>0</v>
      </c>
      <c r="F398" t="str">
        <f t="shared" si="37"/>
        <v>Tuesday</v>
      </c>
      <c r="H398">
        <v>1</v>
      </c>
      <c r="I398">
        <f t="shared" si="34"/>
        <v>5</v>
      </c>
      <c r="J398">
        <f t="shared" si="33"/>
        <v>38</v>
      </c>
    </row>
    <row r="399" spans="1:10" x14ac:dyDescent="0.2">
      <c r="A399">
        <v>398</v>
      </c>
      <c r="B399" s="23">
        <v>45189</v>
      </c>
      <c r="C399">
        <f t="shared" si="35"/>
        <v>0</v>
      </c>
      <c r="D399">
        <v>0</v>
      </c>
      <c r="E399">
        <f t="shared" si="36"/>
        <v>0</v>
      </c>
      <c r="F399" t="str">
        <f t="shared" si="37"/>
        <v>Wednesday</v>
      </c>
      <c r="H399">
        <v>1</v>
      </c>
      <c r="I399">
        <f t="shared" si="34"/>
        <v>5</v>
      </c>
      <c r="J399">
        <f t="shared" si="33"/>
        <v>38</v>
      </c>
    </row>
    <row r="400" spans="1:10" x14ac:dyDescent="0.2">
      <c r="A400">
        <v>399</v>
      </c>
      <c r="B400" s="23">
        <v>45190</v>
      </c>
      <c r="C400">
        <f t="shared" si="35"/>
        <v>0</v>
      </c>
      <c r="D400">
        <v>0</v>
      </c>
      <c r="E400">
        <f t="shared" si="36"/>
        <v>0</v>
      </c>
      <c r="F400" t="str">
        <f t="shared" si="37"/>
        <v>Thursday</v>
      </c>
      <c r="H400">
        <v>1</v>
      </c>
      <c r="I400">
        <f t="shared" si="34"/>
        <v>5</v>
      </c>
      <c r="J400">
        <f t="shared" si="33"/>
        <v>38</v>
      </c>
    </row>
    <row r="401" spans="1:10" x14ac:dyDescent="0.2">
      <c r="A401">
        <v>400</v>
      </c>
      <c r="B401" s="23">
        <v>45191</v>
      </c>
      <c r="C401">
        <f t="shared" si="35"/>
        <v>0</v>
      </c>
      <c r="D401">
        <v>0</v>
      </c>
      <c r="E401">
        <f t="shared" si="36"/>
        <v>0</v>
      </c>
      <c r="F401" t="str">
        <f t="shared" si="37"/>
        <v>Friday</v>
      </c>
      <c r="H401">
        <v>1</v>
      </c>
      <c r="I401">
        <f t="shared" si="34"/>
        <v>5</v>
      </c>
      <c r="J401">
        <f t="shared" si="33"/>
        <v>38</v>
      </c>
    </row>
    <row r="402" spans="1:10" x14ac:dyDescent="0.2">
      <c r="A402">
        <v>401</v>
      </c>
      <c r="B402" s="23">
        <v>45192</v>
      </c>
      <c r="C402">
        <f t="shared" si="35"/>
        <v>1</v>
      </c>
      <c r="D402">
        <v>0</v>
      </c>
      <c r="E402">
        <f t="shared" si="36"/>
        <v>1</v>
      </c>
      <c r="F402" t="str">
        <f t="shared" si="37"/>
        <v>Saturday</v>
      </c>
      <c r="H402">
        <v>1</v>
      </c>
      <c r="I402">
        <f t="shared" si="34"/>
        <v>5</v>
      </c>
      <c r="J402">
        <f t="shared" si="33"/>
        <v>38</v>
      </c>
    </row>
    <row r="403" spans="1:10" x14ac:dyDescent="0.2">
      <c r="A403">
        <v>402</v>
      </c>
      <c r="B403" s="23">
        <v>45193</v>
      </c>
      <c r="C403">
        <f t="shared" si="35"/>
        <v>1</v>
      </c>
      <c r="D403">
        <v>0</v>
      </c>
      <c r="E403">
        <f t="shared" si="36"/>
        <v>1</v>
      </c>
      <c r="F403" t="str">
        <f t="shared" si="37"/>
        <v>Sunday</v>
      </c>
      <c r="H403">
        <v>1</v>
      </c>
      <c r="I403">
        <f t="shared" si="34"/>
        <v>5</v>
      </c>
      <c r="J403">
        <f t="shared" si="33"/>
        <v>38</v>
      </c>
    </row>
    <row r="404" spans="1:10" x14ac:dyDescent="0.2">
      <c r="A404">
        <v>403</v>
      </c>
      <c r="B404" s="23">
        <v>45194</v>
      </c>
      <c r="C404">
        <f t="shared" si="35"/>
        <v>0</v>
      </c>
      <c r="D404">
        <v>0</v>
      </c>
      <c r="E404">
        <f t="shared" si="36"/>
        <v>0</v>
      </c>
      <c r="F404" t="str">
        <f t="shared" si="37"/>
        <v>Monday</v>
      </c>
      <c r="H404">
        <v>1</v>
      </c>
      <c r="I404">
        <f t="shared" si="34"/>
        <v>6</v>
      </c>
      <c r="J404">
        <f t="shared" si="33"/>
        <v>39</v>
      </c>
    </row>
    <row r="405" spans="1:10" x14ac:dyDescent="0.2">
      <c r="A405">
        <v>404</v>
      </c>
      <c r="B405" s="23">
        <v>45195</v>
      </c>
      <c r="C405">
        <f t="shared" si="35"/>
        <v>0</v>
      </c>
      <c r="D405">
        <v>0</v>
      </c>
      <c r="E405">
        <f t="shared" si="36"/>
        <v>0</v>
      </c>
      <c r="F405" t="str">
        <f t="shared" si="37"/>
        <v>Tuesday</v>
      </c>
      <c r="H405">
        <v>1</v>
      </c>
      <c r="I405">
        <f t="shared" si="34"/>
        <v>6</v>
      </c>
      <c r="J405">
        <f t="shared" si="33"/>
        <v>39</v>
      </c>
    </row>
    <row r="406" spans="1:10" x14ac:dyDescent="0.2">
      <c r="A406">
        <v>405</v>
      </c>
      <c r="B406" s="23">
        <v>45196</v>
      </c>
      <c r="C406">
        <f t="shared" si="35"/>
        <v>0</v>
      </c>
      <c r="D406">
        <v>0</v>
      </c>
      <c r="E406">
        <f t="shared" si="36"/>
        <v>0</v>
      </c>
      <c r="F406" t="str">
        <f t="shared" si="37"/>
        <v>Wednesday</v>
      </c>
      <c r="H406">
        <v>1</v>
      </c>
      <c r="I406">
        <f t="shared" si="34"/>
        <v>6</v>
      </c>
      <c r="J406">
        <f t="shared" si="33"/>
        <v>39</v>
      </c>
    </row>
    <row r="407" spans="1:10" x14ac:dyDescent="0.2">
      <c r="A407">
        <v>406</v>
      </c>
      <c r="B407" s="23">
        <v>45197</v>
      </c>
      <c r="C407">
        <f t="shared" si="35"/>
        <v>0</v>
      </c>
      <c r="D407">
        <v>0</v>
      </c>
      <c r="E407">
        <f t="shared" si="36"/>
        <v>0</v>
      </c>
      <c r="F407" t="str">
        <f t="shared" si="37"/>
        <v>Thursday</v>
      </c>
      <c r="H407">
        <v>1</v>
      </c>
      <c r="I407">
        <f t="shared" si="34"/>
        <v>6</v>
      </c>
      <c r="J407">
        <f t="shared" si="33"/>
        <v>39</v>
      </c>
    </row>
    <row r="408" spans="1:10" x14ac:dyDescent="0.2">
      <c r="A408">
        <v>407</v>
      </c>
      <c r="B408" s="23">
        <v>45198</v>
      </c>
      <c r="C408">
        <f t="shared" si="35"/>
        <v>0</v>
      </c>
      <c r="D408">
        <v>0</v>
      </c>
      <c r="E408">
        <f t="shared" si="36"/>
        <v>0</v>
      </c>
      <c r="F408" t="str">
        <f t="shared" si="37"/>
        <v>Friday</v>
      </c>
      <c r="H408">
        <v>1</v>
      </c>
      <c r="I408">
        <f t="shared" si="34"/>
        <v>6</v>
      </c>
      <c r="J408">
        <f t="shared" si="33"/>
        <v>39</v>
      </c>
    </row>
    <row r="409" spans="1:10" x14ac:dyDescent="0.2">
      <c r="A409">
        <v>408</v>
      </c>
      <c r="B409" s="23">
        <v>45199</v>
      </c>
      <c r="C409">
        <f t="shared" si="35"/>
        <v>1</v>
      </c>
      <c r="D409">
        <v>0</v>
      </c>
      <c r="E409">
        <f t="shared" si="36"/>
        <v>1</v>
      </c>
      <c r="F409" t="str">
        <f t="shared" si="37"/>
        <v>Saturday</v>
      </c>
      <c r="H409">
        <v>1</v>
      </c>
      <c r="I409">
        <f t="shared" si="34"/>
        <v>6</v>
      </c>
      <c r="J409">
        <f t="shared" si="33"/>
        <v>39</v>
      </c>
    </row>
    <row r="410" spans="1:10" x14ac:dyDescent="0.2">
      <c r="A410">
        <v>409</v>
      </c>
      <c r="B410" s="23">
        <v>45200</v>
      </c>
      <c r="C410">
        <f t="shared" si="35"/>
        <v>1</v>
      </c>
      <c r="D410">
        <v>0</v>
      </c>
      <c r="E410">
        <f t="shared" si="36"/>
        <v>1</v>
      </c>
      <c r="F410" t="str">
        <f t="shared" si="37"/>
        <v>Sunday</v>
      </c>
      <c r="H410">
        <v>1</v>
      </c>
      <c r="I410">
        <f t="shared" si="34"/>
        <v>6</v>
      </c>
      <c r="J410">
        <f t="shared" si="33"/>
        <v>39</v>
      </c>
    </row>
    <row r="411" spans="1:10" x14ac:dyDescent="0.2">
      <c r="A411">
        <v>410</v>
      </c>
      <c r="B411" s="23">
        <v>45201</v>
      </c>
      <c r="C411">
        <f t="shared" si="35"/>
        <v>0</v>
      </c>
      <c r="D411">
        <v>0</v>
      </c>
      <c r="E411">
        <f t="shared" si="36"/>
        <v>0</v>
      </c>
      <c r="F411" t="str">
        <f t="shared" si="37"/>
        <v>Monday</v>
      </c>
      <c r="H411">
        <v>1</v>
      </c>
      <c r="I411">
        <f t="shared" si="34"/>
        <v>7</v>
      </c>
      <c r="J411">
        <f t="shared" si="33"/>
        <v>40</v>
      </c>
    </row>
    <row r="412" spans="1:10" x14ac:dyDescent="0.2">
      <c r="A412">
        <v>411</v>
      </c>
      <c r="B412" s="23">
        <v>45202</v>
      </c>
      <c r="C412">
        <f t="shared" si="35"/>
        <v>0</v>
      </c>
      <c r="D412">
        <v>0</v>
      </c>
      <c r="E412">
        <f t="shared" si="36"/>
        <v>0</v>
      </c>
      <c r="F412" t="str">
        <f t="shared" si="37"/>
        <v>Tuesday</v>
      </c>
      <c r="H412">
        <v>1</v>
      </c>
      <c r="I412">
        <f t="shared" si="34"/>
        <v>7</v>
      </c>
      <c r="J412">
        <f t="shared" si="33"/>
        <v>40</v>
      </c>
    </row>
    <row r="413" spans="1:10" x14ac:dyDescent="0.2">
      <c r="A413">
        <v>412</v>
      </c>
      <c r="B413" s="23">
        <v>45203</v>
      </c>
      <c r="C413">
        <f t="shared" si="35"/>
        <v>0</v>
      </c>
      <c r="D413">
        <v>0</v>
      </c>
      <c r="E413">
        <f t="shared" si="36"/>
        <v>0</v>
      </c>
      <c r="F413" t="str">
        <f t="shared" si="37"/>
        <v>Wednesday</v>
      </c>
      <c r="H413">
        <v>1</v>
      </c>
      <c r="I413">
        <f t="shared" si="34"/>
        <v>7</v>
      </c>
      <c r="J413">
        <f t="shared" si="33"/>
        <v>40</v>
      </c>
    </row>
    <row r="414" spans="1:10" x14ac:dyDescent="0.2">
      <c r="A414">
        <v>413</v>
      </c>
      <c r="B414" s="23">
        <v>45204</v>
      </c>
      <c r="C414">
        <f t="shared" si="35"/>
        <v>0</v>
      </c>
      <c r="D414">
        <v>0</v>
      </c>
      <c r="E414">
        <f t="shared" si="36"/>
        <v>0</v>
      </c>
      <c r="F414" t="str">
        <f t="shared" si="37"/>
        <v>Thursday</v>
      </c>
      <c r="H414">
        <v>1</v>
      </c>
      <c r="I414">
        <f t="shared" si="34"/>
        <v>7</v>
      </c>
      <c r="J414">
        <f t="shared" si="33"/>
        <v>40</v>
      </c>
    </row>
    <row r="415" spans="1:10" x14ac:dyDescent="0.2">
      <c r="A415">
        <v>414</v>
      </c>
      <c r="B415" s="23">
        <v>45205</v>
      </c>
      <c r="C415">
        <f t="shared" si="35"/>
        <v>0</v>
      </c>
      <c r="D415">
        <v>0</v>
      </c>
      <c r="E415">
        <f t="shared" si="36"/>
        <v>0</v>
      </c>
      <c r="F415" t="str">
        <f t="shared" si="37"/>
        <v>Friday</v>
      </c>
      <c r="H415">
        <v>1</v>
      </c>
      <c r="I415">
        <f t="shared" si="34"/>
        <v>7</v>
      </c>
      <c r="J415">
        <f t="shared" si="33"/>
        <v>40</v>
      </c>
    </row>
    <row r="416" spans="1:10" x14ac:dyDescent="0.2">
      <c r="A416">
        <v>415</v>
      </c>
      <c r="B416" s="23">
        <v>45206</v>
      </c>
      <c r="C416">
        <f t="shared" si="35"/>
        <v>1</v>
      </c>
      <c r="D416">
        <v>0</v>
      </c>
      <c r="E416">
        <f t="shared" si="36"/>
        <v>1</v>
      </c>
      <c r="F416" t="str">
        <f t="shared" si="37"/>
        <v>Saturday</v>
      </c>
      <c r="H416">
        <v>1</v>
      </c>
      <c r="I416">
        <f t="shared" si="34"/>
        <v>7</v>
      </c>
      <c r="J416">
        <f t="shared" si="33"/>
        <v>40</v>
      </c>
    </row>
    <row r="417" spans="1:10" x14ac:dyDescent="0.2">
      <c r="A417">
        <v>416</v>
      </c>
      <c r="B417" s="23">
        <v>45207</v>
      </c>
      <c r="C417">
        <f t="shared" si="35"/>
        <v>1</v>
      </c>
      <c r="D417">
        <v>0</v>
      </c>
      <c r="E417">
        <f t="shared" si="36"/>
        <v>1</v>
      </c>
      <c r="F417" t="str">
        <f t="shared" si="37"/>
        <v>Sunday</v>
      </c>
      <c r="H417">
        <v>1</v>
      </c>
      <c r="I417">
        <f t="shared" si="34"/>
        <v>7</v>
      </c>
      <c r="J417">
        <f t="shared" si="33"/>
        <v>40</v>
      </c>
    </row>
    <row r="418" spans="1:10" x14ac:dyDescent="0.2">
      <c r="A418">
        <v>417</v>
      </c>
      <c r="B418" s="23">
        <v>45208</v>
      </c>
      <c r="C418">
        <f t="shared" si="35"/>
        <v>0</v>
      </c>
      <c r="D418">
        <v>0</v>
      </c>
      <c r="E418">
        <f t="shared" si="36"/>
        <v>0</v>
      </c>
      <c r="F418" t="str">
        <f t="shared" si="37"/>
        <v>Monday</v>
      </c>
      <c r="H418">
        <v>1</v>
      </c>
      <c r="I418">
        <f t="shared" si="34"/>
        <v>8</v>
      </c>
      <c r="J418">
        <f t="shared" si="33"/>
        <v>41</v>
      </c>
    </row>
    <row r="419" spans="1:10" x14ac:dyDescent="0.2">
      <c r="A419">
        <v>418</v>
      </c>
      <c r="B419" s="23">
        <v>45209</v>
      </c>
      <c r="C419">
        <f t="shared" si="35"/>
        <v>0</v>
      </c>
      <c r="D419">
        <v>0</v>
      </c>
      <c r="E419">
        <f t="shared" si="36"/>
        <v>0</v>
      </c>
      <c r="F419" t="str">
        <f t="shared" si="37"/>
        <v>Tuesday</v>
      </c>
      <c r="H419">
        <v>1</v>
      </c>
      <c r="I419">
        <f t="shared" si="34"/>
        <v>8</v>
      </c>
      <c r="J419">
        <f t="shared" si="33"/>
        <v>41</v>
      </c>
    </row>
    <row r="420" spans="1:10" x14ac:dyDescent="0.2">
      <c r="A420">
        <v>419</v>
      </c>
      <c r="B420" s="23">
        <v>45210</v>
      </c>
      <c r="C420">
        <f t="shared" si="35"/>
        <v>0</v>
      </c>
      <c r="D420">
        <v>0</v>
      </c>
      <c r="E420">
        <f t="shared" si="36"/>
        <v>0</v>
      </c>
      <c r="F420" t="str">
        <f t="shared" si="37"/>
        <v>Wednesday</v>
      </c>
      <c r="H420">
        <v>1</v>
      </c>
      <c r="I420">
        <f t="shared" si="34"/>
        <v>8</v>
      </c>
      <c r="J420">
        <f t="shared" si="33"/>
        <v>41</v>
      </c>
    </row>
    <row r="421" spans="1:10" x14ac:dyDescent="0.2">
      <c r="A421">
        <v>420</v>
      </c>
      <c r="B421" s="23">
        <v>45211</v>
      </c>
      <c r="C421">
        <f t="shared" si="35"/>
        <v>0</v>
      </c>
      <c r="D421">
        <v>0</v>
      </c>
      <c r="E421">
        <f t="shared" si="36"/>
        <v>0</v>
      </c>
      <c r="F421" t="str">
        <f t="shared" si="37"/>
        <v>Thursday</v>
      </c>
      <c r="H421">
        <v>1</v>
      </c>
      <c r="I421">
        <f t="shared" si="34"/>
        <v>8</v>
      </c>
      <c r="J421">
        <f t="shared" si="33"/>
        <v>41</v>
      </c>
    </row>
    <row r="422" spans="1:10" x14ac:dyDescent="0.2">
      <c r="A422">
        <v>421</v>
      </c>
      <c r="B422" s="23">
        <v>45212</v>
      </c>
      <c r="C422">
        <f t="shared" si="35"/>
        <v>0</v>
      </c>
      <c r="D422">
        <v>0</v>
      </c>
      <c r="E422">
        <f t="shared" si="36"/>
        <v>0</v>
      </c>
      <c r="F422" t="str">
        <f t="shared" si="37"/>
        <v>Friday</v>
      </c>
      <c r="H422">
        <v>1</v>
      </c>
      <c r="I422">
        <f t="shared" si="34"/>
        <v>8</v>
      </c>
      <c r="J422">
        <f t="shared" si="33"/>
        <v>41</v>
      </c>
    </row>
    <row r="423" spans="1:10" x14ac:dyDescent="0.2">
      <c r="A423">
        <v>422</v>
      </c>
      <c r="B423" s="23">
        <v>45213</v>
      </c>
      <c r="C423">
        <f t="shared" si="35"/>
        <v>1</v>
      </c>
      <c r="D423">
        <v>1</v>
      </c>
      <c r="E423">
        <f t="shared" si="36"/>
        <v>1</v>
      </c>
      <c r="F423" t="str">
        <f t="shared" si="37"/>
        <v>Saturday</v>
      </c>
      <c r="G423" t="s">
        <v>1944</v>
      </c>
      <c r="H423">
        <v>1</v>
      </c>
      <c r="I423">
        <f t="shared" si="34"/>
        <v>8</v>
      </c>
      <c r="J423">
        <f t="shared" si="33"/>
        <v>41</v>
      </c>
    </row>
    <row r="424" spans="1:10" x14ac:dyDescent="0.2">
      <c r="A424">
        <v>423</v>
      </c>
      <c r="B424" s="23">
        <v>45214</v>
      </c>
      <c r="C424">
        <f t="shared" si="35"/>
        <v>1</v>
      </c>
      <c r="D424">
        <v>1</v>
      </c>
      <c r="E424">
        <f t="shared" si="36"/>
        <v>1</v>
      </c>
      <c r="F424" t="str">
        <f t="shared" si="37"/>
        <v>Sunday</v>
      </c>
      <c r="G424" t="s">
        <v>1944</v>
      </c>
      <c r="H424">
        <v>1</v>
      </c>
      <c r="I424">
        <f t="shared" si="34"/>
        <v>8</v>
      </c>
      <c r="J424">
        <f t="shared" si="33"/>
        <v>41</v>
      </c>
    </row>
    <row r="425" spans="1:10" x14ac:dyDescent="0.2">
      <c r="A425">
        <v>424</v>
      </c>
      <c r="B425" s="23">
        <v>45215</v>
      </c>
      <c r="C425">
        <f t="shared" si="35"/>
        <v>0</v>
      </c>
      <c r="D425">
        <v>1</v>
      </c>
      <c r="E425">
        <f t="shared" si="36"/>
        <v>1</v>
      </c>
      <c r="F425" t="str">
        <f t="shared" si="37"/>
        <v>Monday</v>
      </c>
      <c r="G425" t="s">
        <v>1944</v>
      </c>
      <c r="H425">
        <v>1</v>
      </c>
      <c r="I425">
        <f t="shared" si="34"/>
        <v>9</v>
      </c>
      <c r="J425">
        <f t="shared" si="33"/>
        <v>42</v>
      </c>
    </row>
    <row r="426" spans="1:10" x14ac:dyDescent="0.2">
      <c r="A426">
        <v>425</v>
      </c>
      <c r="B426" s="23">
        <v>45216</v>
      </c>
      <c r="C426">
        <f t="shared" si="35"/>
        <v>0</v>
      </c>
      <c r="D426">
        <v>1</v>
      </c>
      <c r="E426">
        <f t="shared" si="36"/>
        <v>1</v>
      </c>
      <c r="F426" t="str">
        <f t="shared" si="37"/>
        <v>Tuesday</v>
      </c>
      <c r="G426" t="s">
        <v>1944</v>
      </c>
      <c r="H426">
        <v>1</v>
      </c>
      <c r="I426">
        <f t="shared" si="34"/>
        <v>9</v>
      </c>
      <c r="J426">
        <f t="shared" si="33"/>
        <v>42</v>
      </c>
    </row>
    <row r="427" spans="1:10" x14ac:dyDescent="0.2">
      <c r="A427">
        <v>426</v>
      </c>
      <c r="B427" s="23">
        <v>45217</v>
      </c>
      <c r="C427">
        <f t="shared" si="35"/>
        <v>0</v>
      </c>
      <c r="D427">
        <v>1</v>
      </c>
      <c r="E427">
        <f t="shared" si="36"/>
        <v>1</v>
      </c>
      <c r="F427" t="str">
        <f t="shared" si="37"/>
        <v>Wednesday</v>
      </c>
      <c r="G427" t="s">
        <v>1944</v>
      </c>
      <c r="H427">
        <v>1</v>
      </c>
      <c r="I427">
        <f t="shared" si="34"/>
        <v>9</v>
      </c>
      <c r="J427">
        <f t="shared" si="33"/>
        <v>42</v>
      </c>
    </row>
    <row r="428" spans="1:10" x14ac:dyDescent="0.2">
      <c r="A428">
        <v>427</v>
      </c>
      <c r="B428" s="23">
        <v>45218</v>
      </c>
      <c r="C428">
        <f t="shared" si="35"/>
        <v>0</v>
      </c>
      <c r="D428">
        <v>1</v>
      </c>
      <c r="E428">
        <f t="shared" si="36"/>
        <v>1</v>
      </c>
      <c r="F428" t="str">
        <f t="shared" si="37"/>
        <v>Thursday</v>
      </c>
      <c r="G428" t="s">
        <v>1944</v>
      </c>
      <c r="H428">
        <v>1</v>
      </c>
      <c r="I428">
        <f t="shared" si="34"/>
        <v>9</v>
      </c>
      <c r="J428">
        <f t="shared" si="33"/>
        <v>42</v>
      </c>
    </row>
    <row r="429" spans="1:10" x14ac:dyDescent="0.2">
      <c r="A429">
        <v>428</v>
      </c>
      <c r="B429" s="23">
        <v>45219</v>
      </c>
      <c r="C429">
        <f t="shared" si="35"/>
        <v>0</v>
      </c>
      <c r="D429">
        <v>1</v>
      </c>
      <c r="E429">
        <f t="shared" si="36"/>
        <v>1</v>
      </c>
      <c r="F429" t="str">
        <f t="shared" si="37"/>
        <v>Friday</v>
      </c>
      <c r="G429" t="s">
        <v>1944</v>
      </c>
      <c r="H429">
        <v>1</v>
      </c>
      <c r="I429">
        <f t="shared" si="34"/>
        <v>9</v>
      </c>
      <c r="J429">
        <f t="shared" si="33"/>
        <v>42</v>
      </c>
    </row>
    <row r="430" spans="1:10" x14ac:dyDescent="0.2">
      <c r="A430">
        <v>429</v>
      </c>
      <c r="B430" s="23">
        <v>45220</v>
      </c>
      <c r="C430">
        <f t="shared" si="35"/>
        <v>1</v>
      </c>
      <c r="D430">
        <v>1</v>
      </c>
      <c r="E430">
        <f t="shared" si="36"/>
        <v>1</v>
      </c>
      <c r="F430" t="str">
        <f t="shared" si="37"/>
        <v>Saturday</v>
      </c>
      <c r="G430" t="s">
        <v>1944</v>
      </c>
      <c r="H430">
        <v>1</v>
      </c>
      <c r="I430">
        <f t="shared" si="34"/>
        <v>9</v>
      </c>
      <c r="J430">
        <f t="shared" si="33"/>
        <v>42</v>
      </c>
    </row>
    <row r="431" spans="1:10" x14ac:dyDescent="0.2">
      <c r="A431">
        <v>430</v>
      </c>
      <c r="B431" s="23">
        <v>45221</v>
      </c>
      <c r="C431">
        <f t="shared" si="35"/>
        <v>1</v>
      </c>
      <c r="D431">
        <v>1</v>
      </c>
      <c r="E431">
        <f t="shared" si="36"/>
        <v>1</v>
      </c>
      <c r="F431" t="str">
        <f t="shared" si="37"/>
        <v>Sunday</v>
      </c>
      <c r="G431" t="s">
        <v>1944</v>
      </c>
      <c r="H431">
        <v>1</v>
      </c>
      <c r="I431">
        <f t="shared" si="34"/>
        <v>9</v>
      </c>
      <c r="J431">
        <f t="shared" si="33"/>
        <v>42</v>
      </c>
    </row>
    <row r="432" spans="1:10" x14ac:dyDescent="0.2">
      <c r="A432">
        <v>431</v>
      </c>
      <c r="B432" s="23">
        <v>45222</v>
      </c>
      <c r="C432">
        <f t="shared" si="35"/>
        <v>0</v>
      </c>
      <c r="D432">
        <v>1</v>
      </c>
      <c r="E432">
        <f t="shared" si="36"/>
        <v>1</v>
      </c>
      <c r="F432" t="str">
        <f t="shared" si="37"/>
        <v>Monday</v>
      </c>
      <c r="G432" t="s">
        <v>1805</v>
      </c>
      <c r="H432">
        <v>2</v>
      </c>
      <c r="I432">
        <f t="shared" si="34"/>
        <v>1</v>
      </c>
      <c r="J432">
        <f t="shared" si="33"/>
        <v>43</v>
      </c>
    </row>
    <row r="433" spans="1:10" x14ac:dyDescent="0.2">
      <c r="A433">
        <v>432</v>
      </c>
      <c r="B433" s="23">
        <v>45223</v>
      </c>
      <c r="C433">
        <f t="shared" si="35"/>
        <v>0</v>
      </c>
      <c r="D433">
        <v>0</v>
      </c>
      <c r="E433">
        <f t="shared" si="36"/>
        <v>0</v>
      </c>
      <c r="F433" t="str">
        <f t="shared" si="37"/>
        <v>Tuesday</v>
      </c>
      <c r="H433">
        <v>2</v>
      </c>
      <c r="I433">
        <f t="shared" si="34"/>
        <v>1</v>
      </c>
      <c r="J433">
        <f t="shared" si="33"/>
        <v>43</v>
      </c>
    </row>
    <row r="434" spans="1:10" x14ac:dyDescent="0.2">
      <c r="A434">
        <v>433</v>
      </c>
      <c r="B434" s="23">
        <v>45224</v>
      </c>
      <c r="C434">
        <f t="shared" si="35"/>
        <v>0</v>
      </c>
      <c r="D434">
        <v>0</v>
      </c>
      <c r="E434">
        <f t="shared" si="36"/>
        <v>0</v>
      </c>
      <c r="F434" t="str">
        <f t="shared" si="37"/>
        <v>Wednesday</v>
      </c>
      <c r="H434">
        <v>2</v>
      </c>
      <c r="I434">
        <f t="shared" si="34"/>
        <v>1</v>
      </c>
      <c r="J434">
        <f t="shared" si="33"/>
        <v>43</v>
      </c>
    </row>
    <row r="435" spans="1:10" x14ac:dyDescent="0.2">
      <c r="A435">
        <v>434</v>
      </c>
      <c r="B435" s="23">
        <v>45225</v>
      </c>
      <c r="C435">
        <f t="shared" si="35"/>
        <v>0</v>
      </c>
      <c r="D435">
        <v>0</v>
      </c>
      <c r="E435">
        <f t="shared" si="36"/>
        <v>0</v>
      </c>
      <c r="F435" t="str">
        <f t="shared" si="37"/>
        <v>Thursday</v>
      </c>
      <c r="H435">
        <v>2</v>
      </c>
      <c r="I435">
        <f t="shared" si="34"/>
        <v>1</v>
      </c>
      <c r="J435">
        <f t="shared" si="33"/>
        <v>43</v>
      </c>
    </row>
    <row r="436" spans="1:10" x14ac:dyDescent="0.2">
      <c r="A436">
        <v>435</v>
      </c>
      <c r="B436" s="23">
        <v>45226</v>
      </c>
      <c r="C436">
        <f t="shared" si="35"/>
        <v>0</v>
      </c>
      <c r="D436">
        <v>0</v>
      </c>
      <c r="E436">
        <f t="shared" si="36"/>
        <v>0</v>
      </c>
      <c r="F436" t="str">
        <f t="shared" si="37"/>
        <v>Friday</v>
      </c>
      <c r="H436">
        <v>2</v>
      </c>
      <c r="I436">
        <f t="shared" si="34"/>
        <v>1</v>
      </c>
      <c r="J436">
        <f t="shared" si="33"/>
        <v>43</v>
      </c>
    </row>
    <row r="437" spans="1:10" x14ac:dyDescent="0.2">
      <c r="A437">
        <v>436</v>
      </c>
      <c r="B437" s="23">
        <v>45227</v>
      </c>
      <c r="C437">
        <f t="shared" si="35"/>
        <v>1</v>
      </c>
      <c r="D437">
        <v>0</v>
      </c>
      <c r="E437">
        <f t="shared" si="36"/>
        <v>1</v>
      </c>
      <c r="F437" t="str">
        <f t="shared" si="37"/>
        <v>Saturday</v>
      </c>
      <c r="H437">
        <v>2</v>
      </c>
      <c r="I437">
        <f t="shared" si="34"/>
        <v>1</v>
      </c>
      <c r="J437">
        <f t="shared" si="33"/>
        <v>43</v>
      </c>
    </row>
    <row r="438" spans="1:10" x14ac:dyDescent="0.2">
      <c r="A438">
        <v>437</v>
      </c>
      <c r="B438" s="23">
        <v>45228</v>
      </c>
      <c r="C438">
        <f t="shared" si="35"/>
        <v>1</v>
      </c>
      <c r="D438">
        <v>0</v>
      </c>
      <c r="E438">
        <f t="shared" si="36"/>
        <v>1</v>
      </c>
      <c r="F438" t="str">
        <f t="shared" si="37"/>
        <v>Sunday</v>
      </c>
      <c r="H438">
        <v>2</v>
      </c>
      <c r="I438">
        <f t="shared" si="34"/>
        <v>1</v>
      </c>
      <c r="J438">
        <f t="shared" si="33"/>
        <v>43</v>
      </c>
    </row>
    <row r="439" spans="1:10" x14ac:dyDescent="0.2">
      <c r="A439">
        <v>438</v>
      </c>
      <c r="B439" s="23">
        <v>45229</v>
      </c>
      <c r="C439">
        <f t="shared" si="35"/>
        <v>0</v>
      </c>
      <c r="D439">
        <v>0</v>
      </c>
      <c r="E439">
        <f t="shared" si="36"/>
        <v>0</v>
      </c>
      <c r="F439" t="str">
        <f t="shared" si="37"/>
        <v>Monday</v>
      </c>
      <c r="H439">
        <v>2</v>
      </c>
      <c r="I439">
        <f t="shared" si="34"/>
        <v>2</v>
      </c>
      <c r="J439">
        <f t="shared" si="33"/>
        <v>44</v>
      </c>
    </row>
    <row r="440" spans="1:10" x14ac:dyDescent="0.2">
      <c r="A440">
        <v>439</v>
      </c>
      <c r="B440" s="23">
        <v>45230</v>
      </c>
      <c r="C440">
        <f t="shared" si="35"/>
        <v>0</v>
      </c>
      <c r="D440">
        <v>0</v>
      </c>
      <c r="E440">
        <f t="shared" si="36"/>
        <v>0</v>
      </c>
      <c r="F440" t="str">
        <f t="shared" si="37"/>
        <v>Tuesday</v>
      </c>
      <c r="H440">
        <v>2</v>
      </c>
      <c r="I440">
        <f t="shared" si="34"/>
        <v>2</v>
      </c>
      <c r="J440">
        <f t="shared" si="33"/>
        <v>44</v>
      </c>
    </row>
    <row r="441" spans="1:10" x14ac:dyDescent="0.2">
      <c r="A441">
        <v>440</v>
      </c>
      <c r="B441" s="23">
        <v>45231</v>
      </c>
      <c r="C441">
        <f t="shared" si="35"/>
        <v>0</v>
      </c>
      <c r="D441">
        <v>0</v>
      </c>
      <c r="E441">
        <f t="shared" si="36"/>
        <v>0</v>
      </c>
      <c r="F441" t="str">
        <f t="shared" si="37"/>
        <v>Wednesday</v>
      </c>
      <c r="H441">
        <v>2</v>
      </c>
      <c r="I441">
        <f t="shared" si="34"/>
        <v>2</v>
      </c>
      <c r="J441">
        <f t="shared" si="33"/>
        <v>44</v>
      </c>
    </row>
    <row r="442" spans="1:10" x14ac:dyDescent="0.2">
      <c r="A442">
        <v>441</v>
      </c>
      <c r="B442" s="23">
        <v>45232</v>
      </c>
      <c r="C442">
        <f t="shared" si="35"/>
        <v>0</v>
      </c>
      <c r="D442">
        <v>0</v>
      </c>
      <c r="E442">
        <f t="shared" si="36"/>
        <v>0</v>
      </c>
      <c r="F442" t="str">
        <f t="shared" si="37"/>
        <v>Thursday</v>
      </c>
      <c r="H442">
        <v>2</v>
      </c>
      <c r="I442">
        <f t="shared" si="34"/>
        <v>2</v>
      </c>
      <c r="J442">
        <f t="shared" si="33"/>
        <v>44</v>
      </c>
    </row>
    <row r="443" spans="1:10" x14ac:dyDescent="0.2">
      <c r="A443">
        <v>442</v>
      </c>
      <c r="B443" s="23">
        <v>45233</v>
      </c>
      <c r="C443">
        <f t="shared" si="35"/>
        <v>0</v>
      </c>
      <c r="D443">
        <v>0</v>
      </c>
      <c r="E443">
        <f t="shared" si="36"/>
        <v>0</v>
      </c>
      <c r="F443" t="str">
        <f t="shared" si="37"/>
        <v>Friday</v>
      </c>
      <c r="H443">
        <v>2</v>
      </c>
      <c r="I443">
        <f t="shared" si="34"/>
        <v>2</v>
      </c>
      <c r="J443">
        <f t="shared" si="33"/>
        <v>44</v>
      </c>
    </row>
    <row r="444" spans="1:10" x14ac:dyDescent="0.2">
      <c r="A444">
        <v>443</v>
      </c>
      <c r="B444" s="23">
        <v>45234</v>
      </c>
      <c r="C444">
        <f t="shared" si="35"/>
        <v>1</v>
      </c>
      <c r="D444">
        <v>0</v>
      </c>
      <c r="E444">
        <f t="shared" si="36"/>
        <v>1</v>
      </c>
      <c r="F444" t="str">
        <f t="shared" si="37"/>
        <v>Saturday</v>
      </c>
      <c r="H444">
        <v>2</v>
      </c>
      <c r="I444">
        <f t="shared" si="34"/>
        <v>2</v>
      </c>
      <c r="J444">
        <f t="shared" si="33"/>
        <v>44</v>
      </c>
    </row>
    <row r="445" spans="1:10" x14ac:dyDescent="0.2">
      <c r="A445">
        <v>444</v>
      </c>
      <c r="B445" s="23">
        <v>45235</v>
      </c>
      <c r="C445">
        <f t="shared" si="35"/>
        <v>1</v>
      </c>
      <c r="D445">
        <v>0</v>
      </c>
      <c r="E445">
        <f t="shared" si="36"/>
        <v>1</v>
      </c>
      <c r="F445" t="str">
        <f t="shared" si="37"/>
        <v>Sunday</v>
      </c>
      <c r="H445">
        <v>2</v>
      </c>
      <c r="I445">
        <f t="shared" si="34"/>
        <v>2</v>
      </c>
      <c r="J445">
        <f t="shared" si="33"/>
        <v>44</v>
      </c>
    </row>
    <row r="446" spans="1:10" x14ac:dyDescent="0.2">
      <c r="A446">
        <v>445</v>
      </c>
      <c r="B446" s="23">
        <v>45236</v>
      </c>
      <c r="C446">
        <f t="shared" si="35"/>
        <v>0</v>
      </c>
      <c r="D446">
        <v>0</v>
      </c>
      <c r="E446">
        <f t="shared" si="36"/>
        <v>0</v>
      </c>
      <c r="F446" t="str">
        <f t="shared" si="37"/>
        <v>Monday</v>
      </c>
      <c r="H446">
        <v>2</v>
      </c>
      <c r="I446">
        <f t="shared" si="34"/>
        <v>3</v>
      </c>
      <c r="J446">
        <f t="shared" si="33"/>
        <v>45</v>
      </c>
    </row>
    <row r="447" spans="1:10" x14ac:dyDescent="0.2">
      <c r="A447">
        <v>446</v>
      </c>
      <c r="B447" s="23">
        <v>45237</v>
      </c>
      <c r="C447">
        <f t="shared" si="35"/>
        <v>0</v>
      </c>
      <c r="D447">
        <v>0</v>
      </c>
      <c r="E447">
        <f t="shared" si="36"/>
        <v>0</v>
      </c>
      <c r="F447" t="str">
        <f t="shared" si="37"/>
        <v>Tuesday</v>
      </c>
      <c r="H447">
        <v>2</v>
      </c>
      <c r="I447">
        <f t="shared" si="34"/>
        <v>3</v>
      </c>
      <c r="J447">
        <f t="shared" si="33"/>
        <v>45</v>
      </c>
    </row>
    <row r="448" spans="1:10" x14ac:dyDescent="0.2">
      <c r="A448">
        <v>447</v>
      </c>
      <c r="B448" s="23">
        <v>45238</v>
      </c>
      <c r="C448">
        <f t="shared" si="35"/>
        <v>0</v>
      </c>
      <c r="D448">
        <v>0</v>
      </c>
      <c r="E448">
        <f t="shared" si="36"/>
        <v>0</v>
      </c>
      <c r="F448" t="str">
        <f t="shared" si="37"/>
        <v>Wednesday</v>
      </c>
      <c r="H448">
        <v>2</v>
      </c>
      <c r="I448">
        <f t="shared" si="34"/>
        <v>3</v>
      </c>
      <c r="J448">
        <f t="shared" si="33"/>
        <v>45</v>
      </c>
    </row>
    <row r="449" spans="1:10" x14ac:dyDescent="0.2">
      <c r="A449">
        <v>448</v>
      </c>
      <c r="B449" s="23">
        <v>45239</v>
      </c>
      <c r="C449">
        <f t="shared" si="35"/>
        <v>0</v>
      </c>
      <c r="D449">
        <v>0</v>
      </c>
      <c r="E449">
        <f t="shared" si="36"/>
        <v>0</v>
      </c>
      <c r="F449" t="str">
        <f t="shared" si="37"/>
        <v>Thursday</v>
      </c>
      <c r="H449">
        <v>2</v>
      </c>
      <c r="I449">
        <f t="shared" si="34"/>
        <v>3</v>
      </c>
      <c r="J449">
        <f t="shared" si="33"/>
        <v>45</v>
      </c>
    </row>
    <row r="450" spans="1:10" x14ac:dyDescent="0.2">
      <c r="A450">
        <v>449</v>
      </c>
      <c r="B450" s="23">
        <v>45240</v>
      </c>
      <c r="C450">
        <f t="shared" si="35"/>
        <v>0</v>
      </c>
      <c r="D450">
        <v>0</v>
      </c>
      <c r="E450">
        <f t="shared" si="36"/>
        <v>0</v>
      </c>
      <c r="F450" t="str">
        <f t="shared" si="37"/>
        <v>Friday</v>
      </c>
      <c r="H450">
        <v>2</v>
      </c>
      <c r="I450">
        <f t="shared" si="34"/>
        <v>3</v>
      </c>
      <c r="J450">
        <f t="shared" si="33"/>
        <v>45</v>
      </c>
    </row>
    <row r="451" spans="1:10" x14ac:dyDescent="0.2">
      <c r="A451">
        <v>450</v>
      </c>
      <c r="B451" s="23">
        <v>45241</v>
      </c>
      <c r="C451">
        <f t="shared" si="35"/>
        <v>1</v>
      </c>
      <c r="D451">
        <v>0</v>
      </c>
      <c r="E451">
        <f t="shared" si="36"/>
        <v>1</v>
      </c>
      <c r="F451" t="str">
        <f t="shared" si="37"/>
        <v>Saturday</v>
      </c>
      <c r="H451">
        <v>2</v>
      </c>
      <c r="I451">
        <f t="shared" si="34"/>
        <v>3</v>
      </c>
      <c r="J451">
        <f t="shared" ref="J451:J514" si="38">_xlfn.ISOWEEKNUM(B451)</f>
        <v>45</v>
      </c>
    </row>
    <row r="452" spans="1:10" x14ac:dyDescent="0.2">
      <c r="A452">
        <v>451</v>
      </c>
      <c r="B452" s="23">
        <v>45242</v>
      </c>
      <c r="C452">
        <f t="shared" si="35"/>
        <v>1</v>
      </c>
      <c r="D452">
        <v>0</v>
      </c>
      <c r="E452">
        <f t="shared" si="36"/>
        <v>1</v>
      </c>
      <c r="F452" t="str">
        <f t="shared" si="37"/>
        <v>Sunday</v>
      </c>
      <c r="H452">
        <v>2</v>
      </c>
      <c r="I452">
        <f t="shared" si="34"/>
        <v>3</v>
      </c>
      <c r="J452">
        <f t="shared" si="38"/>
        <v>45</v>
      </c>
    </row>
    <row r="453" spans="1:10" x14ac:dyDescent="0.2">
      <c r="A453">
        <v>452</v>
      </c>
      <c r="B453" s="23">
        <v>45243</v>
      </c>
      <c r="C453">
        <f t="shared" si="35"/>
        <v>0</v>
      </c>
      <c r="D453">
        <v>0</v>
      </c>
      <c r="E453">
        <f t="shared" si="36"/>
        <v>0</v>
      </c>
      <c r="F453" t="str">
        <f t="shared" si="37"/>
        <v>Monday</v>
      </c>
      <c r="H453">
        <v>2</v>
      </c>
      <c r="I453">
        <f t="shared" si="34"/>
        <v>4</v>
      </c>
      <c r="J453">
        <f t="shared" si="38"/>
        <v>46</v>
      </c>
    </row>
    <row r="454" spans="1:10" x14ac:dyDescent="0.2">
      <c r="A454">
        <v>453</v>
      </c>
      <c r="B454" s="23">
        <v>45244</v>
      </c>
      <c r="C454">
        <f t="shared" si="35"/>
        <v>0</v>
      </c>
      <c r="D454">
        <v>0</v>
      </c>
      <c r="E454">
        <f t="shared" si="36"/>
        <v>0</v>
      </c>
      <c r="F454" t="str">
        <f t="shared" si="37"/>
        <v>Tuesday</v>
      </c>
      <c r="H454">
        <v>2</v>
      </c>
      <c r="I454">
        <f t="shared" ref="I454:I517" si="39">IF(J454&gt;J453, IF(H454&lt;&gt;H453,1, I453+1),I453)</f>
        <v>4</v>
      </c>
      <c r="J454">
        <f t="shared" si="38"/>
        <v>46</v>
      </c>
    </row>
    <row r="455" spans="1:10" x14ac:dyDescent="0.2">
      <c r="A455">
        <v>454</v>
      </c>
      <c r="B455" s="23">
        <v>45245</v>
      </c>
      <c r="C455">
        <f t="shared" si="35"/>
        <v>0</v>
      </c>
      <c r="D455">
        <v>0</v>
      </c>
      <c r="E455">
        <f t="shared" si="36"/>
        <v>0</v>
      </c>
      <c r="F455" t="str">
        <f t="shared" si="37"/>
        <v>Wednesday</v>
      </c>
      <c r="H455">
        <v>2</v>
      </c>
      <c r="I455">
        <f t="shared" si="39"/>
        <v>4</v>
      </c>
      <c r="J455">
        <f t="shared" si="38"/>
        <v>46</v>
      </c>
    </row>
    <row r="456" spans="1:10" x14ac:dyDescent="0.2">
      <c r="A456">
        <v>455</v>
      </c>
      <c r="B456" s="23">
        <v>45246</v>
      </c>
      <c r="C456">
        <f t="shared" si="35"/>
        <v>0</v>
      </c>
      <c r="D456">
        <v>0</v>
      </c>
      <c r="E456">
        <f t="shared" si="36"/>
        <v>0</v>
      </c>
      <c r="F456" t="str">
        <f t="shared" si="37"/>
        <v>Thursday</v>
      </c>
      <c r="H456">
        <v>2</v>
      </c>
      <c r="I456">
        <f t="shared" si="39"/>
        <v>4</v>
      </c>
      <c r="J456">
        <f t="shared" si="38"/>
        <v>46</v>
      </c>
    </row>
    <row r="457" spans="1:10" x14ac:dyDescent="0.2">
      <c r="A457">
        <v>456</v>
      </c>
      <c r="B457" s="23">
        <v>45247</v>
      </c>
      <c r="C457">
        <f t="shared" si="35"/>
        <v>0</v>
      </c>
      <c r="D457">
        <v>0</v>
      </c>
      <c r="E457">
        <f t="shared" si="36"/>
        <v>0</v>
      </c>
      <c r="F457" t="str">
        <f t="shared" si="37"/>
        <v>Friday</v>
      </c>
      <c r="H457">
        <v>2</v>
      </c>
      <c r="I457">
        <f t="shared" si="39"/>
        <v>4</v>
      </c>
      <c r="J457">
        <f t="shared" si="38"/>
        <v>46</v>
      </c>
    </row>
    <row r="458" spans="1:10" x14ac:dyDescent="0.2">
      <c r="A458">
        <v>457</v>
      </c>
      <c r="B458" s="23">
        <v>45248</v>
      </c>
      <c r="C458">
        <f t="shared" si="35"/>
        <v>1</v>
      </c>
      <c r="D458">
        <v>0</v>
      </c>
      <c r="E458">
        <f t="shared" si="36"/>
        <v>1</v>
      </c>
      <c r="F458" t="str">
        <f t="shared" si="37"/>
        <v>Saturday</v>
      </c>
      <c r="H458">
        <v>2</v>
      </c>
      <c r="I458">
        <f t="shared" si="39"/>
        <v>4</v>
      </c>
      <c r="J458">
        <f t="shared" si="38"/>
        <v>46</v>
      </c>
    </row>
    <row r="459" spans="1:10" x14ac:dyDescent="0.2">
      <c r="A459">
        <v>458</v>
      </c>
      <c r="B459" s="23">
        <v>45249</v>
      </c>
      <c r="C459">
        <f t="shared" si="35"/>
        <v>1</v>
      </c>
      <c r="D459">
        <v>0</v>
      </c>
      <c r="E459">
        <f t="shared" si="36"/>
        <v>1</v>
      </c>
      <c r="F459" t="str">
        <f t="shared" si="37"/>
        <v>Sunday</v>
      </c>
      <c r="H459">
        <v>2</v>
      </c>
      <c r="I459">
        <f t="shared" si="39"/>
        <v>4</v>
      </c>
      <c r="J459">
        <f t="shared" si="38"/>
        <v>46</v>
      </c>
    </row>
    <row r="460" spans="1:10" x14ac:dyDescent="0.2">
      <c r="A460">
        <v>459</v>
      </c>
      <c r="B460" s="23">
        <v>45250</v>
      </c>
      <c r="C460">
        <f t="shared" si="35"/>
        <v>0</v>
      </c>
      <c r="D460">
        <v>0</v>
      </c>
      <c r="E460">
        <f t="shared" si="36"/>
        <v>0</v>
      </c>
      <c r="F460" t="str">
        <f t="shared" si="37"/>
        <v>Monday</v>
      </c>
      <c r="H460">
        <v>2</v>
      </c>
      <c r="I460">
        <f t="shared" si="39"/>
        <v>5</v>
      </c>
      <c r="J460">
        <f t="shared" si="38"/>
        <v>47</v>
      </c>
    </row>
    <row r="461" spans="1:10" x14ac:dyDescent="0.2">
      <c r="A461">
        <v>460</v>
      </c>
      <c r="B461" s="23">
        <v>45251</v>
      </c>
      <c r="C461">
        <f t="shared" ref="C461:C524" si="40">IF(OR(WEEKDAY(B461) = 7, WEEKDAY(B461) = 1), 1, 0)</f>
        <v>0</v>
      </c>
      <c r="D461">
        <v>0</v>
      </c>
      <c r="E461">
        <f t="shared" ref="E461:E524" si="41">IF((C461+D461)&gt;0, 1, 0)</f>
        <v>0</v>
      </c>
      <c r="F461" t="str">
        <f t="shared" ref="F461:F524" si="42">TEXT(B461, "dddd")</f>
        <v>Tuesday</v>
      </c>
      <c r="H461">
        <v>2</v>
      </c>
      <c r="I461">
        <f t="shared" si="39"/>
        <v>5</v>
      </c>
      <c r="J461">
        <f t="shared" si="38"/>
        <v>47</v>
      </c>
    </row>
    <row r="462" spans="1:10" x14ac:dyDescent="0.2">
      <c r="A462">
        <v>461</v>
      </c>
      <c r="B462" s="23">
        <v>45252</v>
      </c>
      <c r="C462">
        <f t="shared" si="40"/>
        <v>0</v>
      </c>
      <c r="D462">
        <v>0</v>
      </c>
      <c r="E462">
        <f t="shared" si="41"/>
        <v>0</v>
      </c>
      <c r="F462" t="str">
        <f t="shared" si="42"/>
        <v>Wednesday</v>
      </c>
      <c r="H462">
        <v>2</v>
      </c>
      <c r="I462">
        <f t="shared" si="39"/>
        <v>5</v>
      </c>
      <c r="J462">
        <f t="shared" si="38"/>
        <v>47</v>
      </c>
    </row>
    <row r="463" spans="1:10" x14ac:dyDescent="0.2">
      <c r="A463">
        <v>462</v>
      </c>
      <c r="B463" s="23">
        <v>45253</v>
      </c>
      <c r="C463">
        <f t="shared" si="40"/>
        <v>0</v>
      </c>
      <c r="D463">
        <v>0</v>
      </c>
      <c r="E463">
        <f t="shared" si="41"/>
        <v>0</v>
      </c>
      <c r="F463" t="str">
        <f t="shared" si="42"/>
        <v>Thursday</v>
      </c>
      <c r="H463">
        <v>2</v>
      </c>
      <c r="I463">
        <f t="shared" si="39"/>
        <v>5</v>
      </c>
      <c r="J463">
        <f t="shared" si="38"/>
        <v>47</v>
      </c>
    </row>
    <row r="464" spans="1:10" x14ac:dyDescent="0.2">
      <c r="A464">
        <v>463</v>
      </c>
      <c r="B464" s="23">
        <v>45254</v>
      </c>
      <c r="C464">
        <f t="shared" si="40"/>
        <v>0</v>
      </c>
      <c r="D464">
        <v>0</v>
      </c>
      <c r="E464">
        <f t="shared" si="41"/>
        <v>0</v>
      </c>
      <c r="F464" t="str">
        <f t="shared" si="42"/>
        <v>Friday</v>
      </c>
      <c r="H464">
        <v>2</v>
      </c>
      <c r="I464">
        <f t="shared" si="39"/>
        <v>5</v>
      </c>
      <c r="J464">
        <f t="shared" si="38"/>
        <v>47</v>
      </c>
    </row>
    <row r="465" spans="1:10" x14ac:dyDescent="0.2">
      <c r="A465">
        <v>464</v>
      </c>
      <c r="B465" s="23">
        <v>45255</v>
      </c>
      <c r="C465">
        <f t="shared" si="40"/>
        <v>1</v>
      </c>
      <c r="D465">
        <v>0</v>
      </c>
      <c r="E465">
        <f t="shared" si="41"/>
        <v>1</v>
      </c>
      <c r="F465" t="str">
        <f t="shared" si="42"/>
        <v>Saturday</v>
      </c>
      <c r="H465">
        <v>2</v>
      </c>
      <c r="I465">
        <f t="shared" si="39"/>
        <v>5</v>
      </c>
      <c r="J465">
        <f t="shared" si="38"/>
        <v>47</v>
      </c>
    </row>
    <row r="466" spans="1:10" x14ac:dyDescent="0.2">
      <c r="A466">
        <v>465</v>
      </c>
      <c r="B466" s="23">
        <v>45256</v>
      </c>
      <c r="C466">
        <f t="shared" si="40"/>
        <v>1</v>
      </c>
      <c r="D466">
        <v>0</v>
      </c>
      <c r="E466">
        <f t="shared" si="41"/>
        <v>1</v>
      </c>
      <c r="F466" t="str">
        <f t="shared" si="42"/>
        <v>Sunday</v>
      </c>
      <c r="H466">
        <v>2</v>
      </c>
      <c r="I466">
        <f t="shared" si="39"/>
        <v>5</v>
      </c>
      <c r="J466">
        <f t="shared" si="38"/>
        <v>47</v>
      </c>
    </row>
    <row r="467" spans="1:10" x14ac:dyDescent="0.2">
      <c r="A467">
        <v>466</v>
      </c>
      <c r="B467" s="23">
        <v>45257</v>
      </c>
      <c r="C467">
        <f t="shared" si="40"/>
        <v>0</v>
      </c>
      <c r="D467">
        <v>0</v>
      </c>
      <c r="E467">
        <f t="shared" si="41"/>
        <v>0</v>
      </c>
      <c r="F467" t="str">
        <f t="shared" si="42"/>
        <v>Monday</v>
      </c>
      <c r="H467">
        <v>2</v>
      </c>
      <c r="I467">
        <f t="shared" si="39"/>
        <v>6</v>
      </c>
      <c r="J467">
        <f t="shared" si="38"/>
        <v>48</v>
      </c>
    </row>
    <row r="468" spans="1:10" x14ac:dyDescent="0.2">
      <c r="A468">
        <v>467</v>
      </c>
      <c r="B468" s="23">
        <v>45258</v>
      </c>
      <c r="C468">
        <f t="shared" si="40"/>
        <v>0</v>
      </c>
      <c r="D468">
        <v>0</v>
      </c>
      <c r="E468">
        <f t="shared" si="41"/>
        <v>0</v>
      </c>
      <c r="F468" t="str">
        <f t="shared" si="42"/>
        <v>Tuesday</v>
      </c>
      <c r="H468">
        <v>2</v>
      </c>
      <c r="I468">
        <f t="shared" si="39"/>
        <v>6</v>
      </c>
      <c r="J468">
        <f t="shared" si="38"/>
        <v>48</v>
      </c>
    </row>
    <row r="469" spans="1:10" x14ac:dyDescent="0.2">
      <c r="A469">
        <v>468</v>
      </c>
      <c r="B469" s="23">
        <v>45259</v>
      </c>
      <c r="C469">
        <f t="shared" si="40"/>
        <v>0</v>
      </c>
      <c r="D469">
        <v>0</v>
      </c>
      <c r="E469">
        <f t="shared" si="41"/>
        <v>0</v>
      </c>
      <c r="F469" t="str">
        <f t="shared" si="42"/>
        <v>Wednesday</v>
      </c>
      <c r="H469">
        <v>2</v>
      </c>
      <c r="I469">
        <f t="shared" si="39"/>
        <v>6</v>
      </c>
      <c r="J469">
        <f t="shared" si="38"/>
        <v>48</v>
      </c>
    </row>
    <row r="470" spans="1:10" x14ac:dyDescent="0.2">
      <c r="A470">
        <v>469</v>
      </c>
      <c r="B470" s="23">
        <v>45260</v>
      </c>
      <c r="C470">
        <f t="shared" si="40"/>
        <v>0</v>
      </c>
      <c r="D470">
        <v>0</v>
      </c>
      <c r="E470">
        <f t="shared" si="41"/>
        <v>0</v>
      </c>
      <c r="F470" t="str">
        <f t="shared" si="42"/>
        <v>Thursday</v>
      </c>
      <c r="H470">
        <v>2</v>
      </c>
      <c r="I470">
        <f t="shared" si="39"/>
        <v>6</v>
      </c>
      <c r="J470">
        <f t="shared" si="38"/>
        <v>48</v>
      </c>
    </row>
    <row r="471" spans="1:10" x14ac:dyDescent="0.2">
      <c r="A471">
        <v>470</v>
      </c>
      <c r="B471" s="23">
        <v>45261</v>
      </c>
      <c r="C471">
        <f t="shared" si="40"/>
        <v>0</v>
      </c>
      <c r="D471">
        <v>0</v>
      </c>
      <c r="E471">
        <f t="shared" si="41"/>
        <v>0</v>
      </c>
      <c r="F471" t="str">
        <f t="shared" si="42"/>
        <v>Friday</v>
      </c>
      <c r="H471">
        <v>2</v>
      </c>
      <c r="I471">
        <f t="shared" si="39"/>
        <v>6</v>
      </c>
      <c r="J471">
        <f t="shared" si="38"/>
        <v>48</v>
      </c>
    </row>
    <row r="472" spans="1:10" x14ac:dyDescent="0.2">
      <c r="A472">
        <v>471</v>
      </c>
      <c r="B472" s="23">
        <v>45262</v>
      </c>
      <c r="C472">
        <f t="shared" si="40"/>
        <v>1</v>
      </c>
      <c r="D472">
        <v>0</v>
      </c>
      <c r="E472">
        <f t="shared" si="41"/>
        <v>1</v>
      </c>
      <c r="F472" t="str">
        <f t="shared" si="42"/>
        <v>Saturday</v>
      </c>
      <c r="H472">
        <v>2</v>
      </c>
      <c r="I472">
        <f t="shared" si="39"/>
        <v>6</v>
      </c>
      <c r="J472">
        <f t="shared" si="38"/>
        <v>48</v>
      </c>
    </row>
    <row r="473" spans="1:10" x14ac:dyDescent="0.2">
      <c r="A473">
        <v>472</v>
      </c>
      <c r="B473" s="23">
        <v>45263</v>
      </c>
      <c r="C473">
        <f t="shared" si="40"/>
        <v>1</v>
      </c>
      <c r="D473">
        <v>0</v>
      </c>
      <c r="E473">
        <f t="shared" si="41"/>
        <v>1</v>
      </c>
      <c r="F473" t="str">
        <f t="shared" si="42"/>
        <v>Sunday</v>
      </c>
      <c r="H473">
        <v>2</v>
      </c>
      <c r="I473">
        <f t="shared" si="39"/>
        <v>6</v>
      </c>
      <c r="J473">
        <f t="shared" si="38"/>
        <v>48</v>
      </c>
    </row>
    <row r="474" spans="1:10" x14ac:dyDescent="0.2">
      <c r="A474">
        <v>473</v>
      </c>
      <c r="B474" s="23">
        <v>45264</v>
      </c>
      <c r="C474">
        <f t="shared" si="40"/>
        <v>0</v>
      </c>
      <c r="D474">
        <v>0</v>
      </c>
      <c r="E474">
        <f t="shared" si="41"/>
        <v>0</v>
      </c>
      <c r="F474" t="str">
        <f t="shared" si="42"/>
        <v>Monday</v>
      </c>
      <c r="H474">
        <v>2</v>
      </c>
      <c r="I474">
        <f t="shared" si="39"/>
        <v>7</v>
      </c>
      <c r="J474">
        <f t="shared" si="38"/>
        <v>49</v>
      </c>
    </row>
    <row r="475" spans="1:10" x14ac:dyDescent="0.2">
      <c r="A475">
        <v>474</v>
      </c>
      <c r="B475" s="23">
        <v>45265</v>
      </c>
      <c r="C475">
        <f t="shared" si="40"/>
        <v>0</v>
      </c>
      <c r="D475">
        <v>0</v>
      </c>
      <c r="E475">
        <f t="shared" si="41"/>
        <v>0</v>
      </c>
      <c r="F475" t="str">
        <f t="shared" si="42"/>
        <v>Tuesday</v>
      </c>
      <c r="H475">
        <v>2</v>
      </c>
      <c r="I475">
        <f t="shared" si="39"/>
        <v>7</v>
      </c>
      <c r="J475">
        <f t="shared" si="38"/>
        <v>49</v>
      </c>
    </row>
    <row r="476" spans="1:10" x14ac:dyDescent="0.2">
      <c r="A476">
        <v>475</v>
      </c>
      <c r="B476" s="23">
        <v>45266</v>
      </c>
      <c r="C476">
        <f t="shared" si="40"/>
        <v>0</v>
      </c>
      <c r="D476">
        <v>0</v>
      </c>
      <c r="E476">
        <f t="shared" si="41"/>
        <v>0</v>
      </c>
      <c r="F476" t="str">
        <f t="shared" si="42"/>
        <v>Wednesday</v>
      </c>
      <c r="H476">
        <v>2</v>
      </c>
      <c r="I476">
        <f t="shared" si="39"/>
        <v>7</v>
      </c>
      <c r="J476">
        <f t="shared" si="38"/>
        <v>49</v>
      </c>
    </row>
    <row r="477" spans="1:10" x14ac:dyDescent="0.2">
      <c r="A477">
        <v>476</v>
      </c>
      <c r="B477" s="23">
        <v>45267</v>
      </c>
      <c r="C477">
        <f t="shared" si="40"/>
        <v>0</v>
      </c>
      <c r="D477">
        <v>0</v>
      </c>
      <c r="E477">
        <f t="shared" si="41"/>
        <v>0</v>
      </c>
      <c r="F477" t="str">
        <f t="shared" si="42"/>
        <v>Thursday</v>
      </c>
      <c r="H477">
        <v>2</v>
      </c>
      <c r="I477">
        <f t="shared" si="39"/>
        <v>7</v>
      </c>
      <c r="J477">
        <f t="shared" si="38"/>
        <v>49</v>
      </c>
    </row>
    <row r="478" spans="1:10" x14ac:dyDescent="0.2">
      <c r="A478">
        <v>477</v>
      </c>
      <c r="B478" s="23">
        <v>45268</v>
      </c>
      <c r="C478">
        <f t="shared" si="40"/>
        <v>0</v>
      </c>
      <c r="D478">
        <v>0</v>
      </c>
      <c r="E478">
        <f t="shared" si="41"/>
        <v>0</v>
      </c>
      <c r="F478" t="str">
        <f t="shared" si="42"/>
        <v>Friday</v>
      </c>
      <c r="H478">
        <v>2</v>
      </c>
      <c r="I478">
        <f t="shared" si="39"/>
        <v>7</v>
      </c>
      <c r="J478">
        <f t="shared" si="38"/>
        <v>49</v>
      </c>
    </row>
    <row r="479" spans="1:10" x14ac:dyDescent="0.2">
      <c r="A479">
        <v>478</v>
      </c>
      <c r="B479" s="23">
        <v>45269</v>
      </c>
      <c r="C479">
        <f t="shared" si="40"/>
        <v>1</v>
      </c>
      <c r="D479">
        <v>0</v>
      </c>
      <c r="E479">
        <f t="shared" si="41"/>
        <v>1</v>
      </c>
      <c r="F479" t="str">
        <f t="shared" si="42"/>
        <v>Saturday</v>
      </c>
      <c r="H479">
        <v>2</v>
      </c>
      <c r="I479">
        <f t="shared" si="39"/>
        <v>7</v>
      </c>
      <c r="J479">
        <f t="shared" si="38"/>
        <v>49</v>
      </c>
    </row>
    <row r="480" spans="1:10" x14ac:dyDescent="0.2">
      <c r="A480">
        <v>479</v>
      </c>
      <c r="B480" s="23">
        <v>45270</v>
      </c>
      <c r="C480">
        <f t="shared" si="40"/>
        <v>1</v>
      </c>
      <c r="D480">
        <v>0</v>
      </c>
      <c r="E480">
        <f t="shared" si="41"/>
        <v>1</v>
      </c>
      <c r="F480" t="str">
        <f t="shared" si="42"/>
        <v>Sunday</v>
      </c>
      <c r="H480">
        <v>2</v>
      </c>
      <c r="I480">
        <f t="shared" si="39"/>
        <v>7</v>
      </c>
      <c r="J480">
        <f t="shared" si="38"/>
        <v>49</v>
      </c>
    </row>
    <row r="481" spans="1:10" x14ac:dyDescent="0.2">
      <c r="A481">
        <v>480</v>
      </c>
      <c r="B481" s="23">
        <v>45271</v>
      </c>
      <c r="C481">
        <f t="shared" si="40"/>
        <v>0</v>
      </c>
      <c r="D481">
        <v>0</v>
      </c>
      <c r="E481">
        <f t="shared" si="41"/>
        <v>0</v>
      </c>
      <c r="F481" t="str">
        <f t="shared" si="42"/>
        <v>Monday</v>
      </c>
      <c r="H481">
        <v>2</v>
      </c>
      <c r="I481">
        <f t="shared" si="39"/>
        <v>8</v>
      </c>
      <c r="J481">
        <f t="shared" si="38"/>
        <v>50</v>
      </c>
    </row>
    <row r="482" spans="1:10" x14ac:dyDescent="0.2">
      <c r="A482">
        <v>481</v>
      </c>
      <c r="B482" s="23">
        <v>45272</v>
      </c>
      <c r="C482">
        <f t="shared" si="40"/>
        <v>0</v>
      </c>
      <c r="D482">
        <v>0</v>
      </c>
      <c r="E482">
        <f t="shared" si="41"/>
        <v>0</v>
      </c>
      <c r="F482" t="str">
        <f t="shared" si="42"/>
        <v>Tuesday</v>
      </c>
      <c r="H482">
        <v>2</v>
      </c>
      <c r="I482">
        <f t="shared" si="39"/>
        <v>8</v>
      </c>
      <c r="J482">
        <f t="shared" si="38"/>
        <v>50</v>
      </c>
    </row>
    <row r="483" spans="1:10" x14ac:dyDescent="0.2">
      <c r="A483">
        <v>482</v>
      </c>
      <c r="B483" s="23">
        <v>45273</v>
      </c>
      <c r="C483">
        <f t="shared" si="40"/>
        <v>0</v>
      </c>
      <c r="D483">
        <v>0</v>
      </c>
      <c r="E483">
        <f t="shared" si="41"/>
        <v>0</v>
      </c>
      <c r="F483" t="str">
        <f t="shared" si="42"/>
        <v>Wednesday</v>
      </c>
      <c r="H483">
        <v>2</v>
      </c>
      <c r="I483">
        <f t="shared" si="39"/>
        <v>8</v>
      </c>
      <c r="J483">
        <f t="shared" si="38"/>
        <v>50</v>
      </c>
    </row>
    <row r="484" spans="1:10" x14ac:dyDescent="0.2">
      <c r="A484">
        <v>483</v>
      </c>
      <c r="B484" s="23">
        <v>45274</v>
      </c>
      <c r="C484">
        <f t="shared" si="40"/>
        <v>0</v>
      </c>
      <c r="D484">
        <v>0</v>
      </c>
      <c r="E484">
        <f t="shared" si="41"/>
        <v>0</v>
      </c>
      <c r="F484" t="str">
        <f t="shared" si="42"/>
        <v>Thursday</v>
      </c>
      <c r="H484">
        <v>2</v>
      </c>
      <c r="I484">
        <f t="shared" si="39"/>
        <v>8</v>
      </c>
      <c r="J484">
        <f t="shared" si="38"/>
        <v>50</v>
      </c>
    </row>
    <row r="485" spans="1:10" x14ac:dyDescent="0.2">
      <c r="A485">
        <v>484</v>
      </c>
      <c r="B485" s="23">
        <v>45275</v>
      </c>
      <c r="C485">
        <f t="shared" si="40"/>
        <v>0</v>
      </c>
      <c r="D485">
        <v>0</v>
      </c>
      <c r="E485">
        <f t="shared" si="41"/>
        <v>0</v>
      </c>
      <c r="F485" t="str">
        <f t="shared" si="42"/>
        <v>Friday</v>
      </c>
      <c r="H485">
        <v>2</v>
      </c>
      <c r="I485">
        <f t="shared" si="39"/>
        <v>8</v>
      </c>
      <c r="J485">
        <f t="shared" si="38"/>
        <v>50</v>
      </c>
    </row>
    <row r="486" spans="1:10" x14ac:dyDescent="0.2">
      <c r="A486">
        <v>485</v>
      </c>
      <c r="B486" s="23">
        <v>45276</v>
      </c>
      <c r="C486">
        <f t="shared" si="40"/>
        <v>1</v>
      </c>
      <c r="D486">
        <v>0</v>
      </c>
      <c r="E486">
        <f t="shared" si="41"/>
        <v>1</v>
      </c>
      <c r="F486" t="str">
        <f t="shared" si="42"/>
        <v>Saturday</v>
      </c>
      <c r="H486">
        <v>2</v>
      </c>
      <c r="I486">
        <f t="shared" si="39"/>
        <v>8</v>
      </c>
      <c r="J486">
        <f t="shared" si="38"/>
        <v>50</v>
      </c>
    </row>
    <row r="487" spans="1:10" x14ac:dyDescent="0.2">
      <c r="A487">
        <v>486</v>
      </c>
      <c r="B487" s="23">
        <v>45277</v>
      </c>
      <c r="C487">
        <f t="shared" si="40"/>
        <v>1</v>
      </c>
      <c r="D487">
        <v>0</v>
      </c>
      <c r="E487">
        <f t="shared" si="41"/>
        <v>1</v>
      </c>
      <c r="F487" t="str">
        <f t="shared" si="42"/>
        <v>Sunday</v>
      </c>
      <c r="H487">
        <v>2</v>
      </c>
      <c r="I487">
        <f t="shared" si="39"/>
        <v>8</v>
      </c>
      <c r="J487">
        <f t="shared" si="38"/>
        <v>50</v>
      </c>
    </row>
    <row r="488" spans="1:10" x14ac:dyDescent="0.2">
      <c r="A488">
        <v>487</v>
      </c>
      <c r="B488" s="23">
        <v>45278</v>
      </c>
      <c r="C488">
        <f t="shared" si="40"/>
        <v>0</v>
      </c>
      <c r="D488">
        <v>0</v>
      </c>
      <c r="E488">
        <f t="shared" si="41"/>
        <v>0</v>
      </c>
      <c r="F488" t="str">
        <f t="shared" si="42"/>
        <v>Monday</v>
      </c>
      <c r="H488">
        <v>2</v>
      </c>
      <c r="I488">
        <f t="shared" si="39"/>
        <v>9</v>
      </c>
      <c r="J488">
        <f t="shared" si="38"/>
        <v>51</v>
      </c>
    </row>
    <row r="489" spans="1:10" x14ac:dyDescent="0.2">
      <c r="A489">
        <v>488</v>
      </c>
      <c r="B489" s="23">
        <v>45279</v>
      </c>
      <c r="C489">
        <f t="shared" si="40"/>
        <v>0</v>
      </c>
      <c r="D489">
        <v>0</v>
      </c>
      <c r="E489">
        <f t="shared" si="41"/>
        <v>0</v>
      </c>
      <c r="F489" t="str">
        <f t="shared" si="42"/>
        <v>Tuesday</v>
      </c>
      <c r="H489">
        <v>2</v>
      </c>
      <c r="I489">
        <f t="shared" si="39"/>
        <v>9</v>
      </c>
      <c r="J489">
        <f t="shared" si="38"/>
        <v>51</v>
      </c>
    </row>
    <row r="490" spans="1:10" x14ac:dyDescent="0.2">
      <c r="A490">
        <v>489</v>
      </c>
      <c r="B490" s="23">
        <v>45280</v>
      </c>
      <c r="C490">
        <f t="shared" si="40"/>
        <v>0</v>
      </c>
      <c r="D490">
        <v>0</v>
      </c>
      <c r="E490">
        <f t="shared" si="41"/>
        <v>0</v>
      </c>
      <c r="F490" t="str">
        <f t="shared" si="42"/>
        <v>Wednesday</v>
      </c>
      <c r="H490">
        <v>2</v>
      </c>
      <c r="I490">
        <f t="shared" si="39"/>
        <v>9</v>
      </c>
      <c r="J490">
        <f t="shared" si="38"/>
        <v>51</v>
      </c>
    </row>
    <row r="491" spans="1:10" x14ac:dyDescent="0.2">
      <c r="A491">
        <v>490</v>
      </c>
      <c r="B491" s="23">
        <v>45281</v>
      </c>
      <c r="C491">
        <f t="shared" si="40"/>
        <v>0</v>
      </c>
      <c r="D491">
        <v>0</v>
      </c>
      <c r="E491">
        <f t="shared" si="41"/>
        <v>0</v>
      </c>
      <c r="F491" t="str">
        <f t="shared" si="42"/>
        <v>Thursday</v>
      </c>
      <c r="H491">
        <v>2</v>
      </c>
      <c r="I491">
        <f t="shared" si="39"/>
        <v>9</v>
      </c>
      <c r="J491">
        <f t="shared" si="38"/>
        <v>51</v>
      </c>
    </row>
    <row r="492" spans="1:10" x14ac:dyDescent="0.2">
      <c r="A492">
        <v>491</v>
      </c>
      <c r="B492" s="23">
        <v>45282</v>
      </c>
      <c r="C492">
        <f t="shared" si="40"/>
        <v>0</v>
      </c>
      <c r="D492">
        <v>0</v>
      </c>
      <c r="E492">
        <f t="shared" si="41"/>
        <v>0</v>
      </c>
      <c r="F492" t="str">
        <f t="shared" si="42"/>
        <v>Friday</v>
      </c>
      <c r="H492">
        <v>2</v>
      </c>
      <c r="I492">
        <f t="shared" si="39"/>
        <v>9</v>
      </c>
      <c r="J492">
        <f t="shared" si="38"/>
        <v>51</v>
      </c>
    </row>
    <row r="493" spans="1:10" x14ac:dyDescent="0.2">
      <c r="A493">
        <v>492</v>
      </c>
      <c r="B493" s="23">
        <v>45283</v>
      </c>
      <c r="C493">
        <f t="shared" si="40"/>
        <v>1</v>
      </c>
      <c r="D493">
        <v>1</v>
      </c>
      <c r="E493">
        <f t="shared" si="41"/>
        <v>1</v>
      </c>
      <c r="F493" t="str">
        <f t="shared" si="42"/>
        <v>Saturday</v>
      </c>
      <c r="G493" t="s">
        <v>1806</v>
      </c>
      <c r="H493">
        <v>2</v>
      </c>
      <c r="I493">
        <f t="shared" si="39"/>
        <v>9</v>
      </c>
      <c r="J493">
        <f t="shared" si="38"/>
        <v>51</v>
      </c>
    </row>
    <row r="494" spans="1:10" x14ac:dyDescent="0.2">
      <c r="A494">
        <v>493</v>
      </c>
      <c r="B494" s="23">
        <v>45284</v>
      </c>
      <c r="C494">
        <f t="shared" si="40"/>
        <v>1</v>
      </c>
      <c r="D494">
        <v>1</v>
      </c>
      <c r="E494">
        <f t="shared" si="41"/>
        <v>1</v>
      </c>
      <c r="F494" t="str">
        <f t="shared" si="42"/>
        <v>Sunday</v>
      </c>
      <c r="G494" t="s">
        <v>1806</v>
      </c>
      <c r="H494">
        <v>2</v>
      </c>
      <c r="I494">
        <f t="shared" si="39"/>
        <v>9</v>
      </c>
      <c r="J494">
        <f t="shared" si="38"/>
        <v>51</v>
      </c>
    </row>
    <row r="495" spans="1:10" x14ac:dyDescent="0.2">
      <c r="A495">
        <v>494</v>
      </c>
      <c r="B495" s="23">
        <v>45285</v>
      </c>
      <c r="C495">
        <f t="shared" si="40"/>
        <v>0</v>
      </c>
      <c r="D495">
        <v>1</v>
      </c>
      <c r="E495">
        <f t="shared" si="41"/>
        <v>1</v>
      </c>
      <c r="F495" t="str">
        <f t="shared" si="42"/>
        <v>Monday</v>
      </c>
      <c r="G495" t="s">
        <v>1806</v>
      </c>
      <c r="H495">
        <v>2</v>
      </c>
      <c r="I495">
        <f t="shared" si="39"/>
        <v>10</v>
      </c>
      <c r="J495">
        <f t="shared" si="38"/>
        <v>52</v>
      </c>
    </row>
    <row r="496" spans="1:10" x14ac:dyDescent="0.2">
      <c r="A496">
        <v>495</v>
      </c>
      <c r="B496" s="23">
        <v>45286</v>
      </c>
      <c r="C496">
        <f t="shared" si="40"/>
        <v>0</v>
      </c>
      <c r="D496">
        <v>1</v>
      </c>
      <c r="E496">
        <f t="shared" si="41"/>
        <v>1</v>
      </c>
      <c r="F496" t="str">
        <f t="shared" si="42"/>
        <v>Tuesday</v>
      </c>
      <c r="G496" t="s">
        <v>1806</v>
      </c>
      <c r="H496">
        <v>2</v>
      </c>
      <c r="I496">
        <f t="shared" si="39"/>
        <v>10</v>
      </c>
      <c r="J496">
        <f t="shared" si="38"/>
        <v>52</v>
      </c>
    </row>
    <row r="497" spans="1:10" x14ac:dyDescent="0.2">
      <c r="A497">
        <v>496</v>
      </c>
      <c r="B497" s="23">
        <v>45287</v>
      </c>
      <c r="C497">
        <f t="shared" si="40"/>
        <v>0</v>
      </c>
      <c r="D497">
        <v>1</v>
      </c>
      <c r="E497">
        <f t="shared" si="41"/>
        <v>1</v>
      </c>
      <c r="F497" t="str">
        <f t="shared" si="42"/>
        <v>Wednesday</v>
      </c>
      <c r="G497" t="s">
        <v>1806</v>
      </c>
      <c r="H497">
        <v>2</v>
      </c>
      <c r="I497">
        <f t="shared" si="39"/>
        <v>10</v>
      </c>
      <c r="J497">
        <f t="shared" si="38"/>
        <v>52</v>
      </c>
    </row>
    <row r="498" spans="1:10" x14ac:dyDescent="0.2">
      <c r="A498">
        <v>497</v>
      </c>
      <c r="B498" s="23">
        <v>45288</v>
      </c>
      <c r="C498">
        <f t="shared" si="40"/>
        <v>0</v>
      </c>
      <c r="D498">
        <v>1</v>
      </c>
      <c r="E498">
        <f t="shared" si="41"/>
        <v>1</v>
      </c>
      <c r="F498" t="str">
        <f t="shared" si="42"/>
        <v>Thursday</v>
      </c>
      <c r="G498" t="s">
        <v>1806</v>
      </c>
      <c r="H498">
        <v>2</v>
      </c>
      <c r="I498">
        <f t="shared" si="39"/>
        <v>10</v>
      </c>
      <c r="J498">
        <f t="shared" si="38"/>
        <v>52</v>
      </c>
    </row>
    <row r="499" spans="1:10" x14ac:dyDescent="0.2">
      <c r="A499">
        <v>498</v>
      </c>
      <c r="B499" s="23">
        <v>45289</v>
      </c>
      <c r="C499">
        <f t="shared" si="40"/>
        <v>0</v>
      </c>
      <c r="D499">
        <v>1</v>
      </c>
      <c r="E499">
        <f t="shared" si="41"/>
        <v>1</v>
      </c>
      <c r="F499" t="str">
        <f t="shared" si="42"/>
        <v>Friday</v>
      </c>
      <c r="G499" t="s">
        <v>1806</v>
      </c>
      <c r="H499">
        <v>2</v>
      </c>
      <c r="I499">
        <f t="shared" si="39"/>
        <v>10</v>
      </c>
      <c r="J499">
        <f t="shared" si="38"/>
        <v>52</v>
      </c>
    </row>
    <row r="500" spans="1:10" x14ac:dyDescent="0.2">
      <c r="A500">
        <v>499</v>
      </c>
      <c r="B500" s="23">
        <v>45290</v>
      </c>
      <c r="C500">
        <f t="shared" si="40"/>
        <v>1</v>
      </c>
      <c r="D500">
        <v>1</v>
      </c>
      <c r="E500">
        <f t="shared" si="41"/>
        <v>1</v>
      </c>
      <c r="F500" t="str">
        <f t="shared" si="42"/>
        <v>Saturday</v>
      </c>
      <c r="G500" t="s">
        <v>1806</v>
      </c>
      <c r="H500">
        <v>2</v>
      </c>
      <c r="I500">
        <f t="shared" si="39"/>
        <v>10</v>
      </c>
      <c r="J500">
        <f t="shared" si="38"/>
        <v>52</v>
      </c>
    </row>
    <row r="501" spans="1:10" x14ac:dyDescent="0.2">
      <c r="A501">
        <v>500</v>
      </c>
      <c r="B501" s="23">
        <v>45291</v>
      </c>
      <c r="C501">
        <f t="shared" si="40"/>
        <v>1</v>
      </c>
      <c r="D501">
        <v>1</v>
      </c>
      <c r="E501">
        <f t="shared" si="41"/>
        <v>1</v>
      </c>
      <c r="F501" t="str">
        <f t="shared" si="42"/>
        <v>Sunday</v>
      </c>
      <c r="G501" t="s">
        <v>1806</v>
      </c>
      <c r="H501">
        <v>2</v>
      </c>
      <c r="I501">
        <f t="shared" si="39"/>
        <v>10</v>
      </c>
      <c r="J501">
        <f t="shared" si="38"/>
        <v>52</v>
      </c>
    </row>
    <row r="502" spans="1:10" x14ac:dyDescent="0.2">
      <c r="A502">
        <v>501</v>
      </c>
      <c r="B502" s="23">
        <v>45292</v>
      </c>
      <c r="C502">
        <f t="shared" si="40"/>
        <v>0</v>
      </c>
      <c r="D502">
        <v>1</v>
      </c>
      <c r="E502">
        <f t="shared" si="41"/>
        <v>1</v>
      </c>
      <c r="F502" t="str">
        <f t="shared" si="42"/>
        <v>Monday</v>
      </c>
      <c r="G502" t="s">
        <v>1806</v>
      </c>
      <c r="H502">
        <v>2</v>
      </c>
      <c r="I502">
        <f t="shared" si="39"/>
        <v>10</v>
      </c>
      <c r="J502">
        <f t="shared" si="38"/>
        <v>1</v>
      </c>
    </row>
    <row r="503" spans="1:10" x14ac:dyDescent="0.2">
      <c r="A503">
        <v>502</v>
      </c>
      <c r="B503" s="23">
        <v>45293</v>
      </c>
      <c r="C503">
        <f t="shared" si="40"/>
        <v>0</v>
      </c>
      <c r="D503">
        <v>1</v>
      </c>
      <c r="E503">
        <f t="shared" si="41"/>
        <v>1</v>
      </c>
      <c r="F503" t="str">
        <f t="shared" si="42"/>
        <v>Tuesday</v>
      </c>
      <c r="G503" t="s">
        <v>1806</v>
      </c>
      <c r="H503">
        <v>2</v>
      </c>
      <c r="I503">
        <f t="shared" si="39"/>
        <v>10</v>
      </c>
      <c r="J503">
        <f t="shared" si="38"/>
        <v>1</v>
      </c>
    </row>
    <row r="504" spans="1:10" x14ac:dyDescent="0.2">
      <c r="A504">
        <v>503</v>
      </c>
      <c r="B504" s="23">
        <v>45294</v>
      </c>
      <c r="C504">
        <f t="shared" si="40"/>
        <v>0</v>
      </c>
      <c r="D504">
        <v>1</v>
      </c>
      <c r="E504">
        <f t="shared" si="41"/>
        <v>1</v>
      </c>
      <c r="F504" t="str">
        <f t="shared" si="42"/>
        <v>Wednesday</v>
      </c>
      <c r="G504" t="s">
        <v>1806</v>
      </c>
      <c r="H504">
        <v>2</v>
      </c>
      <c r="I504">
        <f t="shared" si="39"/>
        <v>10</v>
      </c>
      <c r="J504">
        <f t="shared" si="38"/>
        <v>1</v>
      </c>
    </row>
    <row r="505" spans="1:10" x14ac:dyDescent="0.2">
      <c r="A505">
        <v>504</v>
      </c>
      <c r="B505" s="23">
        <v>45295</v>
      </c>
      <c r="C505">
        <f t="shared" si="40"/>
        <v>0</v>
      </c>
      <c r="D505">
        <v>1</v>
      </c>
      <c r="E505">
        <f t="shared" si="41"/>
        <v>1</v>
      </c>
      <c r="F505" t="str">
        <f t="shared" si="42"/>
        <v>Thursday</v>
      </c>
      <c r="G505" t="s">
        <v>1806</v>
      </c>
      <c r="H505">
        <v>2</v>
      </c>
      <c r="I505">
        <f t="shared" si="39"/>
        <v>10</v>
      </c>
      <c r="J505">
        <f t="shared" si="38"/>
        <v>1</v>
      </c>
    </row>
    <row r="506" spans="1:10" x14ac:dyDescent="0.2">
      <c r="A506">
        <v>505</v>
      </c>
      <c r="B506" s="23">
        <v>45296</v>
      </c>
      <c r="C506">
        <f t="shared" si="40"/>
        <v>0</v>
      </c>
      <c r="D506">
        <v>1</v>
      </c>
      <c r="E506">
        <f t="shared" si="41"/>
        <v>1</v>
      </c>
      <c r="F506" t="str">
        <f t="shared" si="42"/>
        <v>Friday</v>
      </c>
      <c r="G506" t="s">
        <v>1806</v>
      </c>
      <c r="H506">
        <v>2</v>
      </c>
      <c r="I506">
        <f t="shared" si="39"/>
        <v>10</v>
      </c>
      <c r="J506">
        <f t="shared" si="38"/>
        <v>1</v>
      </c>
    </row>
    <row r="507" spans="1:10" x14ac:dyDescent="0.2">
      <c r="A507">
        <v>506</v>
      </c>
      <c r="B507" s="23">
        <v>45297</v>
      </c>
      <c r="C507">
        <f t="shared" si="40"/>
        <v>1</v>
      </c>
      <c r="D507">
        <v>1</v>
      </c>
      <c r="E507">
        <f t="shared" si="41"/>
        <v>1</v>
      </c>
      <c r="F507" t="str">
        <f t="shared" si="42"/>
        <v>Saturday</v>
      </c>
      <c r="G507" t="s">
        <v>1806</v>
      </c>
      <c r="H507">
        <v>2</v>
      </c>
      <c r="I507">
        <f t="shared" si="39"/>
        <v>10</v>
      </c>
      <c r="J507">
        <f t="shared" si="38"/>
        <v>1</v>
      </c>
    </row>
    <row r="508" spans="1:10" x14ac:dyDescent="0.2">
      <c r="A508">
        <v>507</v>
      </c>
      <c r="B508" s="23">
        <v>45298</v>
      </c>
      <c r="C508">
        <f t="shared" si="40"/>
        <v>1</v>
      </c>
      <c r="D508">
        <v>1</v>
      </c>
      <c r="E508">
        <f t="shared" si="41"/>
        <v>1</v>
      </c>
      <c r="F508" t="str">
        <f t="shared" si="42"/>
        <v>Sunday</v>
      </c>
      <c r="G508" t="s">
        <v>1806</v>
      </c>
      <c r="H508">
        <v>2</v>
      </c>
      <c r="I508">
        <f t="shared" si="39"/>
        <v>10</v>
      </c>
      <c r="J508">
        <f t="shared" si="38"/>
        <v>1</v>
      </c>
    </row>
    <row r="509" spans="1:10" x14ac:dyDescent="0.2">
      <c r="A509">
        <v>508</v>
      </c>
      <c r="B509" s="23">
        <v>45299</v>
      </c>
      <c r="C509">
        <f t="shared" si="40"/>
        <v>0</v>
      </c>
      <c r="D509">
        <v>1</v>
      </c>
      <c r="E509">
        <f t="shared" si="41"/>
        <v>1</v>
      </c>
      <c r="F509" t="str">
        <f t="shared" si="42"/>
        <v>Monday</v>
      </c>
      <c r="G509" t="s">
        <v>1805</v>
      </c>
      <c r="H509">
        <v>3</v>
      </c>
      <c r="I509">
        <f t="shared" si="39"/>
        <v>1</v>
      </c>
      <c r="J509">
        <f t="shared" si="38"/>
        <v>2</v>
      </c>
    </row>
    <row r="510" spans="1:10" x14ac:dyDescent="0.2">
      <c r="A510">
        <v>509</v>
      </c>
      <c r="B510" s="23">
        <v>45300</v>
      </c>
      <c r="C510">
        <f t="shared" si="40"/>
        <v>0</v>
      </c>
      <c r="D510">
        <v>0</v>
      </c>
      <c r="E510">
        <f t="shared" si="41"/>
        <v>0</v>
      </c>
      <c r="F510" t="str">
        <f t="shared" si="42"/>
        <v>Tuesday</v>
      </c>
      <c r="H510">
        <v>3</v>
      </c>
      <c r="I510">
        <f t="shared" si="39"/>
        <v>1</v>
      </c>
      <c r="J510">
        <f t="shared" si="38"/>
        <v>2</v>
      </c>
    </row>
    <row r="511" spans="1:10" x14ac:dyDescent="0.2">
      <c r="A511">
        <v>510</v>
      </c>
      <c r="B511" s="23">
        <v>45301</v>
      </c>
      <c r="C511">
        <f t="shared" si="40"/>
        <v>0</v>
      </c>
      <c r="D511">
        <v>0</v>
      </c>
      <c r="E511">
        <f t="shared" si="41"/>
        <v>0</v>
      </c>
      <c r="F511" t="str">
        <f t="shared" si="42"/>
        <v>Wednesday</v>
      </c>
      <c r="H511">
        <v>3</v>
      </c>
      <c r="I511">
        <f t="shared" si="39"/>
        <v>1</v>
      </c>
      <c r="J511">
        <f t="shared" si="38"/>
        <v>2</v>
      </c>
    </row>
    <row r="512" spans="1:10" x14ac:dyDescent="0.2">
      <c r="A512">
        <v>511</v>
      </c>
      <c r="B512" s="23">
        <v>45302</v>
      </c>
      <c r="C512">
        <f t="shared" si="40"/>
        <v>0</v>
      </c>
      <c r="D512">
        <v>0</v>
      </c>
      <c r="E512">
        <f t="shared" si="41"/>
        <v>0</v>
      </c>
      <c r="F512" t="str">
        <f t="shared" si="42"/>
        <v>Thursday</v>
      </c>
      <c r="H512">
        <v>3</v>
      </c>
      <c r="I512">
        <f t="shared" si="39"/>
        <v>1</v>
      </c>
      <c r="J512">
        <f t="shared" si="38"/>
        <v>2</v>
      </c>
    </row>
    <row r="513" spans="1:10" x14ac:dyDescent="0.2">
      <c r="A513">
        <v>512</v>
      </c>
      <c r="B513" s="23">
        <v>45303</v>
      </c>
      <c r="C513">
        <f t="shared" si="40"/>
        <v>0</v>
      </c>
      <c r="D513">
        <v>0</v>
      </c>
      <c r="E513">
        <f t="shared" si="41"/>
        <v>0</v>
      </c>
      <c r="F513" t="str">
        <f t="shared" si="42"/>
        <v>Friday</v>
      </c>
      <c r="H513">
        <v>3</v>
      </c>
      <c r="I513">
        <f t="shared" si="39"/>
        <v>1</v>
      </c>
      <c r="J513">
        <f t="shared" si="38"/>
        <v>2</v>
      </c>
    </row>
    <row r="514" spans="1:10" x14ac:dyDescent="0.2">
      <c r="A514">
        <v>513</v>
      </c>
      <c r="B514" s="23">
        <v>45304</v>
      </c>
      <c r="C514">
        <f t="shared" si="40"/>
        <v>1</v>
      </c>
      <c r="D514">
        <v>0</v>
      </c>
      <c r="E514">
        <f t="shared" si="41"/>
        <v>1</v>
      </c>
      <c r="F514" t="str">
        <f t="shared" si="42"/>
        <v>Saturday</v>
      </c>
      <c r="H514">
        <v>3</v>
      </c>
      <c r="I514">
        <f t="shared" si="39"/>
        <v>1</v>
      </c>
      <c r="J514">
        <f t="shared" si="38"/>
        <v>2</v>
      </c>
    </row>
    <row r="515" spans="1:10" x14ac:dyDescent="0.2">
      <c r="A515">
        <v>514</v>
      </c>
      <c r="B515" s="23">
        <v>45305</v>
      </c>
      <c r="C515">
        <f t="shared" si="40"/>
        <v>1</v>
      </c>
      <c r="D515">
        <v>0</v>
      </c>
      <c r="E515">
        <f t="shared" si="41"/>
        <v>1</v>
      </c>
      <c r="F515" t="str">
        <f t="shared" si="42"/>
        <v>Sunday</v>
      </c>
      <c r="H515">
        <v>3</v>
      </c>
      <c r="I515">
        <f t="shared" si="39"/>
        <v>1</v>
      </c>
      <c r="J515">
        <f t="shared" ref="J515:J578" si="43">_xlfn.ISOWEEKNUM(B515)</f>
        <v>2</v>
      </c>
    </row>
    <row r="516" spans="1:10" x14ac:dyDescent="0.2">
      <c r="A516">
        <v>515</v>
      </c>
      <c r="B516" s="23">
        <v>45306</v>
      </c>
      <c r="C516">
        <f t="shared" si="40"/>
        <v>0</v>
      </c>
      <c r="D516">
        <v>0</v>
      </c>
      <c r="E516">
        <f t="shared" si="41"/>
        <v>0</v>
      </c>
      <c r="F516" t="str">
        <f t="shared" si="42"/>
        <v>Monday</v>
      </c>
      <c r="H516">
        <v>3</v>
      </c>
      <c r="I516">
        <f t="shared" si="39"/>
        <v>2</v>
      </c>
      <c r="J516">
        <f t="shared" si="43"/>
        <v>3</v>
      </c>
    </row>
    <row r="517" spans="1:10" x14ac:dyDescent="0.2">
      <c r="A517">
        <v>516</v>
      </c>
      <c r="B517" s="23">
        <v>45307</v>
      </c>
      <c r="C517">
        <f t="shared" si="40"/>
        <v>0</v>
      </c>
      <c r="D517">
        <v>0</v>
      </c>
      <c r="E517">
        <f t="shared" si="41"/>
        <v>0</v>
      </c>
      <c r="F517" t="str">
        <f t="shared" si="42"/>
        <v>Tuesday</v>
      </c>
      <c r="H517">
        <v>3</v>
      </c>
      <c r="I517">
        <f t="shared" si="39"/>
        <v>2</v>
      </c>
      <c r="J517">
        <f t="shared" si="43"/>
        <v>3</v>
      </c>
    </row>
    <row r="518" spans="1:10" x14ac:dyDescent="0.2">
      <c r="A518">
        <v>517</v>
      </c>
      <c r="B518" s="23">
        <v>45308</v>
      </c>
      <c r="C518">
        <f t="shared" si="40"/>
        <v>0</v>
      </c>
      <c r="D518">
        <v>0</v>
      </c>
      <c r="E518">
        <f t="shared" si="41"/>
        <v>0</v>
      </c>
      <c r="F518" t="str">
        <f t="shared" si="42"/>
        <v>Wednesday</v>
      </c>
      <c r="H518">
        <v>3</v>
      </c>
      <c r="I518">
        <f t="shared" ref="I518:I581" si="44">IF(J518&gt;J517, IF(H518&lt;&gt;H517,1, I517+1),I517)</f>
        <v>2</v>
      </c>
      <c r="J518">
        <f t="shared" si="43"/>
        <v>3</v>
      </c>
    </row>
    <row r="519" spans="1:10" x14ac:dyDescent="0.2">
      <c r="A519">
        <v>518</v>
      </c>
      <c r="B519" s="23">
        <v>45309</v>
      </c>
      <c r="C519">
        <f t="shared" si="40"/>
        <v>0</v>
      </c>
      <c r="D519">
        <v>0</v>
      </c>
      <c r="E519">
        <f t="shared" si="41"/>
        <v>0</v>
      </c>
      <c r="F519" t="str">
        <f t="shared" si="42"/>
        <v>Thursday</v>
      </c>
      <c r="H519">
        <v>3</v>
      </c>
      <c r="I519">
        <f t="shared" si="44"/>
        <v>2</v>
      </c>
      <c r="J519">
        <f t="shared" si="43"/>
        <v>3</v>
      </c>
    </row>
    <row r="520" spans="1:10" x14ac:dyDescent="0.2">
      <c r="A520">
        <v>519</v>
      </c>
      <c r="B520" s="23">
        <v>45310</v>
      </c>
      <c r="C520">
        <f t="shared" si="40"/>
        <v>0</v>
      </c>
      <c r="D520">
        <v>0</v>
      </c>
      <c r="E520">
        <f t="shared" si="41"/>
        <v>0</v>
      </c>
      <c r="F520" t="str">
        <f t="shared" si="42"/>
        <v>Friday</v>
      </c>
      <c r="H520">
        <v>3</v>
      </c>
      <c r="I520">
        <f t="shared" si="44"/>
        <v>2</v>
      </c>
      <c r="J520">
        <f t="shared" si="43"/>
        <v>3</v>
      </c>
    </row>
    <row r="521" spans="1:10" x14ac:dyDescent="0.2">
      <c r="A521">
        <v>520</v>
      </c>
      <c r="B521" s="23">
        <v>45311</v>
      </c>
      <c r="C521">
        <f t="shared" si="40"/>
        <v>1</v>
      </c>
      <c r="D521">
        <v>0</v>
      </c>
      <c r="E521">
        <f t="shared" si="41"/>
        <v>1</v>
      </c>
      <c r="F521" t="str">
        <f t="shared" si="42"/>
        <v>Saturday</v>
      </c>
      <c r="H521">
        <v>3</v>
      </c>
      <c r="I521">
        <f t="shared" si="44"/>
        <v>2</v>
      </c>
      <c r="J521">
        <f t="shared" si="43"/>
        <v>3</v>
      </c>
    </row>
    <row r="522" spans="1:10" x14ac:dyDescent="0.2">
      <c r="A522">
        <v>521</v>
      </c>
      <c r="B522" s="23">
        <v>45312</v>
      </c>
      <c r="C522">
        <f t="shared" si="40"/>
        <v>1</v>
      </c>
      <c r="D522">
        <v>0</v>
      </c>
      <c r="E522">
        <f t="shared" si="41"/>
        <v>1</v>
      </c>
      <c r="F522" t="str">
        <f t="shared" si="42"/>
        <v>Sunday</v>
      </c>
      <c r="H522">
        <v>3</v>
      </c>
      <c r="I522">
        <f t="shared" si="44"/>
        <v>2</v>
      </c>
      <c r="J522">
        <f t="shared" si="43"/>
        <v>3</v>
      </c>
    </row>
    <row r="523" spans="1:10" x14ac:dyDescent="0.2">
      <c r="A523">
        <v>522</v>
      </c>
      <c r="B523" s="23">
        <v>45313</v>
      </c>
      <c r="C523">
        <f t="shared" si="40"/>
        <v>0</v>
      </c>
      <c r="D523">
        <v>0</v>
      </c>
      <c r="E523">
        <f t="shared" si="41"/>
        <v>0</v>
      </c>
      <c r="F523" t="str">
        <f t="shared" si="42"/>
        <v>Monday</v>
      </c>
      <c r="H523">
        <v>3</v>
      </c>
      <c r="I523">
        <f t="shared" si="44"/>
        <v>3</v>
      </c>
      <c r="J523">
        <f t="shared" si="43"/>
        <v>4</v>
      </c>
    </row>
    <row r="524" spans="1:10" x14ac:dyDescent="0.2">
      <c r="A524">
        <v>523</v>
      </c>
      <c r="B524" s="23">
        <v>45314</v>
      </c>
      <c r="C524">
        <f t="shared" si="40"/>
        <v>0</v>
      </c>
      <c r="D524">
        <v>0</v>
      </c>
      <c r="E524">
        <f t="shared" si="41"/>
        <v>0</v>
      </c>
      <c r="F524" t="str">
        <f t="shared" si="42"/>
        <v>Tuesday</v>
      </c>
      <c r="H524">
        <v>3</v>
      </c>
      <c r="I524">
        <f t="shared" si="44"/>
        <v>3</v>
      </c>
      <c r="J524">
        <f t="shared" si="43"/>
        <v>4</v>
      </c>
    </row>
    <row r="525" spans="1:10" x14ac:dyDescent="0.2">
      <c r="A525">
        <v>524</v>
      </c>
      <c r="B525" s="23">
        <v>45315</v>
      </c>
      <c r="C525">
        <f t="shared" ref="C525:C588" si="45">IF(OR(WEEKDAY(B525) = 7, WEEKDAY(B525) = 1), 1, 0)</f>
        <v>0</v>
      </c>
      <c r="D525">
        <v>0</v>
      </c>
      <c r="E525">
        <f t="shared" ref="E525:E588" si="46">IF((C525+D525)&gt;0, 1, 0)</f>
        <v>0</v>
      </c>
      <c r="F525" t="str">
        <f t="shared" ref="F525:F588" si="47">TEXT(B525, "dddd")</f>
        <v>Wednesday</v>
      </c>
      <c r="H525">
        <v>3</v>
      </c>
      <c r="I525">
        <f t="shared" si="44"/>
        <v>3</v>
      </c>
      <c r="J525">
        <f t="shared" si="43"/>
        <v>4</v>
      </c>
    </row>
    <row r="526" spans="1:10" x14ac:dyDescent="0.2">
      <c r="A526">
        <v>525</v>
      </c>
      <c r="B526" s="23">
        <v>45316</v>
      </c>
      <c r="C526">
        <f t="shared" si="45"/>
        <v>0</v>
      </c>
      <c r="D526">
        <v>0</v>
      </c>
      <c r="E526">
        <f t="shared" si="46"/>
        <v>0</v>
      </c>
      <c r="F526" t="str">
        <f t="shared" si="47"/>
        <v>Thursday</v>
      </c>
      <c r="H526">
        <v>3</v>
      </c>
      <c r="I526">
        <f t="shared" si="44"/>
        <v>3</v>
      </c>
      <c r="J526">
        <f t="shared" si="43"/>
        <v>4</v>
      </c>
    </row>
    <row r="527" spans="1:10" x14ac:dyDescent="0.2">
      <c r="A527">
        <v>526</v>
      </c>
      <c r="B527" s="23">
        <v>45317</v>
      </c>
      <c r="C527">
        <f t="shared" si="45"/>
        <v>0</v>
      </c>
      <c r="D527">
        <v>0</v>
      </c>
      <c r="E527">
        <f t="shared" si="46"/>
        <v>0</v>
      </c>
      <c r="F527" t="str">
        <f t="shared" si="47"/>
        <v>Friday</v>
      </c>
      <c r="H527">
        <v>3</v>
      </c>
      <c r="I527">
        <f t="shared" si="44"/>
        <v>3</v>
      </c>
      <c r="J527">
        <f t="shared" si="43"/>
        <v>4</v>
      </c>
    </row>
    <row r="528" spans="1:10" x14ac:dyDescent="0.2">
      <c r="A528">
        <v>527</v>
      </c>
      <c r="B528" s="23">
        <v>45318</v>
      </c>
      <c r="C528">
        <f t="shared" si="45"/>
        <v>1</v>
      </c>
      <c r="D528">
        <v>0</v>
      </c>
      <c r="E528">
        <f t="shared" si="46"/>
        <v>1</v>
      </c>
      <c r="F528" t="str">
        <f t="shared" si="47"/>
        <v>Saturday</v>
      </c>
      <c r="H528">
        <v>3</v>
      </c>
      <c r="I528">
        <f t="shared" si="44"/>
        <v>3</v>
      </c>
      <c r="J528">
        <f t="shared" si="43"/>
        <v>4</v>
      </c>
    </row>
    <row r="529" spans="1:10" x14ac:dyDescent="0.2">
      <c r="A529">
        <v>528</v>
      </c>
      <c r="B529" s="23">
        <v>45319</v>
      </c>
      <c r="C529">
        <f t="shared" si="45"/>
        <v>1</v>
      </c>
      <c r="D529">
        <v>0</v>
      </c>
      <c r="E529">
        <f t="shared" si="46"/>
        <v>1</v>
      </c>
      <c r="F529" t="str">
        <f t="shared" si="47"/>
        <v>Sunday</v>
      </c>
      <c r="H529">
        <v>3</v>
      </c>
      <c r="I529">
        <f t="shared" si="44"/>
        <v>3</v>
      </c>
      <c r="J529">
        <f t="shared" si="43"/>
        <v>4</v>
      </c>
    </row>
    <row r="530" spans="1:10" x14ac:dyDescent="0.2">
      <c r="A530">
        <v>529</v>
      </c>
      <c r="B530" s="23">
        <v>45320</v>
      </c>
      <c r="C530">
        <f t="shared" si="45"/>
        <v>0</v>
      </c>
      <c r="D530">
        <v>0</v>
      </c>
      <c r="E530">
        <f t="shared" si="46"/>
        <v>0</v>
      </c>
      <c r="F530" t="str">
        <f t="shared" si="47"/>
        <v>Monday</v>
      </c>
      <c r="H530">
        <v>3</v>
      </c>
      <c r="I530">
        <f t="shared" si="44"/>
        <v>4</v>
      </c>
      <c r="J530">
        <f t="shared" si="43"/>
        <v>5</v>
      </c>
    </row>
    <row r="531" spans="1:10" x14ac:dyDescent="0.2">
      <c r="A531">
        <v>530</v>
      </c>
      <c r="B531" s="23">
        <v>45321</v>
      </c>
      <c r="C531">
        <f t="shared" si="45"/>
        <v>0</v>
      </c>
      <c r="D531">
        <v>0</v>
      </c>
      <c r="E531">
        <f t="shared" si="46"/>
        <v>0</v>
      </c>
      <c r="F531" t="str">
        <f t="shared" si="47"/>
        <v>Tuesday</v>
      </c>
      <c r="H531">
        <v>3</v>
      </c>
      <c r="I531">
        <f t="shared" si="44"/>
        <v>4</v>
      </c>
      <c r="J531">
        <f t="shared" si="43"/>
        <v>5</v>
      </c>
    </row>
    <row r="532" spans="1:10" x14ac:dyDescent="0.2">
      <c r="A532">
        <v>531</v>
      </c>
      <c r="B532" s="23">
        <v>45322</v>
      </c>
      <c r="C532">
        <f t="shared" si="45"/>
        <v>0</v>
      </c>
      <c r="D532">
        <v>0</v>
      </c>
      <c r="E532">
        <f t="shared" si="46"/>
        <v>0</v>
      </c>
      <c r="F532" t="str">
        <f t="shared" si="47"/>
        <v>Wednesday</v>
      </c>
      <c r="H532">
        <v>3</v>
      </c>
      <c r="I532">
        <f t="shared" si="44"/>
        <v>4</v>
      </c>
      <c r="J532">
        <f t="shared" si="43"/>
        <v>5</v>
      </c>
    </row>
    <row r="533" spans="1:10" x14ac:dyDescent="0.2">
      <c r="A533">
        <v>532</v>
      </c>
      <c r="B533" s="23">
        <v>45323</v>
      </c>
      <c r="C533">
        <f t="shared" si="45"/>
        <v>0</v>
      </c>
      <c r="D533">
        <v>0</v>
      </c>
      <c r="E533">
        <f t="shared" si="46"/>
        <v>0</v>
      </c>
      <c r="F533" t="str">
        <f t="shared" si="47"/>
        <v>Thursday</v>
      </c>
      <c r="H533">
        <v>3</v>
      </c>
      <c r="I533">
        <f t="shared" si="44"/>
        <v>4</v>
      </c>
      <c r="J533">
        <f t="shared" si="43"/>
        <v>5</v>
      </c>
    </row>
    <row r="534" spans="1:10" x14ac:dyDescent="0.2">
      <c r="A534">
        <v>533</v>
      </c>
      <c r="B534" s="23">
        <v>45324</v>
      </c>
      <c r="C534">
        <f t="shared" si="45"/>
        <v>0</v>
      </c>
      <c r="D534">
        <v>0</v>
      </c>
      <c r="E534">
        <f t="shared" si="46"/>
        <v>0</v>
      </c>
      <c r="F534" t="str">
        <f t="shared" si="47"/>
        <v>Friday</v>
      </c>
      <c r="H534">
        <v>3</v>
      </c>
      <c r="I534">
        <f t="shared" si="44"/>
        <v>4</v>
      </c>
      <c r="J534">
        <f t="shared" si="43"/>
        <v>5</v>
      </c>
    </row>
    <row r="535" spans="1:10" x14ac:dyDescent="0.2">
      <c r="A535">
        <v>534</v>
      </c>
      <c r="B535" s="23">
        <v>45325</v>
      </c>
      <c r="C535">
        <f t="shared" si="45"/>
        <v>1</v>
      </c>
      <c r="D535">
        <v>0</v>
      </c>
      <c r="E535">
        <f t="shared" si="46"/>
        <v>1</v>
      </c>
      <c r="F535" t="str">
        <f t="shared" si="47"/>
        <v>Saturday</v>
      </c>
      <c r="H535">
        <v>3</v>
      </c>
      <c r="I535">
        <f t="shared" si="44"/>
        <v>4</v>
      </c>
      <c r="J535">
        <f t="shared" si="43"/>
        <v>5</v>
      </c>
    </row>
    <row r="536" spans="1:10" x14ac:dyDescent="0.2">
      <c r="A536">
        <v>535</v>
      </c>
      <c r="B536" s="23">
        <v>45326</v>
      </c>
      <c r="C536">
        <f t="shared" si="45"/>
        <v>1</v>
      </c>
      <c r="D536">
        <v>0</v>
      </c>
      <c r="E536">
        <f t="shared" si="46"/>
        <v>1</v>
      </c>
      <c r="F536" t="str">
        <f t="shared" si="47"/>
        <v>Sunday</v>
      </c>
      <c r="H536">
        <v>3</v>
      </c>
      <c r="I536">
        <f t="shared" si="44"/>
        <v>4</v>
      </c>
      <c r="J536">
        <f t="shared" si="43"/>
        <v>5</v>
      </c>
    </row>
    <row r="537" spans="1:10" x14ac:dyDescent="0.2">
      <c r="A537">
        <v>536</v>
      </c>
      <c r="B537" s="23">
        <v>45327</v>
      </c>
      <c r="C537">
        <f t="shared" si="45"/>
        <v>0</v>
      </c>
      <c r="D537">
        <v>0</v>
      </c>
      <c r="E537">
        <f t="shared" si="46"/>
        <v>0</v>
      </c>
      <c r="F537" t="str">
        <f t="shared" si="47"/>
        <v>Monday</v>
      </c>
      <c r="H537">
        <v>3</v>
      </c>
      <c r="I537">
        <f t="shared" si="44"/>
        <v>5</v>
      </c>
      <c r="J537">
        <f t="shared" si="43"/>
        <v>6</v>
      </c>
    </row>
    <row r="538" spans="1:10" x14ac:dyDescent="0.2">
      <c r="A538">
        <v>537</v>
      </c>
      <c r="B538" s="23">
        <v>45328</v>
      </c>
      <c r="C538">
        <f t="shared" si="45"/>
        <v>0</v>
      </c>
      <c r="D538">
        <v>0</v>
      </c>
      <c r="E538">
        <f t="shared" si="46"/>
        <v>0</v>
      </c>
      <c r="F538" t="str">
        <f t="shared" si="47"/>
        <v>Tuesday</v>
      </c>
      <c r="H538">
        <v>3</v>
      </c>
      <c r="I538">
        <f t="shared" si="44"/>
        <v>5</v>
      </c>
      <c r="J538">
        <f t="shared" si="43"/>
        <v>6</v>
      </c>
    </row>
    <row r="539" spans="1:10" x14ac:dyDescent="0.2">
      <c r="A539">
        <v>538</v>
      </c>
      <c r="B539" s="23">
        <v>45329</v>
      </c>
      <c r="C539">
        <f t="shared" si="45"/>
        <v>0</v>
      </c>
      <c r="D539">
        <v>0</v>
      </c>
      <c r="E539">
        <f t="shared" si="46"/>
        <v>0</v>
      </c>
      <c r="F539" t="str">
        <f t="shared" si="47"/>
        <v>Wednesday</v>
      </c>
      <c r="H539">
        <v>3</v>
      </c>
      <c r="I539">
        <f t="shared" si="44"/>
        <v>5</v>
      </c>
      <c r="J539">
        <f t="shared" si="43"/>
        <v>6</v>
      </c>
    </row>
    <row r="540" spans="1:10" x14ac:dyDescent="0.2">
      <c r="A540">
        <v>539</v>
      </c>
      <c r="B540" s="23">
        <v>45330</v>
      </c>
      <c r="C540">
        <f t="shared" si="45"/>
        <v>0</v>
      </c>
      <c r="D540">
        <v>0</v>
      </c>
      <c r="E540">
        <f t="shared" si="46"/>
        <v>0</v>
      </c>
      <c r="F540" t="str">
        <f t="shared" si="47"/>
        <v>Thursday</v>
      </c>
      <c r="H540">
        <v>3</v>
      </c>
      <c r="I540">
        <f t="shared" si="44"/>
        <v>5</v>
      </c>
      <c r="J540">
        <f t="shared" si="43"/>
        <v>6</v>
      </c>
    </row>
    <row r="541" spans="1:10" x14ac:dyDescent="0.2">
      <c r="A541">
        <v>540</v>
      </c>
      <c r="B541" s="23">
        <v>45331</v>
      </c>
      <c r="C541">
        <f t="shared" si="45"/>
        <v>0</v>
      </c>
      <c r="D541">
        <v>0</v>
      </c>
      <c r="E541">
        <f t="shared" si="46"/>
        <v>0</v>
      </c>
      <c r="F541" t="str">
        <f t="shared" si="47"/>
        <v>Friday</v>
      </c>
      <c r="H541">
        <v>3</v>
      </c>
      <c r="I541">
        <f t="shared" si="44"/>
        <v>5</v>
      </c>
      <c r="J541">
        <f t="shared" si="43"/>
        <v>6</v>
      </c>
    </row>
    <row r="542" spans="1:10" x14ac:dyDescent="0.2">
      <c r="A542">
        <v>541</v>
      </c>
      <c r="B542" s="23">
        <v>45332</v>
      </c>
      <c r="C542">
        <f t="shared" si="45"/>
        <v>1</v>
      </c>
      <c r="D542">
        <v>0</v>
      </c>
      <c r="E542">
        <f t="shared" si="46"/>
        <v>1</v>
      </c>
      <c r="F542" t="str">
        <f t="shared" si="47"/>
        <v>Saturday</v>
      </c>
      <c r="H542">
        <v>3</v>
      </c>
      <c r="I542">
        <f t="shared" si="44"/>
        <v>5</v>
      </c>
      <c r="J542">
        <f t="shared" si="43"/>
        <v>6</v>
      </c>
    </row>
    <row r="543" spans="1:10" x14ac:dyDescent="0.2">
      <c r="A543">
        <v>542</v>
      </c>
      <c r="B543" s="23">
        <v>45333</v>
      </c>
      <c r="C543">
        <f t="shared" si="45"/>
        <v>1</v>
      </c>
      <c r="D543">
        <v>0</v>
      </c>
      <c r="E543">
        <f t="shared" si="46"/>
        <v>1</v>
      </c>
      <c r="F543" t="str">
        <f t="shared" si="47"/>
        <v>Sunday</v>
      </c>
      <c r="H543">
        <v>3</v>
      </c>
      <c r="I543">
        <f t="shared" si="44"/>
        <v>5</v>
      </c>
      <c r="J543">
        <f t="shared" si="43"/>
        <v>6</v>
      </c>
    </row>
    <row r="544" spans="1:10" x14ac:dyDescent="0.2">
      <c r="A544">
        <v>543</v>
      </c>
      <c r="B544" s="23">
        <v>45334</v>
      </c>
      <c r="C544">
        <f t="shared" si="45"/>
        <v>0</v>
      </c>
      <c r="D544">
        <v>0</v>
      </c>
      <c r="E544">
        <f t="shared" si="46"/>
        <v>0</v>
      </c>
      <c r="F544" t="str">
        <f t="shared" si="47"/>
        <v>Monday</v>
      </c>
      <c r="H544">
        <v>3</v>
      </c>
      <c r="I544">
        <f t="shared" si="44"/>
        <v>6</v>
      </c>
      <c r="J544">
        <f t="shared" si="43"/>
        <v>7</v>
      </c>
    </row>
    <row r="545" spans="1:10" x14ac:dyDescent="0.2">
      <c r="A545">
        <v>544</v>
      </c>
      <c r="B545" s="23">
        <v>45335</v>
      </c>
      <c r="C545">
        <f t="shared" si="45"/>
        <v>0</v>
      </c>
      <c r="D545">
        <v>0</v>
      </c>
      <c r="E545">
        <f t="shared" si="46"/>
        <v>0</v>
      </c>
      <c r="F545" t="str">
        <f t="shared" si="47"/>
        <v>Tuesday</v>
      </c>
      <c r="H545">
        <v>3</v>
      </c>
      <c r="I545">
        <f t="shared" si="44"/>
        <v>6</v>
      </c>
      <c r="J545">
        <f t="shared" si="43"/>
        <v>7</v>
      </c>
    </row>
    <row r="546" spans="1:10" x14ac:dyDescent="0.2">
      <c r="A546">
        <v>545</v>
      </c>
      <c r="B546" s="23">
        <v>45336</v>
      </c>
      <c r="C546">
        <f t="shared" si="45"/>
        <v>0</v>
      </c>
      <c r="D546">
        <v>0</v>
      </c>
      <c r="E546">
        <f t="shared" si="46"/>
        <v>0</v>
      </c>
      <c r="F546" t="str">
        <f t="shared" si="47"/>
        <v>Wednesday</v>
      </c>
      <c r="H546">
        <v>3</v>
      </c>
      <c r="I546">
        <f t="shared" si="44"/>
        <v>6</v>
      </c>
      <c r="J546">
        <f t="shared" si="43"/>
        <v>7</v>
      </c>
    </row>
    <row r="547" spans="1:10" x14ac:dyDescent="0.2">
      <c r="A547">
        <v>546</v>
      </c>
      <c r="B547" s="23">
        <v>45337</v>
      </c>
      <c r="C547">
        <f t="shared" si="45"/>
        <v>0</v>
      </c>
      <c r="D547">
        <v>0</v>
      </c>
      <c r="E547">
        <f t="shared" si="46"/>
        <v>0</v>
      </c>
      <c r="F547" t="str">
        <f t="shared" si="47"/>
        <v>Thursday</v>
      </c>
      <c r="H547">
        <v>3</v>
      </c>
      <c r="I547">
        <f t="shared" si="44"/>
        <v>6</v>
      </c>
      <c r="J547">
        <f t="shared" si="43"/>
        <v>7</v>
      </c>
    </row>
    <row r="548" spans="1:10" x14ac:dyDescent="0.2">
      <c r="A548">
        <v>547</v>
      </c>
      <c r="B548" s="23">
        <v>45338</v>
      </c>
      <c r="C548">
        <f t="shared" si="45"/>
        <v>0</v>
      </c>
      <c r="D548">
        <v>0</v>
      </c>
      <c r="E548">
        <f t="shared" si="46"/>
        <v>0</v>
      </c>
      <c r="F548" t="str">
        <f t="shared" si="47"/>
        <v>Friday</v>
      </c>
      <c r="H548">
        <v>3</v>
      </c>
      <c r="I548">
        <f t="shared" si="44"/>
        <v>6</v>
      </c>
      <c r="J548">
        <f t="shared" si="43"/>
        <v>7</v>
      </c>
    </row>
    <row r="549" spans="1:10" x14ac:dyDescent="0.2">
      <c r="A549">
        <v>548</v>
      </c>
      <c r="B549" s="23">
        <v>45339</v>
      </c>
      <c r="C549">
        <f t="shared" si="45"/>
        <v>1</v>
      </c>
      <c r="D549">
        <v>1</v>
      </c>
      <c r="E549">
        <f t="shared" si="46"/>
        <v>1</v>
      </c>
      <c r="F549" t="str">
        <f t="shared" si="47"/>
        <v>Saturday</v>
      </c>
      <c r="G549" t="s">
        <v>1807</v>
      </c>
      <c r="H549">
        <v>3</v>
      </c>
      <c r="I549">
        <f t="shared" si="44"/>
        <v>6</v>
      </c>
      <c r="J549">
        <f t="shared" si="43"/>
        <v>7</v>
      </c>
    </row>
    <row r="550" spans="1:10" x14ac:dyDescent="0.2">
      <c r="A550">
        <v>549</v>
      </c>
      <c r="B550" s="23">
        <v>45340</v>
      </c>
      <c r="C550">
        <f t="shared" si="45"/>
        <v>1</v>
      </c>
      <c r="D550">
        <v>1</v>
      </c>
      <c r="E550">
        <f t="shared" si="46"/>
        <v>1</v>
      </c>
      <c r="F550" t="str">
        <f t="shared" si="47"/>
        <v>Sunday</v>
      </c>
      <c r="G550" t="s">
        <v>1807</v>
      </c>
      <c r="H550">
        <v>3</v>
      </c>
      <c r="I550">
        <f t="shared" si="44"/>
        <v>6</v>
      </c>
      <c r="J550">
        <f t="shared" si="43"/>
        <v>7</v>
      </c>
    </row>
    <row r="551" spans="1:10" x14ac:dyDescent="0.2">
      <c r="A551">
        <v>550</v>
      </c>
      <c r="B551" s="23">
        <v>45341</v>
      </c>
      <c r="C551">
        <f t="shared" si="45"/>
        <v>0</v>
      </c>
      <c r="D551">
        <v>1</v>
      </c>
      <c r="E551">
        <f t="shared" si="46"/>
        <v>1</v>
      </c>
      <c r="F551" t="str">
        <f t="shared" si="47"/>
        <v>Monday</v>
      </c>
      <c r="G551" t="s">
        <v>1807</v>
      </c>
      <c r="H551">
        <v>3</v>
      </c>
      <c r="I551">
        <f t="shared" si="44"/>
        <v>7</v>
      </c>
      <c r="J551">
        <f t="shared" si="43"/>
        <v>8</v>
      </c>
    </row>
    <row r="552" spans="1:10" x14ac:dyDescent="0.2">
      <c r="A552">
        <v>551</v>
      </c>
      <c r="B552" s="23">
        <v>45342</v>
      </c>
      <c r="C552">
        <f t="shared" si="45"/>
        <v>0</v>
      </c>
      <c r="D552">
        <v>1</v>
      </c>
      <c r="E552">
        <f t="shared" si="46"/>
        <v>1</v>
      </c>
      <c r="F552" t="str">
        <f t="shared" si="47"/>
        <v>Tuesday</v>
      </c>
      <c r="G552" t="s">
        <v>1807</v>
      </c>
      <c r="H552">
        <v>3</v>
      </c>
      <c r="I552">
        <f t="shared" si="44"/>
        <v>7</v>
      </c>
      <c r="J552">
        <f t="shared" si="43"/>
        <v>8</v>
      </c>
    </row>
    <row r="553" spans="1:10" x14ac:dyDescent="0.2">
      <c r="A553">
        <v>552</v>
      </c>
      <c r="B553" s="23">
        <v>45343</v>
      </c>
      <c r="C553">
        <f t="shared" si="45"/>
        <v>0</v>
      </c>
      <c r="D553">
        <v>1</v>
      </c>
      <c r="E553">
        <f t="shared" si="46"/>
        <v>1</v>
      </c>
      <c r="F553" t="str">
        <f t="shared" si="47"/>
        <v>Wednesday</v>
      </c>
      <c r="G553" t="s">
        <v>1807</v>
      </c>
      <c r="H553">
        <v>3</v>
      </c>
      <c r="I553">
        <f t="shared" si="44"/>
        <v>7</v>
      </c>
      <c r="J553">
        <f t="shared" si="43"/>
        <v>8</v>
      </c>
    </row>
    <row r="554" spans="1:10" x14ac:dyDescent="0.2">
      <c r="A554">
        <v>553</v>
      </c>
      <c r="B554" s="23">
        <v>45344</v>
      </c>
      <c r="C554">
        <f t="shared" si="45"/>
        <v>0</v>
      </c>
      <c r="D554">
        <v>1</v>
      </c>
      <c r="E554">
        <f t="shared" si="46"/>
        <v>1</v>
      </c>
      <c r="F554" t="str">
        <f t="shared" si="47"/>
        <v>Thursday</v>
      </c>
      <c r="G554" t="s">
        <v>1807</v>
      </c>
      <c r="H554">
        <v>3</v>
      </c>
      <c r="I554">
        <f t="shared" si="44"/>
        <v>7</v>
      </c>
      <c r="J554">
        <f t="shared" si="43"/>
        <v>8</v>
      </c>
    </row>
    <row r="555" spans="1:10" x14ac:dyDescent="0.2">
      <c r="A555">
        <v>554</v>
      </c>
      <c r="B555" s="23">
        <v>45345</v>
      </c>
      <c r="C555">
        <f t="shared" si="45"/>
        <v>0</v>
      </c>
      <c r="D555">
        <v>1</v>
      </c>
      <c r="E555">
        <f t="shared" si="46"/>
        <v>1</v>
      </c>
      <c r="F555" t="str">
        <f t="shared" si="47"/>
        <v>Friday</v>
      </c>
      <c r="G555" t="s">
        <v>1807</v>
      </c>
      <c r="H555">
        <v>3</v>
      </c>
      <c r="I555">
        <f t="shared" si="44"/>
        <v>7</v>
      </c>
      <c r="J555">
        <f t="shared" si="43"/>
        <v>8</v>
      </c>
    </row>
    <row r="556" spans="1:10" x14ac:dyDescent="0.2">
      <c r="A556">
        <v>555</v>
      </c>
      <c r="B556" s="23">
        <v>45346</v>
      </c>
      <c r="C556">
        <f t="shared" si="45"/>
        <v>1</v>
      </c>
      <c r="D556">
        <v>1</v>
      </c>
      <c r="E556">
        <f t="shared" si="46"/>
        <v>1</v>
      </c>
      <c r="F556" t="str">
        <f t="shared" si="47"/>
        <v>Saturday</v>
      </c>
      <c r="G556" t="s">
        <v>1807</v>
      </c>
      <c r="H556">
        <v>3</v>
      </c>
      <c r="I556">
        <f t="shared" si="44"/>
        <v>7</v>
      </c>
      <c r="J556">
        <f t="shared" si="43"/>
        <v>8</v>
      </c>
    </row>
    <row r="557" spans="1:10" x14ac:dyDescent="0.2">
      <c r="A557">
        <v>556</v>
      </c>
      <c r="B557" s="23">
        <v>45347</v>
      </c>
      <c r="C557">
        <f t="shared" si="45"/>
        <v>1</v>
      </c>
      <c r="D557">
        <v>1</v>
      </c>
      <c r="E557">
        <f t="shared" si="46"/>
        <v>1</v>
      </c>
      <c r="F557" t="str">
        <f t="shared" si="47"/>
        <v>Sunday</v>
      </c>
      <c r="G557" t="s">
        <v>1807</v>
      </c>
      <c r="H557">
        <v>3</v>
      </c>
      <c r="I557">
        <f t="shared" si="44"/>
        <v>7</v>
      </c>
      <c r="J557">
        <f t="shared" si="43"/>
        <v>8</v>
      </c>
    </row>
    <row r="558" spans="1:10" x14ac:dyDescent="0.2">
      <c r="A558">
        <v>557</v>
      </c>
      <c r="B558" s="23">
        <v>45348</v>
      </c>
      <c r="C558">
        <f t="shared" si="45"/>
        <v>0</v>
      </c>
      <c r="D558">
        <v>0</v>
      </c>
      <c r="E558">
        <f t="shared" si="46"/>
        <v>0</v>
      </c>
      <c r="F558" t="str">
        <f t="shared" si="47"/>
        <v>Monday</v>
      </c>
      <c r="G558" t="s">
        <v>1805</v>
      </c>
      <c r="H558">
        <v>4</v>
      </c>
      <c r="I558">
        <f t="shared" si="44"/>
        <v>1</v>
      </c>
      <c r="J558">
        <f t="shared" si="43"/>
        <v>9</v>
      </c>
    </row>
    <row r="559" spans="1:10" x14ac:dyDescent="0.2">
      <c r="A559">
        <v>558</v>
      </c>
      <c r="B559" s="23">
        <v>45349</v>
      </c>
      <c r="C559">
        <f t="shared" si="45"/>
        <v>0</v>
      </c>
      <c r="D559">
        <v>0</v>
      </c>
      <c r="E559">
        <f t="shared" si="46"/>
        <v>0</v>
      </c>
      <c r="F559" t="str">
        <f t="shared" si="47"/>
        <v>Tuesday</v>
      </c>
      <c r="H559">
        <v>4</v>
      </c>
      <c r="I559">
        <f t="shared" si="44"/>
        <v>1</v>
      </c>
      <c r="J559">
        <f t="shared" si="43"/>
        <v>9</v>
      </c>
    </row>
    <row r="560" spans="1:10" x14ac:dyDescent="0.2">
      <c r="A560">
        <v>559</v>
      </c>
      <c r="B560" s="23">
        <v>45350</v>
      </c>
      <c r="C560">
        <f t="shared" si="45"/>
        <v>0</v>
      </c>
      <c r="D560">
        <v>0</v>
      </c>
      <c r="E560">
        <f t="shared" si="46"/>
        <v>0</v>
      </c>
      <c r="F560" t="str">
        <f t="shared" si="47"/>
        <v>Wednesday</v>
      </c>
      <c r="H560">
        <v>4</v>
      </c>
      <c r="I560">
        <f t="shared" si="44"/>
        <v>1</v>
      </c>
      <c r="J560">
        <f t="shared" si="43"/>
        <v>9</v>
      </c>
    </row>
    <row r="561" spans="1:10" x14ac:dyDescent="0.2">
      <c r="A561">
        <v>560</v>
      </c>
      <c r="B561" s="23">
        <v>45351</v>
      </c>
      <c r="C561">
        <f t="shared" si="45"/>
        <v>0</v>
      </c>
      <c r="D561">
        <v>0</v>
      </c>
      <c r="E561">
        <f t="shared" si="46"/>
        <v>0</v>
      </c>
      <c r="F561" t="str">
        <f t="shared" si="47"/>
        <v>Thursday</v>
      </c>
      <c r="H561">
        <v>4</v>
      </c>
      <c r="I561">
        <f t="shared" si="44"/>
        <v>1</v>
      </c>
      <c r="J561">
        <f t="shared" si="43"/>
        <v>9</v>
      </c>
    </row>
    <row r="562" spans="1:10" x14ac:dyDescent="0.2">
      <c r="A562">
        <v>561</v>
      </c>
      <c r="B562" s="23">
        <v>45352</v>
      </c>
      <c r="C562">
        <f t="shared" si="45"/>
        <v>0</v>
      </c>
      <c r="D562">
        <v>0</v>
      </c>
      <c r="E562">
        <f t="shared" si="46"/>
        <v>0</v>
      </c>
      <c r="F562" t="str">
        <f t="shared" si="47"/>
        <v>Friday</v>
      </c>
      <c r="H562">
        <v>4</v>
      </c>
      <c r="I562">
        <f t="shared" si="44"/>
        <v>1</v>
      </c>
      <c r="J562">
        <f t="shared" si="43"/>
        <v>9</v>
      </c>
    </row>
    <row r="563" spans="1:10" x14ac:dyDescent="0.2">
      <c r="A563">
        <v>562</v>
      </c>
      <c r="B563" s="23">
        <v>45353</v>
      </c>
      <c r="C563">
        <f t="shared" si="45"/>
        <v>1</v>
      </c>
      <c r="D563">
        <v>0</v>
      </c>
      <c r="E563">
        <f t="shared" si="46"/>
        <v>1</v>
      </c>
      <c r="F563" t="str">
        <f t="shared" si="47"/>
        <v>Saturday</v>
      </c>
      <c r="H563">
        <v>4</v>
      </c>
      <c r="I563">
        <f t="shared" si="44"/>
        <v>1</v>
      </c>
      <c r="J563">
        <f t="shared" si="43"/>
        <v>9</v>
      </c>
    </row>
    <row r="564" spans="1:10" x14ac:dyDescent="0.2">
      <c r="A564">
        <v>563</v>
      </c>
      <c r="B564" s="23">
        <v>45354</v>
      </c>
      <c r="C564">
        <f t="shared" si="45"/>
        <v>1</v>
      </c>
      <c r="D564">
        <v>0</v>
      </c>
      <c r="E564">
        <f t="shared" si="46"/>
        <v>1</v>
      </c>
      <c r="F564" t="str">
        <f t="shared" si="47"/>
        <v>Sunday</v>
      </c>
      <c r="H564">
        <v>4</v>
      </c>
      <c r="I564">
        <f t="shared" si="44"/>
        <v>1</v>
      </c>
      <c r="J564">
        <f t="shared" si="43"/>
        <v>9</v>
      </c>
    </row>
    <row r="565" spans="1:10" x14ac:dyDescent="0.2">
      <c r="A565">
        <v>564</v>
      </c>
      <c r="B565" s="23">
        <v>45355</v>
      </c>
      <c r="C565">
        <f t="shared" si="45"/>
        <v>0</v>
      </c>
      <c r="D565">
        <v>0</v>
      </c>
      <c r="E565">
        <f t="shared" si="46"/>
        <v>0</v>
      </c>
      <c r="F565" t="str">
        <f t="shared" si="47"/>
        <v>Monday</v>
      </c>
      <c r="H565">
        <v>4</v>
      </c>
      <c r="I565">
        <f t="shared" si="44"/>
        <v>2</v>
      </c>
      <c r="J565">
        <f t="shared" si="43"/>
        <v>10</v>
      </c>
    </row>
    <row r="566" spans="1:10" x14ac:dyDescent="0.2">
      <c r="A566">
        <v>565</v>
      </c>
      <c r="B566" s="23">
        <v>45356</v>
      </c>
      <c r="C566">
        <f t="shared" si="45"/>
        <v>0</v>
      </c>
      <c r="D566">
        <v>0</v>
      </c>
      <c r="E566">
        <f t="shared" si="46"/>
        <v>0</v>
      </c>
      <c r="F566" t="str">
        <f t="shared" si="47"/>
        <v>Tuesday</v>
      </c>
      <c r="H566">
        <v>4</v>
      </c>
      <c r="I566">
        <f t="shared" si="44"/>
        <v>2</v>
      </c>
      <c r="J566">
        <f t="shared" si="43"/>
        <v>10</v>
      </c>
    </row>
    <row r="567" spans="1:10" x14ac:dyDescent="0.2">
      <c r="A567">
        <v>566</v>
      </c>
      <c r="B567" s="23">
        <v>45357</v>
      </c>
      <c r="C567">
        <f t="shared" si="45"/>
        <v>0</v>
      </c>
      <c r="D567">
        <v>0</v>
      </c>
      <c r="E567">
        <f t="shared" si="46"/>
        <v>0</v>
      </c>
      <c r="F567" t="str">
        <f t="shared" si="47"/>
        <v>Wednesday</v>
      </c>
      <c r="H567">
        <v>4</v>
      </c>
      <c r="I567">
        <f t="shared" si="44"/>
        <v>2</v>
      </c>
      <c r="J567">
        <f t="shared" si="43"/>
        <v>10</v>
      </c>
    </row>
    <row r="568" spans="1:10" x14ac:dyDescent="0.2">
      <c r="A568">
        <v>567</v>
      </c>
      <c r="B568" s="23">
        <v>45358</v>
      </c>
      <c r="C568">
        <f t="shared" si="45"/>
        <v>0</v>
      </c>
      <c r="D568">
        <v>0</v>
      </c>
      <c r="E568">
        <f t="shared" si="46"/>
        <v>0</v>
      </c>
      <c r="F568" t="str">
        <f t="shared" si="47"/>
        <v>Thursday</v>
      </c>
      <c r="H568">
        <v>4</v>
      </c>
      <c r="I568">
        <f t="shared" si="44"/>
        <v>2</v>
      </c>
      <c r="J568">
        <f t="shared" si="43"/>
        <v>10</v>
      </c>
    </row>
    <row r="569" spans="1:10" x14ac:dyDescent="0.2">
      <c r="A569">
        <v>568</v>
      </c>
      <c r="B569" s="23">
        <v>45359</v>
      </c>
      <c r="C569">
        <f t="shared" si="45"/>
        <v>0</v>
      </c>
      <c r="D569">
        <v>0</v>
      </c>
      <c r="E569">
        <f t="shared" si="46"/>
        <v>0</v>
      </c>
      <c r="F569" t="str">
        <f t="shared" si="47"/>
        <v>Friday</v>
      </c>
      <c r="H569">
        <v>4</v>
      </c>
      <c r="I569">
        <f t="shared" si="44"/>
        <v>2</v>
      </c>
      <c r="J569">
        <f t="shared" si="43"/>
        <v>10</v>
      </c>
    </row>
    <row r="570" spans="1:10" x14ac:dyDescent="0.2">
      <c r="A570">
        <v>569</v>
      </c>
      <c r="B570" s="23">
        <v>45360</v>
      </c>
      <c r="C570">
        <f t="shared" si="45"/>
        <v>1</v>
      </c>
      <c r="D570">
        <v>0</v>
      </c>
      <c r="E570">
        <f t="shared" si="46"/>
        <v>1</v>
      </c>
      <c r="F570" t="str">
        <f t="shared" si="47"/>
        <v>Saturday</v>
      </c>
      <c r="H570">
        <v>4</v>
      </c>
      <c r="I570">
        <f t="shared" si="44"/>
        <v>2</v>
      </c>
      <c r="J570">
        <f t="shared" si="43"/>
        <v>10</v>
      </c>
    </row>
    <row r="571" spans="1:10" x14ac:dyDescent="0.2">
      <c r="A571">
        <v>570</v>
      </c>
      <c r="B571" s="23">
        <v>45361</v>
      </c>
      <c r="C571">
        <f t="shared" si="45"/>
        <v>1</v>
      </c>
      <c r="D571">
        <v>0</v>
      </c>
      <c r="E571">
        <f t="shared" si="46"/>
        <v>1</v>
      </c>
      <c r="F571" t="str">
        <f t="shared" si="47"/>
        <v>Sunday</v>
      </c>
      <c r="H571">
        <v>4</v>
      </c>
      <c r="I571">
        <f t="shared" si="44"/>
        <v>2</v>
      </c>
      <c r="J571">
        <f t="shared" si="43"/>
        <v>10</v>
      </c>
    </row>
    <row r="572" spans="1:10" x14ac:dyDescent="0.2">
      <c r="A572">
        <v>571</v>
      </c>
      <c r="B572" s="23">
        <v>45362</v>
      </c>
      <c r="C572">
        <f t="shared" si="45"/>
        <v>0</v>
      </c>
      <c r="D572">
        <v>0</v>
      </c>
      <c r="E572">
        <f t="shared" si="46"/>
        <v>0</v>
      </c>
      <c r="F572" t="str">
        <f t="shared" si="47"/>
        <v>Monday</v>
      </c>
      <c r="H572">
        <v>4</v>
      </c>
      <c r="I572">
        <f t="shared" si="44"/>
        <v>3</v>
      </c>
      <c r="J572">
        <f t="shared" si="43"/>
        <v>11</v>
      </c>
    </row>
    <row r="573" spans="1:10" x14ac:dyDescent="0.2">
      <c r="A573">
        <v>572</v>
      </c>
      <c r="B573" s="23">
        <v>45363</v>
      </c>
      <c r="C573">
        <f t="shared" si="45"/>
        <v>0</v>
      </c>
      <c r="D573">
        <v>0</v>
      </c>
      <c r="E573">
        <f t="shared" si="46"/>
        <v>0</v>
      </c>
      <c r="F573" t="str">
        <f t="shared" si="47"/>
        <v>Tuesday</v>
      </c>
      <c r="H573">
        <v>4</v>
      </c>
      <c r="I573">
        <f t="shared" si="44"/>
        <v>3</v>
      </c>
      <c r="J573">
        <f t="shared" si="43"/>
        <v>11</v>
      </c>
    </row>
    <row r="574" spans="1:10" x14ac:dyDescent="0.2">
      <c r="A574">
        <v>573</v>
      </c>
      <c r="B574" s="23">
        <v>45364</v>
      </c>
      <c r="C574">
        <f t="shared" si="45"/>
        <v>0</v>
      </c>
      <c r="D574">
        <v>0</v>
      </c>
      <c r="E574">
        <f t="shared" si="46"/>
        <v>0</v>
      </c>
      <c r="F574" t="str">
        <f t="shared" si="47"/>
        <v>Wednesday</v>
      </c>
      <c r="H574">
        <v>4</v>
      </c>
      <c r="I574">
        <f t="shared" si="44"/>
        <v>3</v>
      </c>
      <c r="J574">
        <f t="shared" si="43"/>
        <v>11</v>
      </c>
    </row>
    <row r="575" spans="1:10" x14ac:dyDescent="0.2">
      <c r="A575">
        <v>574</v>
      </c>
      <c r="B575" s="23">
        <v>45365</v>
      </c>
      <c r="C575">
        <f t="shared" si="45"/>
        <v>0</v>
      </c>
      <c r="D575">
        <v>0</v>
      </c>
      <c r="E575">
        <f t="shared" si="46"/>
        <v>0</v>
      </c>
      <c r="F575" t="str">
        <f t="shared" si="47"/>
        <v>Thursday</v>
      </c>
      <c r="H575">
        <v>4</v>
      </c>
      <c r="I575">
        <f t="shared" si="44"/>
        <v>3</v>
      </c>
      <c r="J575">
        <f t="shared" si="43"/>
        <v>11</v>
      </c>
    </row>
    <row r="576" spans="1:10" x14ac:dyDescent="0.2">
      <c r="A576">
        <v>575</v>
      </c>
      <c r="B576" s="23">
        <v>45366</v>
      </c>
      <c r="C576">
        <f t="shared" si="45"/>
        <v>0</v>
      </c>
      <c r="D576">
        <v>0</v>
      </c>
      <c r="E576">
        <f t="shared" si="46"/>
        <v>0</v>
      </c>
      <c r="F576" t="str">
        <f t="shared" si="47"/>
        <v>Friday</v>
      </c>
      <c r="H576">
        <v>4</v>
      </c>
      <c r="I576">
        <f t="shared" si="44"/>
        <v>3</v>
      </c>
      <c r="J576">
        <f t="shared" si="43"/>
        <v>11</v>
      </c>
    </row>
    <row r="577" spans="1:10" x14ac:dyDescent="0.2">
      <c r="A577">
        <v>576</v>
      </c>
      <c r="B577" s="23">
        <v>45367</v>
      </c>
      <c r="C577">
        <f t="shared" si="45"/>
        <v>1</v>
      </c>
      <c r="D577">
        <v>0</v>
      </c>
      <c r="E577">
        <f t="shared" si="46"/>
        <v>1</v>
      </c>
      <c r="F577" t="str">
        <f t="shared" si="47"/>
        <v>Saturday</v>
      </c>
      <c r="H577">
        <v>4</v>
      </c>
      <c r="I577">
        <f t="shared" si="44"/>
        <v>3</v>
      </c>
      <c r="J577">
        <f t="shared" si="43"/>
        <v>11</v>
      </c>
    </row>
    <row r="578" spans="1:10" x14ac:dyDescent="0.2">
      <c r="A578">
        <v>577</v>
      </c>
      <c r="B578" s="23">
        <v>45368</v>
      </c>
      <c r="C578">
        <f t="shared" si="45"/>
        <v>1</v>
      </c>
      <c r="D578">
        <v>0</v>
      </c>
      <c r="E578">
        <f t="shared" si="46"/>
        <v>1</v>
      </c>
      <c r="F578" t="str">
        <f t="shared" si="47"/>
        <v>Sunday</v>
      </c>
      <c r="H578">
        <v>4</v>
      </c>
      <c r="I578">
        <f t="shared" si="44"/>
        <v>3</v>
      </c>
      <c r="J578">
        <f t="shared" si="43"/>
        <v>11</v>
      </c>
    </row>
    <row r="579" spans="1:10" x14ac:dyDescent="0.2">
      <c r="A579">
        <v>578</v>
      </c>
      <c r="B579" s="23">
        <v>45369</v>
      </c>
      <c r="C579">
        <f t="shared" si="45"/>
        <v>0</v>
      </c>
      <c r="D579">
        <v>0</v>
      </c>
      <c r="E579">
        <f t="shared" si="46"/>
        <v>0</v>
      </c>
      <c r="F579" t="str">
        <f t="shared" si="47"/>
        <v>Monday</v>
      </c>
      <c r="H579">
        <v>4</v>
      </c>
      <c r="I579">
        <f t="shared" si="44"/>
        <v>4</v>
      </c>
      <c r="J579">
        <f t="shared" ref="J579:J642" si="48">_xlfn.ISOWEEKNUM(B579)</f>
        <v>12</v>
      </c>
    </row>
    <row r="580" spans="1:10" x14ac:dyDescent="0.2">
      <c r="A580">
        <v>579</v>
      </c>
      <c r="B580" s="23">
        <v>45370</v>
      </c>
      <c r="C580">
        <f t="shared" si="45"/>
        <v>0</v>
      </c>
      <c r="D580">
        <v>0</v>
      </c>
      <c r="E580">
        <f t="shared" si="46"/>
        <v>0</v>
      </c>
      <c r="F580" t="str">
        <f t="shared" si="47"/>
        <v>Tuesday</v>
      </c>
      <c r="H580">
        <v>4</v>
      </c>
      <c r="I580">
        <f t="shared" si="44"/>
        <v>4</v>
      </c>
      <c r="J580">
        <f t="shared" si="48"/>
        <v>12</v>
      </c>
    </row>
    <row r="581" spans="1:10" x14ac:dyDescent="0.2">
      <c r="A581">
        <v>580</v>
      </c>
      <c r="B581" s="23">
        <v>45371</v>
      </c>
      <c r="C581">
        <f t="shared" si="45"/>
        <v>0</v>
      </c>
      <c r="D581">
        <v>0</v>
      </c>
      <c r="E581">
        <f t="shared" si="46"/>
        <v>0</v>
      </c>
      <c r="F581" t="str">
        <f t="shared" si="47"/>
        <v>Wednesday</v>
      </c>
      <c r="H581">
        <v>4</v>
      </c>
      <c r="I581">
        <f t="shared" si="44"/>
        <v>4</v>
      </c>
      <c r="J581">
        <f t="shared" si="48"/>
        <v>12</v>
      </c>
    </row>
    <row r="582" spans="1:10" x14ac:dyDescent="0.2">
      <c r="A582">
        <v>581</v>
      </c>
      <c r="B582" s="23">
        <v>45372</v>
      </c>
      <c r="C582">
        <f t="shared" si="45"/>
        <v>0</v>
      </c>
      <c r="D582">
        <v>0</v>
      </c>
      <c r="E582">
        <f t="shared" si="46"/>
        <v>0</v>
      </c>
      <c r="F582" t="str">
        <f t="shared" si="47"/>
        <v>Thursday</v>
      </c>
      <c r="H582">
        <v>4</v>
      </c>
      <c r="I582">
        <f t="shared" ref="I582:I645" si="49">IF(J582&gt;J581, IF(H582&lt;&gt;H581,1, I581+1),I581)</f>
        <v>4</v>
      </c>
      <c r="J582">
        <f t="shared" si="48"/>
        <v>12</v>
      </c>
    </row>
    <row r="583" spans="1:10" x14ac:dyDescent="0.2">
      <c r="A583">
        <v>582</v>
      </c>
      <c r="B583" s="23">
        <v>45373</v>
      </c>
      <c r="C583">
        <f t="shared" si="45"/>
        <v>0</v>
      </c>
      <c r="D583">
        <v>0</v>
      </c>
      <c r="E583">
        <f t="shared" si="46"/>
        <v>0</v>
      </c>
      <c r="F583" t="str">
        <f t="shared" si="47"/>
        <v>Friday</v>
      </c>
      <c r="H583">
        <v>4</v>
      </c>
      <c r="I583">
        <f t="shared" si="49"/>
        <v>4</v>
      </c>
      <c r="J583">
        <f t="shared" si="48"/>
        <v>12</v>
      </c>
    </row>
    <row r="584" spans="1:10" x14ac:dyDescent="0.2">
      <c r="A584">
        <v>583</v>
      </c>
      <c r="B584" s="23">
        <v>45374</v>
      </c>
      <c r="C584">
        <f t="shared" si="45"/>
        <v>1</v>
      </c>
      <c r="D584">
        <v>0</v>
      </c>
      <c r="E584">
        <f t="shared" si="46"/>
        <v>1</v>
      </c>
      <c r="F584" t="str">
        <f t="shared" si="47"/>
        <v>Saturday</v>
      </c>
      <c r="H584">
        <v>4</v>
      </c>
      <c r="I584">
        <f t="shared" si="49"/>
        <v>4</v>
      </c>
      <c r="J584">
        <f t="shared" si="48"/>
        <v>12</v>
      </c>
    </row>
    <row r="585" spans="1:10" x14ac:dyDescent="0.2">
      <c r="A585">
        <v>584</v>
      </c>
      <c r="B585" s="23">
        <v>45375</v>
      </c>
      <c r="C585">
        <f t="shared" si="45"/>
        <v>1</v>
      </c>
      <c r="D585">
        <v>0</v>
      </c>
      <c r="E585">
        <f t="shared" si="46"/>
        <v>1</v>
      </c>
      <c r="F585" t="str">
        <f t="shared" si="47"/>
        <v>Sunday</v>
      </c>
      <c r="H585">
        <v>4</v>
      </c>
      <c r="I585">
        <f t="shared" si="49"/>
        <v>4</v>
      </c>
      <c r="J585">
        <f t="shared" si="48"/>
        <v>12</v>
      </c>
    </row>
    <row r="586" spans="1:10" x14ac:dyDescent="0.2">
      <c r="A586">
        <v>585</v>
      </c>
      <c r="B586" s="23">
        <v>45376</v>
      </c>
      <c r="C586">
        <f t="shared" si="45"/>
        <v>0</v>
      </c>
      <c r="D586">
        <v>0</v>
      </c>
      <c r="E586">
        <f t="shared" si="46"/>
        <v>0</v>
      </c>
      <c r="F586" t="str">
        <f t="shared" si="47"/>
        <v>Monday</v>
      </c>
      <c r="H586">
        <v>4</v>
      </c>
      <c r="I586">
        <f t="shared" si="49"/>
        <v>5</v>
      </c>
      <c r="J586">
        <f t="shared" si="48"/>
        <v>13</v>
      </c>
    </row>
    <row r="587" spans="1:10" x14ac:dyDescent="0.2">
      <c r="A587">
        <v>586</v>
      </c>
      <c r="B587" s="23">
        <v>45377</v>
      </c>
      <c r="C587">
        <f t="shared" si="45"/>
        <v>0</v>
      </c>
      <c r="D587">
        <v>0</v>
      </c>
      <c r="E587">
        <f t="shared" si="46"/>
        <v>0</v>
      </c>
      <c r="F587" t="str">
        <f t="shared" si="47"/>
        <v>Tuesday</v>
      </c>
      <c r="H587">
        <v>4</v>
      </c>
      <c r="I587">
        <f t="shared" si="49"/>
        <v>5</v>
      </c>
      <c r="J587">
        <f t="shared" si="48"/>
        <v>13</v>
      </c>
    </row>
    <row r="588" spans="1:10" x14ac:dyDescent="0.2">
      <c r="A588">
        <v>587</v>
      </c>
      <c r="B588" s="23">
        <v>45378</v>
      </c>
      <c r="C588">
        <f t="shared" si="45"/>
        <v>0</v>
      </c>
      <c r="D588">
        <v>0</v>
      </c>
      <c r="E588">
        <f t="shared" si="46"/>
        <v>0</v>
      </c>
      <c r="F588" t="str">
        <f t="shared" si="47"/>
        <v>Wednesday</v>
      </c>
      <c r="H588">
        <v>4</v>
      </c>
      <c r="I588">
        <f t="shared" si="49"/>
        <v>5</v>
      </c>
      <c r="J588">
        <f t="shared" si="48"/>
        <v>13</v>
      </c>
    </row>
    <row r="589" spans="1:10" x14ac:dyDescent="0.2">
      <c r="A589">
        <v>588</v>
      </c>
      <c r="B589" s="23">
        <v>45379</v>
      </c>
      <c r="C589">
        <f t="shared" ref="C589:C619" si="50">IF(OR(WEEKDAY(B589) = 7, WEEKDAY(B589) = 1), 1, 0)</f>
        <v>0</v>
      </c>
      <c r="D589">
        <v>0</v>
      </c>
      <c r="E589">
        <f t="shared" ref="E589:E652" si="51">IF((C589+D589)&gt;0, 1, 0)</f>
        <v>0</v>
      </c>
      <c r="F589" t="str">
        <f t="shared" ref="F589:F652" si="52">TEXT(B589, "dddd")</f>
        <v>Thursday</v>
      </c>
      <c r="H589">
        <v>4</v>
      </c>
      <c r="I589">
        <f t="shared" si="49"/>
        <v>5</v>
      </c>
      <c r="J589">
        <f t="shared" si="48"/>
        <v>13</v>
      </c>
    </row>
    <row r="590" spans="1:10" x14ac:dyDescent="0.2">
      <c r="A590">
        <v>589</v>
      </c>
      <c r="B590" s="23">
        <v>45380</v>
      </c>
      <c r="C590">
        <f t="shared" si="50"/>
        <v>0</v>
      </c>
      <c r="D590">
        <v>0</v>
      </c>
      <c r="E590">
        <f t="shared" si="51"/>
        <v>0</v>
      </c>
      <c r="F590" t="str">
        <f t="shared" si="52"/>
        <v>Friday</v>
      </c>
      <c r="H590">
        <v>4</v>
      </c>
      <c r="I590">
        <f t="shared" si="49"/>
        <v>5</v>
      </c>
      <c r="J590">
        <f t="shared" si="48"/>
        <v>13</v>
      </c>
    </row>
    <row r="591" spans="1:10" x14ac:dyDescent="0.2">
      <c r="A591">
        <v>590</v>
      </c>
      <c r="B591" s="23">
        <v>45381</v>
      </c>
      <c r="C591">
        <f t="shared" si="50"/>
        <v>1</v>
      </c>
      <c r="D591">
        <v>0</v>
      </c>
      <c r="E591">
        <f t="shared" si="51"/>
        <v>1</v>
      </c>
      <c r="F591" t="str">
        <f t="shared" si="52"/>
        <v>Saturday</v>
      </c>
      <c r="H591">
        <v>4</v>
      </c>
      <c r="I591">
        <f t="shared" si="49"/>
        <v>5</v>
      </c>
      <c r="J591">
        <f t="shared" si="48"/>
        <v>13</v>
      </c>
    </row>
    <row r="592" spans="1:10" x14ac:dyDescent="0.2">
      <c r="A592">
        <v>591</v>
      </c>
      <c r="B592" s="23">
        <v>45382</v>
      </c>
      <c r="C592">
        <f t="shared" si="50"/>
        <v>1</v>
      </c>
      <c r="D592">
        <v>0</v>
      </c>
      <c r="E592">
        <f t="shared" si="51"/>
        <v>1</v>
      </c>
      <c r="F592" t="str">
        <f t="shared" si="52"/>
        <v>Sunday</v>
      </c>
      <c r="H592">
        <v>4</v>
      </c>
      <c r="I592">
        <f t="shared" si="49"/>
        <v>5</v>
      </c>
      <c r="J592">
        <f t="shared" si="48"/>
        <v>13</v>
      </c>
    </row>
    <row r="593" spans="1:10" x14ac:dyDescent="0.2">
      <c r="A593">
        <v>592</v>
      </c>
      <c r="B593" s="23">
        <v>45383</v>
      </c>
      <c r="C593">
        <f t="shared" si="50"/>
        <v>0</v>
      </c>
      <c r="D593">
        <v>0</v>
      </c>
      <c r="E593">
        <f t="shared" si="51"/>
        <v>0</v>
      </c>
      <c r="F593" t="str">
        <f t="shared" si="52"/>
        <v>Monday</v>
      </c>
      <c r="H593">
        <v>4</v>
      </c>
      <c r="I593">
        <f t="shared" si="49"/>
        <v>6</v>
      </c>
      <c r="J593">
        <f t="shared" si="48"/>
        <v>14</v>
      </c>
    </row>
    <row r="594" spans="1:10" x14ac:dyDescent="0.2">
      <c r="A594">
        <v>593</v>
      </c>
      <c r="B594" s="23">
        <v>45384</v>
      </c>
      <c r="C594">
        <f t="shared" si="50"/>
        <v>0</v>
      </c>
      <c r="D594">
        <v>0</v>
      </c>
      <c r="E594">
        <f t="shared" si="51"/>
        <v>0</v>
      </c>
      <c r="F594" t="str">
        <f t="shared" si="52"/>
        <v>Tuesday</v>
      </c>
      <c r="H594">
        <v>4</v>
      </c>
      <c r="I594">
        <f t="shared" si="49"/>
        <v>6</v>
      </c>
      <c r="J594">
        <f t="shared" si="48"/>
        <v>14</v>
      </c>
    </row>
    <row r="595" spans="1:10" x14ac:dyDescent="0.2">
      <c r="A595">
        <v>594</v>
      </c>
      <c r="B595" s="23">
        <v>45385</v>
      </c>
      <c r="C595">
        <f t="shared" si="50"/>
        <v>0</v>
      </c>
      <c r="D595">
        <v>0</v>
      </c>
      <c r="E595">
        <f t="shared" si="51"/>
        <v>0</v>
      </c>
      <c r="F595" t="str">
        <f t="shared" si="52"/>
        <v>Wednesday</v>
      </c>
      <c r="H595">
        <v>4</v>
      </c>
      <c r="I595">
        <f t="shared" si="49"/>
        <v>6</v>
      </c>
      <c r="J595">
        <f t="shared" si="48"/>
        <v>14</v>
      </c>
    </row>
    <row r="596" spans="1:10" x14ac:dyDescent="0.2">
      <c r="A596">
        <v>595</v>
      </c>
      <c r="B596" s="23">
        <v>45386</v>
      </c>
      <c r="C596">
        <f t="shared" si="50"/>
        <v>0</v>
      </c>
      <c r="D596">
        <v>0</v>
      </c>
      <c r="E596">
        <f t="shared" si="51"/>
        <v>0</v>
      </c>
      <c r="F596" t="str">
        <f t="shared" si="52"/>
        <v>Thursday</v>
      </c>
      <c r="H596">
        <v>4</v>
      </c>
      <c r="I596">
        <f t="shared" si="49"/>
        <v>6</v>
      </c>
      <c r="J596">
        <f t="shared" si="48"/>
        <v>14</v>
      </c>
    </row>
    <row r="597" spans="1:10" x14ac:dyDescent="0.2">
      <c r="A597">
        <v>596</v>
      </c>
      <c r="B597" s="23">
        <v>45387</v>
      </c>
      <c r="C597">
        <f t="shared" si="50"/>
        <v>0</v>
      </c>
      <c r="D597">
        <v>0</v>
      </c>
      <c r="E597">
        <f t="shared" si="51"/>
        <v>0</v>
      </c>
      <c r="F597" t="str">
        <f t="shared" si="52"/>
        <v>Friday</v>
      </c>
      <c r="H597">
        <v>4</v>
      </c>
      <c r="I597">
        <f t="shared" si="49"/>
        <v>6</v>
      </c>
      <c r="J597">
        <f t="shared" si="48"/>
        <v>14</v>
      </c>
    </row>
    <row r="598" spans="1:10" x14ac:dyDescent="0.2">
      <c r="A598">
        <v>597</v>
      </c>
      <c r="B598" s="23">
        <v>45388</v>
      </c>
      <c r="C598">
        <f t="shared" si="50"/>
        <v>1</v>
      </c>
      <c r="D598">
        <v>0</v>
      </c>
      <c r="E598">
        <f t="shared" si="51"/>
        <v>1</v>
      </c>
      <c r="F598" t="str">
        <f t="shared" si="52"/>
        <v>Saturday</v>
      </c>
      <c r="H598">
        <v>4</v>
      </c>
      <c r="I598">
        <f t="shared" si="49"/>
        <v>6</v>
      </c>
      <c r="J598">
        <f t="shared" si="48"/>
        <v>14</v>
      </c>
    </row>
    <row r="599" spans="1:10" x14ac:dyDescent="0.2">
      <c r="A599">
        <v>598</v>
      </c>
      <c r="B599" s="23">
        <v>45389</v>
      </c>
      <c r="C599">
        <f t="shared" si="50"/>
        <v>1</v>
      </c>
      <c r="D599">
        <v>0</v>
      </c>
      <c r="E599">
        <f t="shared" si="51"/>
        <v>1</v>
      </c>
      <c r="F599" t="str">
        <f t="shared" si="52"/>
        <v>Sunday</v>
      </c>
      <c r="H599">
        <v>4</v>
      </c>
      <c r="I599">
        <f t="shared" si="49"/>
        <v>6</v>
      </c>
      <c r="J599">
        <f t="shared" si="48"/>
        <v>14</v>
      </c>
    </row>
    <row r="600" spans="1:10" x14ac:dyDescent="0.2">
      <c r="A600">
        <v>599</v>
      </c>
      <c r="B600" s="23">
        <v>45390</v>
      </c>
      <c r="C600">
        <f t="shared" si="50"/>
        <v>0</v>
      </c>
      <c r="D600">
        <v>0</v>
      </c>
      <c r="E600">
        <f t="shared" si="51"/>
        <v>0</v>
      </c>
      <c r="F600" t="str">
        <f t="shared" si="52"/>
        <v>Monday</v>
      </c>
      <c r="H600">
        <v>4</v>
      </c>
      <c r="I600">
        <f t="shared" si="49"/>
        <v>7</v>
      </c>
      <c r="J600">
        <f t="shared" si="48"/>
        <v>15</v>
      </c>
    </row>
    <row r="601" spans="1:10" x14ac:dyDescent="0.2">
      <c r="A601">
        <v>600</v>
      </c>
      <c r="B601" s="23">
        <v>45391</v>
      </c>
      <c r="C601">
        <f t="shared" si="50"/>
        <v>0</v>
      </c>
      <c r="D601">
        <v>0</v>
      </c>
      <c r="E601">
        <f t="shared" si="51"/>
        <v>0</v>
      </c>
      <c r="F601" t="str">
        <f t="shared" si="52"/>
        <v>Tuesday</v>
      </c>
      <c r="H601">
        <v>4</v>
      </c>
      <c r="I601">
        <f t="shared" si="49"/>
        <v>7</v>
      </c>
      <c r="J601">
        <f t="shared" si="48"/>
        <v>15</v>
      </c>
    </row>
    <row r="602" spans="1:10" x14ac:dyDescent="0.2">
      <c r="A602">
        <v>601</v>
      </c>
      <c r="B602" s="23">
        <v>45392</v>
      </c>
      <c r="C602">
        <f t="shared" si="50"/>
        <v>0</v>
      </c>
      <c r="D602">
        <v>0</v>
      </c>
      <c r="E602">
        <f t="shared" si="51"/>
        <v>0</v>
      </c>
      <c r="F602" t="str">
        <f t="shared" si="52"/>
        <v>Wednesday</v>
      </c>
      <c r="H602">
        <v>4</v>
      </c>
      <c r="I602">
        <f t="shared" si="49"/>
        <v>7</v>
      </c>
      <c r="J602">
        <f t="shared" si="48"/>
        <v>15</v>
      </c>
    </row>
    <row r="603" spans="1:10" x14ac:dyDescent="0.2">
      <c r="A603">
        <v>602</v>
      </c>
      <c r="B603" s="23">
        <v>45393</v>
      </c>
      <c r="C603">
        <f t="shared" si="50"/>
        <v>0</v>
      </c>
      <c r="D603">
        <v>0</v>
      </c>
      <c r="E603">
        <f t="shared" si="51"/>
        <v>0</v>
      </c>
      <c r="F603" t="str">
        <f t="shared" si="52"/>
        <v>Thursday</v>
      </c>
      <c r="H603">
        <v>4</v>
      </c>
      <c r="I603">
        <f t="shared" si="49"/>
        <v>7</v>
      </c>
      <c r="J603">
        <f t="shared" si="48"/>
        <v>15</v>
      </c>
    </row>
    <row r="604" spans="1:10" x14ac:dyDescent="0.2">
      <c r="A604">
        <v>603</v>
      </c>
      <c r="B604" s="23">
        <v>45394</v>
      </c>
      <c r="C604">
        <f t="shared" si="50"/>
        <v>0</v>
      </c>
      <c r="D604">
        <v>0</v>
      </c>
      <c r="E604">
        <f t="shared" si="51"/>
        <v>0</v>
      </c>
      <c r="F604" t="str">
        <f t="shared" si="52"/>
        <v>Friday</v>
      </c>
      <c r="H604">
        <v>4</v>
      </c>
      <c r="I604">
        <f t="shared" si="49"/>
        <v>7</v>
      </c>
      <c r="J604">
        <f t="shared" si="48"/>
        <v>15</v>
      </c>
    </row>
    <row r="605" spans="1:10" x14ac:dyDescent="0.2">
      <c r="A605">
        <v>604</v>
      </c>
      <c r="B605" s="23">
        <v>45395</v>
      </c>
      <c r="C605">
        <f t="shared" si="50"/>
        <v>1</v>
      </c>
      <c r="D605">
        <v>0</v>
      </c>
      <c r="E605">
        <f t="shared" si="51"/>
        <v>1</v>
      </c>
      <c r="F605" t="str">
        <f t="shared" si="52"/>
        <v>Saturday</v>
      </c>
      <c r="H605">
        <v>4</v>
      </c>
      <c r="I605">
        <f t="shared" si="49"/>
        <v>7</v>
      </c>
      <c r="J605">
        <f t="shared" si="48"/>
        <v>15</v>
      </c>
    </row>
    <row r="606" spans="1:10" x14ac:dyDescent="0.2">
      <c r="A606">
        <v>605</v>
      </c>
      <c r="B606" s="23">
        <v>45396</v>
      </c>
      <c r="C606">
        <f t="shared" si="50"/>
        <v>1</v>
      </c>
      <c r="D606">
        <v>0</v>
      </c>
      <c r="E606">
        <f t="shared" si="51"/>
        <v>1</v>
      </c>
      <c r="F606" t="str">
        <f t="shared" si="52"/>
        <v>Sunday</v>
      </c>
      <c r="H606">
        <v>4</v>
      </c>
      <c r="I606">
        <f t="shared" si="49"/>
        <v>7</v>
      </c>
      <c r="J606">
        <f t="shared" si="48"/>
        <v>15</v>
      </c>
    </row>
    <row r="607" spans="1:10" x14ac:dyDescent="0.2">
      <c r="A607">
        <v>606</v>
      </c>
      <c r="B607" s="23">
        <v>45397</v>
      </c>
      <c r="C607">
        <f t="shared" si="50"/>
        <v>0</v>
      </c>
      <c r="D607">
        <v>0</v>
      </c>
      <c r="E607">
        <f t="shared" si="51"/>
        <v>0</v>
      </c>
      <c r="F607" t="str">
        <f t="shared" si="52"/>
        <v>Monday</v>
      </c>
      <c r="H607">
        <v>4</v>
      </c>
      <c r="I607">
        <f t="shared" si="49"/>
        <v>8</v>
      </c>
      <c r="J607">
        <f t="shared" si="48"/>
        <v>16</v>
      </c>
    </row>
    <row r="608" spans="1:10" x14ac:dyDescent="0.2">
      <c r="A608">
        <v>607</v>
      </c>
      <c r="B608" s="23">
        <v>45398</v>
      </c>
      <c r="C608">
        <f t="shared" si="50"/>
        <v>0</v>
      </c>
      <c r="D608">
        <v>0</v>
      </c>
      <c r="E608">
        <f t="shared" si="51"/>
        <v>0</v>
      </c>
      <c r="F608" t="str">
        <f t="shared" si="52"/>
        <v>Tuesday</v>
      </c>
      <c r="H608">
        <v>4</v>
      </c>
      <c r="I608">
        <f t="shared" si="49"/>
        <v>8</v>
      </c>
      <c r="J608">
        <f t="shared" si="48"/>
        <v>16</v>
      </c>
    </row>
    <row r="609" spans="1:10" x14ac:dyDescent="0.2">
      <c r="A609">
        <v>608</v>
      </c>
      <c r="B609" s="23">
        <v>45399</v>
      </c>
      <c r="C609">
        <f t="shared" si="50"/>
        <v>0</v>
      </c>
      <c r="D609">
        <v>0</v>
      </c>
      <c r="E609">
        <f t="shared" si="51"/>
        <v>0</v>
      </c>
      <c r="F609" t="str">
        <f t="shared" si="52"/>
        <v>Wednesday</v>
      </c>
      <c r="H609">
        <v>4</v>
      </c>
      <c r="I609">
        <f t="shared" si="49"/>
        <v>8</v>
      </c>
      <c r="J609">
        <f t="shared" si="48"/>
        <v>16</v>
      </c>
    </row>
    <row r="610" spans="1:10" x14ac:dyDescent="0.2">
      <c r="A610">
        <v>609</v>
      </c>
      <c r="B610" s="23">
        <v>45400</v>
      </c>
      <c r="C610">
        <f t="shared" si="50"/>
        <v>0</v>
      </c>
      <c r="D610">
        <v>0</v>
      </c>
      <c r="E610">
        <f t="shared" si="51"/>
        <v>0</v>
      </c>
      <c r="F610" t="str">
        <f t="shared" si="52"/>
        <v>Thursday</v>
      </c>
      <c r="H610">
        <v>4</v>
      </c>
      <c r="I610">
        <f t="shared" si="49"/>
        <v>8</v>
      </c>
      <c r="J610">
        <f t="shared" si="48"/>
        <v>16</v>
      </c>
    </row>
    <row r="611" spans="1:10" x14ac:dyDescent="0.2">
      <c r="A611">
        <v>610</v>
      </c>
      <c r="B611" s="23">
        <v>45401</v>
      </c>
      <c r="C611">
        <f t="shared" si="50"/>
        <v>0</v>
      </c>
      <c r="D611">
        <v>0</v>
      </c>
      <c r="E611">
        <f t="shared" si="51"/>
        <v>0</v>
      </c>
      <c r="F611" t="str">
        <f t="shared" si="52"/>
        <v>Friday</v>
      </c>
      <c r="H611">
        <v>4</v>
      </c>
      <c r="I611">
        <f t="shared" si="49"/>
        <v>8</v>
      </c>
      <c r="J611">
        <f t="shared" si="48"/>
        <v>16</v>
      </c>
    </row>
    <row r="612" spans="1:10" x14ac:dyDescent="0.2">
      <c r="A612">
        <v>611</v>
      </c>
      <c r="B612" s="23">
        <v>45402</v>
      </c>
      <c r="C612">
        <f t="shared" si="50"/>
        <v>1</v>
      </c>
      <c r="D612">
        <v>0</v>
      </c>
      <c r="E612">
        <f t="shared" si="51"/>
        <v>1</v>
      </c>
      <c r="F612" t="str">
        <f t="shared" si="52"/>
        <v>Saturday</v>
      </c>
      <c r="H612">
        <v>4</v>
      </c>
      <c r="I612">
        <f t="shared" si="49"/>
        <v>8</v>
      </c>
      <c r="J612">
        <f t="shared" si="48"/>
        <v>16</v>
      </c>
    </row>
    <row r="613" spans="1:10" x14ac:dyDescent="0.2">
      <c r="A613">
        <v>612</v>
      </c>
      <c r="B613" s="23">
        <v>45403</v>
      </c>
      <c r="C613">
        <f t="shared" si="50"/>
        <v>1</v>
      </c>
      <c r="D613">
        <v>0</v>
      </c>
      <c r="E613">
        <f t="shared" si="51"/>
        <v>1</v>
      </c>
      <c r="F613" t="str">
        <f t="shared" si="52"/>
        <v>Sunday</v>
      </c>
      <c r="H613">
        <v>4</v>
      </c>
      <c r="I613">
        <f t="shared" si="49"/>
        <v>8</v>
      </c>
      <c r="J613">
        <f t="shared" si="48"/>
        <v>16</v>
      </c>
    </row>
    <row r="614" spans="1:10" x14ac:dyDescent="0.2">
      <c r="A614">
        <v>613</v>
      </c>
      <c r="B614" s="23">
        <v>45404</v>
      </c>
      <c r="C614">
        <f t="shared" si="50"/>
        <v>0</v>
      </c>
      <c r="D614">
        <v>0</v>
      </c>
      <c r="E614">
        <f t="shared" si="51"/>
        <v>0</v>
      </c>
      <c r="F614" t="str">
        <f t="shared" si="52"/>
        <v>Monday</v>
      </c>
      <c r="H614">
        <v>4</v>
      </c>
      <c r="I614">
        <f t="shared" si="49"/>
        <v>9</v>
      </c>
      <c r="J614">
        <f t="shared" si="48"/>
        <v>17</v>
      </c>
    </row>
    <row r="615" spans="1:10" x14ac:dyDescent="0.2">
      <c r="A615">
        <v>614</v>
      </c>
      <c r="B615" s="23">
        <v>45405</v>
      </c>
      <c r="C615">
        <f t="shared" si="50"/>
        <v>0</v>
      </c>
      <c r="D615">
        <v>0</v>
      </c>
      <c r="E615">
        <f t="shared" si="51"/>
        <v>0</v>
      </c>
      <c r="F615" t="str">
        <f t="shared" si="52"/>
        <v>Tuesday</v>
      </c>
      <c r="H615">
        <v>4</v>
      </c>
      <c r="I615">
        <f t="shared" si="49"/>
        <v>9</v>
      </c>
      <c r="J615">
        <f t="shared" si="48"/>
        <v>17</v>
      </c>
    </row>
    <row r="616" spans="1:10" x14ac:dyDescent="0.2">
      <c r="A616">
        <v>615</v>
      </c>
      <c r="B616" s="23">
        <v>45406</v>
      </c>
      <c r="C616">
        <f t="shared" si="50"/>
        <v>0</v>
      </c>
      <c r="D616">
        <v>0</v>
      </c>
      <c r="E616">
        <f t="shared" si="51"/>
        <v>0</v>
      </c>
      <c r="F616" t="str">
        <f t="shared" si="52"/>
        <v>Wednesday</v>
      </c>
      <c r="H616">
        <v>4</v>
      </c>
      <c r="I616">
        <f t="shared" si="49"/>
        <v>9</v>
      </c>
      <c r="J616">
        <f t="shared" si="48"/>
        <v>17</v>
      </c>
    </row>
    <row r="617" spans="1:10" x14ac:dyDescent="0.2">
      <c r="A617">
        <v>616</v>
      </c>
      <c r="B617" s="23">
        <v>45407</v>
      </c>
      <c r="C617">
        <f t="shared" si="50"/>
        <v>0</v>
      </c>
      <c r="D617">
        <v>0</v>
      </c>
      <c r="E617">
        <f t="shared" si="51"/>
        <v>0</v>
      </c>
      <c r="F617" t="str">
        <f t="shared" si="52"/>
        <v>Thursday</v>
      </c>
      <c r="H617">
        <v>4</v>
      </c>
      <c r="I617">
        <f t="shared" si="49"/>
        <v>9</v>
      </c>
      <c r="J617">
        <f t="shared" si="48"/>
        <v>17</v>
      </c>
    </row>
    <row r="618" spans="1:10" x14ac:dyDescent="0.2">
      <c r="A618">
        <v>617</v>
      </c>
      <c r="B618" s="23">
        <v>45408</v>
      </c>
      <c r="C618">
        <f t="shared" si="50"/>
        <v>0</v>
      </c>
      <c r="D618">
        <v>0</v>
      </c>
      <c r="E618">
        <f t="shared" si="51"/>
        <v>0</v>
      </c>
      <c r="F618" t="str">
        <f t="shared" si="52"/>
        <v>Friday</v>
      </c>
      <c r="H618">
        <v>4</v>
      </c>
      <c r="I618">
        <f t="shared" si="49"/>
        <v>9</v>
      </c>
      <c r="J618">
        <f t="shared" si="48"/>
        <v>17</v>
      </c>
    </row>
    <row r="619" spans="1:10" x14ac:dyDescent="0.2">
      <c r="A619">
        <v>618</v>
      </c>
      <c r="B619" s="23">
        <v>45409</v>
      </c>
      <c r="C619">
        <f t="shared" si="50"/>
        <v>1</v>
      </c>
      <c r="D619">
        <v>1</v>
      </c>
      <c r="E619">
        <f t="shared" si="51"/>
        <v>1</v>
      </c>
      <c r="F619" t="str">
        <f t="shared" si="52"/>
        <v>Saturday</v>
      </c>
      <c r="G619" t="s">
        <v>1945</v>
      </c>
      <c r="H619">
        <v>4</v>
      </c>
      <c r="I619">
        <f t="shared" si="49"/>
        <v>9</v>
      </c>
      <c r="J619">
        <f t="shared" si="48"/>
        <v>17</v>
      </c>
    </row>
    <row r="620" spans="1:10" x14ac:dyDescent="0.2">
      <c r="A620">
        <v>619</v>
      </c>
      <c r="B620" s="23">
        <v>45410</v>
      </c>
      <c r="C620">
        <f t="shared" ref="C620:C683" si="53">IF(OR(WEEKDAY(B620) = 7, WEEKDAY(B620) = 1), 1, 0)</f>
        <v>1</v>
      </c>
      <c r="D620">
        <v>1</v>
      </c>
      <c r="E620">
        <f t="shared" si="51"/>
        <v>1</v>
      </c>
      <c r="F620" t="str">
        <f t="shared" si="52"/>
        <v>Sunday</v>
      </c>
      <c r="G620" t="s">
        <v>1945</v>
      </c>
      <c r="H620">
        <v>4</v>
      </c>
      <c r="I620">
        <f t="shared" si="49"/>
        <v>9</v>
      </c>
      <c r="J620">
        <f t="shared" si="48"/>
        <v>17</v>
      </c>
    </row>
    <row r="621" spans="1:10" x14ac:dyDescent="0.2">
      <c r="A621">
        <v>620</v>
      </c>
      <c r="B621" s="23">
        <v>45411</v>
      </c>
      <c r="C621">
        <f t="shared" si="53"/>
        <v>0</v>
      </c>
      <c r="D621">
        <v>1</v>
      </c>
      <c r="E621">
        <f t="shared" si="51"/>
        <v>1</v>
      </c>
      <c r="F621" t="str">
        <f t="shared" si="52"/>
        <v>Monday</v>
      </c>
      <c r="G621" t="s">
        <v>1945</v>
      </c>
      <c r="H621">
        <v>4</v>
      </c>
      <c r="I621">
        <f t="shared" si="49"/>
        <v>10</v>
      </c>
      <c r="J621">
        <f t="shared" si="48"/>
        <v>18</v>
      </c>
    </row>
    <row r="622" spans="1:10" x14ac:dyDescent="0.2">
      <c r="A622">
        <v>621</v>
      </c>
      <c r="B622" s="23">
        <v>45412</v>
      </c>
      <c r="C622">
        <f t="shared" si="53"/>
        <v>0</v>
      </c>
      <c r="D622">
        <v>1</v>
      </c>
      <c r="E622">
        <f t="shared" si="51"/>
        <v>1</v>
      </c>
      <c r="F622" t="str">
        <f t="shared" si="52"/>
        <v>Tuesday</v>
      </c>
      <c r="G622" t="s">
        <v>1945</v>
      </c>
      <c r="H622">
        <v>4</v>
      </c>
      <c r="I622">
        <f t="shared" si="49"/>
        <v>10</v>
      </c>
      <c r="J622">
        <f t="shared" si="48"/>
        <v>18</v>
      </c>
    </row>
    <row r="623" spans="1:10" x14ac:dyDescent="0.2">
      <c r="A623">
        <v>622</v>
      </c>
      <c r="B623" s="23">
        <v>45413</v>
      </c>
      <c r="C623">
        <f t="shared" si="53"/>
        <v>0</v>
      </c>
      <c r="D623">
        <v>1</v>
      </c>
      <c r="E623">
        <f t="shared" si="51"/>
        <v>1</v>
      </c>
      <c r="F623" t="str">
        <f t="shared" si="52"/>
        <v>Wednesday</v>
      </c>
      <c r="G623" t="s">
        <v>1945</v>
      </c>
      <c r="H623">
        <v>4</v>
      </c>
      <c r="I623">
        <f t="shared" si="49"/>
        <v>10</v>
      </c>
      <c r="J623">
        <f t="shared" si="48"/>
        <v>18</v>
      </c>
    </row>
    <row r="624" spans="1:10" x14ac:dyDescent="0.2">
      <c r="A624">
        <v>623</v>
      </c>
      <c r="B624" s="23">
        <v>45414</v>
      </c>
      <c r="C624">
        <f t="shared" si="53"/>
        <v>0</v>
      </c>
      <c r="D624">
        <v>1</v>
      </c>
      <c r="E624">
        <f t="shared" si="51"/>
        <v>1</v>
      </c>
      <c r="F624" t="str">
        <f t="shared" si="52"/>
        <v>Thursday</v>
      </c>
      <c r="G624" t="s">
        <v>1945</v>
      </c>
      <c r="H624">
        <v>4</v>
      </c>
      <c r="I624">
        <f t="shared" si="49"/>
        <v>10</v>
      </c>
      <c r="J624">
        <f t="shared" si="48"/>
        <v>18</v>
      </c>
    </row>
    <row r="625" spans="1:10" x14ac:dyDescent="0.2">
      <c r="A625">
        <v>624</v>
      </c>
      <c r="B625" s="23">
        <v>45415</v>
      </c>
      <c r="C625">
        <f t="shared" si="53"/>
        <v>0</v>
      </c>
      <c r="D625">
        <v>1</v>
      </c>
      <c r="E625">
        <f t="shared" si="51"/>
        <v>1</v>
      </c>
      <c r="F625" t="str">
        <f t="shared" si="52"/>
        <v>Friday</v>
      </c>
      <c r="G625" t="s">
        <v>1945</v>
      </c>
      <c r="H625">
        <v>4</v>
      </c>
      <c r="I625">
        <f t="shared" si="49"/>
        <v>10</v>
      </c>
      <c r="J625">
        <f t="shared" si="48"/>
        <v>18</v>
      </c>
    </row>
    <row r="626" spans="1:10" x14ac:dyDescent="0.2">
      <c r="A626">
        <v>625</v>
      </c>
      <c r="B626" s="23">
        <v>45416</v>
      </c>
      <c r="C626">
        <f t="shared" si="53"/>
        <v>1</v>
      </c>
      <c r="D626">
        <v>1</v>
      </c>
      <c r="E626">
        <f t="shared" si="51"/>
        <v>1</v>
      </c>
      <c r="F626" t="str">
        <f t="shared" si="52"/>
        <v>Saturday</v>
      </c>
      <c r="G626" t="s">
        <v>1945</v>
      </c>
      <c r="H626">
        <v>4</v>
      </c>
      <c r="I626">
        <f t="shared" si="49"/>
        <v>10</v>
      </c>
      <c r="J626">
        <f t="shared" si="48"/>
        <v>18</v>
      </c>
    </row>
    <row r="627" spans="1:10" x14ac:dyDescent="0.2">
      <c r="A627">
        <v>626</v>
      </c>
      <c r="B627" s="23">
        <v>45417</v>
      </c>
      <c r="C627">
        <f t="shared" si="53"/>
        <v>1</v>
      </c>
      <c r="D627">
        <v>1</v>
      </c>
      <c r="E627">
        <f t="shared" si="51"/>
        <v>1</v>
      </c>
      <c r="F627" t="str">
        <f t="shared" si="52"/>
        <v>Sunday</v>
      </c>
      <c r="G627" t="s">
        <v>1945</v>
      </c>
      <c r="H627">
        <v>4</v>
      </c>
      <c r="I627">
        <f t="shared" si="49"/>
        <v>10</v>
      </c>
      <c r="J627">
        <f t="shared" si="48"/>
        <v>18</v>
      </c>
    </row>
    <row r="628" spans="1:10" x14ac:dyDescent="0.2">
      <c r="A628">
        <v>627</v>
      </c>
      <c r="B628" s="23">
        <v>45418</v>
      </c>
      <c r="C628">
        <f t="shared" si="53"/>
        <v>0</v>
      </c>
      <c r="D628">
        <v>1</v>
      </c>
      <c r="E628">
        <f t="shared" si="51"/>
        <v>1</v>
      </c>
      <c r="F628" t="str">
        <f t="shared" si="52"/>
        <v>Monday</v>
      </c>
      <c r="G628" t="s">
        <v>1805</v>
      </c>
      <c r="H628">
        <v>5</v>
      </c>
      <c r="I628">
        <f t="shared" si="49"/>
        <v>1</v>
      </c>
      <c r="J628">
        <f t="shared" si="48"/>
        <v>19</v>
      </c>
    </row>
    <row r="629" spans="1:10" x14ac:dyDescent="0.2">
      <c r="A629">
        <v>628</v>
      </c>
      <c r="B629" s="23">
        <v>45419</v>
      </c>
      <c r="C629">
        <f t="shared" si="53"/>
        <v>0</v>
      </c>
      <c r="D629">
        <v>0</v>
      </c>
      <c r="E629">
        <f t="shared" si="51"/>
        <v>0</v>
      </c>
      <c r="F629" t="str">
        <f t="shared" si="52"/>
        <v>Tuesday</v>
      </c>
      <c r="H629">
        <v>5</v>
      </c>
      <c r="I629">
        <f t="shared" si="49"/>
        <v>1</v>
      </c>
      <c r="J629">
        <f t="shared" si="48"/>
        <v>19</v>
      </c>
    </row>
    <row r="630" spans="1:10" x14ac:dyDescent="0.2">
      <c r="A630">
        <v>629</v>
      </c>
      <c r="B630" s="23">
        <v>45420</v>
      </c>
      <c r="C630">
        <f t="shared" si="53"/>
        <v>0</v>
      </c>
      <c r="D630">
        <v>0</v>
      </c>
      <c r="E630">
        <f t="shared" si="51"/>
        <v>0</v>
      </c>
      <c r="F630" t="str">
        <f t="shared" si="52"/>
        <v>Wednesday</v>
      </c>
      <c r="H630">
        <v>5</v>
      </c>
      <c r="I630">
        <f t="shared" si="49"/>
        <v>1</v>
      </c>
      <c r="J630">
        <f t="shared" si="48"/>
        <v>19</v>
      </c>
    </row>
    <row r="631" spans="1:10" x14ac:dyDescent="0.2">
      <c r="A631">
        <v>630</v>
      </c>
      <c r="B631" s="23">
        <v>45421</v>
      </c>
      <c r="C631">
        <f t="shared" si="53"/>
        <v>0</v>
      </c>
      <c r="D631">
        <v>0</v>
      </c>
      <c r="E631">
        <f t="shared" si="51"/>
        <v>0</v>
      </c>
      <c r="F631" t="str">
        <f t="shared" si="52"/>
        <v>Thursday</v>
      </c>
      <c r="H631">
        <v>5</v>
      </c>
      <c r="I631">
        <f t="shared" si="49"/>
        <v>1</v>
      </c>
      <c r="J631">
        <f t="shared" si="48"/>
        <v>19</v>
      </c>
    </row>
    <row r="632" spans="1:10" x14ac:dyDescent="0.2">
      <c r="A632">
        <v>631</v>
      </c>
      <c r="B632" s="23">
        <v>45422</v>
      </c>
      <c r="C632">
        <f t="shared" si="53"/>
        <v>0</v>
      </c>
      <c r="D632">
        <v>0</v>
      </c>
      <c r="E632">
        <f t="shared" si="51"/>
        <v>0</v>
      </c>
      <c r="F632" t="str">
        <f t="shared" si="52"/>
        <v>Friday</v>
      </c>
      <c r="H632">
        <v>5</v>
      </c>
      <c r="I632">
        <f t="shared" si="49"/>
        <v>1</v>
      </c>
      <c r="J632">
        <f t="shared" si="48"/>
        <v>19</v>
      </c>
    </row>
    <row r="633" spans="1:10" x14ac:dyDescent="0.2">
      <c r="A633">
        <v>632</v>
      </c>
      <c r="B633" s="23">
        <v>45423</v>
      </c>
      <c r="C633">
        <f t="shared" si="53"/>
        <v>1</v>
      </c>
      <c r="D633">
        <v>0</v>
      </c>
      <c r="E633">
        <f t="shared" si="51"/>
        <v>1</v>
      </c>
      <c r="F633" t="str">
        <f t="shared" si="52"/>
        <v>Saturday</v>
      </c>
      <c r="H633">
        <v>5</v>
      </c>
      <c r="I633">
        <f t="shared" si="49"/>
        <v>1</v>
      </c>
      <c r="J633">
        <f t="shared" si="48"/>
        <v>19</v>
      </c>
    </row>
    <row r="634" spans="1:10" x14ac:dyDescent="0.2">
      <c r="A634">
        <v>633</v>
      </c>
      <c r="B634" s="23">
        <v>45424</v>
      </c>
      <c r="C634">
        <f t="shared" si="53"/>
        <v>1</v>
      </c>
      <c r="D634">
        <v>0</v>
      </c>
      <c r="E634">
        <f t="shared" si="51"/>
        <v>1</v>
      </c>
      <c r="F634" t="str">
        <f t="shared" si="52"/>
        <v>Sunday</v>
      </c>
      <c r="H634">
        <v>5</v>
      </c>
      <c r="I634">
        <f t="shared" si="49"/>
        <v>1</v>
      </c>
      <c r="J634">
        <f t="shared" si="48"/>
        <v>19</v>
      </c>
    </row>
    <row r="635" spans="1:10" x14ac:dyDescent="0.2">
      <c r="A635">
        <v>634</v>
      </c>
      <c r="B635" s="23">
        <v>45425</v>
      </c>
      <c r="C635">
        <f t="shared" si="53"/>
        <v>0</v>
      </c>
      <c r="D635">
        <v>0</v>
      </c>
      <c r="E635">
        <f t="shared" si="51"/>
        <v>0</v>
      </c>
      <c r="F635" t="str">
        <f t="shared" si="52"/>
        <v>Monday</v>
      </c>
      <c r="H635">
        <v>5</v>
      </c>
      <c r="I635">
        <f t="shared" si="49"/>
        <v>2</v>
      </c>
      <c r="J635">
        <f t="shared" si="48"/>
        <v>20</v>
      </c>
    </row>
    <row r="636" spans="1:10" x14ac:dyDescent="0.2">
      <c r="A636">
        <v>635</v>
      </c>
      <c r="B636" s="23">
        <v>45426</v>
      </c>
      <c r="C636">
        <f t="shared" si="53"/>
        <v>0</v>
      </c>
      <c r="D636">
        <v>0</v>
      </c>
      <c r="E636">
        <f t="shared" si="51"/>
        <v>0</v>
      </c>
      <c r="F636" t="str">
        <f t="shared" si="52"/>
        <v>Tuesday</v>
      </c>
      <c r="H636">
        <v>5</v>
      </c>
      <c r="I636">
        <f t="shared" si="49"/>
        <v>2</v>
      </c>
      <c r="J636">
        <f t="shared" si="48"/>
        <v>20</v>
      </c>
    </row>
    <row r="637" spans="1:10" x14ac:dyDescent="0.2">
      <c r="A637">
        <v>636</v>
      </c>
      <c r="B637" s="23">
        <v>45427</v>
      </c>
      <c r="C637">
        <f t="shared" si="53"/>
        <v>0</v>
      </c>
      <c r="D637">
        <v>0</v>
      </c>
      <c r="E637">
        <f t="shared" si="51"/>
        <v>0</v>
      </c>
      <c r="F637" t="str">
        <f t="shared" si="52"/>
        <v>Wednesday</v>
      </c>
      <c r="H637">
        <v>5</v>
      </c>
      <c r="I637">
        <f t="shared" si="49"/>
        <v>2</v>
      </c>
      <c r="J637">
        <f t="shared" si="48"/>
        <v>20</v>
      </c>
    </row>
    <row r="638" spans="1:10" x14ac:dyDescent="0.2">
      <c r="A638">
        <v>637</v>
      </c>
      <c r="B638" s="23">
        <v>45428</v>
      </c>
      <c r="C638">
        <f t="shared" si="53"/>
        <v>0</v>
      </c>
      <c r="D638">
        <v>0</v>
      </c>
      <c r="E638">
        <f t="shared" si="51"/>
        <v>0</v>
      </c>
      <c r="F638" t="str">
        <f t="shared" si="52"/>
        <v>Thursday</v>
      </c>
      <c r="H638">
        <v>5</v>
      </c>
      <c r="I638">
        <f t="shared" si="49"/>
        <v>2</v>
      </c>
      <c r="J638">
        <f t="shared" si="48"/>
        <v>20</v>
      </c>
    </row>
    <row r="639" spans="1:10" x14ac:dyDescent="0.2">
      <c r="A639">
        <v>638</v>
      </c>
      <c r="B639" s="23">
        <v>45429</v>
      </c>
      <c r="C639">
        <f t="shared" si="53"/>
        <v>0</v>
      </c>
      <c r="D639">
        <v>0</v>
      </c>
      <c r="E639">
        <f t="shared" si="51"/>
        <v>0</v>
      </c>
      <c r="F639" t="str">
        <f t="shared" si="52"/>
        <v>Friday</v>
      </c>
      <c r="H639">
        <v>5</v>
      </c>
      <c r="I639">
        <f t="shared" si="49"/>
        <v>2</v>
      </c>
      <c r="J639">
        <f t="shared" si="48"/>
        <v>20</v>
      </c>
    </row>
    <row r="640" spans="1:10" x14ac:dyDescent="0.2">
      <c r="A640">
        <v>639</v>
      </c>
      <c r="B640" s="23">
        <v>45430</v>
      </c>
      <c r="C640">
        <f t="shared" si="53"/>
        <v>1</v>
      </c>
      <c r="D640">
        <v>0</v>
      </c>
      <c r="E640">
        <f t="shared" si="51"/>
        <v>1</v>
      </c>
      <c r="F640" t="str">
        <f t="shared" si="52"/>
        <v>Saturday</v>
      </c>
      <c r="H640">
        <v>5</v>
      </c>
      <c r="I640">
        <f t="shared" si="49"/>
        <v>2</v>
      </c>
      <c r="J640">
        <f t="shared" si="48"/>
        <v>20</v>
      </c>
    </row>
    <row r="641" spans="1:10" x14ac:dyDescent="0.2">
      <c r="A641">
        <v>640</v>
      </c>
      <c r="B641" s="23">
        <v>45431</v>
      </c>
      <c r="C641">
        <f t="shared" si="53"/>
        <v>1</v>
      </c>
      <c r="D641">
        <v>0</v>
      </c>
      <c r="E641">
        <f t="shared" si="51"/>
        <v>1</v>
      </c>
      <c r="F641" t="str">
        <f t="shared" si="52"/>
        <v>Sunday</v>
      </c>
      <c r="H641">
        <v>5</v>
      </c>
      <c r="I641">
        <f t="shared" si="49"/>
        <v>2</v>
      </c>
      <c r="J641">
        <f t="shared" si="48"/>
        <v>20</v>
      </c>
    </row>
    <row r="642" spans="1:10" x14ac:dyDescent="0.2">
      <c r="A642">
        <v>641</v>
      </c>
      <c r="B642" s="23">
        <v>45432</v>
      </c>
      <c r="C642">
        <f t="shared" si="53"/>
        <v>0</v>
      </c>
      <c r="D642">
        <v>0</v>
      </c>
      <c r="E642">
        <f t="shared" si="51"/>
        <v>0</v>
      </c>
      <c r="F642" t="str">
        <f t="shared" si="52"/>
        <v>Monday</v>
      </c>
      <c r="H642">
        <v>5</v>
      </c>
      <c r="I642">
        <f t="shared" si="49"/>
        <v>3</v>
      </c>
      <c r="J642">
        <f t="shared" si="48"/>
        <v>21</v>
      </c>
    </row>
    <row r="643" spans="1:10" x14ac:dyDescent="0.2">
      <c r="A643">
        <v>642</v>
      </c>
      <c r="B643" s="23">
        <v>45433</v>
      </c>
      <c r="C643">
        <f t="shared" si="53"/>
        <v>0</v>
      </c>
      <c r="D643">
        <v>0</v>
      </c>
      <c r="E643">
        <f t="shared" si="51"/>
        <v>0</v>
      </c>
      <c r="F643" t="str">
        <f t="shared" si="52"/>
        <v>Tuesday</v>
      </c>
      <c r="H643">
        <v>5</v>
      </c>
      <c r="I643">
        <f t="shared" si="49"/>
        <v>3</v>
      </c>
      <c r="J643">
        <f t="shared" ref="J643:J706" si="54">_xlfn.ISOWEEKNUM(B643)</f>
        <v>21</v>
      </c>
    </row>
    <row r="644" spans="1:10" x14ac:dyDescent="0.2">
      <c r="A644">
        <v>643</v>
      </c>
      <c r="B644" s="23">
        <v>45434</v>
      </c>
      <c r="C644">
        <f t="shared" si="53"/>
        <v>0</v>
      </c>
      <c r="D644">
        <v>0</v>
      </c>
      <c r="E644">
        <f t="shared" si="51"/>
        <v>0</v>
      </c>
      <c r="F644" t="str">
        <f t="shared" si="52"/>
        <v>Wednesday</v>
      </c>
      <c r="H644">
        <v>5</v>
      </c>
      <c r="I644">
        <f t="shared" si="49"/>
        <v>3</v>
      </c>
      <c r="J644">
        <f t="shared" si="54"/>
        <v>21</v>
      </c>
    </row>
    <row r="645" spans="1:10" x14ac:dyDescent="0.2">
      <c r="A645">
        <v>644</v>
      </c>
      <c r="B645" s="23">
        <v>45435</v>
      </c>
      <c r="C645">
        <f t="shared" si="53"/>
        <v>0</v>
      </c>
      <c r="D645">
        <v>0</v>
      </c>
      <c r="E645">
        <f t="shared" si="51"/>
        <v>0</v>
      </c>
      <c r="F645" t="str">
        <f t="shared" si="52"/>
        <v>Thursday</v>
      </c>
      <c r="H645">
        <v>5</v>
      </c>
      <c r="I645">
        <f t="shared" si="49"/>
        <v>3</v>
      </c>
      <c r="J645">
        <f t="shared" si="54"/>
        <v>21</v>
      </c>
    </row>
    <row r="646" spans="1:10" x14ac:dyDescent="0.2">
      <c r="A646">
        <v>645</v>
      </c>
      <c r="B646" s="23">
        <v>45436</v>
      </c>
      <c r="C646">
        <f t="shared" si="53"/>
        <v>0</v>
      </c>
      <c r="D646">
        <v>0</v>
      </c>
      <c r="E646">
        <f t="shared" si="51"/>
        <v>0</v>
      </c>
      <c r="F646" t="str">
        <f t="shared" si="52"/>
        <v>Friday</v>
      </c>
      <c r="H646">
        <v>5</v>
      </c>
      <c r="I646">
        <f t="shared" ref="I646:I709" si="55">IF(J646&gt;J645, IF(H646&lt;&gt;H645,1, I645+1),I645)</f>
        <v>3</v>
      </c>
      <c r="J646">
        <f t="shared" si="54"/>
        <v>21</v>
      </c>
    </row>
    <row r="647" spans="1:10" x14ac:dyDescent="0.2">
      <c r="A647">
        <v>646</v>
      </c>
      <c r="B647" s="23">
        <v>45437</v>
      </c>
      <c r="C647">
        <f t="shared" si="53"/>
        <v>1</v>
      </c>
      <c r="D647">
        <v>0</v>
      </c>
      <c r="E647">
        <f t="shared" si="51"/>
        <v>1</v>
      </c>
      <c r="F647" t="str">
        <f t="shared" si="52"/>
        <v>Saturday</v>
      </c>
      <c r="H647">
        <v>5</v>
      </c>
      <c r="I647">
        <f t="shared" si="55"/>
        <v>3</v>
      </c>
      <c r="J647">
        <f t="shared" si="54"/>
        <v>21</v>
      </c>
    </row>
    <row r="648" spans="1:10" x14ac:dyDescent="0.2">
      <c r="A648">
        <v>647</v>
      </c>
      <c r="B648" s="23">
        <v>45438</v>
      </c>
      <c r="C648">
        <f t="shared" si="53"/>
        <v>1</v>
      </c>
      <c r="D648">
        <v>0</v>
      </c>
      <c r="E648">
        <f t="shared" si="51"/>
        <v>1</v>
      </c>
      <c r="F648" t="str">
        <f t="shared" si="52"/>
        <v>Sunday</v>
      </c>
      <c r="H648">
        <v>5</v>
      </c>
      <c r="I648">
        <f t="shared" si="55"/>
        <v>3</v>
      </c>
      <c r="J648">
        <f t="shared" si="54"/>
        <v>21</v>
      </c>
    </row>
    <row r="649" spans="1:10" x14ac:dyDescent="0.2">
      <c r="A649">
        <v>648</v>
      </c>
      <c r="B649" s="23">
        <v>45439</v>
      </c>
      <c r="C649">
        <f t="shared" si="53"/>
        <v>0</v>
      </c>
      <c r="D649">
        <v>0</v>
      </c>
      <c r="E649">
        <f t="shared" si="51"/>
        <v>0</v>
      </c>
      <c r="F649" t="str">
        <f t="shared" si="52"/>
        <v>Monday</v>
      </c>
      <c r="H649">
        <v>5</v>
      </c>
      <c r="I649">
        <f t="shared" si="55"/>
        <v>4</v>
      </c>
      <c r="J649">
        <f t="shared" si="54"/>
        <v>22</v>
      </c>
    </row>
    <row r="650" spans="1:10" x14ac:dyDescent="0.2">
      <c r="A650">
        <v>649</v>
      </c>
      <c r="B650" s="23">
        <v>45440</v>
      </c>
      <c r="C650">
        <f t="shared" si="53"/>
        <v>0</v>
      </c>
      <c r="D650">
        <v>0</v>
      </c>
      <c r="E650">
        <f t="shared" si="51"/>
        <v>0</v>
      </c>
      <c r="F650" t="str">
        <f t="shared" si="52"/>
        <v>Tuesday</v>
      </c>
      <c r="H650">
        <v>5</v>
      </c>
      <c r="I650">
        <f t="shared" si="55"/>
        <v>4</v>
      </c>
      <c r="J650">
        <f t="shared" si="54"/>
        <v>22</v>
      </c>
    </row>
    <row r="651" spans="1:10" x14ac:dyDescent="0.2">
      <c r="A651">
        <v>650</v>
      </c>
      <c r="B651" s="23">
        <v>45441</v>
      </c>
      <c r="C651">
        <f t="shared" si="53"/>
        <v>0</v>
      </c>
      <c r="D651">
        <v>0</v>
      </c>
      <c r="E651">
        <f t="shared" si="51"/>
        <v>0</v>
      </c>
      <c r="F651" t="str">
        <f t="shared" si="52"/>
        <v>Wednesday</v>
      </c>
      <c r="H651">
        <v>5</v>
      </c>
      <c r="I651">
        <f t="shared" si="55"/>
        <v>4</v>
      </c>
      <c r="J651">
        <f t="shared" si="54"/>
        <v>22</v>
      </c>
    </row>
    <row r="652" spans="1:10" x14ac:dyDescent="0.2">
      <c r="A652">
        <v>651</v>
      </c>
      <c r="B652" s="23">
        <v>45442</v>
      </c>
      <c r="C652">
        <f t="shared" si="53"/>
        <v>0</v>
      </c>
      <c r="D652">
        <v>0</v>
      </c>
      <c r="E652">
        <f t="shared" si="51"/>
        <v>0</v>
      </c>
      <c r="F652" t="str">
        <f t="shared" si="52"/>
        <v>Thursday</v>
      </c>
      <c r="H652">
        <v>5</v>
      </c>
      <c r="I652">
        <f t="shared" si="55"/>
        <v>4</v>
      </c>
      <c r="J652">
        <f t="shared" si="54"/>
        <v>22</v>
      </c>
    </row>
    <row r="653" spans="1:10" x14ac:dyDescent="0.2">
      <c r="A653">
        <v>652</v>
      </c>
      <c r="B653" s="23">
        <v>45443</v>
      </c>
      <c r="C653">
        <f t="shared" si="53"/>
        <v>0</v>
      </c>
      <c r="D653">
        <v>0</v>
      </c>
      <c r="E653">
        <f t="shared" ref="E653:E716" si="56">IF((C653+D653)&gt;0, 1, 0)</f>
        <v>0</v>
      </c>
      <c r="F653" t="str">
        <f t="shared" ref="F653:F716" si="57">TEXT(B653, "dddd")</f>
        <v>Friday</v>
      </c>
      <c r="H653">
        <v>5</v>
      </c>
      <c r="I653">
        <f t="shared" si="55"/>
        <v>4</v>
      </c>
      <c r="J653">
        <f t="shared" si="54"/>
        <v>22</v>
      </c>
    </row>
    <row r="654" spans="1:10" x14ac:dyDescent="0.2">
      <c r="A654">
        <v>653</v>
      </c>
      <c r="B654" s="23">
        <v>45444</v>
      </c>
      <c r="C654">
        <f t="shared" si="53"/>
        <v>1</v>
      </c>
      <c r="D654">
        <v>0</v>
      </c>
      <c r="E654">
        <f t="shared" si="56"/>
        <v>1</v>
      </c>
      <c r="F654" t="str">
        <f t="shared" si="57"/>
        <v>Saturday</v>
      </c>
      <c r="H654">
        <v>5</v>
      </c>
      <c r="I654">
        <f t="shared" si="55"/>
        <v>4</v>
      </c>
      <c r="J654">
        <f t="shared" si="54"/>
        <v>22</v>
      </c>
    </row>
    <row r="655" spans="1:10" x14ac:dyDescent="0.2">
      <c r="A655">
        <v>654</v>
      </c>
      <c r="B655" s="23">
        <v>45445</v>
      </c>
      <c r="C655">
        <f t="shared" si="53"/>
        <v>1</v>
      </c>
      <c r="D655">
        <v>0</v>
      </c>
      <c r="E655">
        <f t="shared" si="56"/>
        <v>1</v>
      </c>
      <c r="F655" t="str">
        <f t="shared" si="57"/>
        <v>Sunday</v>
      </c>
      <c r="H655">
        <v>5</v>
      </c>
      <c r="I655">
        <f t="shared" si="55"/>
        <v>4</v>
      </c>
      <c r="J655">
        <f t="shared" si="54"/>
        <v>22</v>
      </c>
    </row>
    <row r="656" spans="1:10" x14ac:dyDescent="0.2">
      <c r="A656">
        <v>655</v>
      </c>
      <c r="B656" s="23">
        <v>45446</v>
      </c>
      <c r="C656">
        <f t="shared" si="53"/>
        <v>0</v>
      </c>
      <c r="D656">
        <v>0</v>
      </c>
      <c r="E656">
        <f t="shared" si="56"/>
        <v>0</v>
      </c>
      <c r="F656" t="str">
        <f t="shared" si="57"/>
        <v>Monday</v>
      </c>
      <c r="H656">
        <v>5</v>
      </c>
      <c r="I656">
        <f t="shared" si="55"/>
        <v>5</v>
      </c>
      <c r="J656">
        <f t="shared" si="54"/>
        <v>23</v>
      </c>
    </row>
    <row r="657" spans="1:10" x14ac:dyDescent="0.2">
      <c r="A657">
        <v>656</v>
      </c>
      <c r="B657" s="23">
        <v>45447</v>
      </c>
      <c r="C657">
        <f t="shared" si="53"/>
        <v>0</v>
      </c>
      <c r="D657">
        <v>0</v>
      </c>
      <c r="E657">
        <f t="shared" si="56"/>
        <v>0</v>
      </c>
      <c r="F657" t="str">
        <f t="shared" si="57"/>
        <v>Tuesday</v>
      </c>
      <c r="H657">
        <v>5</v>
      </c>
      <c r="I657">
        <f t="shared" si="55"/>
        <v>5</v>
      </c>
      <c r="J657">
        <f t="shared" si="54"/>
        <v>23</v>
      </c>
    </row>
    <row r="658" spans="1:10" x14ac:dyDescent="0.2">
      <c r="A658">
        <v>657</v>
      </c>
      <c r="B658" s="23">
        <v>45448</v>
      </c>
      <c r="C658">
        <f t="shared" si="53"/>
        <v>0</v>
      </c>
      <c r="D658">
        <v>0</v>
      </c>
      <c r="E658">
        <f t="shared" si="56"/>
        <v>0</v>
      </c>
      <c r="F658" t="str">
        <f t="shared" si="57"/>
        <v>Wednesday</v>
      </c>
      <c r="H658">
        <v>5</v>
      </c>
      <c r="I658">
        <f t="shared" si="55"/>
        <v>5</v>
      </c>
      <c r="J658">
        <f t="shared" si="54"/>
        <v>23</v>
      </c>
    </row>
    <row r="659" spans="1:10" x14ac:dyDescent="0.2">
      <c r="A659">
        <v>658</v>
      </c>
      <c r="B659" s="23">
        <v>45449</v>
      </c>
      <c r="C659">
        <f t="shared" si="53"/>
        <v>0</v>
      </c>
      <c r="D659">
        <v>0</v>
      </c>
      <c r="E659">
        <f t="shared" si="56"/>
        <v>0</v>
      </c>
      <c r="F659" t="str">
        <f t="shared" si="57"/>
        <v>Thursday</v>
      </c>
      <c r="H659">
        <v>5</v>
      </c>
      <c r="I659">
        <f t="shared" si="55"/>
        <v>5</v>
      </c>
      <c r="J659">
        <f t="shared" si="54"/>
        <v>23</v>
      </c>
    </row>
    <row r="660" spans="1:10" x14ac:dyDescent="0.2">
      <c r="A660">
        <v>659</v>
      </c>
      <c r="B660" s="23">
        <v>45450</v>
      </c>
      <c r="C660">
        <f t="shared" si="53"/>
        <v>0</v>
      </c>
      <c r="D660">
        <v>0</v>
      </c>
      <c r="E660">
        <f t="shared" si="56"/>
        <v>0</v>
      </c>
      <c r="F660" t="str">
        <f t="shared" si="57"/>
        <v>Friday</v>
      </c>
      <c r="H660">
        <v>5</v>
      </c>
      <c r="I660">
        <f t="shared" si="55"/>
        <v>5</v>
      </c>
      <c r="J660">
        <f t="shared" si="54"/>
        <v>23</v>
      </c>
    </row>
    <row r="661" spans="1:10" x14ac:dyDescent="0.2">
      <c r="A661">
        <v>660</v>
      </c>
      <c r="B661" s="23">
        <v>45451</v>
      </c>
      <c r="C661">
        <f t="shared" si="53"/>
        <v>1</v>
      </c>
      <c r="D661">
        <v>0</v>
      </c>
      <c r="E661">
        <f t="shared" si="56"/>
        <v>1</v>
      </c>
      <c r="F661" t="str">
        <f t="shared" si="57"/>
        <v>Saturday</v>
      </c>
      <c r="H661">
        <v>5</v>
      </c>
      <c r="I661">
        <f t="shared" si="55"/>
        <v>5</v>
      </c>
      <c r="J661">
        <f t="shared" si="54"/>
        <v>23</v>
      </c>
    </row>
    <row r="662" spans="1:10" x14ac:dyDescent="0.2">
      <c r="A662">
        <v>661</v>
      </c>
      <c r="B662" s="23">
        <v>45452</v>
      </c>
      <c r="C662">
        <f t="shared" si="53"/>
        <v>1</v>
      </c>
      <c r="D662">
        <v>0</v>
      </c>
      <c r="E662">
        <f t="shared" si="56"/>
        <v>1</v>
      </c>
      <c r="F662" t="str">
        <f t="shared" si="57"/>
        <v>Sunday</v>
      </c>
      <c r="H662">
        <v>5</v>
      </c>
      <c r="I662">
        <f t="shared" si="55"/>
        <v>5</v>
      </c>
      <c r="J662">
        <f t="shared" si="54"/>
        <v>23</v>
      </c>
    </row>
    <row r="663" spans="1:10" x14ac:dyDescent="0.2">
      <c r="A663">
        <v>662</v>
      </c>
      <c r="B663" s="23">
        <v>45453</v>
      </c>
      <c r="C663">
        <f t="shared" si="53"/>
        <v>0</v>
      </c>
      <c r="D663">
        <v>0</v>
      </c>
      <c r="E663">
        <f t="shared" si="56"/>
        <v>0</v>
      </c>
      <c r="F663" t="str">
        <f t="shared" si="57"/>
        <v>Monday</v>
      </c>
      <c r="H663">
        <v>5</v>
      </c>
      <c r="I663">
        <f t="shared" si="55"/>
        <v>6</v>
      </c>
      <c r="J663">
        <f t="shared" si="54"/>
        <v>24</v>
      </c>
    </row>
    <row r="664" spans="1:10" x14ac:dyDescent="0.2">
      <c r="A664">
        <v>663</v>
      </c>
      <c r="B664" s="23">
        <v>45454</v>
      </c>
      <c r="C664">
        <f t="shared" si="53"/>
        <v>0</v>
      </c>
      <c r="D664">
        <v>0</v>
      </c>
      <c r="E664">
        <f t="shared" si="56"/>
        <v>0</v>
      </c>
      <c r="F664" t="str">
        <f t="shared" si="57"/>
        <v>Tuesday</v>
      </c>
      <c r="H664">
        <v>5</v>
      </c>
      <c r="I664">
        <f t="shared" si="55"/>
        <v>6</v>
      </c>
      <c r="J664">
        <f t="shared" si="54"/>
        <v>24</v>
      </c>
    </row>
    <row r="665" spans="1:10" x14ac:dyDescent="0.2">
      <c r="A665">
        <v>664</v>
      </c>
      <c r="B665" s="23">
        <v>45455</v>
      </c>
      <c r="C665">
        <f t="shared" si="53"/>
        <v>0</v>
      </c>
      <c r="D665">
        <v>0</v>
      </c>
      <c r="E665">
        <f t="shared" si="56"/>
        <v>0</v>
      </c>
      <c r="F665" t="str">
        <f t="shared" si="57"/>
        <v>Wednesday</v>
      </c>
      <c r="H665">
        <v>5</v>
      </c>
      <c r="I665">
        <f t="shared" si="55"/>
        <v>6</v>
      </c>
      <c r="J665">
        <f t="shared" si="54"/>
        <v>24</v>
      </c>
    </row>
    <row r="666" spans="1:10" x14ac:dyDescent="0.2">
      <c r="A666">
        <v>665</v>
      </c>
      <c r="B666" s="23">
        <v>45456</v>
      </c>
      <c r="C666">
        <f t="shared" si="53"/>
        <v>0</v>
      </c>
      <c r="D666">
        <v>0</v>
      </c>
      <c r="E666">
        <f t="shared" si="56"/>
        <v>0</v>
      </c>
      <c r="F666" t="str">
        <f t="shared" si="57"/>
        <v>Thursday</v>
      </c>
      <c r="H666">
        <v>5</v>
      </c>
      <c r="I666">
        <f t="shared" si="55"/>
        <v>6</v>
      </c>
      <c r="J666">
        <f t="shared" si="54"/>
        <v>24</v>
      </c>
    </row>
    <row r="667" spans="1:10" x14ac:dyDescent="0.2">
      <c r="A667">
        <v>666</v>
      </c>
      <c r="B667" s="23">
        <v>45457</v>
      </c>
      <c r="C667">
        <f t="shared" si="53"/>
        <v>0</v>
      </c>
      <c r="D667">
        <v>0</v>
      </c>
      <c r="E667">
        <f t="shared" si="56"/>
        <v>0</v>
      </c>
      <c r="F667" t="str">
        <f t="shared" si="57"/>
        <v>Friday</v>
      </c>
      <c r="H667">
        <v>5</v>
      </c>
      <c r="I667">
        <f t="shared" si="55"/>
        <v>6</v>
      </c>
      <c r="J667">
        <f t="shared" si="54"/>
        <v>24</v>
      </c>
    </row>
    <row r="668" spans="1:10" x14ac:dyDescent="0.2">
      <c r="A668">
        <v>667</v>
      </c>
      <c r="B668" s="23">
        <v>45458</v>
      </c>
      <c r="C668">
        <f t="shared" si="53"/>
        <v>1</v>
      </c>
      <c r="D668">
        <v>0</v>
      </c>
      <c r="E668">
        <f t="shared" si="56"/>
        <v>1</v>
      </c>
      <c r="F668" t="str">
        <f t="shared" si="57"/>
        <v>Saturday</v>
      </c>
      <c r="H668">
        <v>5</v>
      </c>
      <c r="I668">
        <f t="shared" si="55"/>
        <v>6</v>
      </c>
      <c r="J668">
        <f t="shared" si="54"/>
        <v>24</v>
      </c>
    </row>
    <row r="669" spans="1:10" x14ac:dyDescent="0.2">
      <c r="A669">
        <v>668</v>
      </c>
      <c r="B669" s="23">
        <v>45459</v>
      </c>
      <c r="C669">
        <f t="shared" si="53"/>
        <v>1</v>
      </c>
      <c r="D669">
        <v>0</v>
      </c>
      <c r="E669">
        <f t="shared" si="56"/>
        <v>1</v>
      </c>
      <c r="F669" t="str">
        <f t="shared" si="57"/>
        <v>Sunday</v>
      </c>
      <c r="H669">
        <v>5</v>
      </c>
      <c r="I669">
        <f t="shared" si="55"/>
        <v>6</v>
      </c>
      <c r="J669">
        <f t="shared" si="54"/>
        <v>24</v>
      </c>
    </row>
    <row r="670" spans="1:10" x14ac:dyDescent="0.2">
      <c r="A670">
        <v>669</v>
      </c>
      <c r="B670" s="23">
        <v>45460</v>
      </c>
      <c r="C670">
        <f t="shared" si="53"/>
        <v>0</v>
      </c>
      <c r="D670">
        <v>0</v>
      </c>
      <c r="E670">
        <f t="shared" si="56"/>
        <v>0</v>
      </c>
      <c r="F670" t="str">
        <f t="shared" si="57"/>
        <v>Monday</v>
      </c>
      <c r="H670">
        <v>5</v>
      </c>
      <c r="I670">
        <f t="shared" si="55"/>
        <v>7</v>
      </c>
      <c r="J670">
        <f t="shared" si="54"/>
        <v>25</v>
      </c>
    </row>
    <row r="671" spans="1:10" x14ac:dyDescent="0.2">
      <c r="A671">
        <v>670</v>
      </c>
      <c r="B671" s="23">
        <v>45461</v>
      </c>
      <c r="C671">
        <f t="shared" si="53"/>
        <v>0</v>
      </c>
      <c r="D671">
        <v>0</v>
      </c>
      <c r="E671">
        <f t="shared" si="56"/>
        <v>0</v>
      </c>
      <c r="F671" t="str">
        <f t="shared" si="57"/>
        <v>Tuesday</v>
      </c>
      <c r="H671">
        <v>5</v>
      </c>
      <c r="I671">
        <f t="shared" si="55"/>
        <v>7</v>
      </c>
      <c r="J671">
        <f t="shared" si="54"/>
        <v>25</v>
      </c>
    </row>
    <row r="672" spans="1:10" x14ac:dyDescent="0.2">
      <c r="A672">
        <v>671</v>
      </c>
      <c r="B672" s="23">
        <v>45462</v>
      </c>
      <c r="C672">
        <f t="shared" si="53"/>
        <v>0</v>
      </c>
      <c r="D672">
        <v>0</v>
      </c>
      <c r="E672">
        <f t="shared" si="56"/>
        <v>0</v>
      </c>
      <c r="F672" t="str">
        <f t="shared" si="57"/>
        <v>Wednesday</v>
      </c>
      <c r="H672">
        <v>5</v>
      </c>
      <c r="I672">
        <f t="shared" si="55"/>
        <v>7</v>
      </c>
      <c r="J672">
        <f t="shared" si="54"/>
        <v>25</v>
      </c>
    </row>
    <row r="673" spans="1:10" x14ac:dyDescent="0.2">
      <c r="A673">
        <v>672</v>
      </c>
      <c r="B673" s="23">
        <v>45463</v>
      </c>
      <c r="C673">
        <f t="shared" si="53"/>
        <v>0</v>
      </c>
      <c r="D673">
        <v>0</v>
      </c>
      <c r="E673">
        <f t="shared" si="56"/>
        <v>0</v>
      </c>
      <c r="F673" t="str">
        <f t="shared" si="57"/>
        <v>Thursday</v>
      </c>
      <c r="H673">
        <v>5</v>
      </c>
      <c r="I673">
        <f t="shared" si="55"/>
        <v>7</v>
      </c>
      <c r="J673">
        <f t="shared" si="54"/>
        <v>25</v>
      </c>
    </row>
    <row r="674" spans="1:10" x14ac:dyDescent="0.2">
      <c r="A674">
        <v>673</v>
      </c>
      <c r="B674" s="23">
        <v>45464</v>
      </c>
      <c r="C674">
        <f t="shared" si="53"/>
        <v>0</v>
      </c>
      <c r="D674">
        <v>0</v>
      </c>
      <c r="E674">
        <f t="shared" si="56"/>
        <v>0</v>
      </c>
      <c r="F674" t="str">
        <f t="shared" si="57"/>
        <v>Friday</v>
      </c>
      <c r="H674">
        <v>5</v>
      </c>
      <c r="I674">
        <f t="shared" si="55"/>
        <v>7</v>
      </c>
      <c r="J674">
        <f t="shared" si="54"/>
        <v>25</v>
      </c>
    </row>
    <row r="675" spans="1:10" x14ac:dyDescent="0.2">
      <c r="A675">
        <v>674</v>
      </c>
      <c r="B675" s="23">
        <v>45465</v>
      </c>
      <c r="C675">
        <f t="shared" si="53"/>
        <v>1</v>
      </c>
      <c r="D675">
        <v>0</v>
      </c>
      <c r="E675">
        <f t="shared" si="56"/>
        <v>1</v>
      </c>
      <c r="F675" t="str">
        <f t="shared" si="57"/>
        <v>Saturday</v>
      </c>
      <c r="H675">
        <v>5</v>
      </c>
      <c r="I675">
        <f t="shared" si="55"/>
        <v>7</v>
      </c>
      <c r="J675">
        <f t="shared" si="54"/>
        <v>25</v>
      </c>
    </row>
    <row r="676" spans="1:10" x14ac:dyDescent="0.2">
      <c r="A676">
        <v>675</v>
      </c>
      <c r="B676" s="23">
        <v>45466</v>
      </c>
      <c r="C676">
        <f t="shared" si="53"/>
        <v>1</v>
      </c>
      <c r="D676">
        <v>0</v>
      </c>
      <c r="E676">
        <f t="shared" si="56"/>
        <v>1</v>
      </c>
      <c r="F676" t="str">
        <f t="shared" si="57"/>
        <v>Sunday</v>
      </c>
      <c r="H676">
        <v>5</v>
      </c>
      <c r="I676">
        <f t="shared" si="55"/>
        <v>7</v>
      </c>
      <c r="J676">
        <f t="shared" si="54"/>
        <v>25</v>
      </c>
    </row>
    <row r="677" spans="1:10" x14ac:dyDescent="0.2">
      <c r="A677">
        <v>676</v>
      </c>
      <c r="B677" s="23">
        <v>45467</v>
      </c>
      <c r="C677">
        <f t="shared" si="53"/>
        <v>0</v>
      </c>
      <c r="D677">
        <v>0</v>
      </c>
      <c r="E677">
        <f t="shared" si="56"/>
        <v>0</v>
      </c>
      <c r="F677" t="str">
        <f t="shared" si="57"/>
        <v>Monday</v>
      </c>
      <c r="H677">
        <v>5</v>
      </c>
      <c r="I677">
        <f t="shared" si="55"/>
        <v>8</v>
      </c>
      <c r="J677">
        <f t="shared" si="54"/>
        <v>26</v>
      </c>
    </row>
    <row r="678" spans="1:10" x14ac:dyDescent="0.2">
      <c r="A678">
        <v>677</v>
      </c>
      <c r="B678" s="23">
        <v>45468</v>
      </c>
      <c r="C678">
        <f t="shared" si="53"/>
        <v>0</v>
      </c>
      <c r="D678">
        <v>0</v>
      </c>
      <c r="E678">
        <f t="shared" si="56"/>
        <v>0</v>
      </c>
      <c r="F678" t="str">
        <f t="shared" si="57"/>
        <v>Tuesday</v>
      </c>
      <c r="H678">
        <v>5</v>
      </c>
      <c r="I678">
        <f t="shared" si="55"/>
        <v>8</v>
      </c>
      <c r="J678">
        <f t="shared" si="54"/>
        <v>26</v>
      </c>
    </row>
    <row r="679" spans="1:10" x14ac:dyDescent="0.2">
      <c r="A679">
        <v>678</v>
      </c>
      <c r="B679" s="23">
        <v>45469</v>
      </c>
      <c r="C679">
        <f t="shared" si="53"/>
        <v>0</v>
      </c>
      <c r="D679">
        <v>0</v>
      </c>
      <c r="E679">
        <f t="shared" si="56"/>
        <v>0</v>
      </c>
      <c r="F679" t="str">
        <f t="shared" si="57"/>
        <v>Wednesday</v>
      </c>
      <c r="H679">
        <v>5</v>
      </c>
      <c r="I679">
        <f t="shared" si="55"/>
        <v>8</v>
      </c>
      <c r="J679">
        <f t="shared" si="54"/>
        <v>26</v>
      </c>
    </row>
    <row r="680" spans="1:10" x14ac:dyDescent="0.2">
      <c r="A680">
        <v>679</v>
      </c>
      <c r="B680" s="23">
        <v>45470</v>
      </c>
      <c r="C680">
        <f t="shared" si="53"/>
        <v>0</v>
      </c>
      <c r="D680">
        <v>0</v>
      </c>
      <c r="E680">
        <f t="shared" si="56"/>
        <v>0</v>
      </c>
      <c r="F680" t="str">
        <f t="shared" si="57"/>
        <v>Thursday</v>
      </c>
      <c r="H680">
        <v>5</v>
      </c>
      <c r="I680">
        <f t="shared" si="55"/>
        <v>8</v>
      </c>
      <c r="J680">
        <f t="shared" si="54"/>
        <v>26</v>
      </c>
    </row>
    <row r="681" spans="1:10" x14ac:dyDescent="0.2">
      <c r="A681">
        <v>680</v>
      </c>
      <c r="B681" s="23">
        <v>45471</v>
      </c>
      <c r="C681">
        <f t="shared" si="53"/>
        <v>0</v>
      </c>
      <c r="D681">
        <v>0</v>
      </c>
      <c r="E681">
        <f t="shared" si="56"/>
        <v>0</v>
      </c>
      <c r="F681" t="str">
        <f t="shared" si="57"/>
        <v>Friday</v>
      </c>
      <c r="H681">
        <v>5</v>
      </c>
      <c r="I681">
        <f t="shared" si="55"/>
        <v>8</v>
      </c>
      <c r="J681">
        <f t="shared" si="54"/>
        <v>26</v>
      </c>
    </row>
    <row r="682" spans="1:10" x14ac:dyDescent="0.2">
      <c r="A682">
        <v>681</v>
      </c>
      <c r="B682" s="23">
        <v>45472</v>
      </c>
      <c r="C682">
        <f t="shared" si="53"/>
        <v>1</v>
      </c>
      <c r="D682">
        <v>0</v>
      </c>
      <c r="E682">
        <f t="shared" si="56"/>
        <v>1</v>
      </c>
      <c r="F682" t="str">
        <f t="shared" si="57"/>
        <v>Saturday</v>
      </c>
      <c r="H682">
        <v>5</v>
      </c>
      <c r="I682">
        <f t="shared" si="55"/>
        <v>8</v>
      </c>
      <c r="J682">
        <f t="shared" si="54"/>
        <v>26</v>
      </c>
    </row>
    <row r="683" spans="1:10" x14ac:dyDescent="0.2">
      <c r="A683">
        <v>682</v>
      </c>
      <c r="B683" s="23">
        <v>45473</v>
      </c>
      <c r="C683">
        <f t="shared" si="53"/>
        <v>1</v>
      </c>
      <c r="D683">
        <v>0</v>
      </c>
      <c r="E683">
        <f t="shared" si="56"/>
        <v>1</v>
      </c>
      <c r="F683" t="str">
        <f t="shared" si="57"/>
        <v>Sunday</v>
      </c>
      <c r="H683">
        <v>5</v>
      </c>
      <c r="I683">
        <f t="shared" si="55"/>
        <v>8</v>
      </c>
      <c r="J683">
        <f t="shared" si="54"/>
        <v>26</v>
      </c>
    </row>
    <row r="684" spans="1:10" x14ac:dyDescent="0.2">
      <c r="A684">
        <v>683</v>
      </c>
      <c r="B684" s="23">
        <v>45474</v>
      </c>
      <c r="C684">
        <f t="shared" ref="C684:C745" si="58">IF(OR(WEEKDAY(B684) = 7, WEEKDAY(B684) = 1), 1, 0)</f>
        <v>0</v>
      </c>
      <c r="D684">
        <v>0</v>
      </c>
      <c r="E684">
        <f t="shared" si="56"/>
        <v>0</v>
      </c>
      <c r="F684" t="str">
        <f t="shared" si="57"/>
        <v>Monday</v>
      </c>
      <c r="H684">
        <v>5</v>
      </c>
      <c r="I684">
        <f t="shared" si="55"/>
        <v>9</v>
      </c>
      <c r="J684">
        <f t="shared" si="54"/>
        <v>27</v>
      </c>
    </row>
    <row r="685" spans="1:10" x14ac:dyDescent="0.2">
      <c r="A685">
        <v>684</v>
      </c>
      <c r="B685" s="23">
        <v>45475</v>
      </c>
      <c r="C685">
        <f t="shared" si="58"/>
        <v>0</v>
      </c>
      <c r="D685">
        <v>0</v>
      </c>
      <c r="E685">
        <f t="shared" si="56"/>
        <v>0</v>
      </c>
      <c r="F685" t="str">
        <f t="shared" si="57"/>
        <v>Tuesday</v>
      </c>
      <c r="H685">
        <v>5</v>
      </c>
      <c r="I685">
        <f t="shared" si="55"/>
        <v>9</v>
      </c>
      <c r="J685">
        <f t="shared" si="54"/>
        <v>27</v>
      </c>
    </row>
    <row r="686" spans="1:10" x14ac:dyDescent="0.2">
      <c r="A686">
        <v>685</v>
      </c>
      <c r="B686" s="23">
        <v>45476</v>
      </c>
      <c r="C686">
        <f t="shared" si="58"/>
        <v>0</v>
      </c>
      <c r="D686">
        <v>0</v>
      </c>
      <c r="E686">
        <f t="shared" si="56"/>
        <v>0</v>
      </c>
      <c r="F686" t="str">
        <f t="shared" si="57"/>
        <v>Wednesday</v>
      </c>
      <c r="H686">
        <v>5</v>
      </c>
      <c r="I686">
        <f t="shared" si="55"/>
        <v>9</v>
      </c>
      <c r="J686">
        <f t="shared" si="54"/>
        <v>27</v>
      </c>
    </row>
    <row r="687" spans="1:10" x14ac:dyDescent="0.2">
      <c r="A687">
        <v>686</v>
      </c>
      <c r="B687" s="23">
        <v>45477</v>
      </c>
      <c r="C687">
        <f t="shared" si="58"/>
        <v>0</v>
      </c>
      <c r="D687">
        <v>0</v>
      </c>
      <c r="E687">
        <f t="shared" si="56"/>
        <v>0</v>
      </c>
      <c r="F687" t="str">
        <f t="shared" si="57"/>
        <v>Thursday</v>
      </c>
      <c r="H687">
        <v>5</v>
      </c>
      <c r="I687">
        <f t="shared" si="55"/>
        <v>9</v>
      </c>
      <c r="J687">
        <f t="shared" si="54"/>
        <v>27</v>
      </c>
    </row>
    <row r="688" spans="1:10" x14ac:dyDescent="0.2">
      <c r="A688">
        <v>687</v>
      </c>
      <c r="B688" s="23">
        <v>45478</v>
      </c>
      <c r="C688">
        <f t="shared" si="58"/>
        <v>0</v>
      </c>
      <c r="D688">
        <v>0</v>
      </c>
      <c r="E688">
        <f t="shared" si="56"/>
        <v>0</v>
      </c>
      <c r="F688" t="str">
        <f t="shared" si="57"/>
        <v>Friday</v>
      </c>
      <c r="H688">
        <v>5</v>
      </c>
      <c r="I688">
        <f t="shared" si="55"/>
        <v>9</v>
      </c>
      <c r="J688">
        <f t="shared" si="54"/>
        <v>27</v>
      </c>
    </row>
    <row r="689" spans="1:10" x14ac:dyDescent="0.2">
      <c r="A689">
        <v>688</v>
      </c>
      <c r="B689" s="23">
        <v>45479</v>
      </c>
      <c r="C689">
        <f t="shared" si="58"/>
        <v>1</v>
      </c>
      <c r="D689">
        <v>0</v>
      </c>
      <c r="E689">
        <f t="shared" si="56"/>
        <v>1</v>
      </c>
      <c r="F689" t="str">
        <f t="shared" si="57"/>
        <v>Saturday</v>
      </c>
      <c r="H689">
        <v>5</v>
      </c>
      <c r="I689">
        <f t="shared" si="55"/>
        <v>9</v>
      </c>
      <c r="J689">
        <f t="shared" si="54"/>
        <v>27</v>
      </c>
    </row>
    <row r="690" spans="1:10" x14ac:dyDescent="0.2">
      <c r="A690">
        <v>689</v>
      </c>
      <c r="B690" s="23">
        <v>45480</v>
      </c>
      <c r="C690">
        <f t="shared" si="58"/>
        <v>1</v>
      </c>
      <c r="D690">
        <v>0</v>
      </c>
      <c r="E690">
        <f t="shared" si="56"/>
        <v>1</v>
      </c>
      <c r="F690" t="str">
        <f t="shared" si="57"/>
        <v>Sunday</v>
      </c>
      <c r="H690">
        <v>5</v>
      </c>
      <c r="I690">
        <f t="shared" si="55"/>
        <v>9</v>
      </c>
      <c r="J690">
        <f t="shared" si="54"/>
        <v>27</v>
      </c>
    </row>
    <row r="691" spans="1:10" x14ac:dyDescent="0.2">
      <c r="A691">
        <v>690</v>
      </c>
      <c r="B691" s="23">
        <v>45481</v>
      </c>
      <c r="C691">
        <f t="shared" si="58"/>
        <v>0</v>
      </c>
      <c r="D691">
        <v>0</v>
      </c>
      <c r="E691">
        <f t="shared" si="56"/>
        <v>0</v>
      </c>
      <c r="F691" t="str">
        <f t="shared" si="57"/>
        <v>Monday</v>
      </c>
      <c r="H691">
        <v>5</v>
      </c>
      <c r="I691">
        <f t="shared" si="55"/>
        <v>10</v>
      </c>
      <c r="J691">
        <f t="shared" si="54"/>
        <v>28</v>
      </c>
    </row>
    <row r="692" spans="1:10" x14ac:dyDescent="0.2">
      <c r="A692">
        <v>691</v>
      </c>
      <c r="B692" s="23">
        <v>45482</v>
      </c>
      <c r="C692">
        <f t="shared" si="58"/>
        <v>0</v>
      </c>
      <c r="D692">
        <v>0</v>
      </c>
      <c r="E692">
        <f t="shared" si="56"/>
        <v>0</v>
      </c>
      <c r="F692" t="str">
        <f t="shared" si="57"/>
        <v>Tuesday</v>
      </c>
      <c r="H692">
        <v>5</v>
      </c>
      <c r="I692">
        <f t="shared" si="55"/>
        <v>10</v>
      </c>
      <c r="J692">
        <f t="shared" si="54"/>
        <v>28</v>
      </c>
    </row>
    <row r="693" spans="1:10" x14ac:dyDescent="0.2">
      <c r="A693">
        <v>692</v>
      </c>
      <c r="B693" s="23">
        <v>45483</v>
      </c>
      <c r="C693">
        <f t="shared" si="58"/>
        <v>0</v>
      </c>
      <c r="D693">
        <v>0</v>
      </c>
      <c r="E693">
        <f t="shared" si="56"/>
        <v>0</v>
      </c>
      <c r="F693" t="str">
        <f t="shared" si="57"/>
        <v>Wednesday</v>
      </c>
      <c r="H693">
        <v>5</v>
      </c>
      <c r="I693">
        <f t="shared" si="55"/>
        <v>10</v>
      </c>
      <c r="J693">
        <f t="shared" si="54"/>
        <v>28</v>
      </c>
    </row>
    <row r="694" spans="1:10" x14ac:dyDescent="0.2">
      <c r="A694">
        <v>693</v>
      </c>
      <c r="B694" s="23">
        <v>45484</v>
      </c>
      <c r="C694">
        <f t="shared" si="58"/>
        <v>0</v>
      </c>
      <c r="D694">
        <v>0</v>
      </c>
      <c r="E694">
        <f t="shared" si="56"/>
        <v>0</v>
      </c>
      <c r="F694" t="str">
        <f t="shared" si="57"/>
        <v>Thursday</v>
      </c>
      <c r="H694">
        <v>5</v>
      </c>
      <c r="I694">
        <f t="shared" si="55"/>
        <v>10</v>
      </c>
      <c r="J694">
        <f t="shared" si="54"/>
        <v>28</v>
      </c>
    </row>
    <row r="695" spans="1:10" x14ac:dyDescent="0.2">
      <c r="A695">
        <v>694</v>
      </c>
      <c r="B695" s="23">
        <v>45485</v>
      </c>
      <c r="C695">
        <f t="shared" si="58"/>
        <v>0</v>
      </c>
      <c r="D695">
        <v>0</v>
      </c>
      <c r="E695">
        <f t="shared" si="56"/>
        <v>0</v>
      </c>
      <c r="F695" t="str">
        <f t="shared" si="57"/>
        <v>Friday</v>
      </c>
      <c r="H695">
        <v>5</v>
      </c>
      <c r="I695">
        <f t="shared" si="55"/>
        <v>10</v>
      </c>
      <c r="J695">
        <f t="shared" si="54"/>
        <v>28</v>
      </c>
    </row>
    <row r="696" spans="1:10" x14ac:dyDescent="0.2">
      <c r="A696">
        <v>695</v>
      </c>
      <c r="B696" s="23">
        <v>45486</v>
      </c>
      <c r="C696">
        <f t="shared" si="58"/>
        <v>1</v>
      </c>
      <c r="D696">
        <v>1</v>
      </c>
      <c r="E696">
        <f t="shared" si="56"/>
        <v>1</v>
      </c>
      <c r="F696" t="str">
        <f t="shared" si="57"/>
        <v>Saturday</v>
      </c>
      <c r="G696" t="s">
        <v>1947</v>
      </c>
      <c r="H696">
        <v>5</v>
      </c>
      <c r="I696">
        <f t="shared" si="55"/>
        <v>10</v>
      </c>
      <c r="J696">
        <f t="shared" si="54"/>
        <v>28</v>
      </c>
    </row>
    <row r="697" spans="1:10" x14ac:dyDescent="0.2">
      <c r="A697">
        <v>696</v>
      </c>
      <c r="B697" s="23">
        <v>45487</v>
      </c>
      <c r="C697">
        <f t="shared" si="58"/>
        <v>1</v>
      </c>
      <c r="D697">
        <v>1</v>
      </c>
      <c r="E697">
        <f t="shared" si="56"/>
        <v>1</v>
      </c>
      <c r="F697" t="str">
        <f t="shared" si="57"/>
        <v>Sunday</v>
      </c>
      <c r="G697" t="s">
        <v>1947</v>
      </c>
      <c r="H697">
        <v>5</v>
      </c>
      <c r="I697">
        <f t="shared" si="55"/>
        <v>10</v>
      </c>
      <c r="J697">
        <f t="shared" si="54"/>
        <v>28</v>
      </c>
    </row>
    <row r="698" spans="1:10" x14ac:dyDescent="0.2">
      <c r="A698">
        <v>697</v>
      </c>
      <c r="B698" s="23">
        <v>45488</v>
      </c>
      <c r="C698">
        <f t="shared" si="58"/>
        <v>0</v>
      </c>
      <c r="D698">
        <v>1</v>
      </c>
      <c r="E698">
        <f t="shared" si="56"/>
        <v>1</v>
      </c>
      <c r="F698" t="str">
        <f t="shared" si="57"/>
        <v>Monday</v>
      </c>
      <c r="G698" t="s">
        <v>1947</v>
      </c>
      <c r="H698">
        <v>5</v>
      </c>
      <c r="I698">
        <f t="shared" si="55"/>
        <v>11</v>
      </c>
      <c r="J698">
        <f t="shared" si="54"/>
        <v>29</v>
      </c>
    </row>
    <row r="699" spans="1:10" x14ac:dyDescent="0.2">
      <c r="A699">
        <v>698</v>
      </c>
      <c r="B699" s="23">
        <v>45489</v>
      </c>
      <c r="C699">
        <f t="shared" si="58"/>
        <v>0</v>
      </c>
      <c r="D699">
        <v>1</v>
      </c>
      <c r="E699">
        <f t="shared" si="56"/>
        <v>1</v>
      </c>
      <c r="F699" t="str">
        <f t="shared" si="57"/>
        <v>Tuesday</v>
      </c>
      <c r="G699" t="s">
        <v>1947</v>
      </c>
      <c r="H699">
        <v>5</v>
      </c>
      <c r="I699">
        <f t="shared" si="55"/>
        <v>11</v>
      </c>
      <c r="J699">
        <f t="shared" si="54"/>
        <v>29</v>
      </c>
    </row>
    <row r="700" spans="1:10" x14ac:dyDescent="0.2">
      <c r="A700">
        <v>699</v>
      </c>
      <c r="B700" s="23">
        <v>45490</v>
      </c>
      <c r="C700">
        <f t="shared" si="58"/>
        <v>0</v>
      </c>
      <c r="D700">
        <v>1</v>
      </c>
      <c r="E700">
        <f t="shared" si="56"/>
        <v>1</v>
      </c>
      <c r="F700" t="str">
        <f t="shared" si="57"/>
        <v>Wednesday</v>
      </c>
      <c r="G700" t="s">
        <v>1947</v>
      </c>
      <c r="H700">
        <v>5</v>
      </c>
      <c r="I700">
        <f t="shared" si="55"/>
        <v>11</v>
      </c>
      <c r="J700">
        <f t="shared" si="54"/>
        <v>29</v>
      </c>
    </row>
    <row r="701" spans="1:10" x14ac:dyDescent="0.2">
      <c r="A701">
        <v>700</v>
      </c>
      <c r="B701" s="23">
        <v>45491</v>
      </c>
      <c r="C701">
        <f t="shared" si="58"/>
        <v>0</v>
      </c>
      <c r="D701">
        <v>1</v>
      </c>
      <c r="E701">
        <f t="shared" si="56"/>
        <v>1</v>
      </c>
      <c r="F701" t="str">
        <f t="shared" si="57"/>
        <v>Thursday</v>
      </c>
      <c r="G701" t="s">
        <v>1947</v>
      </c>
      <c r="H701">
        <v>5</v>
      </c>
      <c r="I701">
        <f t="shared" si="55"/>
        <v>11</v>
      </c>
      <c r="J701">
        <f t="shared" si="54"/>
        <v>29</v>
      </c>
    </row>
    <row r="702" spans="1:10" x14ac:dyDescent="0.2">
      <c r="A702">
        <v>701</v>
      </c>
      <c r="B702" s="23">
        <v>45492</v>
      </c>
      <c r="C702">
        <f t="shared" si="58"/>
        <v>0</v>
      </c>
      <c r="D702">
        <v>1</v>
      </c>
      <c r="E702">
        <f t="shared" si="56"/>
        <v>1</v>
      </c>
      <c r="F702" t="str">
        <f t="shared" si="57"/>
        <v>Friday</v>
      </c>
      <c r="G702" t="s">
        <v>1947</v>
      </c>
      <c r="H702">
        <v>5</v>
      </c>
      <c r="I702">
        <f t="shared" si="55"/>
        <v>11</v>
      </c>
      <c r="J702">
        <f t="shared" si="54"/>
        <v>29</v>
      </c>
    </row>
    <row r="703" spans="1:10" x14ac:dyDescent="0.2">
      <c r="A703">
        <v>702</v>
      </c>
      <c r="B703" s="23">
        <v>45493</v>
      </c>
      <c r="C703">
        <f t="shared" si="58"/>
        <v>1</v>
      </c>
      <c r="D703">
        <v>1</v>
      </c>
      <c r="E703">
        <f t="shared" si="56"/>
        <v>1</v>
      </c>
      <c r="F703" t="str">
        <f t="shared" si="57"/>
        <v>Saturday</v>
      </c>
      <c r="G703" t="s">
        <v>1947</v>
      </c>
      <c r="H703">
        <v>5</v>
      </c>
      <c r="I703">
        <f t="shared" si="55"/>
        <v>11</v>
      </c>
      <c r="J703">
        <f t="shared" si="54"/>
        <v>29</v>
      </c>
    </row>
    <row r="704" spans="1:10" x14ac:dyDescent="0.2">
      <c r="A704">
        <v>703</v>
      </c>
      <c r="B704" s="23">
        <v>45494</v>
      </c>
      <c r="C704">
        <f t="shared" si="58"/>
        <v>1</v>
      </c>
      <c r="D704">
        <v>1</v>
      </c>
      <c r="E704">
        <f t="shared" si="56"/>
        <v>1</v>
      </c>
      <c r="F704" t="str">
        <f t="shared" si="57"/>
        <v>Sunday</v>
      </c>
      <c r="G704" t="s">
        <v>1947</v>
      </c>
      <c r="H704">
        <v>5</v>
      </c>
      <c r="I704">
        <f t="shared" si="55"/>
        <v>11</v>
      </c>
      <c r="J704">
        <f t="shared" si="54"/>
        <v>29</v>
      </c>
    </row>
    <row r="705" spans="1:10" x14ac:dyDescent="0.2">
      <c r="A705">
        <v>704</v>
      </c>
      <c r="B705" s="23">
        <v>45495</v>
      </c>
      <c r="C705">
        <f t="shared" si="58"/>
        <v>0</v>
      </c>
      <c r="D705">
        <v>1</v>
      </c>
      <c r="E705">
        <f t="shared" si="56"/>
        <v>1</v>
      </c>
      <c r="F705" t="str">
        <f t="shared" si="57"/>
        <v>Monday</v>
      </c>
      <c r="G705" t="s">
        <v>1947</v>
      </c>
      <c r="H705">
        <v>5</v>
      </c>
      <c r="I705">
        <f t="shared" si="55"/>
        <v>12</v>
      </c>
      <c r="J705">
        <f t="shared" si="54"/>
        <v>30</v>
      </c>
    </row>
    <row r="706" spans="1:10" x14ac:dyDescent="0.2">
      <c r="A706">
        <v>705</v>
      </c>
      <c r="B706" s="23">
        <v>45496</v>
      </c>
      <c r="C706">
        <f t="shared" si="58"/>
        <v>0</v>
      </c>
      <c r="D706">
        <v>1</v>
      </c>
      <c r="E706">
        <f t="shared" si="56"/>
        <v>1</v>
      </c>
      <c r="F706" t="str">
        <f t="shared" si="57"/>
        <v>Tuesday</v>
      </c>
      <c r="G706" t="s">
        <v>1947</v>
      </c>
      <c r="H706">
        <v>5</v>
      </c>
      <c r="I706">
        <f t="shared" si="55"/>
        <v>12</v>
      </c>
      <c r="J706">
        <f t="shared" si="54"/>
        <v>30</v>
      </c>
    </row>
    <row r="707" spans="1:10" x14ac:dyDescent="0.2">
      <c r="A707">
        <v>706</v>
      </c>
      <c r="B707" s="23">
        <v>45497</v>
      </c>
      <c r="C707">
        <f t="shared" si="58"/>
        <v>0</v>
      </c>
      <c r="D707">
        <v>1</v>
      </c>
      <c r="E707">
        <f t="shared" si="56"/>
        <v>1</v>
      </c>
      <c r="F707" t="str">
        <f t="shared" si="57"/>
        <v>Wednesday</v>
      </c>
      <c r="G707" t="s">
        <v>1947</v>
      </c>
      <c r="H707">
        <v>5</v>
      </c>
      <c r="I707">
        <f t="shared" si="55"/>
        <v>12</v>
      </c>
      <c r="J707">
        <f t="shared" ref="J707:J746" si="59">_xlfn.ISOWEEKNUM(B707)</f>
        <v>30</v>
      </c>
    </row>
    <row r="708" spans="1:10" x14ac:dyDescent="0.2">
      <c r="A708">
        <v>707</v>
      </c>
      <c r="B708" s="23">
        <v>45498</v>
      </c>
      <c r="C708">
        <f t="shared" si="58"/>
        <v>0</v>
      </c>
      <c r="D708">
        <v>1</v>
      </c>
      <c r="E708">
        <f t="shared" si="56"/>
        <v>1</v>
      </c>
      <c r="F708" t="str">
        <f t="shared" si="57"/>
        <v>Thursday</v>
      </c>
      <c r="G708" t="s">
        <v>1947</v>
      </c>
      <c r="H708">
        <v>5</v>
      </c>
      <c r="I708">
        <f t="shared" si="55"/>
        <v>12</v>
      </c>
      <c r="J708">
        <f t="shared" si="59"/>
        <v>30</v>
      </c>
    </row>
    <row r="709" spans="1:10" x14ac:dyDescent="0.2">
      <c r="A709">
        <v>708</v>
      </c>
      <c r="B709" s="23">
        <v>45499</v>
      </c>
      <c r="C709">
        <f t="shared" si="58"/>
        <v>0</v>
      </c>
      <c r="D709">
        <v>1</v>
      </c>
      <c r="E709">
        <f t="shared" si="56"/>
        <v>1</v>
      </c>
      <c r="F709" t="str">
        <f t="shared" si="57"/>
        <v>Friday</v>
      </c>
      <c r="G709" t="s">
        <v>1947</v>
      </c>
      <c r="H709">
        <v>5</v>
      </c>
      <c r="I709">
        <f t="shared" si="55"/>
        <v>12</v>
      </c>
      <c r="J709">
        <f t="shared" si="59"/>
        <v>30</v>
      </c>
    </row>
    <row r="710" spans="1:10" x14ac:dyDescent="0.2">
      <c r="A710">
        <v>709</v>
      </c>
      <c r="B710" s="23">
        <v>45500</v>
      </c>
      <c r="C710">
        <f t="shared" si="58"/>
        <v>1</v>
      </c>
      <c r="D710">
        <v>1</v>
      </c>
      <c r="E710">
        <f t="shared" si="56"/>
        <v>1</v>
      </c>
      <c r="F710" t="str">
        <f t="shared" si="57"/>
        <v>Saturday</v>
      </c>
      <c r="G710" t="s">
        <v>1947</v>
      </c>
      <c r="H710">
        <v>5</v>
      </c>
      <c r="I710">
        <f t="shared" ref="I710:I746" si="60">IF(J710&gt;J709, IF(H710&lt;&gt;H709,1, I709+1),I709)</f>
        <v>12</v>
      </c>
      <c r="J710">
        <f t="shared" si="59"/>
        <v>30</v>
      </c>
    </row>
    <row r="711" spans="1:10" x14ac:dyDescent="0.2">
      <c r="A711">
        <v>710</v>
      </c>
      <c r="B711" s="23">
        <v>45501</v>
      </c>
      <c r="C711">
        <f t="shared" si="58"/>
        <v>1</v>
      </c>
      <c r="D711">
        <v>1</v>
      </c>
      <c r="E711">
        <f t="shared" si="56"/>
        <v>1</v>
      </c>
      <c r="F711" t="str">
        <f t="shared" si="57"/>
        <v>Sunday</v>
      </c>
      <c r="G711" t="s">
        <v>1947</v>
      </c>
      <c r="H711">
        <v>5</v>
      </c>
      <c r="I711">
        <f t="shared" si="60"/>
        <v>12</v>
      </c>
      <c r="J711">
        <f t="shared" si="59"/>
        <v>30</v>
      </c>
    </row>
    <row r="712" spans="1:10" x14ac:dyDescent="0.2">
      <c r="A712">
        <v>711</v>
      </c>
      <c r="B712" s="23">
        <v>45502</v>
      </c>
      <c r="C712">
        <f t="shared" si="58"/>
        <v>0</v>
      </c>
      <c r="D712">
        <v>1</v>
      </c>
      <c r="E712">
        <f t="shared" si="56"/>
        <v>1</v>
      </c>
      <c r="F712" t="str">
        <f t="shared" si="57"/>
        <v>Monday</v>
      </c>
      <c r="G712" t="s">
        <v>1947</v>
      </c>
      <c r="H712">
        <v>5</v>
      </c>
      <c r="I712">
        <f t="shared" si="60"/>
        <v>13</v>
      </c>
      <c r="J712">
        <f t="shared" si="59"/>
        <v>31</v>
      </c>
    </row>
    <row r="713" spans="1:10" x14ac:dyDescent="0.2">
      <c r="A713">
        <v>712</v>
      </c>
      <c r="B713" s="23">
        <v>45503</v>
      </c>
      <c r="C713">
        <f t="shared" si="58"/>
        <v>0</v>
      </c>
      <c r="D713">
        <v>1</v>
      </c>
      <c r="E713">
        <f t="shared" si="56"/>
        <v>1</v>
      </c>
      <c r="F713" t="str">
        <f t="shared" si="57"/>
        <v>Tuesday</v>
      </c>
      <c r="G713" t="s">
        <v>1947</v>
      </c>
      <c r="H713">
        <v>5</v>
      </c>
      <c r="I713">
        <f t="shared" si="60"/>
        <v>13</v>
      </c>
      <c r="J713">
        <f t="shared" si="59"/>
        <v>31</v>
      </c>
    </row>
    <row r="714" spans="1:10" x14ac:dyDescent="0.2">
      <c r="A714">
        <v>713</v>
      </c>
      <c r="B714" s="23">
        <v>45504</v>
      </c>
      <c r="C714">
        <f t="shared" si="58"/>
        <v>0</v>
      </c>
      <c r="D714">
        <v>1</v>
      </c>
      <c r="E714">
        <f t="shared" si="56"/>
        <v>1</v>
      </c>
      <c r="F714" t="str">
        <f t="shared" si="57"/>
        <v>Wednesday</v>
      </c>
      <c r="G714" t="s">
        <v>1947</v>
      </c>
      <c r="H714">
        <v>5</v>
      </c>
      <c r="I714">
        <f t="shared" si="60"/>
        <v>13</v>
      </c>
      <c r="J714">
        <f t="shared" si="59"/>
        <v>31</v>
      </c>
    </row>
    <row r="715" spans="1:10" x14ac:dyDescent="0.2">
      <c r="A715">
        <v>714</v>
      </c>
      <c r="B715" s="23">
        <v>45505</v>
      </c>
      <c r="C715">
        <f t="shared" si="58"/>
        <v>0</v>
      </c>
      <c r="D715">
        <v>1</v>
      </c>
      <c r="E715">
        <f t="shared" si="56"/>
        <v>1</v>
      </c>
      <c r="F715" t="str">
        <f t="shared" si="57"/>
        <v>Thursday</v>
      </c>
      <c r="G715" t="s">
        <v>1947</v>
      </c>
      <c r="H715">
        <v>5</v>
      </c>
      <c r="I715">
        <f t="shared" si="60"/>
        <v>13</v>
      </c>
      <c r="J715">
        <f t="shared" si="59"/>
        <v>31</v>
      </c>
    </row>
    <row r="716" spans="1:10" x14ac:dyDescent="0.2">
      <c r="A716">
        <v>715</v>
      </c>
      <c r="B716" s="23">
        <v>45506</v>
      </c>
      <c r="C716">
        <f t="shared" si="58"/>
        <v>0</v>
      </c>
      <c r="D716">
        <v>1</v>
      </c>
      <c r="E716">
        <f t="shared" si="56"/>
        <v>1</v>
      </c>
      <c r="F716" t="str">
        <f t="shared" si="57"/>
        <v>Friday</v>
      </c>
      <c r="G716" t="s">
        <v>1947</v>
      </c>
      <c r="H716">
        <v>5</v>
      </c>
      <c r="I716">
        <f t="shared" si="60"/>
        <v>13</v>
      </c>
      <c r="J716">
        <f t="shared" si="59"/>
        <v>31</v>
      </c>
    </row>
    <row r="717" spans="1:10" x14ac:dyDescent="0.2">
      <c r="A717">
        <v>716</v>
      </c>
      <c r="B717" s="23">
        <v>45507</v>
      </c>
      <c r="C717">
        <f t="shared" si="58"/>
        <v>1</v>
      </c>
      <c r="D717">
        <v>1</v>
      </c>
      <c r="E717">
        <f t="shared" ref="E717:E780" si="61">IF((C717+D717)&gt;0, 1, 0)</f>
        <v>1</v>
      </c>
      <c r="F717" t="str">
        <f t="shared" ref="F717:F780" si="62">TEXT(B717, "dddd")</f>
        <v>Saturday</v>
      </c>
      <c r="G717" t="s">
        <v>1947</v>
      </c>
      <c r="H717">
        <v>5</v>
      </c>
      <c r="I717">
        <f t="shared" si="60"/>
        <v>13</v>
      </c>
      <c r="J717">
        <f t="shared" si="59"/>
        <v>31</v>
      </c>
    </row>
    <row r="718" spans="1:10" x14ac:dyDescent="0.2">
      <c r="A718">
        <v>717</v>
      </c>
      <c r="B718" s="23">
        <v>45508</v>
      </c>
      <c r="C718">
        <f t="shared" si="58"/>
        <v>1</v>
      </c>
      <c r="D718">
        <v>1</v>
      </c>
      <c r="E718">
        <f t="shared" si="61"/>
        <v>1</v>
      </c>
      <c r="F718" t="str">
        <f t="shared" si="62"/>
        <v>Sunday</v>
      </c>
      <c r="G718" t="s">
        <v>1947</v>
      </c>
      <c r="H718">
        <v>5</v>
      </c>
      <c r="I718">
        <f t="shared" si="60"/>
        <v>13</v>
      </c>
      <c r="J718">
        <f t="shared" si="59"/>
        <v>31</v>
      </c>
    </row>
    <row r="719" spans="1:10" x14ac:dyDescent="0.2">
      <c r="A719">
        <v>718</v>
      </c>
      <c r="B719" s="23">
        <v>45509</v>
      </c>
      <c r="C719">
        <f t="shared" si="58"/>
        <v>0</v>
      </c>
      <c r="D719">
        <v>1</v>
      </c>
      <c r="E719">
        <f t="shared" si="61"/>
        <v>1</v>
      </c>
      <c r="F719" t="str">
        <f t="shared" si="62"/>
        <v>Monday</v>
      </c>
      <c r="G719" t="s">
        <v>1947</v>
      </c>
      <c r="H719">
        <v>5</v>
      </c>
      <c r="I719">
        <f t="shared" si="60"/>
        <v>14</v>
      </c>
      <c r="J719">
        <f t="shared" si="59"/>
        <v>32</v>
      </c>
    </row>
    <row r="720" spans="1:10" x14ac:dyDescent="0.2">
      <c r="A720">
        <v>719</v>
      </c>
      <c r="B720" s="23">
        <v>45510</v>
      </c>
      <c r="C720">
        <f t="shared" si="58"/>
        <v>0</v>
      </c>
      <c r="D720">
        <v>1</v>
      </c>
      <c r="E720">
        <f t="shared" si="61"/>
        <v>1</v>
      </c>
      <c r="F720" t="str">
        <f t="shared" si="62"/>
        <v>Tuesday</v>
      </c>
      <c r="G720" t="s">
        <v>1947</v>
      </c>
      <c r="H720">
        <v>5</v>
      </c>
      <c r="I720">
        <f t="shared" si="60"/>
        <v>14</v>
      </c>
      <c r="J720">
        <f t="shared" si="59"/>
        <v>32</v>
      </c>
    </row>
    <row r="721" spans="1:10" x14ac:dyDescent="0.2">
      <c r="A721">
        <v>720</v>
      </c>
      <c r="B721" s="23">
        <v>45511</v>
      </c>
      <c r="C721">
        <f t="shared" si="58"/>
        <v>0</v>
      </c>
      <c r="D721">
        <v>1</v>
      </c>
      <c r="E721">
        <f t="shared" si="61"/>
        <v>1</v>
      </c>
      <c r="F721" t="str">
        <f t="shared" si="62"/>
        <v>Wednesday</v>
      </c>
      <c r="G721" t="s">
        <v>1947</v>
      </c>
      <c r="H721">
        <v>5</v>
      </c>
      <c r="I721">
        <f t="shared" si="60"/>
        <v>14</v>
      </c>
      <c r="J721">
        <f t="shared" si="59"/>
        <v>32</v>
      </c>
    </row>
    <row r="722" spans="1:10" x14ac:dyDescent="0.2">
      <c r="A722">
        <v>721</v>
      </c>
      <c r="B722" s="23">
        <v>45512</v>
      </c>
      <c r="C722">
        <f t="shared" si="58"/>
        <v>0</v>
      </c>
      <c r="D722">
        <v>1</v>
      </c>
      <c r="E722">
        <f t="shared" si="61"/>
        <v>1</v>
      </c>
      <c r="F722" t="str">
        <f t="shared" si="62"/>
        <v>Thursday</v>
      </c>
      <c r="G722" t="s">
        <v>1947</v>
      </c>
      <c r="H722">
        <v>5</v>
      </c>
      <c r="I722">
        <f t="shared" si="60"/>
        <v>14</v>
      </c>
      <c r="J722">
        <f t="shared" si="59"/>
        <v>32</v>
      </c>
    </row>
    <row r="723" spans="1:10" x14ac:dyDescent="0.2">
      <c r="A723">
        <v>722</v>
      </c>
      <c r="B723" s="23">
        <v>45513</v>
      </c>
      <c r="C723">
        <f t="shared" si="58"/>
        <v>0</v>
      </c>
      <c r="D723">
        <v>1</v>
      </c>
      <c r="E723">
        <f t="shared" si="61"/>
        <v>1</v>
      </c>
      <c r="F723" t="str">
        <f t="shared" si="62"/>
        <v>Friday</v>
      </c>
      <c r="G723" t="s">
        <v>1947</v>
      </c>
      <c r="H723">
        <v>5</v>
      </c>
      <c r="I723">
        <f t="shared" si="60"/>
        <v>14</v>
      </c>
      <c r="J723">
        <f t="shared" si="59"/>
        <v>32</v>
      </c>
    </row>
    <row r="724" spans="1:10" x14ac:dyDescent="0.2">
      <c r="A724">
        <v>723</v>
      </c>
      <c r="B724" s="23">
        <v>45514</v>
      </c>
      <c r="C724">
        <f t="shared" si="58"/>
        <v>1</v>
      </c>
      <c r="D724">
        <v>1</v>
      </c>
      <c r="E724">
        <f t="shared" si="61"/>
        <v>1</v>
      </c>
      <c r="F724" t="str">
        <f t="shared" si="62"/>
        <v>Saturday</v>
      </c>
      <c r="G724" t="s">
        <v>1947</v>
      </c>
      <c r="H724">
        <v>5</v>
      </c>
      <c r="I724">
        <f t="shared" si="60"/>
        <v>14</v>
      </c>
      <c r="J724">
        <f t="shared" si="59"/>
        <v>32</v>
      </c>
    </row>
    <row r="725" spans="1:10" x14ac:dyDescent="0.2">
      <c r="A725">
        <v>724</v>
      </c>
      <c r="B725" s="23">
        <v>45515</v>
      </c>
      <c r="C725">
        <f t="shared" si="58"/>
        <v>1</v>
      </c>
      <c r="D725">
        <v>1</v>
      </c>
      <c r="E725">
        <f t="shared" si="61"/>
        <v>1</v>
      </c>
      <c r="F725" t="str">
        <f t="shared" si="62"/>
        <v>Sunday</v>
      </c>
      <c r="G725" t="s">
        <v>1947</v>
      </c>
      <c r="H725">
        <v>5</v>
      </c>
      <c r="I725">
        <f t="shared" si="60"/>
        <v>14</v>
      </c>
      <c r="J725">
        <f t="shared" si="59"/>
        <v>32</v>
      </c>
    </row>
    <row r="726" spans="1:10" x14ac:dyDescent="0.2">
      <c r="A726">
        <v>725</v>
      </c>
      <c r="B726" s="23">
        <v>45516</v>
      </c>
      <c r="C726">
        <f t="shared" si="58"/>
        <v>0</v>
      </c>
      <c r="D726">
        <v>1</v>
      </c>
      <c r="E726">
        <f t="shared" si="61"/>
        <v>1</v>
      </c>
      <c r="F726" t="str">
        <f t="shared" si="62"/>
        <v>Monday</v>
      </c>
      <c r="G726" t="s">
        <v>1947</v>
      </c>
      <c r="H726">
        <v>5</v>
      </c>
      <c r="I726">
        <f t="shared" si="60"/>
        <v>15</v>
      </c>
      <c r="J726">
        <f t="shared" si="59"/>
        <v>33</v>
      </c>
    </row>
    <row r="727" spans="1:10" x14ac:dyDescent="0.2">
      <c r="A727">
        <v>726</v>
      </c>
      <c r="B727" s="23">
        <v>45517</v>
      </c>
      <c r="C727">
        <f t="shared" si="58"/>
        <v>0</v>
      </c>
      <c r="D727">
        <v>1</v>
      </c>
      <c r="E727">
        <f t="shared" si="61"/>
        <v>1</v>
      </c>
      <c r="F727" t="str">
        <f t="shared" si="62"/>
        <v>Tuesday</v>
      </c>
      <c r="G727" t="s">
        <v>1947</v>
      </c>
      <c r="H727">
        <v>5</v>
      </c>
      <c r="I727">
        <f t="shared" si="60"/>
        <v>15</v>
      </c>
      <c r="J727">
        <f t="shared" si="59"/>
        <v>33</v>
      </c>
    </row>
    <row r="728" spans="1:10" x14ac:dyDescent="0.2">
      <c r="A728">
        <v>727</v>
      </c>
      <c r="B728" s="23">
        <v>45518</v>
      </c>
      <c r="C728">
        <f t="shared" si="58"/>
        <v>0</v>
      </c>
      <c r="D728">
        <v>1</v>
      </c>
      <c r="E728">
        <f t="shared" si="61"/>
        <v>1</v>
      </c>
      <c r="F728" t="str">
        <f t="shared" si="62"/>
        <v>Wednesday</v>
      </c>
      <c r="G728" t="s">
        <v>1947</v>
      </c>
      <c r="H728">
        <v>5</v>
      </c>
      <c r="I728">
        <f t="shared" si="60"/>
        <v>15</v>
      </c>
      <c r="J728">
        <f t="shared" si="59"/>
        <v>33</v>
      </c>
    </row>
    <row r="729" spans="1:10" x14ac:dyDescent="0.2">
      <c r="A729">
        <v>728</v>
      </c>
      <c r="B729" s="23">
        <v>45519</v>
      </c>
      <c r="C729">
        <f t="shared" si="58"/>
        <v>0</v>
      </c>
      <c r="D729">
        <v>1</v>
      </c>
      <c r="E729">
        <f t="shared" si="61"/>
        <v>1</v>
      </c>
      <c r="F729" t="str">
        <f t="shared" si="62"/>
        <v>Thursday</v>
      </c>
      <c r="G729" t="s">
        <v>1947</v>
      </c>
      <c r="H729">
        <v>5</v>
      </c>
      <c r="I729">
        <f t="shared" si="60"/>
        <v>15</v>
      </c>
      <c r="J729">
        <f t="shared" si="59"/>
        <v>33</v>
      </c>
    </row>
    <row r="730" spans="1:10" x14ac:dyDescent="0.2">
      <c r="A730">
        <v>729</v>
      </c>
      <c r="B730" s="23">
        <v>45520</v>
      </c>
      <c r="C730">
        <f t="shared" si="58"/>
        <v>0</v>
      </c>
      <c r="D730">
        <v>1</v>
      </c>
      <c r="E730">
        <f t="shared" si="61"/>
        <v>1</v>
      </c>
      <c r="F730" t="str">
        <f t="shared" si="62"/>
        <v>Friday</v>
      </c>
      <c r="G730" t="s">
        <v>1947</v>
      </c>
      <c r="H730">
        <v>5</v>
      </c>
      <c r="I730">
        <f t="shared" si="60"/>
        <v>15</v>
      </c>
      <c r="J730">
        <f t="shared" si="59"/>
        <v>33</v>
      </c>
    </row>
    <row r="731" spans="1:10" x14ac:dyDescent="0.2">
      <c r="A731">
        <v>730</v>
      </c>
      <c r="B731" s="23">
        <v>45521</v>
      </c>
      <c r="C731">
        <f t="shared" si="58"/>
        <v>1</v>
      </c>
      <c r="D731">
        <v>1</v>
      </c>
      <c r="E731">
        <f t="shared" si="61"/>
        <v>1</v>
      </c>
      <c r="F731" t="str">
        <f t="shared" si="62"/>
        <v>Saturday</v>
      </c>
      <c r="G731" t="s">
        <v>1947</v>
      </c>
      <c r="H731">
        <v>5</v>
      </c>
      <c r="I731">
        <f t="shared" si="60"/>
        <v>15</v>
      </c>
      <c r="J731">
        <f t="shared" si="59"/>
        <v>33</v>
      </c>
    </row>
    <row r="732" spans="1:10" x14ac:dyDescent="0.2">
      <c r="A732">
        <v>731</v>
      </c>
      <c r="B732" s="23">
        <v>45522</v>
      </c>
      <c r="C732">
        <f t="shared" si="58"/>
        <v>1</v>
      </c>
      <c r="D732">
        <v>1</v>
      </c>
      <c r="E732">
        <f t="shared" si="61"/>
        <v>1</v>
      </c>
      <c r="F732" t="str">
        <f t="shared" si="62"/>
        <v>Sunday</v>
      </c>
      <c r="G732" t="s">
        <v>1947</v>
      </c>
      <c r="H732">
        <v>5</v>
      </c>
      <c r="I732">
        <f t="shared" si="60"/>
        <v>15</v>
      </c>
      <c r="J732">
        <f t="shared" si="59"/>
        <v>33</v>
      </c>
    </row>
    <row r="733" spans="1:10" x14ac:dyDescent="0.2">
      <c r="A733">
        <v>732</v>
      </c>
      <c r="B733" s="23">
        <v>45523</v>
      </c>
      <c r="C733">
        <f t="shared" si="58"/>
        <v>0</v>
      </c>
      <c r="D733">
        <v>1</v>
      </c>
      <c r="E733">
        <f t="shared" si="61"/>
        <v>1</v>
      </c>
      <c r="F733" t="str">
        <f t="shared" si="62"/>
        <v>Monday</v>
      </c>
      <c r="G733" t="s">
        <v>1947</v>
      </c>
      <c r="H733">
        <v>5</v>
      </c>
      <c r="I733">
        <f t="shared" si="60"/>
        <v>16</v>
      </c>
      <c r="J733">
        <f t="shared" si="59"/>
        <v>34</v>
      </c>
    </row>
    <row r="734" spans="1:10" x14ac:dyDescent="0.2">
      <c r="A734">
        <v>733</v>
      </c>
      <c r="B734" s="23">
        <v>45524</v>
      </c>
      <c r="C734">
        <f t="shared" si="58"/>
        <v>0</v>
      </c>
      <c r="D734">
        <v>1</v>
      </c>
      <c r="E734">
        <f t="shared" si="61"/>
        <v>1</v>
      </c>
      <c r="F734" t="str">
        <f t="shared" si="62"/>
        <v>Tuesday</v>
      </c>
      <c r="G734" t="s">
        <v>1947</v>
      </c>
      <c r="H734">
        <v>5</v>
      </c>
      <c r="I734">
        <f t="shared" si="60"/>
        <v>16</v>
      </c>
      <c r="J734">
        <f t="shared" si="59"/>
        <v>34</v>
      </c>
    </row>
    <row r="735" spans="1:10" x14ac:dyDescent="0.2">
      <c r="A735">
        <v>734</v>
      </c>
      <c r="B735" s="23">
        <v>45525</v>
      </c>
      <c r="C735">
        <f t="shared" si="58"/>
        <v>0</v>
      </c>
      <c r="D735">
        <v>1</v>
      </c>
      <c r="E735">
        <f t="shared" si="61"/>
        <v>1</v>
      </c>
      <c r="F735" t="str">
        <f t="shared" si="62"/>
        <v>Wednesday</v>
      </c>
      <c r="G735" t="s">
        <v>1947</v>
      </c>
      <c r="H735">
        <v>5</v>
      </c>
      <c r="I735">
        <f t="shared" si="60"/>
        <v>16</v>
      </c>
      <c r="J735">
        <f t="shared" si="59"/>
        <v>34</v>
      </c>
    </row>
    <row r="736" spans="1:10" x14ac:dyDescent="0.2">
      <c r="A736">
        <v>735</v>
      </c>
      <c r="B736" s="23">
        <v>45526</v>
      </c>
      <c r="C736">
        <f t="shared" si="58"/>
        <v>0</v>
      </c>
      <c r="D736">
        <v>1</v>
      </c>
      <c r="E736">
        <f t="shared" si="61"/>
        <v>1</v>
      </c>
      <c r="F736" t="str">
        <f t="shared" si="62"/>
        <v>Thursday</v>
      </c>
      <c r="G736" t="s">
        <v>1947</v>
      </c>
      <c r="H736">
        <v>5</v>
      </c>
      <c r="I736">
        <f t="shared" si="60"/>
        <v>16</v>
      </c>
      <c r="J736">
        <f t="shared" si="59"/>
        <v>34</v>
      </c>
    </row>
    <row r="737" spans="1:10" x14ac:dyDescent="0.2">
      <c r="A737">
        <v>736</v>
      </c>
      <c r="B737" s="23">
        <v>45527</v>
      </c>
      <c r="C737">
        <f t="shared" si="58"/>
        <v>0</v>
      </c>
      <c r="D737">
        <v>1</v>
      </c>
      <c r="E737">
        <f t="shared" si="61"/>
        <v>1</v>
      </c>
      <c r="F737" t="str">
        <f t="shared" si="62"/>
        <v>Friday</v>
      </c>
      <c r="G737" t="s">
        <v>1947</v>
      </c>
      <c r="H737">
        <v>5</v>
      </c>
      <c r="I737">
        <f t="shared" si="60"/>
        <v>16</v>
      </c>
      <c r="J737">
        <f t="shared" si="59"/>
        <v>34</v>
      </c>
    </row>
    <row r="738" spans="1:10" x14ac:dyDescent="0.2">
      <c r="A738">
        <v>737</v>
      </c>
      <c r="B738" s="23">
        <v>45528</v>
      </c>
      <c r="C738">
        <f t="shared" si="58"/>
        <v>1</v>
      </c>
      <c r="D738">
        <v>1</v>
      </c>
      <c r="E738">
        <f t="shared" si="61"/>
        <v>1</v>
      </c>
      <c r="F738" t="str">
        <f t="shared" si="62"/>
        <v>Saturday</v>
      </c>
      <c r="G738" t="s">
        <v>1947</v>
      </c>
      <c r="H738">
        <v>5</v>
      </c>
      <c r="I738">
        <f t="shared" si="60"/>
        <v>16</v>
      </c>
      <c r="J738">
        <f t="shared" si="59"/>
        <v>34</v>
      </c>
    </row>
    <row r="739" spans="1:10" x14ac:dyDescent="0.2">
      <c r="A739">
        <v>738</v>
      </c>
      <c r="B739" s="23">
        <v>45529</v>
      </c>
      <c r="C739">
        <f t="shared" si="58"/>
        <v>1</v>
      </c>
      <c r="D739">
        <v>1</v>
      </c>
      <c r="E739">
        <f t="shared" si="61"/>
        <v>1</v>
      </c>
      <c r="F739" t="str">
        <f t="shared" si="62"/>
        <v>Sunday</v>
      </c>
      <c r="G739" t="s">
        <v>1947</v>
      </c>
      <c r="H739">
        <v>5</v>
      </c>
      <c r="I739">
        <f t="shared" si="60"/>
        <v>16</v>
      </c>
      <c r="J739">
        <f t="shared" si="59"/>
        <v>34</v>
      </c>
    </row>
    <row r="740" spans="1:10" x14ac:dyDescent="0.2">
      <c r="A740">
        <v>739</v>
      </c>
      <c r="B740" s="23">
        <v>45530</v>
      </c>
      <c r="C740">
        <f t="shared" si="58"/>
        <v>0</v>
      </c>
      <c r="D740">
        <v>0</v>
      </c>
      <c r="E740">
        <f t="shared" si="61"/>
        <v>0</v>
      </c>
      <c r="F740" t="str">
        <f t="shared" si="62"/>
        <v>Monday</v>
      </c>
      <c r="H740">
        <v>1</v>
      </c>
      <c r="I740">
        <f t="shared" si="60"/>
        <v>1</v>
      </c>
      <c r="J740">
        <f t="shared" si="59"/>
        <v>35</v>
      </c>
    </row>
    <row r="741" spans="1:10" x14ac:dyDescent="0.2">
      <c r="A741">
        <v>740</v>
      </c>
      <c r="B741" s="23">
        <v>45531</v>
      </c>
      <c r="C741">
        <f t="shared" si="58"/>
        <v>0</v>
      </c>
      <c r="D741">
        <v>0</v>
      </c>
      <c r="E741">
        <f t="shared" si="61"/>
        <v>0</v>
      </c>
      <c r="F741" t="str">
        <f t="shared" si="62"/>
        <v>Tuesday</v>
      </c>
      <c r="H741">
        <v>1</v>
      </c>
      <c r="I741">
        <f t="shared" si="60"/>
        <v>1</v>
      </c>
      <c r="J741">
        <f t="shared" si="59"/>
        <v>35</v>
      </c>
    </row>
    <row r="742" spans="1:10" x14ac:dyDescent="0.2">
      <c r="A742">
        <v>741</v>
      </c>
      <c r="B742" s="23">
        <v>45532</v>
      </c>
      <c r="C742">
        <f t="shared" si="58"/>
        <v>0</v>
      </c>
      <c r="D742">
        <v>0</v>
      </c>
      <c r="E742">
        <f t="shared" si="61"/>
        <v>0</v>
      </c>
      <c r="F742" t="str">
        <f t="shared" si="62"/>
        <v>Wednesday</v>
      </c>
      <c r="H742">
        <v>1</v>
      </c>
      <c r="I742">
        <f t="shared" si="60"/>
        <v>1</v>
      </c>
      <c r="J742">
        <f t="shared" si="59"/>
        <v>35</v>
      </c>
    </row>
    <row r="743" spans="1:10" x14ac:dyDescent="0.2">
      <c r="A743">
        <v>742</v>
      </c>
      <c r="B743" s="23">
        <v>45533</v>
      </c>
      <c r="C743">
        <f t="shared" si="58"/>
        <v>0</v>
      </c>
      <c r="D743">
        <v>0</v>
      </c>
      <c r="E743">
        <f t="shared" si="61"/>
        <v>0</v>
      </c>
      <c r="F743" t="str">
        <f t="shared" si="62"/>
        <v>Thursday</v>
      </c>
      <c r="H743">
        <v>1</v>
      </c>
      <c r="I743">
        <f t="shared" si="60"/>
        <v>1</v>
      </c>
      <c r="J743">
        <f t="shared" si="59"/>
        <v>35</v>
      </c>
    </row>
    <row r="744" spans="1:10" x14ac:dyDescent="0.2">
      <c r="A744">
        <v>743</v>
      </c>
      <c r="B744" s="23">
        <v>45534</v>
      </c>
      <c r="C744">
        <f t="shared" si="58"/>
        <v>0</v>
      </c>
      <c r="D744">
        <v>0</v>
      </c>
      <c r="E744">
        <f t="shared" si="61"/>
        <v>0</v>
      </c>
      <c r="F744" t="str">
        <f t="shared" si="62"/>
        <v>Friday</v>
      </c>
      <c r="H744">
        <v>1</v>
      </c>
      <c r="I744">
        <f t="shared" si="60"/>
        <v>1</v>
      </c>
      <c r="J744">
        <f t="shared" si="59"/>
        <v>35</v>
      </c>
    </row>
    <row r="745" spans="1:10" x14ac:dyDescent="0.2">
      <c r="A745">
        <v>744</v>
      </c>
      <c r="B745" s="23">
        <v>45535</v>
      </c>
      <c r="C745">
        <f t="shared" si="58"/>
        <v>1</v>
      </c>
      <c r="D745">
        <v>0</v>
      </c>
      <c r="E745">
        <f t="shared" si="61"/>
        <v>1</v>
      </c>
      <c r="F745" t="str">
        <f t="shared" si="62"/>
        <v>Saturday</v>
      </c>
      <c r="H745">
        <v>1</v>
      </c>
      <c r="I745">
        <f t="shared" si="60"/>
        <v>1</v>
      </c>
      <c r="J745">
        <f t="shared" si="59"/>
        <v>35</v>
      </c>
    </row>
    <row r="746" spans="1:10" x14ac:dyDescent="0.2">
      <c r="A746">
        <v>745</v>
      </c>
      <c r="B746" s="23">
        <v>45536</v>
      </c>
      <c r="C746">
        <f t="shared" ref="C746:C810" si="63">IF(OR(WEEKDAY(B746) = 7, WEEKDAY(B746) = 1), 1, 0)</f>
        <v>1</v>
      </c>
      <c r="D746">
        <v>0</v>
      </c>
      <c r="E746">
        <f t="shared" si="61"/>
        <v>1</v>
      </c>
      <c r="F746" t="str">
        <f t="shared" si="62"/>
        <v>Sunday</v>
      </c>
      <c r="H746">
        <v>1</v>
      </c>
      <c r="I746">
        <f t="shared" si="60"/>
        <v>1</v>
      </c>
      <c r="J746">
        <f t="shared" si="59"/>
        <v>35</v>
      </c>
    </row>
    <row r="747" spans="1:10" x14ac:dyDescent="0.2">
      <c r="A747">
        <v>746</v>
      </c>
      <c r="B747" s="23">
        <v>45537</v>
      </c>
      <c r="C747">
        <f t="shared" si="63"/>
        <v>0</v>
      </c>
      <c r="D747">
        <v>0</v>
      </c>
      <c r="E747">
        <f t="shared" si="61"/>
        <v>0</v>
      </c>
      <c r="F747" t="str">
        <f t="shared" si="62"/>
        <v>Monday</v>
      </c>
      <c r="H747">
        <v>1</v>
      </c>
      <c r="I747">
        <f t="shared" ref="I747:I810" si="64">IF(J747&gt;J746, IF(H747&lt;&gt;H746,1, I746+1),I746)</f>
        <v>2</v>
      </c>
      <c r="J747">
        <f t="shared" ref="J747:J810" si="65">_xlfn.ISOWEEKNUM(B747)</f>
        <v>36</v>
      </c>
    </row>
    <row r="748" spans="1:10" x14ac:dyDescent="0.2">
      <c r="A748">
        <v>747</v>
      </c>
      <c r="B748" s="23">
        <v>45538</v>
      </c>
      <c r="C748">
        <f t="shared" si="63"/>
        <v>0</v>
      </c>
      <c r="D748">
        <v>0</v>
      </c>
      <c r="E748">
        <f t="shared" si="61"/>
        <v>0</v>
      </c>
      <c r="F748" t="str">
        <f t="shared" si="62"/>
        <v>Tuesday</v>
      </c>
      <c r="H748">
        <v>1</v>
      </c>
      <c r="I748">
        <f t="shared" si="64"/>
        <v>2</v>
      </c>
      <c r="J748">
        <f t="shared" si="65"/>
        <v>36</v>
      </c>
    </row>
    <row r="749" spans="1:10" x14ac:dyDescent="0.2">
      <c r="A749">
        <v>748</v>
      </c>
      <c r="B749" s="23">
        <v>45539</v>
      </c>
      <c r="C749">
        <f t="shared" si="63"/>
        <v>0</v>
      </c>
      <c r="D749">
        <v>0</v>
      </c>
      <c r="E749">
        <f t="shared" si="61"/>
        <v>0</v>
      </c>
      <c r="F749" t="str">
        <f t="shared" si="62"/>
        <v>Wednesday</v>
      </c>
      <c r="H749">
        <v>1</v>
      </c>
      <c r="I749">
        <f t="shared" si="64"/>
        <v>2</v>
      </c>
      <c r="J749">
        <f t="shared" si="65"/>
        <v>36</v>
      </c>
    </row>
    <row r="750" spans="1:10" x14ac:dyDescent="0.2">
      <c r="A750">
        <v>749</v>
      </c>
      <c r="B750" s="23">
        <v>45540</v>
      </c>
      <c r="C750">
        <f t="shared" si="63"/>
        <v>0</v>
      </c>
      <c r="D750">
        <v>0</v>
      </c>
      <c r="E750">
        <f t="shared" si="61"/>
        <v>0</v>
      </c>
      <c r="F750" t="str">
        <f t="shared" si="62"/>
        <v>Thursday</v>
      </c>
      <c r="H750">
        <v>1</v>
      </c>
      <c r="I750">
        <f t="shared" si="64"/>
        <v>2</v>
      </c>
      <c r="J750">
        <f t="shared" si="65"/>
        <v>36</v>
      </c>
    </row>
    <row r="751" spans="1:10" x14ac:dyDescent="0.2">
      <c r="A751">
        <v>750</v>
      </c>
      <c r="B751" s="23">
        <v>45541</v>
      </c>
      <c r="C751">
        <f t="shared" si="63"/>
        <v>0</v>
      </c>
      <c r="D751">
        <v>0</v>
      </c>
      <c r="E751">
        <f t="shared" si="61"/>
        <v>0</v>
      </c>
      <c r="F751" t="str">
        <f t="shared" si="62"/>
        <v>Friday</v>
      </c>
      <c r="H751">
        <v>1</v>
      </c>
      <c r="I751">
        <f t="shared" si="64"/>
        <v>2</v>
      </c>
      <c r="J751">
        <f t="shared" si="65"/>
        <v>36</v>
      </c>
    </row>
    <row r="752" spans="1:10" x14ac:dyDescent="0.2">
      <c r="A752">
        <v>751</v>
      </c>
      <c r="B752" s="23">
        <v>45542</v>
      </c>
      <c r="C752">
        <f t="shared" si="63"/>
        <v>1</v>
      </c>
      <c r="D752">
        <v>0</v>
      </c>
      <c r="E752">
        <f t="shared" si="61"/>
        <v>1</v>
      </c>
      <c r="F752" t="str">
        <f t="shared" si="62"/>
        <v>Saturday</v>
      </c>
      <c r="H752">
        <v>1</v>
      </c>
      <c r="I752">
        <f t="shared" si="64"/>
        <v>2</v>
      </c>
      <c r="J752">
        <f t="shared" si="65"/>
        <v>36</v>
      </c>
    </row>
    <row r="753" spans="1:10" x14ac:dyDescent="0.2">
      <c r="A753">
        <v>752</v>
      </c>
      <c r="B753" s="23">
        <v>45543</v>
      </c>
      <c r="C753">
        <f t="shared" si="63"/>
        <v>1</v>
      </c>
      <c r="D753">
        <v>0</v>
      </c>
      <c r="E753">
        <f t="shared" si="61"/>
        <v>1</v>
      </c>
      <c r="F753" t="str">
        <f t="shared" si="62"/>
        <v>Sunday</v>
      </c>
      <c r="H753">
        <v>1</v>
      </c>
      <c r="I753">
        <f t="shared" si="64"/>
        <v>2</v>
      </c>
      <c r="J753">
        <f t="shared" si="65"/>
        <v>36</v>
      </c>
    </row>
    <row r="754" spans="1:10" x14ac:dyDescent="0.2">
      <c r="A754">
        <v>753</v>
      </c>
      <c r="B754" s="23">
        <v>45544</v>
      </c>
      <c r="C754">
        <f t="shared" si="63"/>
        <v>0</v>
      </c>
      <c r="D754">
        <v>0</v>
      </c>
      <c r="E754">
        <f t="shared" si="61"/>
        <v>0</v>
      </c>
      <c r="F754" t="str">
        <f t="shared" si="62"/>
        <v>Monday</v>
      </c>
      <c r="H754">
        <v>1</v>
      </c>
      <c r="I754">
        <f t="shared" si="64"/>
        <v>3</v>
      </c>
      <c r="J754">
        <f t="shared" si="65"/>
        <v>37</v>
      </c>
    </row>
    <row r="755" spans="1:10" x14ac:dyDescent="0.2">
      <c r="A755">
        <v>754</v>
      </c>
      <c r="B755" s="23">
        <v>45545</v>
      </c>
      <c r="C755">
        <f t="shared" si="63"/>
        <v>0</v>
      </c>
      <c r="D755">
        <v>0</v>
      </c>
      <c r="E755">
        <f t="shared" si="61"/>
        <v>0</v>
      </c>
      <c r="F755" t="str">
        <f t="shared" si="62"/>
        <v>Tuesday</v>
      </c>
      <c r="H755">
        <v>1</v>
      </c>
      <c r="I755">
        <f t="shared" si="64"/>
        <v>3</v>
      </c>
      <c r="J755">
        <f t="shared" si="65"/>
        <v>37</v>
      </c>
    </row>
    <row r="756" spans="1:10" x14ac:dyDescent="0.2">
      <c r="A756">
        <v>755</v>
      </c>
      <c r="B756" s="23">
        <v>45546</v>
      </c>
      <c r="C756">
        <f t="shared" si="63"/>
        <v>0</v>
      </c>
      <c r="D756">
        <v>0</v>
      </c>
      <c r="E756">
        <f t="shared" si="61"/>
        <v>0</v>
      </c>
      <c r="F756" t="str">
        <f t="shared" si="62"/>
        <v>Wednesday</v>
      </c>
      <c r="H756">
        <v>1</v>
      </c>
      <c r="I756">
        <f t="shared" si="64"/>
        <v>3</v>
      </c>
      <c r="J756">
        <f t="shared" si="65"/>
        <v>37</v>
      </c>
    </row>
    <row r="757" spans="1:10" x14ac:dyDescent="0.2">
      <c r="A757">
        <v>756</v>
      </c>
      <c r="B757" s="23">
        <v>45547</v>
      </c>
      <c r="C757">
        <f t="shared" si="63"/>
        <v>0</v>
      </c>
      <c r="D757">
        <v>0</v>
      </c>
      <c r="E757">
        <f t="shared" si="61"/>
        <v>0</v>
      </c>
      <c r="F757" t="str">
        <f t="shared" si="62"/>
        <v>Thursday</v>
      </c>
      <c r="H757">
        <v>1</v>
      </c>
      <c r="I757">
        <f t="shared" si="64"/>
        <v>3</v>
      </c>
      <c r="J757">
        <f t="shared" si="65"/>
        <v>37</v>
      </c>
    </row>
    <row r="758" spans="1:10" x14ac:dyDescent="0.2">
      <c r="A758">
        <v>757</v>
      </c>
      <c r="B758" s="23">
        <v>45548</v>
      </c>
      <c r="C758">
        <f t="shared" si="63"/>
        <v>0</v>
      </c>
      <c r="D758">
        <v>0</v>
      </c>
      <c r="E758">
        <f t="shared" si="61"/>
        <v>0</v>
      </c>
      <c r="F758" t="str">
        <f t="shared" si="62"/>
        <v>Friday</v>
      </c>
      <c r="H758">
        <v>1</v>
      </c>
      <c r="I758">
        <f t="shared" si="64"/>
        <v>3</v>
      </c>
      <c r="J758">
        <f t="shared" si="65"/>
        <v>37</v>
      </c>
    </row>
    <row r="759" spans="1:10" x14ac:dyDescent="0.2">
      <c r="A759">
        <v>758</v>
      </c>
      <c r="B759" s="23">
        <v>45549</v>
      </c>
      <c r="C759">
        <f t="shared" si="63"/>
        <v>1</v>
      </c>
      <c r="D759">
        <v>0</v>
      </c>
      <c r="E759">
        <f t="shared" si="61"/>
        <v>1</v>
      </c>
      <c r="F759" t="str">
        <f t="shared" si="62"/>
        <v>Saturday</v>
      </c>
      <c r="H759">
        <v>1</v>
      </c>
      <c r="I759">
        <f t="shared" si="64"/>
        <v>3</v>
      </c>
      <c r="J759">
        <f t="shared" si="65"/>
        <v>37</v>
      </c>
    </row>
    <row r="760" spans="1:10" x14ac:dyDescent="0.2">
      <c r="A760">
        <v>759</v>
      </c>
      <c r="B760" s="23">
        <v>45550</v>
      </c>
      <c r="C760">
        <f t="shared" si="63"/>
        <v>1</v>
      </c>
      <c r="D760">
        <v>0</v>
      </c>
      <c r="E760">
        <f t="shared" si="61"/>
        <v>1</v>
      </c>
      <c r="F760" t="str">
        <f t="shared" si="62"/>
        <v>Sunday</v>
      </c>
      <c r="H760">
        <v>1</v>
      </c>
      <c r="I760">
        <f t="shared" si="64"/>
        <v>3</v>
      </c>
      <c r="J760">
        <f t="shared" si="65"/>
        <v>37</v>
      </c>
    </row>
    <row r="761" spans="1:10" x14ac:dyDescent="0.2">
      <c r="A761">
        <v>760</v>
      </c>
      <c r="B761" s="23">
        <v>45551</v>
      </c>
      <c r="C761">
        <f t="shared" si="63"/>
        <v>0</v>
      </c>
      <c r="D761">
        <v>0</v>
      </c>
      <c r="E761">
        <f t="shared" si="61"/>
        <v>0</v>
      </c>
      <c r="F761" t="str">
        <f t="shared" si="62"/>
        <v>Monday</v>
      </c>
      <c r="H761">
        <v>1</v>
      </c>
      <c r="I761">
        <f t="shared" si="64"/>
        <v>4</v>
      </c>
      <c r="J761">
        <f t="shared" si="65"/>
        <v>38</v>
      </c>
    </row>
    <row r="762" spans="1:10" x14ac:dyDescent="0.2">
      <c r="A762">
        <v>761</v>
      </c>
      <c r="B762" s="23">
        <v>45552</v>
      </c>
      <c r="C762">
        <f t="shared" si="63"/>
        <v>0</v>
      </c>
      <c r="D762">
        <v>0</v>
      </c>
      <c r="E762">
        <f t="shared" si="61"/>
        <v>0</v>
      </c>
      <c r="F762" t="str">
        <f t="shared" si="62"/>
        <v>Tuesday</v>
      </c>
      <c r="H762">
        <v>1</v>
      </c>
      <c r="I762">
        <f t="shared" si="64"/>
        <v>4</v>
      </c>
      <c r="J762">
        <f t="shared" si="65"/>
        <v>38</v>
      </c>
    </row>
    <row r="763" spans="1:10" x14ac:dyDescent="0.2">
      <c r="A763">
        <v>762</v>
      </c>
      <c r="B763" s="23">
        <v>45553</v>
      </c>
      <c r="C763">
        <f t="shared" si="63"/>
        <v>0</v>
      </c>
      <c r="D763">
        <v>0</v>
      </c>
      <c r="E763">
        <f t="shared" si="61"/>
        <v>0</v>
      </c>
      <c r="F763" t="str">
        <f t="shared" si="62"/>
        <v>Wednesday</v>
      </c>
      <c r="H763">
        <v>1</v>
      </c>
      <c r="I763">
        <f t="shared" si="64"/>
        <v>4</v>
      </c>
      <c r="J763">
        <f t="shared" si="65"/>
        <v>38</v>
      </c>
    </row>
    <row r="764" spans="1:10" x14ac:dyDescent="0.2">
      <c r="A764">
        <v>763</v>
      </c>
      <c r="B764" s="23">
        <v>45554</v>
      </c>
      <c r="C764">
        <f t="shared" si="63"/>
        <v>0</v>
      </c>
      <c r="D764">
        <v>0</v>
      </c>
      <c r="E764">
        <f t="shared" si="61"/>
        <v>0</v>
      </c>
      <c r="F764" t="str">
        <f t="shared" si="62"/>
        <v>Thursday</v>
      </c>
      <c r="H764">
        <v>1</v>
      </c>
      <c r="I764">
        <f t="shared" si="64"/>
        <v>4</v>
      </c>
      <c r="J764">
        <f t="shared" si="65"/>
        <v>38</v>
      </c>
    </row>
    <row r="765" spans="1:10" x14ac:dyDescent="0.2">
      <c r="A765">
        <v>764</v>
      </c>
      <c r="B765" s="23">
        <v>45555</v>
      </c>
      <c r="C765">
        <f t="shared" si="63"/>
        <v>0</v>
      </c>
      <c r="D765">
        <v>0</v>
      </c>
      <c r="E765">
        <f t="shared" si="61"/>
        <v>0</v>
      </c>
      <c r="F765" t="str">
        <f t="shared" si="62"/>
        <v>Friday</v>
      </c>
      <c r="H765">
        <v>1</v>
      </c>
      <c r="I765">
        <f t="shared" si="64"/>
        <v>4</v>
      </c>
      <c r="J765">
        <f t="shared" si="65"/>
        <v>38</v>
      </c>
    </row>
    <row r="766" spans="1:10" x14ac:dyDescent="0.2">
      <c r="A766">
        <v>765</v>
      </c>
      <c r="B766" s="23">
        <v>45556</v>
      </c>
      <c r="C766">
        <f t="shared" si="63"/>
        <v>1</v>
      </c>
      <c r="D766">
        <v>0</v>
      </c>
      <c r="E766">
        <f t="shared" si="61"/>
        <v>1</v>
      </c>
      <c r="F766" t="str">
        <f t="shared" si="62"/>
        <v>Saturday</v>
      </c>
      <c r="H766">
        <v>1</v>
      </c>
      <c r="I766">
        <f t="shared" si="64"/>
        <v>4</v>
      </c>
      <c r="J766">
        <f t="shared" si="65"/>
        <v>38</v>
      </c>
    </row>
    <row r="767" spans="1:10" x14ac:dyDescent="0.2">
      <c r="A767">
        <v>766</v>
      </c>
      <c r="B767" s="23">
        <v>45557</v>
      </c>
      <c r="C767">
        <f t="shared" si="63"/>
        <v>1</v>
      </c>
      <c r="D767">
        <v>0</v>
      </c>
      <c r="E767">
        <f t="shared" si="61"/>
        <v>1</v>
      </c>
      <c r="F767" t="str">
        <f t="shared" si="62"/>
        <v>Sunday</v>
      </c>
      <c r="H767">
        <v>1</v>
      </c>
      <c r="I767">
        <f t="shared" si="64"/>
        <v>4</v>
      </c>
      <c r="J767">
        <f t="shared" si="65"/>
        <v>38</v>
      </c>
    </row>
    <row r="768" spans="1:10" x14ac:dyDescent="0.2">
      <c r="A768">
        <v>767</v>
      </c>
      <c r="B768" s="23">
        <v>45558</v>
      </c>
      <c r="C768">
        <f t="shared" si="63"/>
        <v>0</v>
      </c>
      <c r="D768">
        <v>0</v>
      </c>
      <c r="E768">
        <f t="shared" si="61"/>
        <v>0</v>
      </c>
      <c r="F768" t="str">
        <f t="shared" si="62"/>
        <v>Monday</v>
      </c>
      <c r="H768">
        <v>1</v>
      </c>
      <c r="I768">
        <f t="shared" si="64"/>
        <v>5</v>
      </c>
      <c r="J768">
        <f t="shared" si="65"/>
        <v>39</v>
      </c>
    </row>
    <row r="769" spans="1:10" x14ac:dyDescent="0.2">
      <c r="A769">
        <v>768</v>
      </c>
      <c r="B769" s="23">
        <v>45559</v>
      </c>
      <c r="C769">
        <f t="shared" si="63"/>
        <v>0</v>
      </c>
      <c r="D769">
        <v>0</v>
      </c>
      <c r="E769">
        <f t="shared" si="61"/>
        <v>0</v>
      </c>
      <c r="F769" t="str">
        <f t="shared" si="62"/>
        <v>Tuesday</v>
      </c>
      <c r="H769">
        <v>1</v>
      </c>
      <c r="I769">
        <f t="shared" si="64"/>
        <v>5</v>
      </c>
      <c r="J769">
        <f t="shared" si="65"/>
        <v>39</v>
      </c>
    </row>
    <row r="770" spans="1:10" x14ac:dyDescent="0.2">
      <c r="A770">
        <v>769</v>
      </c>
      <c r="B770" s="23">
        <v>45560</v>
      </c>
      <c r="C770">
        <f t="shared" si="63"/>
        <v>0</v>
      </c>
      <c r="D770">
        <v>0</v>
      </c>
      <c r="E770">
        <f t="shared" si="61"/>
        <v>0</v>
      </c>
      <c r="F770" t="str">
        <f t="shared" si="62"/>
        <v>Wednesday</v>
      </c>
      <c r="H770">
        <v>1</v>
      </c>
      <c r="I770">
        <f t="shared" si="64"/>
        <v>5</v>
      </c>
      <c r="J770">
        <f t="shared" si="65"/>
        <v>39</v>
      </c>
    </row>
    <row r="771" spans="1:10" x14ac:dyDescent="0.2">
      <c r="A771">
        <v>770</v>
      </c>
      <c r="B771" s="23">
        <v>45561</v>
      </c>
      <c r="C771">
        <f t="shared" si="63"/>
        <v>0</v>
      </c>
      <c r="D771">
        <v>0</v>
      </c>
      <c r="E771">
        <f t="shared" si="61"/>
        <v>0</v>
      </c>
      <c r="F771" t="str">
        <f t="shared" si="62"/>
        <v>Thursday</v>
      </c>
      <c r="H771">
        <v>1</v>
      </c>
      <c r="I771">
        <f t="shared" si="64"/>
        <v>5</v>
      </c>
      <c r="J771">
        <f t="shared" si="65"/>
        <v>39</v>
      </c>
    </row>
    <row r="772" spans="1:10" x14ac:dyDescent="0.2">
      <c r="A772">
        <v>771</v>
      </c>
      <c r="B772" s="23">
        <v>45562</v>
      </c>
      <c r="C772">
        <f t="shared" si="63"/>
        <v>0</v>
      </c>
      <c r="D772">
        <v>0</v>
      </c>
      <c r="E772">
        <f t="shared" si="61"/>
        <v>0</v>
      </c>
      <c r="F772" t="str">
        <f t="shared" si="62"/>
        <v>Friday</v>
      </c>
      <c r="H772">
        <v>1</v>
      </c>
      <c r="I772">
        <f t="shared" si="64"/>
        <v>5</v>
      </c>
      <c r="J772">
        <f t="shared" si="65"/>
        <v>39</v>
      </c>
    </row>
    <row r="773" spans="1:10" x14ac:dyDescent="0.2">
      <c r="A773">
        <v>772</v>
      </c>
      <c r="B773" s="23">
        <v>45563</v>
      </c>
      <c r="C773">
        <f t="shared" si="63"/>
        <v>1</v>
      </c>
      <c r="D773">
        <v>0</v>
      </c>
      <c r="E773">
        <f t="shared" si="61"/>
        <v>1</v>
      </c>
      <c r="F773" t="str">
        <f t="shared" si="62"/>
        <v>Saturday</v>
      </c>
      <c r="H773">
        <v>1</v>
      </c>
      <c r="I773">
        <f t="shared" si="64"/>
        <v>5</v>
      </c>
      <c r="J773">
        <f t="shared" si="65"/>
        <v>39</v>
      </c>
    </row>
    <row r="774" spans="1:10" x14ac:dyDescent="0.2">
      <c r="A774">
        <v>773</v>
      </c>
      <c r="B774" s="23">
        <v>45564</v>
      </c>
      <c r="C774">
        <f t="shared" si="63"/>
        <v>1</v>
      </c>
      <c r="D774">
        <v>0</v>
      </c>
      <c r="E774">
        <f t="shared" si="61"/>
        <v>1</v>
      </c>
      <c r="F774" t="str">
        <f t="shared" si="62"/>
        <v>Sunday</v>
      </c>
      <c r="H774">
        <v>1</v>
      </c>
      <c r="I774">
        <f t="shared" si="64"/>
        <v>5</v>
      </c>
      <c r="J774">
        <f t="shared" si="65"/>
        <v>39</v>
      </c>
    </row>
    <row r="775" spans="1:10" x14ac:dyDescent="0.2">
      <c r="A775">
        <v>774</v>
      </c>
      <c r="B775" s="23">
        <v>45565</v>
      </c>
      <c r="C775">
        <f t="shared" si="63"/>
        <v>0</v>
      </c>
      <c r="D775">
        <v>0</v>
      </c>
      <c r="E775">
        <f t="shared" si="61"/>
        <v>0</v>
      </c>
      <c r="F775" t="str">
        <f t="shared" si="62"/>
        <v>Monday</v>
      </c>
      <c r="H775">
        <v>1</v>
      </c>
      <c r="I775">
        <f t="shared" si="64"/>
        <v>6</v>
      </c>
      <c r="J775">
        <f t="shared" si="65"/>
        <v>40</v>
      </c>
    </row>
    <row r="776" spans="1:10" x14ac:dyDescent="0.2">
      <c r="A776">
        <v>775</v>
      </c>
      <c r="B776" s="23">
        <v>45566</v>
      </c>
      <c r="C776">
        <f t="shared" si="63"/>
        <v>0</v>
      </c>
      <c r="D776">
        <v>0</v>
      </c>
      <c r="E776">
        <f t="shared" si="61"/>
        <v>0</v>
      </c>
      <c r="F776" t="str">
        <f t="shared" si="62"/>
        <v>Tuesday</v>
      </c>
      <c r="H776">
        <v>1</v>
      </c>
      <c r="I776">
        <f t="shared" si="64"/>
        <v>6</v>
      </c>
      <c r="J776">
        <f t="shared" si="65"/>
        <v>40</v>
      </c>
    </row>
    <row r="777" spans="1:10" x14ac:dyDescent="0.2">
      <c r="A777">
        <v>776</v>
      </c>
      <c r="B777" s="23">
        <v>45567</v>
      </c>
      <c r="C777">
        <f t="shared" si="63"/>
        <v>0</v>
      </c>
      <c r="D777">
        <v>0</v>
      </c>
      <c r="E777">
        <f t="shared" si="61"/>
        <v>0</v>
      </c>
      <c r="F777" t="str">
        <f t="shared" si="62"/>
        <v>Wednesday</v>
      </c>
      <c r="H777">
        <v>1</v>
      </c>
      <c r="I777">
        <f t="shared" si="64"/>
        <v>6</v>
      </c>
      <c r="J777">
        <f t="shared" si="65"/>
        <v>40</v>
      </c>
    </row>
    <row r="778" spans="1:10" x14ac:dyDescent="0.2">
      <c r="A778">
        <v>777</v>
      </c>
      <c r="B778" s="23">
        <v>45568</v>
      </c>
      <c r="C778">
        <f t="shared" si="63"/>
        <v>0</v>
      </c>
      <c r="D778">
        <v>0</v>
      </c>
      <c r="E778">
        <f t="shared" si="61"/>
        <v>0</v>
      </c>
      <c r="F778" t="str">
        <f t="shared" si="62"/>
        <v>Thursday</v>
      </c>
      <c r="H778">
        <v>1</v>
      </c>
      <c r="I778">
        <f t="shared" si="64"/>
        <v>6</v>
      </c>
      <c r="J778">
        <f t="shared" si="65"/>
        <v>40</v>
      </c>
    </row>
    <row r="779" spans="1:10" x14ac:dyDescent="0.2">
      <c r="A779">
        <v>778</v>
      </c>
      <c r="B779" s="23">
        <v>45569</v>
      </c>
      <c r="C779">
        <f t="shared" si="63"/>
        <v>0</v>
      </c>
      <c r="D779">
        <v>0</v>
      </c>
      <c r="E779">
        <f t="shared" si="61"/>
        <v>0</v>
      </c>
      <c r="F779" t="str">
        <f t="shared" si="62"/>
        <v>Friday</v>
      </c>
      <c r="H779">
        <v>1</v>
      </c>
      <c r="I779">
        <f t="shared" si="64"/>
        <v>6</v>
      </c>
      <c r="J779">
        <f t="shared" si="65"/>
        <v>40</v>
      </c>
    </row>
    <row r="780" spans="1:10" x14ac:dyDescent="0.2">
      <c r="A780">
        <v>779</v>
      </c>
      <c r="B780" s="23">
        <v>45570</v>
      </c>
      <c r="C780">
        <f t="shared" si="63"/>
        <v>1</v>
      </c>
      <c r="D780">
        <v>0</v>
      </c>
      <c r="E780">
        <f t="shared" si="61"/>
        <v>1</v>
      </c>
      <c r="F780" t="str">
        <f t="shared" si="62"/>
        <v>Saturday</v>
      </c>
      <c r="H780">
        <v>1</v>
      </c>
      <c r="I780">
        <f t="shared" si="64"/>
        <v>6</v>
      </c>
      <c r="J780">
        <f t="shared" si="65"/>
        <v>40</v>
      </c>
    </row>
    <row r="781" spans="1:10" x14ac:dyDescent="0.2">
      <c r="A781">
        <v>780</v>
      </c>
      <c r="B781" s="23">
        <v>45571</v>
      </c>
      <c r="C781">
        <f t="shared" si="63"/>
        <v>1</v>
      </c>
      <c r="D781">
        <v>0</v>
      </c>
      <c r="E781">
        <f t="shared" ref="E781:E844" si="66">IF((C781+D781)&gt;0, 1, 0)</f>
        <v>1</v>
      </c>
      <c r="F781" t="str">
        <f t="shared" ref="F781:F844" si="67">TEXT(B781, "dddd")</f>
        <v>Sunday</v>
      </c>
      <c r="H781">
        <v>1</v>
      </c>
      <c r="I781">
        <f t="shared" si="64"/>
        <v>6</v>
      </c>
      <c r="J781">
        <f t="shared" si="65"/>
        <v>40</v>
      </c>
    </row>
    <row r="782" spans="1:10" x14ac:dyDescent="0.2">
      <c r="A782">
        <v>781</v>
      </c>
      <c r="B782" s="23">
        <v>45572</v>
      </c>
      <c r="C782">
        <f t="shared" si="63"/>
        <v>0</v>
      </c>
      <c r="D782">
        <v>0</v>
      </c>
      <c r="E782">
        <f t="shared" si="66"/>
        <v>0</v>
      </c>
      <c r="F782" t="str">
        <f t="shared" si="67"/>
        <v>Monday</v>
      </c>
      <c r="H782">
        <v>1</v>
      </c>
      <c r="I782">
        <f t="shared" si="64"/>
        <v>7</v>
      </c>
      <c r="J782">
        <f t="shared" si="65"/>
        <v>41</v>
      </c>
    </row>
    <row r="783" spans="1:10" x14ac:dyDescent="0.2">
      <c r="A783">
        <v>782</v>
      </c>
      <c r="B783" s="23">
        <v>45573</v>
      </c>
      <c r="C783">
        <f t="shared" si="63"/>
        <v>0</v>
      </c>
      <c r="D783">
        <v>0</v>
      </c>
      <c r="E783">
        <f t="shared" si="66"/>
        <v>0</v>
      </c>
      <c r="F783" t="str">
        <f t="shared" si="67"/>
        <v>Tuesday</v>
      </c>
      <c r="H783">
        <v>1</v>
      </c>
      <c r="I783">
        <f t="shared" si="64"/>
        <v>7</v>
      </c>
      <c r="J783">
        <f t="shared" si="65"/>
        <v>41</v>
      </c>
    </row>
    <row r="784" spans="1:10" x14ac:dyDescent="0.2">
      <c r="A784">
        <v>783</v>
      </c>
      <c r="B784" s="23">
        <v>45574</v>
      </c>
      <c r="C784">
        <f t="shared" si="63"/>
        <v>0</v>
      </c>
      <c r="D784">
        <v>0</v>
      </c>
      <c r="E784">
        <f t="shared" si="66"/>
        <v>0</v>
      </c>
      <c r="F784" t="str">
        <f t="shared" si="67"/>
        <v>Wednesday</v>
      </c>
      <c r="H784">
        <v>1</v>
      </c>
      <c r="I784">
        <f t="shared" si="64"/>
        <v>7</v>
      </c>
      <c r="J784">
        <f t="shared" si="65"/>
        <v>41</v>
      </c>
    </row>
    <row r="785" spans="1:10" x14ac:dyDescent="0.2">
      <c r="A785">
        <v>784</v>
      </c>
      <c r="B785" s="23">
        <v>45575</v>
      </c>
      <c r="C785">
        <f t="shared" si="63"/>
        <v>0</v>
      </c>
      <c r="D785">
        <v>0</v>
      </c>
      <c r="E785">
        <f t="shared" si="66"/>
        <v>0</v>
      </c>
      <c r="F785" t="str">
        <f t="shared" si="67"/>
        <v>Thursday</v>
      </c>
      <c r="H785">
        <v>1</v>
      </c>
      <c r="I785">
        <f t="shared" si="64"/>
        <v>7</v>
      </c>
      <c r="J785">
        <f t="shared" si="65"/>
        <v>41</v>
      </c>
    </row>
    <row r="786" spans="1:10" x14ac:dyDescent="0.2">
      <c r="A786">
        <v>785</v>
      </c>
      <c r="B786" s="23">
        <v>45576</v>
      </c>
      <c r="C786">
        <f t="shared" si="63"/>
        <v>0</v>
      </c>
      <c r="D786">
        <v>0</v>
      </c>
      <c r="E786">
        <f t="shared" si="66"/>
        <v>0</v>
      </c>
      <c r="F786" t="str">
        <f t="shared" si="67"/>
        <v>Friday</v>
      </c>
      <c r="H786">
        <v>1</v>
      </c>
      <c r="I786">
        <f t="shared" si="64"/>
        <v>7</v>
      </c>
      <c r="J786">
        <f t="shared" si="65"/>
        <v>41</v>
      </c>
    </row>
    <row r="787" spans="1:10" x14ac:dyDescent="0.2">
      <c r="A787">
        <v>786</v>
      </c>
      <c r="B787" s="23">
        <v>45577</v>
      </c>
      <c r="C787">
        <f t="shared" si="63"/>
        <v>1</v>
      </c>
      <c r="D787">
        <v>0</v>
      </c>
      <c r="E787">
        <f t="shared" si="66"/>
        <v>1</v>
      </c>
      <c r="F787" t="str">
        <f t="shared" si="67"/>
        <v>Saturday</v>
      </c>
      <c r="H787">
        <v>1</v>
      </c>
      <c r="I787">
        <f t="shared" si="64"/>
        <v>7</v>
      </c>
      <c r="J787">
        <f t="shared" si="65"/>
        <v>41</v>
      </c>
    </row>
    <row r="788" spans="1:10" x14ac:dyDescent="0.2">
      <c r="A788">
        <v>787</v>
      </c>
      <c r="B788" s="23">
        <v>45578</v>
      </c>
      <c r="C788">
        <f t="shared" si="63"/>
        <v>1</v>
      </c>
      <c r="D788">
        <v>0</v>
      </c>
      <c r="E788">
        <f t="shared" si="66"/>
        <v>1</v>
      </c>
      <c r="F788" t="str">
        <f t="shared" si="67"/>
        <v>Sunday</v>
      </c>
      <c r="H788">
        <v>1</v>
      </c>
      <c r="I788">
        <f t="shared" si="64"/>
        <v>7</v>
      </c>
      <c r="J788">
        <f t="shared" si="65"/>
        <v>41</v>
      </c>
    </row>
    <row r="789" spans="1:10" x14ac:dyDescent="0.2">
      <c r="A789">
        <v>788</v>
      </c>
      <c r="B789" s="23">
        <v>45579</v>
      </c>
      <c r="C789">
        <f t="shared" si="63"/>
        <v>0</v>
      </c>
      <c r="D789">
        <v>0</v>
      </c>
      <c r="E789">
        <f t="shared" si="66"/>
        <v>0</v>
      </c>
      <c r="F789" t="str">
        <f t="shared" si="67"/>
        <v>Monday</v>
      </c>
      <c r="H789">
        <v>1</v>
      </c>
      <c r="I789">
        <f t="shared" si="64"/>
        <v>8</v>
      </c>
      <c r="J789">
        <f t="shared" si="65"/>
        <v>42</v>
      </c>
    </row>
    <row r="790" spans="1:10" x14ac:dyDescent="0.2">
      <c r="A790">
        <v>789</v>
      </c>
      <c r="B790" s="23">
        <v>45580</v>
      </c>
      <c r="C790">
        <f t="shared" si="63"/>
        <v>0</v>
      </c>
      <c r="D790">
        <v>0</v>
      </c>
      <c r="E790">
        <f t="shared" si="66"/>
        <v>0</v>
      </c>
      <c r="F790" t="str">
        <f t="shared" si="67"/>
        <v>Tuesday</v>
      </c>
      <c r="H790">
        <v>1</v>
      </c>
      <c r="I790">
        <f t="shared" si="64"/>
        <v>8</v>
      </c>
      <c r="J790">
        <f t="shared" si="65"/>
        <v>42</v>
      </c>
    </row>
    <row r="791" spans="1:10" x14ac:dyDescent="0.2">
      <c r="A791">
        <v>790</v>
      </c>
      <c r="B791" s="23">
        <v>45581</v>
      </c>
      <c r="C791">
        <f t="shared" si="63"/>
        <v>0</v>
      </c>
      <c r="D791">
        <v>0</v>
      </c>
      <c r="E791">
        <f t="shared" si="66"/>
        <v>0</v>
      </c>
      <c r="F791" t="str">
        <f t="shared" si="67"/>
        <v>Wednesday</v>
      </c>
      <c r="H791">
        <v>1</v>
      </c>
      <c r="I791">
        <f t="shared" si="64"/>
        <v>8</v>
      </c>
      <c r="J791">
        <f t="shared" si="65"/>
        <v>42</v>
      </c>
    </row>
    <row r="792" spans="1:10" x14ac:dyDescent="0.2">
      <c r="A792">
        <v>791</v>
      </c>
      <c r="B792" s="23">
        <v>45582</v>
      </c>
      <c r="C792">
        <f t="shared" si="63"/>
        <v>0</v>
      </c>
      <c r="D792">
        <v>0</v>
      </c>
      <c r="E792">
        <f t="shared" si="66"/>
        <v>0</v>
      </c>
      <c r="F792" t="str">
        <f t="shared" si="67"/>
        <v>Thursday</v>
      </c>
      <c r="H792">
        <v>1</v>
      </c>
      <c r="I792">
        <f t="shared" si="64"/>
        <v>8</v>
      </c>
      <c r="J792">
        <f t="shared" si="65"/>
        <v>42</v>
      </c>
    </row>
    <row r="793" spans="1:10" x14ac:dyDescent="0.2">
      <c r="A793">
        <v>792</v>
      </c>
      <c r="B793" s="23">
        <v>45583</v>
      </c>
      <c r="C793">
        <f t="shared" si="63"/>
        <v>0</v>
      </c>
      <c r="D793">
        <v>0</v>
      </c>
      <c r="E793">
        <f t="shared" si="66"/>
        <v>0</v>
      </c>
      <c r="F793" t="str">
        <f t="shared" si="67"/>
        <v>Friday</v>
      </c>
      <c r="H793">
        <v>1</v>
      </c>
      <c r="I793">
        <f t="shared" si="64"/>
        <v>8</v>
      </c>
      <c r="J793">
        <f t="shared" si="65"/>
        <v>42</v>
      </c>
    </row>
    <row r="794" spans="1:10" x14ac:dyDescent="0.2">
      <c r="A794">
        <v>793</v>
      </c>
      <c r="B794" s="23">
        <v>45584</v>
      </c>
      <c r="C794">
        <f t="shared" si="63"/>
        <v>1</v>
      </c>
      <c r="D794">
        <v>0</v>
      </c>
      <c r="E794">
        <f t="shared" si="66"/>
        <v>1</v>
      </c>
      <c r="F794" t="str">
        <f t="shared" si="67"/>
        <v>Saturday</v>
      </c>
      <c r="H794">
        <v>1</v>
      </c>
      <c r="I794">
        <f t="shared" si="64"/>
        <v>8</v>
      </c>
      <c r="J794">
        <f t="shared" si="65"/>
        <v>42</v>
      </c>
    </row>
    <row r="795" spans="1:10" x14ac:dyDescent="0.2">
      <c r="A795">
        <v>794</v>
      </c>
      <c r="B795" s="23">
        <v>45585</v>
      </c>
      <c r="C795">
        <f t="shared" si="63"/>
        <v>1</v>
      </c>
      <c r="D795">
        <v>0</v>
      </c>
      <c r="E795">
        <f t="shared" si="66"/>
        <v>1</v>
      </c>
      <c r="F795" t="str">
        <f t="shared" si="67"/>
        <v>Sunday</v>
      </c>
      <c r="H795">
        <v>1</v>
      </c>
      <c r="I795">
        <f t="shared" si="64"/>
        <v>8</v>
      </c>
      <c r="J795">
        <f t="shared" si="65"/>
        <v>42</v>
      </c>
    </row>
    <row r="796" spans="1:10" x14ac:dyDescent="0.2">
      <c r="A796">
        <v>795</v>
      </c>
      <c r="B796" s="23">
        <v>45586</v>
      </c>
      <c r="C796">
        <f t="shared" si="63"/>
        <v>0</v>
      </c>
      <c r="D796">
        <v>0</v>
      </c>
      <c r="E796">
        <f t="shared" si="66"/>
        <v>0</v>
      </c>
      <c r="F796" t="str">
        <f t="shared" si="67"/>
        <v>Monday</v>
      </c>
      <c r="H796">
        <v>1</v>
      </c>
      <c r="I796">
        <f t="shared" si="64"/>
        <v>9</v>
      </c>
      <c r="J796">
        <f t="shared" si="65"/>
        <v>43</v>
      </c>
    </row>
    <row r="797" spans="1:10" x14ac:dyDescent="0.2">
      <c r="A797">
        <v>796</v>
      </c>
      <c r="B797" s="23">
        <v>45587</v>
      </c>
      <c r="C797">
        <f t="shared" si="63"/>
        <v>0</v>
      </c>
      <c r="D797">
        <v>0</v>
      </c>
      <c r="E797">
        <f t="shared" si="66"/>
        <v>0</v>
      </c>
      <c r="F797" t="str">
        <f t="shared" si="67"/>
        <v>Tuesday</v>
      </c>
      <c r="H797">
        <v>1</v>
      </c>
      <c r="I797">
        <f t="shared" si="64"/>
        <v>9</v>
      </c>
      <c r="J797">
        <f t="shared" si="65"/>
        <v>43</v>
      </c>
    </row>
    <row r="798" spans="1:10" x14ac:dyDescent="0.2">
      <c r="A798">
        <v>797</v>
      </c>
      <c r="B798" s="23">
        <v>45588</v>
      </c>
      <c r="C798">
        <f t="shared" si="63"/>
        <v>0</v>
      </c>
      <c r="D798">
        <v>0</v>
      </c>
      <c r="E798">
        <f t="shared" si="66"/>
        <v>0</v>
      </c>
      <c r="F798" t="str">
        <f t="shared" si="67"/>
        <v>Wednesday</v>
      </c>
      <c r="H798">
        <v>1</v>
      </c>
      <c r="I798">
        <f t="shared" si="64"/>
        <v>9</v>
      </c>
      <c r="J798">
        <f t="shared" si="65"/>
        <v>43</v>
      </c>
    </row>
    <row r="799" spans="1:10" x14ac:dyDescent="0.2">
      <c r="A799">
        <v>798</v>
      </c>
      <c r="B799" s="23">
        <v>45589</v>
      </c>
      <c r="C799">
        <f t="shared" si="63"/>
        <v>0</v>
      </c>
      <c r="D799">
        <v>0</v>
      </c>
      <c r="E799">
        <f t="shared" si="66"/>
        <v>0</v>
      </c>
      <c r="F799" t="str">
        <f t="shared" si="67"/>
        <v>Thursday</v>
      </c>
      <c r="H799">
        <v>1</v>
      </c>
      <c r="I799">
        <f t="shared" si="64"/>
        <v>9</v>
      </c>
      <c r="J799">
        <f t="shared" si="65"/>
        <v>43</v>
      </c>
    </row>
    <row r="800" spans="1:10" x14ac:dyDescent="0.2">
      <c r="A800">
        <v>799</v>
      </c>
      <c r="B800" s="23">
        <v>45590</v>
      </c>
      <c r="C800">
        <f t="shared" si="63"/>
        <v>0</v>
      </c>
      <c r="D800">
        <v>0</v>
      </c>
      <c r="E800">
        <f t="shared" si="66"/>
        <v>0</v>
      </c>
      <c r="F800" t="str">
        <f t="shared" si="67"/>
        <v>Friday</v>
      </c>
      <c r="H800">
        <v>1</v>
      </c>
      <c r="I800">
        <f t="shared" si="64"/>
        <v>9</v>
      </c>
      <c r="J800">
        <f t="shared" si="65"/>
        <v>43</v>
      </c>
    </row>
    <row r="801" spans="1:10" x14ac:dyDescent="0.2">
      <c r="A801">
        <v>800</v>
      </c>
      <c r="B801" s="23">
        <v>45591</v>
      </c>
      <c r="C801">
        <f t="shared" si="63"/>
        <v>1</v>
      </c>
      <c r="D801">
        <v>0</v>
      </c>
      <c r="E801">
        <f t="shared" si="66"/>
        <v>1</v>
      </c>
      <c r="F801" t="str">
        <f t="shared" si="67"/>
        <v>Saturday</v>
      </c>
      <c r="H801">
        <v>1</v>
      </c>
      <c r="I801">
        <f t="shared" si="64"/>
        <v>9</v>
      </c>
      <c r="J801">
        <f t="shared" si="65"/>
        <v>43</v>
      </c>
    </row>
    <row r="802" spans="1:10" x14ac:dyDescent="0.2">
      <c r="A802">
        <v>801</v>
      </c>
      <c r="B802" s="23">
        <v>45592</v>
      </c>
      <c r="C802">
        <f t="shared" si="63"/>
        <v>1</v>
      </c>
      <c r="D802">
        <v>0</v>
      </c>
      <c r="E802">
        <f t="shared" si="66"/>
        <v>1</v>
      </c>
      <c r="F802" t="str">
        <f t="shared" si="67"/>
        <v>Sunday</v>
      </c>
      <c r="H802">
        <v>1</v>
      </c>
      <c r="I802">
        <f t="shared" si="64"/>
        <v>9</v>
      </c>
      <c r="J802">
        <f t="shared" si="65"/>
        <v>43</v>
      </c>
    </row>
    <row r="803" spans="1:10" x14ac:dyDescent="0.2">
      <c r="A803">
        <v>802</v>
      </c>
      <c r="B803" s="23">
        <v>45593</v>
      </c>
      <c r="C803">
        <f t="shared" si="63"/>
        <v>0</v>
      </c>
      <c r="D803">
        <v>1</v>
      </c>
      <c r="E803">
        <f t="shared" si="66"/>
        <v>1</v>
      </c>
      <c r="F803" t="str">
        <f t="shared" si="67"/>
        <v>Monday</v>
      </c>
      <c r="G803" t="s">
        <v>1944</v>
      </c>
      <c r="H803">
        <v>1</v>
      </c>
      <c r="I803">
        <f t="shared" si="64"/>
        <v>10</v>
      </c>
      <c r="J803">
        <f t="shared" si="65"/>
        <v>44</v>
      </c>
    </row>
    <row r="804" spans="1:10" x14ac:dyDescent="0.2">
      <c r="A804">
        <v>803</v>
      </c>
      <c r="B804" s="23">
        <v>45594</v>
      </c>
      <c r="C804">
        <f t="shared" si="63"/>
        <v>0</v>
      </c>
      <c r="D804">
        <v>1</v>
      </c>
      <c r="E804">
        <f t="shared" si="66"/>
        <v>1</v>
      </c>
      <c r="F804" t="str">
        <f t="shared" si="67"/>
        <v>Tuesday</v>
      </c>
      <c r="G804" t="s">
        <v>1944</v>
      </c>
      <c r="H804">
        <v>1</v>
      </c>
      <c r="I804">
        <f t="shared" si="64"/>
        <v>10</v>
      </c>
      <c r="J804">
        <f t="shared" si="65"/>
        <v>44</v>
      </c>
    </row>
    <row r="805" spans="1:10" x14ac:dyDescent="0.2">
      <c r="A805">
        <v>804</v>
      </c>
      <c r="B805" s="23">
        <v>45595</v>
      </c>
      <c r="C805">
        <f t="shared" si="63"/>
        <v>0</v>
      </c>
      <c r="D805">
        <v>1</v>
      </c>
      <c r="E805">
        <f t="shared" si="66"/>
        <v>1</v>
      </c>
      <c r="F805" t="str">
        <f t="shared" si="67"/>
        <v>Wednesday</v>
      </c>
      <c r="G805" t="s">
        <v>1944</v>
      </c>
      <c r="H805">
        <v>1</v>
      </c>
      <c r="I805">
        <f t="shared" si="64"/>
        <v>10</v>
      </c>
      <c r="J805">
        <f t="shared" si="65"/>
        <v>44</v>
      </c>
    </row>
    <row r="806" spans="1:10" x14ac:dyDescent="0.2">
      <c r="A806">
        <v>805</v>
      </c>
      <c r="B806" s="23">
        <v>45596</v>
      </c>
      <c r="C806">
        <f t="shared" si="63"/>
        <v>0</v>
      </c>
      <c r="D806">
        <v>1</v>
      </c>
      <c r="E806">
        <f t="shared" si="66"/>
        <v>1</v>
      </c>
      <c r="F806" t="str">
        <f t="shared" si="67"/>
        <v>Thursday</v>
      </c>
      <c r="G806" t="s">
        <v>1944</v>
      </c>
      <c r="H806">
        <v>1</v>
      </c>
      <c r="I806">
        <f t="shared" si="64"/>
        <v>10</v>
      </c>
      <c r="J806">
        <f t="shared" si="65"/>
        <v>44</v>
      </c>
    </row>
    <row r="807" spans="1:10" x14ac:dyDescent="0.2">
      <c r="A807">
        <v>806</v>
      </c>
      <c r="B807" s="23">
        <v>45597</v>
      </c>
      <c r="C807">
        <f t="shared" si="63"/>
        <v>0</v>
      </c>
      <c r="D807">
        <v>1</v>
      </c>
      <c r="E807">
        <f t="shared" si="66"/>
        <v>1</v>
      </c>
      <c r="F807" t="str">
        <f t="shared" si="67"/>
        <v>Friday</v>
      </c>
      <c r="G807" t="s">
        <v>1944</v>
      </c>
      <c r="H807">
        <v>1</v>
      </c>
      <c r="I807">
        <f t="shared" si="64"/>
        <v>10</v>
      </c>
      <c r="J807">
        <f t="shared" si="65"/>
        <v>44</v>
      </c>
    </row>
    <row r="808" spans="1:10" x14ac:dyDescent="0.2">
      <c r="A808">
        <v>807</v>
      </c>
      <c r="B808" s="23">
        <v>45598</v>
      </c>
      <c r="C808">
        <f t="shared" si="63"/>
        <v>1</v>
      </c>
      <c r="D808">
        <v>1</v>
      </c>
      <c r="E808">
        <f t="shared" si="66"/>
        <v>1</v>
      </c>
      <c r="F808" t="str">
        <f t="shared" si="67"/>
        <v>Saturday</v>
      </c>
      <c r="G808" t="s">
        <v>1944</v>
      </c>
      <c r="H808">
        <v>1</v>
      </c>
      <c r="I808">
        <f t="shared" si="64"/>
        <v>10</v>
      </c>
      <c r="J808">
        <f t="shared" si="65"/>
        <v>44</v>
      </c>
    </row>
    <row r="809" spans="1:10" x14ac:dyDescent="0.2">
      <c r="A809">
        <v>808</v>
      </c>
      <c r="B809" s="23">
        <v>45599</v>
      </c>
      <c r="C809">
        <f t="shared" si="63"/>
        <v>1</v>
      </c>
      <c r="D809">
        <v>1</v>
      </c>
      <c r="E809">
        <f t="shared" si="66"/>
        <v>1</v>
      </c>
      <c r="F809" t="str">
        <f t="shared" si="67"/>
        <v>Sunday</v>
      </c>
      <c r="G809" t="s">
        <v>1944</v>
      </c>
      <c r="H809">
        <v>1</v>
      </c>
      <c r="I809">
        <f t="shared" si="64"/>
        <v>10</v>
      </c>
      <c r="J809">
        <f t="shared" si="65"/>
        <v>44</v>
      </c>
    </row>
    <row r="810" spans="1:10" x14ac:dyDescent="0.2">
      <c r="A810">
        <v>809</v>
      </c>
      <c r="B810" s="23">
        <v>45600</v>
      </c>
      <c r="C810">
        <f t="shared" si="63"/>
        <v>0</v>
      </c>
      <c r="D810">
        <v>1</v>
      </c>
      <c r="E810">
        <f t="shared" si="66"/>
        <v>1</v>
      </c>
      <c r="F810" t="str">
        <f t="shared" si="67"/>
        <v>Monday</v>
      </c>
      <c r="G810" t="s">
        <v>1805</v>
      </c>
      <c r="H810">
        <v>2</v>
      </c>
      <c r="I810">
        <f t="shared" si="64"/>
        <v>1</v>
      </c>
      <c r="J810">
        <f t="shared" si="65"/>
        <v>45</v>
      </c>
    </row>
    <row r="811" spans="1:10" x14ac:dyDescent="0.2">
      <c r="A811">
        <v>810</v>
      </c>
      <c r="B811" s="23">
        <v>45601</v>
      </c>
      <c r="C811">
        <f t="shared" ref="C811:C874" si="68">IF(OR(WEEKDAY(B811) = 7, WEEKDAY(B811) = 1), 1, 0)</f>
        <v>0</v>
      </c>
      <c r="D811">
        <v>0</v>
      </c>
      <c r="E811">
        <f t="shared" si="66"/>
        <v>0</v>
      </c>
      <c r="F811" t="str">
        <f t="shared" si="67"/>
        <v>Tuesday</v>
      </c>
      <c r="H811">
        <v>2</v>
      </c>
      <c r="I811">
        <f t="shared" ref="I811:I874" si="69">IF(J811&gt;J810, IF(H811&lt;&gt;H810,1, I810+1),I810)</f>
        <v>1</v>
      </c>
      <c r="J811">
        <f t="shared" ref="J811:J874" si="70">_xlfn.ISOWEEKNUM(B811)</f>
        <v>45</v>
      </c>
    </row>
    <row r="812" spans="1:10" x14ac:dyDescent="0.2">
      <c r="A812">
        <v>811</v>
      </c>
      <c r="B812" s="23">
        <v>45602</v>
      </c>
      <c r="C812">
        <f t="shared" si="68"/>
        <v>0</v>
      </c>
      <c r="D812">
        <v>0</v>
      </c>
      <c r="E812">
        <f t="shared" si="66"/>
        <v>0</v>
      </c>
      <c r="F812" t="str">
        <f t="shared" si="67"/>
        <v>Wednesday</v>
      </c>
      <c r="H812">
        <v>2</v>
      </c>
      <c r="I812">
        <f t="shared" si="69"/>
        <v>1</v>
      </c>
      <c r="J812">
        <f t="shared" si="70"/>
        <v>45</v>
      </c>
    </row>
    <row r="813" spans="1:10" x14ac:dyDescent="0.2">
      <c r="A813">
        <v>812</v>
      </c>
      <c r="B813" s="23">
        <v>45603</v>
      </c>
      <c r="C813">
        <f t="shared" si="68"/>
        <v>0</v>
      </c>
      <c r="D813">
        <v>0</v>
      </c>
      <c r="E813">
        <f t="shared" si="66"/>
        <v>0</v>
      </c>
      <c r="F813" t="str">
        <f t="shared" si="67"/>
        <v>Thursday</v>
      </c>
      <c r="H813">
        <v>2</v>
      </c>
      <c r="I813">
        <f t="shared" si="69"/>
        <v>1</v>
      </c>
      <c r="J813">
        <f t="shared" si="70"/>
        <v>45</v>
      </c>
    </row>
    <row r="814" spans="1:10" x14ac:dyDescent="0.2">
      <c r="A814">
        <v>813</v>
      </c>
      <c r="B814" s="23">
        <v>45604</v>
      </c>
      <c r="C814">
        <f t="shared" si="68"/>
        <v>0</v>
      </c>
      <c r="D814">
        <v>0</v>
      </c>
      <c r="E814">
        <f t="shared" si="66"/>
        <v>0</v>
      </c>
      <c r="F814" t="str">
        <f t="shared" si="67"/>
        <v>Friday</v>
      </c>
      <c r="H814">
        <v>2</v>
      </c>
      <c r="I814">
        <f t="shared" si="69"/>
        <v>1</v>
      </c>
      <c r="J814">
        <f t="shared" si="70"/>
        <v>45</v>
      </c>
    </row>
    <row r="815" spans="1:10" x14ac:dyDescent="0.2">
      <c r="A815">
        <v>814</v>
      </c>
      <c r="B815" s="23">
        <v>45605</v>
      </c>
      <c r="C815">
        <f t="shared" si="68"/>
        <v>1</v>
      </c>
      <c r="D815">
        <v>0</v>
      </c>
      <c r="E815">
        <f t="shared" si="66"/>
        <v>1</v>
      </c>
      <c r="F815" t="str">
        <f t="shared" si="67"/>
        <v>Saturday</v>
      </c>
      <c r="H815">
        <v>2</v>
      </c>
      <c r="I815">
        <f t="shared" si="69"/>
        <v>1</v>
      </c>
      <c r="J815">
        <f t="shared" si="70"/>
        <v>45</v>
      </c>
    </row>
    <row r="816" spans="1:10" x14ac:dyDescent="0.2">
      <c r="A816">
        <v>815</v>
      </c>
      <c r="B816" s="23">
        <v>45606</v>
      </c>
      <c r="C816">
        <f t="shared" si="68"/>
        <v>1</v>
      </c>
      <c r="D816">
        <v>0</v>
      </c>
      <c r="E816">
        <f t="shared" si="66"/>
        <v>1</v>
      </c>
      <c r="F816" t="str">
        <f t="shared" si="67"/>
        <v>Sunday</v>
      </c>
      <c r="H816">
        <v>2</v>
      </c>
      <c r="I816">
        <f t="shared" si="69"/>
        <v>1</v>
      </c>
      <c r="J816">
        <f t="shared" si="70"/>
        <v>45</v>
      </c>
    </row>
    <row r="817" spans="1:10" x14ac:dyDescent="0.2">
      <c r="A817">
        <v>816</v>
      </c>
      <c r="B817" s="23">
        <v>45607</v>
      </c>
      <c r="C817">
        <f t="shared" si="68"/>
        <v>0</v>
      </c>
      <c r="D817">
        <v>0</v>
      </c>
      <c r="E817">
        <f t="shared" si="66"/>
        <v>0</v>
      </c>
      <c r="F817" t="str">
        <f t="shared" si="67"/>
        <v>Monday</v>
      </c>
      <c r="H817">
        <v>2</v>
      </c>
      <c r="I817">
        <f t="shared" si="69"/>
        <v>2</v>
      </c>
      <c r="J817">
        <f t="shared" si="70"/>
        <v>46</v>
      </c>
    </row>
    <row r="818" spans="1:10" x14ac:dyDescent="0.2">
      <c r="A818">
        <v>817</v>
      </c>
      <c r="B818" s="23">
        <v>45608</v>
      </c>
      <c r="C818">
        <f t="shared" si="68"/>
        <v>0</v>
      </c>
      <c r="D818">
        <v>0</v>
      </c>
      <c r="E818">
        <f t="shared" si="66"/>
        <v>0</v>
      </c>
      <c r="F818" t="str">
        <f t="shared" si="67"/>
        <v>Tuesday</v>
      </c>
      <c r="H818">
        <v>2</v>
      </c>
      <c r="I818">
        <f t="shared" si="69"/>
        <v>2</v>
      </c>
      <c r="J818">
        <f t="shared" si="70"/>
        <v>46</v>
      </c>
    </row>
    <row r="819" spans="1:10" x14ac:dyDescent="0.2">
      <c r="A819">
        <v>818</v>
      </c>
      <c r="B819" s="23">
        <v>45609</v>
      </c>
      <c r="C819">
        <f t="shared" si="68"/>
        <v>0</v>
      </c>
      <c r="D819">
        <v>0</v>
      </c>
      <c r="E819">
        <f t="shared" si="66"/>
        <v>0</v>
      </c>
      <c r="F819" t="str">
        <f t="shared" si="67"/>
        <v>Wednesday</v>
      </c>
      <c r="H819">
        <v>2</v>
      </c>
      <c r="I819">
        <f t="shared" si="69"/>
        <v>2</v>
      </c>
      <c r="J819">
        <f t="shared" si="70"/>
        <v>46</v>
      </c>
    </row>
    <row r="820" spans="1:10" x14ac:dyDescent="0.2">
      <c r="A820">
        <v>819</v>
      </c>
      <c r="B820" s="23">
        <v>45610</v>
      </c>
      <c r="C820">
        <f t="shared" si="68"/>
        <v>0</v>
      </c>
      <c r="D820">
        <v>0</v>
      </c>
      <c r="E820">
        <f t="shared" si="66"/>
        <v>0</v>
      </c>
      <c r="F820" t="str">
        <f t="shared" si="67"/>
        <v>Thursday</v>
      </c>
      <c r="H820">
        <v>2</v>
      </c>
      <c r="I820">
        <f t="shared" si="69"/>
        <v>2</v>
      </c>
      <c r="J820">
        <f t="shared" si="70"/>
        <v>46</v>
      </c>
    </row>
    <row r="821" spans="1:10" x14ac:dyDescent="0.2">
      <c r="A821">
        <v>820</v>
      </c>
      <c r="B821" s="23">
        <v>45611</v>
      </c>
      <c r="C821">
        <f t="shared" si="68"/>
        <v>0</v>
      </c>
      <c r="D821">
        <v>0</v>
      </c>
      <c r="E821">
        <f t="shared" si="66"/>
        <v>0</v>
      </c>
      <c r="F821" t="str">
        <f t="shared" si="67"/>
        <v>Friday</v>
      </c>
      <c r="H821">
        <v>2</v>
      </c>
      <c r="I821">
        <f t="shared" si="69"/>
        <v>2</v>
      </c>
      <c r="J821">
        <f t="shared" si="70"/>
        <v>46</v>
      </c>
    </row>
    <row r="822" spans="1:10" x14ac:dyDescent="0.2">
      <c r="A822">
        <v>821</v>
      </c>
      <c r="B822" s="23">
        <v>45612</v>
      </c>
      <c r="C822">
        <f t="shared" si="68"/>
        <v>1</v>
      </c>
      <c r="D822">
        <v>0</v>
      </c>
      <c r="E822">
        <f t="shared" si="66"/>
        <v>1</v>
      </c>
      <c r="F822" t="str">
        <f t="shared" si="67"/>
        <v>Saturday</v>
      </c>
      <c r="H822">
        <v>2</v>
      </c>
      <c r="I822">
        <f t="shared" si="69"/>
        <v>2</v>
      </c>
      <c r="J822">
        <f t="shared" si="70"/>
        <v>46</v>
      </c>
    </row>
    <row r="823" spans="1:10" x14ac:dyDescent="0.2">
      <c r="A823">
        <v>822</v>
      </c>
      <c r="B823" s="23">
        <v>45613</v>
      </c>
      <c r="C823">
        <f t="shared" si="68"/>
        <v>1</v>
      </c>
      <c r="D823">
        <v>0</v>
      </c>
      <c r="E823">
        <f t="shared" si="66"/>
        <v>1</v>
      </c>
      <c r="F823" t="str">
        <f t="shared" si="67"/>
        <v>Sunday</v>
      </c>
      <c r="H823">
        <v>2</v>
      </c>
      <c r="I823">
        <f t="shared" si="69"/>
        <v>2</v>
      </c>
      <c r="J823">
        <f t="shared" si="70"/>
        <v>46</v>
      </c>
    </row>
    <row r="824" spans="1:10" x14ac:dyDescent="0.2">
      <c r="A824">
        <v>823</v>
      </c>
      <c r="B824" s="23">
        <v>45614</v>
      </c>
      <c r="C824">
        <f t="shared" si="68"/>
        <v>0</v>
      </c>
      <c r="D824">
        <v>0</v>
      </c>
      <c r="E824">
        <f t="shared" si="66"/>
        <v>0</v>
      </c>
      <c r="F824" t="str">
        <f t="shared" si="67"/>
        <v>Monday</v>
      </c>
      <c r="H824">
        <v>2</v>
      </c>
      <c r="I824">
        <f t="shared" si="69"/>
        <v>3</v>
      </c>
      <c r="J824">
        <f t="shared" si="70"/>
        <v>47</v>
      </c>
    </row>
    <row r="825" spans="1:10" x14ac:dyDescent="0.2">
      <c r="A825">
        <v>824</v>
      </c>
      <c r="B825" s="23">
        <v>45615</v>
      </c>
      <c r="C825">
        <f t="shared" si="68"/>
        <v>0</v>
      </c>
      <c r="D825">
        <v>0</v>
      </c>
      <c r="E825">
        <f t="shared" si="66"/>
        <v>0</v>
      </c>
      <c r="F825" t="str">
        <f t="shared" si="67"/>
        <v>Tuesday</v>
      </c>
      <c r="H825">
        <v>2</v>
      </c>
      <c r="I825">
        <f t="shared" si="69"/>
        <v>3</v>
      </c>
      <c r="J825">
        <f t="shared" si="70"/>
        <v>47</v>
      </c>
    </row>
    <row r="826" spans="1:10" x14ac:dyDescent="0.2">
      <c r="A826">
        <v>825</v>
      </c>
      <c r="B826" s="23">
        <v>45616</v>
      </c>
      <c r="C826">
        <f t="shared" si="68"/>
        <v>0</v>
      </c>
      <c r="D826">
        <v>0</v>
      </c>
      <c r="E826">
        <f t="shared" si="66"/>
        <v>0</v>
      </c>
      <c r="F826" t="str">
        <f t="shared" si="67"/>
        <v>Wednesday</v>
      </c>
      <c r="H826">
        <v>2</v>
      </c>
      <c r="I826">
        <f t="shared" si="69"/>
        <v>3</v>
      </c>
      <c r="J826">
        <f t="shared" si="70"/>
        <v>47</v>
      </c>
    </row>
    <row r="827" spans="1:10" x14ac:dyDescent="0.2">
      <c r="A827">
        <v>826</v>
      </c>
      <c r="B827" s="23">
        <v>45617</v>
      </c>
      <c r="C827">
        <f t="shared" si="68"/>
        <v>0</v>
      </c>
      <c r="D827">
        <v>0</v>
      </c>
      <c r="E827">
        <f t="shared" si="66"/>
        <v>0</v>
      </c>
      <c r="F827" t="str">
        <f t="shared" si="67"/>
        <v>Thursday</v>
      </c>
      <c r="H827">
        <v>2</v>
      </c>
      <c r="I827">
        <f t="shared" si="69"/>
        <v>3</v>
      </c>
      <c r="J827">
        <f t="shared" si="70"/>
        <v>47</v>
      </c>
    </row>
    <row r="828" spans="1:10" x14ac:dyDescent="0.2">
      <c r="A828">
        <v>827</v>
      </c>
      <c r="B828" s="23">
        <v>45618</v>
      </c>
      <c r="C828">
        <f t="shared" si="68"/>
        <v>0</v>
      </c>
      <c r="D828">
        <v>0</v>
      </c>
      <c r="E828">
        <f t="shared" si="66"/>
        <v>0</v>
      </c>
      <c r="F828" t="str">
        <f t="shared" si="67"/>
        <v>Friday</v>
      </c>
      <c r="H828">
        <v>2</v>
      </c>
      <c r="I828">
        <f t="shared" si="69"/>
        <v>3</v>
      </c>
      <c r="J828">
        <f t="shared" si="70"/>
        <v>47</v>
      </c>
    </row>
    <row r="829" spans="1:10" x14ac:dyDescent="0.2">
      <c r="A829">
        <v>828</v>
      </c>
      <c r="B829" s="23">
        <v>45619</v>
      </c>
      <c r="C829">
        <f t="shared" si="68"/>
        <v>1</v>
      </c>
      <c r="D829">
        <v>0</v>
      </c>
      <c r="E829">
        <f t="shared" si="66"/>
        <v>1</v>
      </c>
      <c r="F829" t="str">
        <f t="shared" si="67"/>
        <v>Saturday</v>
      </c>
      <c r="H829">
        <v>2</v>
      </c>
      <c r="I829">
        <f t="shared" si="69"/>
        <v>3</v>
      </c>
      <c r="J829">
        <f t="shared" si="70"/>
        <v>47</v>
      </c>
    </row>
    <row r="830" spans="1:10" x14ac:dyDescent="0.2">
      <c r="A830">
        <v>829</v>
      </c>
      <c r="B830" s="23">
        <v>45620</v>
      </c>
      <c r="C830">
        <f t="shared" si="68"/>
        <v>1</v>
      </c>
      <c r="D830">
        <v>0</v>
      </c>
      <c r="E830">
        <f t="shared" si="66"/>
        <v>1</v>
      </c>
      <c r="F830" t="str">
        <f t="shared" si="67"/>
        <v>Sunday</v>
      </c>
      <c r="H830">
        <v>2</v>
      </c>
      <c r="I830">
        <f t="shared" si="69"/>
        <v>3</v>
      </c>
      <c r="J830">
        <f t="shared" si="70"/>
        <v>47</v>
      </c>
    </row>
    <row r="831" spans="1:10" x14ac:dyDescent="0.2">
      <c r="A831">
        <v>830</v>
      </c>
      <c r="B831" s="23">
        <v>45621</v>
      </c>
      <c r="C831">
        <f t="shared" si="68"/>
        <v>0</v>
      </c>
      <c r="D831">
        <v>0</v>
      </c>
      <c r="E831">
        <f t="shared" si="66"/>
        <v>0</v>
      </c>
      <c r="F831" t="str">
        <f t="shared" si="67"/>
        <v>Monday</v>
      </c>
      <c r="H831">
        <v>2</v>
      </c>
      <c r="I831">
        <f t="shared" si="69"/>
        <v>4</v>
      </c>
      <c r="J831">
        <f t="shared" si="70"/>
        <v>48</v>
      </c>
    </row>
    <row r="832" spans="1:10" x14ac:dyDescent="0.2">
      <c r="A832">
        <v>831</v>
      </c>
      <c r="B832" s="23">
        <v>45622</v>
      </c>
      <c r="C832">
        <f t="shared" si="68"/>
        <v>0</v>
      </c>
      <c r="D832">
        <v>0</v>
      </c>
      <c r="E832">
        <f t="shared" si="66"/>
        <v>0</v>
      </c>
      <c r="F832" t="str">
        <f t="shared" si="67"/>
        <v>Tuesday</v>
      </c>
      <c r="H832">
        <v>2</v>
      </c>
      <c r="I832">
        <f t="shared" si="69"/>
        <v>4</v>
      </c>
      <c r="J832">
        <f t="shared" si="70"/>
        <v>48</v>
      </c>
    </row>
    <row r="833" spans="1:10" x14ac:dyDescent="0.2">
      <c r="A833">
        <v>832</v>
      </c>
      <c r="B833" s="23">
        <v>45623</v>
      </c>
      <c r="C833">
        <f t="shared" si="68"/>
        <v>0</v>
      </c>
      <c r="D833">
        <v>0</v>
      </c>
      <c r="E833">
        <f t="shared" si="66"/>
        <v>0</v>
      </c>
      <c r="F833" t="str">
        <f t="shared" si="67"/>
        <v>Wednesday</v>
      </c>
      <c r="H833">
        <v>2</v>
      </c>
      <c r="I833">
        <f t="shared" si="69"/>
        <v>4</v>
      </c>
      <c r="J833">
        <f t="shared" si="70"/>
        <v>48</v>
      </c>
    </row>
    <row r="834" spans="1:10" x14ac:dyDescent="0.2">
      <c r="A834">
        <v>833</v>
      </c>
      <c r="B834" s="23">
        <v>45624</v>
      </c>
      <c r="C834">
        <f t="shared" si="68"/>
        <v>0</v>
      </c>
      <c r="D834">
        <v>0</v>
      </c>
      <c r="E834">
        <f t="shared" si="66"/>
        <v>0</v>
      </c>
      <c r="F834" t="str">
        <f t="shared" si="67"/>
        <v>Thursday</v>
      </c>
      <c r="H834">
        <v>2</v>
      </c>
      <c r="I834">
        <f t="shared" si="69"/>
        <v>4</v>
      </c>
      <c r="J834">
        <f t="shared" si="70"/>
        <v>48</v>
      </c>
    </row>
    <row r="835" spans="1:10" x14ac:dyDescent="0.2">
      <c r="A835">
        <v>834</v>
      </c>
      <c r="B835" s="23">
        <v>45625</v>
      </c>
      <c r="C835">
        <f t="shared" si="68"/>
        <v>0</v>
      </c>
      <c r="D835">
        <v>0</v>
      </c>
      <c r="E835">
        <f t="shared" si="66"/>
        <v>0</v>
      </c>
      <c r="F835" t="str">
        <f t="shared" si="67"/>
        <v>Friday</v>
      </c>
      <c r="H835">
        <v>2</v>
      </c>
      <c r="I835">
        <f t="shared" si="69"/>
        <v>4</v>
      </c>
      <c r="J835">
        <f t="shared" si="70"/>
        <v>48</v>
      </c>
    </row>
    <row r="836" spans="1:10" x14ac:dyDescent="0.2">
      <c r="A836">
        <v>835</v>
      </c>
      <c r="B836" s="23">
        <v>45626</v>
      </c>
      <c r="C836">
        <f t="shared" si="68"/>
        <v>1</v>
      </c>
      <c r="D836">
        <v>0</v>
      </c>
      <c r="E836">
        <f t="shared" si="66"/>
        <v>1</v>
      </c>
      <c r="F836" t="str">
        <f t="shared" si="67"/>
        <v>Saturday</v>
      </c>
      <c r="H836">
        <v>2</v>
      </c>
      <c r="I836">
        <f t="shared" si="69"/>
        <v>4</v>
      </c>
      <c r="J836">
        <f t="shared" si="70"/>
        <v>48</v>
      </c>
    </row>
    <row r="837" spans="1:10" x14ac:dyDescent="0.2">
      <c r="A837">
        <v>836</v>
      </c>
      <c r="B837" s="23">
        <v>45627</v>
      </c>
      <c r="C837">
        <f t="shared" si="68"/>
        <v>1</v>
      </c>
      <c r="D837">
        <v>0</v>
      </c>
      <c r="E837">
        <f t="shared" si="66"/>
        <v>1</v>
      </c>
      <c r="F837" t="str">
        <f t="shared" si="67"/>
        <v>Sunday</v>
      </c>
      <c r="H837">
        <v>2</v>
      </c>
      <c r="I837">
        <f t="shared" si="69"/>
        <v>4</v>
      </c>
      <c r="J837">
        <f t="shared" si="70"/>
        <v>48</v>
      </c>
    </row>
    <row r="838" spans="1:10" x14ac:dyDescent="0.2">
      <c r="A838">
        <v>837</v>
      </c>
      <c r="B838" s="23">
        <v>45628</v>
      </c>
      <c r="C838">
        <f t="shared" si="68"/>
        <v>0</v>
      </c>
      <c r="D838">
        <v>0</v>
      </c>
      <c r="E838">
        <f t="shared" si="66"/>
        <v>0</v>
      </c>
      <c r="F838" t="str">
        <f t="shared" si="67"/>
        <v>Monday</v>
      </c>
      <c r="H838">
        <v>2</v>
      </c>
      <c r="I838">
        <f t="shared" si="69"/>
        <v>5</v>
      </c>
      <c r="J838">
        <f t="shared" si="70"/>
        <v>49</v>
      </c>
    </row>
    <row r="839" spans="1:10" x14ac:dyDescent="0.2">
      <c r="A839">
        <v>838</v>
      </c>
      <c r="B839" s="23">
        <v>45629</v>
      </c>
      <c r="C839">
        <f t="shared" si="68"/>
        <v>0</v>
      </c>
      <c r="D839">
        <v>0</v>
      </c>
      <c r="E839">
        <f t="shared" si="66"/>
        <v>0</v>
      </c>
      <c r="F839" t="str">
        <f t="shared" si="67"/>
        <v>Tuesday</v>
      </c>
      <c r="H839">
        <v>2</v>
      </c>
      <c r="I839">
        <f t="shared" si="69"/>
        <v>5</v>
      </c>
      <c r="J839">
        <f t="shared" si="70"/>
        <v>49</v>
      </c>
    </row>
    <row r="840" spans="1:10" x14ac:dyDescent="0.2">
      <c r="A840">
        <v>839</v>
      </c>
      <c r="B840" s="23">
        <v>45630</v>
      </c>
      <c r="C840">
        <f t="shared" si="68"/>
        <v>0</v>
      </c>
      <c r="D840">
        <v>0</v>
      </c>
      <c r="E840">
        <f t="shared" si="66"/>
        <v>0</v>
      </c>
      <c r="F840" t="str">
        <f t="shared" si="67"/>
        <v>Wednesday</v>
      </c>
      <c r="H840">
        <v>2</v>
      </c>
      <c r="I840">
        <f t="shared" si="69"/>
        <v>5</v>
      </c>
      <c r="J840">
        <f t="shared" si="70"/>
        <v>49</v>
      </c>
    </row>
    <row r="841" spans="1:10" x14ac:dyDescent="0.2">
      <c r="A841">
        <v>840</v>
      </c>
      <c r="B841" s="23">
        <v>45631</v>
      </c>
      <c r="C841">
        <f t="shared" si="68"/>
        <v>0</v>
      </c>
      <c r="D841">
        <v>0</v>
      </c>
      <c r="E841">
        <f t="shared" si="66"/>
        <v>0</v>
      </c>
      <c r="F841" t="str">
        <f t="shared" si="67"/>
        <v>Thursday</v>
      </c>
      <c r="H841">
        <v>2</v>
      </c>
      <c r="I841">
        <f t="shared" si="69"/>
        <v>5</v>
      </c>
      <c r="J841">
        <f t="shared" si="70"/>
        <v>49</v>
      </c>
    </row>
    <row r="842" spans="1:10" x14ac:dyDescent="0.2">
      <c r="A842">
        <v>841</v>
      </c>
      <c r="B842" s="23">
        <v>45632</v>
      </c>
      <c r="C842">
        <f t="shared" si="68"/>
        <v>0</v>
      </c>
      <c r="D842">
        <v>0</v>
      </c>
      <c r="E842">
        <f t="shared" si="66"/>
        <v>0</v>
      </c>
      <c r="F842" t="str">
        <f t="shared" si="67"/>
        <v>Friday</v>
      </c>
      <c r="H842">
        <v>2</v>
      </c>
      <c r="I842">
        <f t="shared" si="69"/>
        <v>5</v>
      </c>
      <c r="J842">
        <f t="shared" si="70"/>
        <v>49</v>
      </c>
    </row>
    <row r="843" spans="1:10" x14ac:dyDescent="0.2">
      <c r="A843">
        <v>842</v>
      </c>
      <c r="B843" s="23">
        <v>45633</v>
      </c>
      <c r="C843">
        <f t="shared" si="68"/>
        <v>1</v>
      </c>
      <c r="D843">
        <v>0</v>
      </c>
      <c r="E843">
        <f t="shared" si="66"/>
        <v>1</v>
      </c>
      <c r="F843" t="str">
        <f t="shared" si="67"/>
        <v>Saturday</v>
      </c>
      <c r="H843">
        <v>2</v>
      </c>
      <c r="I843">
        <f t="shared" si="69"/>
        <v>5</v>
      </c>
      <c r="J843">
        <f t="shared" si="70"/>
        <v>49</v>
      </c>
    </row>
    <row r="844" spans="1:10" x14ac:dyDescent="0.2">
      <c r="A844">
        <v>843</v>
      </c>
      <c r="B844" s="23">
        <v>45634</v>
      </c>
      <c r="C844">
        <f t="shared" si="68"/>
        <v>1</v>
      </c>
      <c r="D844">
        <v>0</v>
      </c>
      <c r="E844">
        <f t="shared" si="66"/>
        <v>1</v>
      </c>
      <c r="F844" t="str">
        <f t="shared" si="67"/>
        <v>Sunday</v>
      </c>
      <c r="H844">
        <v>2</v>
      </c>
      <c r="I844">
        <f t="shared" si="69"/>
        <v>5</v>
      </c>
      <c r="J844">
        <f t="shared" si="70"/>
        <v>49</v>
      </c>
    </row>
    <row r="845" spans="1:10" x14ac:dyDescent="0.2">
      <c r="A845">
        <v>844</v>
      </c>
      <c r="B845" s="23">
        <v>45635</v>
      </c>
      <c r="C845">
        <f t="shared" si="68"/>
        <v>0</v>
      </c>
      <c r="D845">
        <v>0</v>
      </c>
      <c r="E845">
        <f t="shared" ref="E845:E908" si="71">IF((C845+D845)&gt;0, 1, 0)</f>
        <v>0</v>
      </c>
      <c r="F845" t="str">
        <f t="shared" ref="F845:F908" si="72">TEXT(B845, "dddd")</f>
        <v>Monday</v>
      </c>
      <c r="H845">
        <v>2</v>
      </c>
      <c r="I845">
        <f t="shared" si="69"/>
        <v>6</v>
      </c>
      <c r="J845">
        <f t="shared" si="70"/>
        <v>50</v>
      </c>
    </row>
    <row r="846" spans="1:10" x14ac:dyDescent="0.2">
      <c r="A846">
        <v>845</v>
      </c>
      <c r="B846" s="23">
        <v>45636</v>
      </c>
      <c r="C846">
        <f t="shared" si="68"/>
        <v>0</v>
      </c>
      <c r="D846">
        <v>0</v>
      </c>
      <c r="E846">
        <f t="shared" si="71"/>
        <v>0</v>
      </c>
      <c r="F846" t="str">
        <f t="shared" si="72"/>
        <v>Tuesday</v>
      </c>
      <c r="H846">
        <v>2</v>
      </c>
      <c r="I846">
        <f t="shared" si="69"/>
        <v>6</v>
      </c>
      <c r="J846">
        <f t="shared" si="70"/>
        <v>50</v>
      </c>
    </row>
    <row r="847" spans="1:10" x14ac:dyDescent="0.2">
      <c r="A847">
        <v>846</v>
      </c>
      <c r="B847" s="23">
        <v>45637</v>
      </c>
      <c r="C847">
        <f t="shared" si="68"/>
        <v>0</v>
      </c>
      <c r="D847">
        <v>0</v>
      </c>
      <c r="E847">
        <f t="shared" si="71"/>
        <v>0</v>
      </c>
      <c r="F847" t="str">
        <f t="shared" si="72"/>
        <v>Wednesday</v>
      </c>
      <c r="H847">
        <v>2</v>
      </c>
      <c r="I847">
        <f t="shared" si="69"/>
        <v>6</v>
      </c>
      <c r="J847">
        <f t="shared" si="70"/>
        <v>50</v>
      </c>
    </row>
    <row r="848" spans="1:10" x14ac:dyDescent="0.2">
      <c r="A848">
        <v>847</v>
      </c>
      <c r="B848" s="23">
        <v>45638</v>
      </c>
      <c r="C848">
        <f t="shared" si="68"/>
        <v>0</v>
      </c>
      <c r="D848">
        <v>0</v>
      </c>
      <c r="E848">
        <f t="shared" si="71"/>
        <v>0</v>
      </c>
      <c r="F848" t="str">
        <f t="shared" si="72"/>
        <v>Thursday</v>
      </c>
      <c r="H848">
        <v>2</v>
      </c>
      <c r="I848">
        <f t="shared" si="69"/>
        <v>6</v>
      </c>
      <c r="J848">
        <f t="shared" si="70"/>
        <v>50</v>
      </c>
    </row>
    <row r="849" spans="1:10" x14ac:dyDescent="0.2">
      <c r="A849">
        <v>848</v>
      </c>
      <c r="B849" s="23">
        <v>45639</v>
      </c>
      <c r="C849">
        <f t="shared" si="68"/>
        <v>0</v>
      </c>
      <c r="D849">
        <v>0</v>
      </c>
      <c r="E849">
        <f t="shared" si="71"/>
        <v>0</v>
      </c>
      <c r="F849" t="str">
        <f t="shared" si="72"/>
        <v>Friday</v>
      </c>
      <c r="H849">
        <v>2</v>
      </c>
      <c r="I849">
        <f t="shared" si="69"/>
        <v>6</v>
      </c>
      <c r="J849">
        <f t="shared" si="70"/>
        <v>50</v>
      </c>
    </row>
    <row r="850" spans="1:10" x14ac:dyDescent="0.2">
      <c r="A850">
        <v>849</v>
      </c>
      <c r="B850" s="23">
        <v>45640</v>
      </c>
      <c r="C850">
        <f t="shared" si="68"/>
        <v>1</v>
      </c>
      <c r="D850">
        <v>0</v>
      </c>
      <c r="E850">
        <f t="shared" si="71"/>
        <v>1</v>
      </c>
      <c r="F850" t="str">
        <f t="shared" si="72"/>
        <v>Saturday</v>
      </c>
      <c r="H850">
        <v>2</v>
      </c>
      <c r="I850">
        <f t="shared" si="69"/>
        <v>6</v>
      </c>
      <c r="J850">
        <f t="shared" si="70"/>
        <v>50</v>
      </c>
    </row>
    <row r="851" spans="1:10" x14ac:dyDescent="0.2">
      <c r="A851">
        <v>850</v>
      </c>
      <c r="B851" s="23">
        <v>45641</v>
      </c>
      <c r="C851">
        <f t="shared" si="68"/>
        <v>1</v>
      </c>
      <c r="D851">
        <v>0</v>
      </c>
      <c r="E851">
        <f t="shared" si="71"/>
        <v>1</v>
      </c>
      <c r="F851" t="str">
        <f t="shared" si="72"/>
        <v>Sunday</v>
      </c>
      <c r="H851">
        <v>2</v>
      </c>
      <c r="I851">
        <f t="shared" si="69"/>
        <v>6</v>
      </c>
      <c r="J851">
        <f t="shared" si="70"/>
        <v>50</v>
      </c>
    </row>
    <row r="852" spans="1:10" x14ac:dyDescent="0.2">
      <c r="A852">
        <v>851</v>
      </c>
      <c r="B852" s="23">
        <v>45642</v>
      </c>
      <c r="C852">
        <f t="shared" si="68"/>
        <v>0</v>
      </c>
      <c r="D852">
        <v>0</v>
      </c>
      <c r="E852">
        <f t="shared" si="71"/>
        <v>0</v>
      </c>
      <c r="F852" t="str">
        <f t="shared" si="72"/>
        <v>Monday</v>
      </c>
      <c r="H852">
        <v>2</v>
      </c>
      <c r="I852">
        <f t="shared" si="69"/>
        <v>7</v>
      </c>
      <c r="J852">
        <f t="shared" si="70"/>
        <v>51</v>
      </c>
    </row>
    <row r="853" spans="1:10" x14ac:dyDescent="0.2">
      <c r="A853">
        <v>852</v>
      </c>
      <c r="B853" s="23">
        <v>45643</v>
      </c>
      <c r="C853">
        <f t="shared" si="68"/>
        <v>0</v>
      </c>
      <c r="D853">
        <v>0</v>
      </c>
      <c r="E853">
        <f t="shared" si="71"/>
        <v>0</v>
      </c>
      <c r="F853" t="str">
        <f t="shared" si="72"/>
        <v>Tuesday</v>
      </c>
      <c r="H853">
        <v>2</v>
      </c>
      <c r="I853">
        <f t="shared" si="69"/>
        <v>7</v>
      </c>
      <c r="J853">
        <f t="shared" si="70"/>
        <v>51</v>
      </c>
    </row>
    <row r="854" spans="1:10" x14ac:dyDescent="0.2">
      <c r="A854">
        <v>853</v>
      </c>
      <c r="B854" s="23">
        <v>45644</v>
      </c>
      <c r="C854">
        <f t="shared" si="68"/>
        <v>0</v>
      </c>
      <c r="D854">
        <v>0</v>
      </c>
      <c r="E854">
        <f t="shared" si="71"/>
        <v>0</v>
      </c>
      <c r="F854" t="str">
        <f t="shared" si="72"/>
        <v>Wednesday</v>
      </c>
      <c r="H854">
        <v>2</v>
      </c>
      <c r="I854">
        <f t="shared" si="69"/>
        <v>7</v>
      </c>
      <c r="J854">
        <f t="shared" si="70"/>
        <v>51</v>
      </c>
    </row>
    <row r="855" spans="1:10" x14ac:dyDescent="0.2">
      <c r="A855">
        <v>854</v>
      </c>
      <c r="B855" s="23">
        <v>45645</v>
      </c>
      <c r="C855">
        <f t="shared" si="68"/>
        <v>0</v>
      </c>
      <c r="D855">
        <v>0</v>
      </c>
      <c r="E855">
        <f t="shared" si="71"/>
        <v>0</v>
      </c>
      <c r="F855" t="str">
        <f t="shared" si="72"/>
        <v>Thursday</v>
      </c>
      <c r="H855">
        <v>2</v>
      </c>
      <c r="I855">
        <f t="shared" si="69"/>
        <v>7</v>
      </c>
      <c r="J855">
        <f t="shared" si="70"/>
        <v>51</v>
      </c>
    </row>
    <row r="856" spans="1:10" x14ac:dyDescent="0.2">
      <c r="A856">
        <v>855</v>
      </c>
      <c r="B856" s="23">
        <v>45646</v>
      </c>
      <c r="C856">
        <f t="shared" si="68"/>
        <v>0</v>
      </c>
      <c r="D856">
        <v>0</v>
      </c>
      <c r="E856">
        <f t="shared" si="71"/>
        <v>0</v>
      </c>
      <c r="F856" t="str">
        <f t="shared" si="72"/>
        <v>Friday</v>
      </c>
      <c r="H856">
        <v>2</v>
      </c>
      <c r="I856">
        <f t="shared" si="69"/>
        <v>7</v>
      </c>
      <c r="J856">
        <f t="shared" si="70"/>
        <v>51</v>
      </c>
    </row>
    <row r="857" spans="1:10" x14ac:dyDescent="0.2">
      <c r="A857">
        <v>856</v>
      </c>
      <c r="B857" s="23">
        <v>45647</v>
      </c>
      <c r="C857">
        <f t="shared" si="68"/>
        <v>1</v>
      </c>
      <c r="D857">
        <v>1</v>
      </c>
      <c r="E857">
        <f t="shared" si="71"/>
        <v>1</v>
      </c>
      <c r="F857" t="str">
        <f t="shared" si="72"/>
        <v>Saturday</v>
      </c>
      <c r="G857" t="s">
        <v>1806</v>
      </c>
      <c r="H857">
        <v>2</v>
      </c>
      <c r="I857">
        <f t="shared" si="69"/>
        <v>7</v>
      </c>
      <c r="J857">
        <f t="shared" si="70"/>
        <v>51</v>
      </c>
    </row>
    <row r="858" spans="1:10" x14ac:dyDescent="0.2">
      <c r="A858">
        <v>857</v>
      </c>
      <c r="B858" s="23">
        <v>45648</v>
      </c>
      <c r="C858">
        <f t="shared" si="68"/>
        <v>1</v>
      </c>
      <c r="D858">
        <v>1</v>
      </c>
      <c r="E858">
        <f t="shared" si="71"/>
        <v>1</v>
      </c>
      <c r="F858" t="str">
        <f t="shared" si="72"/>
        <v>Sunday</v>
      </c>
      <c r="G858" t="s">
        <v>1806</v>
      </c>
      <c r="H858">
        <v>2</v>
      </c>
      <c r="I858">
        <f t="shared" si="69"/>
        <v>7</v>
      </c>
      <c r="J858">
        <f t="shared" si="70"/>
        <v>51</v>
      </c>
    </row>
    <row r="859" spans="1:10" x14ac:dyDescent="0.2">
      <c r="A859">
        <v>858</v>
      </c>
      <c r="B859" s="23">
        <v>45649</v>
      </c>
      <c r="C859">
        <f t="shared" si="68"/>
        <v>0</v>
      </c>
      <c r="D859">
        <v>1</v>
      </c>
      <c r="E859">
        <f t="shared" si="71"/>
        <v>1</v>
      </c>
      <c r="F859" t="str">
        <f t="shared" si="72"/>
        <v>Monday</v>
      </c>
      <c r="G859" t="s">
        <v>1806</v>
      </c>
      <c r="H859">
        <v>2</v>
      </c>
      <c r="I859">
        <f t="shared" si="69"/>
        <v>8</v>
      </c>
      <c r="J859">
        <f t="shared" si="70"/>
        <v>52</v>
      </c>
    </row>
    <row r="860" spans="1:10" x14ac:dyDescent="0.2">
      <c r="A860">
        <v>859</v>
      </c>
      <c r="B860" s="23">
        <v>45650</v>
      </c>
      <c r="C860">
        <f t="shared" si="68"/>
        <v>0</v>
      </c>
      <c r="D860">
        <v>1</v>
      </c>
      <c r="E860">
        <f t="shared" si="71"/>
        <v>1</v>
      </c>
      <c r="F860" t="str">
        <f t="shared" si="72"/>
        <v>Tuesday</v>
      </c>
      <c r="G860" t="s">
        <v>1806</v>
      </c>
      <c r="H860">
        <v>2</v>
      </c>
      <c r="I860">
        <f t="shared" si="69"/>
        <v>8</v>
      </c>
      <c r="J860">
        <f t="shared" si="70"/>
        <v>52</v>
      </c>
    </row>
    <row r="861" spans="1:10" x14ac:dyDescent="0.2">
      <c r="A861">
        <v>860</v>
      </c>
      <c r="B861" s="23">
        <v>45651</v>
      </c>
      <c r="C861">
        <f t="shared" si="68"/>
        <v>0</v>
      </c>
      <c r="D861">
        <v>1</v>
      </c>
      <c r="E861">
        <f t="shared" si="71"/>
        <v>1</v>
      </c>
      <c r="F861" t="str">
        <f t="shared" si="72"/>
        <v>Wednesday</v>
      </c>
      <c r="G861" t="s">
        <v>1806</v>
      </c>
      <c r="H861">
        <v>2</v>
      </c>
      <c r="I861">
        <f t="shared" si="69"/>
        <v>8</v>
      </c>
      <c r="J861">
        <f t="shared" si="70"/>
        <v>52</v>
      </c>
    </row>
    <row r="862" spans="1:10" x14ac:dyDescent="0.2">
      <c r="A862">
        <v>861</v>
      </c>
      <c r="B862" s="23">
        <v>45652</v>
      </c>
      <c r="C862">
        <f t="shared" si="68"/>
        <v>0</v>
      </c>
      <c r="D862">
        <v>1</v>
      </c>
      <c r="E862">
        <f t="shared" si="71"/>
        <v>1</v>
      </c>
      <c r="F862" t="str">
        <f t="shared" si="72"/>
        <v>Thursday</v>
      </c>
      <c r="G862" t="s">
        <v>1806</v>
      </c>
      <c r="H862">
        <v>2</v>
      </c>
      <c r="I862">
        <f t="shared" si="69"/>
        <v>8</v>
      </c>
      <c r="J862">
        <f t="shared" si="70"/>
        <v>52</v>
      </c>
    </row>
    <row r="863" spans="1:10" x14ac:dyDescent="0.2">
      <c r="A863">
        <v>862</v>
      </c>
      <c r="B863" s="23">
        <v>45653</v>
      </c>
      <c r="C863">
        <f t="shared" si="68"/>
        <v>0</v>
      </c>
      <c r="D863">
        <v>1</v>
      </c>
      <c r="E863">
        <f t="shared" si="71"/>
        <v>1</v>
      </c>
      <c r="F863" t="str">
        <f t="shared" si="72"/>
        <v>Friday</v>
      </c>
      <c r="G863" t="s">
        <v>1806</v>
      </c>
      <c r="H863">
        <v>2</v>
      </c>
      <c r="I863">
        <f t="shared" si="69"/>
        <v>8</v>
      </c>
      <c r="J863">
        <f t="shared" si="70"/>
        <v>52</v>
      </c>
    </row>
    <row r="864" spans="1:10" x14ac:dyDescent="0.2">
      <c r="A864">
        <v>863</v>
      </c>
      <c r="B864" s="23">
        <v>45654</v>
      </c>
      <c r="C864">
        <f t="shared" si="68"/>
        <v>1</v>
      </c>
      <c r="D864">
        <v>1</v>
      </c>
      <c r="E864">
        <f t="shared" si="71"/>
        <v>1</v>
      </c>
      <c r="F864" t="str">
        <f t="shared" si="72"/>
        <v>Saturday</v>
      </c>
      <c r="G864" t="s">
        <v>1806</v>
      </c>
      <c r="H864">
        <v>2</v>
      </c>
      <c r="I864">
        <f t="shared" si="69"/>
        <v>8</v>
      </c>
      <c r="J864">
        <f t="shared" si="70"/>
        <v>52</v>
      </c>
    </row>
    <row r="865" spans="1:10" x14ac:dyDescent="0.2">
      <c r="A865">
        <v>864</v>
      </c>
      <c r="B865" s="23">
        <v>45655</v>
      </c>
      <c r="C865">
        <f t="shared" si="68"/>
        <v>1</v>
      </c>
      <c r="D865">
        <v>1</v>
      </c>
      <c r="E865">
        <f t="shared" si="71"/>
        <v>1</v>
      </c>
      <c r="F865" t="str">
        <f t="shared" si="72"/>
        <v>Sunday</v>
      </c>
      <c r="G865" t="s">
        <v>1806</v>
      </c>
      <c r="H865">
        <v>2</v>
      </c>
      <c r="I865">
        <f t="shared" si="69"/>
        <v>8</v>
      </c>
      <c r="J865">
        <f t="shared" si="70"/>
        <v>52</v>
      </c>
    </row>
    <row r="866" spans="1:10" x14ac:dyDescent="0.2">
      <c r="A866">
        <v>865</v>
      </c>
      <c r="B866" s="23">
        <v>45656</v>
      </c>
      <c r="C866">
        <f t="shared" si="68"/>
        <v>0</v>
      </c>
      <c r="D866">
        <v>1</v>
      </c>
      <c r="E866">
        <f t="shared" si="71"/>
        <v>1</v>
      </c>
      <c r="F866" t="str">
        <f t="shared" si="72"/>
        <v>Monday</v>
      </c>
      <c r="G866" t="s">
        <v>1806</v>
      </c>
      <c r="H866">
        <v>2</v>
      </c>
      <c r="I866">
        <f t="shared" si="69"/>
        <v>8</v>
      </c>
      <c r="J866">
        <f t="shared" si="70"/>
        <v>1</v>
      </c>
    </row>
    <row r="867" spans="1:10" x14ac:dyDescent="0.2">
      <c r="A867">
        <v>866</v>
      </c>
      <c r="B867" s="23">
        <v>45657</v>
      </c>
      <c r="C867">
        <f t="shared" si="68"/>
        <v>0</v>
      </c>
      <c r="D867">
        <v>1</v>
      </c>
      <c r="E867">
        <f t="shared" si="71"/>
        <v>1</v>
      </c>
      <c r="F867" t="str">
        <f t="shared" si="72"/>
        <v>Tuesday</v>
      </c>
      <c r="G867" t="s">
        <v>1806</v>
      </c>
      <c r="H867">
        <v>2</v>
      </c>
      <c r="I867">
        <f t="shared" si="69"/>
        <v>8</v>
      </c>
      <c r="J867">
        <f t="shared" si="70"/>
        <v>1</v>
      </c>
    </row>
    <row r="868" spans="1:10" x14ac:dyDescent="0.2">
      <c r="A868">
        <v>867</v>
      </c>
      <c r="B868" s="23">
        <v>45658</v>
      </c>
      <c r="C868">
        <f t="shared" si="68"/>
        <v>0</v>
      </c>
      <c r="D868">
        <v>1</v>
      </c>
      <c r="E868">
        <f t="shared" si="71"/>
        <v>1</v>
      </c>
      <c r="F868" t="str">
        <f t="shared" si="72"/>
        <v>Wednesday</v>
      </c>
      <c r="G868" t="s">
        <v>1806</v>
      </c>
      <c r="H868">
        <v>2</v>
      </c>
      <c r="I868">
        <f t="shared" si="69"/>
        <v>8</v>
      </c>
      <c r="J868">
        <f t="shared" si="70"/>
        <v>1</v>
      </c>
    </row>
    <row r="869" spans="1:10" x14ac:dyDescent="0.2">
      <c r="A869">
        <v>868</v>
      </c>
      <c r="B869" s="23">
        <v>45659</v>
      </c>
      <c r="C869">
        <f t="shared" si="68"/>
        <v>0</v>
      </c>
      <c r="D869">
        <v>1</v>
      </c>
      <c r="E869">
        <f t="shared" si="71"/>
        <v>1</v>
      </c>
      <c r="F869" t="str">
        <f t="shared" si="72"/>
        <v>Thursday</v>
      </c>
      <c r="G869" t="s">
        <v>1806</v>
      </c>
      <c r="H869">
        <v>2</v>
      </c>
      <c r="I869">
        <f t="shared" si="69"/>
        <v>8</v>
      </c>
      <c r="J869">
        <f t="shared" si="70"/>
        <v>1</v>
      </c>
    </row>
    <row r="870" spans="1:10" x14ac:dyDescent="0.2">
      <c r="A870">
        <v>869</v>
      </c>
      <c r="B870" s="23">
        <v>45660</v>
      </c>
      <c r="C870">
        <f t="shared" si="68"/>
        <v>0</v>
      </c>
      <c r="D870">
        <v>1</v>
      </c>
      <c r="E870">
        <f t="shared" si="71"/>
        <v>1</v>
      </c>
      <c r="F870" t="str">
        <f t="shared" si="72"/>
        <v>Friday</v>
      </c>
      <c r="G870" t="s">
        <v>1806</v>
      </c>
      <c r="H870">
        <v>2</v>
      </c>
      <c r="I870">
        <f t="shared" si="69"/>
        <v>8</v>
      </c>
      <c r="J870">
        <f t="shared" si="70"/>
        <v>1</v>
      </c>
    </row>
    <row r="871" spans="1:10" x14ac:dyDescent="0.2">
      <c r="A871">
        <v>870</v>
      </c>
      <c r="B871" s="23">
        <v>45661</v>
      </c>
      <c r="C871">
        <f t="shared" si="68"/>
        <v>1</v>
      </c>
      <c r="D871">
        <v>1</v>
      </c>
      <c r="E871">
        <f t="shared" si="71"/>
        <v>1</v>
      </c>
      <c r="F871" t="str">
        <f t="shared" si="72"/>
        <v>Saturday</v>
      </c>
      <c r="G871" t="s">
        <v>1806</v>
      </c>
      <c r="H871">
        <v>2</v>
      </c>
      <c r="I871">
        <f t="shared" si="69"/>
        <v>8</v>
      </c>
      <c r="J871">
        <f t="shared" si="70"/>
        <v>1</v>
      </c>
    </row>
    <row r="872" spans="1:10" x14ac:dyDescent="0.2">
      <c r="A872">
        <v>871</v>
      </c>
      <c r="B872" s="23">
        <v>45662</v>
      </c>
      <c r="C872">
        <f t="shared" si="68"/>
        <v>1</v>
      </c>
      <c r="D872">
        <v>1</v>
      </c>
      <c r="E872">
        <f t="shared" si="71"/>
        <v>1</v>
      </c>
      <c r="F872" t="str">
        <f t="shared" si="72"/>
        <v>Sunday</v>
      </c>
      <c r="G872" t="s">
        <v>1806</v>
      </c>
      <c r="H872">
        <v>2</v>
      </c>
      <c r="I872">
        <f t="shared" si="69"/>
        <v>8</v>
      </c>
      <c r="J872">
        <f t="shared" si="70"/>
        <v>1</v>
      </c>
    </row>
    <row r="873" spans="1:10" x14ac:dyDescent="0.2">
      <c r="A873">
        <v>872</v>
      </c>
      <c r="B873" s="23">
        <v>45663</v>
      </c>
      <c r="C873">
        <f t="shared" si="68"/>
        <v>0</v>
      </c>
      <c r="D873">
        <v>0</v>
      </c>
      <c r="E873">
        <f t="shared" si="71"/>
        <v>0</v>
      </c>
      <c r="F873" t="str">
        <f t="shared" si="72"/>
        <v>Monday</v>
      </c>
      <c r="H873">
        <v>3</v>
      </c>
      <c r="I873">
        <f t="shared" si="69"/>
        <v>1</v>
      </c>
      <c r="J873">
        <f t="shared" si="70"/>
        <v>2</v>
      </c>
    </row>
    <row r="874" spans="1:10" x14ac:dyDescent="0.2">
      <c r="A874">
        <v>873</v>
      </c>
      <c r="B874" s="23">
        <v>45664</v>
      </c>
      <c r="C874">
        <f t="shared" si="68"/>
        <v>0</v>
      </c>
      <c r="D874">
        <v>0</v>
      </c>
      <c r="E874">
        <f t="shared" si="71"/>
        <v>0</v>
      </c>
      <c r="F874" t="str">
        <f t="shared" si="72"/>
        <v>Tuesday</v>
      </c>
      <c r="H874">
        <v>3</v>
      </c>
      <c r="I874">
        <f t="shared" si="69"/>
        <v>1</v>
      </c>
      <c r="J874">
        <f t="shared" si="70"/>
        <v>2</v>
      </c>
    </row>
    <row r="875" spans="1:10" x14ac:dyDescent="0.2">
      <c r="A875">
        <v>874</v>
      </c>
      <c r="B875" s="23">
        <v>45665</v>
      </c>
      <c r="C875">
        <f t="shared" ref="C875:C938" si="73">IF(OR(WEEKDAY(B875) = 7, WEEKDAY(B875) = 1), 1, 0)</f>
        <v>0</v>
      </c>
      <c r="D875">
        <v>0</v>
      </c>
      <c r="E875">
        <f t="shared" si="71"/>
        <v>0</v>
      </c>
      <c r="F875" t="str">
        <f t="shared" si="72"/>
        <v>Wednesday</v>
      </c>
      <c r="H875">
        <v>3</v>
      </c>
      <c r="I875">
        <f t="shared" ref="I875:I938" si="74">IF(J875&gt;J874, IF(H875&lt;&gt;H874,1, I874+1),I874)</f>
        <v>1</v>
      </c>
      <c r="J875">
        <f t="shared" ref="J875:J938" si="75">_xlfn.ISOWEEKNUM(B875)</f>
        <v>2</v>
      </c>
    </row>
    <row r="876" spans="1:10" x14ac:dyDescent="0.2">
      <c r="A876">
        <v>875</v>
      </c>
      <c r="B876" s="23">
        <v>45666</v>
      </c>
      <c r="C876">
        <f t="shared" si="73"/>
        <v>0</v>
      </c>
      <c r="D876">
        <v>0</v>
      </c>
      <c r="E876">
        <f t="shared" si="71"/>
        <v>0</v>
      </c>
      <c r="F876" t="str">
        <f t="shared" si="72"/>
        <v>Thursday</v>
      </c>
      <c r="H876">
        <v>3</v>
      </c>
      <c r="I876">
        <f t="shared" si="74"/>
        <v>1</v>
      </c>
      <c r="J876">
        <f t="shared" si="75"/>
        <v>2</v>
      </c>
    </row>
    <row r="877" spans="1:10" x14ac:dyDescent="0.2">
      <c r="A877">
        <v>876</v>
      </c>
      <c r="B877" s="23">
        <v>45667</v>
      </c>
      <c r="C877">
        <f t="shared" si="73"/>
        <v>0</v>
      </c>
      <c r="D877">
        <v>0</v>
      </c>
      <c r="E877">
        <f t="shared" si="71"/>
        <v>0</v>
      </c>
      <c r="F877" t="str">
        <f t="shared" si="72"/>
        <v>Friday</v>
      </c>
      <c r="H877">
        <v>3</v>
      </c>
      <c r="I877">
        <f t="shared" si="74"/>
        <v>1</v>
      </c>
      <c r="J877">
        <f t="shared" si="75"/>
        <v>2</v>
      </c>
    </row>
    <row r="878" spans="1:10" x14ac:dyDescent="0.2">
      <c r="A878">
        <v>877</v>
      </c>
      <c r="B878" s="23">
        <v>45668</v>
      </c>
      <c r="C878">
        <f t="shared" si="73"/>
        <v>1</v>
      </c>
      <c r="D878">
        <v>0</v>
      </c>
      <c r="E878">
        <f t="shared" si="71"/>
        <v>1</v>
      </c>
      <c r="F878" t="str">
        <f t="shared" si="72"/>
        <v>Saturday</v>
      </c>
      <c r="H878">
        <v>3</v>
      </c>
      <c r="I878">
        <f t="shared" si="74"/>
        <v>1</v>
      </c>
      <c r="J878">
        <f t="shared" si="75"/>
        <v>2</v>
      </c>
    </row>
    <row r="879" spans="1:10" x14ac:dyDescent="0.2">
      <c r="A879">
        <v>878</v>
      </c>
      <c r="B879" s="23">
        <v>45669</v>
      </c>
      <c r="C879">
        <f t="shared" si="73"/>
        <v>1</v>
      </c>
      <c r="D879">
        <v>0</v>
      </c>
      <c r="E879">
        <f t="shared" si="71"/>
        <v>1</v>
      </c>
      <c r="F879" t="str">
        <f t="shared" si="72"/>
        <v>Sunday</v>
      </c>
      <c r="H879">
        <v>3</v>
      </c>
      <c r="I879">
        <f t="shared" si="74"/>
        <v>1</v>
      </c>
      <c r="J879">
        <f t="shared" si="75"/>
        <v>2</v>
      </c>
    </row>
    <row r="880" spans="1:10" x14ac:dyDescent="0.2">
      <c r="A880">
        <v>879</v>
      </c>
      <c r="B880" s="23">
        <v>45670</v>
      </c>
      <c r="C880">
        <f t="shared" si="73"/>
        <v>0</v>
      </c>
      <c r="D880">
        <v>0</v>
      </c>
      <c r="E880">
        <f t="shared" si="71"/>
        <v>0</v>
      </c>
      <c r="F880" t="str">
        <f t="shared" si="72"/>
        <v>Monday</v>
      </c>
      <c r="H880">
        <v>3</v>
      </c>
      <c r="I880">
        <f t="shared" si="74"/>
        <v>2</v>
      </c>
      <c r="J880">
        <f t="shared" si="75"/>
        <v>3</v>
      </c>
    </row>
    <row r="881" spans="1:10" x14ac:dyDescent="0.2">
      <c r="A881">
        <v>880</v>
      </c>
      <c r="B881" s="23">
        <v>45671</v>
      </c>
      <c r="C881">
        <f t="shared" si="73"/>
        <v>0</v>
      </c>
      <c r="D881">
        <v>0</v>
      </c>
      <c r="E881">
        <f t="shared" si="71"/>
        <v>0</v>
      </c>
      <c r="F881" t="str">
        <f t="shared" si="72"/>
        <v>Tuesday</v>
      </c>
      <c r="H881">
        <v>3</v>
      </c>
      <c r="I881">
        <f t="shared" si="74"/>
        <v>2</v>
      </c>
      <c r="J881">
        <f t="shared" si="75"/>
        <v>3</v>
      </c>
    </row>
    <row r="882" spans="1:10" x14ac:dyDescent="0.2">
      <c r="A882">
        <v>881</v>
      </c>
      <c r="B882" s="23">
        <v>45672</v>
      </c>
      <c r="C882">
        <f t="shared" si="73"/>
        <v>0</v>
      </c>
      <c r="D882">
        <v>0</v>
      </c>
      <c r="E882">
        <f t="shared" si="71"/>
        <v>0</v>
      </c>
      <c r="F882" t="str">
        <f t="shared" si="72"/>
        <v>Wednesday</v>
      </c>
      <c r="H882">
        <v>3</v>
      </c>
      <c r="I882">
        <f t="shared" si="74"/>
        <v>2</v>
      </c>
      <c r="J882">
        <f t="shared" si="75"/>
        <v>3</v>
      </c>
    </row>
    <row r="883" spans="1:10" x14ac:dyDescent="0.2">
      <c r="A883">
        <v>882</v>
      </c>
      <c r="B883" s="23">
        <v>45673</v>
      </c>
      <c r="C883">
        <f t="shared" si="73"/>
        <v>0</v>
      </c>
      <c r="D883">
        <v>0</v>
      </c>
      <c r="E883">
        <f t="shared" si="71"/>
        <v>0</v>
      </c>
      <c r="F883" t="str">
        <f t="shared" si="72"/>
        <v>Thursday</v>
      </c>
      <c r="H883">
        <v>3</v>
      </c>
      <c r="I883">
        <f t="shared" si="74"/>
        <v>2</v>
      </c>
      <c r="J883">
        <f t="shared" si="75"/>
        <v>3</v>
      </c>
    </row>
    <row r="884" spans="1:10" x14ac:dyDescent="0.2">
      <c r="A884">
        <v>883</v>
      </c>
      <c r="B884" s="23">
        <v>45674</v>
      </c>
      <c r="C884">
        <f t="shared" si="73"/>
        <v>0</v>
      </c>
      <c r="D884">
        <v>0</v>
      </c>
      <c r="E884">
        <f t="shared" si="71"/>
        <v>0</v>
      </c>
      <c r="F884" t="str">
        <f t="shared" si="72"/>
        <v>Friday</v>
      </c>
      <c r="H884">
        <v>3</v>
      </c>
      <c r="I884">
        <f t="shared" si="74"/>
        <v>2</v>
      </c>
      <c r="J884">
        <f t="shared" si="75"/>
        <v>3</v>
      </c>
    </row>
    <row r="885" spans="1:10" x14ac:dyDescent="0.2">
      <c r="A885">
        <v>884</v>
      </c>
      <c r="B885" s="23">
        <v>45675</v>
      </c>
      <c r="C885">
        <f t="shared" si="73"/>
        <v>1</v>
      </c>
      <c r="D885">
        <v>0</v>
      </c>
      <c r="E885">
        <f t="shared" si="71"/>
        <v>1</v>
      </c>
      <c r="F885" t="str">
        <f t="shared" si="72"/>
        <v>Saturday</v>
      </c>
      <c r="H885">
        <v>3</v>
      </c>
      <c r="I885">
        <f t="shared" si="74"/>
        <v>2</v>
      </c>
      <c r="J885">
        <f t="shared" si="75"/>
        <v>3</v>
      </c>
    </row>
    <row r="886" spans="1:10" x14ac:dyDescent="0.2">
      <c r="A886">
        <v>885</v>
      </c>
      <c r="B886" s="23">
        <v>45676</v>
      </c>
      <c r="C886">
        <f t="shared" si="73"/>
        <v>1</v>
      </c>
      <c r="D886">
        <v>0</v>
      </c>
      <c r="E886">
        <f t="shared" si="71"/>
        <v>1</v>
      </c>
      <c r="F886" t="str">
        <f t="shared" si="72"/>
        <v>Sunday</v>
      </c>
      <c r="H886">
        <v>3</v>
      </c>
      <c r="I886">
        <f t="shared" si="74"/>
        <v>2</v>
      </c>
      <c r="J886">
        <f t="shared" si="75"/>
        <v>3</v>
      </c>
    </row>
    <row r="887" spans="1:10" x14ac:dyDescent="0.2">
      <c r="A887">
        <v>886</v>
      </c>
      <c r="B887" s="23">
        <v>45677</v>
      </c>
      <c r="C887">
        <f t="shared" si="73"/>
        <v>0</v>
      </c>
      <c r="D887">
        <v>0</v>
      </c>
      <c r="E887">
        <f t="shared" si="71"/>
        <v>0</v>
      </c>
      <c r="F887" t="str">
        <f t="shared" si="72"/>
        <v>Monday</v>
      </c>
      <c r="H887">
        <v>3</v>
      </c>
      <c r="I887">
        <f t="shared" si="74"/>
        <v>3</v>
      </c>
      <c r="J887">
        <f t="shared" si="75"/>
        <v>4</v>
      </c>
    </row>
    <row r="888" spans="1:10" x14ac:dyDescent="0.2">
      <c r="A888">
        <v>887</v>
      </c>
      <c r="B888" s="23">
        <v>45678</v>
      </c>
      <c r="C888">
        <f t="shared" si="73"/>
        <v>0</v>
      </c>
      <c r="D888">
        <v>0</v>
      </c>
      <c r="E888">
        <f t="shared" si="71"/>
        <v>0</v>
      </c>
      <c r="F888" t="str">
        <f t="shared" si="72"/>
        <v>Tuesday</v>
      </c>
      <c r="H888">
        <v>3</v>
      </c>
      <c r="I888">
        <f t="shared" si="74"/>
        <v>3</v>
      </c>
      <c r="J888">
        <f t="shared" si="75"/>
        <v>4</v>
      </c>
    </row>
    <row r="889" spans="1:10" x14ac:dyDescent="0.2">
      <c r="A889">
        <v>888</v>
      </c>
      <c r="B889" s="23">
        <v>45679</v>
      </c>
      <c r="C889">
        <f t="shared" si="73"/>
        <v>0</v>
      </c>
      <c r="D889">
        <v>0</v>
      </c>
      <c r="E889">
        <f t="shared" si="71"/>
        <v>0</v>
      </c>
      <c r="F889" t="str">
        <f t="shared" si="72"/>
        <v>Wednesday</v>
      </c>
      <c r="H889">
        <v>3</v>
      </c>
      <c r="I889">
        <f t="shared" si="74"/>
        <v>3</v>
      </c>
      <c r="J889">
        <f t="shared" si="75"/>
        <v>4</v>
      </c>
    </row>
    <row r="890" spans="1:10" x14ac:dyDescent="0.2">
      <c r="A890">
        <v>889</v>
      </c>
      <c r="B890" s="23">
        <v>45680</v>
      </c>
      <c r="C890">
        <f t="shared" si="73"/>
        <v>0</v>
      </c>
      <c r="D890">
        <v>0</v>
      </c>
      <c r="E890">
        <f t="shared" si="71"/>
        <v>0</v>
      </c>
      <c r="F890" t="str">
        <f t="shared" si="72"/>
        <v>Thursday</v>
      </c>
      <c r="H890">
        <v>3</v>
      </c>
      <c r="I890">
        <f t="shared" si="74"/>
        <v>3</v>
      </c>
      <c r="J890">
        <f t="shared" si="75"/>
        <v>4</v>
      </c>
    </row>
    <row r="891" spans="1:10" x14ac:dyDescent="0.2">
      <c r="A891">
        <v>890</v>
      </c>
      <c r="B891" s="23">
        <v>45681</v>
      </c>
      <c r="C891">
        <f t="shared" si="73"/>
        <v>0</v>
      </c>
      <c r="D891">
        <v>0</v>
      </c>
      <c r="E891">
        <f t="shared" si="71"/>
        <v>0</v>
      </c>
      <c r="F891" t="str">
        <f t="shared" si="72"/>
        <v>Friday</v>
      </c>
      <c r="H891">
        <v>3</v>
      </c>
      <c r="I891">
        <f t="shared" si="74"/>
        <v>3</v>
      </c>
      <c r="J891">
        <f t="shared" si="75"/>
        <v>4</v>
      </c>
    </row>
    <row r="892" spans="1:10" x14ac:dyDescent="0.2">
      <c r="A892">
        <v>891</v>
      </c>
      <c r="B892" s="23">
        <v>45682</v>
      </c>
      <c r="C892">
        <f t="shared" si="73"/>
        <v>1</v>
      </c>
      <c r="D892">
        <v>0</v>
      </c>
      <c r="E892">
        <f t="shared" si="71"/>
        <v>1</v>
      </c>
      <c r="F892" t="str">
        <f t="shared" si="72"/>
        <v>Saturday</v>
      </c>
      <c r="H892">
        <v>3</v>
      </c>
      <c r="I892">
        <f t="shared" si="74"/>
        <v>3</v>
      </c>
      <c r="J892">
        <f t="shared" si="75"/>
        <v>4</v>
      </c>
    </row>
    <row r="893" spans="1:10" x14ac:dyDescent="0.2">
      <c r="A893">
        <v>892</v>
      </c>
      <c r="B893" s="23">
        <v>45683</v>
      </c>
      <c r="C893">
        <f t="shared" si="73"/>
        <v>1</v>
      </c>
      <c r="D893">
        <v>0</v>
      </c>
      <c r="E893">
        <f t="shared" si="71"/>
        <v>1</v>
      </c>
      <c r="F893" t="str">
        <f t="shared" si="72"/>
        <v>Sunday</v>
      </c>
      <c r="H893">
        <v>3</v>
      </c>
      <c r="I893">
        <f t="shared" si="74"/>
        <v>3</v>
      </c>
      <c r="J893">
        <f t="shared" si="75"/>
        <v>4</v>
      </c>
    </row>
    <row r="894" spans="1:10" x14ac:dyDescent="0.2">
      <c r="A894">
        <v>893</v>
      </c>
      <c r="B894" s="23">
        <v>45684</v>
      </c>
      <c r="C894">
        <f t="shared" si="73"/>
        <v>0</v>
      </c>
      <c r="D894">
        <v>0</v>
      </c>
      <c r="E894">
        <f t="shared" si="71"/>
        <v>0</v>
      </c>
      <c r="F894" t="str">
        <f t="shared" si="72"/>
        <v>Monday</v>
      </c>
      <c r="H894">
        <v>3</v>
      </c>
      <c r="I894">
        <f t="shared" si="74"/>
        <v>4</v>
      </c>
      <c r="J894">
        <f t="shared" si="75"/>
        <v>5</v>
      </c>
    </row>
    <row r="895" spans="1:10" x14ac:dyDescent="0.2">
      <c r="A895">
        <v>894</v>
      </c>
      <c r="B895" s="23">
        <v>45685</v>
      </c>
      <c r="C895">
        <f t="shared" si="73"/>
        <v>0</v>
      </c>
      <c r="D895">
        <v>0</v>
      </c>
      <c r="E895">
        <f t="shared" si="71"/>
        <v>0</v>
      </c>
      <c r="F895" t="str">
        <f t="shared" si="72"/>
        <v>Tuesday</v>
      </c>
      <c r="H895">
        <v>3</v>
      </c>
      <c r="I895">
        <f t="shared" si="74"/>
        <v>4</v>
      </c>
      <c r="J895">
        <f t="shared" si="75"/>
        <v>5</v>
      </c>
    </row>
    <row r="896" spans="1:10" x14ac:dyDescent="0.2">
      <c r="A896">
        <v>895</v>
      </c>
      <c r="B896" s="23">
        <v>45686</v>
      </c>
      <c r="C896">
        <f t="shared" si="73"/>
        <v>0</v>
      </c>
      <c r="D896">
        <v>0</v>
      </c>
      <c r="E896">
        <f t="shared" si="71"/>
        <v>0</v>
      </c>
      <c r="F896" t="str">
        <f t="shared" si="72"/>
        <v>Wednesday</v>
      </c>
      <c r="H896">
        <v>3</v>
      </c>
      <c r="I896">
        <f t="shared" si="74"/>
        <v>4</v>
      </c>
      <c r="J896">
        <f t="shared" si="75"/>
        <v>5</v>
      </c>
    </row>
    <row r="897" spans="1:10" x14ac:dyDescent="0.2">
      <c r="A897">
        <v>896</v>
      </c>
      <c r="B897" s="23">
        <v>45687</v>
      </c>
      <c r="C897">
        <f t="shared" si="73"/>
        <v>0</v>
      </c>
      <c r="D897">
        <v>0</v>
      </c>
      <c r="E897">
        <f t="shared" si="71"/>
        <v>0</v>
      </c>
      <c r="F897" t="str">
        <f t="shared" si="72"/>
        <v>Thursday</v>
      </c>
      <c r="H897">
        <v>3</v>
      </c>
      <c r="I897">
        <f t="shared" si="74"/>
        <v>4</v>
      </c>
      <c r="J897">
        <f t="shared" si="75"/>
        <v>5</v>
      </c>
    </row>
    <row r="898" spans="1:10" x14ac:dyDescent="0.2">
      <c r="A898">
        <v>897</v>
      </c>
      <c r="B898" s="23">
        <v>45688</v>
      </c>
      <c r="C898">
        <f t="shared" si="73"/>
        <v>0</v>
      </c>
      <c r="D898">
        <v>0</v>
      </c>
      <c r="E898">
        <f t="shared" si="71"/>
        <v>0</v>
      </c>
      <c r="F898" t="str">
        <f t="shared" si="72"/>
        <v>Friday</v>
      </c>
      <c r="H898">
        <v>3</v>
      </c>
      <c r="I898">
        <f t="shared" si="74"/>
        <v>4</v>
      </c>
      <c r="J898">
        <f t="shared" si="75"/>
        <v>5</v>
      </c>
    </row>
    <row r="899" spans="1:10" x14ac:dyDescent="0.2">
      <c r="A899">
        <v>898</v>
      </c>
      <c r="B899" s="23">
        <v>45689</v>
      </c>
      <c r="C899">
        <f t="shared" si="73"/>
        <v>1</v>
      </c>
      <c r="D899">
        <v>0</v>
      </c>
      <c r="E899">
        <f t="shared" si="71"/>
        <v>1</v>
      </c>
      <c r="F899" t="str">
        <f t="shared" si="72"/>
        <v>Saturday</v>
      </c>
      <c r="H899">
        <v>3</v>
      </c>
      <c r="I899">
        <f t="shared" si="74"/>
        <v>4</v>
      </c>
      <c r="J899">
        <f t="shared" si="75"/>
        <v>5</v>
      </c>
    </row>
    <row r="900" spans="1:10" x14ac:dyDescent="0.2">
      <c r="A900">
        <v>899</v>
      </c>
      <c r="B900" s="23">
        <v>45690</v>
      </c>
      <c r="C900">
        <f t="shared" si="73"/>
        <v>1</v>
      </c>
      <c r="D900">
        <v>0</v>
      </c>
      <c r="E900">
        <f t="shared" si="71"/>
        <v>1</v>
      </c>
      <c r="F900" t="str">
        <f t="shared" si="72"/>
        <v>Sunday</v>
      </c>
      <c r="H900">
        <v>3</v>
      </c>
      <c r="I900">
        <f t="shared" si="74"/>
        <v>4</v>
      </c>
      <c r="J900">
        <f t="shared" si="75"/>
        <v>5</v>
      </c>
    </row>
    <row r="901" spans="1:10" x14ac:dyDescent="0.2">
      <c r="A901">
        <v>900</v>
      </c>
      <c r="B901" s="23">
        <v>45691</v>
      </c>
      <c r="C901">
        <f t="shared" si="73"/>
        <v>0</v>
      </c>
      <c r="D901">
        <v>0</v>
      </c>
      <c r="E901">
        <f t="shared" si="71"/>
        <v>0</v>
      </c>
      <c r="F901" t="str">
        <f t="shared" si="72"/>
        <v>Monday</v>
      </c>
      <c r="H901">
        <v>3</v>
      </c>
      <c r="I901">
        <f t="shared" si="74"/>
        <v>5</v>
      </c>
      <c r="J901">
        <f t="shared" si="75"/>
        <v>6</v>
      </c>
    </row>
    <row r="902" spans="1:10" x14ac:dyDescent="0.2">
      <c r="A902">
        <v>901</v>
      </c>
      <c r="B902" s="23">
        <v>45692</v>
      </c>
      <c r="C902">
        <f t="shared" si="73"/>
        <v>0</v>
      </c>
      <c r="D902">
        <v>0</v>
      </c>
      <c r="E902">
        <f t="shared" si="71"/>
        <v>0</v>
      </c>
      <c r="F902" t="str">
        <f t="shared" si="72"/>
        <v>Tuesday</v>
      </c>
      <c r="H902">
        <v>3</v>
      </c>
      <c r="I902">
        <f t="shared" si="74"/>
        <v>5</v>
      </c>
      <c r="J902">
        <f t="shared" si="75"/>
        <v>6</v>
      </c>
    </row>
    <row r="903" spans="1:10" x14ac:dyDescent="0.2">
      <c r="A903">
        <v>902</v>
      </c>
      <c r="B903" s="23">
        <v>45693</v>
      </c>
      <c r="C903">
        <f t="shared" si="73"/>
        <v>0</v>
      </c>
      <c r="D903">
        <v>0</v>
      </c>
      <c r="E903">
        <f t="shared" si="71"/>
        <v>0</v>
      </c>
      <c r="F903" t="str">
        <f t="shared" si="72"/>
        <v>Wednesday</v>
      </c>
      <c r="H903">
        <v>3</v>
      </c>
      <c r="I903">
        <f t="shared" si="74"/>
        <v>5</v>
      </c>
      <c r="J903">
        <f t="shared" si="75"/>
        <v>6</v>
      </c>
    </row>
    <row r="904" spans="1:10" x14ac:dyDescent="0.2">
      <c r="A904">
        <v>903</v>
      </c>
      <c r="B904" s="23">
        <v>45694</v>
      </c>
      <c r="C904">
        <f t="shared" si="73"/>
        <v>0</v>
      </c>
      <c r="D904">
        <v>0</v>
      </c>
      <c r="E904">
        <f t="shared" si="71"/>
        <v>0</v>
      </c>
      <c r="F904" t="str">
        <f t="shared" si="72"/>
        <v>Thursday</v>
      </c>
      <c r="H904">
        <v>3</v>
      </c>
      <c r="I904">
        <f t="shared" si="74"/>
        <v>5</v>
      </c>
      <c r="J904">
        <f t="shared" si="75"/>
        <v>6</v>
      </c>
    </row>
    <row r="905" spans="1:10" x14ac:dyDescent="0.2">
      <c r="A905">
        <v>904</v>
      </c>
      <c r="B905" s="23">
        <v>45695</v>
      </c>
      <c r="C905">
        <f t="shared" si="73"/>
        <v>0</v>
      </c>
      <c r="D905">
        <v>0</v>
      </c>
      <c r="E905">
        <f t="shared" si="71"/>
        <v>0</v>
      </c>
      <c r="F905" t="str">
        <f t="shared" si="72"/>
        <v>Friday</v>
      </c>
      <c r="H905">
        <v>3</v>
      </c>
      <c r="I905">
        <f t="shared" si="74"/>
        <v>5</v>
      </c>
      <c r="J905">
        <f t="shared" si="75"/>
        <v>6</v>
      </c>
    </row>
    <row r="906" spans="1:10" x14ac:dyDescent="0.2">
      <c r="A906">
        <v>905</v>
      </c>
      <c r="B906" s="23">
        <v>45696</v>
      </c>
      <c r="C906">
        <f t="shared" si="73"/>
        <v>1</v>
      </c>
      <c r="D906">
        <v>0</v>
      </c>
      <c r="E906">
        <f t="shared" si="71"/>
        <v>1</v>
      </c>
      <c r="F906" t="str">
        <f t="shared" si="72"/>
        <v>Saturday</v>
      </c>
      <c r="H906">
        <v>3</v>
      </c>
      <c r="I906">
        <f t="shared" si="74"/>
        <v>5</v>
      </c>
      <c r="J906">
        <f t="shared" si="75"/>
        <v>6</v>
      </c>
    </row>
    <row r="907" spans="1:10" x14ac:dyDescent="0.2">
      <c r="A907">
        <v>906</v>
      </c>
      <c r="B907" s="23">
        <v>45697</v>
      </c>
      <c r="C907">
        <f t="shared" si="73"/>
        <v>1</v>
      </c>
      <c r="D907">
        <v>0</v>
      </c>
      <c r="E907">
        <f t="shared" si="71"/>
        <v>1</v>
      </c>
      <c r="F907" t="str">
        <f t="shared" si="72"/>
        <v>Sunday</v>
      </c>
      <c r="H907">
        <v>3</v>
      </c>
      <c r="I907">
        <f t="shared" si="74"/>
        <v>5</v>
      </c>
      <c r="J907">
        <f t="shared" si="75"/>
        <v>6</v>
      </c>
    </row>
    <row r="908" spans="1:10" x14ac:dyDescent="0.2">
      <c r="A908">
        <v>907</v>
      </c>
      <c r="B908" s="23">
        <v>45698</v>
      </c>
      <c r="C908">
        <f t="shared" si="73"/>
        <v>0</v>
      </c>
      <c r="D908">
        <v>0</v>
      </c>
      <c r="E908">
        <f t="shared" si="71"/>
        <v>0</v>
      </c>
      <c r="F908" t="str">
        <f t="shared" si="72"/>
        <v>Monday</v>
      </c>
      <c r="H908">
        <v>3</v>
      </c>
      <c r="I908">
        <f t="shared" si="74"/>
        <v>6</v>
      </c>
      <c r="J908">
        <f t="shared" si="75"/>
        <v>7</v>
      </c>
    </row>
    <row r="909" spans="1:10" x14ac:dyDescent="0.2">
      <c r="A909">
        <v>908</v>
      </c>
      <c r="B909" s="23">
        <v>45699</v>
      </c>
      <c r="C909">
        <f t="shared" si="73"/>
        <v>0</v>
      </c>
      <c r="D909">
        <v>0</v>
      </c>
      <c r="E909">
        <f t="shared" ref="E909:E972" si="76">IF((C909+D909)&gt;0, 1, 0)</f>
        <v>0</v>
      </c>
      <c r="F909" t="str">
        <f t="shared" ref="F909:F972" si="77">TEXT(B909, "dddd")</f>
        <v>Tuesday</v>
      </c>
      <c r="H909">
        <v>3</v>
      </c>
      <c r="I909">
        <f t="shared" si="74"/>
        <v>6</v>
      </c>
      <c r="J909">
        <f t="shared" si="75"/>
        <v>7</v>
      </c>
    </row>
    <row r="910" spans="1:10" x14ac:dyDescent="0.2">
      <c r="A910">
        <v>909</v>
      </c>
      <c r="B910" s="23">
        <v>45700</v>
      </c>
      <c r="C910">
        <f t="shared" si="73"/>
        <v>0</v>
      </c>
      <c r="D910">
        <v>0</v>
      </c>
      <c r="E910">
        <f t="shared" si="76"/>
        <v>0</v>
      </c>
      <c r="F910" t="str">
        <f t="shared" si="77"/>
        <v>Wednesday</v>
      </c>
      <c r="H910">
        <v>3</v>
      </c>
      <c r="I910">
        <f t="shared" si="74"/>
        <v>6</v>
      </c>
      <c r="J910">
        <f t="shared" si="75"/>
        <v>7</v>
      </c>
    </row>
    <row r="911" spans="1:10" x14ac:dyDescent="0.2">
      <c r="A911">
        <v>910</v>
      </c>
      <c r="B911" s="23">
        <v>45701</v>
      </c>
      <c r="C911">
        <f t="shared" si="73"/>
        <v>0</v>
      </c>
      <c r="D911">
        <v>0</v>
      </c>
      <c r="E911">
        <f t="shared" si="76"/>
        <v>0</v>
      </c>
      <c r="F911" t="str">
        <f t="shared" si="77"/>
        <v>Thursday</v>
      </c>
      <c r="H911">
        <v>3</v>
      </c>
      <c r="I911">
        <f t="shared" si="74"/>
        <v>6</v>
      </c>
      <c r="J911">
        <f t="shared" si="75"/>
        <v>7</v>
      </c>
    </row>
    <row r="912" spans="1:10" x14ac:dyDescent="0.2">
      <c r="A912">
        <v>911</v>
      </c>
      <c r="B912" s="23">
        <v>45702</v>
      </c>
      <c r="C912">
        <f t="shared" si="73"/>
        <v>0</v>
      </c>
      <c r="D912">
        <v>0</v>
      </c>
      <c r="E912">
        <f t="shared" si="76"/>
        <v>0</v>
      </c>
      <c r="F912" t="str">
        <f t="shared" si="77"/>
        <v>Friday</v>
      </c>
      <c r="H912">
        <v>3</v>
      </c>
      <c r="I912">
        <f t="shared" si="74"/>
        <v>6</v>
      </c>
      <c r="J912">
        <f t="shared" si="75"/>
        <v>7</v>
      </c>
    </row>
    <row r="913" spans="1:10" x14ac:dyDescent="0.2">
      <c r="A913">
        <v>912</v>
      </c>
      <c r="B913" s="23">
        <v>45703</v>
      </c>
      <c r="C913">
        <f t="shared" si="73"/>
        <v>1</v>
      </c>
      <c r="D913">
        <v>0</v>
      </c>
      <c r="E913">
        <f t="shared" si="76"/>
        <v>1</v>
      </c>
      <c r="F913" t="str">
        <f t="shared" si="77"/>
        <v>Saturday</v>
      </c>
      <c r="H913">
        <v>3</v>
      </c>
      <c r="I913">
        <f t="shared" si="74"/>
        <v>6</v>
      </c>
      <c r="J913">
        <f t="shared" si="75"/>
        <v>7</v>
      </c>
    </row>
    <row r="914" spans="1:10" x14ac:dyDescent="0.2">
      <c r="A914">
        <v>913</v>
      </c>
      <c r="B914" s="23">
        <v>45704</v>
      </c>
      <c r="C914">
        <f t="shared" si="73"/>
        <v>1</v>
      </c>
      <c r="D914">
        <v>0</v>
      </c>
      <c r="E914">
        <f t="shared" si="76"/>
        <v>1</v>
      </c>
      <c r="F914" t="str">
        <f t="shared" si="77"/>
        <v>Sunday</v>
      </c>
      <c r="H914">
        <v>3</v>
      </c>
      <c r="I914">
        <f t="shared" si="74"/>
        <v>6</v>
      </c>
      <c r="J914">
        <f t="shared" si="75"/>
        <v>7</v>
      </c>
    </row>
    <row r="915" spans="1:10" x14ac:dyDescent="0.2">
      <c r="A915">
        <v>914</v>
      </c>
      <c r="B915" s="23">
        <v>45705</v>
      </c>
      <c r="C915">
        <f t="shared" si="73"/>
        <v>0</v>
      </c>
      <c r="D915">
        <v>0</v>
      </c>
      <c r="E915">
        <f t="shared" si="76"/>
        <v>0</v>
      </c>
      <c r="F915" t="str">
        <f t="shared" si="77"/>
        <v>Monday</v>
      </c>
      <c r="H915">
        <v>3</v>
      </c>
      <c r="I915">
        <f t="shared" si="74"/>
        <v>7</v>
      </c>
      <c r="J915">
        <f t="shared" si="75"/>
        <v>8</v>
      </c>
    </row>
    <row r="916" spans="1:10" x14ac:dyDescent="0.2">
      <c r="A916">
        <v>915</v>
      </c>
      <c r="B916" s="23">
        <v>45706</v>
      </c>
      <c r="C916">
        <f t="shared" si="73"/>
        <v>0</v>
      </c>
      <c r="D916">
        <v>0</v>
      </c>
      <c r="E916">
        <f t="shared" si="76"/>
        <v>0</v>
      </c>
      <c r="F916" t="str">
        <f t="shared" si="77"/>
        <v>Tuesday</v>
      </c>
      <c r="H916">
        <v>3</v>
      </c>
      <c r="I916">
        <f t="shared" si="74"/>
        <v>7</v>
      </c>
      <c r="J916">
        <f t="shared" si="75"/>
        <v>8</v>
      </c>
    </row>
    <row r="917" spans="1:10" x14ac:dyDescent="0.2">
      <c r="A917">
        <v>916</v>
      </c>
      <c r="B917" s="23">
        <v>45707</v>
      </c>
      <c r="C917">
        <f t="shared" si="73"/>
        <v>0</v>
      </c>
      <c r="D917">
        <v>0</v>
      </c>
      <c r="E917">
        <f t="shared" si="76"/>
        <v>0</v>
      </c>
      <c r="F917" t="str">
        <f t="shared" si="77"/>
        <v>Wednesday</v>
      </c>
      <c r="H917">
        <v>3</v>
      </c>
      <c r="I917">
        <f t="shared" si="74"/>
        <v>7</v>
      </c>
      <c r="J917">
        <f t="shared" si="75"/>
        <v>8</v>
      </c>
    </row>
    <row r="918" spans="1:10" x14ac:dyDescent="0.2">
      <c r="A918">
        <v>917</v>
      </c>
      <c r="B918" s="23">
        <v>45708</v>
      </c>
      <c r="C918">
        <f t="shared" si="73"/>
        <v>0</v>
      </c>
      <c r="D918">
        <v>0</v>
      </c>
      <c r="E918">
        <f t="shared" si="76"/>
        <v>0</v>
      </c>
      <c r="F918" t="str">
        <f t="shared" si="77"/>
        <v>Thursday</v>
      </c>
      <c r="H918">
        <v>3</v>
      </c>
      <c r="I918">
        <f t="shared" si="74"/>
        <v>7</v>
      </c>
      <c r="J918">
        <f t="shared" si="75"/>
        <v>8</v>
      </c>
    </row>
    <row r="919" spans="1:10" x14ac:dyDescent="0.2">
      <c r="A919">
        <v>918</v>
      </c>
      <c r="B919" s="23">
        <v>45709</v>
      </c>
      <c r="C919">
        <f t="shared" si="73"/>
        <v>0</v>
      </c>
      <c r="D919">
        <v>0</v>
      </c>
      <c r="E919">
        <f t="shared" si="76"/>
        <v>0</v>
      </c>
      <c r="F919" t="str">
        <f t="shared" si="77"/>
        <v>Friday</v>
      </c>
      <c r="H919">
        <v>3</v>
      </c>
      <c r="I919">
        <f t="shared" si="74"/>
        <v>7</v>
      </c>
      <c r="J919">
        <f t="shared" si="75"/>
        <v>8</v>
      </c>
    </row>
    <row r="920" spans="1:10" x14ac:dyDescent="0.2">
      <c r="A920">
        <v>919</v>
      </c>
      <c r="B920" s="23">
        <v>45710</v>
      </c>
      <c r="C920">
        <f t="shared" si="73"/>
        <v>1</v>
      </c>
      <c r="D920">
        <v>0</v>
      </c>
      <c r="E920">
        <f t="shared" si="76"/>
        <v>1</v>
      </c>
      <c r="F920" t="str">
        <f t="shared" si="77"/>
        <v>Saturday</v>
      </c>
      <c r="H920">
        <v>3</v>
      </c>
      <c r="I920">
        <f t="shared" si="74"/>
        <v>7</v>
      </c>
      <c r="J920">
        <f t="shared" si="75"/>
        <v>8</v>
      </c>
    </row>
    <row r="921" spans="1:10" x14ac:dyDescent="0.2">
      <c r="A921">
        <v>920</v>
      </c>
      <c r="B921" s="23">
        <v>45711</v>
      </c>
      <c r="C921">
        <f t="shared" si="73"/>
        <v>1</v>
      </c>
      <c r="D921">
        <v>0</v>
      </c>
      <c r="E921">
        <f t="shared" si="76"/>
        <v>1</v>
      </c>
      <c r="F921" t="str">
        <f t="shared" si="77"/>
        <v>Sunday</v>
      </c>
      <c r="H921">
        <v>3</v>
      </c>
      <c r="I921">
        <f t="shared" si="74"/>
        <v>7</v>
      </c>
      <c r="J921">
        <f t="shared" si="75"/>
        <v>8</v>
      </c>
    </row>
    <row r="922" spans="1:10" x14ac:dyDescent="0.2">
      <c r="A922">
        <v>921</v>
      </c>
      <c r="B922" s="23">
        <v>45712</v>
      </c>
      <c r="C922">
        <f t="shared" si="73"/>
        <v>0</v>
      </c>
      <c r="D922">
        <v>0</v>
      </c>
      <c r="E922">
        <f t="shared" si="76"/>
        <v>0</v>
      </c>
      <c r="F922" t="str">
        <f t="shared" si="77"/>
        <v>Monday</v>
      </c>
      <c r="H922">
        <v>3</v>
      </c>
      <c r="I922">
        <f t="shared" si="74"/>
        <v>8</v>
      </c>
      <c r="J922">
        <f t="shared" si="75"/>
        <v>9</v>
      </c>
    </row>
    <row r="923" spans="1:10" x14ac:dyDescent="0.2">
      <c r="A923">
        <v>922</v>
      </c>
      <c r="B923" s="23">
        <v>45713</v>
      </c>
      <c r="C923">
        <f t="shared" si="73"/>
        <v>0</v>
      </c>
      <c r="D923">
        <v>0</v>
      </c>
      <c r="E923">
        <f t="shared" si="76"/>
        <v>0</v>
      </c>
      <c r="F923" t="str">
        <f t="shared" si="77"/>
        <v>Tuesday</v>
      </c>
      <c r="H923">
        <v>3</v>
      </c>
      <c r="I923">
        <f t="shared" si="74"/>
        <v>8</v>
      </c>
      <c r="J923">
        <f t="shared" si="75"/>
        <v>9</v>
      </c>
    </row>
    <row r="924" spans="1:10" x14ac:dyDescent="0.2">
      <c r="A924">
        <v>923</v>
      </c>
      <c r="B924" s="23">
        <v>45714</v>
      </c>
      <c r="C924">
        <f t="shared" si="73"/>
        <v>0</v>
      </c>
      <c r="D924">
        <v>0</v>
      </c>
      <c r="E924">
        <f t="shared" si="76"/>
        <v>0</v>
      </c>
      <c r="F924" t="str">
        <f t="shared" si="77"/>
        <v>Wednesday</v>
      </c>
      <c r="H924">
        <v>3</v>
      </c>
      <c r="I924">
        <f t="shared" si="74"/>
        <v>8</v>
      </c>
      <c r="J924">
        <f t="shared" si="75"/>
        <v>9</v>
      </c>
    </row>
    <row r="925" spans="1:10" x14ac:dyDescent="0.2">
      <c r="A925">
        <v>924</v>
      </c>
      <c r="B925" s="23">
        <v>45715</v>
      </c>
      <c r="C925">
        <f t="shared" si="73"/>
        <v>0</v>
      </c>
      <c r="D925">
        <v>0</v>
      </c>
      <c r="E925">
        <f t="shared" si="76"/>
        <v>0</v>
      </c>
      <c r="F925" t="str">
        <f t="shared" si="77"/>
        <v>Thursday</v>
      </c>
      <c r="H925">
        <v>3</v>
      </c>
      <c r="I925">
        <f t="shared" si="74"/>
        <v>8</v>
      </c>
      <c r="J925">
        <f t="shared" si="75"/>
        <v>9</v>
      </c>
    </row>
    <row r="926" spans="1:10" x14ac:dyDescent="0.2">
      <c r="A926">
        <v>925</v>
      </c>
      <c r="B926" s="23">
        <v>45716</v>
      </c>
      <c r="C926">
        <f t="shared" si="73"/>
        <v>0</v>
      </c>
      <c r="D926">
        <v>0</v>
      </c>
      <c r="E926">
        <f t="shared" si="76"/>
        <v>0</v>
      </c>
      <c r="F926" t="str">
        <f t="shared" si="77"/>
        <v>Friday</v>
      </c>
      <c r="H926">
        <v>3</v>
      </c>
      <c r="I926">
        <f t="shared" si="74"/>
        <v>8</v>
      </c>
      <c r="J926">
        <f t="shared" si="75"/>
        <v>9</v>
      </c>
    </row>
    <row r="927" spans="1:10" x14ac:dyDescent="0.2">
      <c r="A927">
        <v>926</v>
      </c>
      <c r="B927" s="23">
        <v>45717</v>
      </c>
      <c r="C927">
        <f t="shared" si="73"/>
        <v>1</v>
      </c>
      <c r="D927">
        <v>0</v>
      </c>
      <c r="E927">
        <f t="shared" si="76"/>
        <v>1</v>
      </c>
      <c r="F927" t="str">
        <f t="shared" si="77"/>
        <v>Saturday</v>
      </c>
      <c r="H927">
        <v>3</v>
      </c>
      <c r="I927">
        <f t="shared" si="74"/>
        <v>8</v>
      </c>
      <c r="J927">
        <f t="shared" si="75"/>
        <v>9</v>
      </c>
    </row>
    <row r="928" spans="1:10" x14ac:dyDescent="0.2">
      <c r="A928">
        <v>927</v>
      </c>
      <c r="B928" s="23">
        <v>45718</v>
      </c>
      <c r="C928">
        <f t="shared" si="73"/>
        <v>1</v>
      </c>
      <c r="D928">
        <v>0</v>
      </c>
      <c r="E928">
        <f t="shared" si="76"/>
        <v>1</v>
      </c>
      <c r="F928" t="str">
        <f t="shared" si="77"/>
        <v>Sunday</v>
      </c>
      <c r="H928">
        <v>3</v>
      </c>
      <c r="I928">
        <f t="shared" si="74"/>
        <v>8</v>
      </c>
      <c r="J928">
        <f t="shared" si="75"/>
        <v>9</v>
      </c>
    </row>
    <row r="929" spans="1:10" x14ac:dyDescent="0.2">
      <c r="A929">
        <v>928</v>
      </c>
      <c r="B929" s="23">
        <v>45719</v>
      </c>
      <c r="C929">
        <f t="shared" si="73"/>
        <v>0</v>
      </c>
      <c r="D929">
        <v>0</v>
      </c>
      <c r="E929">
        <f t="shared" si="76"/>
        <v>0</v>
      </c>
      <c r="F929" t="str">
        <f t="shared" si="77"/>
        <v>Monday</v>
      </c>
      <c r="H929">
        <v>3</v>
      </c>
      <c r="I929">
        <f t="shared" si="74"/>
        <v>9</v>
      </c>
      <c r="J929">
        <f t="shared" si="75"/>
        <v>10</v>
      </c>
    </row>
    <row r="930" spans="1:10" x14ac:dyDescent="0.2">
      <c r="A930">
        <v>929</v>
      </c>
      <c r="B930" s="23">
        <v>45720</v>
      </c>
      <c r="C930">
        <f t="shared" si="73"/>
        <v>0</v>
      </c>
      <c r="D930">
        <v>0</v>
      </c>
      <c r="E930">
        <f t="shared" si="76"/>
        <v>0</v>
      </c>
      <c r="F930" t="str">
        <f t="shared" si="77"/>
        <v>Tuesday</v>
      </c>
      <c r="H930">
        <v>3</v>
      </c>
      <c r="I930">
        <f t="shared" si="74"/>
        <v>9</v>
      </c>
      <c r="J930">
        <f t="shared" si="75"/>
        <v>10</v>
      </c>
    </row>
    <row r="931" spans="1:10" x14ac:dyDescent="0.2">
      <c r="A931">
        <v>930</v>
      </c>
      <c r="B931" s="23">
        <v>45721</v>
      </c>
      <c r="C931">
        <f t="shared" si="73"/>
        <v>0</v>
      </c>
      <c r="D931">
        <v>0</v>
      </c>
      <c r="E931">
        <f t="shared" si="76"/>
        <v>0</v>
      </c>
      <c r="F931" t="str">
        <f t="shared" si="77"/>
        <v>Wednesday</v>
      </c>
      <c r="H931">
        <v>3</v>
      </c>
      <c r="I931">
        <f t="shared" si="74"/>
        <v>9</v>
      </c>
      <c r="J931">
        <f t="shared" si="75"/>
        <v>10</v>
      </c>
    </row>
    <row r="932" spans="1:10" x14ac:dyDescent="0.2">
      <c r="A932">
        <v>931</v>
      </c>
      <c r="B932" s="23">
        <v>45722</v>
      </c>
      <c r="C932">
        <f t="shared" si="73"/>
        <v>0</v>
      </c>
      <c r="D932">
        <v>0</v>
      </c>
      <c r="E932">
        <f t="shared" si="76"/>
        <v>0</v>
      </c>
      <c r="F932" t="str">
        <f t="shared" si="77"/>
        <v>Thursday</v>
      </c>
      <c r="H932">
        <v>3</v>
      </c>
      <c r="I932">
        <f t="shared" si="74"/>
        <v>9</v>
      </c>
      <c r="J932">
        <f t="shared" si="75"/>
        <v>10</v>
      </c>
    </row>
    <row r="933" spans="1:10" x14ac:dyDescent="0.2">
      <c r="A933">
        <v>932</v>
      </c>
      <c r="B933" s="23">
        <v>45723</v>
      </c>
      <c r="C933">
        <f t="shared" si="73"/>
        <v>0</v>
      </c>
      <c r="D933">
        <v>0</v>
      </c>
      <c r="E933">
        <f t="shared" si="76"/>
        <v>0</v>
      </c>
      <c r="F933" t="str">
        <f t="shared" si="77"/>
        <v>Friday</v>
      </c>
      <c r="H933">
        <v>3</v>
      </c>
      <c r="I933">
        <f t="shared" si="74"/>
        <v>9</v>
      </c>
      <c r="J933">
        <f t="shared" si="75"/>
        <v>10</v>
      </c>
    </row>
    <row r="934" spans="1:10" x14ac:dyDescent="0.2">
      <c r="A934">
        <v>933</v>
      </c>
      <c r="B934" s="23">
        <v>45724</v>
      </c>
      <c r="C934">
        <f t="shared" si="73"/>
        <v>1</v>
      </c>
      <c r="D934">
        <v>0</v>
      </c>
      <c r="E934">
        <f t="shared" si="76"/>
        <v>1</v>
      </c>
      <c r="F934" t="str">
        <f t="shared" si="77"/>
        <v>Saturday</v>
      </c>
      <c r="H934">
        <v>3</v>
      </c>
      <c r="I934">
        <f t="shared" si="74"/>
        <v>9</v>
      </c>
      <c r="J934">
        <f t="shared" si="75"/>
        <v>10</v>
      </c>
    </row>
    <row r="935" spans="1:10" x14ac:dyDescent="0.2">
      <c r="A935">
        <v>934</v>
      </c>
      <c r="B935" s="23">
        <v>45725</v>
      </c>
      <c r="C935">
        <f t="shared" si="73"/>
        <v>1</v>
      </c>
      <c r="D935">
        <v>0</v>
      </c>
      <c r="E935">
        <f t="shared" si="76"/>
        <v>1</v>
      </c>
      <c r="F935" t="str">
        <f t="shared" si="77"/>
        <v>Sunday</v>
      </c>
      <c r="H935">
        <v>3</v>
      </c>
      <c r="I935">
        <f t="shared" si="74"/>
        <v>9</v>
      </c>
      <c r="J935">
        <f t="shared" si="75"/>
        <v>10</v>
      </c>
    </row>
    <row r="936" spans="1:10" x14ac:dyDescent="0.2">
      <c r="A936">
        <v>935</v>
      </c>
      <c r="B936" s="23">
        <v>45726</v>
      </c>
      <c r="C936">
        <f t="shared" si="73"/>
        <v>0</v>
      </c>
      <c r="D936">
        <v>0</v>
      </c>
      <c r="E936">
        <f t="shared" si="76"/>
        <v>0</v>
      </c>
      <c r="F936" t="str">
        <f t="shared" si="77"/>
        <v>Monday</v>
      </c>
      <c r="H936">
        <v>3</v>
      </c>
      <c r="I936">
        <f t="shared" si="74"/>
        <v>10</v>
      </c>
      <c r="J936">
        <f t="shared" si="75"/>
        <v>11</v>
      </c>
    </row>
    <row r="937" spans="1:10" x14ac:dyDescent="0.2">
      <c r="A937">
        <v>936</v>
      </c>
      <c r="B937" s="23">
        <v>45727</v>
      </c>
      <c r="C937">
        <f t="shared" si="73"/>
        <v>0</v>
      </c>
      <c r="D937">
        <v>0</v>
      </c>
      <c r="E937">
        <f t="shared" si="76"/>
        <v>0</v>
      </c>
      <c r="F937" t="str">
        <f t="shared" si="77"/>
        <v>Tuesday</v>
      </c>
      <c r="H937">
        <v>3</v>
      </c>
      <c r="I937">
        <f t="shared" si="74"/>
        <v>10</v>
      </c>
      <c r="J937">
        <f t="shared" si="75"/>
        <v>11</v>
      </c>
    </row>
    <row r="938" spans="1:10" x14ac:dyDescent="0.2">
      <c r="A938">
        <v>937</v>
      </c>
      <c r="B938" s="23">
        <v>45728</v>
      </c>
      <c r="C938">
        <f t="shared" si="73"/>
        <v>0</v>
      </c>
      <c r="D938">
        <v>0</v>
      </c>
      <c r="E938">
        <f t="shared" si="76"/>
        <v>0</v>
      </c>
      <c r="F938" t="str">
        <f t="shared" si="77"/>
        <v>Wednesday</v>
      </c>
      <c r="H938">
        <v>3</v>
      </c>
      <c r="I938">
        <f t="shared" si="74"/>
        <v>10</v>
      </c>
      <c r="J938">
        <f t="shared" si="75"/>
        <v>11</v>
      </c>
    </row>
    <row r="939" spans="1:10" x14ac:dyDescent="0.2">
      <c r="A939">
        <v>938</v>
      </c>
      <c r="B939" s="23">
        <v>45729</v>
      </c>
      <c r="C939">
        <f t="shared" ref="C939:C1001" si="78">IF(OR(WEEKDAY(B939) = 7, WEEKDAY(B939) = 1), 1, 0)</f>
        <v>0</v>
      </c>
      <c r="D939">
        <v>0</v>
      </c>
      <c r="E939">
        <f t="shared" si="76"/>
        <v>0</v>
      </c>
      <c r="F939" t="str">
        <f t="shared" si="77"/>
        <v>Thursday</v>
      </c>
      <c r="H939">
        <v>3</v>
      </c>
      <c r="I939">
        <f t="shared" ref="I939:I1001" si="79">IF(J939&gt;J938, IF(H939&lt;&gt;H938,1, I938+1),I938)</f>
        <v>10</v>
      </c>
      <c r="J939">
        <f t="shared" ref="J939:J1001" si="80">_xlfn.ISOWEEKNUM(B939)</f>
        <v>11</v>
      </c>
    </row>
    <row r="940" spans="1:10" x14ac:dyDescent="0.2">
      <c r="A940">
        <v>939</v>
      </c>
      <c r="B940" s="23">
        <v>45730</v>
      </c>
      <c r="C940">
        <f t="shared" si="78"/>
        <v>0</v>
      </c>
      <c r="D940">
        <v>0</v>
      </c>
      <c r="E940">
        <f t="shared" si="76"/>
        <v>0</v>
      </c>
      <c r="F940" t="str">
        <f t="shared" si="77"/>
        <v>Friday</v>
      </c>
      <c r="H940">
        <v>3</v>
      </c>
      <c r="I940">
        <f t="shared" si="79"/>
        <v>10</v>
      </c>
      <c r="J940">
        <f t="shared" si="80"/>
        <v>11</v>
      </c>
    </row>
    <row r="941" spans="1:10" x14ac:dyDescent="0.2">
      <c r="A941">
        <v>940</v>
      </c>
      <c r="B941" s="23">
        <v>45731</v>
      </c>
      <c r="C941">
        <f t="shared" si="78"/>
        <v>1</v>
      </c>
      <c r="D941">
        <v>0</v>
      </c>
      <c r="E941">
        <f t="shared" si="76"/>
        <v>1</v>
      </c>
      <c r="F941" t="str">
        <f t="shared" si="77"/>
        <v>Saturday</v>
      </c>
      <c r="H941">
        <v>3</v>
      </c>
      <c r="I941">
        <f t="shared" si="79"/>
        <v>10</v>
      </c>
      <c r="J941">
        <f t="shared" si="80"/>
        <v>11</v>
      </c>
    </row>
    <row r="942" spans="1:10" x14ac:dyDescent="0.2">
      <c r="A942">
        <v>941</v>
      </c>
      <c r="B942" s="23">
        <v>45732</v>
      </c>
      <c r="C942">
        <f t="shared" si="78"/>
        <v>1</v>
      </c>
      <c r="D942">
        <v>0</v>
      </c>
      <c r="E942">
        <f t="shared" si="76"/>
        <v>1</v>
      </c>
      <c r="F942" t="str">
        <f t="shared" si="77"/>
        <v>Sunday</v>
      </c>
      <c r="H942">
        <v>3</v>
      </c>
      <c r="I942">
        <f t="shared" si="79"/>
        <v>10</v>
      </c>
      <c r="J942">
        <f t="shared" si="80"/>
        <v>11</v>
      </c>
    </row>
    <row r="943" spans="1:10" x14ac:dyDescent="0.2">
      <c r="A943">
        <v>942</v>
      </c>
      <c r="B943" s="23">
        <v>45733</v>
      </c>
      <c r="C943">
        <f t="shared" si="78"/>
        <v>0</v>
      </c>
      <c r="D943">
        <v>0</v>
      </c>
      <c r="E943">
        <f t="shared" si="76"/>
        <v>0</v>
      </c>
      <c r="F943" t="str">
        <f t="shared" si="77"/>
        <v>Monday</v>
      </c>
      <c r="H943">
        <v>3</v>
      </c>
      <c r="I943">
        <f t="shared" si="79"/>
        <v>11</v>
      </c>
      <c r="J943">
        <f t="shared" si="80"/>
        <v>12</v>
      </c>
    </row>
    <row r="944" spans="1:10" x14ac:dyDescent="0.2">
      <c r="A944">
        <v>943</v>
      </c>
      <c r="B944" s="23">
        <v>45734</v>
      </c>
      <c r="C944">
        <f t="shared" si="78"/>
        <v>0</v>
      </c>
      <c r="D944">
        <v>0</v>
      </c>
      <c r="E944">
        <f t="shared" si="76"/>
        <v>0</v>
      </c>
      <c r="F944" t="str">
        <f t="shared" si="77"/>
        <v>Tuesday</v>
      </c>
      <c r="H944">
        <v>3</v>
      </c>
      <c r="I944">
        <f t="shared" si="79"/>
        <v>11</v>
      </c>
      <c r="J944">
        <f t="shared" si="80"/>
        <v>12</v>
      </c>
    </row>
    <row r="945" spans="1:10" x14ac:dyDescent="0.2">
      <c r="A945">
        <v>944</v>
      </c>
      <c r="B945" s="23">
        <v>45735</v>
      </c>
      <c r="C945">
        <f t="shared" si="78"/>
        <v>0</v>
      </c>
      <c r="D945">
        <v>0</v>
      </c>
      <c r="E945">
        <f t="shared" si="76"/>
        <v>0</v>
      </c>
      <c r="F945" t="str">
        <f t="shared" si="77"/>
        <v>Wednesday</v>
      </c>
      <c r="H945">
        <v>3</v>
      </c>
      <c r="I945">
        <f t="shared" si="79"/>
        <v>11</v>
      </c>
      <c r="J945">
        <f t="shared" si="80"/>
        <v>12</v>
      </c>
    </row>
    <row r="946" spans="1:10" x14ac:dyDescent="0.2">
      <c r="A946">
        <v>945</v>
      </c>
      <c r="B946" s="23">
        <v>45736</v>
      </c>
      <c r="C946">
        <f t="shared" si="78"/>
        <v>0</v>
      </c>
      <c r="D946">
        <v>0</v>
      </c>
      <c r="E946">
        <f t="shared" si="76"/>
        <v>0</v>
      </c>
      <c r="F946" t="str">
        <f t="shared" si="77"/>
        <v>Thursday</v>
      </c>
      <c r="H946">
        <v>3</v>
      </c>
      <c r="I946">
        <f t="shared" si="79"/>
        <v>11</v>
      </c>
      <c r="J946">
        <f t="shared" si="80"/>
        <v>12</v>
      </c>
    </row>
    <row r="947" spans="1:10" x14ac:dyDescent="0.2">
      <c r="A947">
        <v>946</v>
      </c>
      <c r="B947" s="23">
        <v>45737</v>
      </c>
      <c r="C947">
        <f t="shared" si="78"/>
        <v>0</v>
      </c>
      <c r="D947">
        <v>0</v>
      </c>
      <c r="E947">
        <f t="shared" si="76"/>
        <v>0</v>
      </c>
      <c r="F947" t="str">
        <f t="shared" si="77"/>
        <v>Friday</v>
      </c>
      <c r="H947">
        <v>3</v>
      </c>
      <c r="I947">
        <f t="shared" si="79"/>
        <v>11</v>
      </c>
      <c r="J947">
        <f t="shared" si="80"/>
        <v>12</v>
      </c>
    </row>
    <row r="948" spans="1:10" x14ac:dyDescent="0.2">
      <c r="A948">
        <v>947</v>
      </c>
      <c r="B948" s="23">
        <v>45738</v>
      </c>
      <c r="C948">
        <f t="shared" si="78"/>
        <v>1</v>
      </c>
      <c r="D948">
        <v>0</v>
      </c>
      <c r="E948">
        <f t="shared" si="76"/>
        <v>1</v>
      </c>
      <c r="F948" t="str">
        <f t="shared" si="77"/>
        <v>Saturday</v>
      </c>
      <c r="H948">
        <v>3</v>
      </c>
      <c r="I948">
        <f t="shared" si="79"/>
        <v>11</v>
      </c>
      <c r="J948">
        <f t="shared" si="80"/>
        <v>12</v>
      </c>
    </row>
    <row r="949" spans="1:10" x14ac:dyDescent="0.2">
      <c r="A949">
        <v>948</v>
      </c>
      <c r="B949" s="23">
        <v>45739</v>
      </c>
      <c r="C949">
        <f t="shared" si="78"/>
        <v>1</v>
      </c>
      <c r="D949">
        <v>0</v>
      </c>
      <c r="E949">
        <f t="shared" si="76"/>
        <v>1</v>
      </c>
      <c r="F949" t="str">
        <f t="shared" si="77"/>
        <v>Sunday</v>
      </c>
      <c r="H949">
        <v>3</v>
      </c>
      <c r="I949">
        <f t="shared" si="79"/>
        <v>11</v>
      </c>
      <c r="J949">
        <f t="shared" si="80"/>
        <v>12</v>
      </c>
    </row>
    <row r="950" spans="1:10" x14ac:dyDescent="0.2">
      <c r="A950">
        <v>949</v>
      </c>
      <c r="B950" s="23">
        <v>45740</v>
      </c>
      <c r="C950">
        <f t="shared" si="78"/>
        <v>0</v>
      </c>
      <c r="D950">
        <v>0</v>
      </c>
      <c r="E950">
        <f t="shared" si="76"/>
        <v>0</v>
      </c>
      <c r="F950" t="str">
        <f t="shared" si="77"/>
        <v>Monday</v>
      </c>
      <c r="H950">
        <v>3</v>
      </c>
      <c r="I950">
        <f t="shared" si="79"/>
        <v>12</v>
      </c>
      <c r="J950">
        <f t="shared" si="80"/>
        <v>13</v>
      </c>
    </row>
    <row r="951" spans="1:10" x14ac:dyDescent="0.2">
      <c r="A951">
        <v>950</v>
      </c>
      <c r="B951" s="23">
        <v>45741</v>
      </c>
      <c r="C951">
        <f t="shared" si="78"/>
        <v>0</v>
      </c>
      <c r="D951">
        <v>0</v>
      </c>
      <c r="E951">
        <f t="shared" si="76"/>
        <v>0</v>
      </c>
      <c r="F951" t="str">
        <f t="shared" si="77"/>
        <v>Tuesday</v>
      </c>
      <c r="H951">
        <v>3</v>
      </c>
      <c r="I951">
        <f t="shared" si="79"/>
        <v>12</v>
      </c>
      <c r="J951">
        <f t="shared" si="80"/>
        <v>13</v>
      </c>
    </row>
    <row r="952" spans="1:10" x14ac:dyDescent="0.2">
      <c r="A952">
        <v>951</v>
      </c>
      <c r="B952" s="23">
        <v>45742</v>
      </c>
      <c r="C952">
        <f t="shared" si="78"/>
        <v>0</v>
      </c>
      <c r="D952">
        <v>0</v>
      </c>
      <c r="E952">
        <f t="shared" si="76"/>
        <v>0</v>
      </c>
      <c r="F952" t="str">
        <f t="shared" si="77"/>
        <v>Wednesday</v>
      </c>
      <c r="H952">
        <v>3</v>
      </c>
      <c r="I952">
        <f t="shared" si="79"/>
        <v>12</v>
      </c>
      <c r="J952">
        <f t="shared" si="80"/>
        <v>13</v>
      </c>
    </row>
    <row r="953" spans="1:10" x14ac:dyDescent="0.2">
      <c r="A953">
        <v>952</v>
      </c>
      <c r="B953" s="23">
        <v>45743</v>
      </c>
      <c r="C953">
        <f t="shared" si="78"/>
        <v>0</v>
      </c>
      <c r="D953">
        <v>0</v>
      </c>
      <c r="E953">
        <f t="shared" si="76"/>
        <v>0</v>
      </c>
      <c r="F953" t="str">
        <f t="shared" si="77"/>
        <v>Thursday</v>
      </c>
      <c r="H953">
        <v>3</v>
      </c>
      <c r="I953">
        <f t="shared" si="79"/>
        <v>12</v>
      </c>
      <c r="J953">
        <f t="shared" si="80"/>
        <v>13</v>
      </c>
    </row>
    <row r="954" spans="1:10" x14ac:dyDescent="0.2">
      <c r="A954">
        <v>953</v>
      </c>
      <c r="B954" s="23">
        <v>45744</v>
      </c>
      <c r="C954">
        <f t="shared" si="78"/>
        <v>0</v>
      </c>
      <c r="D954">
        <v>0</v>
      </c>
      <c r="E954">
        <f t="shared" si="76"/>
        <v>0</v>
      </c>
      <c r="F954" t="str">
        <f t="shared" si="77"/>
        <v>Friday</v>
      </c>
      <c r="H954">
        <v>3</v>
      </c>
      <c r="I954">
        <f t="shared" si="79"/>
        <v>12</v>
      </c>
      <c r="J954">
        <f t="shared" si="80"/>
        <v>13</v>
      </c>
    </row>
    <row r="955" spans="1:10" x14ac:dyDescent="0.2">
      <c r="A955">
        <v>954</v>
      </c>
      <c r="B955" s="23">
        <v>45745</v>
      </c>
      <c r="C955">
        <f t="shared" si="78"/>
        <v>1</v>
      </c>
      <c r="D955">
        <v>0</v>
      </c>
      <c r="E955">
        <f t="shared" si="76"/>
        <v>1</v>
      </c>
      <c r="F955" t="str">
        <f t="shared" si="77"/>
        <v>Saturday</v>
      </c>
      <c r="H955">
        <v>3</v>
      </c>
      <c r="I955">
        <f t="shared" si="79"/>
        <v>12</v>
      </c>
      <c r="J955">
        <f t="shared" si="80"/>
        <v>13</v>
      </c>
    </row>
    <row r="956" spans="1:10" x14ac:dyDescent="0.2">
      <c r="A956">
        <v>955</v>
      </c>
      <c r="B956" s="23">
        <v>45746</v>
      </c>
      <c r="C956">
        <f t="shared" si="78"/>
        <v>1</v>
      </c>
      <c r="D956">
        <v>0</v>
      </c>
      <c r="E956">
        <f t="shared" si="76"/>
        <v>1</v>
      </c>
      <c r="F956" t="str">
        <f t="shared" si="77"/>
        <v>Sunday</v>
      </c>
      <c r="H956">
        <v>3</v>
      </c>
      <c r="I956">
        <f t="shared" si="79"/>
        <v>12</v>
      </c>
      <c r="J956">
        <f t="shared" si="80"/>
        <v>13</v>
      </c>
    </row>
    <row r="957" spans="1:10" x14ac:dyDescent="0.2">
      <c r="A957">
        <v>956</v>
      </c>
      <c r="B957" s="23">
        <v>45747</v>
      </c>
      <c r="C957">
        <f t="shared" si="78"/>
        <v>0</v>
      </c>
      <c r="D957">
        <v>0</v>
      </c>
      <c r="E957">
        <f t="shared" si="76"/>
        <v>0</v>
      </c>
      <c r="F957" t="str">
        <f t="shared" si="77"/>
        <v>Monday</v>
      </c>
      <c r="H957">
        <v>3</v>
      </c>
      <c r="I957">
        <f t="shared" si="79"/>
        <v>13</v>
      </c>
      <c r="J957">
        <f t="shared" si="80"/>
        <v>14</v>
      </c>
    </row>
    <row r="958" spans="1:10" x14ac:dyDescent="0.2">
      <c r="A958">
        <v>957</v>
      </c>
      <c r="B958" s="23">
        <v>45748</v>
      </c>
      <c r="C958">
        <f t="shared" si="78"/>
        <v>0</v>
      </c>
      <c r="D958">
        <v>0</v>
      </c>
      <c r="E958">
        <f t="shared" si="76"/>
        <v>0</v>
      </c>
      <c r="F958" t="str">
        <f t="shared" si="77"/>
        <v>Tuesday</v>
      </c>
      <c r="H958">
        <v>3</v>
      </c>
      <c r="I958">
        <f t="shared" si="79"/>
        <v>13</v>
      </c>
      <c r="J958">
        <f t="shared" si="80"/>
        <v>14</v>
      </c>
    </row>
    <row r="959" spans="1:10" x14ac:dyDescent="0.2">
      <c r="A959">
        <v>958</v>
      </c>
      <c r="B959" s="23">
        <v>45749</v>
      </c>
      <c r="C959">
        <f t="shared" si="78"/>
        <v>0</v>
      </c>
      <c r="D959">
        <v>0</v>
      </c>
      <c r="E959">
        <f t="shared" si="76"/>
        <v>0</v>
      </c>
      <c r="F959" t="str">
        <f t="shared" si="77"/>
        <v>Wednesday</v>
      </c>
      <c r="H959">
        <v>3</v>
      </c>
      <c r="I959">
        <f t="shared" si="79"/>
        <v>13</v>
      </c>
      <c r="J959">
        <f t="shared" si="80"/>
        <v>14</v>
      </c>
    </row>
    <row r="960" spans="1:10" x14ac:dyDescent="0.2">
      <c r="A960">
        <v>959</v>
      </c>
      <c r="B960" s="23">
        <v>45750</v>
      </c>
      <c r="C960">
        <f t="shared" si="78"/>
        <v>0</v>
      </c>
      <c r="D960">
        <v>0</v>
      </c>
      <c r="E960">
        <f t="shared" si="76"/>
        <v>0</v>
      </c>
      <c r="F960" t="str">
        <f t="shared" si="77"/>
        <v>Thursday</v>
      </c>
      <c r="H960">
        <v>3</v>
      </c>
      <c r="I960">
        <f t="shared" si="79"/>
        <v>13</v>
      </c>
      <c r="J960">
        <f t="shared" si="80"/>
        <v>14</v>
      </c>
    </row>
    <row r="961" spans="1:10" x14ac:dyDescent="0.2">
      <c r="A961">
        <v>960</v>
      </c>
      <c r="B961" s="23">
        <v>45751</v>
      </c>
      <c r="C961">
        <f t="shared" si="78"/>
        <v>0</v>
      </c>
      <c r="D961">
        <v>0</v>
      </c>
      <c r="E961">
        <f t="shared" si="76"/>
        <v>0</v>
      </c>
      <c r="F961" t="str">
        <f t="shared" si="77"/>
        <v>Friday</v>
      </c>
      <c r="H961">
        <v>3</v>
      </c>
      <c r="I961">
        <f t="shared" si="79"/>
        <v>13</v>
      </c>
      <c r="J961">
        <f t="shared" si="80"/>
        <v>14</v>
      </c>
    </row>
    <row r="962" spans="1:10" x14ac:dyDescent="0.2">
      <c r="A962">
        <v>961</v>
      </c>
      <c r="B962" s="23">
        <v>45752</v>
      </c>
      <c r="C962">
        <f t="shared" si="78"/>
        <v>1</v>
      </c>
      <c r="D962">
        <v>0</v>
      </c>
      <c r="E962">
        <f t="shared" si="76"/>
        <v>1</v>
      </c>
      <c r="F962" t="str">
        <f t="shared" si="77"/>
        <v>Saturday</v>
      </c>
      <c r="H962">
        <v>3</v>
      </c>
      <c r="I962">
        <f t="shared" si="79"/>
        <v>13</v>
      </c>
      <c r="J962">
        <f t="shared" si="80"/>
        <v>14</v>
      </c>
    </row>
    <row r="963" spans="1:10" x14ac:dyDescent="0.2">
      <c r="A963">
        <v>962</v>
      </c>
      <c r="B963" s="23">
        <v>45753</v>
      </c>
      <c r="C963">
        <f t="shared" si="78"/>
        <v>1</v>
      </c>
      <c r="D963">
        <v>0</v>
      </c>
      <c r="E963">
        <f t="shared" si="76"/>
        <v>1</v>
      </c>
      <c r="F963" t="str">
        <f t="shared" si="77"/>
        <v>Sunday</v>
      </c>
      <c r="H963">
        <v>3</v>
      </c>
      <c r="I963">
        <f t="shared" si="79"/>
        <v>13</v>
      </c>
      <c r="J963">
        <f t="shared" si="80"/>
        <v>14</v>
      </c>
    </row>
    <row r="964" spans="1:10" x14ac:dyDescent="0.2">
      <c r="A964">
        <v>963</v>
      </c>
      <c r="B964" s="23">
        <v>45754</v>
      </c>
      <c r="C964">
        <f t="shared" si="78"/>
        <v>0</v>
      </c>
      <c r="D964">
        <v>0</v>
      </c>
      <c r="E964">
        <f t="shared" si="76"/>
        <v>0</v>
      </c>
      <c r="F964" t="str">
        <f t="shared" si="77"/>
        <v>Monday</v>
      </c>
      <c r="H964">
        <v>3</v>
      </c>
      <c r="I964">
        <f t="shared" si="79"/>
        <v>14</v>
      </c>
      <c r="J964">
        <f t="shared" si="80"/>
        <v>15</v>
      </c>
    </row>
    <row r="965" spans="1:10" x14ac:dyDescent="0.2">
      <c r="A965">
        <v>964</v>
      </c>
      <c r="B965" s="23">
        <v>45755</v>
      </c>
      <c r="C965">
        <f t="shared" si="78"/>
        <v>0</v>
      </c>
      <c r="D965">
        <v>0</v>
      </c>
      <c r="E965">
        <f t="shared" si="76"/>
        <v>0</v>
      </c>
      <c r="F965" t="str">
        <f t="shared" si="77"/>
        <v>Tuesday</v>
      </c>
      <c r="H965">
        <v>3</v>
      </c>
      <c r="I965">
        <f t="shared" si="79"/>
        <v>14</v>
      </c>
      <c r="J965">
        <f t="shared" si="80"/>
        <v>15</v>
      </c>
    </row>
    <row r="966" spans="1:10" x14ac:dyDescent="0.2">
      <c r="A966">
        <v>965</v>
      </c>
      <c r="B966" s="23">
        <v>45756</v>
      </c>
      <c r="C966">
        <f t="shared" si="78"/>
        <v>0</v>
      </c>
      <c r="D966">
        <v>0</v>
      </c>
      <c r="E966">
        <f t="shared" si="76"/>
        <v>0</v>
      </c>
      <c r="F966" t="str">
        <f t="shared" si="77"/>
        <v>Wednesday</v>
      </c>
      <c r="H966">
        <v>3</v>
      </c>
      <c r="I966">
        <f t="shared" si="79"/>
        <v>14</v>
      </c>
      <c r="J966">
        <f t="shared" si="80"/>
        <v>15</v>
      </c>
    </row>
    <row r="967" spans="1:10" x14ac:dyDescent="0.2">
      <c r="A967">
        <v>966</v>
      </c>
      <c r="B967" s="23">
        <v>45757</v>
      </c>
      <c r="C967">
        <f t="shared" si="78"/>
        <v>0</v>
      </c>
      <c r="D967">
        <v>0</v>
      </c>
      <c r="E967">
        <f t="shared" si="76"/>
        <v>0</v>
      </c>
      <c r="F967" t="str">
        <f t="shared" si="77"/>
        <v>Thursday</v>
      </c>
      <c r="H967">
        <v>3</v>
      </c>
      <c r="I967">
        <f t="shared" si="79"/>
        <v>14</v>
      </c>
      <c r="J967">
        <f t="shared" si="80"/>
        <v>15</v>
      </c>
    </row>
    <row r="968" spans="1:10" x14ac:dyDescent="0.2">
      <c r="A968">
        <v>967</v>
      </c>
      <c r="B968" s="23">
        <v>45758</v>
      </c>
      <c r="C968">
        <f t="shared" si="78"/>
        <v>0</v>
      </c>
      <c r="D968">
        <v>0</v>
      </c>
      <c r="E968">
        <f t="shared" si="76"/>
        <v>0</v>
      </c>
      <c r="F968" t="str">
        <f t="shared" si="77"/>
        <v>Friday</v>
      </c>
      <c r="H968">
        <v>3</v>
      </c>
      <c r="I968">
        <f t="shared" si="79"/>
        <v>14</v>
      </c>
      <c r="J968">
        <f t="shared" si="80"/>
        <v>15</v>
      </c>
    </row>
    <row r="969" spans="1:10" x14ac:dyDescent="0.2">
      <c r="A969">
        <v>968</v>
      </c>
      <c r="B969" s="23">
        <v>45759</v>
      </c>
      <c r="C969">
        <f t="shared" si="78"/>
        <v>1</v>
      </c>
      <c r="D969">
        <v>0</v>
      </c>
      <c r="E969">
        <f t="shared" si="76"/>
        <v>1</v>
      </c>
      <c r="F969" t="str">
        <f t="shared" si="77"/>
        <v>Saturday</v>
      </c>
      <c r="H969">
        <v>3</v>
      </c>
      <c r="I969">
        <f t="shared" si="79"/>
        <v>14</v>
      </c>
      <c r="J969">
        <f t="shared" si="80"/>
        <v>15</v>
      </c>
    </row>
    <row r="970" spans="1:10" x14ac:dyDescent="0.2">
      <c r="A970">
        <v>969</v>
      </c>
      <c r="B970" s="23">
        <v>45760</v>
      </c>
      <c r="C970">
        <f t="shared" si="78"/>
        <v>1</v>
      </c>
      <c r="D970">
        <v>0</v>
      </c>
      <c r="E970">
        <f t="shared" si="76"/>
        <v>1</v>
      </c>
      <c r="F970" t="str">
        <f t="shared" si="77"/>
        <v>Sunday</v>
      </c>
      <c r="H970">
        <v>3</v>
      </c>
      <c r="I970">
        <f t="shared" si="79"/>
        <v>14</v>
      </c>
      <c r="J970">
        <f t="shared" si="80"/>
        <v>15</v>
      </c>
    </row>
    <row r="971" spans="1:10" x14ac:dyDescent="0.2">
      <c r="A971">
        <v>970</v>
      </c>
      <c r="B971" s="23">
        <v>45761</v>
      </c>
      <c r="C971">
        <f t="shared" si="78"/>
        <v>0</v>
      </c>
      <c r="D971">
        <v>0</v>
      </c>
      <c r="E971">
        <f t="shared" si="76"/>
        <v>0</v>
      </c>
      <c r="F971" t="str">
        <f t="shared" si="77"/>
        <v>Monday</v>
      </c>
      <c r="H971">
        <v>3</v>
      </c>
      <c r="I971">
        <f t="shared" si="79"/>
        <v>15</v>
      </c>
      <c r="J971">
        <f t="shared" si="80"/>
        <v>16</v>
      </c>
    </row>
    <row r="972" spans="1:10" x14ac:dyDescent="0.2">
      <c r="A972">
        <v>971</v>
      </c>
      <c r="B972" s="23">
        <v>45762</v>
      </c>
      <c r="C972">
        <f t="shared" si="78"/>
        <v>0</v>
      </c>
      <c r="D972">
        <v>0</v>
      </c>
      <c r="E972">
        <f t="shared" si="76"/>
        <v>0</v>
      </c>
      <c r="F972" t="str">
        <f t="shared" si="77"/>
        <v>Tuesday</v>
      </c>
      <c r="H972">
        <v>3</v>
      </c>
      <c r="I972">
        <f t="shared" si="79"/>
        <v>15</v>
      </c>
      <c r="J972">
        <f t="shared" si="80"/>
        <v>16</v>
      </c>
    </row>
    <row r="973" spans="1:10" x14ac:dyDescent="0.2">
      <c r="A973">
        <v>972</v>
      </c>
      <c r="B973" s="23">
        <v>45763</v>
      </c>
      <c r="C973">
        <f t="shared" si="78"/>
        <v>0</v>
      </c>
      <c r="D973">
        <v>0</v>
      </c>
      <c r="E973">
        <f t="shared" ref="E973:E1001" si="81">IF((C973+D973)&gt;0, 1, 0)</f>
        <v>0</v>
      </c>
      <c r="F973" t="str">
        <f t="shared" ref="F973:F1001" si="82">TEXT(B973, "dddd")</f>
        <v>Wednesday</v>
      </c>
      <c r="H973">
        <v>3</v>
      </c>
      <c r="I973">
        <f t="shared" si="79"/>
        <v>15</v>
      </c>
      <c r="J973">
        <f t="shared" si="80"/>
        <v>16</v>
      </c>
    </row>
    <row r="974" spans="1:10" x14ac:dyDescent="0.2">
      <c r="A974">
        <v>973</v>
      </c>
      <c r="B974" s="23">
        <v>45764</v>
      </c>
      <c r="C974">
        <f t="shared" si="78"/>
        <v>0</v>
      </c>
      <c r="D974">
        <v>0</v>
      </c>
      <c r="E974">
        <f t="shared" si="81"/>
        <v>0</v>
      </c>
      <c r="F974" t="str">
        <f t="shared" si="82"/>
        <v>Thursday</v>
      </c>
      <c r="H974">
        <v>3</v>
      </c>
      <c r="I974">
        <f t="shared" si="79"/>
        <v>15</v>
      </c>
      <c r="J974">
        <f t="shared" si="80"/>
        <v>16</v>
      </c>
    </row>
    <row r="975" spans="1:10" x14ac:dyDescent="0.2">
      <c r="A975">
        <v>974</v>
      </c>
      <c r="B975" s="23">
        <v>45765</v>
      </c>
      <c r="C975">
        <f t="shared" si="78"/>
        <v>0</v>
      </c>
      <c r="D975">
        <v>0</v>
      </c>
      <c r="E975">
        <f t="shared" si="81"/>
        <v>0</v>
      </c>
      <c r="F975" t="str">
        <f t="shared" si="82"/>
        <v>Friday</v>
      </c>
      <c r="H975">
        <v>3</v>
      </c>
      <c r="I975">
        <f t="shared" si="79"/>
        <v>15</v>
      </c>
      <c r="J975">
        <f t="shared" si="80"/>
        <v>16</v>
      </c>
    </row>
    <row r="976" spans="1:10" x14ac:dyDescent="0.2">
      <c r="A976">
        <v>975</v>
      </c>
      <c r="B976" s="23">
        <v>45766</v>
      </c>
      <c r="C976">
        <f t="shared" si="78"/>
        <v>1</v>
      </c>
      <c r="D976">
        <v>0</v>
      </c>
      <c r="E976">
        <f t="shared" si="81"/>
        <v>1</v>
      </c>
      <c r="F976" t="str">
        <f t="shared" si="82"/>
        <v>Saturday</v>
      </c>
      <c r="H976">
        <v>3</v>
      </c>
      <c r="I976">
        <f t="shared" si="79"/>
        <v>15</v>
      </c>
      <c r="J976">
        <f t="shared" si="80"/>
        <v>16</v>
      </c>
    </row>
    <row r="977" spans="1:10" x14ac:dyDescent="0.2">
      <c r="A977">
        <v>976</v>
      </c>
      <c r="B977" s="23">
        <v>45767</v>
      </c>
      <c r="C977">
        <f t="shared" si="78"/>
        <v>1</v>
      </c>
      <c r="D977">
        <v>0</v>
      </c>
      <c r="E977">
        <f t="shared" si="81"/>
        <v>1</v>
      </c>
      <c r="F977" t="str">
        <f t="shared" si="82"/>
        <v>Sunday</v>
      </c>
      <c r="H977">
        <v>3</v>
      </c>
      <c r="I977">
        <f t="shared" si="79"/>
        <v>15</v>
      </c>
      <c r="J977">
        <f t="shared" si="80"/>
        <v>16</v>
      </c>
    </row>
    <row r="978" spans="1:10" x14ac:dyDescent="0.2">
      <c r="A978">
        <v>977</v>
      </c>
      <c r="B978" s="23">
        <v>45768</v>
      </c>
      <c r="C978">
        <f t="shared" si="78"/>
        <v>0</v>
      </c>
      <c r="D978">
        <v>0</v>
      </c>
      <c r="E978">
        <f t="shared" si="81"/>
        <v>0</v>
      </c>
      <c r="F978" t="str">
        <f t="shared" si="82"/>
        <v>Monday</v>
      </c>
      <c r="H978">
        <v>3</v>
      </c>
      <c r="I978">
        <f t="shared" si="79"/>
        <v>16</v>
      </c>
      <c r="J978">
        <f t="shared" si="80"/>
        <v>17</v>
      </c>
    </row>
    <row r="979" spans="1:10" x14ac:dyDescent="0.2">
      <c r="A979">
        <v>978</v>
      </c>
      <c r="B979" s="23">
        <v>45769</v>
      </c>
      <c r="C979">
        <f t="shared" si="78"/>
        <v>0</v>
      </c>
      <c r="D979">
        <v>0</v>
      </c>
      <c r="E979">
        <f t="shared" si="81"/>
        <v>0</v>
      </c>
      <c r="F979" t="str">
        <f t="shared" si="82"/>
        <v>Tuesday</v>
      </c>
      <c r="H979">
        <v>3</v>
      </c>
      <c r="I979">
        <f t="shared" si="79"/>
        <v>16</v>
      </c>
      <c r="J979">
        <f t="shared" si="80"/>
        <v>17</v>
      </c>
    </row>
    <row r="980" spans="1:10" x14ac:dyDescent="0.2">
      <c r="A980">
        <v>979</v>
      </c>
      <c r="B980" s="23">
        <v>45770</v>
      </c>
      <c r="C980">
        <f t="shared" si="78"/>
        <v>0</v>
      </c>
      <c r="D980">
        <v>0</v>
      </c>
      <c r="E980">
        <f t="shared" si="81"/>
        <v>0</v>
      </c>
      <c r="F980" t="str">
        <f t="shared" si="82"/>
        <v>Wednesday</v>
      </c>
      <c r="H980">
        <v>3</v>
      </c>
      <c r="I980">
        <f t="shared" si="79"/>
        <v>16</v>
      </c>
      <c r="J980">
        <f t="shared" si="80"/>
        <v>17</v>
      </c>
    </row>
    <row r="981" spans="1:10" x14ac:dyDescent="0.2">
      <c r="A981">
        <v>980</v>
      </c>
      <c r="B981" s="23">
        <v>45771</v>
      </c>
      <c r="C981">
        <f t="shared" si="78"/>
        <v>0</v>
      </c>
      <c r="D981">
        <v>0</v>
      </c>
      <c r="E981">
        <f t="shared" si="81"/>
        <v>0</v>
      </c>
      <c r="F981" t="str">
        <f t="shared" si="82"/>
        <v>Thursday</v>
      </c>
      <c r="H981">
        <v>3</v>
      </c>
      <c r="I981">
        <f t="shared" si="79"/>
        <v>16</v>
      </c>
      <c r="J981">
        <f t="shared" si="80"/>
        <v>17</v>
      </c>
    </row>
    <row r="982" spans="1:10" x14ac:dyDescent="0.2">
      <c r="A982">
        <v>981</v>
      </c>
      <c r="B982" s="23">
        <v>45772</v>
      </c>
      <c r="C982">
        <f t="shared" si="78"/>
        <v>0</v>
      </c>
      <c r="D982">
        <v>0</v>
      </c>
      <c r="E982">
        <f t="shared" si="81"/>
        <v>0</v>
      </c>
      <c r="F982" t="str">
        <f t="shared" si="82"/>
        <v>Friday</v>
      </c>
      <c r="H982">
        <v>3</v>
      </c>
      <c r="I982">
        <f t="shared" si="79"/>
        <v>16</v>
      </c>
      <c r="J982">
        <f t="shared" si="80"/>
        <v>17</v>
      </c>
    </row>
    <row r="983" spans="1:10" x14ac:dyDescent="0.2">
      <c r="A983">
        <v>982</v>
      </c>
      <c r="B983" s="23">
        <v>45773</v>
      </c>
      <c r="C983">
        <f t="shared" si="78"/>
        <v>1</v>
      </c>
      <c r="D983">
        <v>0</v>
      </c>
      <c r="E983">
        <f t="shared" si="81"/>
        <v>1</v>
      </c>
      <c r="F983" t="str">
        <f t="shared" si="82"/>
        <v>Saturday</v>
      </c>
      <c r="H983">
        <v>3</v>
      </c>
      <c r="I983">
        <f t="shared" si="79"/>
        <v>16</v>
      </c>
      <c r="J983">
        <f t="shared" si="80"/>
        <v>17</v>
      </c>
    </row>
    <row r="984" spans="1:10" x14ac:dyDescent="0.2">
      <c r="A984">
        <v>983</v>
      </c>
      <c r="B984" s="23">
        <v>45774</v>
      </c>
      <c r="C984">
        <f t="shared" si="78"/>
        <v>1</v>
      </c>
      <c r="D984">
        <v>0</v>
      </c>
      <c r="E984">
        <f t="shared" si="81"/>
        <v>1</v>
      </c>
      <c r="F984" t="str">
        <f t="shared" si="82"/>
        <v>Sunday</v>
      </c>
      <c r="H984">
        <v>3</v>
      </c>
      <c r="I984">
        <f t="shared" si="79"/>
        <v>16</v>
      </c>
      <c r="J984">
        <f t="shared" si="80"/>
        <v>17</v>
      </c>
    </row>
    <row r="985" spans="1:10" x14ac:dyDescent="0.2">
      <c r="A985">
        <v>984</v>
      </c>
      <c r="B985" s="23">
        <v>45775</v>
      </c>
      <c r="C985">
        <f t="shared" si="78"/>
        <v>0</v>
      </c>
      <c r="D985">
        <v>0</v>
      </c>
      <c r="E985">
        <f t="shared" si="81"/>
        <v>0</v>
      </c>
      <c r="F985" t="str">
        <f t="shared" si="82"/>
        <v>Monday</v>
      </c>
      <c r="H985">
        <v>3</v>
      </c>
      <c r="I985">
        <f t="shared" si="79"/>
        <v>17</v>
      </c>
      <c r="J985">
        <f t="shared" si="80"/>
        <v>18</v>
      </c>
    </row>
    <row r="986" spans="1:10" x14ac:dyDescent="0.2">
      <c r="A986">
        <v>985</v>
      </c>
      <c r="B986" s="23">
        <v>45776</v>
      </c>
      <c r="C986">
        <f t="shared" si="78"/>
        <v>0</v>
      </c>
      <c r="D986">
        <v>0</v>
      </c>
      <c r="E986">
        <f t="shared" si="81"/>
        <v>0</v>
      </c>
      <c r="F986" t="str">
        <f t="shared" si="82"/>
        <v>Tuesday</v>
      </c>
      <c r="H986">
        <v>3</v>
      </c>
      <c r="I986">
        <f t="shared" si="79"/>
        <v>17</v>
      </c>
      <c r="J986">
        <f t="shared" si="80"/>
        <v>18</v>
      </c>
    </row>
    <row r="987" spans="1:10" x14ac:dyDescent="0.2">
      <c r="A987">
        <v>986</v>
      </c>
      <c r="B987" s="23">
        <v>45777</v>
      </c>
      <c r="C987">
        <f t="shared" si="78"/>
        <v>0</v>
      </c>
      <c r="D987">
        <v>0</v>
      </c>
      <c r="E987">
        <f t="shared" si="81"/>
        <v>0</v>
      </c>
      <c r="F987" t="str">
        <f t="shared" si="82"/>
        <v>Wednesday</v>
      </c>
      <c r="H987">
        <v>3</v>
      </c>
      <c r="I987">
        <f t="shared" si="79"/>
        <v>17</v>
      </c>
      <c r="J987">
        <f t="shared" si="80"/>
        <v>18</v>
      </c>
    </row>
    <row r="988" spans="1:10" x14ac:dyDescent="0.2">
      <c r="A988">
        <v>987</v>
      </c>
      <c r="B988" s="23">
        <v>45778</v>
      </c>
      <c r="C988">
        <f t="shared" si="78"/>
        <v>0</v>
      </c>
      <c r="D988">
        <v>0</v>
      </c>
      <c r="E988">
        <f t="shared" si="81"/>
        <v>0</v>
      </c>
      <c r="F988" t="str">
        <f t="shared" si="82"/>
        <v>Thursday</v>
      </c>
      <c r="H988">
        <v>3</v>
      </c>
      <c r="I988">
        <f t="shared" si="79"/>
        <v>17</v>
      </c>
      <c r="J988">
        <f t="shared" si="80"/>
        <v>18</v>
      </c>
    </row>
    <row r="989" spans="1:10" x14ac:dyDescent="0.2">
      <c r="A989">
        <v>988</v>
      </c>
      <c r="B989" s="23">
        <v>45779</v>
      </c>
      <c r="C989">
        <f t="shared" si="78"/>
        <v>0</v>
      </c>
      <c r="D989">
        <v>0</v>
      </c>
      <c r="E989">
        <f t="shared" si="81"/>
        <v>0</v>
      </c>
      <c r="F989" t="str">
        <f t="shared" si="82"/>
        <v>Friday</v>
      </c>
      <c r="H989">
        <v>3</v>
      </c>
      <c r="I989">
        <f t="shared" si="79"/>
        <v>17</v>
      </c>
      <c r="J989">
        <f t="shared" si="80"/>
        <v>18</v>
      </c>
    </row>
    <row r="990" spans="1:10" x14ac:dyDescent="0.2">
      <c r="A990">
        <v>989</v>
      </c>
      <c r="B990" s="23">
        <v>45780</v>
      </c>
      <c r="C990">
        <f t="shared" si="78"/>
        <v>1</v>
      </c>
      <c r="D990">
        <v>0</v>
      </c>
      <c r="E990">
        <f t="shared" si="81"/>
        <v>1</v>
      </c>
      <c r="F990" t="str">
        <f t="shared" si="82"/>
        <v>Saturday</v>
      </c>
      <c r="H990">
        <v>3</v>
      </c>
      <c r="I990">
        <f t="shared" si="79"/>
        <v>17</v>
      </c>
      <c r="J990">
        <f t="shared" si="80"/>
        <v>18</v>
      </c>
    </row>
    <row r="991" spans="1:10" x14ac:dyDescent="0.2">
      <c r="A991">
        <v>990</v>
      </c>
      <c r="B991" s="23">
        <v>45781</v>
      </c>
      <c r="C991">
        <f t="shared" si="78"/>
        <v>1</v>
      </c>
      <c r="D991">
        <v>0</v>
      </c>
      <c r="E991">
        <f t="shared" si="81"/>
        <v>1</v>
      </c>
      <c r="F991" t="str">
        <f t="shared" si="82"/>
        <v>Sunday</v>
      </c>
      <c r="H991">
        <v>3</v>
      </c>
      <c r="I991">
        <f t="shared" si="79"/>
        <v>17</v>
      </c>
      <c r="J991">
        <f t="shared" si="80"/>
        <v>18</v>
      </c>
    </row>
    <row r="992" spans="1:10" x14ac:dyDescent="0.2">
      <c r="A992">
        <v>991</v>
      </c>
      <c r="B992" s="23">
        <v>45782</v>
      </c>
      <c r="C992">
        <f t="shared" si="78"/>
        <v>0</v>
      </c>
      <c r="D992">
        <v>0</v>
      </c>
      <c r="E992">
        <f t="shared" si="81"/>
        <v>0</v>
      </c>
      <c r="F992" t="str">
        <f t="shared" si="82"/>
        <v>Monday</v>
      </c>
      <c r="H992">
        <v>3</v>
      </c>
      <c r="I992">
        <f t="shared" si="79"/>
        <v>18</v>
      </c>
      <c r="J992">
        <f t="shared" si="80"/>
        <v>19</v>
      </c>
    </row>
    <row r="993" spans="1:10" x14ac:dyDescent="0.2">
      <c r="A993">
        <v>992</v>
      </c>
      <c r="B993" s="23">
        <v>45783</v>
      </c>
      <c r="C993">
        <f t="shared" si="78"/>
        <v>0</v>
      </c>
      <c r="D993">
        <v>0</v>
      </c>
      <c r="E993">
        <f t="shared" si="81"/>
        <v>0</v>
      </c>
      <c r="F993" t="str">
        <f t="shared" si="82"/>
        <v>Tuesday</v>
      </c>
      <c r="H993">
        <v>3</v>
      </c>
      <c r="I993">
        <f t="shared" si="79"/>
        <v>18</v>
      </c>
      <c r="J993">
        <f t="shared" si="80"/>
        <v>19</v>
      </c>
    </row>
    <row r="994" spans="1:10" x14ac:dyDescent="0.2">
      <c r="A994">
        <v>993</v>
      </c>
      <c r="B994" s="23">
        <v>45784</v>
      </c>
      <c r="C994">
        <f t="shared" si="78"/>
        <v>0</v>
      </c>
      <c r="D994">
        <v>0</v>
      </c>
      <c r="E994">
        <f t="shared" si="81"/>
        <v>0</v>
      </c>
      <c r="F994" t="str">
        <f t="shared" si="82"/>
        <v>Wednesday</v>
      </c>
      <c r="H994">
        <v>3</v>
      </c>
      <c r="I994">
        <f t="shared" si="79"/>
        <v>18</v>
      </c>
      <c r="J994">
        <f t="shared" si="80"/>
        <v>19</v>
      </c>
    </row>
    <row r="995" spans="1:10" x14ac:dyDescent="0.2">
      <c r="A995">
        <v>994</v>
      </c>
      <c r="B995" s="23">
        <v>45785</v>
      </c>
      <c r="C995">
        <f t="shared" si="78"/>
        <v>0</v>
      </c>
      <c r="D995">
        <v>0</v>
      </c>
      <c r="E995">
        <f t="shared" si="81"/>
        <v>0</v>
      </c>
      <c r="F995" t="str">
        <f t="shared" si="82"/>
        <v>Thursday</v>
      </c>
      <c r="H995">
        <v>3</v>
      </c>
      <c r="I995">
        <f t="shared" si="79"/>
        <v>18</v>
      </c>
      <c r="J995">
        <f t="shared" si="80"/>
        <v>19</v>
      </c>
    </row>
    <row r="996" spans="1:10" x14ac:dyDescent="0.2">
      <c r="A996">
        <v>995</v>
      </c>
      <c r="B996" s="23">
        <v>45786</v>
      </c>
      <c r="C996">
        <f t="shared" si="78"/>
        <v>0</v>
      </c>
      <c r="D996">
        <v>0</v>
      </c>
      <c r="E996">
        <f t="shared" si="81"/>
        <v>0</v>
      </c>
      <c r="F996" t="str">
        <f t="shared" si="82"/>
        <v>Friday</v>
      </c>
      <c r="H996">
        <v>3</v>
      </c>
      <c r="I996">
        <f t="shared" si="79"/>
        <v>18</v>
      </c>
      <c r="J996">
        <f t="shared" si="80"/>
        <v>19</v>
      </c>
    </row>
    <row r="997" spans="1:10" x14ac:dyDescent="0.2">
      <c r="A997">
        <v>996</v>
      </c>
      <c r="B997" s="23">
        <v>45787</v>
      </c>
      <c r="C997">
        <f t="shared" si="78"/>
        <v>1</v>
      </c>
      <c r="D997">
        <v>0</v>
      </c>
      <c r="E997">
        <f t="shared" si="81"/>
        <v>1</v>
      </c>
      <c r="F997" t="str">
        <f t="shared" si="82"/>
        <v>Saturday</v>
      </c>
      <c r="H997">
        <v>3</v>
      </c>
      <c r="I997">
        <f t="shared" si="79"/>
        <v>18</v>
      </c>
      <c r="J997">
        <f t="shared" si="80"/>
        <v>19</v>
      </c>
    </row>
    <row r="998" spans="1:10" x14ac:dyDescent="0.2">
      <c r="A998">
        <v>997</v>
      </c>
      <c r="B998" s="23">
        <v>45788</v>
      </c>
      <c r="C998">
        <f t="shared" si="78"/>
        <v>1</v>
      </c>
      <c r="D998">
        <v>0</v>
      </c>
      <c r="E998">
        <f t="shared" si="81"/>
        <v>1</v>
      </c>
      <c r="F998" t="str">
        <f t="shared" si="82"/>
        <v>Sunday</v>
      </c>
      <c r="H998">
        <v>3</v>
      </c>
      <c r="I998">
        <f t="shared" si="79"/>
        <v>18</v>
      </c>
      <c r="J998">
        <f t="shared" si="80"/>
        <v>19</v>
      </c>
    </row>
    <row r="999" spans="1:10" x14ac:dyDescent="0.2">
      <c r="A999">
        <v>998</v>
      </c>
      <c r="B999" s="23">
        <v>45789</v>
      </c>
      <c r="C999">
        <f t="shared" si="78"/>
        <v>0</v>
      </c>
      <c r="D999">
        <v>0</v>
      </c>
      <c r="E999">
        <f t="shared" si="81"/>
        <v>0</v>
      </c>
      <c r="F999" t="str">
        <f t="shared" si="82"/>
        <v>Monday</v>
      </c>
      <c r="H999">
        <v>3</v>
      </c>
      <c r="I999">
        <f t="shared" si="79"/>
        <v>19</v>
      </c>
      <c r="J999">
        <f t="shared" si="80"/>
        <v>20</v>
      </c>
    </row>
    <row r="1000" spans="1:10" x14ac:dyDescent="0.2">
      <c r="A1000">
        <v>999</v>
      </c>
      <c r="B1000" s="23">
        <v>45790</v>
      </c>
      <c r="C1000">
        <f t="shared" si="78"/>
        <v>0</v>
      </c>
      <c r="D1000">
        <v>0</v>
      </c>
      <c r="E1000">
        <f t="shared" si="81"/>
        <v>0</v>
      </c>
      <c r="F1000" t="str">
        <f t="shared" si="82"/>
        <v>Tuesday</v>
      </c>
      <c r="H1000">
        <v>3</v>
      </c>
      <c r="I1000">
        <f t="shared" si="79"/>
        <v>19</v>
      </c>
      <c r="J1000">
        <f t="shared" si="80"/>
        <v>20</v>
      </c>
    </row>
    <row r="1001" spans="1:10" x14ac:dyDescent="0.2">
      <c r="A1001">
        <v>1000</v>
      </c>
      <c r="B1001" s="23">
        <v>45791</v>
      </c>
      <c r="C1001">
        <f t="shared" si="78"/>
        <v>0</v>
      </c>
      <c r="D1001">
        <v>0</v>
      </c>
      <c r="E1001">
        <f t="shared" si="81"/>
        <v>0</v>
      </c>
      <c r="F1001" t="str">
        <f t="shared" si="82"/>
        <v>Wednesday</v>
      </c>
      <c r="H1001">
        <v>3</v>
      </c>
      <c r="I1001">
        <f t="shared" si="79"/>
        <v>19</v>
      </c>
      <c r="J1001">
        <f t="shared" si="80"/>
        <v>20</v>
      </c>
    </row>
  </sheetData>
  <autoFilter ref="A1:I1001" xr:uid="{828EAA69-1413-4D4C-8832-6C4A6292741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AD58-BABE-4544-88E1-2BFBF837D323}">
  <dimension ref="A1:K56"/>
  <sheetViews>
    <sheetView zoomScale="222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4" sqref="C14"/>
    </sheetView>
  </sheetViews>
  <sheetFormatPr baseColWidth="10" defaultColWidth="11.5" defaultRowHeight="15" x14ac:dyDescent="0.2"/>
  <cols>
    <col min="1" max="1" width="3.1640625" bestFit="1" customWidth="1"/>
    <col min="6" max="6" width="13.83203125" bestFit="1" customWidth="1"/>
  </cols>
  <sheetData>
    <row r="1" spans="1:11" x14ac:dyDescent="0.2">
      <c r="A1" s="3" t="s">
        <v>0</v>
      </c>
      <c r="B1" s="3" t="s">
        <v>89</v>
      </c>
      <c r="C1" s="3" t="s">
        <v>90</v>
      </c>
      <c r="D1" s="3" t="s">
        <v>1820</v>
      </c>
      <c r="E1" s="3" t="s">
        <v>436</v>
      </c>
      <c r="F1" s="3" t="s">
        <v>1847</v>
      </c>
      <c r="G1" s="3" t="s">
        <v>1772</v>
      </c>
      <c r="H1" s="3" t="s">
        <v>91</v>
      </c>
      <c r="I1" s="3" t="s">
        <v>1771</v>
      </c>
      <c r="J1" s="3" t="s">
        <v>92</v>
      </c>
      <c r="K1" s="3" t="s">
        <v>1848</v>
      </c>
    </row>
    <row r="2" spans="1:11" x14ac:dyDescent="0.2">
      <c r="A2">
        <v>1</v>
      </c>
      <c r="B2">
        <v>2</v>
      </c>
      <c r="C2" s="7">
        <v>44936</v>
      </c>
      <c r="E2">
        <v>117</v>
      </c>
      <c r="F2" t="s">
        <v>202</v>
      </c>
      <c r="G2">
        <v>145</v>
      </c>
      <c r="H2" t="s">
        <v>1770</v>
      </c>
      <c r="I2" s="19">
        <v>0.81899999999999995</v>
      </c>
      <c r="K2">
        <v>1</v>
      </c>
    </row>
    <row r="3" spans="1:11" x14ac:dyDescent="0.2">
      <c r="A3">
        <v>2</v>
      </c>
      <c r="B3">
        <v>2</v>
      </c>
      <c r="C3" s="7">
        <f>C2+1</f>
        <v>44937</v>
      </c>
      <c r="E3">
        <v>117</v>
      </c>
      <c r="F3" t="s">
        <v>202</v>
      </c>
      <c r="G3">
        <v>146</v>
      </c>
      <c r="H3" t="s">
        <v>1770</v>
      </c>
      <c r="I3" s="19">
        <v>0.85399999999999998</v>
      </c>
      <c r="K3">
        <v>1</v>
      </c>
    </row>
    <row r="4" spans="1:11" x14ac:dyDescent="0.2">
      <c r="A4">
        <v>3</v>
      </c>
      <c r="B4">
        <v>2</v>
      </c>
      <c r="C4" s="7">
        <f t="shared" ref="C4:C50" si="0">C3+1</f>
        <v>44938</v>
      </c>
      <c r="E4">
        <v>125</v>
      </c>
      <c r="F4" t="s">
        <v>406</v>
      </c>
      <c r="G4">
        <v>1212</v>
      </c>
      <c r="H4" t="s">
        <v>1770</v>
      </c>
      <c r="I4" s="19">
        <v>0.89600000000000002</v>
      </c>
      <c r="K4">
        <v>1</v>
      </c>
    </row>
    <row r="5" spans="1:11" x14ac:dyDescent="0.2">
      <c r="A5">
        <v>4</v>
      </c>
      <c r="B5">
        <v>2</v>
      </c>
      <c r="C5" s="7">
        <f t="shared" si="0"/>
        <v>44939</v>
      </c>
      <c r="E5">
        <v>117</v>
      </c>
      <c r="F5" t="s">
        <v>202</v>
      </c>
      <c r="G5">
        <v>147</v>
      </c>
      <c r="H5" t="s">
        <v>1770</v>
      </c>
      <c r="I5" s="19">
        <v>0.80300000000000005</v>
      </c>
      <c r="K5">
        <v>1</v>
      </c>
    </row>
    <row r="6" spans="1:11" x14ac:dyDescent="0.2">
      <c r="A6">
        <v>5</v>
      </c>
      <c r="B6">
        <v>2</v>
      </c>
      <c r="C6" s="7">
        <f t="shared" si="0"/>
        <v>44940</v>
      </c>
      <c r="E6">
        <v>117</v>
      </c>
      <c r="F6" t="s">
        <v>202</v>
      </c>
      <c r="G6">
        <v>148</v>
      </c>
      <c r="H6" t="s">
        <v>1770</v>
      </c>
      <c r="I6" s="19">
        <v>0.85099999999999998</v>
      </c>
      <c r="K6">
        <v>1</v>
      </c>
    </row>
    <row r="7" spans="1:11" x14ac:dyDescent="0.2">
      <c r="A7">
        <v>6</v>
      </c>
      <c r="B7">
        <v>2</v>
      </c>
      <c r="C7" s="7">
        <f t="shared" si="0"/>
        <v>44941</v>
      </c>
      <c r="E7">
        <v>117</v>
      </c>
      <c r="F7" t="s">
        <v>202</v>
      </c>
      <c r="G7">
        <v>149</v>
      </c>
      <c r="H7" t="s">
        <v>1770</v>
      </c>
      <c r="I7" s="19">
        <v>0.92600000000000005</v>
      </c>
      <c r="K7">
        <v>1</v>
      </c>
    </row>
    <row r="8" spans="1:11" x14ac:dyDescent="0.2">
      <c r="A8">
        <v>7</v>
      </c>
      <c r="B8">
        <v>2</v>
      </c>
      <c r="C8" s="7">
        <f t="shared" si="0"/>
        <v>44942</v>
      </c>
      <c r="E8">
        <v>125</v>
      </c>
      <c r="F8" t="s">
        <v>406</v>
      </c>
      <c r="G8">
        <v>1213</v>
      </c>
      <c r="H8" t="s">
        <v>1770</v>
      </c>
      <c r="I8" s="19">
        <v>0.872</v>
      </c>
      <c r="K8">
        <v>1</v>
      </c>
    </row>
    <row r="9" spans="1:11" x14ac:dyDescent="0.2">
      <c r="A9">
        <v>8</v>
      </c>
      <c r="B9">
        <v>2</v>
      </c>
      <c r="C9" s="7">
        <f t="shared" si="0"/>
        <v>44943</v>
      </c>
      <c r="E9">
        <v>117</v>
      </c>
      <c r="F9" t="s">
        <v>202</v>
      </c>
      <c r="G9">
        <v>150</v>
      </c>
      <c r="H9" t="s">
        <v>1770</v>
      </c>
      <c r="I9" s="19">
        <v>0.95499999999999996</v>
      </c>
      <c r="K9">
        <v>1</v>
      </c>
    </row>
    <row r="10" spans="1:11" x14ac:dyDescent="0.2">
      <c r="A10">
        <v>9</v>
      </c>
      <c r="B10">
        <v>2</v>
      </c>
      <c r="C10" s="7">
        <f t="shared" si="0"/>
        <v>44944</v>
      </c>
      <c r="E10">
        <v>117</v>
      </c>
      <c r="F10" t="s">
        <v>202</v>
      </c>
      <c r="G10">
        <v>151</v>
      </c>
      <c r="H10" t="s">
        <v>1770</v>
      </c>
      <c r="I10" s="19">
        <v>0.91800000000000004</v>
      </c>
      <c r="K10">
        <v>1</v>
      </c>
    </row>
    <row r="11" spans="1:11" x14ac:dyDescent="0.2">
      <c r="A11">
        <v>10</v>
      </c>
      <c r="B11">
        <v>2</v>
      </c>
      <c r="C11" s="7">
        <f t="shared" si="0"/>
        <v>44945</v>
      </c>
      <c r="E11">
        <v>125</v>
      </c>
      <c r="F11" t="s">
        <v>406</v>
      </c>
      <c r="G11">
        <v>1214</v>
      </c>
      <c r="H11" t="s">
        <v>1770</v>
      </c>
      <c r="I11" s="19">
        <v>0.92100000000000004</v>
      </c>
      <c r="K11">
        <v>1</v>
      </c>
    </row>
    <row r="12" spans="1:11" x14ac:dyDescent="0.2">
      <c r="A12">
        <v>11</v>
      </c>
      <c r="B12">
        <v>2</v>
      </c>
      <c r="C12" s="7">
        <f t="shared" si="0"/>
        <v>44946</v>
      </c>
      <c r="E12">
        <v>117</v>
      </c>
      <c r="F12" t="s">
        <v>202</v>
      </c>
      <c r="G12">
        <v>152</v>
      </c>
      <c r="H12" t="s">
        <v>1770</v>
      </c>
      <c r="I12" s="19">
        <v>0.95699999999999996</v>
      </c>
      <c r="K12">
        <v>1</v>
      </c>
    </row>
    <row r="13" spans="1:11" x14ac:dyDescent="0.2">
      <c r="A13">
        <v>12</v>
      </c>
      <c r="B13">
        <v>2</v>
      </c>
      <c r="C13" s="7">
        <f t="shared" si="0"/>
        <v>44947</v>
      </c>
      <c r="E13">
        <v>125</v>
      </c>
      <c r="F13" t="s">
        <v>406</v>
      </c>
      <c r="G13">
        <v>1215</v>
      </c>
      <c r="H13" t="s">
        <v>1770</v>
      </c>
      <c r="I13" s="19">
        <v>0.97</v>
      </c>
      <c r="K13">
        <v>1</v>
      </c>
    </row>
    <row r="14" spans="1:11" x14ac:dyDescent="0.2">
      <c r="A14">
        <v>13</v>
      </c>
      <c r="B14">
        <v>2</v>
      </c>
      <c r="C14" s="7">
        <f t="shared" si="0"/>
        <v>44948</v>
      </c>
      <c r="E14">
        <v>125</v>
      </c>
      <c r="F14" t="s">
        <v>406</v>
      </c>
      <c r="G14">
        <v>1216</v>
      </c>
      <c r="H14" t="s">
        <v>1770</v>
      </c>
      <c r="I14" s="19">
        <v>0.91500000000000004</v>
      </c>
      <c r="K14">
        <v>1</v>
      </c>
    </row>
    <row r="15" spans="1:11" x14ac:dyDescent="0.2">
      <c r="A15">
        <v>14</v>
      </c>
      <c r="B15">
        <v>2</v>
      </c>
      <c r="C15" s="7">
        <f t="shared" si="0"/>
        <v>44949</v>
      </c>
      <c r="E15">
        <v>125</v>
      </c>
      <c r="F15" t="s">
        <v>406</v>
      </c>
      <c r="G15">
        <v>1217</v>
      </c>
      <c r="H15" t="s">
        <v>1770</v>
      </c>
      <c r="I15" s="19">
        <v>0.95099999999999996</v>
      </c>
      <c r="K15">
        <v>1</v>
      </c>
    </row>
    <row r="16" spans="1:11" x14ac:dyDescent="0.2">
      <c r="A16">
        <v>15</v>
      </c>
      <c r="B16">
        <v>2</v>
      </c>
      <c r="C16" s="7">
        <f t="shared" si="0"/>
        <v>44950</v>
      </c>
      <c r="E16">
        <v>130</v>
      </c>
      <c r="F16" t="s">
        <v>415</v>
      </c>
      <c r="G16">
        <v>1234</v>
      </c>
      <c r="H16" t="s">
        <v>1770</v>
      </c>
      <c r="I16" s="19">
        <v>0.86799999999999999</v>
      </c>
      <c r="K16">
        <v>1</v>
      </c>
    </row>
    <row r="17" spans="1:11" x14ac:dyDescent="0.2">
      <c r="A17">
        <v>16</v>
      </c>
      <c r="B17">
        <v>2</v>
      </c>
      <c r="C17" s="7">
        <f t="shared" si="0"/>
        <v>44951</v>
      </c>
      <c r="E17">
        <v>130</v>
      </c>
      <c r="F17" t="s">
        <v>415</v>
      </c>
      <c r="G17">
        <v>1235</v>
      </c>
      <c r="H17" t="s">
        <v>1770</v>
      </c>
      <c r="I17" s="19">
        <v>0.84699999999999998</v>
      </c>
      <c r="K17">
        <v>1</v>
      </c>
    </row>
    <row r="18" spans="1:11" x14ac:dyDescent="0.2">
      <c r="A18">
        <v>17</v>
      </c>
      <c r="B18">
        <v>2</v>
      </c>
      <c r="C18" s="7">
        <f t="shared" si="0"/>
        <v>44952</v>
      </c>
      <c r="E18">
        <v>130</v>
      </c>
      <c r="F18" t="s">
        <v>415</v>
      </c>
      <c r="G18">
        <v>1236</v>
      </c>
      <c r="H18" t="s">
        <v>1770</v>
      </c>
      <c r="I18" s="19">
        <v>0.90600000000000003</v>
      </c>
      <c r="K18">
        <v>1</v>
      </c>
    </row>
    <row r="19" spans="1:11" x14ac:dyDescent="0.2">
      <c r="A19">
        <v>18</v>
      </c>
      <c r="B19">
        <v>2</v>
      </c>
      <c r="C19" s="7">
        <f t="shared" si="0"/>
        <v>44953</v>
      </c>
      <c r="E19">
        <v>130</v>
      </c>
      <c r="F19" t="s">
        <v>415</v>
      </c>
      <c r="G19">
        <v>1237</v>
      </c>
      <c r="H19" t="s">
        <v>1770</v>
      </c>
      <c r="I19" s="19">
        <v>0.872</v>
      </c>
      <c r="K19">
        <v>1</v>
      </c>
    </row>
    <row r="20" spans="1:11" x14ac:dyDescent="0.2">
      <c r="A20">
        <v>19</v>
      </c>
      <c r="B20">
        <v>2</v>
      </c>
      <c r="C20" s="7">
        <f t="shared" si="0"/>
        <v>44954</v>
      </c>
      <c r="E20">
        <v>130</v>
      </c>
      <c r="F20" t="s">
        <v>415</v>
      </c>
      <c r="G20">
        <v>1238</v>
      </c>
      <c r="H20" t="s">
        <v>1770</v>
      </c>
      <c r="I20" s="19">
        <v>0.89100000000000001</v>
      </c>
      <c r="K20">
        <v>1</v>
      </c>
    </row>
    <row r="21" spans="1:11" x14ac:dyDescent="0.2">
      <c r="A21">
        <v>20</v>
      </c>
      <c r="B21">
        <v>2</v>
      </c>
      <c r="C21" s="7">
        <f t="shared" si="0"/>
        <v>44955</v>
      </c>
      <c r="E21">
        <v>130</v>
      </c>
      <c r="F21" t="s">
        <v>415</v>
      </c>
      <c r="G21">
        <v>1239</v>
      </c>
      <c r="H21" t="s">
        <v>1770</v>
      </c>
      <c r="I21" s="19">
        <v>0.80200000000000005</v>
      </c>
      <c r="K21">
        <v>1</v>
      </c>
    </row>
    <row r="22" spans="1:11" x14ac:dyDescent="0.2">
      <c r="A22">
        <v>21</v>
      </c>
      <c r="B22">
        <v>2</v>
      </c>
      <c r="C22" s="7">
        <f t="shared" si="0"/>
        <v>44956</v>
      </c>
      <c r="E22">
        <v>130</v>
      </c>
      <c r="F22" t="s">
        <v>415</v>
      </c>
      <c r="G22">
        <v>1240</v>
      </c>
      <c r="H22" t="s">
        <v>1770</v>
      </c>
      <c r="I22" s="19">
        <v>0.81100000000000005</v>
      </c>
      <c r="K22">
        <v>1</v>
      </c>
    </row>
    <row r="23" spans="1:11" x14ac:dyDescent="0.2">
      <c r="A23">
        <v>22</v>
      </c>
      <c r="B23">
        <v>2</v>
      </c>
      <c r="C23" s="7">
        <f t="shared" si="0"/>
        <v>44957</v>
      </c>
      <c r="E23">
        <v>130</v>
      </c>
      <c r="F23" t="s">
        <v>415</v>
      </c>
      <c r="G23">
        <v>1241</v>
      </c>
      <c r="H23" t="s">
        <v>1770</v>
      </c>
      <c r="I23" s="19">
        <v>0.84299999999999997</v>
      </c>
      <c r="K23">
        <v>1</v>
      </c>
    </row>
    <row r="24" spans="1:11" x14ac:dyDescent="0.2">
      <c r="A24">
        <v>23</v>
      </c>
      <c r="B24">
        <v>2</v>
      </c>
      <c r="C24" s="7">
        <f t="shared" si="0"/>
        <v>44958</v>
      </c>
      <c r="E24">
        <v>130</v>
      </c>
      <c r="F24" t="s">
        <v>415</v>
      </c>
      <c r="G24">
        <v>1242</v>
      </c>
      <c r="H24" t="s">
        <v>1770</v>
      </c>
      <c r="I24" s="19">
        <v>0.94</v>
      </c>
      <c r="K24">
        <v>1</v>
      </c>
    </row>
    <row r="25" spans="1:11" x14ac:dyDescent="0.2">
      <c r="A25">
        <v>24</v>
      </c>
      <c r="B25">
        <v>2</v>
      </c>
      <c r="C25" s="7">
        <f t="shared" si="0"/>
        <v>44959</v>
      </c>
      <c r="E25">
        <v>130</v>
      </c>
      <c r="F25" t="s">
        <v>415</v>
      </c>
      <c r="G25">
        <v>1243</v>
      </c>
      <c r="H25" t="s">
        <v>1770</v>
      </c>
      <c r="I25" s="19">
        <v>0.86899999999999999</v>
      </c>
      <c r="K25">
        <v>1</v>
      </c>
    </row>
    <row r="26" spans="1:11" x14ac:dyDescent="0.2">
      <c r="A26">
        <v>25</v>
      </c>
      <c r="B26">
        <v>2</v>
      </c>
      <c r="C26" s="7">
        <f t="shared" si="0"/>
        <v>44960</v>
      </c>
      <c r="E26">
        <v>130</v>
      </c>
      <c r="F26" t="s">
        <v>415</v>
      </c>
      <c r="G26">
        <v>1244</v>
      </c>
      <c r="H26" t="s">
        <v>1770</v>
      </c>
      <c r="I26" s="19">
        <v>0.871</v>
      </c>
      <c r="K26">
        <v>1</v>
      </c>
    </row>
    <row r="27" spans="1:11" x14ac:dyDescent="0.2">
      <c r="A27">
        <v>26</v>
      </c>
      <c r="B27">
        <v>2</v>
      </c>
      <c r="C27" s="7">
        <f t="shared" si="0"/>
        <v>44961</v>
      </c>
      <c r="E27">
        <v>130</v>
      </c>
      <c r="F27" t="s">
        <v>415</v>
      </c>
      <c r="G27">
        <v>1245</v>
      </c>
      <c r="H27" t="s">
        <v>1770</v>
      </c>
      <c r="I27" s="19">
        <v>0.96299999999999997</v>
      </c>
      <c r="K27">
        <v>1</v>
      </c>
    </row>
    <row r="28" spans="1:11" x14ac:dyDescent="0.2">
      <c r="A28">
        <v>27</v>
      </c>
      <c r="B28">
        <v>2</v>
      </c>
      <c r="C28" s="7">
        <f t="shared" si="0"/>
        <v>44962</v>
      </c>
      <c r="E28">
        <v>130</v>
      </c>
      <c r="F28" t="s">
        <v>415</v>
      </c>
      <c r="G28">
        <v>1246</v>
      </c>
      <c r="H28" t="s">
        <v>1770</v>
      </c>
      <c r="I28" s="19">
        <v>0.94899999999999995</v>
      </c>
      <c r="K28">
        <v>1</v>
      </c>
    </row>
    <row r="29" spans="1:11" x14ac:dyDescent="0.2">
      <c r="A29">
        <v>28</v>
      </c>
      <c r="B29">
        <v>2</v>
      </c>
      <c r="C29" s="7">
        <f t="shared" si="0"/>
        <v>44963</v>
      </c>
      <c r="E29">
        <v>130</v>
      </c>
      <c r="F29" t="s">
        <v>415</v>
      </c>
      <c r="G29">
        <v>1247</v>
      </c>
      <c r="H29" t="s">
        <v>1770</v>
      </c>
      <c r="I29" s="19">
        <v>0.94199999999999995</v>
      </c>
      <c r="K29">
        <v>1</v>
      </c>
    </row>
    <row r="30" spans="1:11" x14ac:dyDescent="0.2">
      <c r="A30">
        <v>29</v>
      </c>
      <c r="B30">
        <v>2</v>
      </c>
      <c r="C30" s="7">
        <f t="shared" si="0"/>
        <v>44964</v>
      </c>
      <c r="E30">
        <v>130</v>
      </c>
      <c r="F30" t="s">
        <v>415</v>
      </c>
      <c r="G30">
        <v>1248</v>
      </c>
      <c r="H30" t="s">
        <v>1770</v>
      </c>
      <c r="I30" s="19">
        <v>0.84699999999999998</v>
      </c>
      <c r="K30">
        <v>1</v>
      </c>
    </row>
    <row r="31" spans="1:11" x14ac:dyDescent="0.2">
      <c r="A31">
        <v>30</v>
      </c>
      <c r="B31">
        <v>2</v>
      </c>
      <c r="C31" s="7">
        <f t="shared" si="0"/>
        <v>44965</v>
      </c>
      <c r="E31">
        <v>130</v>
      </c>
      <c r="F31" t="s">
        <v>415</v>
      </c>
      <c r="G31">
        <v>1249</v>
      </c>
      <c r="H31" t="s">
        <v>1770</v>
      </c>
      <c r="I31" s="19">
        <v>0.81</v>
      </c>
      <c r="K31">
        <v>1</v>
      </c>
    </row>
    <row r="32" spans="1:11" x14ac:dyDescent="0.2">
      <c r="A32">
        <v>31</v>
      </c>
      <c r="B32">
        <v>2</v>
      </c>
      <c r="C32" s="7">
        <f t="shared" si="0"/>
        <v>44966</v>
      </c>
      <c r="E32">
        <v>98</v>
      </c>
      <c r="F32" t="s">
        <v>187</v>
      </c>
      <c r="G32">
        <v>983</v>
      </c>
      <c r="H32" t="s">
        <v>1770</v>
      </c>
      <c r="I32" s="19">
        <v>0.83</v>
      </c>
      <c r="K32">
        <v>1</v>
      </c>
    </row>
    <row r="33" spans="1:11" x14ac:dyDescent="0.2">
      <c r="A33">
        <v>32</v>
      </c>
      <c r="B33">
        <v>2</v>
      </c>
      <c r="C33" s="7">
        <f t="shared" si="0"/>
        <v>44967</v>
      </c>
      <c r="E33">
        <v>98</v>
      </c>
      <c r="F33" t="s">
        <v>187</v>
      </c>
      <c r="G33">
        <v>984</v>
      </c>
      <c r="H33" t="s">
        <v>1770</v>
      </c>
      <c r="I33" s="19">
        <v>0.995</v>
      </c>
      <c r="K33">
        <v>1</v>
      </c>
    </row>
    <row r="34" spans="1:11" x14ac:dyDescent="0.2">
      <c r="A34">
        <v>33</v>
      </c>
      <c r="B34">
        <v>2</v>
      </c>
      <c r="C34" s="7">
        <f t="shared" si="0"/>
        <v>44968</v>
      </c>
      <c r="E34">
        <v>98</v>
      </c>
      <c r="F34" t="s">
        <v>187</v>
      </c>
      <c r="G34">
        <v>985</v>
      </c>
      <c r="H34" t="s">
        <v>1770</v>
      </c>
      <c r="I34" s="19">
        <v>0.94699999999999995</v>
      </c>
      <c r="K34">
        <v>1</v>
      </c>
    </row>
    <row r="35" spans="1:11" x14ac:dyDescent="0.2">
      <c r="A35">
        <v>34</v>
      </c>
      <c r="B35">
        <v>2</v>
      </c>
      <c r="C35" s="7">
        <f t="shared" si="0"/>
        <v>44969</v>
      </c>
      <c r="E35">
        <v>98</v>
      </c>
      <c r="F35" t="s">
        <v>187</v>
      </c>
      <c r="G35">
        <v>986</v>
      </c>
      <c r="H35" t="s">
        <v>1770</v>
      </c>
      <c r="I35" s="19">
        <v>0.83599999999999997</v>
      </c>
      <c r="K35">
        <v>1</v>
      </c>
    </row>
    <row r="36" spans="1:11" x14ac:dyDescent="0.2">
      <c r="A36">
        <v>35</v>
      </c>
      <c r="B36">
        <v>2</v>
      </c>
      <c r="C36" s="7">
        <f t="shared" si="0"/>
        <v>44970</v>
      </c>
      <c r="E36">
        <v>98</v>
      </c>
      <c r="F36" t="s">
        <v>187</v>
      </c>
      <c r="G36">
        <v>987</v>
      </c>
      <c r="H36" t="s">
        <v>1770</v>
      </c>
      <c r="I36" s="19">
        <v>0.88800000000000001</v>
      </c>
      <c r="K36">
        <v>1</v>
      </c>
    </row>
    <row r="37" spans="1:11" x14ac:dyDescent="0.2">
      <c r="A37">
        <v>36</v>
      </c>
      <c r="B37">
        <v>2</v>
      </c>
      <c r="C37" s="7">
        <f t="shared" si="0"/>
        <v>44971</v>
      </c>
      <c r="E37">
        <v>98</v>
      </c>
      <c r="F37" t="s">
        <v>187</v>
      </c>
      <c r="G37">
        <v>988</v>
      </c>
      <c r="H37" t="s">
        <v>1770</v>
      </c>
      <c r="I37" s="19">
        <v>0.85699999999999998</v>
      </c>
      <c r="K37">
        <v>1</v>
      </c>
    </row>
    <row r="38" spans="1:11" x14ac:dyDescent="0.2">
      <c r="A38">
        <v>37</v>
      </c>
      <c r="B38">
        <v>2</v>
      </c>
      <c r="C38" s="7">
        <f t="shared" si="0"/>
        <v>44972</v>
      </c>
      <c r="E38">
        <v>98</v>
      </c>
      <c r="F38" t="s">
        <v>187</v>
      </c>
      <c r="G38">
        <v>989</v>
      </c>
      <c r="H38" t="s">
        <v>1770</v>
      </c>
      <c r="I38" s="19">
        <v>0.874</v>
      </c>
      <c r="K38">
        <v>1</v>
      </c>
    </row>
    <row r="39" spans="1:11" x14ac:dyDescent="0.2">
      <c r="A39">
        <v>38</v>
      </c>
      <c r="B39">
        <v>2</v>
      </c>
      <c r="C39" s="7">
        <f t="shared" si="0"/>
        <v>44973</v>
      </c>
      <c r="E39">
        <v>98</v>
      </c>
      <c r="F39" t="s">
        <v>187</v>
      </c>
      <c r="G39">
        <v>990</v>
      </c>
      <c r="H39" t="s">
        <v>1770</v>
      </c>
      <c r="I39" s="19">
        <v>0.90400000000000003</v>
      </c>
      <c r="K39">
        <v>1</v>
      </c>
    </row>
    <row r="40" spans="1:11" x14ac:dyDescent="0.2">
      <c r="A40">
        <v>39</v>
      </c>
      <c r="B40">
        <v>2</v>
      </c>
      <c r="C40" s="7">
        <f t="shared" si="0"/>
        <v>44974</v>
      </c>
      <c r="E40">
        <v>98</v>
      </c>
      <c r="F40" t="s">
        <v>187</v>
      </c>
      <c r="G40">
        <v>991</v>
      </c>
      <c r="H40" t="s">
        <v>1770</v>
      </c>
      <c r="I40" s="19">
        <v>0.995</v>
      </c>
      <c r="K40">
        <v>1</v>
      </c>
    </row>
    <row r="41" spans="1:11" x14ac:dyDescent="0.2">
      <c r="A41">
        <v>40</v>
      </c>
      <c r="B41">
        <v>2</v>
      </c>
      <c r="C41" s="7">
        <f t="shared" si="0"/>
        <v>44975</v>
      </c>
      <c r="E41">
        <v>98</v>
      </c>
      <c r="F41" t="s">
        <v>187</v>
      </c>
      <c r="G41">
        <v>992</v>
      </c>
      <c r="H41" t="s">
        <v>1770</v>
      </c>
      <c r="I41" s="19">
        <v>0.91</v>
      </c>
      <c r="K41">
        <v>1</v>
      </c>
    </row>
    <row r="42" spans="1:11" x14ac:dyDescent="0.2">
      <c r="A42">
        <v>41</v>
      </c>
      <c r="B42">
        <v>2</v>
      </c>
      <c r="C42" s="7">
        <f t="shared" si="0"/>
        <v>44976</v>
      </c>
      <c r="E42">
        <v>98</v>
      </c>
      <c r="F42" t="s">
        <v>187</v>
      </c>
      <c r="G42">
        <v>993</v>
      </c>
      <c r="H42" t="s">
        <v>1770</v>
      </c>
      <c r="I42" s="19">
        <v>0.92500000000000004</v>
      </c>
      <c r="K42">
        <v>1</v>
      </c>
    </row>
    <row r="43" spans="1:11" x14ac:dyDescent="0.2">
      <c r="A43">
        <v>42</v>
      </c>
      <c r="B43">
        <v>2</v>
      </c>
      <c r="C43" s="7">
        <f t="shared" si="0"/>
        <v>44977</v>
      </c>
      <c r="E43">
        <v>98</v>
      </c>
      <c r="F43" t="s">
        <v>187</v>
      </c>
      <c r="G43">
        <v>994</v>
      </c>
      <c r="H43" t="s">
        <v>1770</v>
      </c>
      <c r="I43" s="19">
        <v>0.83399999999999996</v>
      </c>
      <c r="K43">
        <v>1</v>
      </c>
    </row>
    <row r="44" spans="1:11" x14ac:dyDescent="0.2">
      <c r="A44">
        <v>43</v>
      </c>
      <c r="B44">
        <v>2</v>
      </c>
      <c r="C44" s="7">
        <f t="shared" si="0"/>
        <v>44978</v>
      </c>
      <c r="E44">
        <v>117</v>
      </c>
      <c r="F44" t="s">
        <v>202</v>
      </c>
      <c r="G44">
        <v>153</v>
      </c>
      <c r="H44" t="s">
        <v>1770</v>
      </c>
      <c r="I44" s="19">
        <v>0.86299999999999999</v>
      </c>
      <c r="K44">
        <v>1</v>
      </c>
    </row>
    <row r="45" spans="1:11" x14ac:dyDescent="0.2">
      <c r="A45">
        <v>44</v>
      </c>
      <c r="B45">
        <v>2</v>
      </c>
      <c r="C45" s="7">
        <f t="shared" si="0"/>
        <v>44979</v>
      </c>
      <c r="E45">
        <v>117</v>
      </c>
      <c r="F45" t="s">
        <v>202</v>
      </c>
      <c r="G45">
        <v>154</v>
      </c>
      <c r="H45" t="s">
        <v>1770</v>
      </c>
      <c r="I45" s="19">
        <v>0.95199999999999996</v>
      </c>
      <c r="K45">
        <v>1</v>
      </c>
    </row>
    <row r="46" spans="1:11" x14ac:dyDescent="0.2">
      <c r="A46">
        <v>45</v>
      </c>
      <c r="B46">
        <v>2</v>
      </c>
      <c r="C46" s="7">
        <f t="shared" si="0"/>
        <v>44980</v>
      </c>
      <c r="E46">
        <v>117</v>
      </c>
      <c r="F46" t="s">
        <v>202</v>
      </c>
      <c r="G46">
        <v>155</v>
      </c>
      <c r="H46" t="s">
        <v>1770</v>
      </c>
      <c r="I46" s="19">
        <v>0.94799999999999995</v>
      </c>
      <c r="K46">
        <v>1</v>
      </c>
    </row>
    <row r="47" spans="1:11" x14ac:dyDescent="0.2">
      <c r="A47">
        <v>46</v>
      </c>
      <c r="B47">
        <v>2</v>
      </c>
      <c r="C47" s="7">
        <f t="shared" si="0"/>
        <v>44981</v>
      </c>
      <c r="E47">
        <v>117</v>
      </c>
      <c r="F47" t="s">
        <v>202</v>
      </c>
      <c r="G47">
        <v>156</v>
      </c>
      <c r="H47" t="s">
        <v>1770</v>
      </c>
      <c r="I47" s="19">
        <v>0.81</v>
      </c>
      <c r="K47">
        <v>1</v>
      </c>
    </row>
    <row r="48" spans="1:11" x14ac:dyDescent="0.2">
      <c r="A48">
        <v>47</v>
      </c>
      <c r="B48">
        <v>2</v>
      </c>
      <c r="C48" s="7">
        <f t="shared" si="0"/>
        <v>44982</v>
      </c>
      <c r="E48">
        <v>111</v>
      </c>
      <c r="F48" t="s">
        <v>198</v>
      </c>
      <c r="G48">
        <v>1095</v>
      </c>
      <c r="H48" t="s">
        <v>1770</v>
      </c>
      <c r="I48" s="19">
        <v>0.97099999999999997</v>
      </c>
      <c r="K48">
        <v>1</v>
      </c>
    </row>
    <row r="49" spans="1:11" x14ac:dyDescent="0.2">
      <c r="A49">
        <v>48</v>
      </c>
      <c r="B49">
        <v>2</v>
      </c>
      <c r="C49" s="7">
        <f t="shared" si="0"/>
        <v>44983</v>
      </c>
      <c r="E49">
        <v>111</v>
      </c>
      <c r="F49" t="s">
        <v>198</v>
      </c>
      <c r="G49">
        <v>1096</v>
      </c>
      <c r="H49" t="s">
        <v>1770</v>
      </c>
      <c r="I49" s="19">
        <v>0.86599999999999999</v>
      </c>
      <c r="K49">
        <v>1</v>
      </c>
    </row>
    <row r="50" spans="1:11" x14ac:dyDescent="0.2">
      <c r="A50">
        <v>49</v>
      </c>
      <c r="B50">
        <v>2</v>
      </c>
      <c r="C50" s="7">
        <f t="shared" si="0"/>
        <v>44984</v>
      </c>
      <c r="E50">
        <v>111</v>
      </c>
      <c r="F50" t="s">
        <v>198</v>
      </c>
      <c r="G50">
        <v>1097</v>
      </c>
      <c r="H50" t="s">
        <v>1770</v>
      </c>
      <c r="I50" s="19">
        <v>0.97499999999999998</v>
      </c>
      <c r="K50">
        <v>1</v>
      </c>
    </row>
    <row r="51" spans="1:11" x14ac:dyDescent="0.2">
      <c r="A51">
        <v>50</v>
      </c>
      <c r="B51">
        <v>29</v>
      </c>
      <c r="C51" s="7">
        <v>45030</v>
      </c>
      <c r="E51">
        <v>38</v>
      </c>
      <c r="F51" t="s">
        <v>190</v>
      </c>
      <c r="G51">
        <v>451</v>
      </c>
      <c r="H51" t="s">
        <v>1770</v>
      </c>
      <c r="I51" s="19">
        <v>0.92</v>
      </c>
      <c r="K51">
        <v>1</v>
      </c>
    </row>
    <row r="52" spans="1:11" x14ac:dyDescent="0.2">
      <c r="A52">
        <v>51</v>
      </c>
      <c r="B52">
        <v>29</v>
      </c>
      <c r="C52" s="7">
        <v>45030</v>
      </c>
      <c r="E52">
        <v>39</v>
      </c>
      <c r="F52" t="s">
        <v>145</v>
      </c>
      <c r="G52">
        <v>463</v>
      </c>
      <c r="H52" t="s">
        <v>1770</v>
      </c>
      <c r="I52" s="19">
        <v>0.98</v>
      </c>
      <c r="K52">
        <v>1</v>
      </c>
    </row>
    <row r="53" spans="1:11" x14ac:dyDescent="0.2">
      <c r="A53">
        <v>52</v>
      </c>
      <c r="B53">
        <v>29</v>
      </c>
      <c r="C53" s="7">
        <v>44981</v>
      </c>
      <c r="E53">
        <v>38</v>
      </c>
      <c r="F53" t="s">
        <v>190</v>
      </c>
      <c r="G53">
        <v>283</v>
      </c>
      <c r="H53" t="s">
        <v>1770</v>
      </c>
      <c r="I53" s="19">
        <v>0.995</v>
      </c>
      <c r="K53">
        <v>1</v>
      </c>
    </row>
    <row r="54" spans="1:11" x14ac:dyDescent="0.2">
      <c r="A54">
        <v>53</v>
      </c>
      <c r="B54">
        <v>29</v>
      </c>
      <c r="C54" s="7">
        <v>45028</v>
      </c>
      <c r="E54">
        <v>41</v>
      </c>
      <c r="F54" t="s">
        <v>264</v>
      </c>
      <c r="G54">
        <v>487</v>
      </c>
      <c r="H54" t="s">
        <v>1770</v>
      </c>
      <c r="I54" s="19">
        <v>0.995</v>
      </c>
      <c r="K54">
        <v>1</v>
      </c>
    </row>
    <row r="55" spans="1:11" x14ac:dyDescent="0.2">
      <c r="A55">
        <v>54</v>
      </c>
      <c r="B55">
        <v>29</v>
      </c>
      <c r="C55" s="7">
        <v>45028</v>
      </c>
      <c r="E55">
        <v>42</v>
      </c>
      <c r="F55" t="s">
        <v>265</v>
      </c>
      <c r="G55">
        <v>499</v>
      </c>
      <c r="H55" t="s">
        <v>1770</v>
      </c>
      <c r="I55" s="19">
        <v>0.995</v>
      </c>
      <c r="K55">
        <v>1</v>
      </c>
    </row>
    <row r="56" spans="1:11" x14ac:dyDescent="0.2">
      <c r="A56">
        <v>55</v>
      </c>
      <c r="B56">
        <v>29</v>
      </c>
      <c r="C56" s="7">
        <v>45028</v>
      </c>
      <c r="E56" t="s">
        <v>1857</v>
      </c>
      <c r="F56" s="13" t="s">
        <v>1856</v>
      </c>
      <c r="G56">
        <v>499</v>
      </c>
      <c r="H56" t="s">
        <v>1770</v>
      </c>
      <c r="I56" s="19">
        <v>0.995</v>
      </c>
      <c r="K56">
        <v>1</v>
      </c>
    </row>
  </sheetData>
  <dataValidations count="1">
    <dataValidation type="list" allowBlank="1" showInputMessage="1" showErrorMessage="1" sqref="H2:H56" xr:uid="{0CE3A2C0-D357-144D-8FED-EDFE69C51A4D}">
      <formula1>"PACE, Repeat PACE, Coursework, Essay"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="162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baseColWidth="10" defaultColWidth="11.5" defaultRowHeight="15" x14ac:dyDescent="0.2"/>
  <cols>
    <col min="1" max="1" width="5.33203125" bestFit="1" customWidth="1"/>
    <col min="2" max="2" width="12.33203125" bestFit="1" customWidth="1"/>
  </cols>
  <sheetData>
    <row r="1" spans="1:2" x14ac:dyDescent="0.2">
      <c r="A1" s="3" t="s">
        <v>0</v>
      </c>
      <c r="B1" s="3" t="s">
        <v>94</v>
      </c>
    </row>
    <row r="2" spans="1:2" x14ac:dyDescent="0.2">
      <c r="A2">
        <v>0</v>
      </c>
      <c r="B2" t="s">
        <v>95</v>
      </c>
    </row>
    <row r="3" spans="1:2" x14ac:dyDescent="0.2">
      <c r="A3">
        <v>1</v>
      </c>
      <c r="B3" t="s">
        <v>96</v>
      </c>
    </row>
    <row r="4" spans="1:2" x14ac:dyDescent="0.2">
      <c r="A4">
        <v>2</v>
      </c>
      <c r="B4" t="s">
        <v>1706</v>
      </c>
    </row>
    <row r="5" spans="1:2" x14ac:dyDescent="0.2">
      <c r="A5">
        <v>3</v>
      </c>
      <c r="B5" t="s">
        <v>97</v>
      </c>
    </row>
    <row r="6" spans="1:2" x14ac:dyDescent="0.2">
      <c r="A6">
        <v>4</v>
      </c>
      <c r="B6" t="s">
        <v>98</v>
      </c>
    </row>
  </sheetData>
  <autoFilter ref="A1:B6" xr:uid="{00000000-0009-0000-0000-000002000000}">
    <sortState xmlns:xlrd2="http://schemas.microsoft.com/office/spreadsheetml/2017/richdata2" ref="A2:B6">
      <sortCondition ref="A1:A6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</sheetPr>
  <dimension ref="A1:F9"/>
  <sheetViews>
    <sheetView zoomScale="343" workbookViewId="0">
      <selection activeCell="C10" sqref="C10"/>
    </sheetView>
  </sheetViews>
  <sheetFormatPr baseColWidth="10" defaultColWidth="8.83203125" defaultRowHeight="15" x14ac:dyDescent="0.2"/>
  <cols>
    <col min="1" max="1" width="2.83203125" bestFit="1" customWidth="1"/>
    <col min="2" max="2" width="23.5" customWidth="1"/>
  </cols>
  <sheetData>
    <row r="1" spans="1:6" x14ac:dyDescent="0.2">
      <c r="A1" s="3" t="s">
        <v>0</v>
      </c>
      <c r="B1" s="3" t="s">
        <v>125</v>
      </c>
      <c r="C1" s="3" t="s">
        <v>126</v>
      </c>
      <c r="D1" s="3"/>
      <c r="E1" s="3"/>
      <c r="F1" s="3"/>
    </row>
    <row r="2" spans="1:6" x14ac:dyDescent="0.2">
      <c r="A2">
        <v>1</v>
      </c>
      <c r="B2" t="s">
        <v>127</v>
      </c>
      <c r="C2">
        <v>1</v>
      </c>
    </row>
    <row r="3" spans="1:6" x14ac:dyDescent="0.2">
      <c r="A3">
        <v>2</v>
      </c>
      <c r="B3" t="s">
        <v>128</v>
      </c>
      <c r="C3">
        <v>2</v>
      </c>
    </row>
    <row r="4" spans="1:6" x14ac:dyDescent="0.2">
      <c r="A4">
        <v>3</v>
      </c>
      <c r="B4" t="s">
        <v>129</v>
      </c>
      <c r="C4">
        <v>3</v>
      </c>
    </row>
    <row r="5" spans="1:6" x14ac:dyDescent="0.2">
      <c r="A5">
        <v>4</v>
      </c>
      <c r="B5" t="s">
        <v>130</v>
      </c>
      <c r="C5">
        <v>4</v>
      </c>
    </row>
    <row r="6" spans="1:6" x14ac:dyDescent="0.2">
      <c r="A6">
        <v>5</v>
      </c>
      <c r="B6" t="s">
        <v>131</v>
      </c>
      <c r="C6">
        <v>5</v>
      </c>
    </row>
    <row r="7" spans="1:6" x14ac:dyDescent="0.2">
      <c r="A7">
        <v>6</v>
      </c>
      <c r="B7" t="s">
        <v>132</v>
      </c>
      <c r="C7">
        <v>6</v>
      </c>
    </row>
    <row r="8" spans="1:6" x14ac:dyDescent="0.2">
      <c r="A8">
        <v>7</v>
      </c>
      <c r="B8" t="s">
        <v>133</v>
      </c>
      <c r="C8">
        <v>7</v>
      </c>
    </row>
    <row r="9" spans="1:6" x14ac:dyDescent="0.2">
      <c r="A9">
        <v>8</v>
      </c>
      <c r="B9" t="s">
        <v>134</v>
      </c>
      <c r="C9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14999847407452621"/>
  </sheetPr>
  <dimension ref="A1:E25"/>
  <sheetViews>
    <sheetView zoomScale="258" zoomScaleNormal="17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baseColWidth="10" defaultColWidth="8.83203125" defaultRowHeight="15" x14ac:dyDescent="0.2"/>
  <cols>
    <col min="1" max="1" width="5.33203125" bestFit="1" customWidth="1"/>
    <col min="2" max="2" width="17.1640625" customWidth="1"/>
    <col min="3" max="3" width="10" style="1" customWidth="1"/>
    <col min="4" max="4" width="11.1640625" bestFit="1" customWidth="1"/>
  </cols>
  <sheetData>
    <row r="1" spans="1:5" x14ac:dyDescent="0.2">
      <c r="A1" s="3" t="s">
        <v>0</v>
      </c>
      <c r="B1" s="3" t="s">
        <v>125</v>
      </c>
      <c r="C1" s="4" t="s">
        <v>135</v>
      </c>
      <c r="D1" s="3" t="s">
        <v>136</v>
      </c>
      <c r="E1" s="3" t="s">
        <v>137</v>
      </c>
    </row>
    <row r="2" spans="1:5" x14ac:dyDescent="0.2">
      <c r="A2" s="2">
        <v>1</v>
      </c>
      <c r="B2" t="s">
        <v>138</v>
      </c>
      <c r="C2" s="1" t="s">
        <v>139</v>
      </c>
      <c r="D2" t="s">
        <v>140</v>
      </c>
      <c r="E2" t="s">
        <v>141</v>
      </c>
    </row>
    <row r="3" spans="1:5" x14ac:dyDescent="0.2">
      <c r="A3" s="2">
        <v>2</v>
      </c>
      <c r="B3" t="s">
        <v>142</v>
      </c>
      <c r="C3" s="1" t="s">
        <v>143</v>
      </c>
      <c r="D3" t="s">
        <v>140</v>
      </c>
      <c r="E3" t="s">
        <v>144</v>
      </c>
    </row>
    <row r="4" spans="1:5" x14ac:dyDescent="0.2">
      <c r="A4" s="2">
        <v>3</v>
      </c>
      <c r="B4" t="s">
        <v>145</v>
      </c>
      <c r="C4" s="1" t="s">
        <v>146</v>
      </c>
      <c r="D4" t="s">
        <v>140</v>
      </c>
      <c r="E4" t="s">
        <v>147</v>
      </c>
    </row>
    <row r="5" spans="1:5" x14ac:dyDescent="0.2">
      <c r="A5" s="2">
        <v>4</v>
      </c>
      <c r="B5" t="s">
        <v>148</v>
      </c>
      <c r="C5" s="1" t="s">
        <v>149</v>
      </c>
      <c r="D5" t="s">
        <v>140</v>
      </c>
      <c r="E5" t="s">
        <v>150</v>
      </c>
    </row>
    <row r="6" spans="1:5" x14ac:dyDescent="0.2">
      <c r="A6" s="2">
        <v>5</v>
      </c>
      <c r="B6" t="s">
        <v>151</v>
      </c>
      <c r="C6" s="1" t="s">
        <v>152</v>
      </c>
      <c r="D6" t="s">
        <v>140</v>
      </c>
      <c r="E6" t="s">
        <v>153</v>
      </c>
    </row>
    <row r="7" spans="1:5" x14ac:dyDescent="0.2">
      <c r="A7" s="2">
        <v>6</v>
      </c>
      <c r="B7" t="s">
        <v>154</v>
      </c>
      <c r="C7" s="1" t="s">
        <v>155</v>
      </c>
      <c r="D7" t="s">
        <v>140</v>
      </c>
      <c r="E7" t="s">
        <v>156</v>
      </c>
    </row>
    <row r="8" spans="1:5" x14ac:dyDescent="0.2">
      <c r="A8" s="2">
        <v>7</v>
      </c>
      <c r="B8" t="s">
        <v>157</v>
      </c>
      <c r="C8" s="1" t="s">
        <v>158</v>
      </c>
      <c r="D8" t="s">
        <v>159</v>
      </c>
      <c r="E8" t="s">
        <v>160</v>
      </c>
    </row>
    <row r="9" spans="1:5" x14ac:dyDescent="0.2">
      <c r="A9" s="2">
        <v>8</v>
      </c>
      <c r="B9" t="s">
        <v>161</v>
      </c>
      <c r="C9" s="1" t="s">
        <v>162</v>
      </c>
      <c r="D9" t="s">
        <v>163</v>
      </c>
      <c r="E9" t="s">
        <v>164</v>
      </c>
    </row>
    <row r="10" spans="1:5" x14ac:dyDescent="0.2">
      <c r="A10" s="2">
        <v>9</v>
      </c>
      <c r="B10" t="s">
        <v>131</v>
      </c>
      <c r="C10" s="1" t="s">
        <v>165</v>
      </c>
      <c r="D10" t="s">
        <v>140</v>
      </c>
      <c r="E10" t="s">
        <v>166</v>
      </c>
    </row>
    <row r="11" spans="1:5" x14ac:dyDescent="0.2">
      <c r="A11" s="2">
        <v>10</v>
      </c>
      <c r="B11" t="s">
        <v>167</v>
      </c>
      <c r="C11" s="1" t="s">
        <v>168</v>
      </c>
      <c r="D11" t="s">
        <v>163</v>
      </c>
      <c r="E11" t="s">
        <v>169</v>
      </c>
    </row>
    <row r="12" spans="1:5" x14ac:dyDescent="0.2">
      <c r="A12" s="2"/>
    </row>
    <row r="13" spans="1:5" x14ac:dyDescent="0.2">
      <c r="A13" s="2"/>
    </row>
    <row r="14" spans="1:5" x14ac:dyDescent="0.2">
      <c r="A14" s="2"/>
    </row>
    <row r="15" spans="1:5" x14ac:dyDescent="0.2">
      <c r="A15" s="2"/>
    </row>
    <row r="16" spans="1:5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</sheetData>
  <autoFilter ref="A1:D11" xr:uid="{00000000-0009-0000-0000-000005000000}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zoomScale="27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baseColWidth="10" defaultColWidth="11.5" defaultRowHeight="15" x14ac:dyDescent="0.2"/>
  <cols>
    <col min="1" max="1" width="3.1640625" bestFit="1" customWidth="1"/>
    <col min="2" max="2" width="22.83203125" bestFit="1" customWidth="1"/>
  </cols>
  <sheetData>
    <row r="1" spans="1:2" x14ac:dyDescent="0.2">
      <c r="A1" s="3" t="s">
        <v>0</v>
      </c>
      <c r="B1" s="3" t="s">
        <v>170</v>
      </c>
    </row>
    <row r="2" spans="1:2" x14ac:dyDescent="0.2">
      <c r="A2">
        <v>1</v>
      </c>
      <c r="B2" t="s">
        <v>1756</v>
      </c>
    </row>
    <row r="3" spans="1:2" x14ac:dyDescent="0.2">
      <c r="A3">
        <v>2</v>
      </c>
      <c r="B3" t="s">
        <v>1755</v>
      </c>
    </row>
    <row r="4" spans="1:2" x14ac:dyDescent="0.2">
      <c r="A4">
        <v>3</v>
      </c>
      <c r="B4" t="s">
        <v>171</v>
      </c>
    </row>
    <row r="5" spans="1:2" x14ac:dyDescent="0.2">
      <c r="A5">
        <v>4</v>
      </c>
      <c r="B5" t="s">
        <v>172</v>
      </c>
    </row>
    <row r="6" spans="1:2" x14ac:dyDescent="0.2">
      <c r="A6">
        <v>5</v>
      </c>
      <c r="B6" t="s">
        <v>173</v>
      </c>
    </row>
    <row r="7" spans="1:2" x14ac:dyDescent="0.2">
      <c r="A7">
        <v>6</v>
      </c>
      <c r="B7" t="s">
        <v>174</v>
      </c>
    </row>
    <row r="8" spans="1:2" x14ac:dyDescent="0.2">
      <c r="A8">
        <v>7</v>
      </c>
      <c r="B8" t="s">
        <v>175</v>
      </c>
    </row>
    <row r="9" spans="1:2" x14ac:dyDescent="0.2">
      <c r="A9">
        <v>8</v>
      </c>
      <c r="B9" t="s">
        <v>176</v>
      </c>
    </row>
    <row r="10" spans="1:2" x14ac:dyDescent="0.2">
      <c r="A10">
        <v>9</v>
      </c>
      <c r="B10" t="s">
        <v>1754</v>
      </c>
    </row>
    <row r="11" spans="1:2" x14ac:dyDescent="0.2">
      <c r="A11">
        <v>10</v>
      </c>
      <c r="B11" t="s">
        <v>1757</v>
      </c>
    </row>
    <row r="12" spans="1:2" x14ac:dyDescent="0.2">
      <c r="A12">
        <v>11</v>
      </c>
      <c r="B12" t="s">
        <v>1758</v>
      </c>
    </row>
    <row r="13" spans="1:2" x14ac:dyDescent="0.2">
      <c r="A13">
        <v>12</v>
      </c>
      <c r="B13" t="s">
        <v>1759</v>
      </c>
    </row>
    <row r="14" spans="1:2" x14ac:dyDescent="0.2">
      <c r="A14">
        <v>13</v>
      </c>
      <c r="B14" t="s">
        <v>1760</v>
      </c>
    </row>
    <row r="15" spans="1:2" x14ac:dyDescent="0.2">
      <c r="A15">
        <v>14</v>
      </c>
      <c r="B15" t="s">
        <v>1761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K83"/>
  <sheetViews>
    <sheetView zoomScale="150" workbookViewId="0">
      <pane xSplit="4" ySplit="1" topLeftCell="E51" activePane="bottomRight" state="frozen"/>
      <selection pane="topRight" activeCell="E1" sqref="E1"/>
      <selection pane="bottomLeft" activeCell="A2" sqref="A2"/>
      <selection pane="bottomRight" activeCell="D60" sqref="D60"/>
    </sheetView>
  </sheetViews>
  <sheetFormatPr baseColWidth="10" defaultColWidth="11.5" defaultRowHeight="15" x14ac:dyDescent="0.2"/>
  <cols>
    <col min="1" max="1" width="5.33203125" bestFit="1" customWidth="1"/>
    <col min="2" max="2" width="22.83203125" bestFit="1" customWidth="1"/>
    <col min="3" max="3" width="13.5" bestFit="1" customWidth="1"/>
    <col min="4" max="4" width="25.83203125" style="25" bestFit="1" customWidth="1"/>
    <col min="6" max="6" width="17.83203125" bestFit="1" customWidth="1"/>
    <col min="7" max="7" width="20.1640625" bestFit="1" customWidth="1"/>
    <col min="8" max="8" width="13.5" bestFit="1" customWidth="1"/>
  </cols>
  <sheetData>
    <row r="1" spans="1:11" ht="16" x14ac:dyDescent="0.2">
      <c r="A1" s="3" t="s">
        <v>0</v>
      </c>
      <c r="B1" s="3" t="s">
        <v>170</v>
      </c>
      <c r="C1" s="3" t="s">
        <v>177</v>
      </c>
      <c r="D1" s="14" t="s">
        <v>178</v>
      </c>
      <c r="E1" s="3" t="s">
        <v>179</v>
      </c>
      <c r="F1" s="3" t="s">
        <v>91</v>
      </c>
      <c r="G1" s="3" t="s">
        <v>180</v>
      </c>
      <c r="H1" s="3" t="s">
        <v>181</v>
      </c>
      <c r="I1" s="3" t="s">
        <v>182</v>
      </c>
      <c r="J1" s="3" t="s">
        <v>183</v>
      </c>
      <c r="K1" s="3" t="s">
        <v>1821</v>
      </c>
    </row>
    <row r="2" spans="1:11" ht="16" x14ac:dyDescent="0.2">
      <c r="A2">
        <v>1</v>
      </c>
      <c r="B2" t="str">
        <f>VLOOKUP(C2,ICCE_Certificate!$A$2:$B$10,2, FALSE)</f>
        <v>Advanced</v>
      </c>
      <c r="C2">
        <v>4</v>
      </c>
      <c r="D2" s="25" t="s">
        <v>184</v>
      </c>
      <c r="E2" t="s">
        <v>185</v>
      </c>
      <c r="F2" t="s">
        <v>157</v>
      </c>
      <c r="G2" t="str">
        <f>VLOOKUP(H2, SubjectGroup!$A$2:$B$9, 2, FALSE)</f>
        <v>Christian Studies</v>
      </c>
      <c r="H2">
        <v>1</v>
      </c>
      <c r="I2">
        <v>12</v>
      </c>
    </row>
    <row r="3" spans="1:11" ht="16" x14ac:dyDescent="0.2">
      <c r="A3">
        <v>2</v>
      </c>
      <c r="B3" t="str">
        <f>VLOOKUP(C3,ICCE_Certificate!$A$2:$B$10,2, FALSE)</f>
        <v>Advanced</v>
      </c>
      <c r="C3">
        <v>4</v>
      </c>
      <c r="D3" s="25" t="s">
        <v>186</v>
      </c>
      <c r="E3" t="s">
        <v>185</v>
      </c>
      <c r="G3" t="str">
        <f>VLOOKUP(H3, SubjectGroup!$A$2:$B$9, 2, FALSE)</f>
        <v>Christian Studies</v>
      </c>
      <c r="H3">
        <v>1</v>
      </c>
      <c r="I3">
        <v>6</v>
      </c>
    </row>
    <row r="4" spans="1:11" ht="16" x14ac:dyDescent="0.2">
      <c r="A4">
        <v>3</v>
      </c>
      <c r="B4" t="str">
        <f>VLOOKUP(C4,ICCE_Certificate!$A$2:$B$10,2, FALSE)</f>
        <v>Advanced</v>
      </c>
      <c r="C4">
        <v>4</v>
      </c>
      <c r="D4" s="25" t="s">
        <v>187</v>
      </c>
      <c r="E4" t="s">
        <v>188</v>
      </c>
      <c r="G4" t="str">
        <f>VLOOKUP(H4, SubjectGroup!$A$2:$B$9, 2, FALSE)</f>
        <v>Core Academic Studies</v>
      </c>
      <c r="H4">
        <v>2</v>
      </c>
      <c r="I4">
        <v>12</v>
      </c>
    </row>
    <row r="5" spans="1:11" ht="16" x14ac:dyDescent="0.2">
      <c r="A5">
        <v>4</v>
      </c>
      <c r="B5" t="str">
        <f>VLOOKUP(C5,ICCE_Certificate!$A$2:$B$10,2, FALSE)</f>
        <v>Advanced</v>
      </c>
      <c r="C5">
        <v>4</v>
      </c>
      <c r="D5" s="25" t="s">
        <v>189</v>
      </c>
      <c r="E5" t="s">
        <v>185</v>
      </c>
      <c r="F5" t="s">
        <v>190</v>
      </c>
      <c r="G5" t="str">
        <f>VLOOKUP(H5, SubjectGroup!$A$2:$B$9, 2, FALSE)</f>
        <v>Core Academic Studies</v>
      </c>
      <c r="H5">
        <v>2</v>
      </c>
      <c r="I5">
        <v>12</v>
      </c>
    </row>
    <row r="6" spans="1:11" ht="16" x14ac:dyDescent="0.2">
      <c r="A6">
        <v>5</v>
      </c>
      <c r="B6" t="str">
        <f>VLOOKUP(C6,ICCE_Certificate!$A$2:$B$10,2, FALSE)</f>
        <v>Advanced</v>
      </c>
      <c r="C6">
        <v>4</v>
      </c>
      <c r="D6" s="25" t="s">
        <v>191</v>
      </c>
      <c r="E6" t="s">
        <v>185</v>
      </c>
      <c r="F6" t="s">
        <v>192</v>
      </c>
      <c r="G6" t="str">
        <f>VLOOKUP(H6, SubjectGroup!$A$2:$B$9, 2, FALSE)</f>
        <v>Core Academic Studies</v>
      </c>
      <c r="H6">
        <v>2</v>
      </c>
      <c r="I6">
        <v>12</v>
      </c>
    </row>
    <row r="7" spans="1:11" ht="16" x14ac:dyDescent="0.2">
      <c r="A7">
        <v>6</v>
      </c>
      <c r="B7" t="str">
        <f>VLOOKUP(C7,ICCE_Certificate!$A$2:$B$10,2, FALSE)</f>
        <v>Advanced</v>
      </c>
      <c r="C7">
        <v>4</v>
      </c>
      <c r="D7" s="25" t="s">
        <v>193</v>
      </c>
      <c r="E7" t="s">
        <v>188</v>
      </c>
      <c r="G7" t="str">
        <f>VLOOKUP(H7, SubjectGroup!$A$2:$B$9, 2, FALSE)</f>
        <v>Core Academic Studies</v>
      </c>
      <c r="H7">
        <v>2</v>
      </c>
      <c r="I7">
        <v>12</v>
      </c>
    </row>
    <row r="8" spans="1:11" ht="16" x14ac:dyDescent="0.2">
      <c r="A8">
        <v>7</v>
      </c>
      <c r="B8" t="str">
        <f>VLOOKUP(C8,ICCE_Certificate!$A$2:$B$10,2, FALSE)</f>
        <v>Advanced</v>
      </c>
      <c r="C8">
        <v>4</v>
      </c>
      <c r="D8" s="25" t="s">
        <v>194</v>
      </c>
      <c r="E8" t="s">
        <v>188</v>
      </c>
      <c r="F8" t="s">
        <v>194</v>
      </c>
      <c r="G8" t="str">
        <f>VLOOKUP(H8, SubjectGroup!$A$2:$B$9, 2, FALSE)</f>
        <v>Miscellaneous</v>
      </c>
      <c r="H8">
        <v>8</v>
      </c>
      <c r="I8">
        <v>12</v>
      </c>
    </row>
    <row r="9" spans="1:11" ht="16" x14ac:dyDescent="0.2">
      <c r="A9">
        <v>8</v>
      </c>
      <c r="B9" t="str">
        <f>VLOOKUP(C9,ICCE_Certificate!$A$2:$B$10,2, FALSE)</f>
        <v>Advanced</v>
      </c>
      <c r="C9">
        <v>4</v>
      </c>
      <c r="D9" s="25" t="s">
        <v>195</v>
      </c>
      <c r="E9" t="s">
        <v>185</v>
      </c>
      <c r="F9" t="s">
        <v>133</v>
      </c>
      <c r="G9" t="str">
        <f>VLOOKUP(H9, SubjectGroup!$A$2:$B$9, 2, FALSE)</f>
        <v>Coursework</v>
      </c>
      <c r="H9">
        <v>7</v>
      </c>
      <c r="I9">
        <v>2</v>
      </c>
    </row>
    <row r="10" spans="1:11" ht="16" x14ac:dyDescent="0.2">
      <c r="A10">
        <v>9</v>
      </c>
      <c r="B10" t="str">
        <f>VLOOKUP(C10,ICCE_Certificate!$A$2:$B$10,2, FALSE)</f>
        <v>Advanced</v>
      </c>
      <c r="C10">
        <v>4</v>
      </c>
      <c r="D10" s="25" t="s">
        <v>196</v>
      </c>
      <c r="E10" t="s">
        <v>185</v>
      </c>
      <c r="F10" t="s">
        <v>133</v>
      </c>
      <c r="G10" t="str">
        <f>VLOOKUP(H10, SubjectGroup!$A$2:$B$9, 2, FALSE)</f>
        <v>Coursework</v>
      </c>
      <c r="H10">
        <v>7</v>
      </c>
      <c r="I10">
        <v>2</v>
      </c>
    </row>
    <row r="11" spans="1:11" ht="16" x14ac:dyDescent="0.2">
      <c r="A11">
        <v>10</v>
      </c>
      <c r="B11" t="str">
        <f>VLOOKUP(C11,ICCE_Certificate!$A$2:$B$10,2, FALSE)</f>
        <v>Advanced</v>
      </c>
      <c r="C11">
        <v>4</v>
      </c>
      <c r="D11" s="25" t="s">
        <v>197</v>
      </c>
      <c r="E11" t="s">
        <v>185</v>
      </c>
      <c r="F11" t="s">
        <v>133</v>
      </c>
      <c r="G11" t="str">
        <f>VLOOKUP(H11, SubjectGroup!$A$2:$B$9, 2, FALSE)</f>
        <v>Coursework</v>
      </c>
      <c r="H11">
        <v>7</v>
      </c>
      <c r="I11">
        <v>2</v>
      </c>
    </row>
    <row r="12" spans="1:11" ht="35" customHeight="1" x14ac:dyDescent="0.2">
      <c r="A12">
        <v>11</v>
      </c>
      <c r="B12" t="str">
        <f>VLOOKUP(C12,ICCE_Certificate!$A$2:$B$10,2, FALSE)</f>
        <v>Advanced Maths Bias</v>
      </c>
      <c r="C12">
        <v>6</v>
      </c>
      <c r="D12" s="25" t="s">
        <v>184</v>
      </c>
      <c r="E12" t="s">
        <v>185</v>
      </c>
      <c r="F12" t="s">
        <v>157</v>
      </c>
      <c r="G12" t="str">
        <f>VLOOKUP(H12, SubjectGroup!$A$2:$B$9, 2, FALSE)</f>
        <v>Christian Studies</v>
      </c>
      <c r="H12">
        <v>1</v>
      </c>
      <c r="I12">
        <v>12</v>
      </c>
      <c r="K12">
        <v>10</v>
      </c>
    </row>
    <row r="13" spans="1:11" ht="16" x14ac:dyDescent="0.2">
      <c r="A13">
        <v>12</v>
      </c>
      <c r="B13" t="str">
        <f>VLOOKUP(C13,ICCE_Certificate!$A$2:$B$10,2, FALSE)</f>
        <v>Advanced Maths Bias</v>
      </c>
      <c r="C13">
        <v>6</v>
      </c>
      <c r="D13" s="25" t="s">
        <v>186</v>
      </c>
      <c r="E13" t="s">
        <v>185</v>
      </c>
      <c r="F13" t="s">
        <v>157</v>
      </c>
      <c r="G13" t="str">
        <f>VLOOKUP(H13, SubjectGroup!$A$2:$B$9, 2, FALSE)</f>
        <v>Christian Studies</v>
      </c>
      <c r="H13">
        <v>1</v>
      </c>
      <c r="I13">
        <v>6</v>
      </c>
      <c r="K13">
        <v>11</v>
      </c>
    </row>
    <row r="14" spans="1:11" ht="16" x14ac:dyDescent="0.2">
      <c r="A14">
        <v>13</v>
      </c>
      <c r="B14" t="str">
        <f>VLOOKUP(C14,ICCE_Certificate!$A$2:$B$10,2, FALSE)</f>
        <v>Advanced Maths Bias</v>
      </c>
      <c r="C14">
        <v>6</v>
      </c>
      <c r="D14" s="25" t="s">
        <v>187</v>
      </c>
      <c r="E14" t="s">
        <v>188</v>
      </c>
      <c r="G14" t="str">
        <f>VLOOKUP(H14, SubjectGroup!$A$2:$B$9, 2, FALSE)</f>
        <v>Core Academic Studies</v>
      </c>
      <c r="H14">
        <v>2</v>
      </c>
      <c r="I14">
        <v>12</v>
      </c>
      <c r="K14">
        <v>1</v>
      </c>
    </row>
    <row r="15" spans="1:11" ht="16" x14ac:dyDescent="0.2">
      <c r="A15">
        <v>14</v>
      </c>
      <c r="B15" t="str">
        <f>VLOOKUP(C15,ICCE_Certificate!$A$2:$B$10,2, FALSE)</f>
        <v>Advanced Maths Bias</v>
      </c>
      <c r="C15">
        <v>6</v>
      </c>
      <c r="D15" s="25" t="s">
        <v>198</v>
      </c>
      <c r="E15" t="s">
        <v>188</v>
      </c>
      <c r="G15" t="str">
        <f>VLOOKUP(H15, SubjectGroup!$A$2:$B$9, 2, FALSE)</f>
        <v>Core Academic Studies</v>
      </c>
      <c r="H15">
        <v>2</v>
      </c>
      <c r="I15">
        <v>6</v>
      </c>
      <c r="K15">
        <f t="shared" ref="K15:K21" si="0">K14+1</f>
        <v>2</v>
      </c>
    </row>
    <row r="16" spans="1:11" ht="16" x14ac:dyDescent="0.2">
      <c r="A16">
        <v>15</v>
      </c>
      <c r="B16" t="str">
        <f>VLOOKUP(C16,ICCE_Certificate!$A$2:$B$10,2, FALSE)</f>
        <v>Advanced Maths Bias</v>
      </c>
      <c r="C16">
        <v>6</v>
      </c>
      <c r="D16" s="25" t="s">
        <v>199</v>
      </c>
      <c r="E16" t="s">
        <v>188</v>
      </c>
      <c r="G16" t="str">
        <f>VLOOKUP(H16, SubjectGroup!$A$2:$B$9, 2, FALSE)</f>
        <v>Core Academic Studies</v>
      </c>
      <c r="H16">
        <v>2</v>
      </c>
      <c r="I16">
        <v>6</v>
      </c>
      <c r="K16">
        <f t="shared" si="0"/>
        <v>3</v>
      </c>
    </row>
    <row r="17" spans="1:11" ht="16" x14ac:dyDescent="0.2">
      <c r="A17">
        <v>16</v>
      </c>
      <c r="B17" t="str">
        <f>VLOOKUP(C17,ICCE_Certificate!$A$2:$B$10,2, FALSE)</f>
        <v>Advanced Maths Bias</v>
      </c>
      <c r="C17">
        <v>6</v>
      </c>
      <c r="D17" s="25" t="s">
        <v>200</v>
      </c>
      <c r="E17" t="s">
        <v>188</v>
      </c>
      <c r="G17" t="str">
        <f>VLOOKUP(H17, SubjectGroup!$A$2:$B$9, 2, FALSE)</f>
        <v>Core Academic Studies</v>
      </c>
      <c r="H17">
        <v>2</v>
      </c>
      <c r="I17">
        <v>12</v>
      </c>
      <c r="K17">
        <f t="shared" si="0"/>
        <v>4</v>
      </c>
    </row>
    <row r="18" spans="1:11" ht="16" x14ac:dyDescent="0.2">
      <c r="A18">
        <v>17</v>
      </c>
      <c r="B18" t="str">
        <f>VLOOKUP(C18,ICCE_Certificate!$A$2:$B$10,2, FALSE)</f>
        <v>Advanced Maths Bias</v>
      </c>
      <c r="C18">
        <v>6</v>
      </c>
      <c r="D18" s="25" t="s">
        <v>201</v>
      </c>
      <c r="E18" t="s">
        <v>188</v>
      </c>
      <c r="G18" t="str">
        <f>VLOOKUP(H18, SubjectGroup!$A$2:$B$9, 2, FALSE)</f>
        <v>Core Academic Studies</v>
      </c>
      <c r="H18">
        <v>2</v>
      </c>
      <c r="I18">
        <v>12</v>
      </c>
      <c r="K18">
        <f t="shared" si="0"/>
        <v>5</v>
      </c>
    </row>
    <row r="19" spans="1:11" ht="16" x14ac:dyDescent="0.2">
      <c r="A19">
        <v>18</v>
      </c>
      <c r="B19" t="str">
        <f>VLOOKUP(C19,ICCE_Certificate!$A$2:$B$10,2, FALSE)</f>
        <v>Advanced Maths Bias</v>
      </c>
      <c r="C19">
        <v>6</v>
      </c>
      <c r="D19" s="25" t="s">
        <v>202</v>
      </c>
      <c r="E19" t="s">
        <v>188</v>
      </c>
      <c r="G19" t="str">
        <f>VLOOKUP(H19, SubjectGroup!$A$2:$B$9, 2, FALSE)</f>
        <v>Core Academic Studies</v>
      </c>
      <c r="H19">
        <v>2</v>
      </c>
      <c r="I19">
        <v>12</v>
      </c>
      <c r="K19">
        <v>7</v>
      </c>
    </row>
    <row r="20" spans="1:11" ht="16" x14ac:dyDescent="0.2">
      <c r="A20">
        <v>19</v>
      </c>
      <c r="B20" t="str">
        <f>VLOOKUP(C20,ICCE_Certificate!$A$2:$B$10,2, FALSE)</f>
        <v>Advanced Maths Bias</v>
      </c>
      <c r="C20">
        <v>6</v>
      </c>
      <c r="D20" s="25" t="s">
        <v>203</v>
      </c>
      <c r="E20" t="s">
        <v>185</v>
      </c>
      <c r="F20" t="s">
        <v>203</v>
      </c>
      <c r="G20" t="str">
        <f>VLOOKUP(H20, SubjectGroup!$A$2:$B$9, 2, FALSE)</f>
        <v>Core Expanded Studies</v>
      </c>
      <c r="H20">
        <v>3</v>
      </c>
      <c r="I20">
        <v>12</v>
      </c>
      <c r="K20">
        <v>12</v>
      </c>
    </row>
    <row r="21" spans="1:11" ht="16" x14ac:dyDescent="0.2">
      <c r="A21">
        <v>20</v>
      </c>
      <c r="B21" t="str">
        <f>VLOOKUP(C21,ICCE_Certificate!$A$2:$B$10,2, FALSE)</f>
        <v>Advanced Maths Bias</v>
      </c>
      <c r="C21">
        <v>6</v>
      </c>
      <c r="D21" s="25" t="s">
        <v>194</v>
      </c>
      <c r="E21" t="s">
        <v>185</v>
      </c>
      <c r="F21" t="s">
        <v>194</v>
      </c>
      <c r="G21" t="str">
        <f>VLOOKUP(H21, SubjectGroup!$A$2:$B$9, 2, FALSE)</f>
        <v>Core Academic Studies</v>
      </c>
      <c r="H21">
        <v>2</v>
      </c>
      <c r="I21">
        <v>12</v>
      </c>
      <c r="K21">
        <f t="shared" si="0"/>
        <v>13</v>
      </c>
    </row>
    <row r="22" spans="1:11" ht="16" x14ac:dyDescent="0.2">
      <c r="A22">
        <v>21</v>
      </c>
      <c r="B22" t="str">
        <f>VLOOKUP(C22,ICCE_Certificate!$A$2:$B$10,2, FALSE)</f>
        <v>Advanced Maths Bias</v>
      </c>
      <c r="C22">
        <v>6</v>
      </c>
      <c r="D22" s="25" t="s">
        <v>195</v>
      </c>
      <c r="E22" t="s">
        <v>185</v>
      </c>
      <c r="F22" t="s">
        <v>133</v>
      </c>
      <c r="G22" t="str">
        <f>VLOOKUP(H22, SubjectGroup!$A$2:$B$9, 2, FALSE)</f>
        <v>Coursework</v>
      </c>
      <c r="H22">
        <v>7</v>
      </c>
      <c r="I22">
        <v>2</v>
      </c>
      <c r="K22">
        <v>6</v>
      </c>
    </row>
    <row r="23" spans="1:11" ht="16" x14ac:dyDescent="0.2">
      <c r="A23">
        <v>22</v>
      </c>
      <c r="B23" t="str">
        <f>VLOOKUP(C23,ICCE_Certificate!$A$2:$B$10,2, FALSE)</f>
        <v>Advanced Maths Bias</v>
      </c>
      <c r="C23">
        <v>6</v>
      </c>
      <c r="D23" s="25" t="s">
        <v>196</v>
      </c>
      <c r="E23" t="s">
        <v>185</v>
      </c>
      <c r="F23" t="s">
        <v>133</v>
      </c>
      <c r="G23" t="str">
        <f>VLOOKUP(H23, SubjectGroup!$A$2:$B$9, 2, FALSE)</f>
        <v>Coursework</v>
      </c>
      <c r="H23">
        <v>7</v>
      </c>
      <c r="I23">
        <v>2</v>
      </c>
      <c r="K23">
        <v>8</v>
      </c>
    </row>
    <row r="24" spans="1:11" ht="16" x14ac:dyDescent="0.2">
      <c r="A24">
        <v>23</v>
      </c>
      <c r="B24" t="str">
        <f>VLOOKUP(C24,ICCE_Certificate!$A$2:$B$10,2, FALSE)</f>
        <v>Advanced Maths Bias</v>
      </c>
      <c r="C24">
        <v>6</v>
      </c>
      <c r="D24" s="25" t="s">
        <v>197</v>
      </c>
      <c r="E24" t="s">
        <v>185</v>
      </c>
      <c r="F24" t="s">
        <v>133</v>
      </c>
      <c r="G24" t="str">
        <f>VLOOKUP(H24, SubjectGroup!$A$2:$B$9, 2, FALSE)</f>
        <v>Coursework</v>
      </c>
      <c r="H24">
        <v>7</v>
      </c>
      <c r="I24">
        <v>2</v>
      </c>
      <c r="K24">
        <v>9</v>
      </c>
    </row>
    <row r="25" spans="1:11" ht="16" x14ac:dyDescent="0.2">
      <c r="A25">
        <v>24</v>
      </c>
      <c r="B25" t="str">
        <f>VLOOKUP(C25,ICCE_Certificate!$A$2:$B$10,2, FALSE)</f>
        <v>Advanced Social Studies Bias</v>
      </c>
      <c r="C25">
        <v>7</v>
      </c>
      <c r="D25" s="25" t="s">
        <v>184</v>
      </c>
      <c r="E25" t="s">
        <v>185</v>
      </c>
      <c r="F25" t="s">
        <v>157</v>
      </c>
      <c r="G25" t="str">
        <f>VLOOKUP(H25, SubjectGroup!$A$2:$B$9, 2, FALSE)</f>
        <v>Christian Studies</v>
      </c>
      <c r="H25">
        <v>1</v>
      </c>
      <c r="I25">
        <v>12</v>
      </c>
    </row>
    <row r="26" spans="1:11" ht="16" x14ac:dyDescent="0.2">
      <c r="A26">
        <v>25</v>
      </c>
      <c r="B26" t="str">
        <f>VLOOKUP(C26,ICCE_Certificate!$A$2:$B$10,2, FALSE)</f>
        <v>Advanced Social Studies Bias</v>
      </c>
      <c r="C26">
        <v>7</v>
      </c>
      <c r="D26" s="25" t="s">
        <v>186</v>
      </c>
      <c r="E26" t="s">
        <v>188</v>
      </c>
      <c r="G26" t="str">
        <f>VLOOKUP(H26, SubjectGroup!$A$2:$B$9, 2, FALSE)</f>
        <v>Christian Studies</v>
      </c>
      <c r="H26">
        <v>1</v>
      </c>
      <c r="I26">
        <v>6</v>
      </c>
    </row>
    <row r="27" spans="1:11" ht="16" x14ac:dyDescent="0.2">
      <c r="A27">
        <v>26</v>
      </c>
      <c r="B27" t="str">
        <f>VLOOKUP(C27,ICCE_Certificate!$A$2:$B$10,2, FALSE)</f>
        <v>Advanced Social Studies Bias</v>
      </c>
      <c r="C27">
        <v>7</v>
      </c>
      <c r="D27" s="25" t="s">
        <v>204</v>
      </c>
      <c r="E27" t="s">
        <v>188</v>
      </c>
      <c r="G27" t="str">
        <f>VLOOKUP(H27, SubjectGroup!$A$2:$B$9, 2, FALSE)</f>
        <v>Core Academic Studies</v>
      </c>
      <c r="H27">
        <v>2</v>
      </c>
      <c r="I27">
        <v>12</v>
      </c>
    </row>
    <row r="28" spans="1:11" ht="16" x14ac:dyDescent="0.2">
      <c r="A28">
        <v>27</v>
      </c>
      <c r="B28" t="str">
        <f>VLOOKUP(C28,ICCE_Certificate!$A$2:$B$10,2, FALSE)</f>
        <v>Advanced Social Studies Bias</v>
      </c>
      <c r="C28">
        <v>7</v>
      </c>
      <c r="D28" s="26" t="s">
        <v>205</v>
      </c>
      <c r="E28" t="s">
        <v>188</v>
      </c>
      <c r="G28" t="str">
        <f>VLOOKUP(H28, SubjectGroup!$A$2:$B$9, 2, FALSE)</f>
        <v>Core Academic Studies</v>
      </c>
      <c r="H28">
        <v>2</v>
      </c>
      <c r="I28">
        <v>12</v>
      </c>
      <c r="J28" t="s">
        <v>206</v>
      </c>
    </row>
    <row r="29" spans="1:11" ht="16" x14ac:dyDescent="0.2">
      <c r="A29">
        <v>28</v>
      </c>
      <c r="B29" t="str">
        <f>VLOOKUP(C29,ICCE_Certificate!$A$2:$B$10,2, FALSE)</f>
        <v>Advanced Social Studies Bias</v>
      </c>
      <c r="C29">
        <v>7</v>
      </c>
      <c r="D29" s="25" t="s">
        <v>193</v>
      </c>
      <c r="E29" t="s">
        <v>188</v>
      </c>
      <c r="G29" t="str">
        <f>VLOOKUP(H29, SubjectGroup!$A$2:$B$9, 2, FALSE)</f>
        <v>Core Academic Studies</v>
      </c>
      <c r="H29">
        <v>2</v>
      </c>
      <c r="I29">
        <v>12</v>
      </c>
    </row>
    <row r="30" spans="1:11" ht="16" x14ac:dyDescent="0.2">
      <c r="A30">
        <v>29</v>
      </c>
      <c r="B30" t="str">
        <f>VLOOKUP(C30,ICCE_Certificate!$A$2:$B$10,2, FALSE)</f>
        <v>Advanced Social Studies Bias</v>
      </c>
      <c r="C30">
        <v>7</v>
      </c>
      <c r="D30" s="26" t="s">
        <v>207</v>
      </c>
      <c r="E30" t="s">
        <v>188</v>
      </c>
      <c r="G30" t="str">
        <f>VLOOKUP(H30, SubjectGroup!$A$2:$B$9, 2, FALSE)</f>
        <v>Core Academic Studies</v>
      </c>
      <c r="H30">
        <v>2</v>
      </c>
      <c r="I30">
        <v>12</v>
      </c>
      <c r="J30" t="s">
        <v>208</v>
      </c>
    </row>
    <row r="31" spans="1:11" ht="16" x14ac:dyDescent="0.2">
      <c r="A31">
        <v>30</v>
      </c>
      <c r="B31" t="str">
        <f>VLOOKUP(C31,ICCE_Certificate!$A$2:$B$10,2, FALSE)</f>
        <v>Advanced Social Studies Bias</v>
      </c>
      <c r="C31">
        <v>7</v>
      </c>
      <c r="D31" s="25" t="s">
        <v>194</v>
      </c>
      <c r="E31" t="s">
        <v>185</v>
      </c>
      <c r="F31" t="s">
        <v>194</v>
      </c>
      <c r="G31" t="str">
        <f>VLOOKUP(H31, SubjectGroup!$A$2:$B$9, 2, FALSE)</f>
        <v>Miscellaneous</v>
      </c>
      <c r="H31">
        <v>8</v>
      </c>
      <c r="I31">
        <v>12</v>
      </c>
    </row>
    <row r="32" spans="1:11" ht="16" x14ac:dyDescent="0.2">
      <c r="A32">
        <v>31</v>
      </c>
      <c r="B32" t="str">
        <f>VLOOKUP(C32,ICCE_Certificate!$A$2:$B$10,2, FALSE)</f>
        <v>Advanced Social Studies Bias</v>
      </c>
      <c r="C32">
        <v>7</v>
      </c>
      <c r="D32" s="25" t="s">
        <v>195</v>
      </c>
      <c r="E32" t="s">
        <v>185</v>
      </c>
      <c r="F32" t="s">
        <v>133</v>
      </c>
      <c r="G32" t="str">
        <f>VLOOKUP(H32, SubjectGroup!$A$2:$B$9, 2, FALSE)</f>
        <v>Coursework</v>
      </c>
      <c r="H32">
        <v>7</v>
      </c>
      <c r="I32">
        <v>2</v>
      </c>
    </row>
    <row r="33" spans="1:9" ht="16" x14ac:dyDescent="0.2">
      <c r="A33">
        <v>32</v>
      </c>
      <c r="B33" t="str">
        <f>VLOOKUP(C33,ICCE_Certificate!$A$2:$B$10,2, FALSE)</f>
        <v>Advanced Social Studies Bias</v>
      </c>
      <c r="C33">
        <v>7</v>
      </c>
      <c r="D33" s="25" t="s">
        <v>196</v>
      </c>
      <c r="E33" t="s">
        <v>185</v>
      </c>
      <c r="F33" t="s">
        <v>133</v>
      </c>
      <c r="G33" t="str">
        <f>VLOOKUP(H33, SubjectGroup!$A$2:$B$9, 2, FALSE)</f>
        <v>Coursework</v>
      </c>
      <c r="H33">
        <v>7</v>
      </c>
      <c r="I33">
        <v>2</v>
      </c>
    </row>
    <row r="34" spans="1:9" ht="16" x14ac:dyDescent="0.2">
      <c r="A34">
        <v>33</v>
      </c>
      <c r="B34" t="str">
        <f>VLOOKUP(C34,ICCE_Certificate!$A$2:$B$10,2, FALSE)</f>
        <v>Advanced Social Studies Bias</v>
      </c>
      <c r="C34">
        <v>7</v>
      </c>
      <c r="D34" s="25" t="s">
        <v>197</v>
      </c>
      <c r="E34" t="s">
        <v>185</v>
      </c>
      <c r="F34" t="s">
        <v>133</v>
      </c>
      <c r="G34" t="str">
        <f>VLOOKUP(H34, SubjectGroup!$A$2:$B$9, 2, FALSE)</f>
        <v>Coursework</v>
      </c>
      <c r="H34">
        <v>7</v>
      </c>
      <c r="I34">
        <v>2</v>
      </c>
    </row>
    <row r="35" spans="1:9" ht="16" x14ac:dyDescent="0.2">
      <c r="A35">
        <v>34</v>
      </c>
      <c r="B35" t="str">
        <f>VLOOKUP(C35,ICCE_Certificate!$A$2:$B$10,2, FALSE)</f>
        <v>Advanced Science Bias</v>
      </c>
      <c r="C35">
        <v>8</v>
      </c>
      <c r="D35" s="25" t="s">
        <v>184</v>
      </c>
      <c r="E35" t="s">
        <v>185</v>
      </c>
      <c r="G35" t="str">
        <f>VLOOKUP(H35, SubjectGroup!$A$2:$B$9, 2, FALSE)</f>
        <v>Christian Studies</v>
      </c>
      <c r="H35">
        <v>1</v>
      </c>
      <c r="I35">
        <v>12</v>
      </c>
    </row>
    <row r="36" spans="1:9" ht="16" x14ac:dyDescent="0.2">
      <c r="A36">
        <v>35</v>
      </c>
      <c r="B36" t="str">
        <f>VLOOKUP(C36,ICCE_Certificate!$A$2:$B$10,2, FALSE)</f>
        <v>Advanced Science Bias</v>
      </c>
      <c r="C36">
        <v>8</v>
      </c>
      <c r="D36" s="25" t="s">
        <v>186</v>
      </c>
      <c r="E36" t="s">
        <v>188</v>
      </c>
      <c r="G36" t="str">
        <f>VLOOKUP(H36, SubjectGroup!$A$2:$B$9, 2, FALSE)</f>
        <v>Christian Studies</v>
      </c>
      <c r="H36">
        <v>1</v>
      </c>
      <c r="I36">
        <v>6</v>
      </c>
    </row>
    <row r="37" spans="1:9" ht="16" x14ac:dyDescent="0.2">
      <c r="A37">
        <v>36</v>
      </c>
      <c r="B37" t="str">
        <f>VLOOKUP(C37,ICCE_Certificate!$A$2:$B$10,2, FALSE)</f>
        <v>Advanced Science Bias</v>
      </c>
      <c r="C37">
        <v>8</v>
      </c>
      <c r="D37" s="25" t="s">
        <v>187</v>
      </c>
      <c r="E37" t="s">
        <v>188</v>
      </c>
      <c r="G37" t="str">
        <f>VLOOKUP(H37, SubjectGroup!$A$2:$B$9, 2, FALSE)</f>
        <v>Core Academic Studies</v>
      </c>
      <c r="H37">
        <v>2</v>
      </c>
      <c r="I37">
        <v>12</v>
      </c>
    </row>
    <row r="38" spans="1:9" ht="16" x14ac:dyDescent="0.2">
      <c r="A38">
        <v>37</v>
      </c>
      <c r="B38" t="str">
        <f>VLOOKUP(C38,ICCE_Certificate!$A$2:$B$10,2, FALSE)</f>
        <v>Advanced Science Bias</v>
      </c>
      <c r="C38">
        <v>8</v>
      </c>
      <c r="D38" s="25" t="s">
        <v>198</v>
      </c>
      <c r="E38" t="s">
        <v>188</v>
      </c>
      <c r="G38" t="str">
        <f>VLOOKUP(H38, SubjectGroup!$A$2:$B$9, 2, FALSE)</f>
        <v>Core Academic Studies</v>
      </c>
      <c r="H38">
        <v>2</v>
      </c>
      <c r="I38">
        <v>6</v>
      </c>
    </row>
    <row r="39" spans="1:9" ht="16" x14ac:dyDescent="0.2">
      <c r="A39">
        <v>38</v>
      </c>
      <c r="B39" t="str">
        <f>VLOOKUP(C39,ICCE_Certificate!$A$2:$B$10,2, FALSE)</f>
        <v>Advanced Science Bias</v>
      </c>
      <c r="C39">
        <v>8</v>
      </c>
      <c r="D39" s="25" t="s">
        <v>199</v>
      </c>
      <c r="E39" t="s">
        <v>188</v>
      </c>
      <c r="G39" t="str">
        <f>VLOOKUP(H39, SubjectGroup!$A$2:$B$9, 2, FALSE)</f>
        <v>Core Academic Studies</v>
      </c>
      <c r="H39">
        <v>2</v>
      </c>
      <c r="I39">
        <v>6</v>
      </c>
    </row>
    <row r="40" spans="1:9" ht="16" x14ac:dyDescent="0.2">
      <c r="A40">
        <v>39</v>
      </c>
      <c r="B40" t="str">
        <f>VLOOKUP(C40,ICCE_Certificate!$A$2:$B$10,2, FALSE)</f>
        <v>Advanced Science Bias</v>
      </c>
      <c r="C40">
        <v>8</v>
      </c>
      <c r="D40" s="25" t="s">
        <v>192</v>
      </c>
      <c r="E40" t="s">
        <v>188</v>
      </c>
      <c r="G40" t="str">
        <f>VLOOKUP(H40, SubjectGroup!$A$2:$B$9, 2, FALSE)</f>
        <v>Core Academic Studies</v>
      </c>
      <c r="H40">
        <v>2</v>
      </c>
      <c r="I40">
        <v>12</v>
      </c>
    </row>
    <row r="41" spans="1:9" ht="16" x14ac:dyDescent="0.2">
      <c r="A41">
        <v>40</v>
      </c>
      <c r="B41" t="str">
        <f>VLOOKUP(C41,ICCE_Certificate!$A$2:$B$10,2, FALSE)</f>
        <v>Advanced Science Bias</v>
      </c>
      <c r="C41">
        <v>8</v>
      </c>
      <c r="D41" s="25" t="s">
        <v>202</v>
      </c>
      <c r="E41" t="s">
        <v>188</v>
      </c>
      <c r="G41" t="str">
        <f>VLOOKUP(H41, SubjectGroup!$A$2:$B$9, 2, FALSE)</f>
        <v>Core Academic Studies</v>
      </c>
      <c r="H41">
        <v>2</v>
      </c>
      <c r="I41">
        <v>12</v>
      </c>
    </row>
    <row r="42" spans="1:9" ht="16" x14ac:dyDescent="0.2">
      <c r="A42">
        <v>41</v>
      </c>
      <c r="B42" t="str">
        <f>VLOOKUP(C42,ICCE_Certificate!$A$2:$B$10,2, FALSE)</f>
        <v>Advanced Science Bias</v>
      </c>
      <c r="C42">
        <v>8</v>
      </c>
      <c r="D42" s="25" t="s">
        <v>209</v>
      </c>
      <c r="E42" t="s">
        <v>188</v>
      </c>
      <c r="G42" t="str">
        <f>VLOOKUP(H42, SubjectGroup!$A$2:$B$9, 2, FALSE)</f>
        <v>Core Academic Studies</v>
      </c>
      <c r="H42">
        <v>2</v>
      </c>
      <c r="I42">
        <v>12</v>
      </c>
    </row>
    <row r="43" spans="1:9" ht="16" x14ac:dyDescent="0.2">
      <c r="A43">
        <v>42</v>
      </c>
      <c r="B43" t="str">
        <f>VLOOKUP(C43,ICCE_Certificate!$A$2:$B$10,2, FALSE)</f>
        <v>Advanced Science Bias</v>
      </c>
      <c r="C43">
        <v>8</v>
      </c>
      <c r="D43" s="25" t="s">
        <v>194</v>
      </c>
      <c r="E43" t="s">
        <v>188</v>
      </c>
      <c r="G43" t="str">
        <f>VLOOKUP(H43, SubjectGroup!$A$2:$B$9, 2, FALSE)</f>
        <v>Miscellaneous</v>
      </c>
      <c r="H43">
        <v>8</v>
      </c>
      <c r="I43">
        <v>12</v>
      </c>
    </row>
    <row r="44" spans="1:9" ht="16" x14ac:dyDescent="0.2">
      <c r="A44">
        <v>43</v>
      </c>
      <c r="B44" t="str">
        <f>VLOOKUP(C44,ICCE_Certificate!$A$2:$B$10,2, FALSE)</f>
        <v>Advanced Science Bias</v>
      </c>
      <c r="C44">
        <v>8</v>
      </c>
      <c r="D44" s="25" t="s">
        <v>195</v>
      </c>
      <c r="E44" t="s">
        <v>185</v>
      </c>
      <c r="F44" t="s">
        <v>133</v>
      </c>
      <c r="G44" t="str">
        <f>VLOOKUP(H44, SubjectGroup!$A$2:$B$9, 2, FALSE)</f>
        <v>Coursework</v>
      </c>
      <c r="H44">
        <v>7</v>
      </c>
      <c r="I44">
        <v>2</v>
      </c>
    </row>
    <row r="45" spans="1:9" ht="16" x14ac:dyDescent="0.2">
      <c r="A45">
        <v>44</v>
      </c>
      <c r="B45" t="str">
        <f>VLOOKUP(C45,ICCE_Certificate!$A$2:$B$10,2, FALSE)</f>
        <v>Advanced Science Bias</v>
      </c>
      <c r="C45">
        <v>8</v>
      </c>
      <c r="D45" s="25" t="s">
        <v>196</v>
      </c>
      <c r="E45" t="s">
        <v>185</v>
      </c>
      <c r="F45" t="s">
        <v>133</v>
      </c>
      <c r="G45" t="str">
        <f>VLOOKUP(H45, SubjectGroup!$A$2:$B$9, 2, FALSE)</f>
        <v>Coursework</v>
      </c>
      <c r="H45">
        <v>7</v>
      </c>
      <c r="I45">
        <v>2</v>
      </c>
    </row>
    <row r="46" spans="1:9" ht="16" x14ac:dyDescent="0.2">
      <c r="A46">
        <v>45</v>
      </c>
      <c r="B46" t="str">
        <f>VLOOKUP(C46,ICCE_Certificate!$A$2:$B$10,2, FALSE)</f>
        <v>Advanced Science Bias</v>
      </c>
      <c r="C46">
        <v>8</v>
      </c>
      <c r="D46" s="25" t="s">
        <v>197</v>
      </c>
      <c r="E46" t="s">
        <v>185</v>
      </c>
      <c r="F46" t="s">
        <v>133</v>
      </c>
      <c r="G46" t="str">
        <f>VLOOKUP(H46, SubjectGroup!$A$2:$B$9, 2, FALSE)</f>
        <v>Coursework</v>
      </c>
      <c r="H46">
        <v>7</v>
      </c>
      <c r="I46">
        <v>2</v>
      </c>
    </row>
    <row r="47" spans="1:9" ht="16" x14ac:dyDescent="0.2">
      <c r="A47">
        <v>46</v>
      </c>
      <c r="B47" t="str">
        <f>VLOOKUP(C47,ICCE_Certificate!$A$2:$B$20,2, FALSE)</f>
        <v>Vocational Level 7</v>
      </c>
      <c r="C47">
        <v>1</v>
      </c>
      <c r="D47" s="25" t="s">
        <v>267</v>
      </c>
      <c r="E47" t="s">
        <v>188</v>
      </c>
      <c r="G47" t="str">
        <f>VLOOKUP(H47, SubjectGroup!$A$2:$B$9, 2, FALSE)</f>
        <v>Core Academic Studies</v>
      </c>
      <c r="H47">
        <v>2</v>
      </c>
      <c r="I47">
        <v>12</v>
      </c>
    </row>
    <row r="48" spans="1:9" ht="16" x14ac:dyDescent="0.2">
      <c r="A48">
        <v>47</v>
      </c>
      <c r="B48" t="str">
        <f>VLOOKUP(C48,ICCE_Certificate!$A$2:$B$20,2, FALSE)</f>
        <v>Vocational Level 7</v>
      </c>
      <c r="C48">
        <v>1</v>
      </c>
      <c r="D48" s="25" t="s">
        <v>268</v>
      </c>
      <c r="E48" t="s">
        <v>188</v>
      </c>
      <c r="G48" t="str">
        <f>VLOOKUP(H48, SubjectGroup!$A$2:$B$9, 2, FALSE)</f>
        <v>Core Academic Studies</v>
      </c>
      <c r="H48">
        <v>2</v>
      </c>
      <c r="I48">
        <v>12</v>
      </c>
    </row>
    <row r="49" spans="1:9" ht="16" x14ac:dyDescent="0.2">
      <c r="A49">
        <v>48</v>
      </c>
      <c r="B49" t="str">
        <f>VLOOKUP(C49,ICCE_Certificate!$A$2:$B$20,2, FALSE)</f>
        <v>Vocational Level 7</v>
      </c>
      <c r="C49">
        <v>1</v>
      </c>
      <c r="D49" s="25" t="s">
        <v>269</v>
      </c>
      <c r="E49" t="s">
        <v>188</v>
      </c>
      <c r="G49" t="str">
        <f>VLOOKUP(H49, SubjectGroup!$A$2:$B$9, 2, FALSE)</f>
        <v>Core Academic Studies</v>
      </c>
      <c r="H49">
        <v>2</v>
      </c>
      <c r="I49">
        <v>12</v>
      </c>
    </row>
    <row r="50" spans="1:9" ht="16" x14ac:dyDescent="0.2">
      <c r="A50">
        <v>49</v>
      </c>
      <c r="B50" t="str">
        <f>VLOOKUP(C50,ICCE_Certificate!$A$2:$B$20,2, FALSE)</f>
        <v>Vocational Level 7</v>
      </c>
      <c r="C50">
        <v>1</v>
      </c>
      <c r="D50" s="25" t="s">
        <v>271</v>
      </c>
      <c r="E50" t="s">
        <v>188</v>
      </c>
      <c r="G50" t="str">
        <f>VLOOKUP(H50, SubjectGroup!$A$2:$B$9, 2, FALSE)</f>
        <v>Core Academic Studies</v>
      </c>
      <c r="H50">
        <v>2</v>
      </c>
      <c r="I50">
        <v>12</v>
      </c>
    </row>
    <row r="51" spans="1:9" ht="16" x14ac:dyDescent="0.2">
      <c r="A51">
        <v>50</v>
      </c>
      <c r="B51" t="str">
        <f>VLOOKUP(C51,ICCE_Certificate!$A$2:$B$20,2, FALSE)</f>
        <v>Vocational Level 7</v>
      </c>
      <c r="C51">
        <v>1</v>
      </c>
      <c r="D51" s="25" t="s">
        <v>272</v>
      </c>
      <c r="E51" t="s">
        <v>188</v>
      </c>
      <c r="G51" t="str">
        <f>VLOOKUP(H51, SubjectGroup!$A$2:$B$9, 2, FALSE)</f>
        <v>Core Academic Studies</v>
      </c>
      <c r="H51">
        <v>2</v>
      </c>
      <c r="I51">
        <v>6</v>
      </c>
    </row>
    <row r="52" spans="1:9" ht="16" x14ac:dyDescent="0.2">
      <c r="A52">
        <v>51</v>
      </c>
      <c r="B52" t="str">
        <f>VLOOKUP(C52,ICCE_Certificate!$A$2:$B$20,2, FALSE)</f>
        <v>Vocational Level 7</v>
      </c>
      <c r="C52">
        <v>1</v>
      </c>
      <c r="D52" s="25" t="s">
        <v>274</v>
      </c>
      <c r="E52" t="s">
        <v>188</v>
      </c>
      <c r="G52" t="str">
        <f>VLOOKUP(H52, SubjectGroup!$A$2:$B$9, 2, FALSE)</f>
        <v>Core Academic Studies</v>
      </c>
      <c r="H52">
        <v>2</v>
      </c>
      <c r="I52">
        <v>12</v>
      </c>
    </row>
    <row r="53" spans="1:9" ht="16" x14ac:dyDescent="0.2">
      <c r="A53">
        <v>52</v>
      </c>
      <c r="B53" t="str">
        <f>VLOOKUP(C53,ICCE_Certificate!$A$2:$B$20,2, FALSE)</f>
        <v>Vocational Level 7</v>
      </c>
      <c r="C53">
        <v>1</v>
      </c>
      <c r="D53" s="25" t="s">
        <v>275</v>
      </c>
      <c r="E53" t="s">
        <v>188</v>
      </c>
      <c r="G53" t="str">
        <f>VLOOKUP(H53, SubjectGroup!$A$2:$B$9, 2, FALSE)</f>
        <v>Core Academic Studies</v>
      </c>
      <c r="H53">
        <v>2</v>
      </c>
      <c r="I53">
        <v>6</v>
      </c>
    </row>
    <row r="54" spans="1:9" ht="16" x14ac:dyDescent="0.2">
      <c r="A54">
        <v>53</v>
      </c>
      <c r="B54" t="str">
        <f>VLOOKUP(C54,ICCE_Certificate!$A$2:$B$20,2, FALSE)</f>
        <v>Vocational Level 7</v>
      </c>
      <c r="C54">
        <v>1</v>
      </c>
      <c r="D54" s="25" t="s">
        <v>276</v>
      </c>
      <c r="E54" t="s">
        <v>188</v>
      </c>
      <c r="G54" t="str">
        <f>VLOOKUP(H54, SubjectGroup!$A$2:$B$9, 2, FALSE)</f>
        <v>Core Academic Studies</v>
      </c>
      <c r="H54">
        <v>2</v>
      </c>
      <c r="I54">
        <v>3</v>
      </c>
    </row>
    <row r="55" spans="1:9" ht="16" x14ac:dyDescent="0.2">
      <c r="A55">
        <v>54</v>
      </c>
      <c r="B55" t="str">
        <f>VLOOKUP(C55,ICCE_Certificate!$A$2:$B$20,2, FALSE)</f>
        <v>General Level 8</v>
      </c>
      <c r="C55">
        <v>9</v>
      </c>
      <c r="D55" s="25" t="s">
        <v>278</v>
      </c>
      <c r="E55" t="s">
        <v>188</v>
      </c>
      <c r="G55" t="str">
        <f>VLOOKUP(H55, SubjectGroup!$A$2:$B$9, 2, FALSE)</f>
        <v>Core Academic Studies</v>
      </c>
      <c r="H55">
        <v>2</v>
      </c>
      <c r="I55">
        <v>12</v>
      </c>
    </row>
    <row r="56" spans="1:9" ht="16" x14ac:dyDescent="0.2">
      <c r="A56">
        <v>55</v>
      </c>
      <c r="B56" t="str">
        <f>VLOOKUP(C56,ICCE_Certificate!$A$2:$B$20,2, FALSE)</f>
        <v>General Level 8</v>
      </c>
      <c r="C56">
        <v>9</v>
      </c>
      <c r="D56" s="25" t="s">
        <v>280</v>
      </c>
      <c r="E56" t="s">
        <v>188</v>
      </c>
      <c r="G56" t="str">
        <f>VLOOKUP(H56, SubjectGroup!$A$2:$B$9, 2, FALSE)</f>
        <v>Core Academic Studies</v>
      </c>
      <c r="H56">
        <v>2</v>
      </c>
      <c r="I56">
        <v>12</v>
      </c>
    </row>
    <row r="57" spans="1:9" ht="16" x14ac:dyDescent="0.2">
      <c r="A57">
        <v>56</v>
      </c>
      <c r="B57" t="str">
        <f>VLOOKUP(C57,ICCE_Certificate!$A$2:$B$20,2, FALSE)</f>
        <v>General Level 8</v>
      </c>
      <c r="C57">
        <v>9</v>
      </c>
      <c r="D57" s="25" t="s">
        <v>281</v>
      </c>
      <c r="E57" t="s">
        <v>188</v>
      </c>
      <c r="G57" t="str">
        <f>VLOOKUP(H57, SubjectGroup!$A$2:$B$9, 2, FALSE)</f>
        <v>Core Academic Studies</v>
      </c>
      <c r="H57">
        <v>2</v>
      </c>
      <c r="I57">
        <v>12</v>
      </c>
    </row>
    <row r="58" spans="1:9" ht="16" x14ac:dyDescent="0.2">
      <c r="A58">
        <v>57</v>
      </c>
      <c r="B58" t="str">
        <f>VLOOKUP(C58,ICCE_Certificate!$A$2:$B$20,2, FALSE)</f>
        <v>General Level 8</v>
      </c>
      <c r="C58">
        <v>9</v>
      </c>
      <c r="D58" s="25" t="s">
        <v>282</v>
      </c>
      <c r="E58" t="s">
        <v>188</v>
      </c>
      <c r="G58" t="str">
        <f>VLOOKUP(H58, SubjectGroup!$A$2:$B$9, 2, FALSE)</f>
        <v>Core Academic Studies</v>
      </c>
      <c r="H58">
        <v>2</v>
      </c>
      <c r="I58">
        <v>6</v>
      </c>
    </row>
    <row r="59" spans="1:9" ht="16" x14ac:dyDescent="0.2">
      <c r="A59">
        <v>58</v>
      </c>
      <c r="B59" t="str">
        <f>VLOOKUP(C59,ICCE_Certificate!$A$2:$B$20,2, FALSE)</f>
        <v>General Level 8</v>
      </c>
      <c r="C59">
        <v>9</v>
      </c>
      <c r="D59" s="25" t="s">
        <v>1765</v>
      </c>
      <c r="E59" t="s">
        <v>188</v>
      </c>
      <c r="G59" t="str">
        <f>VLOOKUP(H59, SubjectGroup!$A$2:$B$9, 2, FALSE)</f>
        <v>Core Academic Studies</v>
      </c>
      <c r="H59">
        <v>2</v>
      </c>
      <c r="I59">
        <v>12</v>
      </c>
    </row>
    <row r="60" spans="1:9" ht="32" x14ac:dyDescent="0.2">
      <c r="A60">
        <v>59</v>
      </c>
      <c r="B60" t="str">
        <f>VLOOKUP(C60,ICCE_Certificate!$A$2:$B$20,2, FALSE)</f>
        <v>General Level 8</v>
      </c>
      <c r="C60">
        <v>9</v>
      </c>
      <c r="D60" s="25" t="s">
        <v>1766</v>
      </c>
      <c r="E60" t="s">
        <v>185</v>
      </c>
      <c r="F60" t="s">
        <v>194</v>
      </c>
      <c r="G60" t="str">
        <f>VLOOKUP(H60, SubjectGroup!$A$2:$B$9, 2, FALSE)</f>
        <v>Core Academic Studies</v>
      </c>
      <c r="H60">
        <v>2</v>
      </c>
      <c r="I60">
        <v>12</v>
      </c>
    </row>
    <row r="61" spans="1:9" ht="16" x14ac:dyDescent="0.2">
      <c r="A61">
        <v>60</v>
      </c>
      <c r="B61" t="str">
        <f>VLOOKUP(C61,ICCE_Certificate!$A$2:$B$20,2, FALSE)</f>
        <v>General Level 8</v>
      </c>
      <c r="C61">
        <v>9</v>
      </c>
      <c r="D61" s="25" t="s">
        <v>288</v>
      </c>
      <c r="E61" t="s">
        <v>188</v>
      </c>
      <c r="G61" t="str">
        <f>VLOOKUP(H61, SubjectGroup!$A$2:$B$9, 2, FALSE)</f>
        <v>Christian Studies</v>
      </c>
      <c r="H61">
        <v>1</v>
      </c>
      <c r="I61">
        <v>12</v>
      </c>
    </row>
    <row r="62" spans="1:9" x14ac:dyDescent="0.2">
      <c r="A62">
        <v>61</v>
      </c>
      <c r="B62" t="str">
        <f>VLOOKUP(C62,ICCE_Certificate!$A$2:$B$20,2, FALSE)</f>
        <v>General Level 9</v>
      </c>
      <c r="C62">
        <v>2</v>
      </c>
      <c r="D62" t="s">
        <v>290</v>
      </c>
      <c r="E62" t="s">
        <v>188</v>
      </c>
      <c r="G62" t="str">
        <f>VLOOKUP(H62, SubjectGroup!$A$2:$B$9, 2, FALSE)</f>
        <v>Core Academic Studies</v>
      </c>
      <c r="H62">
        <v>2</v>
      </c>
      <c r="I62">
        <v>12</v>
      </c>
    </row>
    <row r="63" spans="1:9" x14ac:dyDescent="0.2">
      <c r="A63">
        <v>62</v>
      </c>
      <c r="B63" t="str">
        <f>VLOOKUP(C63,ICCE_Certificate!$A$2:$B$20,2, FALSE)</f>
        <v>General Level 9</v>
      </c>
      <c r="C63">
        <v>2</v>
      </c>
      <c r="D63" t="s">
        <v>292</v>
      </c>
      <c r="E63" t="s">
        <v>188</v>
      </c>
      <c r="G63" t="str">
        <f>VLOOKUP(H63, SubjectGroup!$A$2:$B$9, 2, FALSE)</f>
        <v>Core Academic Studies</v>
      </c>
      <c r="H63">
        <v>2</v>
      </c>
      <c r="I63">
        <v>12</v>
      </c>
    </row>
    <row r="64" spans="1:9" x14ac:dyDescent="0.2">
      <c r="A64">
        <v>63</v>
      </c>
      <c r="B64" t="str">
        <f>VLOOKUP(C64,ICCE_Certificate!$A$2:$B$20,2, FALSE)</f>
        <v>General Level 9</v>
      </c>
      <c r="C64">
        <v>2</v>
      </c>
      <c r="D64" t="s">
        <v>303</v>
      </c>
      <c r="E64" t="s">
        <v>188</v>
      </c>
      <c r="G64" t="str">
        <f>VLOOKUP(H64, SubjectGroup!$A$2:$B$9, 2, FALSE)</f>
        <v>Core Academic Studies</v>
      </c>
      <c r="H64">
        <v>2</v>
      </c>
      <c r="I64">
        <v>12</v>
      </c>
    </row>
    <row r="65" spans="1:10" x14ac:dyDescent="0.2">
      <c r="A65">
        <v>64</v>
      </c>
      <c r="B65" t="str">
        <f>VLOOKUP(C65,ICCE_Certificate!$A$2:$B$20,2, FALSE)</f>
        <v>General Level 9</v>
      </c>
      <c r="C65">
        <v>2</v>
      </c>
      <c r="D65" s="20" t="s">
        <v>1769</v>
      </c>
      <c r="E65" t="s">
        <v>185</v>
      </c>
      <c r="G65" t="str">
        <f>VLOOKUP(H65, SubjectGroup!$A$2:$B$9, 2, FALSE)</f>
        <v>Core Academic Studies</v>
      </c>
      <c r="H65">
        <v>2</v>
      </c>
      <c r="I65">
        <v>6</v>
      </c>
    </row>
    <row r="66" spans="1:10" x14ac:dyDescent="0.2">
      <c r="A66">
        <v>65</v>
      </c>
      <c r="B66" t="str">
        <f>VLOOKUP(C66,ICCE_Certificate!$A$2:$B$20,2, FALSE)</f>
        <v>General Level 9</v>
      </c>
      <c r="C66">
        <v>2</v>
      </c>
      <c r="D66" t="s">
        <v>318</v>
      </c>
      <c r="E66" t="s">
        <v>188</v>
      </c>
      <c r="G66" t="str">
        <f>VLOOKUP(H66, SubjectGroup!$A$2:$B$9, 2, FALSE)</f>
        <v>Core Academic Studies</v>
      </c>
      <c r="H66">
        <v>2</v>
      </c>
      <c r="I66">
        <v>12</v>
      </c>
    </row>
    <row r="67" spans="1:10" x14ac:dyDescent="0.2">
      <c r="A67">
        <v>66</v>
      </c>
      <c r="B67" t="str">
        <f>VLOOKUP(C67,ICCE_Certificate!$A$2:$B$20,2, FALSE)</f>
        <v>General Level 9</v>
      </c>
      <c r="C67">
        <v>2</v>
      </c>
      <c r="D67" t="s">
        <v>327</v>
      </c>
      <c r="E67" t="s">
        <v>188</v>
      </c>
      <c r="G67" t="str">
        <f>VLOOKUP(H67, SubjectGroup!$A$2:$B$9, 2, FALSE)</f>
        <v>Core Academic Studies</v>
      </c>
      <c r="H67">
        <v>2</v>
      </c>
      <c r="I67">
        <v>12</v>
      </c>
    </row>
    <row r="68" spans="1:10" x14ac:dyDescent="0.2">
      <c r="A68">
        <v>67</v>
      </c>
      <c r="B68" t="str">
        <f>VLOOKUP(C68,ICCE_Certificate!$A$2:$B$20,2, FALSE)</f>
        <v>General Level 9</v>
      </c>
      <c r="C68">
        <v>2</v>
      </c>
      <c r="D68" t="s">
        <v>329</v>
      </c>
      <c r="E68" t="s">
        <v>185</v>
      </c>
      <c r="F68" t="s">
        <v>157</v>
      </c>
      <c r="G68" t="str">
        <f>VLOOKUP(H68, SubjectGroup!$A$2:$B$9, 2, FALSE)</f>
        <v>Christian Studies</v>
      </c>
      <c r="H68">
        <v>1</v>
      </c>
      <c r="I68">
        <v>6</v>
      </c>
      <c r="J68" t="s">
        <v>1961</v>
      </c>
    </row>
    <row r="69" spans="1:10" x14ac:dyDescent="0.2">
      <c r="A69">
        <v>68</v>
      </c>
      <c r="B69" t="str">
        <f>VLOOKUP(C69,ICCE_Certificate!$A$2:$B$20,2, FALSE)</f>
        <v>General Level 9</v>
      </c>
      <c r="C69">
        <v>2</v>
      </c>
      <c r="D69" t="s">
        <v>333</v>
      </c>
      <c r="E69" t="s">
        <v>188</v>
      </c>
      <c r="F69" t="s">
        <v>157</v>
      </c>
      <c r="G69" t="str">
        <f>VLOOKUP(H69, SubjectGroup!$A$2:$B$9, 2, FALSE)</f>
        <v>Christian Studies</v>
      </c>
      <c r="H69">
        <v>1</v>
      </c>
      <c r="I69">
        <v>12</v>
      </c>
    </row>
    <row r="70" spans="1:10" ht="16" x14ac:dyDescent="0.2">
      <c r="A70">
        <v>69</v>
      </c>
      <c r="B70" t="str">
        <f>VLOOKUP(C70,ICCE_Certificate!$A$2:$B$20,2, FALSE)</f>
        <v>General Level 9</v>
      </c>
      <c r="C70">
        <v>2</v>
      </c>
      <c r="D70" s="25" t="s">
        <v>194</v>
      </c>
      <c r="E70" t="s">
        <v>185</v>
      </c>
      <c r="F70" t="s">
        <v>194</v>
      </c>
      <c r="G70" t="str">
        <f>VLOOKUP(H70, SubjectGroup!$A$2:$B$9, 2, FALSE)</f>
        <v>Core Academic Studies</v>
      </c>
      <c r="H70">
        <v>2</v>
      </c>
      <c r="I70">
        <v>12</v>
      </c>
    </row>
    <row r="71" spans="1:10" ht="16" x14ac:dyDescent="0.2">
      <c r="A71">
        <v>70</v>
      </c>
      <c r="B71" t="str">
        <f>VLOOKUP(C71,ICCE_Certificate!$A$2:$B$20,2, FALSE)</f>
        <v>General Level 9</v>
      </c>
      <c r="C71">
        <v>2</v>
      </c>
      <c r="D71" s="25" t="s">
        <v>195</v>
      </c>
      <c r="E71" t="s">
        <v>185</v>
      </c>
      <c r="F71" t="s">
        <v>133</v>
      </c>
      <c r="G71" t="str">
        <f>VLOOKUP(H71, SubjectGroup!$A$2:$B$9, 2, FALSE)</f>
        <v>Core Academic Studies</v>
      </c>
      <c r="H71">
        <v>2</v>
      </c>
      <c r="I71">
        <v>3</v>
      </c>
    </row>
    <row r="72" spans="1:10" ht="16" x14ac:dyDescent="0.2">
      <c r="A72">
        <v>71</v>
      </c>
      <c r="B72" t="str">
        <f>VLOOKUP(C72,ICCE_Certificate!$A$2:$B$20,2, FALSE)</f>
        <v>General Level 9</v>
      </c>
      <c r="C72">
        <v>2</v>
      </c>
      <c r="D72" s="25" t="s">
        <v>196</v>
      </c>
      <c r="E72" t="s">
        <v>185</v>
      </c>
      <c r="F72" t="s">
        <v>133</v>
      </c>
      <c r="G72" t="str">
        <f>VLOOKUP(H72, SubjectGroup!$A$2:$B$9, 2, FALSE)</f>
        <v>Coursework</v>
      </c>
      <c r="H72">
        <v>7</v>
      </c>
      <c r="I72">
        <v>3</v>
      </c>
    </row>
    <row r="73" spans="1:10" x14ac:dyDescent="0.2">
      <c r="A73">
        <v>72</v>
      </c>
      <c r="B73" t="str">
        <f>VLOOKUP(C73,ICCE_Certificate!$A$2:$B$20,2, FALSE)</f>
        <v>Intermediate</v>
      </c>
      <c r="C73">
        <v>3</v>
      </c>
      <c r="D73" t="s">
        <v>340</v>
      </c>
      <c r="E73" t="s">
        <v>188</v>
      </c>
      <c r="G73" t="str">
        <f>VLOOKUP(H73, SubjectGroup!$A$2:$B$9, 2, FALSE)</f>
        <v>Core Academic Studies</v>
      </c>
      <c r="H73">
        <v>2</v>
      </c>
      <c r="I73">
        <v>12</v>
      </c>
    </row>
    <row r="74" spans="1:10" x14ac:dyDescent="0.2">
      <c r="A74">
        <v>73</v>
      </c>
      <c r="B74" t="str">
        <f>VLOOKUP(C74,ICCE_Certificate!$A$2:$B$20,2, FALSE)</f>
        <v>Intermediate</v>
      </c>
      <c r="C74">
        <v>3</v>
      </c>
      <c r="D74" t="s">
        <v>342</v>
      </c>
      <c r="E74" t="s">
        <v>188</v>
      </c>
      <c r="G74" t="str">
        <f>VLOOKUP(H74, SubjectGroup!$A$2:$B$9, 2, FALSE)</f>
        <v>Core Academic Studies</v>
      </c>
      <c r="H74">
        <v>2</v>
      </c>
      <c r="I74">
        <v>12</v>
      </c>
    </row>
    <row r="75" spans="1:10" x14ac:dyDescent="0.2">
      <c r="A75">
        <v>74</v>
      </c>
      <c r="B75" t="str">
        <f>VLOOKUP(C75,ICCE_Certificate!$A$2:$B$20,2, FALSE)</f>
        <v>Intermediate</v>
      </c>
      <c r="C75">
        <v>3</v>
      </c>
      <c r="D75" t="s">
        <v>351</v>
      </c>
      <c r="E75" t="s">
        <v>188</v>
      </c>
      <c r="G75" t="str">
        <f>VLOOKUP(H75, SubjectGroup!$A$2:$B$9, 2, FALSE)</f>
        <v>Christian Studies</v>
      </c>
      <c r="H75">
        <v>1</v>
      </c>
      <c r="I75">
        <v>6</v>
      </c>
      <c r="J75" t="s">
        <v>1962</v>
      </c>
    </row>
    <row r="76" spans="1:10" x14ac:dyDescent="0.2">
      <c r="A76">
        <v>75</v>
      </c>
      <c r="B76" t="str">
        <f>VLOOKUP(C76,ICCE_Certificate!$A$2:$B$20,2, FALSE)</f>
        <v>Intermediate</v>
      </c>
      <c r="C76">
        <v>3</v>
      </c>
      <c r="D76" t="s">
        <v>356</v>
      </c>
      <c r="E76" t="s">
        <v>188</v>
      </c>
      <c r="G76" t="str">
        <f>VLOOKUP(H76, SubjectGroup!$A$2:$B$9, 2, FALSE)</f>
        <v>Christian Studies</v>
      </c>
      <c r="H76">
        <v>1</v>
      </c>
      <c r="I76">
        <v>12</v>
      </c>
    </row>
    <row r="77" spans="1:10" x14ac:dyDescent="0.2">
      <c r="A77">
        <v>76</v>
      </c>
      <c r="B77" t="str">
        <f>VLOOKUP(C77,ICCE_Certificate!$A$2:$B$20,2, FALSE)</f>
        <v>Intermediate</v>
      </c>
      <c r="C77">
        <v>3</v>
      </c>
      <c r="D77" t="s">
        <v>346</v>
      </c>
      <c r="E77" t="s">
        <v>188</v>
      </c>
      <c r="G77" t="str">
        <f>VLOOKUP(H77, SubjectGroup!$A$2:$B$9, 2, FALSE)</f>
        <v>Core Academic Studies</v>
      </c>
      <c r="H77">
        <v>2</v>
      </c>
      <c r="I77">
        <v>12</v>
      </c>
    </row>
    <row r="78" spans="1:10" x14ac:dyDescent="0.2">
      <c r="A78">
        <v>77</v>
      </c>
      <c r="B78" t="str">
        <f>VLOOKUP(C78,ICCE_Certificate!$A$2:$B$20,2, FALSE)</f>
        <v>Intermediate</v>
      </c>
      <c r="C78">
        <v>3</v>
      </c>
      <c r="D78" t="s">
        <v>349</v>
      </c>
      <c r="E78" t="s">
        <v>188</v>
      </c>
      <c r="G78" t="str">
        <f>VLOOKUP(H78, SubjectGroup!$A$2:$B$9, 2, FALSE)</f>
        <v>Core Academic Studies</v>
      </c>
      <c r="H78">
        <v>2</v>
      </c>
      <c r="I78">
        <v>12</v>
      </c>
    </row>
    <row r="79" spans="1:10" ht="16" x14ac:dyDescent="0.2">
      <c r="A79">
        <v>78</v>
      </c>
      <c r="B79" t="str">
        <f>VLOOKUP(C79,ICCE_Certificate!$A$2:$B$20,2, FALSE)</f>
        <v>Intermediate</v>
      </c>
      <c r="C79">
        <v>3</v>
      </c>
      <c r="D79" s="25" t="s">
        <v>194</v>
      </c>
      <c r="E79" t="s">
        <v>185</v>
      </c>
      <c r="F79" t="s">
        <v>194</v>
      </c>
      <c r="G79" t="str">
        <f>VLOOKUP(H79, SubjectGroup!$A$2:$B$9, 2, FALSE)</f>
        <v>Core Academic Studies</v>
      </c>
      <c r="H79">
        <v>2</v>
      </c>
      <c r="I79">
        <v>12</v>
      </c>
    </row>
    <row r="80" spans="1:10" ht="16" x14ac:dyDescent="0.2">
      <c r="A80">
        <v>79</v>
      </c>
      <c r="B80" t="str">
        <f>VLOOKUP(C80,ICCE_Certificate!$A$2:$B$20,2, FALSE)</f>
        <v>Intermediate</v>
      </c>
      <c r="C80">
        <v>3</v>
      </c>
      <c r="D80" s="25" t="s">
        <v>194</v>
      </c>
      <c r="E80" t="s">
        <v>185</v>
      </c>
      <c r="F80" t="s">
        <v>194</v>
      </c>
      <c r="G80" t="str">
        <f>VLOOKUP(H80, SubjectGroup!$A$2:$B$9, 2, FALSE)</f>
        <v>Applied Studies</v>
      </c>
      <c r="H80">
        <v>4</v>
      </c>
      <c r="I80">
        <v>12</v>
      </c>
    </row>
    <row r="81" spans="1:9" ht="16" x14ac:dyDescent="0.2">
      <c r="A81">
        <v>80</v>
      </c>
      <c r="B81" t="str">
        <f>VLOOKUP(C81,ICCE_Certificate!$A$2:$B$20,2, FALSE)</f>
        <v>Intermediate</v>
      </c>
      <c r="C81">
        <v>3</v>
      </c>
      <c r="D81" s="25" t="s">
        <v>195</v>
      </c>
      <c r="E81" t="s">
        <v>185</v>
      </c>
      <c r="G81" t="str">
        <f>VLOOKUP(H81, SubjectGroup!$A$2:$B$9, 2, FALSE)</f>
        <v>Coursework</v>
      </c>
      <c r="H81">
        <v>7</v>
      </c>
      <c r="I81">
        <v>2</v>
      </c>
    </row>
    <row r="82" spans="1:9" ht="16" x14ac:dyDescent="0.2">
      <c r="A82">
        <v>81</v>
      </c>
      <c r="B82" t="str">
        <f>VLOOKUP(C82,ICCE_Certificate!$A$2:$B$20,2, FALSE)</f>
        <v>Intermediate</v>
      </c>
      <c r="C82">
        <v>3</v>
      </c>
      <c r="D82" s="25" t="s">
        <v>196</v>
      </c>
      <c r="E82" t="s">
        <v>185</v>
      </c>
      <c r="G82" t="str">
        <f>VLOOKUP(H82, SubjectGroup!$A$2:$B$9, 2, FALSE)</f>
        <v>Coursework</v>
      </c>
      <c r="H82">
        <v>7</v>
      </c>
      <c r="I82">
        <v>2</v>
      </c>
    </row>
    <row r="83" spans="1:9" ht="16" x14ac:dyDescent="0.2">
      <c r="A83">
        <v>82</v>
      </c>
      <c r="B83" t="str">
        <f>VLOOKUP(C83,ICCE_Certificate!$A$2:$B$20,2, FALSE)</f>
        <v>Intermediate</v>
      </c>
      <c r="C83">
        <v>3</v>
      </c>
      <c r="D83" s="25" t="s">
        <v>197</v>
      </c>
      <c r="E83" t="s">
        <v>185</v>
      </c>
      <c r="G83" t="str">
        <f>VLOOKUP(H83, SubjectGroup!$A$2:$B$9, 2, FALSE)</f>
        <v>Coursework</v>
      </c>
      <c r="H83">
        <v>7</v>
      </c>
      <c r="I83">
        <v>2</v>
      </c>
    </row>
  </sheetData>
  <autoFilter ref="A1:J46" xr:uid="{B8F99A41-B0A0-1540-8105-18916843A4F7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theme="4"/>
  </sheetPr>
  <dimension ref="A1:T154"/>
  <sheetViews>
    <sheetView tabSelected="1" zoomScale="136" zoomScaleNormal="115" workbookViewId="0">
      <pane xSplit="3" ySplit="1" topLeftCell="D22" activePane="bottomRight" state="frozen"/>
      <selection pane="topRight" activeCell="C1" sqref="C1"/>
      <selection pane="bottomLeft" activeCell="A2" sqref="A2"/>
      <selection pane="bottomRight" activeCell="K154" sqref="K154"/>
    </sheetView>
  </sheetViews>
  <sheetFormatPr baseColWidth="10" defaultColWidth="11.5" defaultRowHeight="15" x14ac:dyDescent="0.2"/>
  <cols>
    <col min="1" max="1" width="5.33203125" bestFit="1" customWidth="1"/>
    <col min="2" max="2" width="14" bestFit="1" customWidth="1"/>
    <col min="3" max="3" width="30.5" bestFit="1" customWidth="1"/>
    <col min="4" max="4" width="30.5" customWidth="1"/>
    <col min="5" max="5" width="7.83203125" bestFit="1" customWidth="1"/>
    <col min="6" max="6" width="9.33203125" customWidth="1"/>
    <col min="7" max="9" width="6.33203125" customWidth="1"/>
    <col min="10" max="10" width="7" bestFit="1" customWidth="1"/>
    <col min="11" max="11" width="14.5" bestFit="1" customWidth="1"/>
    <col min="12" max="12" width="14.5" customWidth="1"/>
    <col min="13" max="13" width="33.6640625" style="25" customWidth="1"/>
    <col min="16" max="16" width="21.6640625" bestFit="1" customWidth="1"/>
    <col min="17" max="17" width="17.83203125" bestFit="1" customWidth="1"/>
    <col min="18" max="18" width="30.6640625" bestFit="1" customWidth="1"/>
    <col min="19" max="19" width="14.1640625" customWidth="1"/>
  </cols>
  <sheetData>
    <row r="1" spans="1:19" ht="48" x14ac:dyDescent="0.2">
      <c r="A1" s="14" t="s">
        <v>0</v>
      </c>
      <c r="B1" s="14"/>
      <c r="C1" s="14" t="s">
        <v>210</v>
      </c>
      <c r="D1" s="14" t="s">
        <v>1963</v>
      </c>
      <c r="E1" s="14" t="s">
        <v>211</v>
      </c>
      <c r="F1" s="21" t="s">
        <v>212</v>
      </c>
      <c r="G1" s="21" t="s">
        <v>213</v>
      </c>
      <c r="H1" s="21" t="s">
        <v>1851</v>
      </c>
      <c r="I1" s="21" t="s">
        <v>182</v>
      </c>
      <c r="J1" s="14" t="s">
        <v>214</v>
      </c>
      <c r="K1" s="14" t="s">
        <v>215</v>
      </c>
      <c r="L1" s="14" t="s">
        <v>216</v>
      </c>
      <c r="M1" s="14" t="s">
        <v>92</v>
      </c>
      <c r="N1" s="14" t="s">
        <v>217</v>
      </c>
      <c r="O1" s="14" t="s">
        <v>181</v>
      </c>
      <c r="P1" s="14" t="s">
        <v>180</v>
      </c>
      <c r="Q1" s="14" t="s">
        <v>218</v>
      </c>
      <c r="R1" s="14" t="s">
        <v>436</v>
      </c>
      <c r="S1" s="14" t="s">
        <v>439</v>
      </c>
    </row>
    <row r="2" spans="1:19" hidden="1" x14ac:dyDescent="0.2">
      <c r="A2">
        <v>1</v>
      </c>
      <c r="C2" t="s">
        <v>219</v>
      </c>
      <c r="E2">
        <v>0</v>
      </c>
      <c r="F2">
        <v>1</v>
      </c>
      <c r="G2">
        <v>12</v>
      </c>
      <c r="H2">
        <f>G2-F2+1</f>
        <v>12</v>
      </c>
      <c r="I2">
        <v>12</v>
      </c>
      <c r="J2">
        <v>1</v>
      </c>
      <c r="K2" t="str">
        <f>VLOOKUP(J2, Subject!$A$2:$B$15, 2, FALSE)</f>
        <v>Maths</v>
      </c>
      <c r="L2" t="str">
        <f>VLOOKUP(J2, Subject!$A$2:$E$11, 5, FALSE)</f>
        <v>MA</v>
      </c>
      <c r="M2"/>
      <c r="N2" t="s">
        <v>220</v>
      </c>
      <c r="O2">
        <v>2</v>
      </c>
      <c r="P2" t="str">
        <f>VLOOKUP(O2, SubjectGroup!$A$2:$B$8, 2, FALSE)</f>
        <v>Core Academic Studies</v>
      </c>
      <c r="Q2" t="s">
        <v>221</v>
      </c>
      <c r="R2" t="str">
        <f>C2</f>
        <v>Maths Reading Readiness</v>
      </c>
      <c r="S2">
        <v>0.8</v>
      </c>
    </row>
    <row r="3" spans="1:19" hidden="1" x14ac:dyDescent="0.2">
      <c r="A3">
        <v>2</v>
      </c>
      <c r="C3" t="s">
        <v>222</v>
      </c>
      <c r="E3">
        <v>1</v>
      </c>
      <c r="F3">
        <v>1</v>
      </c>
      <c r="G3">
        <v>12</v>
      </c>
      <c r="H3">
        <f t="shared" ref="H3:H66" si="0">G3-F3+1</f>
        <v>12</v>
      </c>
      <c r="I3">
        <v>12</v>
      </c>
      <c r="J3">
        <v>1</v>
      </c>
      <c r="K3" t="str">
        <f>VLOOKUP(J3, Subject!$A$2:$B$15, 2, FALSE)</f>
        <v>Maths</v>
      </c>
      <c r="L3" t="str">
        <f>VLOOKUP(J3, Subject!$A$2:$E$11, 5, FALSE)</f>
        <v>MA</v>
      </c>
      <c r="M3"/>
      <c r="N3" t="s">
        <v>141</v>
      </c>
      <c r="O3">
        <v>2</v>
      </c>
      <c r="P3" t="str">
        <f>VLOOKUP(O3, SubjectGroup!$A$2:$B$8, 2, FALSE)</f>
        <v>Core Academic Studies</v>
      </c>
      <c r="Q3" t="s">
        <v>221</v>
      </c>
      <c r="R3" t="str">
        <f t="shared" ref="R3:R66" si="1">C3</f>
        <v>Maths Level 1</v>
      </c>
      <c r="S3">
        <v>0.8</v>
      </c>
    </row>
    <row r="4" spans="1:19" hidden="1" x14ac:dyDescent="0.2">
      <c r="A4">
        <v>3</v>
      </c>
      <c r="C4" t="s">
        <v>223</v>
      </c>
      <c r="E4">
        <v>1</v>
      </c>
      <c r="F4">
        <v>1</v>
      </c>
      <c r="G4">
        <v>12</v>
      </c>
      <c r="H4">
        <f t="shared" si="0"/>
        <v>12</v>
      </c>
      <c r="I4">
        <v>12</v>
      </c>
      <c r="J4">
        <v>2</v>
      </c>
      <c r="K4" t="str">
        <f>VLOOKUP(J4, Subject!$A$2:$B$15, 2, FALSE)</f>
        <v>Language</v>
      </c>
      <c r="L4" t="str">
        <f>VLOOKUP(J4, Subject!$A$2:$E$11, 5, FALSE)</f>
        <v>LA</v>
      </c>
      <c r="M4"/>
      <c r="N4" t="s">
        <v>224</v>
      </c>
      <c r="O4">
        <v>2</v>
      </c>
      <c r="P4" t="str">
        <f>VLOOKUP(O4, SubjectGroup!$A$2:$B$8, 2, FALSE)</f>
        <v>Core Academic Studies</v>
      </c>
      <c r="Q4" t="s">
        <v>221</v>
      </c>
      <c r="R4" t="str">
        <f t="shared" si="1"/>
        <v>English Level 1</v>
      </c>
      <c r="S4">
        <v>0.8</v>
      </c>
    </row>
    <row r="5" spans="1:19" hidden="1" x14ac:dyDescent="0.2">
      <c r="A5">
        <v>4</v>
      </c>
      <c r="C5" t="s">
        <v>225</v>
      </c>
      <c r="E5">
        <v>1</v>
      </c>
      <c r="F5">
        <v>1</v>
      </c>
      <c r="G5">
        <v>12</v>
      </c>
      <c r="H5">
        <f t="shared" si="0"/>
        <v>12</v>
      </c>
      <c r="I5">
        <v>12</v>
      </c>
      <c r="J5">
        <v>3</v>
      </c>
      <c r="K5" t="str">
        <f>VLOOKUP(J5, Subject!$A$2:$B$15, 2, FALSE)</f>
        <v>Word Building</v>
      </c>
      <c r="L5" t="str">
        <f>VLOOKUP(J5, Subject!$A$2:$E$11, 5, FALSE)</f>
        <v>WB</v>
      </c>
      <c r="M5"/>
      <c r="N5" t="s">
        <v>147</v>
      </c>
      <c r="O5">
        <v>2</v>
      </c>
      <c r="P5" t="str">
        <f>VLOOKUP(O5, SubjectGroup!$A$2:$B$8, 2, FALSE)</f>
        <v>Core Academic Studies</v>
      </c>
      <c r="Q5" t="s">
        <v>221</v>
      </c>
      <c r="R5" t="str">
        <f t="shared" si="1"/>
        <v>Word Building Level 1</v>
      </c>
      <c r="S5">
        <v>0.9</v>
      </c>
    </row>
    <row r="6" spans="1:19" hidden="1" x14ac:dyDescent="0.2">
      <c r="A6">
        <v>5</v>
      </c>
      <c r="C6" t="s">
        <v>226</v>
      </c>
      <c r="E6">
        <v>1</v>
      </c>
      <c r="F6">
        <v>1</v>
      </c>
      <c r="G6">
        <v>12</v>
      </c>
      <c r="H6">
        <f t="shared" si="0"/>
        <v>12</v>
      </c>
      <c r="I6">
        <v>12</v>
      </c>
      <c r="J6">
        <v>4</v>
      </c>
      <c r="K6" t="str">
        <f>VLOOKUP(J6, Subject!$A$2:$B$15, 2, FALSE)</f>
        <v>Literature</v>
      </c>
      <c r="L6" t="str">
        <f>VLOOKUP(J6, Subject!$A$2:$E$11, 5, FALSE)</f>
        <v>LI</v>
      </c>
      <c r="M6"/>
      <c r="N6" t="s">
        <v>227</v>
      </c>
      <c r="O6">
        <v>2</v>
      </c>
      <c r="P6" t="str">
        <f>VLOOKUP(O6, SubjectGroup!$A$2:$B$8, 2, FALSE)</f>
        <v>Core Academic Studies</v>
      </c>
      <c r="Q6" t="s">
        <v>221</v>
      </c>
      <c r="R6" t="str">
        <f t="shared" si="1"/>
        <v>Literature and Creative Writing Level 1</v>
      </c>
      <c r="S6">
        <v>0.8</v>
      </c>
    </row>
    <row r="7" spans="1:19" hidden="1" x14ac:dyDescent="0.2">
      <c r="A7">
        <v>6</v>
      </c>
      <c r="C7" t="s">
        <v>228</v>
      </c>
      <c r="E7">
        <v>1</v>
      </c>
      <c r="F7">
        <v>1</v>
      </c>
      <c r="G7">
        <v>12</v>
      </c>
      <c r="H7">
        <f t="shared" si="0"/>
        <v>12</v>
      </c>
      <c r="I7">
        <v>12</v>
      </c>
      <c r="J7">
        <v>5</v>
      </c>
      <c r="K7" t="str">
        <f>VLOOKUP(J7, Subject!$A$2:$B$15, 2, FALSE)</f>
        <v>Science</v>
      </c>
      <c r="L7" t="str">
        <f>VLOOKUP(J7, Subject!$A$2:$E$11, 5, FALSE)</f>
        <v>SC</v>
      </c>
      <c r="M7"/>
      <c r="N7" t="s">
        <v>153</v>
      </c>
      <c r="O7">
        <v>2</v>
      </c>
      <c r="P7" t="str">
        <f>VLOOKUP(O7, SubjectGroup!$A$2:$B$8, 2, FALSE)</f>
        <v>Core Academic Studies</v>
      </c>
      <c r="Q7" t="s">
        <v>221</v>
      </c>
      <c r="R7" t="str">
        <f t="shared" si="1"/>
        <v>Science Level 1</v>
      </c>
      <c r="S7">
        <v>0.8</v>
      </c>
    </row>
    <row r="8" spans="1:19" x14ac:dyDescent="0.2">
      <c r="A8">
        <v>7</v>
      </c>
      <c r="C8" t="s">
        <v>229</v>
      </c>
      <c r="E8">
        <v>1</v>
      </c>
      <c r="F8">
        <v>1</v>
      </c>
      <c r="G8">
        <v>12</v>
      </c>
      <c r="H8">
        <f t="shared" si="0"/>
        <v>12</v>
      </c>
      <c r="I8">
        <v>12</v>
      </c>
      <c r="J8">
        <v>6</v>
      </c>
      <c r="K8" t="str">
        <f>VLOOKUP(J8, Subject!$A$2:$B$15, 2, FALSE)</f>
        <v>Social Studies</v>
      </c>
      <c r="L8" t="str">
        <f>VLOOKUP(J8, Subject!$A$2:$E$11, 5, FALSE)</f>
        <v>SS</v>
      </c>
      <c r="N8" t="s">
        <v>156</v>
      </c>
      <c r="O8">
        <v>2</v>
      </c>
      <c r="P8" t="str">
        <f>VLOOKUP(O8, SubjectGroup!$A$2:$B$8, 2, FALSE)</f>
        <v>Core Academic Studies</v>
      </c>
      <c r="Q8" t="s">
        <v>221</v>
      </c>
      <c r="R8" t="str">
        <f t="shared" si="1"/>
        <v>Social Studies Level 1</v>
      </c>
      <c r="S8">
        <v>0.8</v>
      </c>
    </row>
    <row r="9" spans="1:19" hidden="1" x14ac:dyDescent="0.2">
      <c r="A9">
        <v>8</v>
      </c>
      <c r="C9" t="s">
        <v>230</v>
      </c>
      <c r="E9">
        <v>1</v>
      </c>
      <c r="F9">
        <v>1</v>
      </c>
      <c r="G9">
        <v>12</v>
      </c>
      <c r="H9">
        <f t="shared" si="0"/>
        <v>12</v>
      </c>
      <c r="I9">
        <v>12</v>
      </c>
      <c r="J9">
        <v>7</v>
      </c>
      <c r="K9" t="str">
        <f>VLOOKUP(J9, Subject!$A$2:$B$15, 2, FALSE)</f>
        <v>Biblical Studies</v>
      </c>
      <c r="L9" t="str">
        <f>VLOOKUP(J9, Subject!$A$2:$E$11, 5, FALSE)</f>
        <v>BS</v>
      </c>
      <c r="M9"/>
      <c r="N9" t="s">
        <v>231</v>
      </c>
      <c r="O9">
        <v>1</v>
      </c>
      <c r="P9" t="str">
        <f>VLOOKUP(O9, SubjectGroup!$A$2:$B$8, 2, FALSE)</f>
        <v>Christian Studies</v>
      </c>
      <c r="Q9" t="s">
        <v>221</v>
      </c>
      <c r="R9" t="str">
        <f t="shared" si="1"/>
        <v>Bible Reading Level 1</v>
      </c>
      <c r="S9">
        <v>0.8</v>
      </c>
    </row>
    <row r="10" spans="1:19" hidden="1" x14ac:dyDescent="0.2">
      <c r="A10">
        <v>9</v>
      </c>
      <c r="C10" t="s">
        <v>232</v>
      </c>
      <c r="E10">
        <v>2</v>
      </c>
      <c r="F10">
        <v>13</v>
      </c>
      <c r="G10">
        <v>24</v>
      </c>
      <c r="H10">
        <f t="shared" si="0"/>
        <v>12</v>
      </c>
      <c r="I10">
        <v>12</v>
      </c>
      <c r="J10">
        <v>1</v>
      </c>
      <c r="K10" t="str">
        <f>VLOOKUP(J10, Subject!$A$2:$B$15, 2, FALSE)</f>
        <v>Maths</v>
      </c>
      <c r="L10" t="str">
        <f>VLOOKUP(J10, Subject!$A$2:$E$11, 5, FALSE)</f>
        <v>MA</v>
      </c>
      <c r="M10"/>
      <c r="N10" t="s">
        <v>141</v>
      </c>
      <c r="O10">
        <v>2</v>
      </c>
      <c r="P10" t="str">
        <f>VLOOKUP(O10, SubjectGroup!$A$2:$B$8, 2, FALSE)</f>
        <v>Core Academic Studies</v>
      </c>
      <c r="Q10" t="s">
        <v>221</v>
      </c>
      <c r="R10" t="str">
        <f t="shared" si="1"/>
        <v>Maths Level 2</v>
      </c>
      <c r="S10">
        <v>0.8</v>
      </c>
    </row>
    <row r="11" spans="1:19" hidden="1" x14ac:dyDescent="0.2">
      <c r="A11">
        <v>10</v>
      </c>
      <c r="C11" t="s">
        <v>233</v>
      </c>
      <c r="E11">
        <v>2</v>
      </c>
      <c r="F11">
        <v>13</v>
      </c>
      <c r="G11">
        <v>24</v>
      </c>
      <c r="H11">
        <f t="shared" si="0"/>
        <v>12</v>
      </c>
      <c r="I11">
        <v>12</v>
      </c>
      <c r="J11">
        <v>2</v>
      </c>
      <c r="K11" t="str">
        <f>VLOOKUP(J11, Subject!$A$2:$B$15, 2, FALSE)</f>
        <v>Language</v>
      </c>
      <c r="L11" t="str">
        <f>VLOOKUP(J11, Subject!$A$2:$E$11, 5, FALSE)</f>
        <v>LA</v>
      </c>
      <c r="M11"/>
      <c r="N11" t="s">
        <v>224</v>
      </c>
      <c r="O11">
        <v>2</v>
      </c>
      <c r="P11" t="str">
        <f>VLOOKUP(O11, SubjectGroup!$A$2:$B$8, 2, FALSE)</f>
        <v>Core Academic Studies</v>
      </c>
      <c r="Q11" t="s">
        <v>221</v>
      </c>
      <c r="R11" t="str">
        <f t="shared" si="1"/>
        <v>English Level 2</v>
      </c>
      <c r="S11">
        <v>0.8</v>
      </c>
    </row>
    <row r="12" spans="1:19" hidden="1" x14ac:dyDescent="0.2">
      <c r="A12">
        <v>11</v>
      </c>
      <c r="C12" t="s">
        <v>234</v>
      </c>
      <c r="E12">
        <v>2</v>
      </c>
      <c r="F12">
        <v>13</v>
      </c>
      <c r="G12">
        <v>24</v>
      </c>
      <c r="H12">
        <f t="shared" si="0"/>
        <v>12</v>
      </c>
      <c r="I12">
        <v>12</v>
      </c>
      <c r="J12">
        <v>3</v>
      </c>
      <c r="K12" t="str">
        <f>VLOOKUP(J12, Subject!$A$2:$B$15, 2, FALSE)</f>
        <v>Word Building</v>
      </c>
      <c r="L12" t="str">
        <f>VLOOKUP(J12, Subject!$A$2:$E$11, 5, FALSE)</f>
        <v>WB</v>
      </c>
      <c r="M12"/>
      <c r="N12" t="s">
        <v>147</v>
      </c>
      <c r="O12">
        <v>2</v>
      </c>
      <c r="P12" t="str">
        <f>VLOOKUP(O12, SubjectGroup!$A$2:$B$8, 2, FALSE)</f>
        <v>Core Academic Studies</v>
      </c>
      <c r="Q12" t="s">
        <v>221</v>
      </c>
      <c r="R12" t="str">
        <f t="shared" si="1"/>
        <v>Word Building Level 2</v>
      </c>
      <c r="S12">
        <v>0.9</v>
      </c>
    </row>
    <row r="13" spans="1:19" hidden="1" x14ac:dyDescent="0.2">
      <c r="A13">
        <v>12</v>
      </c>
      <c r="C13" t="s">
        <v>235</v>
      </c>
      <c r="E13">
        <v>2</v>
      </c>
      <c r="F13">
        <v>13</v>
      </c>
      <c r="G13">
        <v>24</v>
      </c>
      <c r="H13">
        <f t="shared" si="0"/>
        <v>12</v>
      </c>
      <c r="I13">
        <v>12</v>
      </c>
      <c r="J13">
        <v>4</v>
      </c>
      <c r="K13" t="str">
        <f>VLOOKUP(J13, Subject!$A$2:$B$15, 2, FALSE)</f>
        <v>Literature</v>
      </c>
      <c r="L13" t="str">
        <f>VLOOKUP(J13, Subject!$A$2:$E$11, 5, FALSE)</f>
        <v>LI</v>
      </c>
      <c r="M13"/>
      <c r="N13" t="s">
        <v>227</v>
      </c>
      <c r="O13">
        <v>2</v>
      </c>
      <c r="P13" t="str">
        <f>VLOOKUP(O13, SubjectGroup!$A$2:$B$8, 2, FALSE)</f>
        <v>Core Academic Studies</v>
      </c>
      <c r="Q13" t="s">
        <v>221</v>
      </c>
      <c r="R13" t="str">
        <f t="shared" si="1"/>
        <v>Literature and Creative Writing Level 2</v>
      </c>
      <c r="S13">
        <v>0.8</v>
      </c>
    </row>
    <row r="14" spans="1:19" hidden="1" x14ac:dyDescent="0.2">
      <c r="A14">
        <v>13</v>
      </c>
      <c r="C14" t="s">
        <v>236</v>
      </c>
      <c r="E14">
        <v>2</v>
      </c>
      <c r="F14">
        <v>13</v>
      </c>
      <c r="G14">
        <v>24</v>
      </c>
      <c r="H14">
        <f t="shared" si="0"/>
        <v>12</v>
      </c>
      <c r="I14">
        <v>12</v>
      </c>
      <c r="J14">
        <v>5</v>
      </c>
      <c r="K14" t="str">
        <f>VLOOKUP(J14, Subject!$A$2:$B$15, 2, FALSE)</f>
        <v>Science</v>
      </c>
      <c r="L14" t="str">
        <f>VLOOKUP(J14, Subject!$A$2:$E$11, 5, FALSE)</f>
        <v>SC</v>
      </c>
      <c r="M14"/>
      <c r="N14" t="s">
        <v>153</v>
      </c>
      <c r="O14">
        <v>2</v>
      </c>
      <c r="P14" t="str">
        <f>VLOOKUP(O14, SubjectGroup!$A$2:$B$8, 2, FALSE)</f>
        <v>Core Academic Studies</v>
      </c>
      <c r="Q14" t="s">
        <v>221</v>
      </c>
      <c r="R14" t="str">
        <f t="shared" si="1"/>
        <v>Science Level 2</v>
      </c>
      <c r="S14">
        <v>0.8</v>
      </c>
    </row>
    <row r="15" spans="1:19" x14ac:dyDescent="0.2">
      <c r="A15">
        <v>14</v>
      </c>
      <c r="C15" t="s">
        <v>237</v>
      </c>
      <c r="E15">
        <v>2</v>
      </c>
      <c r="F15">
        <v>13</v>
      </c>
      <c r="G15">
        <v>24</v>
      </c>
      <c r="H15">
        <f t="shared" si="0"/>
        <v>12</v>
      </c>
      <c r="I15">
        <v>12</v>
      </c>
      <c r="J15">
        <v>6</v>
      </c>
      <c r="K15" t="str">
        <f>VLOOKUP(J15, Subject!$A$2:$B$15, 2, FALSE)</f>
        <v>Social Studies</v>
      </c>
      <c r="L15" t="str">
        <f>VLOOKUP(J15, Subject!$A$2:$E$11, 5, FALSE)</f>
        <v>SS</v>
      </c>
      <c r="N15" t="s">
        <v>156</v>
      </c>
      <c r="O15">
        <v>2</v>
      </c>
      <c r="P15" t="str">
        <f>VLOOKUP(O15, SubjectGroup!$A$2:$B$8, 2, FALSE)</f>
        <v>Core Academic Studies</v>
      </c>
      <c r="Q15" t="s">
        <v>221</v>
      </c>
      <c r="R15" t="str">
        <f t="shared" si="1"/>
        <v>Social Studies Level 2</v>
      </c>
      <c r="S15">
        <v>0.8</v>
      </c>
    </row>
    <row r="16" spans="1:19" hidden="1" x14ac:dyDescent="0.2">
      <c r="A16">
        <v>15</v>
      </c>
      <c r="C16" t="s">
        <v>238</v>
      </c>
      <c r="E16">
        <v>2</v>
      </c>
      <c r="F16">
        <v>13</v>
      </c>
      <c r="G16">
        <v>24</v>
      </c>
      <c r="H16">
        <f t="shared" si="0"/>
        <v>12</v>
      </c>
      <c r="I16">
        <v>12</v>
      </c>
      <c r="J16">
        <v>7</v>
      </c>
      <c r="K16" t="str">
        <f>VLOOKUP(J16, Subject!$A$2:$B$15, 2, FALSE)</f>
        <v>Biblical Studies</v>
      </c>
      <c r="L16" t="str">
        <f>VLOOKUP(J16, Subject!$A$2:$E$11, 5, FALSE)</f>
        <v>BS</v>
      </c>
      <c r="M16"/>
      <c r="N16" t="s">
        <v>231</v>
      </c>
      <c r="O16">
        <v>1</v>
      </c>
      <c r="P16" t="str">
        <f>VLOOKUP(O16, SubjectGroup!$A$2:$B$8, 2, FALSE)</f>
        <v>Christian Studies</v>
      </c>
      <c r="Q16" t="s">
        <v>221</v>
      </c>
      <c r="R16" t="str">
        <f t="shared" si="1"/>
        <v>Bible Reading Level 2</v>
      </c>
      <c r="S16">
        <v>0.8</v>
      </c>
    </row>
    <row r="17" spans="1:19" hidden="1" x14ac:dyDescent="0.2">
      <c r="A17">
        <v>16</v>
      </c>
      <c r="C17" t="s">
        <v>239</v>
      </c>
      <c r="E17">
        <v>3</v>
      </c>
      <c r="F17">
        <v>25</v>
      </c>
      <c r="G17">
        <v>36</v>
      </c>
      <c r="H17">
        <f t="shared" si="0"/>
        <v>12</v>
      </c>
      <c r="I17">
        <v>12</v>
      </c>
      <c r="J17">
        <v>1</v>
      </c>
      <c r="K17" t="str">
        <f>VLOOKUP(J17, Subject!$A$2:$B$15, 2, FALSE)</f>
        <v>Maths</v>
      </c>
      <c r="L17" t="str">
        <f>VLOOKUP(J17, Subject!$A$2:$E$11, 5, FALSE)</f>
        <v>MA</v>
      </c>
      <c r="M17"/>
      <c r="N17" t="s">
        <v>141</v>
      </c>
      <c r="O17">
        <v>2</v>
      </c>
      <c r="P17" t="str">
        <f>VLOOKUP(O17, SubjectGroup!$A$2:$B$8, 2, FALSE)</f>
        <v>Core Academic Studies</v>
      </c>
      <c r="Q17" t="s">
        <v>221</v>
      </c>
      <c r="R17" t="str">
        <f t="shared" si="1"/>
        <v>Maths Level 3</v>
      </c>
      <c r="S17">
        <v>0.8</v>
      </c>
    </row>
    <row r="18" spans="1:19" hidden="1" x14ac:dyDescent="0.2">
      <c r="A18">
        <v>17</v>
      </c>
      <c r="C18" t="s">
        <v>240</v>
      </c>
      <c r="E18">
        <v>3</v>
      </c>
      <c r="F18">
        <v>25</v>
      </c>
      <c r="G18">
        <v>36</v>
      </c>
      <c r="H18">
        <f t="shared" si="0"/>
        <v>12</v>
      </c>
      <c r="I18">
        <v>12</v>
      </c>
      <c r="J18">
        <v>2</v>
      </c>
      <c r="K18" t="str">
        <f>VLOOKUP(J18, Subject!$A$2:$B$15, 2, FALSE)</f>
        <v>Language</v>
      </c>
      <c r="L18" t="str">
        <f>VLOOKUP(J18, Subject!$A$2:$E$11, 5, FALSE)</f>
        <v>LA</v>
      </c>
      <c r="M18"/>
      <c r="N18" t="s">
        <v>224</v>
      </c>
      <c r="O18">
        <v>2</v>
      </c>
      <c r="P18" t="str">
        <f>VLOOKUP(O18, SubjectGroup!$A$2:$B$8, 2, FALSE)</f>
        <v>Core Academic Studies</v>
      </c>
      <c r="Q18" t="s">
        <v>221</v>
      </c>
      <c r="R18" t="str">
        <f t="shared" si="1"/>
        <v>English Level 3</v>
      </c>
      <c r="S18">
        <v>0.8</v>
      </c>
    </row>
    <row r="19" spans="1:19" hidden="1" x14ac:dyDescent="0.2">
      <c r="A19">
        <v>18</v>
      </c>
      <c r="C19" t="s">
        <v>241</v>
      </c>
      <c r="E19">
        <v>3</v>
      </c>
      <c r="F19">
        <v>25</v>
      </c>
      <c r="G19">
        <v>36</v>
      </c>
      <c r="H19">
        <f t="shared" si="0"/>
        <v>12</v>
      </c>
      <c r="I19">
        <v>12</v>
      </c>
      <c r="J19">
        <v>3</v>
      </c>
      <c r="K19" t="str">
        <f>VLOOKUP(J19, Subject!$A$2:$B$15, 2, FALSE)</f>
        <v>Word Building</v>
      </c>
      <c r="L19" t="str">
        <f>VLOOKUP(J19, Subject!$A$2:$E$11, 5, FALSE)</f>
        <v>WB</v>
      </c>
      <c r="M19"/>
      <c r="N19" t="s">
        <v>147</v>
      </c>
      <c r="O19">
        <v>2</v>
      </c>
      <c r="P19" t="str">
        <f>VLOOKUP(O19, SubjectGroup!$A$2:$B$8, 2, FALSE)</f>
        <v>Core Academic Studies</v>
      </c>
      <c r="Q19" t="s">
        <v>221</v>
      </c>
      <c r="R19" t="str">
        <f t="shared" si="1"/>
        <v>Word Building Level 3</v>
      </c>
      <c r="S19">
        <v>0.9</v>
      </c>
    </row>
    <row r="20" spans="1:19" hidden="1" x14ac:dyDescent="0.2">
      <c r="A20">
        <v>19</v>
      </c>
      <c r="C20" t="s">
        <v>242</v>
      </c>
      <c r="E20">
        <v>3</v>
      </c>
      <c r="F20">
        <v>25</v>
      </c>
      <c r="G20">
        <v>36</v>
      </c>
      <c r="H20">
        <f t="shared" si="0"/>
        <v>12</v>
      </c>
      <c r="I20">
        <v>12</v>
      </c>
      <c r="J20">
        <v>4</v>
      </c>
      <c r="K20" t="str">
        <f>VLOOKUP(J20, Subject!$A$2:$B$15, 2, FALSE)</f>
        <v>Literature</v>
      </c>
      <c r="L20" t="str">
        <f>VLOOKUP(J20, Subject!$A$2:$E$11, 5, FALSE)</f>
        <v>LI</v>
      </c>
      <c r="M20"/>
      <c r="N20" t="s">
        <v>227</v>
      </c>
      <c r="O20">
        <v>2</v>
      </c>
      <c r="P20" t="str">
        <f>VLOOKUP(O20, SubjectGroup!$A$2:$B$8, 2, FALSE)</f>
        <v>Core Academic Studies</v>
      </c>
      <c r="Q20" t="s">
        <v>221</v>
      </c>
      <c r="R20" t="str">
        <f t="shared" si="1"/>
        <v>Literature and Creative Writing Level 3</v>
      </c>
      <c r="S20">
        <v>0.8</v>
      </c>
    </row>
    <row r="21" spans="1:19" hidden="1" x14ac:dyDescent="0.2">
      <c r="A21">
        <v>20</v>
      </c>
      <c r="C21" t="s">
        <v>243</v>
      </c>
      <c r="E21">
        <v>3</v>
      </c>
      <c r="F21">
        <v>25</v>
      </c>
      <c r="G21">
        <v>36</v>
      </c>
      <c r="H21">
        <f t="shared" si="0"/>
        <v>12</v>
      </c>
      <c r="I21">
        <v>12</v>
      </c>
      <c r="J21">
        <v>5</v>
      </c>
      <c r="K21" t="str">
        <f>VLOOKUP(J21, Subject!$A$2:$B$15, 2, FALSE)</f>
        <v>Science</v>
      </c>
      <c r="L21" t="str">
        <f>VLOOKUP(J21, Subject!$A$2:$E$11, 5, FALSE)</f>
        <v>SC</v>
      </c>
      <c r="M21"/>
      <c r="N21" t="s">
        <v>153</v>
      </c>
      <c r="O21">
        <v>2</v>
      </c>
      <c r="P21" t="str">
        <f>VLOOKUP(O21, SubjectGroup!$A$2:$B$8, 2, FALSE)</f>
        <v>Core Academic Studies</v>
      </c>
      <c r="Q21" t="s">
        <v>221</v>
      </c>
      <c r="R21" t="str">
        <f t="shared" si="1"/>
        <v>Science Level 3</v>
      </c>
      <c r="S21">
        <v>0.8</v>
      </c>
    </row>
    <row r="22" spans="1:19" x14ac:dyDescent="0.2">
      <c r="A22">
        <v>21</v>
      </c>
      <c r="C22" t="s">
        <v>244</v>
      </c>
      <c r="E22">
        <v>3</v>
      </c>
      <c r="F22">
        <v>25</v>
      </c>
      <c r="G22">
        <v>36</v>
      </c>
      <c r="H22">
        <f t="shared" si="0"/>
        <v>12</v>
      </c>
      <c r="I22">
        <v>12</v>
      </c>
      <c r="J22">
        <v>6</v>
      </c>
      <c r="K22" t="str">
        <f>VLOOKUP(J22, Subject!$A$2:$B$15, 2, FALSE)</f>
        <v>Social Studies</v>
      </c>
      <c r="L22" t="str">
        <f>VLOOKUP(J22, Subject!$A$2:$E$11, 5, FALSE)</f>
        <v>SS</v>
      </c>
      <c r="N22" t="s">
        <v>156</v>
      </c>
      <c r="O22">
        <v>2</v>
      </c>
      <c r="P22" t="str">
        <f>VLOOKUP(O22, SubjectGroup!$A$2:$B$8, 2, FALSE)</f>
        <v>Core Academic Studies</v>
      </c>
      <c r="Q22" t="s">
        <v>221</v>
      </c>
      <c r="R22" t="str">
        <f t="shared" si="1"/>
        <v>Social Studies Level 3</v>
      </c>
      <c r="S22">
        <v>0.8</v>
      </c>
    </row>
    <row r="23" spans="1:19" hidden="1" x14ac:dyDescent="0.2">
      <c r="A23">
        <v>22</v>
      </c>
      <c r="C23" t="s">
        <v>245</v>
      </c>
      <c r="E23">
        <v>3</v>
      </c>
      <c r="F23">
        <v>25</v>
      </c>
      <c r="G23">
        <v>36</v>
      </c>
      <c r="H23">
        <f t="shared" si="0"/>
        <v>12</v>
      </c>
      <c r="I23">
        <v>12</v>
      </c>
      <c r="J23">
        <v>7</v>
      </c>
      <c r="K23" t="str">
        <f>VLOOKUP(J23, Subject!$A$2:$B$15, 2, FALSE)</f>
        <v>Biblical Studies</v>
      </c>
      <c r="L23" t="str">
        <f>VLOOKUP(J23, Subject!$A$2:$E$11, 5, FALSE)</f>
        <v>BS</v>
      </c>
      <c r="M23"/>
      <c r="N23" t="s">
        <v>231</v>
      </c>
      <c r="O23">
        <v>1</v>
      </c>
      <c r="P23" t="str">
        <f>VLOOKUP(O23, SubjectGroup!$A$2:$B$8, 2, FALSE)</f>
        <v>Christian Studies</v>
      </c>
      <c r="Q23" t="s">
        <v>221</v>
      </c>
      <c r="R23" t="str">
        <f t="shared" si="1"/>
        <v>Bible Reading Level 3</v>
      </c>
      <c r="S23">
        <v>0.8</v>
      </c>
    </row>
    <row r="24" spans="1:19" hidden="1" x14ac:dyDescent="0.2">
      <c r="A24">
        <v>23</v>
      </c>
      <c r="C24" t="s">
        <v>246</v>
      </c>
      <c r="E24">
        <v>4</v>
      </c>
      <c r="F24">
        <v>37</v>
      </c>
      <c r="G24">
        <v>48</v>
      </c>
      <c r="H24">
        <f t="shared" si="0"/>
        <v>12</v>
      </c>
      <c r="I24">
        <v>12</v>
      </c>
      <c r="J24">
        <v>1</v>
      </c>
      <c r="K24" t="str">
        <f>VLOOKUP(J24, Subject!$A$2:$B$15, 2, FALSE)</f>
        <v>Maths</v>
      </c>
      <c r="L24" t="str">
        <f>VLOOKUP(J24, Subject!$A$2:$E$11, 5, FALSE)</f>
        <v>MA</v>
      </c>
      <c r="M24"/>
      <c r="N24" t="s">
        <v>141</v>
      </c>
      <c r="O24">
        <v>2</v>
      </c>
      <c r="P24" t="str">
        <f>VLOOKUP(O24, SubjectGroup!$A$2:$B$8, 2, FALSE)</f>
        <v>Core Academic Studies</v>
      </c>
      <c r="Q24" t="s">
        <v>221</v>
      </c>
      <c r="R24" t="str">
        <f t="shared" si="1"/>
        <v>Maths Level 4</v>
      </c>
      <c r="S24">
        <v>0.8</v>
      </c>
    </row>
    <row r="25" spans="1:19" hidden="1" x14ac:dyDescent="0.2">
      <c r="A25">
        <v>24</v>
      </c>
      <c r="C25" t="s">
        <v>247</v>
      </c>
      <c r="E25">
        <v>4</v>
      </c>
      <c r="F25">
        <v>37</v>
      </c>
      <c r="G25">
        <v>48</v>
      </c>
      <c r="H25">
        <f t="shared" si="0"/>
        <v>12</v>
      </c>
      <c r="I25">
        <v>12</v>
      </c>
      <c r="J25">
        <v>2</v>
      </c>
      <c r="K25" t="str">
        <f>VLOOKUP(J25, Subject!$A$2:$B$15, 2, FALSE)</f>
        <v>Language</v>
      </c>
      <c r="L25" t="str">
        <f>VLOOKUP(J25, Subject!$A$2:$E$11, 5, FALSE)</f>
        <v>LA</v>
      </c>
      <c r="M25"/>
      <c r="N25" t="s">
        <v>224</v>
      </c>
      <c r="O25">
        <v>2</v>
      </c>
      <c r="P25" t="str">
        <f>VLOOKUP(O25, SubjectGroup!$A$2:$B$8, 2, FALSE)</f>
        <v>Core Academic Studies</v>
      </c>
      <c r="Q25" t="s">
        <v>221</v>
      </c>
      <c r="R25" t="str">
        <f t="shared" si="1"/>
        <v>English Level 4</v>
      </c>
      <c r="S25">
        <v>0.8</v>
      </c>
    </row>
    <row r="26" spans="1:19" hidden="1" x14ac:dyDescent="0.2">
      <c r="A26">
        <v>25</v>
      </c>
      <c r="C26" t="s">
        <v>248</v>
      </c>
      <c r="E26">
        <v>4</v>
      </c>
      <c r="F26">
        <v>37</v>
      </c>
      <c r="G26">
        <v>48</v>
      </c>
      <c r="H26">
        <f t="shared" si="0"/>
        <v>12</v>
      </c>
      <c r="I26">
        <v>12</v>
      </c>
      <c r="J26">
        <v>3</v>
      </c>
      <c r="K26" t="str">
        <f>VLOOKUP(J26, Subject!$A$2:$B$15, 2, FALSE)</f>
        <v>Word Building</v>
      </c>
      <c r="L26" t="str">
        <f>VLOOKUP(J26, Subject!$A$2:$E$11, 5, FALSE)</f>
        <v>WB</v>
      </c>
      <c r="M26"/>
      <c r="N26" t="s">
        <v>147</v>
      </c>
      <c r="O26">
        <v>2</v>
      </c>
      <c r="P26" t="str">
        <f>VLOOKUP(O26, SubjectGroup!$A$2:$B$8, 2, FALSE)</f>
        <v>Core Academic Studies</v>
      </c>
      <c r="Q26" t="s">
        <v>221</v>
      </c>
      <c r="R26" t="str">
        <f t="shared" si="1"/>
        <v>Word Building Level 4</v>
      </c>
      <c r="S26">
        <v>0.9</v>
      </c>
    </row>
    <row r="27" spans="1:19" hidden="1" x14ac:dyDescent="0.2">
      <c r="A27">
        <v>26</v>
      </c>
      <c r="C27" t="s">
        <v>249</v>
      </c>
      <c r="E27">
        <v>4</v>
      </c>
      <c r="F27">
        <v>37</v>
      </c>
      <c r="G27">
        <v>48</v>
      </c>
      <c r="H27">
        <f t="shared" si="0"/>
        <v>12</v>
      </c>
      <c r="I27">
        <v>12</v>
      </c>
      <c r="J27">
        <v>4</v>
      </c>
      <c r="K27" t="str">
        <f>VLOOKUP(J27, Subject!$A$2:$B$15, 2, FALSE)</f>
        <v>Literature</v>
      </c>
      <c r="L27" t="str">
        <f>VLOOKUP(J27, Subject!$A$2:$E$11, 5, FALSE)</f>
        <v>LI</v>
      </c>
      <c r="M27"/>
      <c r="N27" t="s">
        <v>227</v>
      </c>
      <c r="O27">
        <v>2</v>
      </c>
      <c r="P27" t="str">
        <f>VLOOKUP(O27, SubjectGroup!$A$2:$B$8, 2, FALSE)</f>
        <v>Core Academic Studies</v>
      </c>
      <c r="Q27" t="s">
        <v>221</v>
      </c>
      <c r="R27" t="str">
        <f t="shared" si="1"/>
        <v>Literature and Creative Writing Level 4</v>
      </c>
      <c r="S27">
        <v>0.8</v>
      </c>
    </row>
    <row r="28" spans="1:19" hidden="1" x14ac:dyDescent="0.2">
      <c r="A28">
        <v>27</v>
      </c>
      <c r="C28" t="s">
        <v>250</v>
      </c>
      <c r="E28">
        <v>4</v>
      </c>
      <c r="F28">
        <v>37</v>
      </c>
      <c r="G28">
        <v>48</v>
      </c>
      <c r="H28">
        <f t="shared" si="0"/>
        <v>12</v>
      </c>
      <c r="I28">
        <v>12</v>
      </c>
      <c r="J28">
        <v>5</v>
      </c>
      <c r="K28" t="str">
        <f>VLOOKUP(J28, Subject!$A$2:$B$15, 2, FALSE)</f>
        <v>Science</v>
      </c>
      <c r="L28" t="str">
        <f>VLOOKUP(J28, Subject!$A$2:$E$11, 5, FALSE)</f>
        <v>SC</v>
      </c>
      <c r="M28"/>
      <c r="N28" t="s">
        <v>153</v>
      </c>
      <c r="O28">
        <v>2</v>
      </c>
      <c r="P28" t="str">
        <f>VLOOKUP(O28, SubjectGroup!$A$2:$B$8, 2, FALSE)</f>
        <v>Core Academic Studies</v>
      </c>
      <c r="Q28" t="s">
        <v>221</v>
      </c>
      <c r="R28" t="str">
        <f t="shared" si="1"/>
        <v>Science Level 4</v>
      </c>
      <c r="S28">
        <v>0.8</v>
      </c>
    </row>
    <row r="29" spans="1:19" x14ac:dyDescent="0.2">
      <c r="A29">
        <v>28</v>
      </c>
      <c r="C29" t="s">
        <v>251</v>
      </c>
      <c r="E29">
        <v>4</v>
      </c>
      <c r="F29">
        <v>37</v>
      </c>
      <c r="G29">
        <v>48</v>
      </c>
      <c r="H29">
        <f t="shared" si="0"/>
        <v>12</v>
      </c>
      <c r="I29">
        <v>12</v>
      </c>
      <c r="J29">
        <v>6</v>
      </c>
      <c r="K29" t="str">
        <f>VLOOKUP(J29, Subject!$A$2:$B$15, 2, FALSE)</f>
        <v>Social Studies</v>
      </c>
      <c r="L29" t="str">
        <f>VLOOKUP(J29, Subject!$A$2:$E$11, 5, FALSE)</f>
        <v>SS</v>
      </c>
      <c r="N29" t="s">
        <v>156</v>
      </c>
      <c r="O29">
        <v>2</v>
      </c>
      <c r="P29" t="str">
        <f>VLOOKUP(O29, SubjectGroup!$A$2:$B$8, 2, FALSE)</f>
        <v>Core Academic Studies</v>
      </c>
      <c r="Q29" t="s">
        <v>221</v>
      </c>
      <c r="R29" t="str">
        <f t="shared" si="1"/>
        <v>Social Studies Level 4</v>
      </c>
      <c r="S29">
        <v>0.8</v>
      </c>
    </row>
    <row r="30" spans="1:19" hidden="1" x14ac:dyDescent="0.2">
      <c r="A30">
        <v>29</v>
      </c>
      <c r="C30" t="s">
        <v>252</v>
      </c>
      <c r="E30">
        <v>4</v>
      </c>
      <c r="F30">
        <v>37</v>
      </c>
      <c r="G30">
        <v>48</v>
      </c>
      <c r="H30">
        <f t="shared" si="0"/>
        <v>12</v>
      </c>
      <c r="I30">
        <v>12</v>
      </c>
      <c r="J30">
        <v>7</v>
      </c>
      <c r="K30" t="str">
        <f>VLOOKUP(J30, Subject!$A$2:$B$15, 2, FALSE)</f>
        <v>Biblical Studies</v>
      </c>
      <c r="L30" t="str">
        <f>VLOOKUP(J30, Subject!$A$2:$E$11, 5, FALSE)</f>
        <v>BS</v>
      </c>
      <c r="M30"/>
      <c r="N30" t="s">
        <v>231</v>
      </c>
      <c r="O30">
        <v>1</v>
      </c>
      <c r="P30" t="str">
        <f>VLOOKUP(O30, SubjectGroup!$A$2:$B$8, 2, FALSE)</f>
        <v>Christian Studies</v>
      </c>
      <c r="Q30" t="s">
        <v>221</v>
      </c>
      <c r="R30" t="str">
        <f t="shared" si="1"/>
        <v>Bible Reading Level 4</v>
      </c>
      <c r="S30">
        <v>0.8</v>
      </c>
    </row>
    <row r="31" spans="1:19" hidden="1" x14ac:dyDescent="0.2">
      <c r="A31">
        <v>30</v>
      </c>
      <c r="C31" t="s">
        <v>253</v>
      </c>
      <c r="E31">
        <v>5</v>
      </c>
      <c r="F31">
        <v>49</v>
      </c>
      <c r="G31">
        <v>60</v>
      </c>
      <c r="H31">
        <f t="shared" si="0"/>
        <v>12</v>
      </c>
      <c r="I31">
        <v>12</v>
      </c>
      <c r="J31">
        <v>1</v>
      </c>
      <c r="K31" t="str">
        <f>VLOOKUP(J31, Subject!$A$2:$B$15, 2, FALSE)</f>
        <v>Maths</v>
      </c>
      <c r="L31" t="str">
        <f>VLOOKUP(J31, Subject!$A$2:$E$11, 5, FALSE)</f>
        <v>MA</v>
      </c>
      <c r="M31"/>
      <c r="N31" t="s">
        <v>141</v>
      </c>
      <c r="O31">
        <v>2</v>
      </c>
      <c r="P31" t="str">
        <f>VLOOKUP(O31, SubjectGroup!$A$2:$B$8, 2, FALSE)</f>
        <v>Core Academic Studies</v>
      </c>
      <c r="Q31" t="s">
        <v>221</v>
      </c>
      <c r="R31" t="str">
        <f t="shared" si="1"/>
        <v>Maths Level 5</v>
      </c>
      <c r="S31">
        <v>0.8</v>
      </c>
    </row>
    <row r="32" spans="1:19" hidden="1" x14ac:dyDescent="0.2">
      <c r="A32">
        <v>31</v>
      </c>
      <c r="C32" t="s">
        <v>254</v>
      </c>
      <c r="E32">
        <v>5</v>
      </c>
      <c r="F32">
        <v>49</v>
      </c>
      <c r="G32">
        <v>60</v>
      </c>
      <c r="H32">
        <f t="shared" si="0"/>
        <v>12</v>
      </c>
      <c r="I32">
        <v>12</v>
      </c>
      <c r="J32">
        <v>2</v>
      </c>
      <c r="K32" t="str">
        <f>VLOOKUP(J32, Subject!$A$2:$B$15, 2, FALSE)</f>
        <v>Language</v>
      </c>
      <c r="L32" t="str">
        <f>VLOOKUP(J32, Subject!$A$2:$E$11, 5, FALSE)</f>
        <v>LA</v>
      </c>
      <c r="M32"/>
      <c r="N32" t="s">
        <v>224</v>
      </c>
      <c r="O32">
        <v>2</v>
      </c>
      <c r="P32" t="str">
        <f>VLOOKUP(O32, SubjectGroup!$A$2:$B$8, 2, FALSE)</f>
        <v>Core Academic Studies</v>
      </c>
      <c r="Q32" t="s">
        <v>221</v>
      </c>
      <c r="R32" t="str">
        <f t="shared" si="1"/>
        <v>English Level 5</v>
      </c>
      <c r="S32">
        <v>0.8</v>
      </c>
    </row>
    <row r="33" spans="1:19" hidden="1" x14ac:dyDescent="0.2">
      <c r="A33">
        <v>32</v>
      </c>
      <c r="C33" t="s">
        <v>255</v>
      </c>
      <c r="E33">
        <v>5</v>
      </c>
      <c r="F33">
        <v>49</v>
      </c>
      <c r="G33">
        <v>60</v>
      </c>
      <c r="H33">
        <f t="shared" si="0"/>
        <v>12</v>
      </c>
      <c r="I33">
        <v>12</v>
      </c>
      <c r="J33">
        <v>3</v>
      </c>
      <c r="K33" t="str">
        <f>VLOOKUP(J33, Subject!$A$2:$B$15, 2, FALSE)</f>
        <v>Word Building</v>
      </c>
      <c r="L33" t="str">
        <f>VLOOKUP(J33, Subject!$A$2:$E$11, 5, FALSE)</f>
        <v>WB</v>
      </c>
      <c r="M33"/>
      <c r="N33" t="s">
        <v>147</v>
      </c>
      <c r="O33">
        <v>2</v>
      </c>
      <c r="P33" t="str">
        <f>VLOOKUP(O33, SubjectGroup!$A$2:$B$8, 2, FALSE)</f>
        <v>Core Academic Studies</v>
      </c>
      <c r="Q33" t="s">
        <v>221</v>
      </c>
      <c r="R33" t="str">
        <f t="shared" si="1"/>
        <v>Word Building Level 5</v>
      </c>
      <c r="S33">
        <v>0.9</v>
      </c>
    </row>
    <row r="34" spans="1:19" hidden="1" x14ac:dyDescent="0.2">
      <c r="A34">
        <v>33</v>
      </c>
      <c r="C34" t="s">
        <v>256</v>
      </c>
      <c r="E34">
        <v>5</v>
      </c>
      <c r="F34">
        <v>49</v>
      </c>
      <c r="G34">
        <v>60</v>
      </c>
      <c r="H34">
        <f t="shared" si="0"/>
        <v>12</v>
      </c>
      <c r="I34">
        <v>12</v>
      </c>
      <c r="J34">
        <v>4</v>
      </c>
      <c r="K34" t="str">
        <f>VLOOKUP(J34, Subject!$A$2:$B$15, 2, FALSE)</f>
        <v>Literature</v>
      </c>
      <c r="L34" t="str">
        <f>VLOOKUP(J34, Subject!$A$2:$E$11, 5, FALSE)</f>
        <v>LI</v>
      </c>
      <c r="M34"/>
      <c r="N34" t="s">
        <v>227</v>
      </c>
      <c r="O34">
        <v>2</v>
      </c>
      <c r="P34" t="str">
        <f>VLOOKUP(O34, SubjectGroup!$A$2:$B$8, 2, FALSE)</f>
        <v>Core Academic Studies</v>
      </c>
      <c r="Q34" t="s">
        <v>221</v>
      </c>
      <c r="R34" t="str">
        <f t="shared" si="1"/>
        <v>Literature and Creative Writing Level 5</v>
      </c>
      <c r="S34">
        <v>0.8</v>
      </c>
    </row>
    <row r="35" spans="1:19" hidden="1" x14ac:dyDescent="0.2">
      <c r="A35">
        <v>34</v>
      </c>
      <c r="C35" t="s">
        <v>257</v>
      </c>
      <c r="E35">
        <v>5</v>
      </c>
      <c r="F35">
        <v>49</v>
      </c>
      <c r="G35">
        <v>60</v>
      </c>
      <c r="H35">
        <f t="shared" si="0"/>
        <v>12</v>
      </c>
      <c r="I35">
        <v>12</v>
      </c>
      <c r="J35">
        <v>5</v>
      </c>
      <c r="K35" t="str">
        <f>VLOOKUP(J35, Subject!$A$2:$B$15, 2, FALSE)</f>
        <v>Science</v>
      </c>
      <c r="L35" t="str">
        <f>VLOOKUP(J35, Subject!$A$2:$E$11, 5, FALSE)</f>
        <v>SC</v>
      </c>
      <c r="M35"/>
      <c r="N35" t="s">
        <v>153</v>
      </c>
      <c r="O35">
        <v>2</v>
      </c>
      <c r="P35" t="str">
        <f>VLOOKUP(O35, SubjectGroup!$A$2:$B$8, 2, FALSE)</f>
        <v>Core Academic Studies</v>
      </c>
      <c r="Q35" t="s">
        <v>221</v>
      </c>
      <c r="R35" t="str">
        <f t="shared" si="1"/>
        <v>Science Level 5</v>
      </c>
      <c r="S35">
        <v>0.8</v>
      </c>
    </row>
    <row r="36" spans="1:19" x14ac:dyDescent="0.2">
      <c r="A36">
        <v>35</v>
      </c>
      <c r="C36" t="s">
        <v>258</v>
      </c>
      <c r="E36">
        <v>5</v>
      </c>
      <c r="F36">
        <v>49</v>
      </c>
      <c r="G36">
        <v>60</v>
      </c>
      <c r="H36">
        <f t="shared" si="0"/>
        <v>12</v>
      </c>
      <c r="I36">
        <v>12</v>
      </c>
      <c r="J36">
        <v>6</v>
      </c>
      <c r="K36" t="str">
        <f>VLOOKUP(J36, Subject!$A$2:$B$15, 2, FALSE)</f>
        <v>Social Studies</v>
      </c>
      <c r="L36" t="str">
        <f>VLOOKUP(J36, Subject!$A$2:$E$11, 5, FALSE)</f>
        <v>SS</v>
      </c>
      <c r="N36" t="s">
        <v>156</v>
      </c>
      <c r="O36">
        <v>2</v>
      </c>
      <c r="P36" t="str">
        <f>VLOOKUP(O36, SubjectGroup!$A$2:$B$8, 2, FALSE)</f>
        <v>Core Academic Studies</v>
      </c>
      <c r="Q36" t="s">
        <v>221</v>
      </c>
      <c r="R36" t="str">
        <f t="shared" si="1"/>
        <v>Social Studies Level 5</v>
      </c>
      <c r="S36">
        <v>0.8</v>
      </c>
    </row>
    <row r="37" spans="1:19" hidden="1" x14ac:dyDescent="0.2">
      <c r="A37">
        <v>36</v>
      </c>
      <c r="C37" t="s">
        <v>259</v>
      </c>
      <c r="E37">
        <v>5</v>
      </c>
      <c r="F37">
        <v>49</v>
      </c>
      <c r="G37">
        <v>60</v>
      </c>
      <c r="H37">
        <f t="shared" si="0"/>
        <v>12</v>
      </c>
      <c r="I37">
        <v>12</v>
      </c>
      <c r="J37">
        <v>7</v>
      </c>
      <c r="K37" t="str">
        <f>VLOOKUP(J37, Subject!$A$2:$B$15, 2, FALSE)</f>
        <v>Biblical Studies</v>
      </c>
      <c r="L37" t="str">
        <f>VLOOKUP(J37, Subject!$A$2:$E$11, 5, FALSE)</f>
        <v>BS</v>
      </c>
      <c r="M37"/>
      <c r="N37" t="s">
        <v>231</v>
      </c>
      <c r="O37">
        <v>1</v>
      </c>
      <c r="P37" t="str">
        <f>VLOOKUP(O37, SubjectGroup!$A$2:$B$8, 2, FALSE)</f>
        <v>Christian Studies</v>
      </c>
      <c r="Q37" t="s">
        <v>221</v>
      </c>
      <c r="R37" t="str">
        <f t="shared" si="1"/>
        <v>Bible Reading Level 5</v>
      </c>
      <c r="S37">
        <v>0.8</v>
      </c>
    </row>
    <row r="38" spans="1:19" hidden="1" x14ac:dyDescent="0.2">
      <c r="A38">
        <v>37</v>
      </c>
      <c r="C38" t="s">
        <v>260</v>
      </c>
      <c r="E38">
        <v>6</v>
      </c>
      <c r="F38">
        <v>61</v>
      </c>
      <c r="G38">
        <v>72</v>
      </c>
      <c r="H38">
        <f t="shared" si="0"/>
        <v>12</v>
      </c>
      <c r="I38">
        <v>12</v>
      </c>
      <c r="J38">
        <v>1</v>
      </c>
      <c r="K38" t="str">
        <f>VLOOKUP(J38, Subject!$A$2:$B$15, 2, FALSE)</f>
        <v>Maths</v>
      </c>
      <c r="L38" t="str">
        <f>VLOOKUP(J38, Subject!$A$2:$E$11, 5, FALSE)</f>
        <v>MA</v>
      </c>
      <c r="M38"/>
      <c r="N38" t="s">
        <v>141</v>
      </c>
      <c r="O38">
        <v>2</v>
      </c>
      <c r="P38" t="str">
        <f>VLOOKUP(O38, SubjectGroup!$A$2:$B$8, 2, FALSE)</f>
        <v>Core Academic Studies</v>
      </c>
      <c r="Q38" t="s">
        <v>221</v>
      </c>
      <c r="R38" t="str">
        <f t="shared" si="1"/>
        <v>Maths Level 6</v>
      </c>
      <c r="S38">
        <v>0.8</v>
      </c>
    </row>
    <row r="39" spans="1:19" hidden="1" x14ac:dyDescent="0.2">
      <c r="A39">
        <v>38</v>
      </c>
      <c r="C39" t="s">
        <v>261</v>
      </c>
      <c r="E39">
        <v>6</v>
      </c>
      <c r="F39">
        <v>61</v>
      </c>
      <c r="G39">
        <v>72</v>
      </c>
      <c r="H39">
        <f t="shared" si="0"/>
        <v>12</v>
      </c>
      <c r="I39">
        <v>12</v>
      </c>
      <c r="J39">
        <v>2</v>
      </c>
      <c r="K39" t="str">
        <f>VLOOKUP(J39, Subject!$A$2:$B$15, 2, FALSE)</f>
        <v>Language</v>
      </c>
      <c r="L39" t="str">
        <f>VLOOKUP(J39, Subject!$A$2:$E$11, 5, FALSE)</f>
        <v>LA</v>
      </c>
      <c r="M39"/>
      <c r="N39" t="s">
        <v>224</v>
      </c>
      <c r="O39">
        <v>2</v>
      </c>
      <c r="P39" t="str">
        <f>VLOOKUP(O39, SubjectGroup!$A$2:$B$8, 2, FALSE)</f>
        <v>Core Academic Studies</v>
      </c>
      <c r="Q39" t="s">
        <v>221</v>
      </c>
      <c r="R39" t="str">
        <f t="shared" si="1"/>
        <v>English Level 6</v>
      </c>
      <c r="S39">
        <v>0.8</v>
      </c>
    </row>
    <row r="40" spans="1:19" hidden="1" x14ac:dyDescent="0.2">
      <c r="A40">
        <v>39</v>
      </c>
      <c r="C40" t="s">
        <v>262</v>
      </c>
      <c r="E40">
        <v>6</v>
      </c>
      <c r="F40">
        <v>61</v>
      </c>
      <c r="G40">
        <v>72</v>
      </c>
      <c r="H40">
        <f t="shared" si="0"/>
        <v>12</v>
      </c>
      <c r="I40">
        <v>12</v>
      </c>
      <c r="J40">
        <v>3</v>
      </c>
      <c r="K40" t="str">
        <f>VLOOKUP(J40, Subject!$A$2:$B$15, 2, FALSE)</f>
        <v>Word Building</v>
      </c>
      <c r="L40" t="str">
        <f>VLOOKUP(J40, Subject!$A$2:$E$11, 5, FALSE)</f>
        <v>WB</v>
      </c>
      <c r="M40"/>
      <c r="N40" t="s">
        <v>147</v>
      </c>
      <c r="O40">
        <v>2</v>
      </c>
      <c r="P40" t="str">
        <f>VLOOKUP(O40, SubjectGroup!$A$2:$B$8, 2, FALSE)</f>
        <v>Core Academic Studies</v>
      </c>
      <c r="Q40" t="s">
        <v>221</v>
      </c>
      <c r="R40" t="str">
        <f t="shared" si="1"/>
        <v>Word Building Level 6</v>
      </c>
      <c r="S40">
        <v>0.9</v>
      </c>
    </row>
    <row r="41" spans="1:19" hidden="1" x14ac:dyDescent="0.2">
      <c r="A41">
        <v>40</v>
      </c>
      <c r="C41" t="s">
        <v>263</v>
      </c>
      <c r="E41">
        <v>6</v>
      </c>
      <c r="F41">
        <v>61</v>
      </c>
      <c r="G41">
        <v>72</v>
      </c>
      <c r="H41">
        <f t="shared" si="0"/>
        <v>12</v>
      </c>
      <c r="I41">
        <v>12</v>
      </c>
      <c r="J41">
        <v>4</v>
      </c>
      <c r="K41" t="str">
        <f>VLOOKUP(J41, Subject!$A$2:$B$15, 2, FALSE)</f>
        <v>Literature</v>
      </c>
      <c r="L41" t="str">
        <f>VLOOKUP(J41, Subject!$A$2:$E$11, 5, FALSE)</f>
        <v>LI</v>
      </c>
      <c r="M41"/>
      <c r="N41" t="s">
        <v>227</v>
      </c>
      <c r="O41">
        <v>2</v>
      </c>
      <c r="P41" t="str">
        <f>VLOOKUP(O41, SubjectGroup!$A$2:$B$8, 2, FALSE)</f>
        <v>Core Academic Studies</v>
      </c>
      <c r="Q41" t="s">
        <v>221</v>
      </c>
      <c r="R41" t="str">
        <f t="shared" si="1"/>
        <v>Literature and Creative Writing Level 6</v>
      </c>
      <c r="S41">
        <v>0.8</v>
      </c>
    </row>
    <row r="42" spans="1:19" hidden="1" x14ac:dyDescent="0.2">
      <c r="A42">
        <v>41</v>
      </c>
      <c r="C42" t="s">
        <v>264</v>
      </c>
      <c r="E42">
        <v>6</v>
      </c>
      <c r="F42">
        <v>61</v>
      </c>
      <c r="G42">
        <v>72</v>
      </c>
      <c r="H42">
        <f t="shared" si="0"/>
        <v>12</v>
      </c>
      <c r="I42">
        <v>12</v>
      </c>
      <c r="J42">
        <v>5</v>
      </c>
      <c r="K42" t="str">
        <f>VLOOKUP(J42, Subject!$A$2:$B$15, 2, FALSE)</f>
        <v>Science</v>
      </c>
      <c r="L42" t="str">
        <f>VLOOKUP(J42, Subject!$A$2:$E$11, 5, FALSE)</f>
        <v>SC</v>
      </c>
      <c r="M42"/>
      <c r="N42" t="s">
        <v>153</v>
      </c>
      <c r="O42">
        <v>2</v>
      </c>
      <c r="P42" t="str">
        <f>VLOOKUP(O42, SubjectGroup!$A$2:$B$8, 2, FALSE)</f>
        <v>Core Academic Studies</v>
      </c>
      <c r="Q42" t="s">
        <v>221</v>
      </c>
      <c r="R42" t="str">
        <f t="shared" si="1"/>
        <v>Science Level 6</v>
      </c>
      <c r="S42">
        <v>0.8</v>
      </c>
    </row>
    <row r="43" spans="1:19" x14ac:dyDescent="0.2">
      <c r="A43">
        <v>42</v>
      </c>
      <c r="C43" t="s">
        <v>265</v>
      </c>
      <c r="E43">
        <v>6</v>
      </c>
      <c r="F43">
        <v>61</v>
      </c>
      <c r="G43">
        <v>72</v>
      </c>
      <c r="H43">
        <f t="shared" si="0"/>
        <v>12</v>
      </c>
      <c r="I43">
        <v>12</v>
      </c>
      <c r="J43">
        <v>6</v>
      </c>
      <c r="K43" t="str">
        <f>VLOOKUP(J43, Subject!$A$2:$B$15, 2, FALSE)</f>
        <v>Social Studies</v>
      </c>
      <c r="L43" t="str">
        <f>VLOOKUP(J43, Subject!$A$2:$E$11, 5, FALSE)</f>
        <v>SS</v>
      </c>
      <c r="N43" t="s">
        <v>156</v>
      </c>
      <c r="O43">
        <v>2</v>
      </c>
      <c r="P43" t="str">
        <f>VLOOKUP(O43, SubjectGroup!$A$2:$B$8, 2, FALSE)</f>
        <v>Core Academic Studies</v>
      </c>
      <c r="Q43" t="s">
        <v>221</v>
      </c>
      <c r="R43" t="str">
        <f t="shared" si="1"/>
        <v>Social Studies Level 6</v>
      </c>
      <c r="S43">
        <v>0.8</v>
      </c>
    </row>
    <row r="44" spans="1:19" hidden="1" x14ac:dyDescent="0.2">
      <c r="A44">
        <v>43</v>
      </c>
      <c r="C44" t="s">
        <v>266</v>
      </c>
      <c r="E44">
        <v>6</v>
      </c>
      <c r="F44">
        <v>61</v>
      </c>
      <c r="G44">
        <v>72</v>
      </c>
      <c r="H44">
        <f t="shared" si="0"/>
        <v>12</v>
      </c>
      <c r="I44">
        <v>12</v>
      </c>
      <c r="J44">
        <v>7</v>
      </c>
      <c r="K44" t="str">
        <f>VLOOKUP(J44, Subject!$A$2:$B$15, 2, FALSE)</f>
        <v>Biblical Studies</v>
      </c>
      <c r="L44" t="str">
        <f>VLOOKUP(J44, Subject!$A$2:$E$11, 5, FALSE)</f>
        <v>BS</v>
      </c>
      <c r="M44"/>
      <c r="N44" t="s">
        <v>231</v>
      </c>
      <c r="O44">
        <v>1</v>
      </c>
      <c r="P44" t="str">
        <f>VLOOKUP(O44, SubjectGroup!$A$2:$B$8, 2, FALSE)</f>
        <v>Christian Studies</v>
      </c>
      <c r="Q44" t="s">
        <v>221</v>
      </c>
      <c r="R44" t="str">
        <f t="shared" si="1"/>
        <v>Bible Reading Level 6</v>
      </c>
      <c r="S44">
        <v>0.8</v>
      </c>
    </row>
    <row r="45" spans="1:19" hidden="1" x14ac:dyDescent="0.2">
      <c r="A45">
        <v>44</v>
      </c>
      <c r="C45" t="s">
        <v>267</v>
      </c>
      <c r="E45">
        <v>7</v>
      </c>
      <c r="F45">
        <v>73</v>
      </c>
      <c r="G45">
        <v>84</v>
      </c>
      <c r="H45">
        <f t="shared" si="0"/>
        <v>12</v>
      </c>
      <c r="I45">
        <v>12</v>
      </c>
      <c r="J45">
        <v>1</v>
      </c>
      <c r="K45" t="str">
        <f>VLOOKUP(J45, Subject!$A$2:$B$15, 2, FALSE)</f>
        <v>Maths</v>
      </c>
      <c r="L45" t="str">
        <f>VLOOKUP(J45, Subject!$A$2:$E$11, 5, FALSE)</f>
        <v>MA</v>
      </c>
      <c r="M45"/>
      <c r="N45" t="s">
        <v>141</v>
      </c>
      <c r="O45">
        <v>2</v>
      </c>
      <c r="P45" t="str">
        <f>VLOOKUP(O45, SubjectGroup!$A$2:$B$8, 2, FALSE)</f>
        <v>Core Academic Studies</v>
      </c>
      <c r="Q45" t="s">
        <v>221</v>
      </c>
      <c r="R45" t="str">
        <f t="shared" si="1"/>
        <v>Maths Level 7</v>
      </c>
      <c r="S45">
        <v>0.8</v>
      </c>
    </row>
    <row r="46" spans="1:19" hidden="1" x14ac:dyDescent="0.2">
      <c r="A46">
        <v>45</v>
      </c>
      <c r="C46" t="s">
        <v>268</v>
      </c>
      <c r="E46">
        <v>7</v>
      </c>
      <c r="F46">
        <v>73</v>
      </c>
      <c r="G46">
        <v>84</v>
      </c>
      <c r="H46">
        <f t="shared" si="0"/>
        <v>12</v>
      </c>
      <c r="I46">
        <v>12</v>
      </c>
      <c r="J46">
        <v>2</v>
      </c>
      <c r="K46" t="str">
        <f>VLOOKUP(J46, Subject!$A$2:$B$15, 2, FALSE)</f>
        <v>Language</v>
      </c>
      <c r="L46" t="str">
        <f>VLOOKUP(J46, Subject!$A$2:$E$11, 5, FALSE)</f>
        <v>LA</v>
      </c>
      <c r="M46"/>
      <c r="N46" t="s">
        <v>224</v>
      </c>
      <c r="O46">
        <v>2</v>
      </c>
      <c r="P46" t="str">
        <f>VLOOKUP(O46, SubjectGroup!$A$2:$B$8, 2, FALSE)</f>
        <v>Core Academic Studies</v>
      </c>
      <c r="Q46" t="s">
        <v>221</v>
      </c>
      <c r="R46" t="str">
        <f t="shared" si="1"/>
        <v>English Level 7</v>
      </c>
      <c r="S46">
        <v>0.8</v>
      </c>
    </row>
    <row r="47" spans="1:19" hidden="1" x14ac:dyDescent="0.2">
      <c r="A47">
        <v>46</v>
      </c>
      <c r="C47" t="s">
        <v>269</v>
      </c>
      <c r="E47">
        <v>7</v>
      </c>
      <c r="F47">
        <v>73</v>
      </c>
      <c r="G47">
        <v>84</v>
      </c>
      <c r="H47">
        <f t="shared" si="0"/>
        <v>12</v>
      </c>
      <c r="I47">
        <v>12</v>
      </c>
      <c r="J47">
        <v>3</v>
      </c>
      <c r="K47" t="str">
        <f>VLOOKUP(J47, Subject!$A$2:$B$15, 2, FALSE)</f>
        <v>Word Building</v>
      </c>
      <c r="L47" t="str">
        <f>VLOOKUP(J47, Subject!$A$2:$E$11, 5, FALSE)</f>
        <v>WB</v>
      </c>
      <c r="M47"/>
      <c r="N47" t="s">
        <v>270</v>
      </c>
      <c r="O47">
        <v>2</v>
      </c>
      <c r="P47" t="str">
        <f>VLOOKUP(O47, SubjectGroup!$A$2:$B$8, 2, FALSE)</f>
        <v>Core Academic Studies</v>
      </c>
      <c r="Q47" t="s">
        <v>221</v>
      </c>
      <c r="R47" t="str">
        <f t="shared" si="1"/>
        <v>Beginning Art</v>
      </c>
      <c r="S47">
        <v>0.8</v>
      </c>
    </row>
    <row r="48" spans="1:19" hidden="1" x14ac:dyDescent="0.2">
      <c r="A48">
        <v>47</v>
      </c>
      <c r="C48" t="s">
        <v>271</v>
      </c>
      <c r="E48">
        <v>7</v>
      </c>
      <c r="F48">
        <v>73</v>
      </c>
      <c r="G48">
        <v>84</v>
      </c>
      <c r="H48">
        <f t="shared" si="0"/>
        <v>12</v>
      </c>
      <c r="I48">
        <v>12</v>
      </c>
      <c r="J48">
        <v>3</v>
      </c>
      <c r="K48" t="str">
        <f>VLOOKUP(J48, Subject!$A$2:$B$15, 2, FALSE)</f>
        <v>Word Building</v>
      </c>
      <c r="L48" t="str">
        <f>VLOOKUP(J48, Subject!$A$2:$E$11, 5, FALSE)</f>
        <v>WB</v>
      </c>
      <c r="M48"/>
      <c r="N48" t="s">
        <v>147</v>
      </c>
      <c r="O48">
        <v>2</v>
      </c>
      <c r="P48" t="str">
        <f>VLOOKUP(O48, SubjectGroup!$A$2:$B$8, 2, FALSE)</f>
        <v>Core Academic Studies</v>
      </c>
      <c r="Q48" t="s">
        <v>221</v>
      </c>
      <c r="R48" t="str">
        <f t="shared" si="1"/>
        <v>Word Building Level 7</v>
      </c>
      <c r="S48">
        <v>0.9</v>
      </c>
    </row>
    <row r="49" spans="1:19" hidden="1" x14ac:dyDescent="0.2">
      <c r="A49">
        <v>48</v>
      </c>
      <c r="C49" t="s">
        <v>272</v>
      </c>
      <c r="E49">
        <v>7</v>
      </c>
      <c r="F49" s="13">
        <v>73</v>
      </c>
      <c r="G49">
        <v>84</v>
      </c>
      <c r="H49">
        <f t="shared" si="0"/>
        <v>12</v>
      </c>
      <c r="J49">
        <v>4</v>
      </c>
      <c r="K49" t="str">
        <f>VLOOKUP(J49, Subject!$A$2:$B$15, 2, FALSE)</f>
        <v>Literature</v>
      </c>
      <c r="L49" t="str">
        <f>VLOOKUP(J49, Subject!$A$2:$E$11, 5, FALSE)</f>
        <v>LI</v>
      </c>
      <c r="M49" t="s">
        <v>273</v>
      </c>
      <c r="N49" t="s">
        <v>227</v>
      </c>
      <c r="O49">
        <v>2</v>
      </c>
      <c r="P49" t="str">
        <f>VLOOKUP(O49, SubjectGroup!$A$2:$B$8, 2, FALSE)</f>
        <v>Core Academic Studies</v>
      </c>
      <c r="Q49" t="s">
        <v>221</v>
      </c>
      <c r="R49" t="str">
        <f t="shared" si="1"/>
        <v>Literature Level 7</v>
      </c>
      <c r="S49">
        <v>0.8</v>
      </c>
    </row>
    <row r="50" spans="1:19" hidden="1" x14ac:dyDescent="0.2">
      <c r="A50">
        <v>49</v>
      </c>
      <c r="C50" t="s">
        <v>274</v>
      </c>
      <c r="E50">
        <v>7</v>
      </c>
      <c r="F50">
        <v>73</v>
      </c>
      <c r="G50">
        <v>84</v>
      </c>
      <c r="H50">
        <f t="shared" si="0"/>
        <v>12</v>
      </c>
      <c r="I50">
        <v>12</v>
      </c>
      <c r="J50">
        <v>5</v>
      </c>
      <c r="K50" t="str">
        <f>VLOOKUP(J50, Subject!$A$2:$B$15, 2, FALSE)</f>
        <v>Science</v>
      </c>
      <c r="L50" t="str">
        <f>VLOOKUP(J50, Subject!$A$2:$E$11, 5, FALSE)</f>
        <v>SC</v>
      </c>
      <c r="M50"/>
      <c r="N50" t="s">
        <v>153</v>
      </c>
      <c r="O50">
        <v>2</v>
      </c>
      <c r="P50" t="str">
        <f>VLOOKUP(O50, SubjectGroup!$A$2:$B$8, 2, FALSE)</f>
        <v>Core Academic Studies</v>
      </c>
      <c r="Q50" t="s">
        <v>221</v>
      </c>
      <c r="R50" t="str">
        <f t="shared" si="1"/>
        <v>Science Level 7</v>
      </c>
      <c r="S50">
        <v>0.8</v>
      </c>
    </row>
    <row r="51" spans="1:19" x14ac:dyDescent="0.2">
      <c r="A51">
        <v>50</v>
      </c>
      <c r="C51" t="s">
        <v>275</v>
      </c>
      <c r="E51">
        <v>7</v>
      </c>
      <c r="F51">
        <v>73</v>
      </c>
      <c r="G51">
        <v>78</v>
      </c>
      <c r="H51">
        <f t="shared" si="0"/>
        <v>6</v>
      </c>
      <c r="J51">
        <v>6</v>
      </c>
      <c r="K51" t="str">
        <f>VLOOKUP(J51, Subject!$A$2:$B$15, 2, FALSE)</f>
        <v>Social Studies</v>
      </c>
      <c r="L51" t="str">
        <f>VLOOKUP(J51, Subject!$A$2:$E$11, 5, FALSE)</f>
        <v>SS</v>
      </c>
      <c r="N51" t="s">
        <v>156</v>
      </c>
      <c r="O51">
        <v>2</v>
      </c>
      <c r="P51" t="str">
        <f>VLOOKUP(O51, SubjectGroup!$A$2:$B$8, 2, FALSE)</f>
        <v>Core Academic Studies</v>
      </c>
      <c r="Q51" t="s">
        <v>221</v>
      </c>
      <c r="R51" t="str">
        <f t="shared" si="1"/>
        <v>Social Studies Level 7</v>
      </c>
      <c r="S51">
        <v>0.8</v>
      </c>
    </row>
    <row r="52" spans="1:19" x14ac:dyDescent="0.2">
      <c r="A52">
        <v>51</v>
      </c>
      <c r="C52" t="s">
        <v>276</v>
      </c>
      <c r="E52">
        <v>7</v>
      </c>
      <c r="F52">
        <v>1</v>
      </c>
      <c r="G52">
        <v>3</v>
      </c>
      <c r="H52">
        <f t="shared" si="0"/>
        <v>3</v>
      </c>
      <c r="I52">
        <v>3</v>
      </c>
      <c r="J52">
        <v>6</v>
      </c>
      <c r="K52" t="str">
        <f>VLOOKUP(J52, Subject!$A$2:$B$15, 2, FALSE)</f>
        <v>Social Studies</v>
      </c>
      <c r="L52" t="str">
        <f>VLOOKUP(J52, Subject!$A$2:$E$11, 5, FALSE)</f>
        <v>SS</v>
      </c>
      <c r="N52" t="s">
        <v>277</v>
      </c>
      <c r="O52">
        <v>2</v>
      </c>
      <c r="P52" t="str">
        <f>VLOOKUP(O52, SubjectGroup!$A$2:$B$8, 2, FALSE)</f>
        <v>Core Academic Studies</v>
      </c>
      <c r="Q52" t="s">
        <v>221</v>
      </c>
      <c r="R52" t="str">
        <f t="shared" si="1"/>
        <v>Staatsinrichting</v>
      </c>
      <c r="S52">
        <v>0.8</v>
      </c>
    </row>
    <row r="53" spans="1:19" hidden="1" x14ac:dyDescent="0.2">
      <c r="A53">
        <v>52</v>
      </c>
      <c r="C53" t="s">
        <v>1786</v>
      </c>
      <c r="E53">
        <v>7</v>
      </c>
      <c r="F53">
        <v>73</v>
      </c>
      <c r="G53">
        <v>84</v>
      </c>
      <c r="H53">
        <f t="shared" si="0"/>
        <v>12</v>
      </c>
      <c r="I53">
        <v>12</v>
      </c>
      <c r="J53">
        <v>7</v>
      </c>
      <c r="K53" t="str">
        <f>VLOOKUP(J53, Subject!$A$2:$B$15, 2, FALSE)</f>
        <v>Biblical Studies</v>
      </c>
      <c r="L53" t="str">
        <f>VLOOKUP(J53, Subject!$A$2:$E$11, 5, FALSE)</f>
        <v>BS</v>
      </c>
      <c r="M53" s="13" t="s">
        <v>1787</v>
      </c>
      <c r="N53" t="s">
        <v>231</v>
      </c>
      <c r="O53">
        <v>2</v>
      </c>
      <c r="P53" t="str">
        <f>VLOOKUP(O53, SubjectGroup!$A$2:$B$8, 2, FALSE)</f>
        <v>Core Academic Studies</v>
      </c>
      <c r="Q53" t="s">
        <v>221</v>
      </c>
      <c r="R53" t="str">
        <f t="shared" si="1"/>
        <v>Bible Reading Level 7</v>
      </c>
      <c r="S53">
        <v>0.8</v>
      </c>
    </row>
    <row r="54" spans="1:19" hidden="1" x14ac:dyDescent="0.2">
      <c r="A54">
        <v>53</v>
      </c>
      <c r="C54" t="s">
        <v>278</v>
      </c>
      <c r="E54">
        <v>8</v>
      </c>
      <c r="F54">
        <v>85</v>
      </c>
      <c r="G54">
        <v>96</v>
      </c>
      <c r="H54">
        <f t="shared" si="0"/>
        <v>12</v>
      </c>
      <c r="I54">
        <v>12</v>
      </c>
      <c r="J54">
        <v>1</v>
      </c>
      <c r="K54" t="str">
        <f>VLOOKUP(J54, Subject!$A$2:$B$15, 2, FALSE)</f>
        <v>Maths</v>
      </c>
      <c r="L54" t="str">
        <f>VLOOKUP(J54, Subject!$A$2:$E$11, 5, FALSE)</f>
        <v>MA</v>
      </c>
      <c r="M54"/>
      <c r="N54" t="s">
        <v>279</v>
      </c>
      <c r="O54">
        <v>2</v>
      </c>
      <c r="P54" t="str">
        <f>VLOOKUP(O54, SubjectGroup!$A$2:$B$8, 2, FALSE)</f>
        <v>Core Academic Studies</v>
      </c>
      <c r="Q54" t="s">
        <v>221</v>
      </c>
      <c r="R54" t="str">
        <f t="shared" si="1"/>
        <v>General Maths</v>
      </c>
      <c r="S54">
        <v>0.8</v>
      </c>
    </row>
    <row r="55" spans="1:19" hidden="1" x14ac:dyDescent="0.2">
      <c r="A55">
        <v>54</v>
      </c>
      <c r="C55" t="s">
        <v>280</v>
      </c>
      <c r="E55">
        <v>8</v>
      </c>
      <c r="F55">
        <v>85</v>
      </c>
      <c r="G55">
        <v>96</v>
      </c>
      <c r="H55">
        <f t="shared" si="0"/>
        <v>12</v>
      </c>
      <c r="I55">
        <v>12</v>
      </c>
      <c r="J55">
        <v>2</v>
      </c>
      <c r="K55" t="str">
        <f>VLOOKUP(J55, Subject!$A$2:$B$15, 2, FALSE)</f>
        <v>Language</v>
      </c>
      <c r="L55" t="str">
        <f>VLOOKUP(J55, Subject!$A$2:$E$11, 5, FALSE)</f>
        <v>LA</v>
      </c>
      <c r="M55"/>
      <c r="N55" t="s">
        <v>224</v>
      </c>
      <c r="O55">
        <v>1</v>
      </c>
      <c r="P55" t="str">
        <f>VLOOKUP(O55, SubjectGroup!$A$2:$B$8, 2, FALSE)</f>
        <v>Christian Studies</v>
      </c>
      <c r="Q55" t="s">
        <v>221</v>
      </c>
      <c r="R55" t="str">
        <f t="shared" si="1"/>
        <v>General English</v>
      </c>
      <c r="S55">
        <v>0.8</v>
      </c>
    </row>
    <row r="56" spans="1:19" hidden="1" x14ac:dyDescent="0.2">
      <c r="A56">
        <v>55</v>
      </c>
      <c r="C56" t="s">
        <v>281</v>
      </c>
      <c r="E56">
        <v>8</v>
      </c>
      <c r="F56">
        <v>85</v>
      </c>
      <c r="G56">
        <v>96</v>
      </c>
      <c r="H56">
        <f t="shared" si="0"/>
        <v>12</v>
      </c>
      <c r="I56">
        <v>12</v>
      </c>
      <c r="J56">
        <v>3</v>
      </c>
      <c r="K56" t="str">
        <f>VLOOKUP(J56, Subject!$A$2:$B$15, 2, FALSE)</f>
        <v>Word Building</v>
      </c>
      <c r="L56" t="str">
        <f>VLOOKUP(J56, Subject!$A$2:$E$11, 5, FALSE)</f>
        <v>WB</v>
      </c>
      <c r="M56"/>
      <c r="N56" t="s">
        <v>147</v>
      </c>
      <c r="O56">
        <v>1</v>
      </c>
      <c r="P56" t="str">
        <f>VLOOKUP(O56, SubjectGroup!$A$2:$B$8, 2, FALSE)</f>
        <v>Christian Studies</v>
      </c>
      <c r="Q56" t="s">
        <v>221</v>
      </c>
      <c r="R56" t="str">
        <f t="shared" si="1"/>
        <v>Word Building Level 8</v>
      </c>
      <c r="S56">
        <v>0.9</v>
      </c>
    </row>
    <row r="57" spans="1:19" hidden="1" x14ac:dyDescent="0.2">
      <c r="A57">
        <v>56</v>
      </c>
      <c r="C57" t="s">
        <v>282</v>
      </c>
      <c r="E57">
        <v>8</v>
      </c>
      <c r="F57" s="13">
        <v>86</v>
      </c>
      <c r="G57">
        <v>96</v>
      </c>
      <c r="H57">
        <f t="shared" si="0"/>
        <v>11</v>
      </c>
      <c r="J57">
        <v>4</v>
      </c>
      <c r="K57" t="str">
        <f>VLOOKUP(J57, Subject!$A$2:$B$15, 2, FALSE)</f>
        <v>Literature</v>
      </c>
      <c r="L57" t="str">
        <f>VLOOKUP(J57, Subject!$A$2:$E$11, 5, FALSE)</f>
        <v>LI</v>
      </c>
      <c r="M57" t="s">
        <v>273</v>
      </c>
      <c r="N57" t="s">
        <v>227</v>
      </c>
      <c r="O57">
        <v>1</v>
      </c>
      <c r="P57" t="str">
        <f>VLOOKUP(O57, SubjectGroup!$A$2:$B$8, 2, FALSE)</f>
        <v>Christian Studies</v>
      </c>
      <c r="Q57" t="s">
        <v>221</v>
      </c>
      <c r="R57" t="str">
        <f t="shared" si="1"/>
        <v>Literature Level 8</v>
      </c>
      <c r="S57">
        <v>0.8</v>
      </c>
    </row>
    <row r="58" spans="1:19" hidden="1" x14ac:dyDescent="0.2">
      <c r="A58">
        <v>57</v>
      </c>
      <c r="C58" t="s">
        <v>1827</v>
      </c>
      <c r="E58">
        <v>8</v>
      </c>
      <c r="F58">
        <v>85</v>
      </c>
      <c r="G58">
        <v>96</v>
      </c>
      <c r="H58">
        <f t="shared" si="0"/>
        <v>12</v>
      </c>
      <c r="I58">
        <v>12</v>
      </c>
      <c r="J58">
        <v>5</v>
      </c>
      <c r="K58" t="str">
        <f>VLOOKUP(J58, Subject!$A$2:$B$15, 2, FALSE)</f>
        <v>Science</v>
      </c>
      <c r="L58" t="str">
        <f>VLOOKUP(J58, Subject!$A$2:$E$11, 5, FALSE)</f>
        <v>SC</v>
      </c>
      <c r="M58"/>
      <c r="N58" t="s">
        <v>283</v>
      </c>
      <c r="O58">
        <v>2</v>
      </c>
      <c r="P58" t="str">
        <f>VLOOKUP(O58, SubjectGroup!$A$2:$B$8, 2, FALSE)</f>
        <v>Core Academic Studies</v>
      </c>
      <c r="Q58" t="s">
        <v>221</v>
      </c>
      <c r="R58" t="s">
        <v>1828</v>
      </c>
      <c r="S58">
        <v>0.8</v>
      </c>
    </row>
    <row r="59" spans="1:19" x14ac:dyDescent="0.2">
      <c r="A59">
        <v>58</v>
      </c>
      <c r="C59" t="s">
        <v>284</v>
      </c>
      <c r="E59">
        <v>8</v>
      </c>
      <c r="F59">
        <v>97</v>
      </c>
      <c r="G59">
        <v>108</v>
      </c>
      <c r="H59">
        <f t="shared" si="0"/>
        <v>12</v>
      </c>
      <c r="I59">
        <v>12</v>
      </c>
      <c r="J59">
        <v>6</v>
      </c>
      <c r="K59" t="str">
        <f>VLOOKUP(J59, Subject!$A$2:$B$15, 2, FALSE)</f>
        <v>Social Studies</v>
      </c>
      <c r="L59" t="str">
        <f>VLOOKUP(J59, Subject!$A$2:$E$11, 5, FALSE)</f>
        <v>SS</v>
      </c>
      <c r="N59" t="s">
        <v>285</v>
      </c>
      <c r="O59">
        <v>1</v>
      </c>
      <c r="P59" t="str">
        <f>VLOOKUP(O59, SubjectGroup!$A$2:$B$8, 2, FALSE)</f>
        <v>Christian Studies</v>
      </c>
      <c r="Q59" t="s">
        <v>194</v>
      </c>
      <c r="R59" t="s">
        <v>1831</v>
      </c>
      <c r="S59">
        <v>0.8</v>
      </c>
    </row>
    <row r="60" spans="1:19" ht="112" x14ac:dyDescent="0.2">
      <c r="A60">
        <v>59</v>
      </c>
      <c r="C60" t="s">
        <v>286</v>
      </c>
      <c r="E60">
        <v>8</v>
      </c>
      <c r="F60">
        <v>97</v>
      </c>
      <c r="G60">
        <v>108</v>
      </c>
      <c r="H60">
        <f t="shared" si="0"/>
        <v>12</v>
      </c>
      <c r="I60">
        <v>12</v>
      </c>
      <c r="J60">
        <v>6</v>
      </c>
      <c r="K60" t="str">
        <f>VLOOKUP(J60, Subject!$A$2:$B$15, 2, FALSE)</f>
        <v>Social Studies</v>
      </c>
      <c r="L60" t="str">
        <f>VLOOKUP(J60, Subject!$A$2:$E$11, 5, FALSE)</f>
        <v>SS</v>
      </c>
      <c r="M60" s="25" t="s">
        <v>1970</v>
      </c>
      <c r="N60" t="s">
        <v>287</v>
      </c>
      <c r="O60">
        <v>1</v>
      </c>
      <c r="P60" t="str">
        <f>VLOOKUP(O60, SubjectGroup!$A$2:$B$8, 2, FALSE)</f>
        <v>Christian Studies</v>
      </c>
      <c r="Q60" t="s">
        <v>194</v>
      </c>
      <c r="R60" t="s">
        <v>1830</v>
      </c>
      <c r="S60">
        <v>0.8</v>
      </c>
    </row>
    <row r="61" spans="1:19" hidden="1" x14ac:dyDescent="0.2">
      <c r="A61">
        <v>60</v>
      </c>
      <c r="B61" t="s">
        <v>1870</v>
      </c>
      <c r="C61" t="s">
        <v>288</v>
      </c>
      <c r="E61">
        <v>8</v>
      </c>
      <c r="F61">
        <v>97</v>
      </c>
      <c r="G61">
        <v>102</v>
      </c>
      <c r="H61">
        <f t="shared" si="0"/>
        <v>6</v>
      </c>
      <c r="J61">
        <v>7</v>
      </c>
      <c r="K61" t="str">
        <f>VLOOKUP(J61, Subject!$A$2:$B$15, 2, FALSE)</f>
        <v>Biblical Studies</v>
      </c>
      <c r="L61" t="str">
        <f>VLOOKUP(J61, Subject!$A$2:$E$11, 5, FALSE)</f>
        <v>BS</v>
      </c>
      <c r="M61"/>
      <c r="N61" t="s">
        <v>289</v>
      </c>
      <c r="O61">
        <v>1</v>
      </c>
      <c r="P61" t="str">
        <f>VLOOKUP(O61, SubjectGroup!$A$2:$B$8, 2, FALSE)</f>
        <v>Christian Studies</v>
      </c>
      <c r="Q61" t="s">
        <v>221</v>
      </c>
      <c r="R61" t="str">
        <f t="shared" si="1"/>
        <v>New Testament Survey</v>
      </c>
      <c r="S61">
        <v>0.8</v>
      </c>
    </row>
    <row r="62" spans="1:19" hidden="1" x14ac:dyDescent="0.2">
      <c r="A62">
        <v>61</v>
      </c>
      <c r="C62" t="s">
        <v>290</v>
      </c>
      <c r="E62">
        <v>9</v>
      </c>
      <c r="F62">
        <v>97</v>
      </c>
      <c r="G62">
        <v>108</v>
      </c>
      <c r="H62">
        <f t="shared" si="0"/>
        <v>12</v>
      </c>
      <c r="I62">
        <v>12</v>
      </c>
      <c r="J62">
        <v>1</v>
      </c>
      <c r="K62" t="str">
        <f>VLOOKUP(J62, Subject!$A$2:$B$15, 2, FALSE)</f>
        <v>Maths</v>
      </c>
      <c r="L62" t="str">
        <f>VLOOKUP(J62, Subject!$A$2:$E$11, 5, FALSE)</f>
        <v>MA</v>
      </c>
      <c r="M62"/>
      <c r="N62" t="s">
        <v>291</v>
      </c>
      <c r="O62">
        <v>1</v>
      </c>
      <c r="P62" t="str">
        <f>VLOOKUP(O62, SubjectGroup!$A$2:$B$8, 2, FALSE)</f>
        <v>Christian Studies</v>
      </c>
      <c r="Q62" t="s">
        <v>221</v>
      </c>
      <c r="R62" t="str">
        <f t="shared" si="1"/>
        <v>Algebra I</v>
      </c>
      <c r="S62">
        <v>0.8</v>
      </c>
    </row>
    <row r="63" spans="1:19" hidden="1" x14ac:dyDescent="0.2">
      <c r="A63">
        <v>62</v>
      </c>
      <c r="C63" t="s">
        <v>292</v>
      </c>
      <c r="E63">
        <v>9</v>
      </c>
      <c r="F63">
        <v>97</v>
      </c>
      <c r="G63">
        <v>108</v>
      </c>
      <c r="H63">
        <f t="shared" si="0"/>
        <v>12</v>
      </c>
      <c r="I63">
        <v>12</v>
      </c>
      <c r="J63">
        <v>2</v>
      </c>
      <c r="K63" t="str">
        <f>VLOOKUP(J63, Subject!$A$2:$B$15, 2, FALSE)</f>
        <v>Language</v>
      </c>
      <c r="L63" t="str">
        <f>VLOOKUP(J63, Subject!$A$2:$E$11, 5, FALSE)</f>
        <v>LA</v>
      </c>
      <c r="M63"/>
      <c r="N63" t="s">
        <v>224</v>
      </c>
      <c r="O63">
        <v>1</v>
      </c>
      <c r="P63" t="str">
        <f>VLOOKUP(O63, SubjectGroup!$A$2:$B$8, 2, FALSE)</f>
        <v>Christian Studies</v>
      </c>
      <c r="Q63" t="s">
        <v>221</v>
      </c>
      <c r="R63" t="str">
        <f t="shared" si="1"/>
        <v>English I</v>
      </c>
      <c r="S63">
        <v>0.8</v>
      </c>
    </row>
    <row r="64" spans="1:19" hidden="1" x14ac:dyDescent="0.2">
      <c r="A64">
        <v>63</v>
      </c>
      <c r="C64" t="s">
        <v>293</v>
      </c>
      <c r="E64">
        <v>9</v>
      </c>
      <c r="F64">
        <v>97</v>
      </c>
      <c r="G64">
        <v>108</v>
      </c>
      <c r="H64">
        <f t="shared" si="0"/>
        <v>12</v>
      </c>
      <c r="I64">
        <v>12</v>
      </c>
      <c r="J64">
        <v>2</v>
      </c>
      <c r="K64" t="str">
        <f>VLOOKUP(J64, Subject!$A$2:$B$15, 2, FALSE)</f>
        <v>Language</v>
      </c>
      <c r="L64" t="str">
        <f>VLOOKUP(J64, Subject!$A$2:$E$11, 5, FALSE)</f>
        <v>LA</v>
      </c>
      <c r="M64"/>
      <c r="N64" t="s">
        <v>294</v>
      </c>
      <c r="O64">
        <v>1</v>
      </c>
      <c r="P64" t="str">
        <f>VLOOKUP(O64, SubjectGroup!$A$2:$B$8, 2, FALSE)</f>
        <v>Christian Studies</v>
      </c>
      <c r="Q64" t="s">
        <v>194</v>
      </c>
      <c r="R64" t="str">
        <f t="shared" si="1"/>
        <v>French I</v>
      </c>
      <c r="S64">
        <v>0.8</v>
      </c>
    </row>
    <row r="65" spans="1:19" hidden="1" x14ac:dyDescent="0.2">
      <c r="A65">
        <v>64</v>
      </c>
      <c r="C65" t="s">
        <v>295</v>
      </c>
      <c r="E65">
        <v>9</v>
      </c>
      <c r="F65">
        <v>1</v>
      </c>
      <c r="G65">
        <v>2</v>
      </c>
      <c r="H65">
        <f t="shared" si="0"/>
        <v>2</v>
      </c>
      <c r="J65">
        <v>2</v>
      </c>
      <c r="K65" t="str">
        <f>VLOOKUP(J65, Subject!$A$2:$B$15, 2, FALSE)</f>
        <v>Language</v>
      </c>
      <c r="L65" t="str">
        <f>VLOOKUP(J65, Subject!$A$2:$E$11, 5, FALSE)</f>
        <v>LA</v>
      </c>
      <c r="M65" t="s">
        <v>296</v>
      </c>
      <c r="N65" t="s">
        <v>297</v>
      </c>
      <c r="O65">
        <v>1</v>
      </c>
      <c r="P65" t="str">
        <f>VLOOKUP(O65, SubjectGroup!$A$2:$B$8, 2, FALSE)</f>
        <v>Christian Studies</v>
      </c>
      <c r="Q65" t="s">
        <v>194</v>
      </c>
      <c r="R65" t="str">
        <f t="shared" si="1"/>
        <v>Rosetta Stone Level 9</v>
      </c>
      <c r="S65">
        <v>0.8</v>
      </c>
    </row>
    <row r="66" spans="1:19" hidden="1" x14ac:dyDescent="0.2">
      <c r="A66">
        <v>65</v>
      </c>
      <c r="C66" t="s">
        <v>298</v>
      </c>
      <c r="E66">
        <v>9</v>
      </c>
      <c r="F66">
        <v>1</v>
      </c>
      <c r="G66">
        <v>12</v>
      </c>
      <c r="H66">
        <f t="shared" si="0"/>
        <v>12</v>
      </c>
      <c r="I66">
        <v>12</v>
      </c>
      <c r="J66">
        <v>2</v>
      </c>
      <c r="K66" t="str">
        <f>VLOOKUP(J66, Subject!$A$2:$B$15, 2, FALSE)</f>
        <v>Language</v>
      </c>
      <c r="L66" t="str">
        <f>VLOOKUP(J66, Subject!$A$2:$E$11, 5, FALSE)</f>
        <v>LA</v>
      </c>
      <c r="M66"/>
      <c r="N66" t="s">
        <v>283</v>
      </c>
      <c r="O66">
        <v>1</v>
      </c>
      <c r="P66" t="str">
        <f>VLOOKUP(O66, SubjectGroup!$A$2:$B$8, 2, FALSE)</f>
        <v>Christian Studies</v>
      </c>
      <c r="Q66" t="s">
        <v>194</v>
      </c>
      <c r="R66" t="str">
        <f t="shared" si="1"/>
        <v>Spanish I</v>
      </c>
      <c r="S66">
        <v>0.8</v>
      </c>
    </row>
    <row r="67" spans="1:19" hidden="1" x14ac:dyDescent="0.2">
      <c r="A67">
        <v>66</v>
      </c>
      <c r="C67" t="s">
        <v>299</v>
      </c>
      <c r="E67">
        <v>9</v>
      </c>
      <c r="F67">
        <v>97</v>
      </c>
      <c r="G67">
        <v>108</v>
      </c>
      <c r="H67">
        <f t="shared" ref="H67:H130" si="2">G67-F67+1</f>
        <v>12</v>
      </c>
      <c r="I67">
        <v>12</v>
      </c>
      <c r="J67">
        <v>10</v>
      </c>
      <c r="K67" t="str">
        <f>VLOOKUP(J67, Subject!$A$2:$B$15, 2, FALSE)</f>
        <v>Supplementary</v>
      </c>
      <c r="L67" t="str">
        <f>VLOOKUP(J67, Subject!$A$2:$E$11, 5, FALSE)</f>
        <v>SU</v>
      </c>
      <c r="M67"/>
      <c r="N67" t="s">
        <v>300</v>
      </c>
      <c r="O67">
        <v>2</v>
      </c>
      <c r="P67" t="str">
        <f>VLOOKUP(O67, SubjectGroup!$A$2:$B$8, 2, FALSE)</f>
        <v>Core Academic Studies</v>
      </c>
      <c r="Q67" t="s">
        <v>194</v>
      </c>
      <c r="R67" t="str">
        <f t="shared" ref="R67:R130" si="3">C67</f>
        <v>Advanced Art</v>
      </c>
      <c r="S67">
        <v>0.8</v>
      </c>
    </row>
    <row r="68" spans="1:19" hidden="1" x14ac:dyDescent="0.2">
      <c r="A68">
        <v>67</v>
      </c>
      <c r="C68" t="s">
        <v>301</v>
      </c>
      <c r="E68">
        <v>9</v>
      </c>
      <c r="F68">
        <v>1</v>
      </c>
      <c r="G68">
        <v>10</v>
      </c>
      <c r="H68">
        <f t="shared" si="2"/>
        <v>10</v>
      </c>
      <c r="J68">
        <v>10</v>
      </c>
      <c r="K68" t="str">
        <f>VLOOKUP(J68, Subject!$A$2:$B$15, 2, FALSE)</f>
        <v>Supplementary</v>
      </c>
      <c r="L68" t="str">
        <f>VLOOKUP(J68, Subject!$A$2:$E$11, 5, FALSE)</f>
        <v>SU</v>
      </c>
      <c r="M68"/>
      <c r="N68" t="s">
        <v>302</v>
      </c>
      <c r="O68">
        <v>2</v>
      </c>
      <c r="P68" t="str">
        <f>VLOOKUP(O68, SubjectGroup!$A$2:$B$8, 2, FALSE)</f>
        <v>Core Academic Studies</v>
      </c>
      <c r="Q68" t="s">
        <v>194</v>
      </c>
      <c r="R68" t="str">
        <f t="shared" si="3"/>
        <v>Complete Art</v>
      </c>
      <c r="S68">
        <v>0.8</v>
      </c>
    </row>
    <row r="69" spans="1:19" hidden="1" x14ac:dyDescent="0.2">
      <c r="A69">
        <v>68</v>
      </c>
      <c r="C69" t="s">
        <v>303</v>
      </c>
      <c r="E69">
        <v>9</v>
      </c>
      <c r="F69">
        <v>97</v>
      </c>
      <c r="G69">
        <v>108</v>
      </c>
      <c r="H69">
        <f t="shared" si="2"/>
        <v>12</v>
      </c>
      <c r="I69">
        <v>12</v>
      </c>
      <c r="J69">
        <v>3</v>
      </c>
      <c r="K69" t="str">
        <f>VLOOKUP(J69, Subject!$A$2:$B$15, 2, FALSE)</f>
        <v>Word Building</v>
      </c>
      <c r="L69" t="str">
        <f>VLOOKUP(J69, Subject!$A$2:$E$11, 5, FALSE)</f>
        <v>WB</v>
      </c>
      <c r="M69"/>
      <c r="N69" t="s">
        <v>304</v>
      </c>
      <c r="O69">
        <v>1</v>
      </c>
      <c r="P69" t="str">
        <f>VLOOKUP(O69, SubjectGroup!$A$2:$B$8, 2, FALSE)</f>
        <v>Christian Studies</v>
      </c>
      <c r="Q69" t="s">
        <v>221</v>
      </c>
      <c r="R69" t="s">
        <v>1822</v>
      </c>
      <c r="S69">
        <v>0.9</v>
      </c>
    </row>
    <row r="70" spans="1:19" hidden="1" x14ac:dyDescent="0.2">
      <c r="A70">
        <v>69</v>
      </c>
      <c r="C70" t="s">
        <v>305</v>
      </c>
      <c r="E70">
        <v>9</v>
      </c>
      <c r="F70">
        <v>1</v>
      </c>
      <c r="G70">
        <v>6</v>
      </c>
      <c r="H70">
        <f t="shared" si="2"/>
        <v>6</v>
      </c>
      <c r="J70">
        <v>10</v>
      </c>
      <c r="K70" t="str">
        <f>VLOOKUP(J70, Subject!$A$2:$B$15, 2, FALSE)</f>
        <v>Supplementary</v>
      </c>
      <c r="L70" t="str">
        <f>VLOOKUP(J70, Subject!$A$2:$E$11, 5, FALSE)</f>
        <v>SU</v>
      </c>
      <c r="M70"/>
      <c r="N70" t="s">
        <v>306</v>
      </c>
      <c r="O70">
        <v>3</v>
      </c>
      <c r="P70" t="str">
        <f>VLOOKUP(O70, SubjectGroup!$A$2:$B$8, 2, FALSE)</f>
        <v>Core Expanded Studies</v>
      </c>
      <c r="Q70" t="s">
        <v>194</v>
      </c>
      <c r="R70" t="str">
        <f t="shared" si="3"/>
        <v>Music</v>
      </c>
      <c r="S70">
        <v>0.8</v>
      </c>
    </row>
    <row r="71" spans="1:19" hidden="1" x14ac:dyDescent="0.2">
      <c r="A71">
        <v>70</v>
      </c>
      <c r="C71" t="s">
        <v>307</v>
      </c>
      <c r="E71">
        <v>9</v>
      </c>
      <c r="F71">
        <v>5</v>
      </c>
      <c r="G71">
        <v>6</v>
      </c>
      <c r="H71">
        <f t="shared" si="2"/>
        <v>2</v>
      </c>
      <c r="I71">
        <v>12</v>
      </c>
      <c r="J71">
        <v>10</v>
      </c>
      <c r="K71" t="str">
        <f>VLOOKUP(J71, Subject!$A$2:$B$15, 2, FALSE)</f>
        <v>Supplementary</v>
      </c>
      <c r="L71" t="str">
        <f>VLOOKUP(J71, Subject!$A$2:$E$11, 5, FALSE)</f>
        <v>SU</v>
      </c>
      <c r="M71"/>
      <c r="N71" t="s">
        <v>308</v>
      </c>
      <c r="O71">
        <v>3</v>
      </c>
      <c r="P71" t="str">
        <f>VLOOKUP(O71, SubjectGroup!$A$2:$B$8, 2, FALSE)</f>
        <v>Core Expanded Studies</v>
      </c>
      <c r="Q71" t="s">
        <v>194</v>
      </c>
      <c r="R71" t="str">
        <f t="shared" si="3"/>
        <v>Music Theory/Performance Grade 5</v>
      </c>
      <c r="S71">
        <v>0.8</v>
      </c>
    </row>
    <row r="72" spans="1:19" hidden="1" x14ac:dyDescent="0.2">
      <c r="A72">
        <v>71</v>
      </c>
      <c r="C72" t="s">
        <v>309</v>
      </c>
      <c r="E72">
        <v>9</v>
      </c>
      <c r="F72">
        <v>5</v>
      </c>
      <c r="G72">
        <v>6</v>
      </c>
      <c r="H72">
        <f t="shared" si="2"/>
        <v>2</v>
      </c>
      <c r="I72">
        <v>12</v>
      </c>
      <c r="J72">
        <v>10</v>
      </c>
      <c r="K72" t="str">
        <f>VLOOKUP(J72, Subject!$A$2:$B$15, 2, FALSE)</f>
        <v>Supplementary</v>
      </c>
      <c r="L72" t="str">
        <f>VLOOKUP(J72, Subject!$A$2:$E$11, 5, FALSE)</f>
        <v>SU</v>
      </c>
      <c r="M72" t="s">
        <v>310</v>
      </c>
      <c r="N72" t="s">
        <v>308</v>
      </c>
      <c r="O72">
        <v>3</v>
      </c>
      <c r="P72" t="str">
        <f>VLOOKUP(O72, SubjectGroup!$A$2:$B$8, 2, FALSE)</f>
        <v>Core Expanded Studies</v>
      </c>
      <c r="Q72" t="s">
        <v>194</v>
      </c>
      <c r="R72" t="str">
        <f t="shared" si="3"/>
        <v>Music Theory/Performance</v>
      </c>
      <c r="S72">
        <v>0.8</v>
      </c>
    </row>
    <row r="73" spans="1:19" hidden="1" x14ac:dyDescent="0.2">
      <c r="A73">
        <v>72</v>
      </c>
      <c r="C73" t="s">
        <v>311</v>
      </c>
      <c r="E73">
        <v>9</v>
      </c>
      <c r="F73">
        <v>1</v>
      </c>
      <c r="G73">
        <v>6</v>
      </c>
      <c r="H73">
        <f t="shared" si="2"/>
        <v>6</v>
      </c>
      <c r="J73">
        <v>3</v>
      </c>
      <c r="K73" t="str">
        <f>VLOOKUP(J73, Subject!$A$2:$B$15, 2, FALSE)</f>
        <v>Word Building</v>
      </c>
      <c r="L73" t="str">
        <f>VLOOKUP(J73, Subject!$A$2:$E$11, 5, FALSE)</f>
        <v>WB</v>
      </c>
      <c r="M73"/>
      <c r="N73" t="s">
        <v>312</v>
      </c>
      <c r="O73">
        <v>3</v>
      </c>
      <c r="P73" t="str">
        <f>VLOOKUP(O73, SubjectGroup!$A$2:$B$8, 2, FALSE)</f>
        <v>Core Expanded Studies</v>
      </c>
      <c r="Q73" t="s">
        <v>221</v>
      </c>
      <c r="R73" t="str">
        <f t="shared" si="3"/>
        <v>Speech</v>
      </c>
      <c r="S73">
        <v>0.8</v>
      </c>
    </row>
    <row r="74" spans="1:19" hidden="1" x14ac:dyDescent="0.2">
      <c r="A74">
        <v>73</v>
      </c>
      <c r="C74" s="20" t="s">
        <v>313</v>
      </c>
      <c r="D74" s="20"/>
      <c r="E74">
        <v>9</v>
      </c>
      <c r="F74">
        <v>1</v>
      </c>
      <c r="G74">
        <v>4</v>
      </c>
      <c r="H74">
        <f t="shared" si="2"/>
        <v>4</v>
      </c>
      <c r="I74">
        <v>6</v>
      </c>
      <c r="J74">
        <v>4</v>
      </c>
      <c r="K74" t="str">
        <f>VLOOKUP(J74, Subject!$A$2:$B$15, 2, FALSE)</f>
        <v>Literature</v>
      </c>
      <c r="L74" t="str">
        <f>VLOOKUP(J74, Subject!$A$2:$E$11, 5, FALSE)</f>
        <v>LI</v>
      </c>
      <c r="M74"/>
      <c r="N74" t="s">
        <v>314</v>
      </c>
      <c r="O74">
        <v>2</v>
      </c>
      <c r="P74" t="str">
        <f>VLOOKUP(O74, SubjectGroup!$A$2:$B$8, 2, FALSE)</f>
        <v>Core Academic Studies</v>
      </c>
      <c r="Q74" t="s">
        <v>221</v>
      </c>
      <c r="R74" t="str">
        <f t="shared" si="3"/>
        <v>ICCE Literature Level 9</v>
      </c>
      <c r="S74">
        <v>0.8</v>
      </c>
    </row>
    <row r="75" spans="1:19" hidden="1" x14ac:dyDescent="0.2">
      <c r="A75">
        <v>146</v>
      </c>
      <c r="C75" s="20" t="s">
        <v>315</v>
      </c>
      <c r="D75" s="20"/>
      <c r="E75">
        <v>9</v>
      </c>
      <c r="F75">
        <v>98</v>
      </c>
      <c r="G75">
        <v>108</v>
      </c>
      <c r="H75">
        <f t="shared" si="2"/>
        <v>11</v>
      </c>
      <c r="I75">
        <v>6</v>
      </c>
      <c r="J75">
        <v>4</v>
      </c>
      <c r="K75" t="str">
        <f>VLOOKUP(J75, Subject!$A$2:$B$15, 2, FALSE)</f>
        <v>Literature</v>
      </c>
      <c r="L75" t="str">
        <f>VLOOKUP(J75, Subject!$A$2:$E$11, 5, FALSE)</f>
        <v>LI</v>
      </c>
      <c r="M75" t="s">
        <v>273</v>
      </c>
      <c r="N75" t="s">
        <v>227</v>
      </c>
      <c r="O75">
        <v>2</v>
      </c>
      <c r="P75" t="str">
        <f>VLOOKUP(O75, SubjectGroup!$A$2:$B$8, 2, FALSE)</f>
        <v>Core Academic Studies</v>
      </c>
      <c r="Q75" t="s">
        <v>221</v>
      </c>
      <c r="R75" t="str">
        <f t="shared" si="3"/>
        <v>Literature Level 9</v>
      </c>
      <c r="S75">
        <v>0.8</v>
      </c>
    </row>
    <row r="76" spans="1:19" hidden="1" x14ac:dyDescent="0.2">
      <c r="A76">
        <v>74</v>
      </c>
      <c r="C76" t="s">
        <v>316</v>
      </c>
      <c r="E76">
        <v>9</v>
      </c>
      <c r="F76">
        <v>1</v>
      </c>
      <c r="G76">
        <v>5</v>
      </c>
      <c r="H76">
        <f t="shared" si="2"/>
        <v>5</v>
      </c>
      <c r="J76">
        <v>5</v>
      </c>
      <c r="K76" t="str">
        <f>VLOOKUP(J76, Subject!$A$2:$B$15, 2, FALSE)</f>
        <v>Science</v>
      </c>
      <c r="L76" t="str">
        <f>VLOOKUP(J76, Subject!$A$2:$E$11, 5, FALSE)</f>
        <v>SC</v>
      </c>
      <c r="M76"/>
      <c r="N76" t="s">
        <v>317</v>
      </c>
      <c r="O76">
        <v>2</v>
      </c>
      <c r="P76" t="str">
        <f>VLOOKUP(O76, SubjectGroup!$A$2:$B$8, 2, FALSE)</f>
        <v>Core Academic Studies</v>
      </c>
      <c r="Q76" t="s">
        <v>194</v>
      </c>
      <c r="R76" t="str">
        <f t="shared" si="3"/>
        <v>Astronomy</v>
      </c>
      <c r="S76">
        <v>0.8</v>
      </c>
    </row>
    <row r="77" spans="1:19" hidden="1" x14ac:dyDescent="0.2">
      <c r="A77">
        <v>75</v>
      </c>
      <c r="C77" t="s">
        <v>1829</v>
      </c>
      <c r="E77">
        <v>9</v>
      </c>
      <c r="F77">
        <v>97</v>
      </c>
      <c r="G77">
        <v>108</v>
      </c>
      <c r="H77">
        <f t="shared" si="2"/>
        <v>12</v>
      </c>
      <c r="I77">
        <v>12</v>
      </c>
      <c r="J77">
        <v>5</v>
      </c>
      <c r="K77" t="str">
        <f>VLOOKUP(J77, Subject!$A$2:$B$15, 2, FALSE)</f>
        <v>Science</v>
      </c>
      <c r="L77" t="str">
        <f>VLOOKUP(J77, Subject!$A$2:$E$11, 5, FALSE)</f>
        <v>SC</v>
      </c>
      <c r="M77"/>
      <c r="N77" t="s">
        <v>319</v>
      </c>
      <c r="O77">
        <v>2</v>
      </c>
      <c r="P77" t="str">
        <f>VLOOKUP(O77, SubjectGroup!$A$2:$B$8, 2, FALSE)</f>
        <v>Core Academic Studies</v>
      </c>
      <c r="Q77" t="s">
        <v>221</v>
      </c>
      <c r="R77" t="s">
        <v>1826</v>
      </c>
      <c r="S77">
        <v>0.8</v>
      </c>
    </row>
    <row r="78" spans="1:19" hidden="1" x14ac:dyDescent="0.2">
      <c r="A78">
        <v>76</v>
      </c>
      <c r="C78" t="s">
        <v>320</v>
      </c>
      <c r="E78">
        <v>9</v>
      </c>
      <c r="F78">
        <v>1</v>
      </c>
      <c r="G78">
        <v>6</v>
      </c>
      <c r="H78">
        <f t="shared" si="2"/>
        <v>6</v>
      </c>
      <c r="J78">
        <v>5</v>
      </c>
      <c r="K78" t="str">
        <f>VLOOKUP(J78, Subject!$A$2:$B$15, 2, FALSE)</f>
        <v>Science</v>
      </c>
      <c r="L78" t="str">
        <f>VLOOKUP(J78, Subject!$A$2:$E$11, 5, FALSE)</f>
        <v>SC</v>
      </c>
      <c r="M78"/>
      <c r="N78" t="s">
        <v>321</v>
      </c>
      <c r="O78">
        <v>2</v>
      </c>
      <c r="P78" t="str">
        <f>VLOOKUP(O78, SubjectGroup!$A$2:$B$8, 2, FALSE)</f>
        <v>Core Academic Studies</v>
      </c>
      <c r="Q78" t="s">
        <v>194</v>
      </c>
      <c r="R78" t="str">
        <f t="shared" si="3"/>
        <v>Health</v>
      </c>
      <c r="S78">
        <v>0.8</v>
      </c>
    </row>
    <row r="79" spans="1:19" hidden="1" x14ac:dyDescent="0.2">
      <c r="A79">
        <v>77</v>
      </c>
      <c r="C79" t="s">
        <v>322</v>
      </c>
      <c r="E79">
        <v>9</v>
      </c>
      <c r="F79">
        <v>1</v>
      </c>
      <c r="G79">
        <v>6</v>
      </c>
      <c r="H79">
        <f t="shared" si="2"/>
        <v>6</v>
      </c>
      <c r="J79">
        <v>5</v>
      </c>
      <c r="K79" t="str">
        <f>VLOOKUP(J79, Subject!$A$2:$B$15, 2, FALSE)</f>
        <v>Science</v>
      </c>
      <c r="L79" t="str">
        <f>VLOOKUP(J79, Subject!$A$2:$E$11, 5, FALSE)</f>
        <v>SC</v>
      </c>
      <c r="M79"/>
      <c r="N79" t="s">
        <v>323</v>
      </c>
      <c r="O79">
        <v>2</v>
      </c>
      <c r="P79" t="str">
        <f>VLOOKUP(O79, SubjectGroup!$A$2:$B$8, 2, FALSE)</f>
        <v>Core Academic Studies</v>
      </c>
      <c r="Q79" t="s">
        <v>194</v>
      </c>
      <c r="R79" t="str">
        <f t="shared" si="3"/>
        <v>Nutrition Science</v>
      </c>
      <c r="S79">
        <v>0.8</v>
      </c>
    </row>
    <row r="80" spans="1:19" hidden="1" x14ac:dyDescent="0.2">
      <c r="A80">
        <v>78</v>
      </c>
      <c r="C80" s="20" t="s">
        <v>324</v>
      </c>
      <c r="D80" s="20"/>
      <c r="E80">
        <v>9</v>
      </c>
      <c r="F80" s="13">
        <v>1</v>
      </c>
      <c r="G80" s="13">
        <v>4</v>
      </c>
      <c r="H80">
        <f t="shared" si="2"/>
        <v>4</v>
      </c>
      <c r="I80">
        <v>12</v>
      </c>
      <c r="J80">
        <v>5</v>
      </c>
      <c r="K80" t="str">
        <f>VLOOKUP(J80, Subject!$A$2:$B$15, 2, FALSE)</f>
        <v>Science</v>
      </c>
      <c r="L80" t="str">
        <f>VLOOKUP(J80, Subject!$A$2:$E$11, 5, FALSE)</f>
        <v>SC</v>
      </c>
      <c r="M80" t="s">
        <v>325</v>
      </c>
      <c r="N80" t="s">
        <v>312</v>
      </c>
      <c r="O80">
        <v>3</v>
      </c>
      <c r="P80" t="str">
        <f>VLOOKUP(O80, SubjectGroup!$A$2:$B$8, 2, FALSE)</f>
        <v>Core Expanded Studies</v>
      </c>
      <c r="Q80" t="s">
        <v>194</v>
      </c>
      <c r="R80" t="str">
        <f t="shared" si="3"/>
        <v>Sport + Health</v>
      </c>
      <c r="S80">
        <v>0.8</v>
      </c>
    </row>
    <row r="81" spans="1:19" hidden="1" x14ac:dyDescent="0.2">
      <c r="A81">
        <v>79</v>
      </c>
      <c r="C81" s="13" t="s">
        <v>326</v>
      </c>
      <c r="D81" s="13"/>
      <c r="E81">
        <v>9</v>
      </c>
      <c r="H81">
        <f t="shared" si="2"/>
        <v>1</v>
      </c>
      <c r="I81">
        <v>6</v>
      </c>
      <c r="J81">
        <v>10</v>
      </c>
      <c r="K81" t="str">
        <f>VLOOKUP(J81, Subject!$A$2:$B$15, 2, FALSE)</f>
        <v>Supplementary</v>
      </c>
      <c r="L81" t="str">
        <f>VLOOKUP(J81, Subject!$A$2:$E$11, 5, FALSE)</f>
        <v>SU</v>
      </c>
      <c r="M81"/>
      <c r="N81" t="s">
        <v>377</v>
      </c>
      <c r="O81">
        <v>4</v>
      </c>
      <c r="P81" t="str">
        <f>VLOOKUP(O81, SubjectGroup!$A$2:$B$8, 2, FALSE)</f>
        <v>Applied Studies</v>
      </c>
      <c r="Q81" t="s">
        <v>194</v>
      </c>
      <c r="R81" t="str">
        <f t="shared" si="3"/>
        <v>A.C.E. Training</v>
      </c>
      <c r="S81">
        <v>0.8</v>
      </c>
    </row>
    <row r="82" spans="1:19" x14ac:dyDescent="0.2">
      <c r="A82">
        <v>80</v>
      </c>
      <c r="C82" t="s">
        <v>327</v>
      </c>
      <c r="E82">
        <v>9</v>
      </c>
      <c r="F82">
        <v>97</v>
      </c>
      <c r="G82">
        <v>108</v>
      </c>
      <c r="H82">
        <f t="shared" si="2"/>
        <v>12</v>
      </c>
      <c r="I82">
        <v>12</v>
      </c>
      <c r="J82">
        <v>6</v>
      </c>
      <c r="K82" t="str">
        <f>VLOOKUP(J82, Subject!$A$2:$B$15, 2, FALSE)</f>
        <v>Social Studies</v>
      </c>
      <c r="L82" t="str">
        <f>VLOOKUP(J82, Subject!$A$2:$E$11, 5, FALSE)</f>
        <v>SS</v>
      </c>
      <c r="N82" t="s">
        <v>328</v>
      </c>
      <c r="O82">
        <v>2</v>
      </c>
      <c r="P82" t="str">
        <f>VLOOKUP(O82, SubjectGroup!$A$2:$B$8, 2, FALSE)</f>
        <v>Core Academic Studies</v>
      </c>
      <c r="Q82" t="s">
        <v>221</v>
      </c>
      <c r="R82" t="s">
        <v>1833</v>
      </c>
      <c r="S82">
        <v>0.8</v>
      </c>
    </row>
    <row r="83" spans="1:19" hidden="1" x14ac:dyDescent="0.2">
      <c r="A83">
        <v>81</v>
      </c>
      <c r="C83" t="s">
        <v>329</v>
      </c>
      <c r="D83" t="s">
        <v>1964</v>
      </c>
      <c r="E83">
        <v>9</v>
      </c>
      <c r="F83">
        <v>1</v>
      </c>
      <c r="G83">
        <v>2</v>
      </c>
      <c r="H83">
        <f t="shared" si="2"/>
        <v>2</v>
      </c>
      <c r="I83">
        <v>6</v>
      </c>
      <c r="J83">
        <v>7</v>
      </c>
      <c r="K83" t="str">
        <f>VLOOKUP(J83, Subject!$A$2:$B$15, 2, FALSE)</f>
        <v>Biblical Studies</v>
      </c>
      <c r="L83" t="str">
        <f>VLOOKUP(J83, Subject!$A$2:$E$11, 5, FALSE)</f>
        <v>BS</v>
      </c>
      <c r="M83" t="s">
        <v>1966</v>
      </c>
      <c r="N83" t="s">
        <v>330</v>
      </c>
      <c r="O83">
        <v>1</v>
      </c>
      <c r="P83" t="str">
        <f>VLOOKUP(O83, SubjectGroup!$A$2:$B$8, 2, FALSE)</f>
        <v>Christian Studies</v>
      </c>
      <c r="Q83" t="s">
        <v>221</v>
      </c>
      <c r="R83" t="str">
        <f t="shared" si="3"/>
        <v>Apologetics I</v>
      </c>
      <c r="S83">
        <v>0.8</v>
      </c>
    </row>
    <row r="84" spans="1:19" hidden="1" x14ac:dyDescent="0.2">
      <c r="A84">
        <v>82</v>
      </c>
      <c r="C84" t="s">
        <v>331</v>
      </c>
      <c r="E84">
        <v>9</v>
      </c>
      <c r="F84">
        <v>1</v>
      </c>
      <c r="G84">
        <v>6</v>
      </c>
      <c r="H84">
        <f t="shared" si="2"/>
        <v>6</v>
      </c>
      <c r="I84">
        <v>6</v>
      </c>
      <c r="J84">
        <v>7</v>
      </c>
      <c r="K84" t="str">
        <f>VLOOKUP(J84, Subject!$A$2:$B$15, 2, FALSE)</f>
        <v>Biblical Studies</v>
      </c>
      <c r="L84" t="str">
        <f>VLOOKUP(J84, Subject!$A$2:$E$11, 5, FALSE)</f>
        <v>BS</v>
      </c>
      <c r="M84"/>
      <c r="N84" t="s">
        <v>332</v>
      </c>
      <c r="O84">
        <v>1</v>
      </c>
      <c r="P84" t="str">
        <f>VLOOKUP(O84, SubjectGroup!$A$2:$B$8, 2, FALSE)</f>
        <v>Christian Studies</v>
      </c>
      <c r="Q84" t="s">
        <v>194</v>
      </c>
      <c r="R84" t="str">
        <f t="shared" si="3"/>
        <v>Missions</v>
      </c>
      <c r="S84">
        <v>0.8</v>
      </c>
    </row>
    <row r="85" spans="1:19" hidden="1" x14ac:dyDescent="0.2">
      <c r="A85">
        <v>83</v>
      </c>
      <c r="C85" t="s">
        <v>333</v>
      </c>
      <c r="E85">
        <v>9</v>
      </c>
      <c r="F85">
        <v>1</v>
      </c>
      <c r="G85">
        <v>12</v>
      </c>
      <c r="H85">
        <f t="shared" si="2"/>
        <v>12</v>
      </c>
      <c r="I85">
        <v>12</v>
      </c>
      <c r="J85">
        <v>7</v>
      </c>
      <c r="K85" t="str">
        <f>VLOOKUP(J85, Subject!$A$2:$B$15, 2, FALSE)</f>
        <v>Biblical Studies</v>
      </c>
      <c r="L85" t="str">
        <f>VLOOKUP(J85, Subject!$A$2:$E$11, 5, FALSE)</f>
        <v>BS</v>
      </c>
      <c r="M85"/>
      <c r="N85" t="s">
        <v>334</v>
      </c>
      <c r="O85">
        <v>1</v>
      </c>
      <c r="P85" t="str">
        <f>VLOOKUP(O85, SubjectGroup!$A$2:$B$8, 2, FALSE)</f>
        <v>Christian Studies</v>
      </c>
      <c r="Q85" t="s">
        <v>221</v>
      </c>
      <c r="R85" t="str">
        <f t="shared" si="3"/>
        <v>Successful Living</v>
      </c>
      <c r="S85">
        <v>0.8</v>
      </c>
    </row>
    <row r="86" spans="1:19" hidden="1" x14ac:dyDescent="0.2">
      <c r="A86">
        <v>84</v>
      </c>
      <c r="C86" s="13" t="s">
        <v>335</v>
      </c>
      <c r="D86" s="13"/>
      <c r="E86">
        <v>9</v>
      </c>
      <c r="H86">
        <f t="shared" si="2"/>
        <v>1</v>
      </c>
      <c r="I86">
        <v>12</v>
      </c>
      <c r="J86">
        <v>10</v>
      </c>
      <c r="K86" t="str">
        <f>VLOOKUP(J86, Subject!$A$2:$B$15, 2, FALSE)</f>
        <v>Supplementary</v>
      </c>
      <c r="L86" t="str">
        <f>VLOOKUP(J86, Subject!$A$2:$E$11, 5, FALSE)</f>
        <v>SU</v>
      </c>
      <c r="M86"/>
      <c r="N86" t="s">
        <v>336</v>
      </c>
      <c r="O86">
        <v>4</v>
      </c>
      <c r="P86" t="str">
        <f>VLOOKUP(O86, SubjectGroup!$A$2:$B$8, 2, FALSE)</f>
        <v>Applied Studies</v>
      </c>
      <c r="Q86" t="s">
        <v>194</v>
      </c>
      <c r="R86" t="str">
        <f t="shared" si="3"/>
        <v>A.C.E. Training + 30 hours of service</v>
      </c>
      <c r="S86">
        <v>0.8</v>
      </c>
    </row>
    <row r="87" spans="1:19" hidden="1" x14ac:dyDescent="0.2">
      <c r="A87">
        <v>85</v>
      </c>
      <c r="C87" t="s">
        <v>337</v>
      </c>
      <c r="E87">
        <v>9</v>
      </c>
      <c r="F87">
        <v>1</v>
      </c>
      <c r="G87">
        <v>8</v>
      </c>
      <c r="H87">
        <f t="shared" si="2"/>
        <v>8</v>
      </c>
      <c r="J87">
        <v>10</v>
      </c>
      <c r="K87" t="str">
        <f>VLOOKUP(J87, Subject!$A$2:$B$15, 2, FALSE)</f>
        <v>Supplementary</v>
      </c>
      <c r="L87" t="str">
        <f>VLOOKUP(J87, Subject!$A$2:$E$11, 5, FALSE)</f>
        <v>SU</v>
      </c>
      <c r="M87" s="13" t="s">
        <v>338</v>
      </c>
      <c r="N87" t="s">
        <v>339</v>
      </c>
      <c r="O87">
        <v>3</v>
      </c>
      <c r="P87" t="str">
        <f>VLOOKUP(O87, SubjectGroup!$A$2:$B$8, 2, FALSE)</f>
        <v>Core Expanded Studies</v>
      </c>
      <c r="Q87" t="s">
        <v>221</v>
      </c>
      <c r="R87" t="str">
        <f t="shared" si="3"/>
        <v>ECDL Course</v>
      </c>
      <c r="S87">
        <v>0.8</v>
      </c>
    </row>
    <row r="88" spans="1:19" hidden="1" x14ac:dyDescent="0.2">
      <c r="A88">
        <v>86</v>
      </c>
      <c r="C88" t="s">
        <v>340</v>
      </c>
      <c r="E88">
        <v>10</v>
      </c>
      <c r="F88">
        <v>109</v>
      </c>
      <c r="G88">
        <v>120</v>
      </c>
      <c r="H88">
        <f t="shared" si="2"/>
        <v>12</v>
      </c>
      <c r="I88">
        <v>12</v>
      </c>
      <c r="J88">
        <v>1</v>
      </c>
      <c r="K88" t="str">
        <f>VLOOKUP(J88, Subject!$A$2:$B$15, 2, FALSE)</f>
        <v>Maths</v>
      </c>
      <c r="L88" t="str">
        <f>VLOOKUP(J88, Subject!$A$2:$E$11, 5, FALSE)</f>
        <v>MA</v>
      </c>
      <c r="M88"/>
      <c r="N88" t="s">
        <v>341</v>
      </c>
      <c r="O88">
        <v>2</v>
      </c>
      <c r="P88" t="str">
        <f>VLOOKUP(O88, SubjectGroup!$A$2:$B$8, 2, FALSE)</f>
        <v>Core Academic Studies</v>
      </c>
      <c r="Q88" t="s">
        <v>221</v>
      </c>
      <c r="R88" t="str">
        <f t="shared" si="3"/>
        <v>Geometry</v>
      </c>
      <c r="S88">
        <v>0.8</v>
      </c>
    </row>
    <row r="89" spans="1:19" hidden="1" x14ac:dyDescent="0.2">
      <c r="A89">
        <v>87</v>
      </c>
      <c r="C89" t="s">
        <v>342</v>
      </c>
      <c r="E89">
        <v>10</v>
      </c>
      <c r="F89">
        <v>109</v>
      </c>
      <c r="G89">
        <v>120</v>
      </c>
      <c r="H89">
        <f t="shared" si="2"/>
        <v>12</v>
      </c>
      <c r="I89">
        <v>12</v>
      </c>
      <c r="J89">
        <v>2</v>
      </c>
      <c r="K89" t="str">
        <f>VLOOKUP(J89, Subject!$A$2:$B$15, 2, FALSE)</f>
        <v>Language</v>
      </c>
      <c r="L89" t="str">
        <f>VLOOKUP(J89, Subject!$A$2:$E$11, 5, FALSE)</f>
        <v>LA</v>
      </c>
      <c r="M89"/>
      <c r="N89" t="s">
        <v>224</v>
      </c>
      <c r="O89">
        <v>2</v>
      </c>
      <c r="P89" t="str">
        <f>VLOOKUP(O89, SubjectGroup!$A$2:$B$8, 2, FALSE)</f>
        <v>Core Academic Studies</v>
      </c>
      <c r="Q89" t="s">
        <v>221</v>
      </c>
      <c r="R89" t="str">
        <f t="shared" si="3"/>
        <v>English II</v>
      </c>
      <c r="S89">
        <v>0.8</v>
      </c>
    </row>
    <row r="90" spans="1:19" hidden="1" x14ac:dyDescent="0.2">
      <c r="A90">
        <v>88</v>
      </c>
      <c r="C90" t="s">
        <v>343</v>
      </c>
      <c r="E90">
        <v>10</v>
      </c>
      <c r="F90">
        <v>3</v>
      </c>
      <c r="G90">
        <v>5</v>
      </c>
      <c r="H90">
        <f t="shared" si="2"/>
        <v>3</v>
      </c>
      <c r="I90">
        <v>6</v>
      </c>
      <c r="J90">
        <v>2</v>
      </c>
      <c r="K90" t="str">
        <f>VLOOKUP(J90, Subject!$A$2:$B$15, 2, FALSE)</f>
        <v>Language</v>
      </c>
      <c r="L90" t="str">
        <f>VLOOKUP(J90, Subject!$A$2:$E$11, 5, FALSE)</f>
        <v>LA</v>
      </c>
      <c r="M90" t="s">
        <v>344</v>
      </c>
      <c r="N90" t="s">
        <v>297</v>
      </c>
      <c r="O90">
        <v>2</v>
      </c>
      <c r="P90" t="str">
        <f>VLOOKUP(O90, SubjectGroup!$A$2:$B$8, 2, FALSE)</f>
        <v>Core Academic Studies</v>
      </c>
      <c r="Q90" t="s">
        <v>194</v>
      </c>
      <c r="R90" t="str">
        <f t="shared" si="3"/>
        <v>Rosetta Stone Level 10</v>
      </c>
      <c r="S90">
        <v>0.8</v>
      </c>
    </row>
    <row r="91" spans="1:19" hidden="1" x14ac:dyDescent="0.2">
      <c r="A91">
        <v>89</v>
      </c>
      <c r="C91" t="s">
        <v>345</v>
      </c>
      <c r="E91">
        <v>10</v>
      </c>
      <c r="H91">
        <f t="shared" si="2"/>
        <v>1</v>
      </c>
      <c r="I91">
        <v>12</v>
      </c>
      <c r="J91">
        <v>10</v>
      </c>
      <c r="K91" t="str">
        <f>VLOOKUP(J91, Subject!$A$2:$B$15, 2, FALSE)</f>
        <v>Supplementary</v>
      </c>
      <c r="L91" t="str">
        <f>VLOOKUP(J91, Subject!$A$2:$E$11, 5, FALSE)</f>
        <v>SU</v>
      </c>
      <c r="M91"/>
      <c r="N91" t="s">
        <v>308</v>
      </c>
      <c r="O91">
        <v>3</v>
      </c>
      <c r="P91" t="str">
        <f>VLOOKUP(O91, SubjectGroup!$A$2:$B$8, 2, FALSE)</f>
        <v>Core Expanded Studies</v>
      </c>
      <c r="Q91" t="s">
        <v>194</v>
      </c>
      <c r="R91" t="str">
        <f t="shared" si="3"/>
        <v>Music Theory/Performance Grade 6</v>
      </c>
      <c r="S91">
        <v>0.8</v>
      </c>
    </row>
    <row r="92" spans="1:19" hidden="1" x14ac:dyDescent="0.2">
      <c r="A92">
        <v>90</v>
      </c>
      <c r="C92" t="s">
        <v>346</v>
      </c>
      <c r="E92">
        <v>10</v>
      </c>
      <c r="F92">
        <v>109</v>
      </c>
      <c r="G92">
        <v>120</v>
      </c>
      <c r="H92">
        <f t="shared" si="2"/>
        <v>12</v>
      </c>
      <c r="I92">
        <v>12</v>
      </c>
      <c r="J92">
        <v>5</v>
      </c>
      <c r="K92" t="str">
        <f>VLOOKUP(J92, Subject!$A$2:$B$15, 2, FALSE)</f>
        <v>Science</v>
      </c>
      <c r="L92" t="str">
        <f>VLOOKUP(J92, Subject!$A$2:$E$11, 5, FALSE)</f>
        <v>SC</v>
      </c>
      <c r="M92" t="s">
        <v>347</v>
      </c>
      <c r="N92" t="s">
        <v>348</v>
      </c>
      <c r="O92">
        <v>2</v>
      </c>
      <c r="P92" t="str">
        <f>VLOOKUP(O92, SubjectGroup!$A$2:$B$8, 2, FALSE)</f>
        <v>Core Academic Studies</v>
      </c>
      <c r="Q92" t="s">
        <v>221</v>
      </c>
      <c r="R92" t="s">
        <v>1825</v>
      </c>
      <c r="S92">
        <v>0.8</v>
      </c>
    </row>
    <row r="93" spans="1:19" x14ac:dyDescent="0.2">
      <c r="A93">
        <v>91</v>
      </c>
      <c r="C93" t="s">
        <v>349</v>
      </c>
      <c r="E93">
        <v>10</v>
      </c>
      <c r="F93">
        <v>1</v>
      </c>
      <c r="G93">
        <v>10</v>
      </c>
      <c r="H93">
        <f t="shared" si="2"/>
        <v>10</v>
      </c>
      <c r="I93">
        <v>12</v>
      </c>
      <c r="J93">
        <v>6</v>
      </c>
      <c r="K93" t="str">
        <f>VLOOKUP(J93, Subject!$A$2:$B$15, 2, FALSE)</f>
        <v>Social Studies</v>
      </c>
      <c r="L93" t="str">
        <f>VLOOKUP(J93, Subject!$A$2:$E$11, 5, FALSE)</f>
        <v>SS</v>
      </c>
      <c r="N93" t="s">
        <v>350</v>
      </c>
      <c r="O93">
        <v>2</v>
      </c>
      <c r="P93" t="str">
        <f>VLOOKUP(O93, SubjectGroup!$A$2:$B$8, 2, FALSE)</f>
        <v>Core Academic Studies</v>
      </c>
      <c r="Q93" t="s">
        <v>221</v>
      </c>
      <c r="R93" s="13" t="s">
        <v>1834</v>
      </c>
      <c r="S93">
        <v>0.8</v>
      </c>
    </row>
    <row r="94" spans="1:19" hidden="1" x14ac:dyDescent="0.2">
      <c r="A94">
        <v>92</v>
      </c>
      <c r="C94" t="s">
        <v>351</v>
      </c>
      <c r="D94" t="s">
        <v>1965</v>
      </c>
      <c r="E94">
        <v>10</v>
      </c>
      <c r="F94">
        <v>3</v>
      </c>
      <c r="G94">
        <v>4</v>
      </c>
      <c r="H94">
        <f t="shared" si="2"/>
        <v>2</v>
      </c>
      <c r="I94">
        <v>6</v>
      </c>
      <c r="J94">
        <v>7</v>
      </c>
      <c r="K94" t="str">
        <f>VLOOKUP(J94, Subject!$A$2:$B$15, 2, FALSE)</f>
        <v>Biblical Studies</v>
      </c>
      <c r="L94" t="str">
        <f>VLOOKUP(J94, Subject!$A$2:$E$11, 5, FALSE)</f>
        <v>BS</v>
      </c>
      <c r="M94" t="s">
        <v>1959</v>
      </c>
      <c r="N94" t="s">
        <v>330</v>
      </c>
      <c r="O94">
        <v>1</v>
      </c>
      <c r="P94" t="str">
        <f>VLOOKUP(O94, SubjectGroup!$A$2:$B$8, 2, FALSE)</f>
        <v>Christian Studies</v>
      </c>
      <c r="Q94" t="s">
        <v>194</v>
      </c>
      <c r="R94" t="str">
        <f t="shared" si="3"/>
        <v>Apologetics II</v>
      </c>
      <c r="S94">
        <v>0.8</v>
      </c>
    </row>
    <row r="95" spans="1:19" hidden="1" x14ac:dyDescent="0.2">
      <c r="A95">
        <v>93</v>
      </c>
      <c r="C95" t="s">
        <v>352</v>
      </c>
      <c r="E95">
        <v>10</v>
      </c>
      <c r="F95">
        <v>1</v>
      </c>
      <c r="G95">
        <v>5</v>
      </c>
      <c r="H95">
        <f t="shared" si="2"/>
        <v>5</v>
      </c>
      <c r="J95">
        <v>7</v>
      </c>
      <c r="K95" t="str">
        <f>VLOOKUP(J95, Subject!$A$2:$B$15, 2, FALSE)</f>
        <v>Biblical Studies</v>
      </c>
      <c r="L95" t="str">
        <f>VLOOKUP(J95, Subject!$A$2:$E$11, 5, FALSE)</f>
        <v>BS</v>
      </c>
      <c r="M95" t="s">
        <v>353</v>
      </c>
      <c r="N95" t="s">
        <v>354</v>
      </c>
      <c r="O95">
        <v>1</v>
      </c>
      <c r="P95" t="str">
        <f>VLOOKUP(O95, SubjectGroup!$A$2:$B$8, 2, FALSE)</f>
        <v>Christian Studies</v>
      </c>
      <c r="Q95" t="s">
        <v>194</v>
      </c>
      <c r="R95" t="str">
        <f t="shared" si="3"/>
        <v>Christian Counselling I</v>
      </c>
      <c r="S95">
        <v>0.8</v>
      </c>
    </row>
    <row r="96" spans="1:19" hidden="1" x14ac:dyDescent="0.2">
      <c r="A96">
        <v>94</v>
      </c>
      <c r="C96" t="s">
        <v>355</v>
      </c>
      <c r="E96">
        <v>10</v>
      </c>
      <c r="F96">
        <v>133</v>
      </c>
      <c r="G96">
        <v>138</v>
      </c>
      <c r="H96">
        <f t="shared" si="2"/>
        <v>6</v>
      </c>
      <c r="J96">
        <v>7</v>
      </c>
      <c r="K96" t="str">
        <f>VLOOKUP(J96, Subject!$A$2:$B$15, 2, FALSE)</f>
        <v>Biblical Studies</v>
      </c>
      <c r="L96" t="str">
        <f>VLOOKUP(J96, Subject!$A$2:$E$11, 5, FALSE)</f>
        <v>BS</v>
      </c>
      <c r="M96"/>
      <c r="N96" t="s">
        <v>227</v>
      </c>
      <c r="O96">
        <v>1</v>
      </c>
      <c r="P96" t="str">
        <f>VLOOKUP(O96, SubjectGroup!$A$2:$B$8, 2, FALSE)</f>
        <v>Christian Studies</v>
      </c>
      <c r="Q96" t="s">
        <v>194</v>
      </c>
      <c r="R96" t="str">
        <f t="shared" si="3"/>
        <v>Life of Christ I</v>
      </c>
      <c r="S96">
        <v>0.8</v>
      </c>
    </row>
    <row r="97" spans="1:19" hidden="1" x14ac:dyDescent="0.2">
      <c r="A97">
        <v>95</v>
      </c>
      <c r="B97" t="s">
        <v>1869</v>
      </c>
      <c r="C97" t="s">
        <v>356</v>
      </c>
      <c r="E97">
        <v>10</v>
      </c>
      <c r="F97">
        <v>109</v>
      </c>
      <c r="G97">
        <v>120</v>
      </c>
      <c r="H97">
        <f t="shared" si="2"/>
        <v>12</v>
      </c>
      <c r="I97">
        <v>12</v>
      </c>
      <c r="J97">
        <v>7</v>
      </c>
      <c r="K97" t="str">
        <f>VLOOKUP(J97, Subject!$A$2:$B$15, 2, FALSE)</f>
        <v>Biblical Studies</v>
      </c>
      <c r="L97" t="str">
        <f>VLOOKUP(J97, Subject!$A$2:$E$11, 5, FALSE)</f>
        <v>BS</v>
      </c>
      <c r="M97"/>
      <c r="N97" t="s">
        <v>357</v>
      </c>
      <c r="O97">
        <v>1</v>
      </c>
      <c r="P97" t="str">
        <f>VLOOKUP(O97, SubjectGroup!$A$2:$B$8, 2, FALSE)</f>
        <v>Christian Studies</v>
      </c>
      <c r="Q97" t="s">
        <v>221</v>
      </c>
      <c r="R97" t="str">
        <f t="shared" si="3"/>
        <v>Old Testament Survey</v>
      </c>
      <c r="S97">
        <v>0.8</v>
      </c>
    </row>
    <row r="98" spans="1:19" hidden="1" x14ac:dyDescent="0.2">
      <c r="A98">
        <v>96</v>
      </c>
      <c r="C98" t="s">
        <v>358</v>
      </c>
      <c r="E98">
        <v>10</v>
      </c>
      <c r="F98">
        <v>109</v>
      </c>
      <c r="G98">
        <v>114</v>
      </c>
      <c r="H98">
        <f t="shared" si="2"/>
        <v>6</v>
      </c>
      <c r="J98">
        <v>10</v>
      </c>
      <c r="K98" t="str">
        <f>VLOOKUP(J98, Subject!$A$2:$B$15, 2, FALSE)</f>
        <v>Supplementary</v>
      </c>
      <c r="L98" t="str">
        <f>VLOOKUP(J98, Subject!$A$2:$E$11, 5, FALSE)</f>
        <v>SU</v>
      </c>
      <c r="M98"/>
      <c r="N98" t="s">
        <v>359</v>
      </c>
      <c r="O98">
        <v>3</v>
      </c>
      <c r="P98" t="str">
        <f>VLOOKUP(O98, SubjectGroup!$A$2:$B$8, 2, FALSE)</f>
        <v>Core Expanded Studies</v>
      </c>
      <c r="Q98" t="s">
        <v>194</v>
      </c>
      <c r="R98" t="str">
        <f t="shared" si="3"/>
        <v>Auto Mechanics</v>
      </c>
      <c r="S98">
        <v>0.8</v>
      </c>
    </row>
    <row r="99" spans="1:19" hidden="1" x14ac:dyDescent="0.2">
      <c r="A99">
        <v>97</v>
      </c>
      <c r="C99" t="s">
        <v>203</v>
      </c>
      <c r="E99">
        <v>10</v>
      </c>
      <c r="H99">
        <f t="shared" si="2"/>
        <v>1</v>
      </c>
      <c r="I99">
        <v>12</v>
      </c>
      <c r="J99">
        <v>10</v>
      </c>
      <c r="K99" t="str">
        <f>VLOOKUP(J99, Subject!$A$2:$B$15, 2, FALSE)</f>
        <v>Supplementary</v>
      </c>
      <c r="L99" t="str">
        <f>VLOOKUP(J99, Subject!$A$2:$E$11, 5, FALSE)</f>
        <v>SU</v>
      </c>
      <c r="M99" t="s">
        <v>360</v>
      </c>
      <c r="N99" t="s">
        <v>361</v>
      </c>
      <c r="O99">
        <v>3</v>
      </c>
      <c r="P99" t="str">
        <f>VLOOKUP(O99, SubjectGroup!$A$2:$B$8, 2, FALSE)</f>
        <v>Core Expanded Studies</v>
      </c>
      <c r="Q99" t="s">
        <v>194</v>
      </c>
      <c r="R99" t="str">
        <f t="shared" si="3"/>
        <v>ICT Course</v>
      </c>
      <c r="S99">
        <v>0.8</v>
      </c>
    </row>
    <row r="100" spans="1:19" hidden="1" x14ac:dyDescent="0.2">
      <c r="A100">
        <v>98</v>
      </c>
      <c r="C100" t="s">
        <v>187</v>
      </c>
      <c r="E100">
        <v>11</v>
      </c>
      <c r="F100">
        <v>121</v>
      </c>
      <c r="G100">
        <v>132</v>
      </c>
      <c r="H100">
        <f t="shared" si="2"/>
        <v>12</v>
      </c>
      <c r="I100">
        <v>12</v>
      </c>
      <c r="J100">
        <v>1</v>
      </c>
      <c r="K100" t="str">
        <f>VLOOKUP(J100, Subject!$A$2:$B$15, 2, FALSE)</f>
        <v>Maths</v>
      </c>
      <c r="L100" t="str">
        <f>VLOOKUP(J100, Subject!$A$2:$E$11, 5, FALSE)</f>
        <v>MA</v>
      </c>
      <c r="M100"/>
      <c r="N100" t="s">
        <v>291</v>
      </c>
      <c r="O100">
        <v>2</v>
      </c>
      <c r="P100" t="str">
        <f>VLOOKUP(O100, SubjectGroup!$A$2:$B$8, 2, FALSE)</f>
        <v>Core Academic Studies</v>
      </c>
      <c r="Q100" t="s">
        <v>221</v>
      </c>
      <c r="R100" t="str">
        <f t="shared" si="3"/>
        <v>Algebra II</v>
      </c>
      <c r="S100">
        <v>0.8</v>
      </c>
    </row>
    <row r="101" spans="1:19" hidden="1" x14ac:dyDescent="0.2">
      <c r="A101">
        <v>99</v>
      </c>
      <c r="C101" t="s">
        <v>362</v>
      </c>
      <c r="E101">
        <v>11</v>
      </c>
      <c r="F101">
        <v>1</v>
      </c>
      <c r="G101">
        <v>5</v>
      </c>
      <c r="H101">
        <f t="shared" si="2"/>
        <v>5</v>
      </c>
      <c r="J101">
        <v>2</v>
      </c>
      <c r="K101" t="str">
        <f>VLOOKUP(J101, Subject!$A$2:$B$15, 2, FALSE)</f>
        <v>Language</v>
      </c>
      <c r="L101" t="str">
        <f>VLOOKUP(J101, Subject!$A$2:$E$11, 5, FALSE)</f>
        <v>LA</v>
      </c>
      <c r="M101"/>
      <c r="N101" t="s">
        <v>363</v>
      </c>
      <c r="O101">
        <v>2</v>
      </c>
      <c r="P101" t="str">
        <f>VLOOKUP(O101, SubjectGroup!$A$2:$B$8, 2, FALSE)</f>
        <v>Core Academic Studies</v>
      </c>
      <c r="Q101" t="s">
        <v>221</v>
      </c>
      <c r="R101" t="str">
        <f t="shared" si="3"/>
        <v>British Literature</v>
      </c>
      <c r="S101">
        <v>0.8</v>
      </c>
    </row>
    <row r="102" spans="1:19" hidden="1" x14ac:dyDescent="0.2">
      <c r="A102">
        <v>100</v>
      </c>
      <c r="C102" t="s">
        <v>364</v>
      </c>
      <c r="E102">
        <v>11</v>
      </c>
      <c r="H102">
        <f t="shared" si="2"/>
        <v>1</v>
      </c>
      <c r="I102">
        <v>18</v>
      </c>
      <c r="J102">
        <v>2</v>
      </c>
      <c r="K102" t="str">
        <f>VLOOKUP(J102, Subject!$A$2:$B$15, 2, FALSE)</f>
        <v>Language</v>
      </c>
      <c r="L102" t="str">
        <f>VLOOKUP(J102, Subject!$A$2:$E$11, 5, FALSE)</f>
        <v>LA</v>
      </c>
      <c r="M102" s="13" t="s">
        <v>365</v>
      </c>
      <c r="N102" t="s">
        <v>166</v>
      </c>
      <c r="O102">
        <v>2</v>
      </c>
      <c r="P102" t="str">
        <f>VLOOKUP(O102, SubjectGroup!$A$2:$B$8, 2, FALSE)</f>
        <v>Core Academic Studies</v>
      </c>
      <c r="Q102" t="s">
        <v>221</v>
      </c>
      <c r="R102" t="str">
        <f t="shared" si="3"/>
        <v>Dutch Language Staatsexamen HAVO</v>
      </c>
      <c r="S102">
        <v>0.8</v>
      </c>
    </row>
    <row r="103" spans="1:19" hidden="1" x14ac:dyDescent="0.2">
      <c r="A103">
        <v>101</v>
      </c>
      <c r="C103" t="s">
        <v>204</v>
      </c>
      <c r="E103">
        <v>11</v>
      </c>
      <c r="F103">
        <v>121</v>
      </c>
      <c r="G103">
        <v>132</v>
      </c>
      <c r="H103">
        <f t="shared" si="2"/>
        <v>12</v>
      </c>
      <c r="I103">
        <v>12</v>
      </c>
      <c r="J103">
        <v>2</v>
      </c>
      <c r="K103" t="str">
        <f>VLOOKUP(J103, Subject!$A$2:$B$15, 2, FALSE)</f>
        <v>Language</v>
      </c>
      <c r="L103" t="str">
        <f>VLOOKUP(J103, Subject!$A$2:$E$11, 5, FALSE)</f>
        <v>LA</v>
      </c>
      <c r="M103"/>
      <c r="N103" t="s">
        <v>224</v>
      </c>
      <c r="O103">
        <v>2</v>
      </c>
      <c r="P103" t="str">
        <f>VLOOKUP(O103, SubjectGroup!$A$2:$B$8, 2, FALSE)</f>
        <v>Core Academic Studies</v>
      </c>
      <c r="Q103" t="s">
        <v>221</v>
      </c>
      <c r="R103" t="str">
        <f t="shared" si="3"/>
        <v>English III</v>
      </c>
      <c r="S103">
        <v>0.8</v>
      </c>
    </row>
    <row r="104" spans="1:19" hidden="1" x14ac:dyDescent="0.2">
      <c r="A104">
        <v>102</v>
      </c>
      <c r="C104" s="13" t="s">
        <v>366</v>
      </c>
      <c r="D104" s="13"/>
      <c r="E104" s="13">
        <v>11</v>
      </c>
      <c r="F104">
        <v>1</v>
      </c>
      <c r="G104">
        <v>3</v>
      </c>
      <c r="H104">
        <f t="shared" si="2"/>
        <v>3</v>
      </c>
      <c r="I104">
        <v>6</v>
      </c>
      <c r="J104">
        <v>4</v>
      </c>
      <c r="K104" t="str">
        <f>VLOOKUP(J104, Subject!$A$2:$B$15, 2, FALSE)</f>
        <v>Literature</v>
      </c>
      <c r="L104" t="str">
        <f>VLOOKUP(J104, Subject!$A$2:$E$11, 5, FALSE)</f>
        <v>LI</v>
      </c>
      <c r="M104" t="s">
        <v>367</v>
      </c>
      <c r="N104" t="s">
        <v>368</v>
      </c>
      <c r="O104">
        <v>2</v>
      </c>
      <c r="P104" t="str">
        <f>VLOOKUP(O104, SubjectGroup!$A$2:$B$8, 2, FALSE)</f>
        <v>Core Academic Studies</v>
      </c>
      <c r="Q104" t="s">
        <v>194</v>
      </c>
      <c r="R104" t="str">
        <f t="shared" si="3"/>
        <v>ICCE Literature 10 Part 1</v>
      </c>
      <c r="S104">
        <v>0.8</v>
      </c>
    </row>
    <row r="105" spans="1:19" hidden="1" x14ac:dyDescent="0.2">
      <c r="A105">
        <v>103</v>
      </c>
      <c r="C105" s="13" t="s">
        <v>1763</v>
      </c>
      <c r="D105" s="13"/>
      <c r="E105" s="13">
        <v>11</v>
      </c>
      <c r="F105">
        <v>1</v>
      </c>
      <c r="G105">
        <v>6</v>
      </c>
      <c r="H105">
        <f t="shared" si="2"/>
        <v>6</v>
      </c>
      <c r="I105">
        <v>12</v>
      </c>
      <c r="J105">
        <v>4</v>
      </c>
      <c r="K105" t="str">
        <f>VLOOKUP(J105, Subject!$A$2:$B$15, 2, FALSE)</f>
        <v>Literature</v>
      </c>
      <c r="L105" t="str">
        <f>VLOOKUP(J105, Subject!$A$2:$E$11, 5, FALSE)</f>
        <v>LI</v>
      </c>
      <c r="M105" t="s">
        <v>369</v>
      </c>
      <c r="N105" t="s">
        <v>368</v>
      </c>
      <c r="O105">
        <v>2</v>
      </c>
      <c r="P105" t="str">
        <f>VLOOKUP(O105, SubjectGroup!$A$2:$B$8, 2, FALSE)</f>
        <v>Core Academic Studies</v>
      </c>
      <c r="Q105" t="s">
        <v>194</v>
      </c>
      <c r="R105" t="str">
        <f t="shared" si="3"/>
        <v>ICCE Literature 10</v>
      </c>
      <c r="S105">
        <v>0.8</v>
      </c>
    </row>
    <row r="106" spans="1:19" hidden="1" x14ac:dyDescent="0.2">
      <c r="A106">
        <v>104</v>
      </c>
      <c r="C106" t="s">
        <v>370</v>
      </c>
      <c r="E106">
        <v>11</v>
      </c>
      <c r="F106">
        <v>121</v>
      </c>
      <c r="G106">
        <v>132</v>
      </c>
      <c r="H106">
        <f t="shared" si="2"/>
        <v>12</v>
      </c>
      <c r="I106">
        <v>12</v>
      </c>
      <c r="J106">
        <v>2</v>
      </c>
      <c r="K106" t="str">
        <f>VLOOKUP(J106, Subject!$A$2:$B$15, 2, FALSE)</f>
        <v>Language</v>
      </c>
      <c r="L106" t="str">
        <f>VLOOKUP(J106, Subject!$A$2:$E$11, 5, FALSE)</f>
        <v>LA</v>
      </c>
      <c r="M106"/>
      <c r="N106" t="s">
        <v>371</v>
      </c>
      <c r="O106">
        <v>2</v>
      </c>
      <c r="P106" t="str">
        <f>VLOOKUP(O106, SubjectGroup!$A$2:$B$8, 2, FALSE)</f>
        <v>Core Academic Studies</v>
      </c>
      <c r="Q106" t="s">
        <v>194</v>
      </c>
      <c r="R106" t="str">
        <f t="shared" si="3"/>
        <v>N.T. Greek I</v>
      </c>
      <c r="S106">
        <v>0.8</v>
      </c>
    </row>
    <row r="107" spans="1:19" hidden="1" x14ac:dyDescent="0.2">
      <c r="A107">
        <v>105</v>
      </c>
      <c r="C107" t="s">
        <v>192</v>
      </c>
      <c r="E107">
        <v>11</v>
      </c>
      <c r="F107">
        <v>121</v>
      </c>
      <c r="G107">
        <v>132</v>
      </c>
      <c r="H107">
        <f t="shared" si="2"/>
        <v>12</v>
      </c>
      <c r="I107">
        <v>12</v>
      </c>
      <c r="J107">
        <v>5</v>
      </c>
      <c r="K107" t="str">
        <f>VLOOKUP(J107, Subject!$A$2:$B$15, 2, FALSE)</f>
        <v>Science</v>
      </c>
      <c r="L107" t="str">
        <f>VLOOKUP(J107, Subject!$A$2:$E$11, 5, FALSE)</f>
        <v>SC</v>
      </c>
      <c r="M107"/>
      <c r="N107" t="s">
        <v>372</v>
      </c>
      <c r="O107">
        <v>2</v>
      </c>
      <c r="P107" t="str">
        <f>VLOOKUP(O107, SubjectGroup!$A$2:$B$8, 2, FALSE)</f>
        <v>Core Academic Studies</v>
      </c>
      <c r="Q107" t="s">
        <v>221</v>
      </c>
      <c r="R107" t="s">
        <v>1823</v>
      </c>
      <c r="S107">
        <v>0.8</v>
      </c>
    </row>
    <row r="108" spans="1:19" hidden="1" x14ac:dyDescent="0.2">
      <c r="A108">
        <v>106</v>
      </c>
      <c r="B108" t="s">
        <v>1871</v>
      </c>
      <c r="C108" t="s">
        <v>373</v>
      </c>
      <c r="E108">
        <v>12</v>
      </c>
      <c r="F108">
        <v>121</v>
      </c>
      <c r="G108" s="13">
        <v>132</v>
      </c>
      <c r="H108">
        <f t="shared" si="2"/>
        <v>12</v>
      </c>
      <c r="I108">
        <v>12</v>
      </c>
      <c r="J108">
        <v>7</v>
      </c>
      <c r="K108" t="str">
        <f>VLOOKUP(J108, Subject!$A$2:$B$15, 2, FALSE)</f>
        <v>Biblical Studies</v>
      </c>
      <c r="L108" t="str">
        <f>VLOOKUP(J108, Subject!$A$2:$E$11, 5, FALSE)</f>
        <v>BS</v>
      </c>
      <c r="M108" s="13" t="s">
        <v>374</v>
      </c>
      <c r="N108" t="s">
        <v>375</v>
      </c>
      <c r="O108">
        <v>1</v>
      </c>
      <c r="P108" t="str">
        <f>VLOOKUP(O108, SubjectGroup!$A$2:$B$8, 2, FALSE)</f>
        <v>Christian Studies</v>
      </c>
      <c r="Q108" t="s">
        <v>221</v>
      </c>
      <c r="R108" t="str">
        <f t="shared" si="3"/>
        <v>New Testament Church History</v>
      </c>
      <c r="S108">
        <v>0.8</v>
      </c>
    </row>
    <row r="109" spans="1:19" hidden="1" x14ac:dyDescent="0.2">
      <c r="A109">
        <v>107</v>
      </c>
      <c r="C109" t="s">
        <v>376</v>
      </c>
      <c r="E109">
        <v>12</v>
      </c>
      <c r="F109">
        <v>121</v>
      </c>
      <c r="G109">
        <v>132</v>
      </c>
      <c r="H109">
        <f t="shared" si="2"/>
        <v>12</v>
      </c>
      <c r="I109">
        <v>12</v>
      </c>
      <c r="J109">
        <v>1</v>
      </c>
      <c r="K109" t="str">
        <f>VLOOKUP(J109, Subject!$A$2:$B$15, 2, FALSE)</f>
        <v>Maths</v>
      </c>
      <c r="L109" t="str">
        <f>VLOOKUP(J109, Subject!$A$2:$E$11, 5, FALSE)</f>
        <v>MA</v>
      </c>
      <c r="M109"/>
      <c r="N109" t="s">
        <v>377</v>
      </c>
      <c r="O109">
        <v>3</v>
      </c>
      <c r="P109" t="str">
        <f>VLOOKUP(O109, SubjectGroup!$A$2:$B$8, 2, FALSE)</f>
        <v>Core Expanded Studies</v>
      </c>
      <c r="Q109" t="s">
        <v>194</v>
      </c>
      <c r="R109" t="str">
        <f t="shared" si="3"/>
        <v>Accounting (US)</v>
      </c>
      <c r="S109">
        <v>0.8</v>
      </c>
    </row>
    <row r="110" spans="1:19" hidden="1" x14ac:dyDescent="0.2">
      <c r="A110">
        <v>108</v>
      </c>
      <c r="C110" t="s">
        <v>200</v>
      </c>
      <c r="E110">
        <v>12</v>
      </c>
      <c r="F110">
        <v>1</v>
      </c>
      <c r="G110">
        <v>10</v>
      </c>
      <c r="H110">
        <f t="shared" si="2"/>
        <v>10</v>
      </c>
      <c r="J110">
        <v>1</v>
      </c>
      <c r="K110" t="str">
        <f>VLOOKUP(J110, Subject!$A$2:$B$15, 2, FALSE)</f>
        <v>Maths</v>
      </c>
      <c r="L110" t="str">
        <f>VLOOKUP(J110, Subject!$A$2:$E$11, 5, FALSE)</f>
        <v>MA</v>
      </c>
      <c r="M110"/>
      <c r="N110" t="s">
        <v>378</v>
      </c>
      <c r="O110">
        <v>2</v>
      </c>
      <c r="P110" t="str">
        <f>VLOOKUP(O110, SubjectGroup!$A$2:$B$8, 2, FALSE)</f>
        <v>Core Academic Studies</v>
      </c>
      <c r="Q110" t="s">
        <v>194</v>
      </c>
      <c r="R110" t="str">
        <f t="shared" si="3"/>
        <v>College Maths I</v>
      </c>
      <c r="S110">
        <v>0.8</v>
      </c>
    </row>
    <row r="111" spans="1:19" hidden="1" x14ac:dyDescent="0.2">
      <c r="A111">
        <v>109</v>
      </c>
      <c r="C111" t="s">
        <v>201</v>
      </c>
      <c r="E111">
        <v>12</v>
      </c>
      <c r="F111">
        <v>11</v>
      </c>
      <c r="G111">
        <v>20</v>
      </c>
      <c r="H111">
        <f t="shared" si="2"/>
        <v>10</v>
      </c>
      <c r="J111">
        <v>1</v>
      </c>
      <c r="K111" t="str">
        <f>VLOOKUP(J111, Subject!$A$2:$B$15, 2, FALSE)</f>
        <v>Maths</v>
      </c>
      <c r="L111" t="str">
        <f>VLOOKUP(J111, Subject!$A$2:$E$11, 5, FALSE)</f>
        <v>MA</v>
      </c>
      <c r="M111"/>
      <c r="N111" t="s">
        <v>378</v>
      </c>
      <c r="O111">
        <v>2</v>
      </c>
      <c r="P111" t="str">
        <f>VLOOKUP(O111, SubjectGroup!$A$2:$B$8, 2, FALSE)</f>
        <v>Core Academic Studies</v>
      </c>
      <c r="Q111" t="s">
        <v>194</v>
      </c>
      <c r="R111" t="str">
        <f t="shared" si="3"/>
        <v>College Maths II</v>
      </c>
      <c r="S111">
        <v>0.8</v>
      </c>
    </row>
    <row r="112" spans="1:19" hidden="1" x14ac:dyDescent="0.2">
      <c r="A112">
        <v>110</v>
      </c>
      <c r="C112" t="s">
        <v>199</v>
      </c>
      <c r="E112">
        <v>12</v>
      </c>
      <c r="F112">
        <v>139</v>
      </c>
      <c r="G112">
        <v>144</v>
      </c>
      <c r="H112">
        <f t="shared" si="2"/>
        <v>6</v>
      </c>
      <c r="J112">
        <v>1</v>
      </c>
      <c r="K112" t="str">
        <f>VLOOKUP(J112, Subject!$A$2:$B$15, 2, FALSE)</f>
        <v>Maths</v>
      </c>
      <c r="L112" t="str">
        <f>VLOOKUP(J112, Subject!$A$2:$E$11, 5, FALSE)</f>
        <v>MA</v>
      </c>
      <c r="M112"/>
      <c r="N112" t="s">
        <v>379</v>
      </c>
      <c r="O112">
        <v>2</v>
      </c>
      <c r="P112" t="str">
        <f>VLOOKUP(O112, SubjectGroup!$A$2:$B$8, 2, FALSE)</f>
        <v>Core Academic Studies</v>
      </c>
      <c r="Q112" t="s">
        <v>194</v>
      </c>
      <c r="R112" t="str">
        <f t="shared" si="3"/>
        <v>Higher Maths</v>
      </c>
      <c r="S112">
        <v>0.8</v>
      </c>
    </row>
    <row r="113" spans="1:20" hidden="1" x14ac:dyDescent="0.2">
      <c r="A113">
        <v>111</v>
      </c>
      <c r="C113" t="s">
        <v>198</v>
      </c>
      <c r="E113">
        <v>12</v>
      </c>
      <c r="F113">
        <v>133</v>
      </c>
      <c r="G113">
        <v>138</v>
      </c>
      <c r="H113">
        <f t="shared" si="2"/>
        <v>6</v>
      </c>
      <c r="J113">
        <v>1</v>
      </c>
      <c r="K113" t="str">
        <f>VLOOKUP(J113, Subject!$A$2:$B$15, 2, FALSE)</f>
        <v>Maths</v>
      </c>
      <c r="L113" t="str">
        <f>VLOOKUP(J113, Subject!$A$2:$E$11, 5, FALSE)</f>
        <v>MA</v>
      </c>
      <c r="M113"/>
      <c r="N113" t="s">
        <v>380</v>
      </c>
      <c r="O113">
        <v>2</v>
      </c>
      <c r="P113" t="str">
        <f>VLOOKUP(O113, SubjectGroup!$A$2:$B$8, 2, FALSE)</f>
        <v>Core Academic Studies</v>
      </c>
      <c r="Q113" t="s">
        <v>194</v>
      </c>
      <c r="R113" t="str">
        <f t="shared" si="3"/>
        <v>Trigonometry</v>
      </c>
      <c r="S113">
        <v>0.8</v>
      </c>
    </row>
    <row r="114" spans="1:20" hidden="1" x14ac:dyDescent="0.2">
      <c r="A114">
        <v>112</v>
      </c>
      <c r="C114" t="s">
        <v>205</v>
      </c>
      <c r="E114">
        <v>12</v>
      </c>
      <c r="F114">
        <v>1</v>
      </c>
      <c r="G114">
        <v>10</v>
      </c>
      <c r="H114">
        <f t="shared" si="2"/>
        <v>10</v>
      </c>
      <c r="J114">
        <v>2</v>
      </c>
      <c r="K114" t="str">
        <f>VLOOKUP(J114, Subject!$A$2:$B$15, 2, FALSE)</f>
        <v>Language</v>
      </c>
      <c r="L114" t="str">
        <f>VLOOKUP(J114, Subject!$A$2:$E$11, 5, FALSE)</f>
        <v>LA</v>
      </c>
      <c r="M114" t="s">
        <v>381</v>
      </c>
      <c r="N114" t="s">
        <v>382</v>
      </c>
      <c r="O114">
        <v>2</v>
      </c>
      <c r="P114" t="str">
        <f>VLOOKUP(O114, SubjectGroup!$A$2:$B$8, 2, FALSE)</f>
        <v>Core Academic Studies</v>
      </c>
      <c r="Q114" t="s">
        <v>194</v>
      </c>
      <c r="R114" t="str">
        <f t="shared" si="3"/>
        <v>English Composition II</v>
      </c>
      <c r="S114">
        <v>0.8</v>
      </c>
    </row>
    <row r="115" spans="1:20" hidden="1" x14ac:dyDescent="0.2">
      <c r="A115">
        <v>113</v>
      </c>
      <c r="C115" t="s">
        <v>383</v>
      </c>
      <c r="E115">
        <v>12</v>
      </c>
      <c r="F115">
        <v>133</v>
      </c>
      <c r="G115">
        <v>144</v>
      </c>
      <c r="H115">
        <f t="shared" si="2"/>
        <v>12</v>
      </c>
      <c r="I115">
        <v>12</v>
      </c>
      <c r="J115">
        <v>2</v>
      </c>
      <c r="K115" t="str">
        <f>VLOOKUP(J115, Subject!$A$2:$B$15, 2, FALSE)</f>
        <v>Language</v>
      </c>
      <c r="L115" t="str">
        <f>VLOOKUP(J115, Subject!$A$2:$E$11, 5, FALSE)</f>
        <v>LA</v>
      </c>
      <c r="M115" s="13" t="s">
        <v>384</v>
      </c>
      <c r="N115" t="s">
        <v>224</v>
      </c>
      <c r="O115">
        <v>2</v>
      </c>
      <c r="P115" t="str">
        <f>VLOOKUP(O115, SubjectGroup!$A$2:$B$8, 2, FALSE)</f>
        <v>Core Academic Studies</v>
      </c>
      <c r="Q115" t="s">
        <v>221</v>
      </c>
      <c r="R115" t="str">
        <f t="shared" si="3"/>
        <v>English IV</v>
      </c>
      <c r="S115">
        <v>0.8</v>
      </c>
    </row>
    <row r="116" spans="1:20" hidden="1" x14ac:dyDescent="0.2">
      <c r="A116">
        <v>114</v>
      </c>
      <c r="C116" t="s">
        <v>385</v>
      </c>
      <c r="E116">
        <v>12</v>
      </c>
      <c r="F116">
        <v>11</v>
      </c>
      <c r="G116">
        <v>20</v>
      </c>
      <c r="H116">
        <f t="shared" si="2"/>
        <v>10</v>
      </c>
      <c r="J116">
        <v>2</v>
      </c>
      <c r="K116" t="str">
        <f>VLOOKUP(J116, Subject!$A$2:$B$15, 2, FALSE)</f>
        <v>Language</v>
      </c>
      <c r="L116" t="str">
        <f>VLOOKUP(J116, Subject!$A$2:$E$11, 5, FALSE)</f>
        <v>LA</v>
      </c>
      <c r="M116" s="13" t="s">
        <v>386</v>
      </c>
      <c r="N116" t="s">
        <v>371</v>
      </c>
      <c r="O116">
        <v>2</v>
      </c>
      <c r="P116" t="str">
        <f>VLOOKUP(O116, SubjectGroup!$A$2:$B$8, 2, FALSE)</f>
        <v>Core Academic Studies</v>
      </c>
      <c r="Q116" t="s">
        <v>194</v>
      </c>
      <c r="R116" t="str">
        <f t="shared" si="3"/>
        <v>N.T. Greek II</v>
      </c>
      <c r="S116">
        <v>0.8</v>
      </c>
    </row>
    <row r="117" spans="1:20" hidden="1" x14ac:dyDescent="0.2">
      <c r="A117">
        <v>115</v>
      </c>
      <c r="C117" t="s">
        <v>387</v>
      </c>
      <c r="E117">
        <v>12</v>
      </c>
      <c r="F117">
        <v>7</v>
      </c>
      <c r="G117">
        <v>8</v>
      </c>
      <c r="H117">
        <f t="shared" si="2"/>
        <v>2</v>
      </c>
      <c r="J117">
        <v>10</v>
      </c>
      <c r="K117" t="str">
        <f>VLOOKUP(J117, Subject!$A$2:$B$15, 2, FALSE)</f>
        <v>Supplementary</v>
      </c>
      <c r="L117" t="str">
        <f>VLOOKUP(J117, Subject!$A$2:$E$11, 5, FALSE)</f>
        <v>SU</v>
      </c>
      <c r="M117"/>
      <c r="N117" t="s">
        <v>308</v>
      </c>
      <c r="O117">
        <v>3</v>
      </c>
      <c r="P117" t="str">
        <f>VLOOKUP(O117, SubjectGroup!$A$2:$B$8, 2, FALSE)</f>
        <v>Core Expanded Studies</v>
      </c>
      <c r="Q117" t="s">
        <v>194</v>
      </c>
      <c r="R117" t="str">
        <f t="shared" si="3"/>
        <v>Music Theory/Performance Grade 7/8</v>
      </c>
      <c r="S117">
        <v>0.8</v>
      </c>
    </row>
    <row r="118" spans="1:20" hidden="1" x14ac:dyDescent="0.2">
      <c r="A118">
        <v>116</v>
      </c>
      <c r="C118" t="s">
        <v>388</v>
      </c>
      <c r="E118">
        <v>12</v>
      </c>
      <c r="F118">
        <v>1</v>
      </c>
      <c r="G118">
        <v>10</v>
      </c>
      <c r="H118">
        <f t="shared" si="2"/>
        <v>10</v>
      </c>
      <c r="J118">
        <v>5</v>
      </c>
      <c r="K118" t="str">
        <f>VLOOKUP(J118, Subject!$A$2:$B$15, 2, FALSE)</f>
        <v>Science</v>
      </c>
      <c r="L118" t="str">
        <f>VLOOKUP(J118, Subject!$A$2:$E$11, 5, FALSE)</f>
        <v>SC</v>
      </c>
      <c r="M118"/>
      <c r="N118" t="s">
        <v>389</v>
      </c>
      <c r="O118">
        <v>2</v>
      </c>
      <c r="P118" t="str">
        <f>VLOOKUP(O118, SubjectGroup!$A$2:$B$8, 2, FALSE)</f>
        <v>Core Academic Studies</v>
      </c>
      <c r="Q118" t="s">
        <v>194</v>
      </c>
      <c r="R118" t="str">
        <f t="shared" si="3"/>
        <v>College Physical Science</v>
      </c>
      <c r="S118">
        <v>0.8</v>
      </c>
    </row>
    <row r="119" spans="1:20" hidden="1" x14ac:dyDescent="0.2">
      <c r="A119">
        <v>117</v>
      </c>
      <c r="C119" t="s">
        <v>202</v>
      </c>
      <c r="E119">
        <v>12</v>
      </c>
      <c r="F119">
        <v>133</v>
      </c>
      <c r="G119">
        <v>144</v>
      </c>
      <c r="H119">
        <f t="shared" si="2"/>
        <v>12</v>
      </c>
      <c r="I119">
        <v>12</v>
      </c>
      <c r="J119">
        <v>5</v>
      </c>
      <c r="K119" t="str">
        <f>VLOOKUP(J119, Subject!$A$2:$B$15, 2, FALSE)</f>
        <v>Science</v>
      </c>
      <c r="L119" t="str">
        <f>VLOOKUP(J119, Subject!$A$2:$E$11, 5, FALSE)</f>
        <v>SC</v>
      </c>
      <c r="M119"/>
      <c r="N119" t="s">
        <v>390</v>
      </c>
      <c r="O119">
        <v>2</v>
      </c>
      <c r="P119" t="str">
        <f>VLOOKUP(O119, SubjectGroup!$A$2:$B$8, 2, FALSE)</f>
        <v>Core Academic Studies</v>
      </c>
      <c r="Q119" t="s">
        <v>194</v>
      </c>
      <c r="R119" t="s">
        <v>1824</v>
      </c>
      <c r="S119">
        <v>0.8</v>
      </c>
    </row>
    <row r="120" spans="1:20" ht="16" x14ac:dyDescent="0.2">
      <c r="A120">
        <v>118</v>
      </c>
      <c r="C120" t="s">
        <v>391</v>
      </c>
      <c r="E120">
        <v>8</v>
      </c>
      <c r="F120">
        <v>85</v>
      </c>
      <c r="G120">
        <v>96</v>
      </c>
      <c r="H120">
        <f t="shared" si="2"/>
        <v>12</v>
      </c>
      <c r="I120">
        <v>12</v>
      </c>
      <c r="J120">
        <v>6</v>
      </c>
      <c r="K120" t="str">
        <f>VLOOKUP(J120, Subject!$A$2:$B$15, 2, FALSE)</f>
        <v>Social Studies</v>
      </c>
      <c r="L120" t="str">
        <f>VLOOKUP(J120, Subject!$A$2:$E$11, 5, FALSE)</f>
        <v>SS</v>
      </c>
      <c r="M120" s="25" t="s">
        <v>392</v>
      </c>
      <c r="N120" t="s">
        <v>393</v>
      </c>
      <c r="O120">
        <v>2</v>
      </c>
      <c r="P120" t="str">
        <f>VLOOKUP(O120, SubjectGroup!$A$2:$B$8, 2, FALSE)</f>
        <v>Core Academic Studies</v>
      </c>
      <c r="Q120" t="s">
        <v>194</v>
      </c>
      <c r="R120" t="s">
        <v>1832</v>
      </c>
      <c r="S120">
        <v>0.8</v>
      </c>
    </row>
    <row r="121" spans="1:20" x14ac:dyDescent="0.2">
      <c r="A121">
        <v>119</v>
      </c>
      <c r="C121" t="s">
        <v>394</v>
      </c>
      <c r="E121">
        <v>12</v>
      </c>
      <c r="F121">
        <v>133</v>
      </c>
      <c r="G121">
        <v>144</v>
      </c>
      <c r="H121">
        <f t="shared" si="2"/>
        <v>12</v>
      </c>
      <c r="I121">
        <v>12</v>
      </c>
      <c r="J121">
        <v>6</v>
      </c>
      <c r="K121" t="str">
        <f>VLOOKUP(J121, Subject!$A$2:$B$15, 2, FALSE)</f>
        <v>Social Studies</v>
      </c>
      <c r="L121" t="str">
        <f>VLOOKUP(J121, Subject!$A$2:$E$11, 5, FALSE)</f>
        <v>SS</v>
      </c>
      <c r="N121" t="s">
        <v>395</v>
      </c>
      <c r="O121">
        <v>2</v>
      </c>
      <c r="P121" t="str">
        <f>VLOOKUP(O121, SubjectGroup!$A$2:$B$8, 2, FALSE)</f>
        <v>Core Academic Studies</v>
      </c>
      <c r="Q121" t="s">
        <v>194</v>
      </c>
      <c r="R121" s="13" t="s">
        <v>1839</v>
      </c>
      <c r="S121">
        <v>0.8</v>
      </c>
    </row>
    <row r="122" spans="1:20" ht="16" x14ac:dyDescent="0.2">
      <c r="A122">
        <v>120</v>
      </c>
      <c r="C122" t="s">
        <v>396</v>
      </c>
      <c r="E122">
        <v>12</v>
      </c>
      <c r="F122">
        <v>133</v>
      </c>
      <c r="G122">
        <v>138</v>
      </c>
      <c r="H122">
        <f t="shared" si="2"/>
        <v>6</v>
      </c>
      <c r="I122">
        <v>6</v>
      </c>
      <c r="J122">
        <v>6</v>
      </c>
      <c r="K122" t="str">
        <f>VLOOKUP(J122, Subject!$A$2:$B$15, 2, FALSE)</f>
        <v>Social Studies</v>
      </c>
      <c r="L122" t="str">
        <f>VLOOKUP(J122, Subject!$A$2:$E$11, 5, FALSE)</f>
        <v>SS</v>
      </c>
      <c r="M122" s="25" t="s">
        <v>397</v>
      </c>
      <c r="N122" t="s">
        <v>398</v>
      </c>
      <c r="O122">
        <v>1</v>
      </c>
      <c r="P122" t="str">
        <f>VLOOKUP(O122, SubjectGroup!$A$2:$B$8, 2, FALSE)</f>
        <v>Christian Studies</v>
      </c>
      <c r="Q122" t="s">
        <v>194</v>
      </c>
      <c r="R122" s="13" t="s">
        <v>1840</v>
      </c>
      <c r="S122">
        <v>0.8</v>
      </c>
    </row>
    <row r="123" spans="1:20" ht="32" x14ac:dyDescent="0.2">
      <c r="A123">
        <v>121</v>
      </c>
      <c r="C123" t="s">
        <v>193</v>
      </c>
      <c r="E123">
        <v>11</v>
      </c>
      <c r="F123">
        <v>11</v>
      </c>
      <c r="G123">
        <v>20</v>
      </c>
      <c r="H123">
        <f t="shared" si="2"/>
        <v>10</v>
      </c>
      <c r="I123">
        <v>12</v>
      </c>
      <c r="J123">
        <v>6</v>
      </c>
      <c r="K123" t="str">
        <f>VLOOKUP(J123, Subject!$A$2:$B$15, 2, FALSE)</f>
        <v>Social Studies</v>
      </c>
      <c r="L123" t="str">
        <f>VLOOKUP(J123, Subject!$A$2:$E$11, 5, FALSE)</f>
        <v>SS</v>
      </c>
      <c r="M123" s="25" t="s">
        <v>399</v>
      </c>
      <c r="N123" t="s">
        <v>350</v>
      </c>
      <c r="O123">
        <v>2</v>
      </c>
      <c r="P123" t="str">
        <f>VLOOKUP(O123, SubjectGroup!$A$2:$B$8, 2, FALSE)</f>
        <v>Core Academic Studies</v>
      </c>
      <c r="Q123" t="s">
        <v>221</v>
      </c>
      <c r="R123" s="13" t="s">
        <v>1836</v>
      </c>
      <c r="S123">
        <v>0.8</v>
      </c>
    </row>
    <row r="124" spans="1:20" x14ac:dyDescent="0.2">
      <c r="A124">
        <v>122</v>
      </c>
      <c r="C124" t="s">
        <v>400</v>
      </c>
      <c r="E124">
        <v>12</v>
      </c>
      <c r="F124">
        <v>133</v>
      </c>
      <c r="G124">
        <v>136</v>
      </c>
      <c r="H124">
        <f t="shared" si="2"/>
        <v>4</v>
      </c>
      <c r="I124">
        <v>6</v>
      </c>
      <c r="J124">
        <v>6</v>
      </c>
      <c r="K124" t="str">
        <f>VLOOKUP(J124, Subject!$A$2:$B$15, 2, FALSE)</f>
        <v>Social Studies</v>
      </c>
      <c r="L124" t="str">
        <f>VLOOKUP(J124, Subject!$A$2:$E$11, 5, FALSE)</f>
        <v>SS</v>
      </c>
      <c r="N124" t="s">
        <v>401</v>
      </c>
      <c r="O124">
        <v>2</v>
      </c>
      <c r="P124" t="str">
        <f>VLOOKUP(O124, SubjectGroup!$A$2:$B$8, 2, FALSE)</f>
        <v>Core Academic Studies</v>
      </c>
      <c r="Q124" t="s">
        <v>194</v>
      </c>
      <c r="R124" s="13" t="s">
        <v>1841</v>
      </c>
      <c r="S124">
        <v>0.8</v>
      </c>
    </row>
    <row r="125" spans="1:20" hidden="1" x14ac:dyDescent="0.2">
      <c r="A125">
        <v>123</v>
      </c>
      <c r="C125" t="s">
        <v>402</v>
      </c>
      <c r="E125">
        <v>12</v>
      </c>
      <c r="F125">
        <v>6</v>
      </c>
      <c r="G125">
        <v>10</v>
      </c>
      <c r="H125">
        <f t="shared" si="2"/>
        <v>5</v>
      </c>
      <c r="J125">
        <v>7</v>
      </c>
      <c r="K125" t="str">
        <f>VLOOKUP(J125, Subject!$A$2:$B$15, 2, FALSE)</f>
        <v>Biblical Studies</v>
      </c>
      <c r="L125" t="str">
        <f>VLOOKUP(J125, Subject!$A$2:$E$11, 5, FALSE)</f>
        <v>BS</v>
      </c>
      <c r="M125" s="13" t="s">
        <v>403</v>
      </c>
      <c r="N125" t="s">
        <v>354</v>
      </c>
      <c r="O125">
        <v>1</v>
      </c>
      <c r="P125" t="str">
        <f>VLOOKUP(O125, SubjectGroup!$A$2:$B$8, 2, FALSE)</f>
        <v>Christian Studies</v>
      </c>
      <c r="Q125" t="s">
        <v>194</v>
      </c>
      <c r="R125" t="str">
        <f t="shared" si="3"/>
        <v>Christian Counselling II</v>
      </c>
      <c r="S125">
        <v>0.8</v>
      </c>
    </row>
    <row r="126" spans="1:20" hidden="1" x14ac:dyDescent="0.2">
      <c r="A126">
        <v>124</v>
      </c>
      <c r="C126" t="s">
        <v>404</v>
      </c>
      <c r="E126">
        <v>12</v>
      </c>
      <c r="F126">
        <v>133</v>
      </c>
      <c r="G126">
        <v>138</v>
      </c>
      <c r="H126">
        <f t="shared" si="2"/>
        <v>6</v>
      </c>
      <c r="J126">
        <v>7</v>
      </c>
      <c r="K126" t="str">
        <f>VLOOKUP(J126, Subject!$A$2:$B$15, 2, FALSE)</f>
        <v>Biblical Studies</v>
      </c>
      <c r="L126" t="str">
        <f>VLOOKUP(J126, Subject!$A$2:$E$11, 5, FALSE)</f>
        <v>BS</v>
      </c>
      <c r="M126"/>
      <c r="N126" t="s">
        <v>405</v>
      </c>
      <c r="O126">
        <v>1</v>
      </c>
      <c r="P126" t="str">
        <f>VLOOKUP(O126, SubjectGroup!$A$2:$B$8, 2, FALSE)</f>
        <v>Christian Studies</v>
      </c>
      <c r="Q126" t="s">
        <v>194</v>
      </c>
      <c r="R126" t="str">
        <f t="shared" si="3"/>
        <v>Christian Growth I</v>
      </c>
      <c r="S126">
        <v>0.8</v>
      </c>
    </row>
    <row r="127" spans="1:20" hidden="1" x14ac:dyDescent="0.2">
      <c r="A127">
        <v>125</v>
      </c>
      <c r="C127" t="s">
        <v>406</v>
      </c>
      <c r="E127">
        <v>12</v>
      </c>
      <c r="F127">
        <v>139</v>
      </c>
      <c r="G127">
        <v>144</v>
      </c>
      <c r="H127">
        <f t="shared" si="2"/>
        <v>6</v>
      </c>
      <c r="J127">
        <v>7</v>
      </c>
      <c r="K127" t="str">
        <f>VLOOKUP(J127, Subject!$A$2:$B$15, 2, FALSE)</f>
        <v>Biblical Studies</v>
      </c>
      <c r="L127" t="str">
        <f>VLOOKUP(J127, Subject!$A$2:$E$11, 5, FALSE)</f>
        <v>BS</v>
      </c>
      <c r="M127" t="s">
        <v>407</v>
      </c>
      <c r="N127" t="s">
        <v>227</v>
      </c>
      <c r="O127">
        <v>1</v>
      </c>
      <c r="P127" t="str">
        <f>VLOOKUP(O127, SubjectGroup!$A$2:$B$8, 2, FALSE)</f>
        <v>Christian Studies</v>
      </c>
      <c r="Q127" t="s">
        <v>194</v>
      </c>
      <c r="R127" t="str">
        <f t="shared" si="3"/>
        <v>Life of Christ II</v>
      </c>
      <c r="S127">
        <v>0.8</v>
      </c>
    </row>
    <row r="128" spans="1:20" hidden="1" x14ac:dyDescent="0.2">
      <c r="A128">
        <v>126</v>
      </c>
      <c r="C128" t="s">
        <v>408</v>
      </c>
      <c r="E128">
        <v>12</v>
      </c>
      <c r="F128">
        <v>127</v>
      </c>
      <c r="G128">
        <v>132</v>
      </c>
      <c r="H128">
        <f t="shared" si="2"/>
        <v>6</v>
      </c>
      <c r="I128">
        <v>6</v>
      </c>
      <c r="J128">
        <v>7</v>
      </c>
      <c r="K128" t="str">
        <f>VLOOKUP(J128, Subject!$A$2:$B$15, 2, FALSE)</f>
        <v>Biblical Studies</v>
      </c>
      <c r="L128" t="str">
        <f>VLOOKUP(J128, Subject!$A$2:$E$11, 5, FALSE)</f>
        <v>BS</v>
      </c>
      <c r="M128" s="13" t="s">
        <v>409</v>
      </c>
      <c r="N128" t="s">
        <v>375</v>
      </c>
      <c r="O128">
        <v>1</v>
      </c>
      <c r="P128" t="str">
        <f>VLOOKUP(O128, SubjectGroup!$A$2:$B$8, 2, FALSE)</f>
        <v>Christian Studies</v>
      </c>
      <c r="Q128" t="s">
        <v>194</v>
      </c>
      <c r="R128" t="str">
        <f t="shared" si="3"/>
        <v>New Testament Church History II</v>
      </c>
      <c r="S128">
        <v>0.8</v>
      </c>
      <c r="T128" t="s">
        <v>440</v>
      </c>
    </row>
    <row r="129" spans="1:20" hidden="1" x14ac:dyDescent="0.2">
      <c r="A129">
        <v>127</v>
      </c>
      <c r="C129" t="s">
        <v>410</v>
      </c>
      <c r="E129" s="13">
        <v>10</v>
      </c>
      <c r="F129">
        <v>1</v>
      </c>
      <c r="G129">
        <v>10</v>
      </c>
      <c r="H129">
        <f t="shared" si="2"/>
        <v>10</v>
      </c>
      <c r="J129">
        <v>2</v>
      </c>
      <c r="K129" t="str">
        <f>VLOOKUP(J129, Subject!$A$2:$B$15, 2, FALSE)</f>
        <v>Language</v>
      </c>
      <c r="L129" t="str">
        <f>VLOOKUP(J129, Subject!$A$2:$E$11, 5, FALSE)</f>
        <v>LA</v>
      </c>
      <c r="M129" s="13" t="s">
        <v>411</v>
      </c>
      <c r="N129" t="s">
        <v>382</v>
      </c>
      <c r="O129">
        <v>2</v>
      </c>
      <c r="P129" t="str">
        <f>VLOOKUP(O129, SubjectGroup!$A$2:$B$8, 2, FALSE)</f>
        <v>Core Academic Studies</v>
      </c>
      <c r="Q129" t="s">
        <v>221</v>
      </c>
      <c r="R129" t="str">
        <f t="shared" si="3"/>
        <v>English Composition I</v>
      </c>
      <c r="S129">
        <v>0.8</v>
      </c>
    </row>
    <row r="130" spans="1:20" hidden="1" x14ac:dyDescent="0.2">
      <c r="A130">
        <v>128</v>
      </c>
      <c r="C130" s="13" t="s">
        <v>186</v>
      </c>
      <c r="D130" s="13"/>
      <c r="E130">
        <v>12</v>
      </c>
      <c r="H130">
        <f t="shared" si="2"/>
        <v>1</v>
      </c>
      <c r="I130">
        <v>12</v>
      </c>
      <c r="J130">
        <v>7</v>
      </c>
      <c r="K130" t="str">
        <f>VLOOKUP(J130, Subject!$A$2:$B$15, 2, FALSE)</f>
        <v>Biblical Studies</v>
      </c>
      <c r="L130" t="str">
        <f>VLOOKUP(J130, Subject!$A$2:$E$11, 5, FALSE)</f>
        <v>BS</v>
      </c>
      <c r="M130" t="s">
        <v>412</v>
      </c>
      <c r="N130" t="s">
        <v>330</v>
      </c>
      <c r="O130">
        <v>1</v>
      </c>
      <c r="P130" t="str">
        <f>VLOOKUP(O130, SubjectGroup!$A$2:$B$8, 2, FALSE)</f>
        <v>Christian Studies</v>
      </c>
      <c r="Q130" t="s">
        <v>194</v>
      </c>
      <c r="R130" t="str">
        <f t="shared" si="3"/>
        <v>Apologetics III</v>
      </c>
      <c r="S130">
        <v>0.8</v>
      </c>
      <c r="T130" t="s">
        <v>1969</v>
      </c>
    </row>
    <row r="131" spans="1:20" hidden="1" x14ac:dyDescent="0.2">
      <c r="A131">
        <v>129</v>
      </c>
      <c r="C131" t="s">
        <v>413</v>
      </c>
      <c r="E131">
        <v>9</v>
      </c>
      <c r="F131">
        <v>1</v>
      </c>
      <c r="G131">
        <v>6</v>
      </c>
      <c r="H131">
        <f t="shared" ref="H131:H152" si="4">G131-F131+1</f>
        <v>6</v>
      </c>
      <c r="J131">
        <v>5</v>
      </c>
      <c r="K131" t="str">
        <f>VLOOKUP(J131, Subject!$A$2:$B$15, 2, FALSE)</f>
        <v>Science</v>
      </c>
      <c r="L131" t="str">
        <f>VLOOKUP(J131, Subject!$A$2:$E$11, 5, FALSE)</f>
        <v>SC</v>
      </c>
      <c r="M131"/>
      <c r="N131" t="s">
        <v>414</v>
      </c>
      <c r="O131">
        <v>2</v>
      </c>
      <c r="P131" t="str">
        <f>VLOOKUP(O131, SubjectGroup!$A$2:$B$8, 2, FALSE)</f>
        <v>Core Academic Studies</v>
      </c>
      <c r="Q131" t="s">
        <v>194</v>
      </c>
      <c r="R131" t="str">
        <f t="shared" ref="R131:R147" si="5">C131</f>
        <v>ICCE Biology</v>
      </c>
      <c r="S131">
        <v>0.8</v>
      </c>
    </row>
    <row r="132" spans="1:20" hidden="1" x14ac:dyDescent="0.2">
      <c r="A132">
        <v>130</v>
      </c>
      <c r="C132" t="s">
        <v>415</v>
      </c>
      <c r="E132">
        <v>10</v>
      </c>
      <c r="F132">
        <v>1</v>
      </c>
      <c r="G132">
        <v>16</v>
      </c>
      <c r="H132">
        <f t="shared" si="4"/>
        <v>16</v>
      </c>
      <c r="J132">
        <v>5</v>
      </c>
      <c r="K132" t="str">
        <f>VLOOKUP(J132, Subject!$A$2:$B$15, 2, FALSE)</f>
        <v>Science</v>
      </c>
      <c r="L132" t="str">
        <f>VLOOKUP(J132, Subject!$A$2:$E$11, 5, FALSE)</f>
        <v>SC</v>
      </c>
      <c r="M132"/>
      <c r="N132" t="s">
        <v>270</v>
      </c>
      <c r="O132">
        <v>2</v>
      </c>
      <c r="P132" t="str">
        <f>VLOOKUP(O132, SubjectGroup!$A$2:$B$8, 2, FALSE)</f>
        <v>Core Academic Studies</v>
      </c>
      <c r="Q132" t="s">
        <v>194</v>
      </c>
      <c r="R132" t="str">
        <f t="shared" si="5"/>
        <v>Biology Apologia</v>
      </c>
      <c r="S132">
        <v>0.8</v>
      </c>
    </row>
    <row r="133" spans="1:20" hidden="1" x14ac:dyDescent="0.2">
      <c r="A133">
        <v>131</v>
      </c>
      <c r="C133" t="s">
        <v>416</v>
      </c>
      <c r="E133">
        <v>12</v>
      </c>
      <c r="F133">
        <v>133</v>
      </c>
      <c r="G133">
        <v>144</v>
      </c>
      <c r="H133">
        <f t="shared" si="4"/>
        <v>12</v>
      </c>
      <c r="I133">
        <v>12</v>
      </c>
      <c r="J133">
        <v>7</v>
      </c>
      <c r="K133" t="str">
        <f>VLOOKUP(J133, Subject!$A$2:$B$15, 2, FALSE)</f>
        <v>Biblical Studies</v>
      </c>
      <c r="L133" t="str">
        <f>VLOOKUP(J133, Subject!$A$2:$E$11, 5, FALSE)</f>
        <v>BS</v>
      </c>
      <c r="M133"/>
      <c r="N133" t="s">
        <v>227</v>
      </c>
      <c r="O133">
        <v>1</v>
      </c>
      <c r="P133" t="str">
        <f>VLOOKUP(O133, SubjectGroup!$A$2:$B$8, 2, FALSE)</f>
        <v>Christian Studies</v>
      </c>
      <c r="Q133" t="s">
        <v>194</v>
      </c>
      <c r="R133" t="str">
        <f t="shared" si="5"/>
        <v>Life of Christ</v>
      </c>
      <c r="S133">
        <v>0.8</v>
      </c>
      <c r="T133" t="s">
        <v>440</v>
      </c>
    </row>
    <row r="134" spans="1:20" hidden="1" x14ac:dyDescent="0.2">
      <c r="A134">
        <v>132</v>
      </c>
      <c r="C134" t="s">
        <v>417</v>
      </c>
      <c r="E134">
        <v>9</v>
      </c>
      <c r="H134">
        <f t="shared" si="4"/>
        <v>1</v>
      </c>
      <c r="I134">
        <v>12</v>
      </c>
      <c r="J134">
        <v>2</v>
      </c>
      <c r="K134" t="str">
        <f>VLOOKUP(J134, Subject!$A$2:$B$15, 2, FALSE)</f>
        <v>Language</v>
      </c>
      <c r="L134" t="str">
        <f>VLOOKUP(J134, Subject!$A$2:$E$11, 5, FALSE)</f>
        <v>LA</v>
      </c>
      <c r="M134"/>
      <c r="N134" t="s">
        <v>166</v>
      </c>
      <c r="O134">
        <v>2</v>
      </c>
      <c r="P134" t="str">
        <f>VLOOKUP(O134, SubjectGroup!$A$2:$B$8, 2, FALSE)</f>
        <v>Core Academic Studies</v>
      </c>
      <c r="Q134" t="s">
        <v>194</v>
      </c>
      <c r="R134" t="str">
        <f t="shared" si="5"/>
        <v>Dutch Language Staatsexamen VMBO</v>
      </c>
      <c r="S134">
        <v>0.8</v>
      </c>
    </row>
    <row r="135" spans="1:20" x14ac:dyDescent="0.2">
      <c r="A135">
        <v>133</v>
      </c>
      <c r="C135" t="s">
        <v>418</v>
      </c>
      <c r="E135">
        <v>9</v>
      </c>
      <c r="H135">
        <f t="shared" si="4"/>
        <v>1</v>
      </c>
      <c r="I135">
        <v>3</v>
      </c>
      <c r="J135">
        <v>6</v>
      </c>
      <c r="K135" t="str">
        <f>VLOOKUP(J135, Subject!$A$2:$B$15, 2, FALSE)</f>
        <v>Social Studies</v>
      </c>
      <c r="L135" t="str">
        <f>VLOOKUP(J135, Subject!$A$2:$E$11, 5, FALSE)</f>
        <v>SS</v>
      </c>
      <c r="N135" t="s">
        <v>283</v>
      </c>
      <c r="O135">
        <v>7</v>
      </c>
      <c r="P135" t="str">
        <f>VLOOKUP(O135, SubjectGroup!$A$2:$B$8, 2, FALSE)</f>
        <v>Coursework</v>
      </c>
      <c r="Q135" t="s">
        <v>419</v>
      </c>
      <c r="R135" t="str">
        <f t="shared" si="5"/>
        <v>Social Studies Essay General</v>
      </c>
      <c r="S135">
        <v>0.8</v>
      </c>
    </row>
    <row r="136" spans="1:20" hidden="1" x14ac:dyDescent="0.2">
      <c r="A136">
        <v>134</v>
      </c>
      <c r="C136" t="s">
        <v>420</v>
      </c>
      <c r="E136">
        <v>9</v>
      </c>
      <c r="H136">
        <f t="shared" si="4"/>
        <v>1</v>
      </c>
      <c r="I136">
        <v>3</v>
      </c>
      <c r="J136">
        <v>5</v>
      </c>
      <c r="K136" t="str">
        <f>VLOOKUP(J136, Subject!$A$2:$B$15, 2, FALSE)</f>
        <v>Science</v>
      </c>
      <c r="L136" t="str">
        <f>VLOOKUP(J136, Subject!$A$2:$E$11, 5, FALSE)</f>
        <v>SC</v>
      </c>
      <c r="M136"/>
      <c r="N136" t="s">
        <v>283</v>
      </c>
      <c r="O136">
        <v>7</v>
      </c>
      <c r="P136" t="str">
        <f>VLOOKUP(O136, SubjectGroup!$A$2:$B$8, 2, FALSE)</f>
        <v>Coursework</v>
      </c>
      <c r="Q136" t="s">
        <v>419</v>
      </c>
      <c r="R136" t="str">
        <f t="shared" si="5"/>
        <v>Science Essay General</v>
      </c>
      <c r="S136">
        <v>0.8</v>
      </c>
    </row>
    <row r="137" spans="1:20" hidden="1" x14ac:dyDescent="0.2">
      <c r="A137">
        <v>135</v>
      </c>
      <c r="C137" t="s">
        <v>421</v>
      </c>
      <c r="E137">
        <v>10</v>
      </c>
      <c r="H137">
        <f t="shared" si="4"/>
        <v>1</v>
      </c>
      <c r="I137">
        <v>2</v>
      </c>
      <c r="J137">
        <v>7</v>
      </c>
      <c r="K137" t="str">
        <f>VLOOKUP(J137, Subject!$A$2:$B$15, 2, FALSE)</f>
        <v>Biblical Studies</v>
      </c>
      <c r="L137" t="str">
        <f>VLOOKUP(J137, Subject!$A$2:$E$11, 5, FALSE)</f>
        <v>BS</v>
      </c>
      <c r="M137"/>
      <c r="N137" t="s">
        <v>283</v>
      </c>
      <c r="O137">
        <v>7</v>
      </c>
      <c r="P137" t="str">
        <f>VLOOKUP(O137, SubjectGroup!$A$2:$B$8, 2, FALSE)</f>
        <v>Coursework</v>
      </c>
      <c r="Q137" t="s">
        <v>419</v>
      </c>
      <c r="R137" t="str">
        <f t="shared" si="5"/>
        <v>Biblical Studies Essay Intermediate</v>
      </c>
      <c r="S137">
        <v>0.8</v>
      </c>
      <c r="T137" t="s">
        <v>440</v>
      </c>
    </row>
    <row r="138" spans="1:20" hidden="1" x14ac:dyDescent="0.2">
      <c r="A138">
        <v>136</v>
      </c>
      <c r="C138" t="s">
        <v>422</v>
      </c>
      <c r="E138">
        <v>10</v>
      </c>
      <c r="H138">
        <f t="shared" si="4"/>
        <v>1</v>
      </c>
      <c r="I138">
        <v>2</v>
      </c>
      <c r="J138">
        <v>2</v>
      </c>
      <c r="K138" t="str">
        <f>VLOOKUP(J138, Subject!$A$2:$B$15, 2, FALSE)</f>
        <v>Language</v>
      </c>
      <c r="L138" t="str">
        <f>VLOOKUP(J138, Subject!$A$2:$E$11, 5, FALSE)</f>
        <v>LA</v>
      </c>
      <c r="M138"/>
      <c r="N138" t="s">
        <v>283</v>
      </c>
      <c r="O138">
        <v>7</v>
      </c>
      <c r="P138" t="str">
        <f>VLOOKUP(O138, SubjectGroup!$A$2:$B$8, 2, FALSE)</f>
        <v>Coursework</v>
      </c>
      <c r="Q138" t="s">
        <v>419</v>
      </c>
      <c r="R138" t="str">
        <f t="shared" si="5"/>
        <v>English Essay Intermediate</v>
      </c>
      <c r="S138">
        <v>0.8</v>
      </c>
    </row>
    <row r="139" spans="1:20" x14ac:dyDescent="0.2">
      <c r="A139">
        <v>137</v>
      </c>
      <c r="C139" t="s">
        <v>423</v>
      </c>
      <c r="E139">
        <v>10</v>
      </c>
      <c r="H139">
        <f t="shared" si="4"/>
        <v>1</v>
      </c>
      <c r="I139">
        <v>2</v>
      </c>
      <c r="J139">
        <v>6</v>
      </c>
      <c r="K139" t="str">
        <f>VLOOKUP(J139, Subject!$A$2:$B$15, 2, FALSE)</f>
        <v>Social Studies</v>
      </c>
      <c r="L139" t="str">
        <f>VLOOKUP(J139, Subject!$A$2:$E$11, 5, FALSE)</f>
        <v>SS</v>
      </c>
      <c r="N139" t="s">
        <v>283</v>
      </c>
      <c r="O139">
        <v>7</v>
      </c>
      <c r="P139" t="str">
        <f>VLOOKUP(O139, SubjectGroup!$A$2:$B$8, 2, FALSE)</f>
        <v>Coursework</v>
      </c>
      <c r="Q139" t="s">
        <v>419</v>
      </c>
      <c r="R139" t="str">
        <f t="shared" si="5"/>
        <v>Social Studies Essay Intermediate</v>
      </c>
      <c r="S139">
        <v>0.8</v>
      </c>
    </row>
    <row r="140" spans="1:20" hidden="1" x14ac:dyDescent="0.2">
      <c r="A140">
        <v>138</v>
      </c>
      <c r="C140" t="s">
        <v>424</v>
      </c>
      <c r="E140">
        <v>10</v>
      </c>
      <c r="H140">
        <f t="shared" si="4"/>
        <v>1</v>
      </c>
      <c r="I140">
        <v>2</v>
      </c>
      <c r="J140">
        <v>5</v>
      </c>
      <c r="K140" t="str">
        <f>VLOOKUP(J140, Subject!$A$2:$B$15, 2, FALSE)</f>
        <v>Science</v>
      </c>
      <c r="L140" t="str">
        <f>VLOOKUP(J140, Subject!$A$2:$E$11, 5, FALSE)</f>
        <v>SC</v>
      </c>
      <c r="M140"/>
      <c r="N140" t="s">
        <v>283</v>
      </c>
      <c r="O140">
        <v>7</v>
      </c>
      <c r="P140" t="str">
        <f>VLOOKUP(O140, SubjectGroup!$A$2:$B$8, 2, FALSE)</f>
        <v>Coursework</v>
      </c>
      <c r="Q140" t="s">
        <v>419</v>
      </c>
      <c r="R140" t="str">
        <f t="shared" si="5"/>
        <v>Science Essay Intermediate</v>
      </c>
      <c r="S140">
        <v>0.8</v>
      </c>
    </row>
    <row r="141" spans="1:20" hidden="1" x14ac:dyDescent="0.2">
      <c r="A141">
        <v>139</v>
      </c>
      <c r="C141" t="s">
        <v>425</v>
      </c>
      <c r="E141">
        <v>12</v>
      </c>
      <c r="H141">
        <f t="shared" si="4"/>
        <v>1</v>
      </c>
      <c r="I141">
        <v>2</v>
      </c>
      <c r="J141">
        <v>7</v>
      </c>
      <c r="K141" t="str">
        <f>VLOOKUP(J141, Subject!$A$2:$B$15, 2, FALSE)</f>
        <v>Biblical Studies</v>
      </c>
      <c r="L141" t="str">
        <f>VLOOKUP(J141, Subject!$A$2:$E$11, 5, FALSE)</f>
        <v>BS</v>
      </c>
      <c r="M141"/>
      <c r="N141" t="s">
        <v>283</v>
      </c>
      <c r="O141">
        <v>7</v>
      </c>
      <c r="P141" t="str">
        <f>VLOOKUP(O141, SubjectGroup!$A$2:$B$8, 2, FALSE)</f>
        <v>Coursework</v>
      </c>
      <c r="Q141" t="s">
        <v>419</v>
      </c>
      <c r="R141" t="str">
        <f t="shared" si="5"/>
        <v>Biblical Studies Essay Advanced</v>
      </c>
      <c r="S141">
        <v>0.8</v>
      </c>
      <c r="T141" t="s">
        <v>440</v>
      </c>
    </row>
    <row r="142" spans="1:20" hidden="1" x14ac:dyDescent="0.2">
      <c r="A142">
        <v>140</v>
      </c>
      <c r="C142" t="s">
        <v>426</v>
      </c>
      <c r="E142">
        <v>12</v>
      </c>
      <c r="H142">
        <f t="shared" si="4"/>
        <v>1</v>
      </c>
      <c r="I142">
        <v>2</v>
      </c>
      <c r="J142">
        <v>1</v>
      </c>
      <c r="K142" t="str">
        <f>VLOOKUP(J142, Subject!$A$2:$B$15, 2, FALSE)</f>
        <v>Maths</v>
      </c>
      <c r="L142" t="str">
        <f>VLOOKUP(J142, Subject!$A$2:$E$11, 5, FALSE)</f>
        <v>MA</v>
      </c>
      <c r="M142"/>
      <c r="N142" t="s">
        <v>283</v>
      </c>
      <c r="O142">
        <v>7</v>
      </c>
      <c r="P142" t="str">
        <f>VLOOKUP(O142, SubjectGroup!$A$2:$B$8, 2, FALSE)</f>
        <v>Coursework</v>
      </c>
      <c r="Q142" t="s">
        <v>419</v>
      </c>
      <c r="R142" t="str">
        <f t="shared" si="5"/>
        <v>Maths Paper Advanced</v>
      </c>
      <c r="S142">
        <v>0.8</v>
      </c>
    </row>
    <row r="143" spans="1:20" hidden="1" x14ac:dyDescent="0.2">
      <c r="A143">
        <v>141</v>
      </c>
      <c r="C143" t="s">
        <v>427</v>
      </c>
      <c r="E143">
        <v>12</v>
      </c>
      <c r="H143">
        <f t="shared" si="4"/>
        <v>1</v>
      </c>
      <c r="I143">
        <v>2</v>
      </c>
      <c r="J143">
        <v>2</v>
      </c>
      <c r="K143" t="str">
        <f>VLOOKUP(J143, Subject!$A$2:$B$15, 2, FALSE)</f>
        <v>Language</v>
      </c>
      <c r="L143" t="str">
        <f>VLOOKUP(J143, Subject!$A$2:$E$11, 5, FALSE)</f>
        <v>LA</v>
      </c>
      <c r="M143"/>
      <c r="N143" t="s">
        <v>283</v>
      </c>
      <c r="O143">
        <v>7</v>
      </c>
      <c r="P143" t="str">
        <f>VLOOKUP(O143, SubjectGroup!$A$2:$B$8, 2, FALSE)</f>
        <v>Coursework</v>
      </c>
      <c r="Q143" t="s">
        <v>419</v>
      </c>
      <c r="R143" t="str">
        <f t="shared" si="5"/>
        <v>English Essay Advanced</v>
      </c>
      <c r="S143">
        <v>0.8</v>
      </c>
    </row>
    <row r="144" spans="1:20" x14ac:dyDescent="0.2">
      <c r="A144">
        <v>142</v>
      </c>
      <c r="C144" t="s">
        <v>428</v>
      </c>
      <c r="E144">
        <v>12</v>
      </c>
      <c r="H144">
        <f t="shared" si="4"/>
        <v>1</v>
      </c>
      <c r="I144">
        <v>2</v>
      </c>
      <c r="J144">
        <v>6</v>
      </c>
      <c r="K144" t="str">
        <f>VLOOKUP(J144, Subject!$A$2:$B$15, 2, FALSE)</f>
        <v>Social Studies</v>
      </c>
      <c r="L144" t="str">
        <f>VLOOKUP(J144, Subject!$A$2:$E$11, 5, FALSE)</f>
        <v>SS</v>
      </c>
      <c r="N144" t="s">
        <v>283</v>
      </c>
      <c r="O144">
        <v>7</v>
      </c>
      <c r="P144" t="str">
        <f>VLOOKUP(O144, SubjectGroup!$A$2:$B$8, 2, FALSE)</f>
        <v>Coursework</v>
      </c>
      <c r="Q144" t="s">
        <v>419</v>
      </c>
      <c r="R144" t="str">
        <f t="shared" si="5"/>
        <v>Social Studies Essay Advanced</v>
      </c>
      <c r="S144">
        <v>0.8</v>
      </c>
    </row>
    <row r="145" spans="1:20" hidden="1" x14ac:dyDescent="0.2">
      <c r="A145">
        <v>143</v>
      </c>
      <c r="C145" t="s">
        <v>429</v>
      </c>
      <c r="E145">
        <v>12</v>
      </c>
      <c r="H145">
        <f t="shared" si="4"/>
        <v>1</v>
      </c>
      <c r="I145">
        <v>2</v>
      </c>
      <c r="J145">
        <v>5</v>
      </c>
      <c r="K145" t="str">
        <f>VLOOKUP(J145, Subject!$A$2:$B$15, 2, FALSE)</f>
        <v>Science</v>
      </c>
      <c r="L145" t="str">
        <f>VLOOKUP(J145, Subject!$A$2:$E$11, 5, FALSE)</f>
        <v>SC</v>
      </c>
      <c r="M145"/>
      <c r="N145" t="s">
        <v>430</v>
      </c>
      <c r="O145">
        <v>7</v>
      </c>
      <c r="P145" t="str">
        <f>VLOOKUP(O145, SubjectGroup!$A$2:$B$8, 2, FALSE)</f>
        <v>Coursework</v>
      </c>
      <c r="Q145" t="s">
        <v>419</v>
      </c>
      <c r="R145" t="str">
        <f t="shared" si="5"/>
        <v>Sciences Project Advanced</v>
      </c>
      <c r="S145">
        <v>0.8</v>
      </c>
    </row>
    <row r="146" spans="1:20" hidden="1" x14ac:dyDescent="0.2">
      <c r="A146">
        <v>144</v>
      </c>
      <c r="C146" t="s">
        <v>431</v>
      </c>
      <c r="E146">
        <v>12</v>
      </c>
      <c r="H146">
        <f t="shared" si="4"/>
        <v>1</v>
      </c>
      <c r="I146">
        <v>2</v>
      </c>
      <c r="J146">
        <v>5</v>
      </c>
      <c r="K146" t="str">
        <f>VLOOKUP(J146, Subject!$A$2:$B$15, 2, FALSE)</f>
        <v>Science</v>
      </c>
      <c r="L146" t="str">
        <f>VLOOKUP(J146, Subject!$A$2:$E$11, 5, FALSE)</f>
        <v>SC</v>
      </c>
      <c r="M146"/>
      <c r="N146" t="s">
        <v>283</v>
      </c>
      <c r="O146">
        <v>7</v>
      </c>
      <c r="P146" t="str">
        <f>VLOOKUP(O146, SubjectGroup!$A$2:$B$8, 2, FALSE)</f>
        <v>Coursework</v>
      </c>
      <c r="Q146" t="s">
        <v>419</v>
      </c>
      <c r="R146" t="str">
        <f t="shared" si="5"/>
        <v>Sciences Essay Advanced</v>
      </c>
      <c r="S146">
        <v>0.8</v>
      </c>
    </row>
    <row r="147" spans="1:20" hidden="1" x14ac:dyDescent="0.2">
      <c r="A147">
        <v>145</v>
      </c>
      <c r="C147" t="s">
        <v>432</v>
      </c>
      <c r="E147">
        <v>12</v>
      </c>
      <c r="H147">
        <f t="shared" si="4"/>
        <v>1</v>
      </c>
      <c r="I147">
        <v>2</v>
      </c>
      <c r="J147">
        <v>2</v>
      </c>
      <c r="K147" t="str">
        <f>VLOOKUP(J147, Subject!$A$2:$B$15, 2, FALSE)</f>
        <v>Language</v>
      </c>
      <c r="L147" t="str">
        <f>VLOOKUP(J147, Subject!$A$2:$E$11, 5, FALSE)</f>
        <v>LA</v>
      </c>
      <c r="M147"/>
      <c r="N147" t="s">
        <v>433</v>
      </c>
      <c r="O147">
        <v>7</v>
      </c>
      <c r="P147" t="str">
        <f>VLOOKUP(O147, SubjectGroup!$A$2:$B$8, 2, FALSE)</f>
        <v>Coursework</v>
      </c>
      <c r="Q147" t="s">
        <v>419</v>
      </c>
      <c r="R147" t="str">
        <f t="shared" si="5"/>
        <v>English III Dissertation</v>
      </c>
      <c r="S147">
        <v>0.8</v>
      </c>
    </row>
    <row r="148" spans="1:20" hidden="1" x14ac:dyDescent="0.2">
      <c r="A148">
        <v>149</v>
      </c>
      <c r="C148" t="s">
        <v>1762</v>
      </c>
      <c r="E148">
        <v>2</v>
      </c>
      <c r="F148">
        <v>13</v>
      </c>
      <c r="G148">
        <v>24</v>
      </c>
      <c r="H148">
        <f t="shared" si="4"/>
        <v>12</v>
      </c>
      <c r="I148">
        <v>12</v>
      </c>
      <c r="J148">
        <v>5</v>
      </c>
      <c r="K148" t="str">
        <f>VLOOKUP(J148, Subject!$A$2:$B$15, 2, FALSE)</f>
        <v>Science</v>
      </c>
      <c r="L148" t="str">
        <f>VLOOKUP(J148, Subject!$A$2:$E$11, 5, FALSE)</f>
        <v>SC</v>
      </c>
      <c r="M148"/>
      <c r="N148" t="s">
        <v>317</v>
      </c>
      <c r="O148">
        <v>2</v>
      </c>
      <c r="P148" t="s">
        <v>128</v>
      </c>
      <c r="Q148" t="s">
        <v>221</v>
      </c>
      <c r="R148" t="s">
        <v>1843</v>
      </c>
      <c r="S148">
        <v>0.8</v>
      </c>
    </row>
    <row r="149" spans="1:20" x14ac:dyDescent="0.2">
      <c r="A149">
        <v>147</v>
      </c>
      <c r="C149" t="s">
        <v>1764</v>
      </c>
      <c r="E149">
        <v>5</v>
      </c>
      <c r="F149">
        <v>49</v>
      </c>
      <c r="G149">
        <v>60</v>
      </c>
      <c r="H149">
        <f t="shared" si="4"/>
        <v>12</v>
      </c>
      <c r="I149">
        <v>12</v>
      </c>
      <c r="J149">
        <v>6</v>
      </c>
      <c r="K149" t="s">
        <v>154</v>
      </c>
      <c r="L149" t="str">
        <f>VLOOKUP(J149, Subject!$A$2:$E$11, 5, FALSE)</f>
        <v>SS</v>
      </c>
      <c r="N149" t="s">
        <v>285</v>
      </c>
      <c r="O149">
        <v>2</v>
      </c>
      <c r="P149" t="s">
        <v>128</v>
      </c>
      <c r="Q149" t="s">
        <v>221</v>
      </c>
      <c r="R149" t="s">
        <v>1842</v>
      </c>
      <c r="S149">
        <v>0.8</v>
      </c>
    </row>
    <row r="150" spans="1:20" x14ac:dyDescent="0.2">
      <c r="A150">
        <v>148</v>
      </c>
      <c r="C150" t="s">
        <v>1835</v>
      </c>
      <c r="E150">
        <v>10</v>
      </c>
      <c r="F150">
        <v>109</v>
      </c>
      <c r="G150">
        <v>120</v>
      </c>
      <c r="H150">
        <f t="shared" si="4"/>
        <v>12</v>
      </c>
      <c r="I150">
        <v>12</v>
      </c>
      <c r="J150">
        <v>6</v>
      </c>
      <c r="K150" t="str">
        <f>VLOOKUP(J150, Subject!$A$2:$B$15, 2, FALSE)</f>
        <v>Social Studies</v>
      </c>
      <c r="L150" t="str">
        <f>VLOOKUP(J150, Subject!$A$2:$E$11, 5, FALSE)</f>
        <v>SS</v>
      </c>
      <c r="N150" t="s">
        <v>1838</v>
      </c>
      <c r="O150">
        <v>2</v>
      </c>
      <c r="P150" t="str">
        <f>VLOOKUP(O150, SubjectGroup!$A$2:$B$8, 2, FALSE)</f>
        <v>Core Academic Studies</v>
      </c>
      <c r="Q150" t="s">
        <v>194</v>
      </c>
      <c r="R150" s="13" t="s">
        <v>1837</v>
      </c>
      <c r="S150">
        <v>0.8</v>
      </c>
    </row>
    <row r="151" spans="1:20" hidden="1" x14ac:dyDescent="0.2">
      <c r="A151">
        <v>149</v>
      </c>
      <c r="C151" t="s">
        <v>1856</v>
      </c>
      <c r="E151">
        <v>6</v>
      </c>
      <c r="F151">
        <v>1</v>
      </c>
      <c r="G151">
        <v>6</v>
      </c>
      <c r="H151">
        <f t="shared" si="4"/>
        <v>6</v>
      </c>
      <c r="I151">
        <v>6</v>
      </c>
      <c r="J151">
        <v>2</v>
      </c>
      <c r="K151" t="str">
        <f>VLOOKUP(J151, Subject!$A$2:$B$15, 2, FALSE)</f>
        <v>Language</v>
      </c>
      <c r="L151" t="s">
        <v>371</v>
      </c>
      <c r="M151" t="s">
        <v>163</v>
      </c>
      <c r="N151" t="s">
        <v>1858</v>
      </c>
      <c r="O151">
        <v>2</v>
      </c>
      <c r="P151" t="str">
        <f>VLOOKUP(O151, SubjectGroup!$A$2:$B$8, 2, FALSE)</f>
        <v>Core Academic Studies</v>
      </c>
      <c r="Q151" t="s">
        <v>194</v>
      </c>
      <c r="R151" t="s">
        <v>1859</v>
      </c>
      <c r="S151">
        <v>0.8</v>
      </c>
    </row>
    <row r="152" spans="1:20" hidden="1" x14ac:dyDescent="0.2">
      <c r="A152">
        <v>151</v>
      </c>
      <c r="C152" t="s">
        <v>329</v>
      </c>
      <c r="D152" t="s">
        <v>1964</v>
      </c>
      <c r="E152">
        <v>9</v>
      </c>
      <c r="F152">
        <v>97</v>
      </c>
      <c r="G152">
        <v>102</v>
      </c>
      <c r="H152">
        <v>2</v>
      </c>
      <c r="I152">
        <v>6</v>
      </c>
      <c r="J152">
        <v>7</v>
      </c>
      <c r="K152" t="str">
        <f>VLOOKUP(J152, Subject!$A$2:$B$15, 2, FALSE)</f>
        <v>Biblical Studies</v>
      </c>
      <c r="L152" t="str">
        <f>VLOOKUP(J152, Subject!$A$2:$E$11, 5, FALSE)</f>
        <v>BS</v>
      </c>
      <c r="M152" t="s">
        <v>1967</v>
      </c>
      <c r="N152" t="s">
        <v>330</v>
      </c>
      <c r="O152">
        <v>1</v>
      </c>
      <c r="P152" t="str">
        <f>VLOOKUP(O152, SubjectGroup!$A$2:$B$8, 2, FALSE)</f>
        <v>Christian Studies</v>
      </c>
      <c r="Q152" t="s">
        <v>221</v>
      </c>
      <c r="S152">
        <v>0.8</v>
      </c>
      <c r="T152" t="s">
        <v>440</v>
      </c>
    </row>
    <row r="153" spans="1:20" hidden="1" x14ac:dyDescent="0.2">
      <c r="A153">
        <v>152</v>
      </c>
      <c r="C153" t="s">
        <v>351</v>
      </c>
      <c r="D153" t="s">
        <v>1965</v>
      </c>
      <c r="E153">
        <v>9</v>
      </c>
      <c r="F153">
        <v>98</v>
      </c>
      <c r="G153">
        <v>101</v>
      </c>
      <c r="H153">
        <v>4</v>
      </c>
      <c r="I153">
        <v>6</v>
      </c>
      <c r="J153">
        <v>7</v>
      </c>
      <c r="K153" t="str">
        <f>VLOOKUP(J153, Subject!$A$2:$B$15, 2, FALSE)</f>
        <v>Biblical Studies</v>
      </c>
      <c r="L153" t="str">
        <f>VLOOKUP(J153, Subject!$A$2:$E$11, 5, FALSE)</f>
        <v>BS</v>
      </c>
      <c r="M153" t="s">
        <v>1968</v>
      </c>
      <c r="N153" t="s">
        <v>330</v>
      </c>
      <c r="O153">
        <v>1</v>
      </c>
      <c r="P153" t="str">
        <f>VLOOKUP(O153, SubjectGroup!$A$2:$B$8, 2, FALSE)</f>
        <v>Christian Studies</v>
      </c>
      <c r="Q153" t="s">
        <v>221</v>
      </c>
      <c r="S153">
        <v>0.8</v>
      </c>
      <c r="T153" t="s">
        <v>440</v>
      </c>
    </row>
    <row r="154" spans="1:20" x14ac:dyDescent="0.2">
      <c r="A154">
        <v>153</v>
      </c>
      <c r="C154" t="s">
        <v>286</v>
      </c>
      <c r="E154">
        <v>10</v>
      </c>
      <c r="F154">
        <v>97</v>
      </c>
      <c r="G154">
        <v>108</v>
      </c>
      <c r="H154">
        <f t="shared" ref="H154" si="6">G154-F154+1</f>
        <v>12</v>
      </c>
      <c r="I154">
        <v>12</v>
      </c>
      <c r="J154">
        <v>6</v>
      </c>
      <c r="K154" t="str">
        <f>VLOOKUP(J154, Subject!$A$2:$B$15, 2, FALSE)</f>
        <v>Social Studies</v>
      </c>
      <c r="L154" t="str">
        <f>VLOOKUP(J154, Subject!$A$2:$E$11, 5, FALSE)</f>
        <v>SS</v>
      </c>
      <c r="N154" t="s">
        <v>287</v>
      </c>
      <c r="O154">
        <v>2</v>
      </c>
      <c r="P154" t="str">
        <f>VLOOKUP(O154, SubjectGroup!$A$2:$B$8, 2, FALSE)</f>
        <v>Core Academic Studies</v>
      </c>
      <c r="Q154" t="s">
        <v>221</v>
      </c>
      <c r="R154" t="s">
        <v>1972</v>
      </c>
      <c r="S154">
        <v>0.8</v>
      </c>
    </row>
  </sheetData>
  <autoFilter ref="A1:S153" xr:uid="{B50C5071-171E-E840-A212-5C415B0E072C}">
    <filterColumn colId="10">
      <filters>
        <filter val="Social Studies"/>
      </filters>
    </filterColumn>
  </autoFilter>
  <sortState xmlns:xlrd2="http://schemas.microsoft.com/office/spreadsheetml/2017/richdata2" ref="A2:O128">
    <sortCondition ref="E2:E128"/>
    <sortCondition ref="J2:J128"/>
    <sortCondition ref="C2:C128"/>
  </sortState>
  <phoneticPr fontId="1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249977111117893"/>
  </sheetPr>
  <dimension ref="A1:J1290"/>
  <sheetViews>
    <sheetView zoomScale="150" zoomScaleNormal="100" workbookViewId="0">
      <pane xSplit="4" ySplit="1" topLeftCell="E661" activePane="bottomRight" state="frozen"/>
      <selection pane="topRight" activeCell="E1" sqref="E1"/>
      <selection pane="bottomLeft" activeCell="A2" sqref="A2"/>
      <selection pane="bottomRight" activeCell="C670" sqref="C670"/>
    </sheetView>
  </sheetViews>
  <sheetFormatPr baseColWidth="10" defaultColWidth="8.83203125" defaultRowHeight="15" x14ac:dyDescent="0.2"/>
  <cols>
    <col min="1" max="1" width="5.33203125" bestFit="1" customWidth="1"/>
    <col min="3" max="3" width="10.6640625" bestFit="1" customWidth="1"/>
    <col min="4" max="4" width="31" bestFit="1" customWidth="1"/>
    <col min="5" max="5" width="11.6640625" bestFit="1" customWidth="1"/>
    <col min="6" max="6" width="12.6640625" bestFit="1" customWidth="1"/>
    <col min="7" max="7" width="16.6640625" bestFit="1" customWidth="1"/>
    <col min="8" max="8" width="16.1640625" bestFit="1" customWidth="1"/>
  </cols>
  <sheetData>
    <row r="1" spans="1:10" x14ac:dyDescent="0.2">
      <c r="A1" s="3" t="s">
        <v>0</v>
      </c>
      <c r="B1" s="3" t="s">
        <v>434</v>
      </c>
      <c r="C1" s="3" t="s">
        <v>435</v>
      </c>
      <c r="D1" s="3" t="s">
        <v>1845</v>
      </c>
      <c r="E1" s="3" t="s">
        <v>1850</v>
      </c>
      <c r="F1" s="3" t="s">
        <v>1854</v>
      </c>
      <c r="G1" s="3" t="s">
        <v>1855</v>
      </c>
      <c r="H1" s="5" t="s">
        <v>1853</v>
      </c>
      <c r="I1" s="3" t="s">
        <v>440</v>
      </c>
      <c r="J1" s="3" t="s">
        <v>1803</v>
      </c>
    </row>
    <row r="2" spans="1:10" x14ac:dyDescent="0.2">
      <c r="A2" s="2">
        <v>1</v>
      </c>
      <c r="B2">
        <v>1</v>
      </c>
      <c r="C2">
        <v>1</v>
      </c>
      <c r="D2">
        <f>VLOOKUP(C2,Course!$A$1:$C$229, 2, FALSE)</f>
        <v>0</v>
      </c>
      <c r="E2">
        <v>2</v>
      </c>
      <c r="F2" t="s">
        <v>441</v>
      </c>
      <c r="G2">
        <v>1</v>
      </c>
      <c r="H2" s="6">
        <v>0.8</v>
      </c>
      <c r="I2">
        <v>1</v>
      </c>
    </row>
    <row r="3" spans="1:10" x14ac:dyDescent="0.2">
      <c r="A3" s="2">
        <v>2</v>
      </c>
      <c r="B3">
        <v>2</v>
      </c>
      <c r="C3">
        <v>1</v>
      </c>
      <c r="D3">
        <f>VLOOKUP(C3,Course!$A$1:$C$229, 2, FALSE)</f>
        <v>0</v>
      </c>
      <c r="E3">
        <v>3</v>
      </c>
      <c r="F3" t="s">
        <v>442</v>
      </c>
      <c r="G3">
        <v>1</v>
      </c>
      <c r="H3" s="6">
        <v>0.8</v>
      </c>
      <c r="I3">
        <v>1</v>
      </c>
    </row>
    <row r="4" spans="1:10" x14ac:dyDescent="0.2">
      <c r="A4" s="2">
        <v>3</v>
      </c>
      <c r="B4">
        <v>3</v>
      </c>
      <c r="C4">
        <v>1</v>
      </c>
      <c r="D4">
        <f>VLOOKUP(C4,Course!$A$1:$C$229, 2, FALSE)</f>
        <v>0</v>
      </c>
      <c r="E4">
        <v>4</v>
      </c>
      <c r="F4" t="s">
        <v>443</v>
      </c>
      <c r="G4">
        <v>1</v>
      </c>
      <c r="H4" s="6">
        <v>0.8</v>
      </c>
      <c r="I4">
        <v>1</v>
      </c>
    </row>
    <row r="5" spans="1:10" x14ac:dyDescent="0.2">
      <c r="A5" s="2">
        <v>4</v>
      </c>
      <c r="B5">
        <v>4</v>
      </c>
      <c r="C5">
        <v>1</v>
      </c>
      <c r="D5">
        <f>VLOOKUP(C5,Course!$A$1:$C$229, 2, FALSE)</f>
        <v>0</v>
      </c>
      <c r="E5">
        <v>5</v>
      </c>
      <c r="F5" t="s">
        <v>444</v>
      </c>
      <c r="G5">
        <v>1</v>
      </c>
      <c r="H5" s="6">
        <v>0.8</v>
      </c>
      <c r="I5">
        <v>1</v>
      </c>
    </row>
    <row r="6" spans="1:10" x14ac:dyDescent="0.2">
      <c r="A6" s="2">
        <v>5</v>
      </c>
      <c r="B6">
        <v>5</v>
      </c>
      <c r="C6">
        <v>1</v>
      </c>
      <c r="D6">
        <f>VLOOKUP(C6,Course!$A$1:$C$229, 2, FALSE)</f>
        <v>0</v>
      </c>
      <c r="E6">
        <v>6</v>
      </c>
      <c r="F6" t="s">
        <v>445</v>
      </c>
      <c r="G6">
        <v>1</v>
      </c>
      <c r="H6" s="6">
        <v>0.8</v>
      </c>
      <c r="I6">
        <v>1</v>
      </c>
    </row>
    <row r="7" spans="1:10" x14ac:dyDescent="0.2">
      <c r="A7" s="2">
        <v>6</v>
      </c>
      <c r="B7">
        <v>6</v>
      </c>
      <c r="C7">
        <v>1</v>
      </c>
      <c r="D7">
        <f>VLOOKUP(C7,Course!$A$1:$C$229, 2, FALSE)</f>
        <v>0</v>
      </c>
      <c r="E7">
        <v>7</v>
      </c>
      <c r="F7" t="s">
        <v>446</v>
      </c>
      <c r="G7">
        <v>1</v>
      </c>
      <c r="H7" s="6">
        <v>0.8</v>
      </c>
      <c r="I7">
        <v>1</v>
      </c>
    </row>
    <row r="8" spans="1:10" x14ac:dyDescent="0.2">
      <c r="A8" s="2">
        <v>7</v>
      </c>
      <c r="B8">
        <v>7</v>
      </c>
      <c r="C8">
        <v>1</v>
      </c>
      <c r="D8">
        <f>VLOOKUP(C8,Course!$A$1:$C$229, 2, FALSE)</f>
        <v>0</v>
      </c>
      <c r="E8">
        <v>8</v>
      </c>
      <c r="F8" t="s">
        <v>447</v>
      </c>
      <c r="G8">
        <v>1</v>
      </c>
      <c r="H8" s="6">
        <v>0.8</v>
      </c>
      <c r="I8">
        <v>1</v>
      </c>
    </row>
    <row r="9" spans="1:10" x14ac:dyDescent="0.2">
      <c r="A9" s="2">
        <v>8</v>
      </c>
      <c r="B9">
        <v>8</v>
      </c>
      <c r="C9">
        <v>1</v>
      </c>
      <c r="D9">
        <f>VLOOKUP(C9,Course!$A$1:$C$229, 2, FALSE)</f>
        <v>0</v>
      </c>
      <c r="E9">
        <v>9</v>
      </c>
      <c r="F9" t="s">
        <v>448</v>
      </c>
      <c r="G9">
        <v>1</v>
      </c>
      <c r="H9" s="6">
        <v>0.8</v>
      </c>
      <c r="I9">
        <v>1</v>
      </c>
    </row>
    <row r="10" spans="1:10" x14ac:dyDescent="0.2">
      <c r="A10" s="2">
        <v>9</v>
      </c>
      <c r="B10">
        <v>9</v>
      </c>
      <c r="C10">
        <v>1</v>
      </c>
      <c r="D10">
        <f>VLOOKUP(C10,Course!$A$1:$C$229, 2, FALSE)</f>
        <v>0</v>
      </c>
      <c r="E10">
        <v>10</v>
      </c>
      <c r="F10" t="s">
        <v>449</v>
      </c>
      <c r="G10">
        <v>1</v>
      </c>
      <c r="H10" s="6">
        <v>0.8</v>
      </c>
      <c r="I10">
        <v>1</v>
      </c>
    </row>
    <row r="11" spans="1:10" x14ac:dyDescent="0.2">
      <c r="A11" s="2">
        <v>10</v>
      </c>
      <c r="B11">
        <v>10</v>
      </c>
      <c r="C11">
        <v>1</v>
      </c>
      <c r="D11">
        <f>VLOOKUP(C11,Course!$A$1:$C$229, 2, FALSE)</f>
        <v>0</v>
      </c>
      <c r="E11">
        <v>11</v>
      </c>
      <c r="F11" t="s">
        <v>450</v>
      </c>
      <c r="G11">
        <v>1</v>
      </c>
      <c r="H11" s="6">
        <v>0.8</v>
      </c>
      <c r="I11">
        <v>1</v>
      </c>
    </row>
    <row r="12" spans="1:10" x14ac:dyDescent="0.2">
      <c r="A12" s="2">
        <v>11</v>
      </c>
      <c r="B12">
        <v>11</v>
      </c>
      <c r="C12">
        <v>1</v>
      </c>
      <c r="D12">
        <f>VLOOKUP(C12,Course!$A$1:$C$229, 2, FALSE)</f>
        <v>0</v>
      </c>
      <c r="E12">
        <v>12</v>
      </c>
      <c r="F12" t="s">
        <v>451</v>
      </c>
      <c r="G12">
        <v>1</v>
      </c>
      <c r="H12" s="6">
        <v>0.8</v>
      </c>
      <c r="I12">
        <v>1</v>
      </c>
    </row>
    <row r="13" spans="1:10" x14ac:dyDescent="0.2">
      <c r="A13" s="2">
        <v>12</v>
      </c>
      <c r="B13">
        <v>12</v>
      </c>
      <c r="C13">
        <v>2</v>
      </c>
      <c r="D13">
        <f>VLOOKUP(C13,Course!$A$1:$C$229, 2, FALSE)</f>
        <v>0</v>
      </c>
      <c r="E13">
        <v>1</v>
      </c>
      <c r="F13" t="s">
        <v>452</v>
      </c>
      <c r="G13">
        <v>1</v>
      </c>
      <c r="H13" s="6">
        <v>0.8</v>
      </c>
      <c r="I13">
        <v>1</v>
      </c>
    </row>
    <row r="14" spans="1:10" x14ac:dyDescent="0.2">
      <c r="A14" s="2">
        <v>13</v>
      </c>
      <c r="B14">
        <v>13</v>
      </c>
      <c r="C14">
        <v>2</v>
      </c>
      <c r="D14">
        <f>VLOOKUP(C14,Course!$A$1:$C$229, 2, FALSE)</f>
        <v>0</v>
      </c>
      <c r="E14">
        <v>2</v>
      </c>
      <c r="F14" t="s">
        <v>453</v>
      </c>
      <c r="G14">
        <v>1</v>
      </c>
      <c r="H14" s="6">
        <v>0.8</v>
      </c>
      <c r="I14">
        <v>1</v>
      </c>
    </row>
    <row r="15" spans="1:10" x14ac:dyDescent="0.2">
      <c r="A15" s="2">
        <v>14</v>
      </c>
      <c r="B15">
        <v>14</v>
      </c>
      <c r="C15">
        <v>2</v>
      </c>
      <c r="D15">
        <f>VLOOKUP(C15,Course!$A$1:$C$229, 2, FALSE)</f>
        <v>0</v>
      </c>
      <c r="E15">
        <v>3</v>
      </c>
      <c r="F15" t="s">
        <v>454</v>
      </c>
      <c r="G15">
        <v>1</v>
      </c>
      <c r="H15" s="6">
        <v>0.8</v>
      </c>
      <c r="I15">
        <v>1</v>
      </c>
    </row>
    <row r="16" spans="1:10" x14ac:dyDescent="0.2">
      <c r="A16" s="2">
        <v>15</v>
      </c>
      <c r="B16">
        <v>15</v>
      </c>
      <c r="C16">
        <v>2</v>
      </c>
      <c r="D16">
        <f>VLOOKUP(C16,Course!$A$1:$C$229, 2, FALSE)</f>
        <v>0</v>
      </c>
      <c r="E16">
        <v>4</v>
      </c>
      <c r="F16" t="s">
        <v>455</v>
      </c>
      <c r="G16">
        <v>1</v>
      </c>
      <c r="H16" s="6">
        <v>0.8</v>
      </c>
      <c r="I16">
        <v>1</v>
      </c>
    </row>
    <row r="17" spans="1:9" x14ac:dyDescent="0.2">
      <c r="A17" s="2">
        <v>16</v>
      </c>
      <c r="B17">
        <v>16</v>
      </c>
      <c r="C17">
        <v>2</v>
      </c>
      <c r="D17">
        <f>VLOOKUP(C17,Course!$A$1:$C$229, 2, FALSE)</f>
        <v>0</v>
      </c>
      <c r="E17">
        <v>5</v>
      </c>
      <c r="F17" t="s">
        <v>456</v>
      </c>
      <c r="G17">
        <v>1</v>
      </c>
      <c r="H17" s="6">
        <v>0.8</v>
      </c>
      <c r="I17">
        <v>1</v>
      </c>
    </row>
    <row r="18" spans="1:9" x14ac:dyDescent="0.2">
      <c r="A18" s="2">
        <v>17</v>
      </c>
      <c r="B18">
        <v>17</v>
      </c>
      <c r="C18">
        <v>2</v>
      </c>
      <c r="D18">
        <f>VLOOKUP(C18,Course!$A$1:$C$229, 2, FALSE)</f>
        <v>0</v>
      </c>
      <c r="E18">
        <v>6</v>
      </c>
      <c r="F18" t="s">
        <v>457</v>
      </c>
      <c r="G18">
        <v>1</v>
      </c>
      <c r="H18" s="6">
        <v>0.8</v>
      </c>
      <c r="I18">
        <v>1</v>
      </c>
    </row>
    <row r="19" spans="1:9" x14ac:dyDescent="0.2">
      <c r="A19" s="2">
        <v>18</v>
      </c>
      <c r="B19">
        <v>18</v>
      </c>
      <c r="C19">
        <v>2</v>
      </c>
      <c r="D19">
        <f>VLOOKUP(C19,Course!$A$1:$C$229, 2, FALSE)</f>
        <v>0</v>
      </c>
      <c r="E19">
        <v>7</v>
      </c>
      <c r="F19" t="s">
        <v>458</v>
      </c>
      <c r="G19">
        <v>1</v>
      </c>
      <c r="H19" s="6">
        <v>0.8</v>
      </c>
      <c r="I19">
        <v>1</v>
      </c>
    </row>
    <row r="20" spans="1:9" x14ac:dyDescent="0.2">
      <c r="A20" s="2">
        <v>19</v>
      </c>
      <c r="B20">
        <v>19</v>
      </c>
      <c r="C20">
        <v>2</v>
      </c>
      <c r="D20">
        <f>VLOOKUP(C20,Course!$A$1:$C$229, 2, FALSE)</f>
        <v>0</v>
      </c>
      <c r="E20">
        <v>8</v>
      </c>
      <c r="F20" t="s">
        <v>459</v>
      </c>
      <c r="G20">
        <v>1</v>
      </c>
      <c r="H20" s="6">
        <v>0.8</v>
      </c>
      <c r="I20">
        <v>1</v>
      </c>
    </row>
    <row r="21" spans="1:9" x14ac:dyDescent="0.2">
      <c r="A21" s="2">
        <v>20</v>
      </c>
      <c r="B21">
        <v>20</v>
      </c>
      <c r="C21">
        <v>2</v>
      </c>
      <c r="D21">
        <f>VLOOKUP(C21,Course!$A$1:$C$229, 2, FALSE)</f>
        <v>0</v>
      </c>
      <c r="E21">
        <v>9</v>
      </c>
      <c r="F21" t="s">
        <v>460</v>
      </c>
      <c r="G21">
        <v>1</v>
      </c>
      <c r="H21" s="6">
        <v>0.8</v>
      </c>
      <c r="I21">
        <v>1</v>
      </c>
    </row>
    <row r="22" spans="1:9" x14ac:dyDescent="0.2">
      <c r="A22" s="2">
        <v>21</v>
      </c>
      <c r="B22">
        <v>21</v>
      </c>
      <c r="C22">
        <v>2</v>
      </c>
      <c r="D22">
        <f>VLOOKUP(C22,Course!$A$1:$C$229, 2, FALSE)</f>
        <v>0</v>
      </c>
      <c r="E22">
        <v>10</v>
      </c>
      <c r="F22" t="s">
        <v>461</v>
      </c>
      <c r="G22">
        <v>1</v>
      </c>
      <c r="H22" s="6">
        <v>0.8</v>
      </c>
      <c r="I22">
        <v>1</v>
      </c>
    </row>
    <row r="23" spans="1:9" x14ac:dyDescent="0.2">
      <c r="A23" s="2">
        <v>22</v>
      </c>
      <c r="B23">
        <v>22</v>
      </c>
      <c r="C23">
        <v>2</v>
      </c>
      <c r="D23">
        <f>VLOOKUP(C23,Course!$A$1:$C$229, 2, FALSE)</f>
        <v>0</v>
      </c>
      <c r="E23">
        <v>11</v>
      </c>
      <c r="F23" t="s">
        <v>462</v>
      </c>
      <c r="G23">
        <v>1</v>
      </c>
      <c r="H23" s="6">
        <v>0.8</v>
      </c>
      <c r="I23">
        <v>1</v>
      </c>
    </row>
    <row r="24" spans="1:9" x14ac:dyDescent="0.2">
      <c r="A24" s="2">
        <v>23</v>
      </c>
      <c r="B24">
        <v>23</v>
      </c>
      <c r="C24">
        <v>2</v>
      </c>
      <c r="D24">
        <f>VLOOKUP(C24,Course!$A$1:$C$229, 2, FALSE)</f>
        <v>0</v>
      </c>
      <c r="E24">
        <v>12</v>
      </c>
      <c r="F24" t="s">
        <v>463</v>
      </c>
      <c r="G24">
        <v>1</v>
      </c>
      <c r="H24" s="6">
        <v>0.8</v>
      </c>
      <c r="I24">
        <v>1</v>
      </c>
    </row>
    <row r="25" spans="1:9" x14ac:dyDescent="0.2">
      <c r="A25" s="2">
        <v>24</v>
      </c>
      <c r="B25">
        <v>24</v>
      </c>
      <c r="C25">
        <v>3</v>
      </c>
      <c r="D25">
        <f>VLOOKUP(C25,Course!$A$1:$C$229, 2, FALSE)</f>
        <v>0</v>
      </c>
      <c r="E25">
        <v>1</v>
      </c>
      <c r="F25" t="s">
        <v>464</v>
      </c>
      <c r="G25">
        <v>1</v>
      </c>
      <c r="H25" s="6">
        <v>0.8</v>
      </c>
      <c r="I25">
        <v>1</v>
      </c>
    </row>
    <row r="26" spans="1:9" x14ac:dyDescent="0.2">
      <c r="A26" s="2">
        <v>25</v>
      </c>
      <c r="B26">
        <v>25</v>
      </c>
      <c r="C26">
        <v>3</v>
      </c>
      <c r="D26">
        <f>VLOOKUP(C26,Course!$A$1:$C$229, 2, FALSE)</f>
        <v>0</v>
      </c>
      <c r="E26">
        <v>2</v>
      </c>
      <c r="F26" t="s">
        <v>465</v>
      </c>
      <c r="G26">
        <v>1</v>
      </c>
      <c r="H26" s="6">
        <v>0.8</v>
      </c>
      <c r="I26">
        <v>1</v>
      </c>
    </row>
    <row r="27" spans="1:9" x14ac:dyDescent="0.2">
      <c r="A27" s="2">
        <v>26</v>
      </c>
      <c r="B27">
        <v>26</v>
      </c>
      <c r="C27">
        <v>3</v>
      </c>
      <c r="D27">
        <f>VLOOKUP(C27,Course!$A$1:$C$229, 2, FALSE)</f>
        <v>0</v>
      </c>
      <c r="E27">
        <v>3</v>
      </c>
      <c r="F27" t="s">
        <v>466</v>
      </c>
      <c r="G27">
        <v>1</v>
      </c>
      <c r="H27" s="6">
        <v>0.8</v>
      </c>
      <c r="I27">
        <v>1</v>
      </c>
    </row>
    <row r="28" spans="1:9" x14ac:dyDescent="0.2">
      <c r="A28" s="2">
        <v>27</v>
      </c>
      <c r="B28">
        <v>27</v>
      </c>
      <c r="C28">
        <v>3</v>
      </c>
      <c r="D28">
        <f>VLOOKUP(C28,Course!$A$1:$C$229, 2, FALSE)</f>
        <v>0</v>
      </c>
      <c r="E28">
        <v>4</v>
      </c>
      <c r="F28" t="s">
        <v>467</v>
      </c>
      <c r="G28">
        <v>1</v>
      </c>
      <c r="H28" s="6">
        <v>0.8</v>
      </c>
      <c r="I28">
        <v>1</v>
      </c>
    </row>
    <row r="29" spans="1:9" x14ac:dyDescent="0.2">
      <c r="A29" s="2">
        <v>28</v>
      </c>
      <c r="B29">
        <v>28</v>
      </c>
      <c r="C29">
        <v>3</v>
      </c>
      <c r="D29">
        <f>VLOOKUP(C29,Course!$A$1:$C$229, 2, FALSE)</f>
        <v>0</v>
      </c>
      <c r="E29">
        <v>5</v>
      </c>
      <c r="F29" t="s">
        <v>468</v>
      </c>
      <c r="G29">
        <v>1</v>
      </c>
      <c r="H29" s="6">
        <v>0.8</v>
      </c>
      <c r="I29">
        <v>1</v>
      </c>
    </row>
    <row r="30" spans="1:9" x14ac:dyDescent="0.2">
      <c r="A30" s="2">
        <v>29</v>
      </c>
      <c r="B30">
        <v>29</v>
      </c>
      <c r="C30">
        <v>3</v>
      </c>
      <c r="D30">
        <f>VLOOKUP(C30,Course!$A$1:$C$229, 2, FALSE)</f>
        <v>0</v>
      </c>
      <c r="E30">
        <v>6</v>
      </c>
      <c r="F30" t="s">
        <v>469</v>
      </c>
      <c r="G30">
        <v>1</v>
      </c>
      <c r="H30" s="6">
        <v>0.8</v>
      </c>
      <c r="I30">
        <v>1</v>
      </c>
    </row>
    <row r="31" spans="1:9" x14ac:dyDescent="0.2">
      <c r="A31" s="2">
        <v>30</v>
      </c>
      <c r="B31">
        <v>30</v>
      </c>
      <c r="C31">
        <v>3</v>
      </c>
      <c r="D31">
        <f>VLOOKUP(C31,Course!$A$1:$C$229, 2, FALSE)</f>
        <v>0</v>
      </c>
      <c r="E31">
        <v>7</v>
      </c>
      <c r="F31" t="s">
        <v>470</v>
      </c>
      <c r="G31">
        <v>1</v>
      </c>
      <c r="H31" s="6">
        <v>0.8</v>
      </c>
      <c r="I31">
        <v>1</v>
      </c>
    </row>
    <row r="32" spans="1:9" x14ac:dyDescent="0.2">
      <c r="A32" s="2">
        <v>31</v>
      </c>
      <c r="B32">
        <v>31</v>
      </c>
      <c r="C32">
        <v>3</v>
      </c>
      <c r="D32">
        <f>VLOOKUP(C32,Course!$A$1:$C$229, 2, FALSE)</f>
        <v>0</v>
      </c>
      <c r="E32">
        <v>8</v>
      </c>
      <c r="F32" t="s">
        <v>471</v>
      </c>
      <c r="G32">
        <v>1</v>
      </c>
      <c r="H32" s="6">
        <v>0.8</v>
      </c>
      <c r="I32">
        <v>1</v>
      </c>
    </row>
    <row r="33" spans="1:9" x14ac:dyDescent="0.2">
      <c r="A33" s="2">
        <v>32</v>
      </c>
      <c r="B33">
        <v>32</v>
      </c>
      <c r="C33">
        <v>3</v>
      </c>
      <c r="D33">
        <f>VLOOKUP(C33,Course!$A$1:$C$229, 2, FALSE)</f>
        <v>0</v>
      </c>
      <c r="E33">
        <v>9</v>
      </c>
      <c r="F33" t="s">
        <v>472</v>
      </c>
      <c r="G33">
        <v>1</v>
      </c>
      <c r="H33" s="6">
        <v>0.8</v>
      </c>
      <c r="I33">
        <v>1</v>
      </c>
    </row>
    <row r="34" spans="1:9" x14ac:dyDescent="0.2">
      <c r="A34" s="2">
        <v>33</v>
      </c>
      <c r="B34">
        <v>33</v>
      </c>
      <c r="C34">
        <v>3</v>
      </c>
      <c r="D34">
        <f>VLOOKUP(C34,Course!$A$1:$C$229, 2, FALSE)</f>
        <v>0</v>
      </c>
      <c r="E34">
        <v>10</v>
      </c>
      <c r="F34" t="s">
        <v>473</v>
      </c>
      <c r="G34">
        <v>1</v>
      </c>
      <c r="H34" s="6">
        <v>0.8</v>
      </c>
      <c r="I34">
        <v>1</v>
      </c>
    </row>
    <row r="35" spans="1:9" x14ac:dyDescent="0.2">
      <c r="A35" s="2">
        <v>34</v>
      </c>
      <c r="B35">
        <v>34</v>
      </c>
      <c r="C35">
        <v>3</v>
      </c>
      <c r="D35">
        <f>VLOOKUP(C35,Course!$A$1:$C$229, 2, FALSE)</f>
        <v>0</v>
      </c>
      <c r="E35">
        <v>11</v>
      </c>
      <c r="F35" t="s">
        <v>474</v>
      </c>
      <c r="G35">
        <v>1</v>
      </c>
      <c r="H35" s="6">
        <v>0.8</v>
      </c>
      <c r="I35">
        <v>1</v>
      </c>
    </row>
    <row r="36" spans="1:9" x14ac:dyDescent="0.2">
      <c r="A36" s="2">
        <v>35</v>
      </c>
      <c r="B36">
        <v>35</v>
      </c>
      <c r="C36">
        <v>3</v>
      </c>
      <c r="D36">
        <f>VLOOKUP(C36,Course!$A$1:$C$229, 2, FALSE)</f>
        <v>0</v>
      </c>
      <c r="E36">
        <v>12</v>
      </c>
      <c r="F36" t="s">
        <v>475</v>
      </c>
      <c r="G36">
        <v>1</v>
      </c>
      <c r="H36" s="6">
        <v>0.8</v>
      </c>
      <c r="I36">
        <v>1</v>
      </c>
    </row>
    <row r="37" spans="1:9" x14ac:dyDescent="0.2">
      <c r="A37" s="2">
        <v>36</v>
      </c>
      <c r="B37">
        <v>36</v>
      </c>
      <c r="C37">
        <v>4</v>
      </c>
      <c r="D37">
        <f>VLOOKUP(C37,Course!$A$1:$C$229, 2, FALSE)</f>
        <v>0</v>
      </c>
      <c r="E37">
        <v>1</v>
      </c>
      <c r="F37" t="s">
        <v>476</v>
      </c>
      <c r="G37">
        <v>1</v>
      </c>
      <c r="H37" s="6">
        <v>0.9</v>
      </c>
      <c r="I37">
        <v>1</v>
      </c>
    </row>
    <row r="38" spans="1:9" x14ac:dyDescent="0.2">
      <c r="A38" s="2">
        <v>37</v>
      </c>
      <c r="B38">
        <v>37</v>
      </c>
      <c r="C38">
        <v>4</v>
      </c>
      <c r="D38">
        <f>VLOOKUP(C38,Course!$A$1:$C$229, 2, FALSE)</f>
        <v>0</v>
      </c>
      <c r="E38">
        <v>2</v>
      </c>
      <c r="F38" t="s">
        <v>477</v>
      </c>
      <c r="G38">
        <v>1</v>
      </c>
      <c r="H38" s="6">
        <v>0.9</v>
      </c>
      <c r="I38">
        <v>1</v>
      </c>
    </row>
    <row r="39" spans="1:9" x14ac:dyDescent="0.2">
      <c r="A39" s="2">
        <v>38</v>
      </c>
      <c r="B39">
        <v>38</v>
      </c>
      <c r="C39">
        <v>4</v>
      </c>
      <c r="D39">
        <f>VLOOKUP(C39,Course!$A$1:$C$229, 2, FALSE)</f>
        <v>0</v>
      </c>
      <c r="E39">
        <v>3</v>
      </c>
      <c r="F39" t="s">
        <v>478</v>
      </c>
      <c r="G39">
        <v>1</v>
      </c>
      <c r="H39" s="6">
        <v>0.9</v>
      </c>
      <c r="I39">
        <v>1</v>
      </c>
    </row>
    <row r="40" spans="1:9" x14ac:dyDescent="0.2">
      <c r="A40" s="2">
        <v>39</v>
      </c>
      <c r="B40">
        <v>39</v>
      </c>
      <c r="C40">
        <v>4</v>
      </c>
      <c r="D40">
        <f>VLOOKUP(C40,Course!$A$1:$C$229, 2, FALSE)</f>
        <v>0</v>
      </c>
      <c r="E40">
        <v>4</v>
      </c>
      <c r="F40" t="s">
        <v>479</v>
      </c>
      <c r="G40">
        <v>1</v>
      </c>
      <c r="H40" s="6">
        <v>0.9</v>
      </c>
      <c r="I40">
        <v>1</v>
      </c>
    </row>
    <row r="41" spans="1:9" x14ac:dyDescent="0.2">
      <c r="A41" s="2">
        <v>40</v>
      </c>
      <c r="B41">
        <v>40</v>
      </c>
      <c r="C41">
        <v>4</v>
      </c>
      <c r="D41">
        <f>VLOOKUP(C41,Course!$A$1:$C$229, 2, FALSE)</f>
        <v>0</v>
      </c>
      <c r="E41">
        <v>5</v>
      </c>
      <c r="F41" t="s">
        <v>480</v>
      </c>
      <c r="G41">
        <v>1</v>
      </c>
      <c r="H41" s="6">
        <v>0.9</v>
      </c>
      <c r="I41">
        <v>1</v>
      </c>
    </row>
    <row r="42" spans="1:9" x14ac:dyDescent="0.2">
      <c r="A42" s="2">
        <v>41</v>
      </c>
      <c r="B42">
        <v>41</v>
      </c>
      <c r="C42">
        <v>4</v>
      </c>
      <c r="D42">
        <f>VLOOKUP(C42,Course!$A$1:$C$229, 2, FALSE)</f>
        <v>0</v>
      </c>
      <c r="E42">
        <v>6</v>
      </c>
      <c r="F42" t="s">
        <v>481</v>
      </c>
      <c r="G42">
        <v>1</v>
      </c>
      <c r="H42" s="6">
        <v>0.9</v>
      </c>
      <c r="I42">
        <v>1</v>
      </c>
    </row>
    <row r="43" spans="1:9" x14ac:dyDescent="0.2">
      <c r="A43" s="2">
        <v>42</v>
      </c>
      <c r="B43">
        <v>42</v>
      </c>
      <c r="C43">
        <v>4</v>
      </c>
      <c r="D43">
        <f>VLOOKUP(C43,Course!$A$1:$C$229, 2, FALSE)</f>
        <v>0</v>
      </c>
      <c r="E43">
        <v>7</v>
      </c>
      <c r="F43" t="s">
        <v>482</v>
      </c>
      <c r="G43">
        <v>1</v>
      </c>
      <c r="H43" s="6">
        <v>0.9</v>
      </c>
      <c r="I43">
        <v>1</v>
      </c>
    </row>
    <row r="44" spans="1:9" x14ac:dyDescent="0.2">
      <c r="A44" s="2">
        <v>43</v>
      </c>
      <c r="B44">
        <v>43</v>
      </c>
      <c r="C44">
        <v>4</v>
      </c>
      <c r="D44">
        <f>VLOOKUP(C44,Course!$A$1:$C$229, 2, FALSE)</f>
        <v>0</v>
      </c>
      <c r="E44">
        <v>8</v>
      </c>
      <c r="F44" t="s">
        <v>483</v>
      </c>
      <c r="G44">
        <v>1</v>
      </c>
      <c r="H44" s="6">
        <v>0.9</v>
      </c>
      <c r="I44">
        <v>1</v>
      </c>
    </row>
    <row r="45" spans="1:9" x14ac:dyDescent="0.2">
      <c r="A45" s="2">
        <v>44</v>
      </c>
      <c r="B45">
        <v>44</v>
      </c>
      <c r="C45">
        <v>4</v>
      </c>
      <c r="D45">
        <f>VLOOKUP(C45,Course!$A$1:$C$229, 2, FALSE)</f>
        <v>0</v>
      </c>
      <c r="E45">
        <v>9</v>
      </c>
      <c r="F45" t="s">
        <v>484</v>
      </c>
      <c r="G45">
        <v>1</v>
      </c>
      <c r="H45" s="6">
        <v>0.9</v>
      </c>
      <c r="I45">
        <v>1</v>
      </c>
    </row>
    <row r="46" spans="1:9" x14ac:dyDescent="0.2">
      <c r="A46" s="2">
        <v>45</v>
      </c>
      <c r="B46">
        <v>45</v>
      </c>
      <c r="C46">
        <v>4</v>
      </c>
      <c r="D46">
        <f>VLOOKUP(C46,Course!$A$1:$C$229, 2, FALSE)</f>
        <v>0</v>
      </c>
      <c r="E46">
        <v>10</v>
      </c>
      <c r="F46" t="s">
        <v>485</v>
      </c>
      <c r="G46">
        <v>1</v>
      </c>
      <c r="H46" s="6">
        <v>0.9</v>
      </c>
      <c r="I46">
        <v>1</v>
      </c>
    </row>
    <row r="47" spans="1:9" x14ac:dyDescent="0.2">
      <c r="A47" s="2">
        <v>46</v>
      </c>
      <c r="B47">
        <v>46</v>
      </c>
      <c r="C47">
        <v>4</v>
      </c>
      <c r="D47">
        <f>VLOOKUP(C47,Course!$A$1:$C$229, 2, FALSE)</f>
        <v>0</v>
      </c>
      <c r="E47">
        <v>11</v>
      </c>
      <c r="F47" t="s">
        <v>486</v>
      </c>
      <c r="G47">
        <v>1</v>
      </c>
      <c r="H47" s="6">
        <v>0.9</v>
      </c>
      <c r="I47">
        <v>1</v>
      </c>
    </row>
    <row r="48" spans="1:9" x14ac:dyDescent="0.2">
      <c r="A48" s="2">
        <v>47</v>
      </c>
      <c r="B48">
        <v>47</v>
      </c>
      <c r="C48">
        <v>4</v>
      </c>
      <c r="D48">
        <f>VLOOKUP(C48,Course!$A$1:$C$229, 2, FALSE)</f>
        <v>0</v>
      </c>
      <c r="E48">
        <v>12</v>
      </c>
      <c r="F48" t="s">
        <v>487</v>
      </c>
      <c r="G48">
        <v>1</v>
      </c>
      <c r="H48" s="6">
        <v>0.9</v>
      </c>
      <c r="I48">
        <v>1</v>
      </c>
    </row>
    <row r="49" spans="1:9" x14ac:dyDescent="0.2">
      <c r="A49" s="2">
        <v>48</v>
      </c>
      <c r="B49">
        <v>48</v>
      </c>
      <c r="C49">
        <v>5</v>
      </c>
      <c r="D49">
        <f>VLOOKUP(C49,Course!$A$1:$C$229, 2, FALSE)</f>
        <v>0</v>
      </c>
      <c r="E49">
        <v>1</v>
      </c>
      <c r="F49" t="s">
        <v>488</v>
      </c>
      <c r="G49">
        <v>1</v>
      </c>
      <c r="H49" s="6">
        <v>0.8</v>
      </c>
      <c r="I49">
        <v>1</v>
      </c>
    </row>
    <row r="50" spans="1:9" x14ac:dyDescent="0.2">
      <c r="A50" s="2">
        <v>49</v>
      </c>
      <c r="B50">
        <v>49</v>
      </c>
      <c r="C50">
        <v>5</v>
      </c>
      <c r="D50">
        <f>VLOOKUP(C50,Course!$A$1:$C$229, 2, FALSE)</f>
        <v>0</v>
      </c>
      <c r="E50">
        <v>2</v>
      </c>
      <c r="F50" t="s">
        <v>489</v>
      </c>
      <c r="G50">
        <v>1</v>
      </c>
      <c r="H50" s="6">
        <v>0.8</v>
      </c>
      <c r="I50">
        <v>1</v>
      </c>
    </row>
    <row r="51" spans="1:9" x14ac:dyDescent="0.2">
      <c r="A51" s="2">
        <v>50</v>
      </c>
      <c r="B51">
        <v>50</v>
      </c>
      <c r="C51">
        <v>5</v>
      </c>
      <c r="D51">
        <f>VLOOKUP(C51,Course!$A$1:$C$229, 2, FALSE)</f>
        <v>0</v>
      </c>
      <c r="E51">
        <v>3</v>
      </c>
      <c r="F51" t="s">
        <v>490</v>
      </c>
      <c r="G51">
        <v>1</v>
      </c>
      <c r="H51" s="6">
        <v>0.8</v>
      </c>
      <c r="I51">
        <v>1</v>
      </c>
    </row>
    <row r="52" spans="1:9" x14ac:dyDescent="0.2">
      <c r="A52" s="2">
        <v>51</v>
      </c>
      <c r="B52">
        <v>51</v>
      </c>
      <c r="C52">
        <v>5</v>
      </c>
      <c r="D52">
        <f>VLOOKUP(C52,Course!$A$1:$C$229, 2, FALSE)</f>
        <v>0</v>
      </c>
      <c r="E52">
        <v>4</v>
      </c>
      <c r="F52" t="s">
        <v>491</v>
      </c>
      <c r="G52">
        <v>1</v>
      </c>
      <c r="H52" s="6">
        <v>0.8</v>
      </c>
      <c r="I52">
        <v>1</v>
      </c>
    </row>
    <row r="53" spans="1:9" x14ac:dyDescent="0.2">
      <c r="A53" s="2">
        <v>52</v>
      </c>
      <c r="B53">
        <v>52</v>
      </c>
      <c r="C53">
        <v>5</v>
      </c>
      <c r="D53">
        <f>VLOOKUP(C53,Course!$A$1:$C$229, 2, FALSE)</f>
        <v>0</v>
      </c>
      <c r="E53">
        <v>5</v>
      </c>
      <c r="F53" t="s">
        <v>492</v>
      </c>
      <c r="G53">
        <v>1</v>
      </c>
      <c r="H53" s="6">
        <v>0.8</v>
      </c>
      <c r="I53">
        <v>1</v>
      </c>
    </row>
    <row r="54" spans="1:9" x14ac:dyDescent="0.2">
      <c r="A54" s="2">
        <v>53</v>
      </c>
      <c r="B54">
        <v>53</v>
      </c>
      <c r="C54">
        <v>5</v>
      </c>
      <c r="D54">
        <f>VLOOKUP(C54,Course!$A$1:$C$229, 2, FALSE)</f>
        <v>0</v>
      </c>
      <c r="E54">
        <v>6</v>
      </c>
      <c r="F54" t="s">
        <v>493</v>
      </c>
      <c r="G54">
        <v>1</v>
      </c>
      <c r="H54" s="6">
        <v>0.8</v>
      </c>
      <c r="I54">
        <v>1</v>
      </c>
    </row>
    <row r="55" spans="1:9" x14ac:dyDescent="0.2">
      <c r="A55" s="2">
        <v>54</v>
      </c>
      <c r="B55">
        <v>54</v>
      </c>
      <c r="C55">
        <v>5</v>
      </c>
      <c r="D55">
        <f>VLOOKUP(C55,Course!$A$1:$C$229, 2, FALSE)</f>
        <v>0</v>
      </c>
      <c r="E55">
        <v>7</v>
      </c>
      <c r="F55" t="s">
        <v>494</v>
      </c>
      <c r="G55">
        <v>1</v>
      </c>
      <c r="H55" s="6">
        <v>0.8</v>
      </c>
      <c r="I55">
        <v>1</v>
      </c>
    </row>
    <row r="56" spans="1:9" x14ac:dyDescent="0.2">
      <c r="A56" s="2">
        <v>55</v>
      </c>
      <c r="B56">
        <v>55</v>
      </c>
      <c r="C56">
        <v>5</v>
      </c>
      <c r="D56">
        <f>VLOOKUP(C56,Course!$A$1:$C$229, 2, FALSE)</f>
        <v>0</v>
      </c>
      <c r="E56">
        <v>8</v>
      </c>
      <c r="F56" t="s">
        <v>495</v>
      </c>
      <c r="G56">
        <v>1</v>
      </c>
      <c r="H56" s="6">
        <v>0.8</v>
      </c>
      <c r="I56">
        <v>1</v>
      </c>
    </row>
    <row r="57" spans="1:9" x14ac:dyDescent="0.2">
      <c r="A57" s="2">
        <v>56</v>
      </c>
      <c r="B57">
        <v>56</v>
      </c>
      <c r="C57">
        <v>5</v>
      </c>
      <c r="D57">
        <f>VLOOKUP(C57,Course!$A$1:$C$229, 2, FALSE)</f>
        <v>0</v>
      </c>
      <c r="E57">
        <v>9</v>
      </c>
      <c r="F57" t="s">
        <v>496</v>
      </c>
      <c r="G57">
        <v>1</v>
      </c>
      <c r="H57" s="6">
        <v>0.8</v>
      </c>
      <c r="I57">
        <v>1</v>
      </c>
    </row>
    <row r="58" spans="1:9" x14ac:dyDescent="0.2">
      <c r="A58" s="2">
        <v>57</v>
      </c>
      <c r="B58">
        <v>57</v>
      </c>
      <c r="C58">
        <v>5</v>
      </c>
      <c r="D58">
        <f>VLOOKUP(C58,Course!$A$1:$C$229, 2, FALSE)</f>
        <v>0</v>
      </c>
      <c r="E58">
        <v>10</v>
      </c>
      <c r="F58" t="s">
        <v>497</v>
      </c>
      <c r="G58">
        <v>1</v>
      </c>
      <c r="H58" s="6">
        <v>0.8</v>
      </c>
      <c r="I58">
        <v>1</v>
      </c>
    </row>
    <row r="59" spans="1:9" x14ac:dyDescent="0.2">
      <c r="A59" s="2">
        <v>58</v>
      </c>
      <c r="B59">
        <v>58</v>
      </c>
      <c r="C59">
        <v>5</v>
      </c>
      <c r="D59">
        <f>VLOOKUP(C59,Course!$A$1:$C$229, 2, FALSE)</f>
        <v>0</v>
      </c>
      <c r="E59">
        <v>11</v>
      </c>
      <c r="F59" t="s">
        <v>498</v>
      </c>
      <c r="G59">
        <v>1</v>
      </c>
      <c r="H59" s="6">
        <v>0.8</v>
      </c>
      <c r="I59">
        <v>1</v>
      </c>
    </row>
    <row r="60" spans="1:9" x14ac:dyDescent="0.2">
      <c r="A60" s="2">
        <v>59</v>
      </c>
      <c r="B60">
        <v>59</v>
      </c>
      <c r="C60">
        <v>5</v>
      </c>
      <c r="D60">
        <f>VLOOKUP(C60,Course!$A$1:$C$229, 2, FALSE)</f>
        <v>0</v>
      </c>
      <c r="E60">
        <v>12</v>
      </c>
      <c r="F60" t="s">
        <v>499</v>
      </c>
      <c r="G60">
        <v>1</v>
      </c>
      <c r="H60" s="6">
        <v>0.8</v>
      </c>
      <c r="I60">
        <v>1</v>
      </c>
    </row>
    <row r="61" spans="1:9" x14ac:dyDescent="0.2">
      <c r="A61" s="2">
        <v>60</v>
      </c>
      <c r="B61">
        <v>60</v>
      </c>
      <c r="C61">
        <v>6</v>
      </c>
      <c r="D61">
        <f>VLOOKUP(C61,Course!$A$1:$C$229, 2, FALSE)</f>
        <v>0</v>
      </c>
      <c r="E61">
        <v>1</v>
      </c>
      <c r="F61" t="s">
        <v>500</v>
      </c>
      <c r="G61">
        <v>1</v>
      </c>
      <c r="H61" s="6">
        <v>0.8</v>
      </c>
      <c r="I61">
        <v>1</v>
      </c>
    </row>
    <row r="62" spans="1:9" x14ac:dyDescent="0.2">
      <c r="A62" s="2">
        <v>61</v>
      </c>
      <c r="B62">
        <v>61</v>
      </c>
      <c r="C62">
        <v>6</v>
      </c>
      <c r="D62">
        <f>VLOOKUP(C62,Course!$A$1:$C$229, 2, FALSE)</f>
        <v>0</v>
      </c>
      <c r="E62">
        <v>2</v>
      </c>
      <c r="F62" t="s">
        <v>501</v>
      </c>
      <c r="G62">
        <v>1</v>
      </c>
      <c r="H62" s="6">
        <v>0.8</v>
      </c>
      <c r="I62">
        <v>1</v>
      </c>
    </row>
    <row r="63" spans="1:9" x14ac:dyDescent="0.2">
      <c r="A63" s="2">
        <v>62</v>
      </c>
      <c r="B63">
        <v>62</v>
      </c>
      <c r="C63">
        <v>6</v>
      </c>
      <c r="D63">
        <f>VLOOKUP(C63,Course!$A$1:$C$229, 2, FALSE)</f>
        <v>0</v>
      </c>
      <c r="E63">
        <v>3</v>
      </c>
      <c r="F63" t="s">
        <v>502</v>
      </c>
      <c r="G63">
        <v>1</v>
      </c>
      <c r="H63" s="6">
        <v>0.8</v>
      </c>
      <c r="I63">
        <v>1</v>
      </c>
    </row>
    <row r="64" spans="1:9" x14ac:dyDescent="0.2">
      <c r="A64" s="2">
        <v>63</v>
      </c>
      <c r="B64">
        <v>63</v>
      </c>
      <c r="C64">
        <v>6</v>
      </c>
      <c r="D64">
        <f>VLOOKUP(C64,Course!$A$1:$C$229, 2, FALSE)</f>
        <v>0</v>
      </c>
      <c r="E64">
        <v>4</v>
      </c>
      <c r="F64" t="s">
        <v>503</v>
      </c>
      <c r="G64">
        <v>1</v>
      </c>
      <c r="H64" s="6">
        <v>0.8</v>
      </c>
      <c r="I64">
        <v>1</v>
      </c>
    </row>
    <row r="65" spans="1:9" x14ac:dyDescent="0.2">
      <c r="A65" s="2">
        <v>64</v>
      </c>
      <c r="B65">
        <v>64</v>
      </c>
      <c r="C65">
        <v>6</v>
      </c>
      <c r="D65">
        <f>VLOOKUP(C65,Course!$A$1:$C$229, 2, FALSE)</f>
        <v>0</v>
      </c>
      <c r="E65">
        <v>5</v>
      </c>
      <c r="F65" t="s">
        <v>504</v>
      </c>
      <c r="G65">
        <v>1</v>
      </c>
      <c r="H65" s="6">
        <v>0.8</v>
      </c>
      <c r="I65">
        <v>1</v>
      </c>
    </row>
    <row r="66" spans="1:9" x14ac:dyDescent="0.2">
      <c r="A66" s="2">
        <v>65</v>
      </c>
      <c r="B66">
        <v>65</v>
      </c>
      <c r="C66">
        <v>6</v>
      </c>
      <c r="D66">
        <f>VLOOKUP(C66,Course!$A$1:$C$229, 2, FALSE)</f>
        <v>0</v>
      </c>
      <c r="E66">
        <v>6</v>
      </c>
      <c r="F66" t="s">
        <v>505</v>
      </c>
      <c r="G66">
        <v>1</v>
      </c>
      <c r="H66" s="6">
        <v>0.8</v>
      </c>
      <c r="I66">
        <v>1</v>
      </c>
    </row>
    <row r="67" spans="1:9" x14ac:dyDescent="0.2">
      <c r="A67" s="2">
        <v>66</v>
      </c>
      <c r="B67">
        <v>66</v>
      </c>
      <c r="C67">
        <v>6</v>
      </c>
      <c r="D67">
        <f>VLOOKUP(C67,Course!$A$1:$C$229, 2, FALSE)</f>
        <v>0</v>
      </c>
      <c r="E67">
        <v>7</v>
      </c>
      <c r="F67" t="s">
        <v>506</v>
      </c>
      <c r="G67">
        <v>1</v>
      </c>
      <c r="H67" s="6">
        <v>0.8</v>
      </c>
      <c r="I67">
        <v>1</v>
      </c>
    </row>
    <row r="68" spans="1:9" x14ac:dyDescent="0.2">
      <c r="A68" s="2">
        <v>67</v>
      </c>
      <c r="B68">
        <v>67</v>
      </c>
      <c r="C68">
        <v>6</v>
      </c>
      <c r="D68">
        <f>VLOOKUP(C68,Course!$A$1:$C$229, 2, FALSE)</f>
        <v>0</v>
      </c>
      <c r="E68">
        <v>8</v>
      </c>
      <c r="F68" t="s">
        <v>507</v>
      </c>
      <c r="G68">
        <v>1</v>
      </c>
      <c r="H68" s="6">
        <v>0.8</v>
      </c>
      <c r="I68">
        <v>1</v>
      </c>
    </row>
    <row r="69" spans="1:9" x14ac:dyDescent="0.2">
      <c r="A69" s="2">
        <v>68</v>
      </c>
      <c r="B69">
        <v>68</v>
      </c>
      <c r="C69">
        <v>6</v>
      </c>
      <c r="D69">
        <f>VLOOKUP(C69,Course!$A$1:$C$229, 2, FALSE)</f>
        <v>0</v>
      </c>
      <c r="E69">
        <v>9</v>
      </c>
      <c r="F69" t="s">
        <v>508</v>
      </c>
      <c r="G69">
        <v>1</v>
      </c>
      <c r="H69" s="6">
        <v>0.8</v>
      </c>
      <c r="I69">
        <v>1</v>
      </c>
    </row>
    <row r="70" spans="1:9" x14ac:dyDescent="0.2">
      <c r="A70" s="2">
        <v>69</v>
      </c>
      <c r="B70">
        <v>69</v>
      </c>
      <c r="C70">
        <v>6</v>
      </c>
      <c r="D70">
        <f>VLOOKUP(C70,Course!$A$1:$C$229, 2, FALSE)</f>
        <v>0</v>
      </c>
      <c r="E70">
        <v>10</v>
      </c>
      <c r="F70" t="s">
        <v>509</v>
      </c>
      <c r="G70">
        <v>1</v>
      </c>
      <c r="H70" s="6">
        <v>0.8</v>
      </c>
      <c r="I70">
        <v>1</v>
      </c>
    </row>
    <row r="71" spans="1:9" x14ac:dyDescent="0.2">
      <c r="A71" s="2">
        <v>70</v>
      </c>
      <c r="B71">
        <v>70</v>
      </c>
      <c r="C71">
        <v>6</v>
      </c>
      <c r="D71">
        <f>VLOOKUP(C71,Course!$A$1:$C$229, 2, FALSE)</f>
        <v>0</v>
      </c>
      <c r="E71">
        <v>11</v>
      </c>
      <c r="F71" t="s">
        <v>510</v>
      </c>
      <c r="G71">
        <v>1</v>
      </c>
      <c r="H71" s="6">
        <v>0.8</v>
      </c>
      <c r="I71">
        <v>1</v>
      </c>
    </row>
    <row r="72" spans="1:9" x14ac:dyDescent="0.2">
      <c r="A72" s="2">
        <v>71</v>
      </c>
      <c r="B72">
        <v>71</v>
      </c>
      <c r="C72">
        <v>6</v>
      </c>
      <c r="D72">
        <f>VLOOKUP(C72,Course!$A$1:$C$229, 2, FALSE)</f>
        <v>0</v>
      </c>
      <c r="E72">
        <v>12</v>
      </c>
      <c r="F72" t="s">
        <v>511</v>
      </c>
      <c r="G72">
        <v>1</v>
      </c>
      <c r="H72" s="6">
        <v>0.8</v>
      </c>
      <c r="I72">
        <v>1</v>
      </c>
    </row>
    <row r="73" spans="1:9" x14ac:dyDescent="0.2">
      <c r="A73" s="2">
        <v>72</v>
      </c>
      <c r="B73">
        <v>72</v>
      </c>
      <c r="C73">
        <v>7</v>
      </c>
      <c r="D73">
        <f>VLOOKUP(C73,Course!$A$1:$C$229, 2, FALSE)</f>
        <v>0</v>
      </c>
      <c r="E73">
        <v>1</v>
      </c>
      <c r="F73" t="s">
        <v>512</v>
      </c>
      <c r="G73">
        <v>1</v>
      </c>
      <c r="H73" s="6">
        <v>0.8</v>
      </c>
      <c r="I73">
        <v>1</v>
      </c>
    </row>
    <row r="74" spans="1:9" x14ac:dyDescent="0.2">
      <c r="A74" s="2">
        <v>73</v>
      </c>
      <c r="B74">
        <v>73</v>
      </c>
      <c r="C74">
        <v>7</v>
      </c>
      <c r="D74">
        <f>VLOOKUP(C74,Course!$A$1:$C$229, 2, FALSE)</f>
        <v>0</v>
      </c>
      <c r="E74">
        <v>2</v>
      </c>
      <c r="F74" t="s">
        <v>513</v>
      </c>
      <c r="G74">
        <v>1</v>
      </c>
      <c r="H74" s="6">
        <v>0.8</v>
      </c>
      <c r="I74">
        <v>1</v>
      </c>
    </row>
    <row r="75" spans="1:9" x14ac:dyDescent="0.2">
      <c r="A75" s="2">
        <v>74</v>
      </c>
      <c r="B75">
        <v>74</v>
      </c>
      <c r="C75">
        <v>7</v>
      </c>
      <c r="D75">
        <f>VLOOKUP(C75,Course!$A$1:$C$229, 2, FALSE)</f>
        <v>0</v>
      </c>
      <c r="E75">
        <v>3</v>
      </c>
      <c r="F75" t="s">
        <v>514</v>
      </c>
      <c r="G75">
        <v>1</v>
      </c>
      <c r="H75" s="6">
        <v>0.8</v>
      </c>
      <c r="I75">
        <v>1</v>
      </c>
    </row>
    <row r="76" spans="1:9" x14ac:dyDescent="0.2">
      <c r="A76" s="2">
        <v>75</v>
      </c>
      <c r="B76">
        <v>75</v>
      </c>
      <c r="C76">
        <v>7</v>
      </c>
      <c r="D76">
        <f>VLOOKUP(C76,Course!$A$1:$C$229, 2, FALSE)</f>
        <v>0</v>
      </c>
      <c r="E76">
        <v>4</v>
      </c>
      <c r="F76" t="s">
        <v>515</v>
      </c>
      <c r="G76">
        <v>1</v>
      </c>
      <c r="H76" s="6">
        <v>0.8</v>
      </c>
      <c r="I76">
        <v>1</v>
      </c>
    </row>
    <row r="77" spans="1:9" x14ac:dyDescent="0.2">
      <c r="A77" s="2">
        <v>76</v>
      </c>
      <c r="B77">
        <v>76</v>
      </c>
      <c r="C77">
        <v>7</v>
      </c>
      <c r="D77">
        <f>VLOOKUP(C77,Course!$A$1:$C$229, 2, FALSE)</f>
        <v>0</v>
      </c>
      <c r="E77">
        <v>5</v>
      </c>
      <c r="F77" t="s">
        <v>516</v>
      </c>
      <c r="G77">
        <v>1</v>
      </c>
      <c r="H77" s="6">
        <v>0.8</v>
      </c>
      <c r="I77">
        <v>1</v>
      </c>
    </row>
    <row r="78" spans="1:9" x14ac:dyDescent="0.2">
      <c r="A78" s="2">
        <v>77</v>
      </c>
      <c r="B78">
        <v>77</v>
      </c>
      <c r="C78">
        <v>7</v>
      </c>
      <c r="D78">
        <f>VLOOKUP(C78,Course!$A$1:$C$229, 2, FALSE)</f>
        <v>0</v>
      </c>
      <c r="E78">
        <v>6</v>
      </c>
      <c r="F78" t="s">
        <v>517</v>
      </c>
      <c r="G78">
        <v>1</v>
      </c>
      <c r="H78" s="6">
        <v>0.8</v>
      </c>
      <c r="I78">
        <v>1</v>
      </c>
    </row>
    <row r="79" spans="1:9" x14ac:dyDescent="0.2">
      <c r="A79" s="2">
        <v>78</v>
      </c>
      <c r="B79">
        <v>78</v>
      </c>
      <c r="C79">
        <v>7</v>
      </c>
      <c r="D79">
        <f>VLOOKUP(C79,Course!$A$1:$C$229, 2, FALSE)</f>
        <v>0</v>
      </c>
      <c r="E79">
        <v>7</v>
      </c>
      <c r="F79" t="s">
        <v>518</v>
      </c>
      <c r="G79">
        <v>1</v>
      </c>
      <c r="H79" s="6">
        <v>0.8</v>
      </c>
      <c r="I79">
        <v>1</v>
      </c>
    </row>
    <row r="80" spans="1:9" x14ac:dyDescent="0.2">
      <c r="A80" s="2">
        <v>79</v>
      </c>
      <c r="B80">
        <v>79</v>
      </c>
      <c r="C80">
        <v>7</v>
      </c>
      <c r="D80">
        <f>VLOOKUP(C80,Course!$A$1:$C$229, 2, FALSE)</f>
        <v>0</v>
      </c>
      <c r="E80">
        <v>8</v>
      </c>
      <c r="F80" t="s">
        <v>519</v>
      </c>
      <c r="G80">
        <v>1</v>
      </c>
      <c r="H80" s="6">
        <v>0.8</v>
      </c>
      <c r="I80">
        <v>1</v>
      </c>
    </row>
    <row r="81" spans="1:9" x14ac:dyDescent="0.2">
      <c r="A81" s="2">
        <v>80</v>
      </c>
      <c r="B81">
        <v>80</v>
      </c>
      <c r="C81">
        <v>7</v>
      </c>
      <c r="D81">
        <f>VLOOKUP(C81,Course!$A$1:$C$229, 2, FALSE)</f>
        <v>0</v>
      </c>
      <c r="E81">
        <v>9</v>
      </c>
      <c r="F81" t="s">
        <v>520</v>
      </c>
      <c r="G81">
        <v>1</v>
      </c>
      <c r="H81" s="6">
        <v>0.8</v>
      </c>
      <c r="I81">
        <v>1</v>
      </c>
    </row>
    <row r="82" spans="1:9" x14ac:dyDescent="0.2">
      <c r="A82" s="2">
        <v>81</v>
      </c>
      <c r="B82">
        <v>81</v>
      </c>
      <c r="C82">
        <v>7</v>
      </c>
      <c r="D82">
        <f>VLOOKUP(C82,Course!$A$1:$C$229, 2, FALSE)</f>
        <v>0</v>
      </c>
      <c r="E82">
        <v>10</v>
      </c>
      <c r="F82" t="s">
        <v>521</v>
      </c>
      <c r="G82">
        <v>1</v>
      </c>
      <c r="H82" s="6">
        <v>0.8</v>
      </c>
      <c r="I82">
        <v>1</v>
      </c>
    </row>
    <row r="83" spans="1:9" x14ac:dyDescent="0.2">
      <c r="A83" s="2">
        <v>82</v>
      </c>
      <c r="B83">
        <v>82</v>
      </c>
      <c r="C83">
        <v>7</v>
      </c>
      <c r="D83">
        <f>VLOOKUP(C83,Course!$A$1:$C$229, 2, FALSE)</f>
        <v>0</v>
      </c>
      <c r="E83">
        <v>11</v>
      </c>
      <c r="F83" t="s">
        <v>522</v>
      </c>
      <c r="G83">
        <v>1</v>
      </c>
      <c r="H83" s="6">
        <v>0.8</v>
      </c>
      <c r="I83">
        <v>1</v>
      </c>
    </row>
    <row r="84" spans="1:9" x14ac:dyDescent="0.2">
      <c r="A84" s="2">
        <v>83</v>
      </c>
      <c r="B84">
        <v>83</v>
      </c>
      <c r="C84">
        <v>7</v>
      </c>
      <c r="D84">
        <f>VLOOKUP(C84,Course!$A$1:$C$229, 2, FALSE)</f>
        <v>0</v>
      </c>
      <c r="E84">
        <v>12</v>
      </c>
      <c r="F84" t="s">
        <v>523</v>
      </c>
      <c r="G84">
        <v>1</v>
      </c>
      <c r="H84" s="6">
        <v>0.8</v>
      </c>
      <c r="I84">
        <v>1</v>
      </c>
    </row>
    <row r="85" spans="1:9" x14ac:dyDescent="0.2">
      <c r="A85" s="2">
        <v>84</v>
      </c>
      <c r="B85">
        <v>84</v>
      </c>
      <c r="C85">
        <v>8</v>
      </c>
      <c r="D85">
        <f>VLOOKUP(C85,Course!$A$1:$C$229, 2, FALSE)</f>
        <v>0</v>
      </c>
      <c r="E85">
        <v>1</v>
      </c>
      <c r="F85" t="s">
        <v>524</v>
      </c>
      <c r="G85">
        <v>1</v>
      </c>
      <c r="H85" s="6">
        <v>0.8</v>
      </c>
      <c r="I85">
        <v>1</v>
      </c>
    </row>
    <row r="86" spans="1:9" x14ac:dyDescent="0.2">
      <c r="A86" s="2">
        <v>85</v>
      </c>
      <c r="B86">
        <v>85</v>
      </c>
      <c r="C86">
        <v>8</v>
      </c>
      <c r="D86">
        <f>VLOOKUP(C86,Course!$A$1:$C$229, 2, FALSE)</f>
        <v>0</v>
      </c>
      <c r="E86">
        <v>2</v>
      </c>
      <c r="F86" t="s">
        <v>525</v>
      </c>
      <c r="G86">
        <v>1</v>
      </c>
      <c r="H86" s="6">
        <v>0.8</v>
      </c>
      <c r="I86">
        <v>1</v>
      </c>
    </row>
    <row r="87" spans="1:9" x14ac:dyDescent="0.2">
      <c r="A87" s="2">
        <v>86</v>
      </c>
      <c r="B87">
        <v>86</v>
      </c>
      <c r="C87">
        <v>8</v>
      </c>
      <c r="D87">
        <f>VLOOKUP(C87,Course!$A$1:$C$229, 2, FALSE)</f>
        <v>0</v>
      </c>
      <c r="E87">
        <v>3</v>
      </c>
      <c r="F87" t="s">
        <v>526</v>
      </c>
      <c r="G87">
        <v>1</v>
      </c>
      <c r="H87" s="6">
        <v>0.8</v>
      </c>
      <c r="I87">
        <v>1</v>
      </c>
    </row>
    <row r="88" spans="1:9" x14ac:dyDescent="0.2">
      <c r="A88" s="2">
        <v>87</v>
      </c>
      <c r="B88">
        <v>87</v>
      </c>
      <c r="C88">
        <v>8</v>
      </c>
      <c r="D88">
        <f>VLOOKUP(C88,Course!$A$1:$C$229, 2, FALSE)</f>
        <v>0</v>
      </c>
      <c r="E88">
        <v>4</v>
      </c>
      <c r="F88" t="s">
        <v>527</v>
      </c>
      <c r="G88">
        <v>1</v>
      </c>
      <c r="H88" s="6">
        <v>0.8</v>
      </c>
      <c r="I88">
        <v>1</v>
      </c>
    </row>
    <row r="89" spans="1:9" x14ac:dyDescent="0.2">
      <c r="A89" s="2">
        <v>88</v>
      </c>
      <c r="B89">
        <v>88</v>
      </c>
      <c r="C89">
        <v>8</v>
      </c>
      <c r="D89">
        <f>VLOOKUP(C89,Course!$A$1:$C$229, 2, FALSE)</f>
        <v>0</v>
      </c>
      <c r="E89">
        <v>5</v>
      </c>
      <c r="F89" t="s">
        <v>528</v>
      </c>
      <c r="G89">
        <v>1</v>
      </c>
      <c r="H89" s="6">
        <v>0.8</v>
      </c>
      <c r="I89">
        <v>1</v>
      </c>
    </row>
    <row r="90" spans="1:9" x14ac:dyDescent="0.2">
      <c r="A90" s="2">
        <v>89</v>
      </c>
      <c r="B90">
        <v>89</v>
      </c>
      <c r="C90">
        <v>8</v>
      </c>
      <c r="D90">
        <f>VLOOKUP(C90,Course!$A$1:$C$229, 2, FALSE)</f>
        <v>0</v>
      </c>
      <c r="E90">
        <v>6</v>
      </c>
      <c r="F90" t="s">
        <v>529</v>
      </c>
      <c r="G90">
        <v>1</v>
      </c>
      <c r="H90" s="6">
        <v>0.8</v>
      </c>
      <c r="I90">
        <v>1</v>
      </c>
    </row>
    <row r="91" spans="1:9" x14ac:dyDescent="0.2">
      <c r="A91" s="2">
        <v>90</v>
      </c>
      <c r="B91">
        <v>90</v>
      </c>
      <c r="C91">
        <v>8</v>
      </c>
      <c r="D91">
        <f>VLOOKUP(C91,Course!$A$1:$C$229, 2, FALSE)</f>
        <v>0</v>
      </c>
      <c r="E91">
        <v>7</v>
      </c>
      <c r="F91" t="s">
        <v>530</v>
      </c>
      <c r="G91">
        <v>1</v>
      </c>
      <c r="H91" s="6">
        <v>0.8</v>
      </c>
      <c r="I91">
        <v>1</v>
      </c>
    </row>
    <row r="92" spans="1:9" x14ac:dyDescent="0.2">
      <c r="A92" s="2">
        <v>91</v>
      </c>
      <c r="B92">
        <v>91</v>
      </c>
      <c r="C92">
        <v>8</v>
      </c>
      <c r="D92">
        <f>VLOOKUP(C92,Course!$A$1:$C$229, 2, FALSE)</f>
        <v>0</v>
      </c>
      <c r="E92">
        <v>8</v>
      </c>
      <c r="F92" t="s">
        <v>531</v>
      </c>
      <c r="G92">
        <v>1</v>
      </c>
      <c r="H92" s="6">
        <v>0.8</v>
      </c>
      <c r="I92">
        <v>1</v>
      </c>
    </row>
    <row r="93" spans="1:9" x14ac:dyDescent="0.2">
      <c r="A93" s="2">
        <v>92</v>
      </c>
      <c r="B93">
        <v>92</v>
      </c>
      <c r="C93">
        <v>8</v>
      </c>
      <c r="D93">
        <f>VLOOKUP(C93,Course!$A$1:$C$229, 2, FALSE)</f>
        <v>0</v>
      </c>
      <c r="E93">
        <v>9</v>
      </c>
      <c r="F93" t="s">
        <v>532</v>
      </c>
      <c r="G93">
        <v>1</v>
      </c>
      <c r="H93" s="6">
        <v>0.8</v>
      </c>
      <c r="I93">
        <v>1</v>
      </c>
    </row>
    <row r="94" spans="1:9" x14ac:dyDescent="0.2">
      <c r="A94" s="2">
        <v>93</v>
      </c>
      <c r="B94">
        <v>93</v>
      </c>
      <c r="C94">
        <v>8</v>
      </c>
      <c r="D94">
        <f>VLOOKUP(C94,Course!$A$1:$C$229, 2, FALSE)</f>
        <v>0</v>
      </c>
      <c r="E94">
        <v>10</v>
      </c>
      <c r="F94" t="s">
        <v>533</v>
      </c>
      <c r="G94">
        <v>1</v>
      </c>
      <c r="H94" s="6">
        <v>0.8</v>
      </c>
      <c r="I94">
        <v>1</v>
      </c>
    </row>
    <row r="95" spans="1:9" x14ac:dyDescent="0.2">
      <c r="A95" s="2">
        <v>94</v>
      </c>
      <c r="B95">
        <v>94</v>
      </c>
      <c r="C95">
        <v>8</v>
      </c>
      <c r="D95">
        <f>VLOOKUP(C95,Course!$A$1:$C$229, 2, FALSE)</f>
        <v>0</v>
      </c>
      <c r="E95">
        <v>11</v>
      </c>
      <c r="F95" t="s">
        <v>534</v>
      </c>
      <c r="G95">
        <v>1</v>
      </c>
      <c r="H95" s="6">
        <v>0.8</v>
      </c>
      <c r="I95">
        <v>1</v>
      </c>
    </row>
    <row r="96" spans="1:9" x14ac:dyDescent="0.2">
      <c r="A96" s="2">
        <v>95</v>
      </c>
      <c r="B96">
        <v>95</v>
      </c>
      <c r="C96">
        <v>8</v>
      </c>
      <c r="D96">
        <f>VLOOKUP(C96,Course!$A$1:$C$229, 2, FALSE)</f>
        <v>0</v>
      </c>
      <c r="E96">
        <v>12</v>
      </c>
      <c r="F96" t="s">
        <v>535</v>
      </c>
      <c r="G96">
        <v>1</v>
      </c>
      <c r="H96" s="6">
        <v>0.8</v>
      </c>
      <c r="I96">
        <v>1</v>
      </c>
    </row>
    <row r="97" spans="1:9" x14ac:dyDescent="0.2">
      <c r="A97" s="2">
        <v>96</v>
      </c>
      <c r="B97">
        <v>96</v>
      </c>
      <c r="C97">
        <v>9</v>
      </c>
      <c r="D97">
        <f>VLOOKUP(C97,Course!$A$1:$C$229, 2, FALSE)</f>
        <v>0</v>
      </c>
      <c r="E97">
        <v>13</v>
      </c>
      <c r="F97" t="s">
        <v>536</v>
      </c>
      <c r="G97">
        <v>1</v>
      </c>
      <c r="H97" s="6">
        <v>0.8</v>
      </c>
      <c r="I97">
        <v>1</v>
      </c>
    </row>
    <row r="98" spans="1:9" x14ac:dyDescent="0.2">
      <c r="A98" s="2">
        <v>97</v>
      </c>
      <c r="B98">
        <v>97</v>
      </c>
      <c r="C98">
        <v>9</v>
      </c>
      <c r="D98">
        <f>VLOOKUP(C98,Course!$A$1:$C$229, 2, FALSE)</f>
        <v>0</v>
      </c>
      <c r="E98">
        <v>14</v>
      </c>
      <c r="F98" t="s">
        <v>537</v>
      </c>
      <c r="G98">
        <v>1</v>
      </c>
      <c r="H98" s="6">
        <v>0.8</v>
      </c>
      <c r="I98">
        <v>1</v>
      </c>
    </row>
    <row r="99" spans="1:9" x14ac:dyDescent="0.2">
      <c r="A99" s="2">
        <v>98</v>
      </c>
      <c r="B99">
        <v>98</v>
      </c>
      <c r="C99">
        <v>9</v>
      </c>
      <c r="D99">
        <f>VLOOKUP(C99,Course!$A$1:$C$229, 2, FALSE)</f>
        <v>0</v>
      </c>
      <c r="E99">
        <v>15</v>
      </c>
      <c r="F99" t="s">
        <v>538</v>
      </c>
      <c r="G99">
        <v>1</v>
      </c>
      <c r="H99" s="6">
        <v>0.8</v>
      </c>
      <c r="I99">
        <v>1</v>
      </c>
    </row>
    <row r="100" spans="1:9" x14ac:dyDescent="0.2">
      <c r="A100" s="2">
        <v>99</v>
      </c>
      <c r="B100">
        <v>99</v>
      </c>
      <c r="C100">
        <v>9</v>
      </c>
      <c r="D100">
        <f>VLOOKUP(C100,Course!$A$1:$C$229, 2, FALSE)</f>
        <v>0</v>
      </c>
      <c r="E100">
        <v>16</v>
      </c>
      <c r="F100" t="s">
        <v>539</v>
      </c>
      <c r="G100">
        <v>1</v>
      </c>
      <c r="H100" s="6">
        <v>0.8</v>
      </c>
      <c r="I100">
        <v>1</v>
      </c>
    </row>
    <row r="101" spans="1:9" x14ac:dyDescent="0.2">
      <c r="A101" s="2">
        <v>100</v>
      </c>
      <c r="B101">
        <v>100</v>
      </c>
      <c r="C101">
        <v>9</v>
      </c>
      <c r="D101">
        <f>VLOOKUP(C101,Course!$A$1:$C$229, 2, FALSE)</f>
        <v>0</v>
      </c>
      <c r="E101">
        <v>17</v>
      </c>
      <c r="F101" t="s">
        <v>540</v>
      </c>
      <c r="G101">
        <v>1</v>
      </c>
      <c r="H101" s="6">
        <v>0.8</v>
      </c>
      <c r="I101">
        <v>1</v>
      </c>
    </row>
    <row r="102" spans="1:9" x14ac:dyDescent="0.2">
      <c r="A102" s="2">
        <v>101</v>
      </c>
      <c r="B102">
        <v>101</v>
      </c>
      <c r="C102">
        <v>9</v>
      </c>
      <c r="D102">
        <f>VLOOKUP(C102,Course!$A$1:$C$229, 2, FALSE)</f>
        <v>0</v>
      </c>
      <c r="E102">
        <v>18</v>
      </c>
      <c r="F102" t="s">
        <v>541</v>
      </c>
      <c r="G102">
        <v>1</v>
      </c>
      <c r="H102" s="6">
        <v>0.8</v>
      </c>
      <c r="I102">
        <v>1</v>
      </c>
    </row>
    <row r="103" spans="1:9" x14ac:dyDescent="0.2">
      <c r="A103" s="2">
        <v>102</v>
      </c>
      <c r="B103">
        <v>102</v>
      </c>
      <c r="C103">
        <v>9</v>
      </c>
      <c r="D103">
        <f>VLOOKUP(C103,Course!$A$1:$C$229, 2, FALSE)</f>
        <v>0</v>
      </c>
      <c r="E103">
        <v>19</v>
      </c>
      <c r="F103" t="s">
        <v>542</v>
      </c>
      <c r="G103">
        <v>1</v>
      </c>
      <c r="H103" s="6">
        <v>0.8</v>
      </c>
      <c r="I103">
        <v>1</v>
      </c>
    </row>
    <row r="104" spans="1:9" x14ac:dyDescent="0.2">
      <c r="A104" s="2">
        <v>103</v>
      </c>
      <c r="B104">
        <v>103</v>
      </c>
      <c r="C104">
        <v>9</v>
      </c>
      <c r="D104">
        <f>VLOOKUP(C104,Course!$A$1:$C$229, 2, FALSE)</f>
        <v>0</v>
      </c>
      <c r="E104">
        <v>20</v>
      </c>
      <c r="F104" t="s">
        <v>543</v>
      </c>
      <c r="G104">
        <v>1</v>
      </c>
      <c r="H104" s="6">
        <v>0.8</v>
      </c>
      <c r="I104">
        <v>1</v>
      </c>
    </row>
    <row r="105" spans="1:9" x14ac:dyDescent="0.2">
      <c r="A105" s="2">
        <v>104</v>
      </c>
      <c r="B105">
        <v>104</v>
      </c>
      <c r="C105">
        <v>9</v>
      </c>
      <c r="D105">
        <f>VLOOKUP(C105,Course!$A$1:$C$229, 2, FALSE)</f>
        <v>0</v>
      </c>
      <c r="E105">
        <v>21</v>
      </c>
      <c r="F105" t="s">
        <v>544</v>
      </c>
      <c r="G105">
        <v>1</v>
      </c>
      <c r="H105" s="6">
        <v>0.8</v>
      </c>
      <c r="I105">
        <v>1</v>
      </c>
    </row>
    <row r="106" spans="1:9" x14ac:dyDescent="0.2">
      <c r="A106" s="2">
        <v>105</v>
      </c>
      <c r="B106">
        <v>105</v>
      </c>
      <c r="C106">
        <v>9</v>
      </c>
      <c r="D106">
        <f>VLOOKUP(C106,Course!$A$1:$C$229, 2, FALSE)</f>
        <v>0</v>
      </c>
      <c r="E106">
        <v>22</v>
      </c>
      <c r="F106" t="s">
        <v>545</v>
      </c>
      <c r="G106">
        <v>1</v>
      </c>
      <c r="H106" s="6">
        <v>0.8</v>
      </c>
      <c r="I106">
        <v>1</v>
      </c>
    </row>
    <row r="107" spans="1:9" x14ac:dyDescent="0.2">
      <c r="A107" s="2">
        <v>106</v>
      </c>
      <c r="B107">
        <v>106</v>
      </c>
      <c r="C107">
        <v>9</v>
      </c>
      <c r="D107">
        <f>VLOOKUP(C107,Course!$A$1:$C$229, 2, FALSE)</f>
        <v>0</v>
      </c>
      <c r="E107">
        <v>23</v>
      </c>
      <c r="F107" t="s">
        <v>546</v>
      </c>
      <c r="G107">
        <v>1</v>
      </c>
      <c r="H107" s="6">
        <v>0.8</v>
      </c>
      <c r="I107">
        <v>1</v>
      </c>
    </row>
    <row r="108" spans="1:9" x14ac:dyDescent="0.2">
      <c r="A108" s="2">
        <v>107</v>
      </c>
      <c r="B108">
        <v>107</v>
      </c>
      <c r="C108">
        <v>9</v>
      </c>
      <c r="D108">
        <f>VLOOKUP(C108,Course!$A$1:$C$229, 2, FALSE)</f>
        <v>0</v>
      </c>
      <c r="E108">
        <v>24</v>
      </c>
      <c r="F108" t="s">
        <v>547</v>
      </c>
      <c r="G108">
        <v>1</v>
      </c>
      <c r="H108" s="6">
        <v>0.8</v>
      </c>
      <c r="I108">
        <v>1</v>
      </c>
    </row>
    <row r="109" spans="1:9" x14ac:dyDescent="0.2">
      <c r="A109" s="2">
        <v>108</v>
      </c>
      <c r="B109">
        <v>108</v>
      </c>
      <c r="C109">
        <v>10</v>
      </c>
      <c r="D109">
        <f>VLOOKUP(C109,Course!$A$1:$C$229, 2, FALSE)</f>
        <v>0</v>
      </c>
      <c r="E109">
        <v>13</v>
      </c>
      <c r="F109" t="s">
        <v>548</v>
      </c>
      <c r="G109">
        <v>1</v>
      </c>
      <c r="H109" s="6">
        <v>0.8</v>
      </c>
      <c r="I109">
        <v>1</v>
      </c>
    </row>
    <row r="110" spans="1:9" x14ac:dyDescent="0.2">
      <c r="A110" s="2">
        <v>109</v>
      </c>
      <c r="B110">
        <v>109</v>
      </c>
      <c r="C110">
        <v>10</v>
      </c>
      <c r="D110">
        <f>VLOOKUP(C110,Course!$A$1:$C$229, 2, FALSE)</f>
        <v>0</v>
      </c>
      <c r="E110">
        <v>14</v>
      </c>
      <c r="F110" t="s">
        <v>549</v>
      </c>
      <c r="G110">
        <v>1</v>
      </c>
      <c r="H110" s="6">
        <v>0.8</v>
      </c>
      <c r="I110">
        <v>1</v>
      </c>
    </row>
    <row r="111" spans="1:9" x14ac:dyDescent="0.2">
      <c r="A111" s="2">
        <v>110</v>
      </c>
      <c r="B111">
        <v>110</v>
      </c>
      <c r="C111">
        <v>10</v>
      </c>
      <c r="D111">
        <f>VLOOKUP(C111,Course!$A$1:$C$229, 2, FALSE)</f>
        <v>0</v>
      </c>
      <c r="E111">
        <v>15</v>
      </c>
      <c r="F111" t="s">
        <v>550</v>
      </c>
      <c r="G111">
        <v>1</v>
      </c>
      <c r="H111" s="6">
        <v>0.8</v>
      </c>
      <c r="I111">
        <v>1</v>
      </c>
    </row>
    <row r="112" spans="1:9" x14ac:dyDescent="0.2">
      <c r="A112" s="2">
        <v>111</v>
      </c>
      <c r="B112">
        <v>111</v>
      </c>
      <c r="C112">
        <v>10</v>
      </c>
      <c r="D112">
        <f>VLOOKUP(C112,Course!$A$1:$C$229, 2, FALSE)</f>
        <v>0</v>
      </c>
      <c r="E112">
        <v>16</v>
      </c>
      <c r="F112" t="s">
        <v>551</v>
      </c>
      <c r="G112">
        <v>1</v>
      </c>
      <c r="H112" s="6">
        <v>0.8</v>
      </c>
      <c r="I112">
        <v>1</v>
      </c>
    </row>
    <row r="113" spans="1:9" x14ac:dyDescent="0.2">
      <c r="A113" s="2">
        <v>112</v>
      </c>
      <c r="B113">
        <v>112</v>
      </c>
      <c r="C113">
        <v>10</v>
      </c>
      <c r="D113">
        <f>VLOOKUP(C113,Course!$A$1:$C$229, 2, FALSE)</f>
        <v>0</v>
      </c>
      <c r="E113">
        <v>17</v>
      </c>
      <c r="F113" t="s">
        <v>552</v>
      </c>
      <c r="G113">
        <v>1</v>
      </c>
      <c r="H113" s="6">
        <v>0.8</v>
      </c>
      <c r="I113">
        <v>1</v>
      </c>
    </row>
    <row r="114" spans="1:9" x14ac:dyDescent="0.2">
      <c r="A114" s="2">
        <v>113</v>
      </c>
      <c r="B114">
        <v>113</v>
      </c>
      <c r="C114">
        <v>10</v>
      </c>
      <c r="D114">
        <f>VLOOKUP(C114,Course!$A$1:$C$229, 2, FALSE)</f>
        <v>0</v>
      </c>
      <c r="E114">
        <v>18</v>
      </c>
      <c r="F114" t="s">
        <v>553</v>
      </c>
      <c r="G114">
        <v>1</v>
      </c>
      <c r="H114" s="6">
        <v>0.8</v>
      </c>
      <c r="I114">
        <v>1</v>
      </c>
    </row>
    <row r="115" spans="1:9" x14ac:dyDescent="0.2">
      <c r="A115" s="2">
        <v>114</v>
      </c>
      <c r="B115">
        <v>114</v>
      </c>
      <c r="C115">
        <v>10</v>
      </c>
      <c r="D115">
        <f>VLOOKUP(C115,Course!$A$1:$C$229, 2, FALSE)</f>
        <v>0</v>
      </c>
      <c r="E115">
        <v>19</v>
      </c>
      <c r="F115" t="s">
        <v>554</v>
      </c>
      <c r="G115">
        <v>1</v>
      </c>
      <c r="H115" s="6">
        <v>0.8</v>
      </c>
      <c r="I115">
        <v>1</v>
      </c>
    </row>
    <row r="116" spans="1:9" x14ac:dyDescent="0.2">
      <c r="A116" s="2">
        <v>115</v>
      </c>
      <c r="B116">
        <v>115</v>
      </c>
      <c r="C116">
        <v>10</v>
      </c>
      <c r="D116">
        <f>VLOOKUP(C116,Course!$A$1:$C$229, 2, FALSE)</f>
        <v>0</v>
      </c>
      <c r="E116">
        <v>20</v>
      </c>
      <c r="F116" t="s">
        <v>555</v>
      </c>
      <c r="G116">
        <v>1</v>
      </c>
      <c r="H116" s="6">
        <v>0.8</v>
      </c>
      <c r="I116">
        <v>1</v>
      </c>
    </row>
    <row r="117" spans="1:9" x14ac:dyDescent="0.2">
      <c r="A117" s="2">
        <v>116</v>
      </c>
      <c r="B117">
        <v>116</v>
      </c>
      <c r="C117">
        <v>10</v>
      </c>
      <c r="D117">
        <f>VLOOKUP(C117,Course!$A$1:$C$229, 2, FALSE)</f>
        <v>0</v>
      </c>
      <c r="E117">
        <v>21</v>
      </c>
      <c r="F117" t="s">
        <v>556</v>
      </c>
      <c r="G117">
        <v>1</v>
      </c>
      <c r="H117" s="6">
        <v>0.8</v>
      </c>
      <c r="I117">
        <v>1</v>
      </c>
    </row>
    <row r="118" spans="1:9" x14ac:dyDescent="0.2">
      <c r="A118" s="2">
        <v>117</v>
      </c>
      <c r="B118">
        <v>117</v>
      </c>
      <c r="C118">
        <v>10</v>
      </c>
      <c r="D118">
        <f>VLOOKUP(C118,Course!$A$1:$C$229, 2, FALSE)</f>
        <v>0</v>
      </c>
      <c r="E118">
        <v>22</v>
      </c>
      <c r="F118" t="s">
        <v>557</v>
      </c>
      <c r="G118">
        <v>1</v>
      </c>
      <c r="H118" s="6">
        <v>0.8</v>
      </c>
      <c r="I118">
        <v>1</v>
      </c>
    </row>
    <row r="119" spans="1:9" x14ac:dyDescent="0.2">
      <c r="A119" s="2">
        <v>118</v>
      </c>
      <c r="B119">
        <v>118</v>
      </c>
      <c r="C119">
        <v>10</v>
      </c>
      <c r="D119">
        <f>VLOOKUP(C119,Course!$A$1:$C$229, 2, FALSE)</f>
        <v>0</v>
      </c>
      <c r="E119">
        <v>23</v>
      </c>
      <c r="F119" t="s">
        <v>558</v>
      </c>
      <c r="G119">
        <v>1</v>
      </c>
      <c r="H119" s="6">
        <v>0.8</v>
      </c>
      <c r="I119">
        <v>1</v>
      </c>
    </row>
    <row r="120" spans="1:9" x14ac:dyDescent="0.2">
      <c r="A120" s="2">
        <v>119</v>
      </c>
      <c r="B120">
        <v>119</v>
      </c>
      <c r="C120">
        <v>10</v>
      </c>
      <c r="D120">
        <f>VLOOKUP(C120,Course!$A$1:$C$229, 2, FALSE)</f>
        <v>0</v>
      </c>
      <c r="E120">
        <v>24</v>
      </c>
      <c r="F120" t="s">
        <v>559</v>
      </c>
      <c r="G120">
        <v>1</v>
      </c>
      <c r="H120" s="6">
        <v>0.8</v>
      </c>
      <c r="I120">
        <v>1</v>
      </c>
    </row>
    <row r="121" spans="1:9" x14ac:dyDescent="0.2">
      <c r="A121" s="2">
        <v>120</v>
      </c>
      <c r="B121">
        <v>120</v>
      </c>
      <c r="C121">
        <v>11</v>
      </c>
      <c r="D121">
        <f>VLOOKUP(C121,Course!$A$1:$C$229, 2, FALSE)</f>
        <v>0</v>
      </c>
      <c r="E121">
        <v>13</v>
      </c>
      <c r="F121" t="s">
        <v>560</v>
      </c>
      <c r="G121">
        <v>1</v>
      </c>
      <c r="H121" s="6">
        <v>0.9</v>
      </c>
      <c r="I121">
        <v>1</v>
      </c>
    </row>
    <row r="122" spans="1:9" x14ac:dyDescent="0.2">
      <c r="A122" s="2">
        <v>121</v>
      </c>
      <c r="B122">
        <v>121</v>
      </c>
      <c r="C122">
        <v>11</v>
      </c>
      <c r="D122">
        <f>VLOOKUP(C122,Course!$A$1:$C$229, 2, FALSE)</f>
        <v>0</v>
      </c>
      <c r="E122">
        <v>14</v>
      </c>
      <c r="F122" t="s">
        <v>561</v>
      </c>
      <c r="G122">
        <v>1</v>
      </c>
      <c r="H122" s="6">
        <v>0.9</v>
      </c>
      <c r="I122">
        <v>1</v>
      </c>
    </row>
    <row r="123" spans="1:9" x14ac:dyDescent="0.2">
      <c r="A123" s="2">
        <v>122</v>
      </c>
      <c r="B123">
        <v>122</v>
      </c>
      <c r="C123">
        <v>11</v>
      </c>
      <c r="D123">
        <f>VLOOKUP(C123,Course!$A$1:$C$229, 2, FALSE)</f>
        <v>0</v>
      </c>
      <c r="E123">
        <v>15</v>
      </c>
      <c r="F123" t="s">
        <v>562</v>
      </c>
      <c r="G123">
        <v>1</v>
      </c>
      <c r="H123" s="6">
        <v>0.9</v>
      </c>
      <c r="I123">
        <v>1</v>
      </c>
    </row>
    <row r="124" spans="1:9" x14ac:dyDescent="0.2">
      <c r="A124" s="2">
        <v>123</v>
      </c>
      <c r="B124">
        <v>123</v>
      </c>
      <c r="C124">
        <v>11</v>
      </c>
      <c r="D124">
        <f>VLOOKUP(C124,Course!$A$1:$C$229, 2, FALSE)</f>
        <v>0</v>
      </c>
      <c r="E124">
        <v>16</v>
      </c>
      <c r="F124" t="s">
        <v>563</v>
      </c>
      <c r="G124">
        <v>1</v>
      </c>
      <c r="H124" s="6">
        <v>0.9</v>
      </c>
      <c r="I124">
        <v>1</v>
      </c>
    </row>
    <row r="125" spans="1:9" x14ac:dyDescent="0.2">
      <c r="A125" s="2">
        <v>124</v>
      </c>
      <c r="B125">
        <v>124</v>
      </c>
      <c r="C125">
        <v>11</v>
      </c>
      <c r="D125">
        <f>VLOOKUP(C125,Course!$A$1:$C$229, 2, FALSE)</f>
        <v>0</v>
      </c>
      <c r="E125">
        <v>17</v>
      </c>
      <c r="F125" t="s">
        <v>564</v>
      </c>
      <c r="G125">
        <v>1</v>
      </c>
      <c r="H125" s="6">
        <v>0.9</v>
      </c>
      <c r="I125">
        <v>1</v>
      </c>
    </row>
    <row r="126" spans="1:9" x14ac:dyDescent="0.2">
      <c r="A126" s="2">
        <v>125</v>
      </c>
      <c r="B126">
        <v>125</v>
      </c>
      <c r="C126">
        <v>11</v>
      </c>
      <c r="D126">
        <f>VLOOKUP(C126,Course!$A$1:$C$229, 2, FALSE)</f>
        <v>0</v>
      </c>
      <c r="E126">
        <v>18</v>
      </c>
      <c r="F126" t="s">
        <v>565</v>
      </c>
      <c r="G126">
        <v>1</v>
      </c>
      <c r="H126" s="6">
        <v>0.9</v>
      </c>
      <c r="I126">
        <v>1</v>
      </c>
    </row>
    <row r="127" spans="1:9" x14ac:dyDescent="0.2">
      <c r="A127" s="2">
        <v>126</v>
      </c>
      <c r="B127">
        <v>126</v>
      </c>
      <c r="C127">
        <v>11</v>
      </c>
      <c r="D127">
        <f>VLOOKUP(C127,Course!$A$1:$C$229, 2, FALSE)</f>
        <v>0</v>
      </c>
      <c r="E127">
        <v>19</v>
      </c>
      <c r="F127" t="s">
        <v>566</v>
      </c>
      <c r="G127">
        <v>1</v>
      </c>
      <c r="H127" s="6">
        <v>0.9</v>
      </c>
      <c r="I127">
        <v>1</v>
      </c>
    </row>
    <row r="128" spans="1:9" x14ac:dyDescent="0.2">
      <c r="A128" s="2">
        <v>127</v>
      </c>
      <c r="B128">
        <v>127</v>
      </c>
      <c r="C128">
        <v>11</v>
      </c>
      <c r="D128">
        <f>VLOOKUP(C128,Course!$A$1:$C$229, 2, FALSE)</f>
        <v>0</v>
      </c>
      <c r="E128">
        <v>20</v>
      </c>
      <c r="F128" t="s">
        <v>567</v>
      </c>
      <c r="G128">
        <v>1</v>
      </c>
      <c r="H128" s="6">
        <v>0.9</v>
      </c>
      <c r="I128">
        <v>1</v>
      </c>
    </row>
    <row r="129" spans="1:9" x14ac:dyDescent="0.2">
      <c r="A129" s="2">
        <v>128</v>
      </c>
      <c r="B129">
        <v>128</v>
      </c>
      <c r="C129">
        <v>11</v>
      </c>
      <c r="D129">
        <f>VLOOKUP(C129,Course!$A$1:$C$229, 2, FALSE)</f>
        <v>0</v>
      </c>
      <c r="E129">
        <v>21</v>
      </c>
      <c r="F129" t="s">
        <v>568</v>
      </c>
      <c r="G129">
        <v>1</v>
      </c>
      <c r="H129" s="6">
        <v>0.9</v>
      </c>
      <c r="I129">
        <v>1</v>
      </c>
    </row>
    <row r="130" spans="1:9" x14ac:dyDescent="0.2">
      <c r="A130" s="2">
        <v>129</v>
      </c>
      <c r="B130">
        <v>129</v>
      </c>
      <c r="C130">
        <v>11</v>
      </c>
      <c r="D130">
        <f>VLOOKUP(C130,Course!$A$1:$C$229, 2, FALSE)</f>
        <v>0</v>
      </c>
      <c r="E130">
        <v>22</v>
      </c>
      <c r="F130" t="s">
        <v>569</v>
      </c>
      <c r="G130">
        <v>1</v>
      </c>
      <c r="H130" s="6">
        <v>0.9</v>
      </c>
      <c r="I130">
        <v>1</v>
      </c>
    </row>
    <row r="131" spans="1:9" x14ac:dyDescent="0.2">
      <c r="A131" s="2">
        <v>130</v>
      </c>
      <c r="B131">
        <v>130</v>
      </c>
      <c r="C131">
        <v>11</v>
      </c>
      <c r="D131">
        <f>VLOOKUP(C131,Course!$A$1:$C$229, 2, FALSE)</f>
        <v>0</v>
      </c>
      <c r="E131">
        <v>23</v>
      </c>
      <c r="F131" t="s">
        <v>570</v>
      </c>
      <c r="G131">
        <v>1</v>
      </c>
      <c r="H131" s="6">
        <v>0.9</v>
      </c>
      <c r="I131">
        <v>1</v>
      </c>
    </row>
    <row r="132" spans="1:9" x14ac:dyDescent="0.2">
      <c r="A132" s="2">
        <v>131</v>
      </c>
      <c r="B132">
        <v>131</v>
      </c>
      <c r="C132">
        <v>11</v>
      </c>
      <c r="D132">
        <f>VLOOKUP(C132,Course!$A$1:$C$229, 2, FALSE)</f>
        <v>0</v>
      </c>
      <c r="E132">
        <v>24</v>
      </c>
      <c r="F132" t="s">
        <v>571</v>
      </c>
      <c r="G132">
        <v>1</v>
      </c>
      <c r="H132" s="6">
        <v>0.9</v>
      </c>
      <c r="I132">
        <v>1</v>
      </c>
    </row>
    <row r="133" spans="1:9" x14ac:dyDescent="0.2">
      <c r="A133" s="2">
        <v>132</v>
      </c>
      <c r="B133">
        <v>132</v>
      </c>
      <c r="C133">
        <v>12</v>
      </c>
      <c r="D133">
        <f>VLOOKUP(C133,Course!$A$1:$C$229, 2, FALSE)</f>
        <v>0</v>
      </c>
      <c r="E133">
        <v>13</v>
      </c>
      <c r="F133" t="s">
        <v>572</v>
      </c>
      <c r="G133">
        <v>1</v>
      </c>
      <c r="H133" s="6">
        <v>0.8</v>
      </c>
      <c r="I133">
        <v>1</v>
      </c>
    </row>
    <row r="134" spans="1:9" x14ac:dyDescent="0.2">
      <c r="A134" s="2">
        <v>133</v>
      </c>
      <c r="B134">
        <v>133</v>
      </c>
      <c r="C134">
        <v>12</v>
      </c>
      <c r="D134">
        <f>VLOOKUP(C134,Course!$A$1:$C$229, 2, FALSE)</f>
        <v>0</v>
      </c>
      <c r="E134">
        <v>14</v>
      </c>
      <c r="F134" t="s">
        <v>573</v>
      </c>
      <c r="G134">
        <v>1</v>
      </c>
      <c r="H134" s="6">
        <v>0.8</v>
      </c>
      <c r="I134">
        <v>1</v>
      </c>
    </row>
    <row r="135" spans="1:9" x14ac:dyDescent="0.2">
      <c r="A135" s="2">
        <v>134</v>
      </c>
      <c r="B135">
        <v>134</v>
      </c>
      <c r="C135">
        <v>12</v>
      </c>
      <c r="D135">
        <f>VLOOKUP(C135,Course!$A$1:$C$229, 2, FALSE)</f>
        <v>0</v>
      </c>
      <c r="E135">
        <v>15</v>
      </c>
      <c r="F135" t="s">
        <v>574</v>
      </c>
      <c r="G135">
        <v>1</v>
      </c>
      <c r="H135" s="6">
        <v>0.8</v>
      </c>
      <c r="I135">
        <v>1</v>
      </c>
    </row>
    <row r="136" spans="1:9" x14ac:dyDescent="0.2">
      <c r="A136" s="2">
        <v>135</v>
      </c>
      <c r="B136">
        <v>135</v>
      </c>
      <c r="C136">
        <v>12</v>
      </c>
      <c r="D136">
        <f>VLOOKUP(C136,Course!$A$1:$C$229, 2, FALSE)</f>
        <v>0</v>
      </c>
      <c r="E136">
        <v>16</v>
      </c>
      <c r="F136" t="s">
        <v>575</v>
      </c>
      <c r="G136">
        <v>1</v>
      </c>
      <c r="H136" s="6">
        <v>0.8</v>
      </c>
      <c r="I136">
        <v>1</v>
      </c>
    </row>
    <row r="137" spans="1:9" x14ac:dyDescent="0.2">
      <c r="A137" s="2">
        <v>136</v>
      </c>
      <c r="B137">
        <v>136</v>
      </c>
      <c r="C137">
        <v>12</v>
      </c>
      <c r="D137">
        <f>VLOOKUP(C137,Course!$A$1:$C$229, 2, FALSE)</f>
        <v>0</v>
      </c>
      <c r="E137">
        <v>17</v>
      </c>
      <c r="F137" t="s">
        <v>576</v>
      </c>
      <c r="G137">
        <v>1</v>
      </c>
      <c r="H137" s="6">
        <v>0.8</v>
      </c>
      <c r="I137">
        <v>1</v>
      </c>
    </row>
    <row r="138" spans="1:9" x14ac:dyDescent="0.2">
      <c r="A138" s="2">
        <v>137</v>
      </c>
      <c r="B138">
        <v>137</v>
      </c>
      <c r="C138">
        <v>12</v>
      </c>
      <c r="D138">
        <f>VLOOKUP(C138,Course!$A$1:$C$229, 2, FALSE)</f>
        <v>0</v>
      </c>
      <c r="E138">
        <v>18</v>
      </c>
      <c r="F138" t="s">
        <v>577</v>
      </c>
      <c r="G138">
        <v>1</v>
      </c>
      <c r="H138" s="6">
        <v>0.8</v>
      </c>
      <c r="I138">
        <v>1</v>
      </c>
    </row>
    <row r="139" spans="1:9" x14ac:dyDescent="0.2">
      <c r="A139" s="2">
        <v>138</v>
      </c>
      <c r="B139">
        <v>138</v>
      </c>
      <c r="C139">
        <v>12</v>
      </c>
      <c r="D139">
        <f>VLOOKUP(C139,Course!$A$1:$C$229, 2, FALSE)</f>
        <v>0</v>
      </c>
      <c r="E139">
        <v>19</v>
      </c>
      <c r="F139" t="s">
        <v>578</v>
      </c>
      <c r="G139">
        <v>1</v>
      </c>
      <c r="H139" s="6">
        <v>0.8</v>
      </c>
      <c r="I139">
        <v>1</v>
      </c>
    </row>
    <row r="140" spans="1:9" x14ac:dyDescent="0.2">
      <c r="A140" s="2">
        <v>139</v>
      </c>
      <c r="B140">
        <v>139</v>
      </c>
      <c r="C140">
        <v>12</v>
      </c>
      <c r="D140">
        <f>VLOOKUP(C140,Course!$A$1:$C$229, 2, FALSE)</f>
        <v>0</v>
      </c>
      <c r="E140">
        <v>20</v>
      </c>
      <c r="F140" t="s">
        <v>579</v>
      </c>
      <c r="G140">
        <v>1</v>
      </c>
      <c r="H140" s="6">
        <v>0.8</v>
      </c>
      <c r="I140">
        <v>1</v>
      </c>
    </row>
    <row r="141" spans="1:9" x14ac:dyDescent="0.2">
      <c r="A141" s="2">
        <v>140</v>
      </c>
      <c r="B141">
        <v>140</v>
      </c>
      <c r="C141">
        <v>12</v>
      </c>
      <c r="D141">
        <f>VLOOKUP(C141,Course!$A$1:$C$229, 2, FALSE)</f>
        <v>0</v>
      </c>
      <c r="E141">
        <v>21</v>
      </c>
      <c r="F141" t="s">
        <v>580</v>
      </c>
      <c r="G141">
        <v>1</v>
      </c>
      <c r="H141" s="6">
        <v>0.8</v>
      </c>
      <c r="I141">
        <v>1</v>
      </c>
    </row>
    <row r="142" spans="1:9" x14ac:dyDescent="0.2">
      <c r="A142" s="2">
        <v>141</v>
      </c>
      <c r="B142">
        <v>141</v>
      </c>
      <c r="C142">
        <v>12</v>
      </c>
      <c r="D142">
        <f>VLOOKUP(C142,Course!$A$1:$C$229, 2, FALSE)</f>
        <v>0</v>
      </c>
      <c r="E142">
        <v>22</v>
      </c>
      <c r="F142" t="s">
        <v>581</v>
      </c>
      <c r="G142">
        <v>1</v>
      </c>
      <c r="H142" s="6">
        <v>0.8</v>
      </c>
      <c r="I142">
        <v>1</v>
      </c>
    </row>
    <row r="143" spans="1:9" x14ac:dyDescent="0.2">
      <c r="A143" s="2">
        <v>142</v>
      </c>
      <c r="B143">
        <v>142</v>
      </c>
      <c r="C143">
        <v>12</v>
      </c>
      <c r="D143">
        <f>VLOOKUP(C143,Course!$A$1:$C$229, 2, FALSE)</f>
        <v>0</v>
      </c>
      <c r="E143">
        <v>23</v>
      </c>
      <c r="F143" t="s">
        <v>582</v>
      </c>
      <c r="G143">
        <v>1</v>
      </c>
      <c r="H143" s="6">
        <v>0.8</v>
      </c>
      <c r="I143">
        <v>1</v>
      </c>
    </row>
    <row r="144" spans="1:9" x14ac:dyDescent="0.2">
      <c r="A144" s="2">
        <v>143</v>
      </c>
      <c r="B144">
        <v>143</v>
      </c>
      <c r="C144">
        <v>12</v>
      </c>
      <c r="D144">
        <f>VLOOKUP(C144,Course!$A$1:$C$229, 2, FALSE)</f>
        <v>0</v>
      </c>
      <c r="E144">
        <v>24</v>
      </c>
      <c r="F144" t="s">
        <v>583</v>
      </c>
      <c r="G144">
        <v>1</v>
      </c>
      <c r="H144" s="6">
        <v>0.8</v>
      </c>
      <c r="I144">
        <v>1</v>
      </c>
    </row>
    <row r="145" spans="1:9" x14ac:dyDescent="0.2">
      <c r="A145" s="2">
        <v>144</v>
      </c>
      <c r="B145">
        <v>144</v>
      </c>
      <c r="C145">
        <v>13</v>
      </c>
      <c r="D145">
        <f>VLOOKUP(C145,Course!$A$1:$C$229, 2, FALSE)</f>
        <v>0</v>
      </c>
      <c r="E145">
        <v>13</v>
      </c>
      <c r="F145" t="s">
        <v>584</v>
      </c>
      <c r="G145">
        <v>1</v>
      </c>
      <c r="H145" s="6">
        <v>0.8</v>
      </c>
      <c r="I145">
        <v>1</v>
      </c>
    </row>
    <row r="146" spans="1:9" x14ac:dyDescent="0.2">
      <c r="A146" s="2">
        <v>145</v>
      </c>
      <c r="B146">
        <v>145</v>
      </c>
      <c r="C146">
        <v>13</v>
      </c>
      <c r="D146">
        <f>VLOOKUP(C146,Course!$A$1:$C$229, 2, FALSE)</f>
        <v>0</v>
      </c>
      <c r="E146">
        <v>14</v>
      </c>
      <c r="F146" t="s">
        <v>585</v>
      </c>
      <c r="G146">
        <v>1</v>
      </c>
      <c r="H146" s="6">
        <v>0.8</v>
      </c>
      <c r="I146">
        <v>1</v>
      </c>
    </row>
    <row r="147" spans="1:9" x14ac:dyDescent="0.2">
      <c r="A147" s="2">
        <v>146</v>
      </c>
      <c r="B147">
        <v>146</v>
      </c>
      <c r="C147">
        <v>13</v>
      </c>
      <c r="D147">
        <f>VLOOKUP(C147,Course!$A$1:$C$229, 2, FALSE)</f>
        <v>0</v>
      </c>
      <c r="E147">
        <v>15</v>
      </c>
      <c r="F147" t="s">
        <v>586</v>
      </c>
      <c r="G147">
        <v>1</v>
      </c>
      <c r="H147" s="6">
        <v>0.8</v>
      </c>
      <c r="I147">
        <v>1</v>
      </c>
    </row>
    <row r="148" spans="1:9" x14ac:dyDescent="0.2">
      <c r="A148" s="2">
        <v>147</v>
      </c>
      <c r="B148">
        <v>147</v>
      </c>
      <c r="C148">
        <v>13</v>
      </c>
      <c r="D148">
        <f>VLOOKUP(C148,Course!$A$1:$C$229, 2, FALSE)</f>
        <v>0</v>
      </c>
      <c r="E148">
        <v>16</v>
      </c>
      <c r="F148" t="s">
        <v>587</v>
      </c>
      <c r="G148">
        <v>1</v>
      </c>
      <c r="H148" s="6">
        <v>0.8</v>
      </c>
      <c r="I148">
        <v>1</v>
      </c>
    </row>
    <row r="149" spans="1:9" x14ac:dyDescent="0.2">
      <c r="A149" s="2">
        <v>148</v>
      </c>
      <c r="B149">
        <v>148</v>
      </c>
      <c r="C149">
        <v>13</v>
      </c>
      <c r="D149">
        <f>VLOOKUP(C149,Course!$A$1:$C$229, 2, FALSE)</f>
        <v>0</v>
      </c>
      <c r="E149">
        <v>17</v>
      </c>
      <c r="F149" t="s">
        <v>588</v>
      </c>
      <c r="G149">
        <v>1</v>
      </c>
      <c r="H149" s="6">
        <v>0.8</v>
      </c>
      <c r="I149">
        <v>1</v>
      </c>
    </row>
    <row r="150" spans="1:9" x14ac:dyDescent="0.2">
      <c r="A150" s="2">
        <v>149</v>
      </c>
      <c r="B150">
        <v>149</v>
      </c>
      <c r="C150">
        <v>13</v>
      </c>
      <c r="D150">
        <f>VLOOKUP(C150,Course!$A$1:$C$229, 2, FALSE)</f>
        <v>0</v>
      </c>
      <c r="E150">
        <v>18</v>
      </c>
      <c r="F150" t="s">
        <v>589</v>
      </c>
      <c r="G150">
        <v>1</v>
      </c>
      <c r="H150" s="6">
        <v>0.8</v>
      </c>
      <c r="I150">
        <v>1</v>
      </c>
    </row>
    <row r="151" spans="1:9" x14ac:dyDescent="0.2">
      <c r="A151" s="2">
        <v>150</v>
      </c>
      <c r="B151">
        <v>150</v>
      </c>
      <c r="C151">
        <v>13</v>
      </c>
      <c r="D151">
        <f>VLOOKUP(C151,Course!$A$1:$C$229, 2, FALSE)</f>
        <v>0</v>
      </c>
      <c r="E151">
        <v>19</v>
      </c>
      <c r="F151" t="s">
        <v>590</v>
      </c>
      <c r="G151">
        <v>1</v>
      </c>
      <c r="H151" s="6">
        <v>0.8</v>
      </c>
      <c r="I151">
        <v>1</v>
      </c>
    </row>
    <row r="152" spans="1:9" x14ac:dyDescent="0.2">
      <c r="A152" s="2">
        <v>151</v>
      </c>
      <c r="B152">
        <v>151</v>
      </c>
      <c r="C152">
        <v>13</v>
      </c>
      <c r="D152">
        <f>VLOOKUP(C152,Course!$A$1:$C$229, 2, FALSE)</f>
        <v>0</v>
      </c>
      <c r="E152">
        <v>20</v>
      </c>
      <c r="F152" t="s">
        <v>591</v>
      </c>
      <c r="G152">
        <v>1</v>
      </c>
      <c r="H152" s="6">
        <v>0.8</v>
      </c>
      <c r="I152">
        <v>1</v>
      </c>
    </row>
    <row r="153" spans="1:9" x14ac:dyDescent="0.2">
      <c r="A153" s="2">
        <v>152</v>
      </c>
      <c r="B153">
        <v>152</v>
      </c>
      <c r="C153">
        <v>13</v>
      </c>
      <c r="D153">
        <f>VLOOKUP(C153,Course!$A$1:$C$229, 2, FALSE)</f>
        <v>0</v>
      </c>
      <c r="E153">
        <v>21</v>
      </c>
      <c r="F153" t="s">
        <v>592</v>
      </c>
      <c r="G153">
        <v>1</v>
      </c>
      <c r="H153" s="6">
        <v>0.8</v>
      </c>
      <c r="I153">
        <v>1</v>
      </c>
    </row>
    <row r="154" spans="1:9" x14ac:dyDescent="0.2">
      <c r="A154" s="2">
        <v>153</v>
      </c>
      <c r="B154">
        <v>153</v>
      </c>
      <c r="C154">
        <v>13</v>
      </c>
      <c r="D154">
        <f>VLOOKUP(C154,Course!$A$1:$C$229, 2, FALSE)</f>
        <v>0</v>
      </c>
      <c r="E154">
        <v>22</v>
      </c>
      <c r="F154" t="s">
        <v>593</v>
      </c>
      <c r="G154">
        <v>1</v>
      </c>
      <c r="H154" s="6">
        <v>0.8</v>
      </c>
      <c r="I154">
        <v>1</v>
      </c>
    </row>
    <row r="155" spans="1:9" x14ac:dyDescent="0.2">
      <c r="A155" s="2">
        <v>154</v>
      </c>
      <c r="B155">
        <v>154</v>
      </c>
      <c r="C155">
        <v>13</v>
      </c>
      <c r="D155">
        <f>VLOOKUP(C155,Course!$A$1:$C$229, 2, FALSE)</f>
        <v>0</v>
      </c>
      <c r="E155">
        <v>23</v>
      </c>
      <c r="F155" t="s">
        <v>594</v>
      </c>
      <c r="G155">
        <v>1</v>
      </c>
      <c r="H155" s="6">
        <v>0.8</v>
      </c>
      <c r="I155">
        <v>1</v>
      </c>
    </row>
    <row r="156" spans="1:9" x14ac:dyDescent="0.2">
      <c r="A156" s="2">
        <v>155</v>
      </c>
      <c r="B156">
        <v>155</v>
      </c>
      <c r="C156">
        <v>13</v>
      </c>
      <c r="D156">
        <f>VLOOKUP(C156,Course!$A$1:$C$229, 2, FALSE)</f>
        <v>0</v>
      </c>
      <c r="E156">
        <v>24</v>
      </c>
      <c r="F156" t="s">
        <v>595</v>
      </c>
      <c r="G156">
        <v>1</v>
      </c>
      <c r="H156" s="6">
        <v>0.8</v>
      </c>
      <c r="I156">
        <v>1</v>
      </c>
    </row>
    <row r="157" spans="1:9" x14ac:dyDescent="0.2">
      <c r="A157" s="2">
        <v>156</v>
      </c>
      <c r="B157">
        <v>156</v>
      </c>
      <c r="C157">
        <v>14</v>
      </c>
      <c r="D157">
        <f>VLOOKUP(C157,Course!$A$1:$C$229, 2, FALSE)</f>
        <v>0</v>
      </c>
      <c r="E157">
        <v>13</v>
      </c>
      <c r="F157" t="s">
        <v>596</v>
      </c>
      <c r="G157">
        <v>1</v>
      </c>
      <c r="H157" s="6">
        <v>0.8</v>
      </c>
      <c r="I157">
        <v>1</v>
      </c>
    </row>
    <row r="158" spans="1:9" x14ac:dyDescent="0.2">
      <c r="A158" s="2">
        <v>157</v>
      </c>
      <c r="B158">
        <v>157</v>
      </c>
      <c r="C158">
        <v>14</v>
      </c>
      <c r="D158">
        <f>VLOOKUP(C158,Course!$A$1:$C$229, 2, FALSE)</f>
        <v>0</v>
      </c>
      <c r="E158">
        <v>14</v>
      </c>
      <c r="F158" t="s">
        <v>597</v>
      </c>
      <c r="G158">
        <v>1</v>
      </c>
      <c r="H158" s="6">
        <v>0.8</v>
      </c>
      <c r="I158">
        <v>1</v>
      </c>
    </row>
    <row r="159" spans="1:9" x14ac:dyDescent="0.2">
      <c r="A159" s="2">
        <v>158</v>
      </c>
      <c r="B159">
        <v>158</v>
      </c>
      <c r="C159">
        <v>14</v>
      </c>
      <c r="D159">
        <f>VLOOKUP(C159,Course!$A$1:$C$229, 2, FALSE)</f>
        <v>0</v>
      </c>
      <c r="E159">
        <v>15</v>
      </c>
      <c r="F159" t="s">
        <v>598</v>
      </c>
      <c r="G159">
        <v>1</v>
      </c>
      <c r="H159" s="6">
        <v>0.8</v>
      </c>
      <c r="I159">
        <v>1</v>
      </c>
    </row>
    <row r="160" spans="1:9" x14ac:dyDescent="0.2">
      <c r="A160" s="2">
        <v>159</v>
      </c>
      <c r="B160">
        <v>159</v>
      </c>
      <c r="C160">
        <v>14</v>
      </c>
      <c r="D160">
        <f>VLOOKUP(C160,Course!$A$1:$C$229, 2, FALSE)</f>
        <v>0</v>
      </c>
      <c r="E160">
        <v>16</v>
      </c>
      <c r="F160" t="s">
        <v>599</v>
      </c>
      <c r="G160">
        <v>1</v>
      </c>
      <c r="H160" s="6">
        <v>0.8</v>
      </c>
      <c r="I160">
        <v>1</v>
      </c>
    </row>
    <row r="161" spans="1:9" x14ac:dyDescent="0.2">
      <c r="A161" s="2">
        <v>160</v>
      </c>
      <c r="B161">
        <v>160</v>
      </c>
      <c r="C161">
        <v>14</v>
      </c>
      <c r="D161">
        <f>VLOOKUP(C161,Course!$A$1:$C$229, 2, FALSE)</f>
        <v>0</v>
      </c>
      <c r="E161">
        <v>17</v>
      </c>
      <c r="F161" t="s">
        <v>600</v>
      </c>
      <c r="G161">
        <v>1</v>
      </c>
      <c r="H161" s="6">
        <v>0.8</v>
      </c>
      <c r="I161">
        <v>1</v>
      </c>
    </row>
    <row r="162" spans="1:9" x14ac:dyDescent="0.2">
      <c r="A162" s="2">
        <v>161</v>
      </c>
      <c r="B162">
        <v>161</v>
      </c>
      <c r="C162">
        <v>14</v>
      </c>
      <c r="D162">
        <f>VLOOKUP(C162,Course!$A$1:$C$229, 2, FALSE)</f>
        <v>0</v>
      </c>
      <c r="E162">
        <v>18</v>
      </c>
      <c r="F162" t="s">
        <v>601</v>
      </c>
      <c r="G162">
        <v>1</v>
      </c>
      <c r="H162" s="6">
        <v>0.8</v>
      </c>
      <c r="I162">
        <v>1</v>
      </c>
    </row>
    <row r="163" spans="1:9" x14ac:dyDescent="0.2">
      <c r="A163" s="2">
        <v>162</v>
      </c>
      <c r="B163">
        <v>162</v>
      </c>
      <c r="C163">
        <v>14</v>
      </c>
      <c r="D163">
        <f>VLOOKUP(C163,Course!$A$1:$C$229, 2, FALSE)</f>
        <v>0</v>
      </c>
      <c r="E163">
        <v>19</v>
      </c>
      <c r="F163" t="s">
        <v>602</v>
      </c>
      <c r="G163">
        <v>1</v>
      </c>
      <c r="H163" s="6">
        <v>0.8</v>
      </c>
      <c r="I163">
        <v>1</v>
      </c>
    </row>
    <row r="164" spans="1:9" x14ac:dyDescent="0.2">
      <c r="A164" s="2">
        <v>163</v>
      </c>
      <c r="B164">
        <v>163</v>
      </c>
      <c r="C164">
        <v>14</v>
      </c>
      <c r="D164">
        <f>VLOOKUP(C164,Course!$A$1:$C$229, 2, FALSE)</f>
        <v>0</v>
      </c>
      <c r="E164">
        <v>20</v>
      </c>
      <c r="F164" t="s">
        <v>603</v>
      </c>
      <c r="G164">
        <v>1</v>
      </c>
      <c r="H164" s="6">
        <v>0.8</v>
      </c>
      <c r="I164">
        <v>1</v>
      </c>
    </row>
    <row r="165" spans="1:9" x14ac:dyDescent="0.2">
      <c r="A165" s="2">
        <v>164</v>
      </c>
      <c r="B165">
        <v>164</v>
      </c>
      <c r="C165">
        <v>14</v>
      </c>
      <c r="D165">
        <f>VLOOKUP(C165,Course!$A$1:$C$229, 2, FALSE)</f>
        <v>0</v>
      </c>
      <c r="E165">
        <v>21</v>
      </c>
      <c r="F165" t="s">
        <v>604</v>
      </c>
      <c r="G165">
        <v>1</v>
      </c>
      <c r="H165" s="6">
        <v>0.8</v>
      </c>
      <c r="I165">
        <v>1</v>
      </c>
    </row>
    <row r="166" spans="1:9" x14ac:dyDescent="0.2">
      <c r="A166" s="2">
        <v>165</v>
      </c>
      <c r="B166">
        <v>165</v>
      </c>
      <c r="C166">
        <v>14</v>
      </c>
      <c r="D166">
        <f>VLOOKUP(C166,Course!$A$1:$C$229, 2, FALSE)</f>
        <v>0</v>
      </c>
      <c r="E166">
        <v>22</v>
      </c>
      <c r="F166" t="s">
        <v>605</v>
      </c>
      <c r="G166">
        <v>1</v>
      </c>
      <c r="H166" s="6">
        <v>0.8</v>
      </c>
      <c r="I166">
        <v>1</v>
      </c>
    </row>
    <row r="167" spans="1:9" x14ac:dyDescent="0.2">
      <c r="A167" s="2">
        <v>166</v>
      </c>
      <c r="B167">
        <v>166</v>
      </c>
      <c r="C167">
        <v>14</v>
      </c>
      <c r="D167">
        <f>VLOOKUP(C167,Course!$A$1:$C$229, 2, FALSE)</f>
        <v>0</v>
      </c>
      <c r="E167">
        <v>23</v>
      </c>
      <c r="F167" t="s">
        <v>606</v>
      </c>
      <c r="G167">
        <v>1</v>
      </c>
      <c r="H167" s="6">
        <v>0.8</v>
      </c>
      <c r="I167">
        <v>1</v>
      </c>
    </row>
    <row r="168" spans="1:9" x14ac:dyDescent="0.2">
      <c r="A168" s="2">
        <v>167</v>
      </c>
      <c r="B168">
        <v>167</v>
      </c>
      <c r="C168">
        <v>14</v>
      </c>
      <c r="D168">
        <f>VLOOKUP(C168,Course!$A$1:$C$229, 2, FALSE)</f>
        <v>0</v>
      </c>
      <c r="E168">
        <v>24</v>
      </c>
      <c r="F168" t="s">
        <v>607</v>
      </c>
      <c r="G168">
        <v>1</v>
      </c>
      <c r="H168" s="6">
        <v>0.8</v>
      </c>
      <c r="I168">
        <v>1</v>
      </c>
    </row>
    <row r="169" spans="1:9" x14ac:dyDescent="0.2">
      <c r="A169" s="2">
        <v>168</v>
      </c>
      <c r="B169">
        <v>168</v>
      </c>
      <c r="C169">
        <v>15</v>
      </c>
      <c r="D169">
        <f>VLOOKUP(C169,Course!$A$1:$C$229, 2, FALSE)</f>
        <v>0</v>
      </c>
      <c r="E169">
        <v>13</v>
      </c>
      <c r="F169" t="s">
        <v>608</v>
      </c>
      <c r="G169">
        <v>1</v>
      </c>
      <c r="H169" s="6">
        <v>0.8</v>
      </c>
      <c r="I169">
        <v>1</v>
      </c>
    </row>
    <row r="170" spans="1:9" x14ac:dyDescent="0.2">
      <c r="A170" s="2">
        <v>169</v>
      </c>
      <c r="B170">
        <v>169</v>
      </c>
      <c r="C170">
        <v>15</v>
      </c>
      <c r="D170">
        <f>VLOOKUP(C170,Course!$A$1:$C$229, 2, FALSE)</f>
        <v>0</v>
      </c>
      <c r="E170">
        <v>14</v>
      </c>
      <c r="F170" t="s">
        <v>609</v>
      </c>
      <c r="G170">
        <v>1</v>
      </c>
      <c r="H170" s="6">
        <v>0.8</v>
      </c>
      <c r="I170">
        <v>1</v>
      </c>
    </row>
    <row r="171" spans="1:9" x14ac:dyDescent="0.2">
      <c r="A171" s="2">
        <v>170</v>
      </c>
      <c r="B171">
        <v>170</v>
      </c>
      <c r="C171">
        <v>15</v>
      </c>
      <c r="D171">
        <f>VLOOKUP(C171,Course!$A$1:$C$229, 2, FALSE)</f>
        <v>0</v>
      </c>
      <c r="E171">
        <v>15</v>
      </c>
      <c r="F171" t="s">
        <v>610</v>
      </c>
      <c r="G171">
        <v>1</v>
      </c>
      <c r="H171" s="6">
        <v>0.8</v>
      </c>
      <c r="I171">
        <v>1</v>
      </c>
    </row>
    <row r="172" spans="1:9" x14ac:dyDescent="0.2">
      <c r="A172" s="2">
        <v>171</v>
      </c>
      <c r="B172">
        <v>171</v>
      </c>
      <c r="C172">
        <v>15</v>
      </c>
      <c r="D172">
        <f>VLOOKUP(C172,Course!$A$1:$C$229, 2, FALSE)</f>
        <v>0</v>
      </c>
      <c r="E172">
        <v>16</v>
      </c>
      <c r="F172" t="s">
        <v>611</v>
      </c>
      <c r="G172">
        <v>1</v>
      </c>
      <c r="H172" s="6">
        <v>0.8</v>
      </c>
      <c r="I172">
        <v>1</v>
      </c>
    </row>
    <row r="173" spans="1:9" x14ac:dyDescent="0.2">
      <c r="A173" s="2">
        <v>172</v>
      </c>
      <c r="B173">
        <v>172</v>
      </c>
      <c r="C173">
        <v>15</v>
      </c>
      <c r="D173">
        <f>VLOOKUP(C173,Course!$A$1:$C$229, 2, FALSE)</f>
        <v>0</v>
      </c>
      <c r="E173">
        <v>17</v>
      </c>
      <c r="F173" t="s">
        <v>612</v>
      </c>
      <c r="G173">
        <v>1</v>
      </c>
      <c r="H173" s="6">
        <v>0.8</v>
      </c>
      <c r="I173">
        <v>1</v>
      </c>
    </row>
    <row r="174" spans="1:9" x14ac:dyDescent="0.2">
      <c r="A174" s="2">
        <v>173</v>
      </c>
      <c r="B174">
        <v>173</v>
      </c>
      <c r="C174">
        <v>15</v>
      </c>
      <c r="D174">
        <f>VLOOKUP(C174,Course!$A$1:$C$229, 2, FALSE)</f>
        <v>0</v>
      </c>
      <c r="E174">
        <v>18</v>
      </c>
      <c r="F174" t="s">
        <v>613</v>
      </c>
      <c r="G174">
        <v>1</v>
      </c>
      <c r="H174" s="6">
        <v>0.8</v>
      </c>
      <c r="I174">
        <v>1</v>
      </c>
    </row>
    <row r="175" spans="1:9" x14ac:dyDescent="0.2">
      <c r="A175" s="2">
        <v>174</v>
      </c>
      <c r="B175">
        <v>174</v>
      </c>
      <c r="C175">
        <v>15</v>
      </c>
      <c r="D175">
        <f>VLOOKUP(C175,Course!$A$1:$C$229, 2, FALSE)</f>
        <v>0</v>
      </c>
      <c r="E175">
        <v>19</v>
      </c>
      <c r="F175" t="s">
        <v>614</v>
      </c>
      <c r="G175">
        <v>1</v>
      </c>
      <c r="H175" s="6">
        <v>0.8</v>
      </c>
      <c r="I175">
        <v>1</v>
      </c>
    </row>
    <row r="176" spans="1:9" x14ac:dyDescent="0.2">
      <c r="A176" s="2">
        <v>175</v>
      </c>
      <c r="B176">
        <v>175</v>
      </c>
      <c r="C176">
        <v>15</v>
      </c>
      <c r="D176">
        <f>VLOOKUP(C176,Course!$A$1:$C$229, 2, FALSE)</f>
        <v>0</v>
      </c>
      <c r="E176">
        <v>20</v>
      </c>
      <c r="F176" t="s">
        <v>615</v>
      </c>
      <c r="G176">
        <v>1</v>
      </c>
      <c r="H176" s="6">
        <v>0.8</v>
      </c>
      <c r="I176">
        <v>1</v>
      </c>
    </row>
    <row r="177" spans="1:9" x14ac:dyDescent="0.2">
      <c r="A177" s="2">
        <v>176</v>
      </c>
      <c r="B177">
        <v>176</v>
      </c>
      <c r="C177">
        <v>15</v>
      </c>
      <c r="D177">
        <f>VLOOKUP(C177,Course!$A$1:$C$229, 2, FALSE)</f>
        <v>0</v>
      </c>
      <c r="E177">
        <v>21</v>
      </c>
      <c r="F177" t="s">
        <v>616</v>
      </c>
      <c r="G177">
        <v>1</v>
      </c>
      <c r="H177" s="6">
        <v>0.8</v>
      </c>
      <c r="I177">
        <v>1</v>
      </c>
    </row>
    <row r="178" spans="1:9" x14ac:dyDescent="0.2">
      <c r="A178" s="2">
        <v>177</v>
      </c>
      <c r="B178">
        <v>177</v>
      </c>
      <c r="C178">
        <v>15</v>
      </c>
      <c r="D178">
        <f>VLOOKUP(C178,Course!$A$1:$C$229, 2, FALSE)</f>
        <v>0</v>
      </c>
      <c r="E178">
        <v>22</v>
      </c>
      <c r="F178" t="s">
        <v>617</v>
      </c>
      <c r="G178">
        <v>1</v>
      </c>
      <c r="H178" s="6">
        <v>0.8</v>
      </c>
      <c r="I178">
        <v>1</v>
      </c>
    </row>
    <row r="179" spans="1:9" x14ac:dyDescent="0.2">
      <c r="A179" s="2">
        <v>178</v>
      </c>
      <c r="B179">
        <v>178</v>
      </c>
      <c r="C179">
        <v>15</v>
      </c>
      <c r="D179">
        <f>VLOOKUP(C179,Course!$A$1:$C$229, 2, FALSE)</f>
        <v>0</v>
      </c>
      <c r="E179">
        <v>23</v>
      </c>
      <c r="F179" t="s">
        <v>618</v>
      </c>
      <c r="G179">
        <v>1</v>
      </c>
      <c r="H179" s="6">
        <v>0.8</v>
      </c>
      <c r="I179">
        <v>1</v>
      </c>
    </row>
    <row r="180" spans="1:9" x14ac:dyDescent="0.2">
      <c r="A180" s="2">
        <v>179</v>
      </c>
      <c r="B180">
        <v>179</v>
      </c>
      <c r="C180">
        <v>15</v>
      </c>
      <c r="D180">
        <f>VLOOKUP(C180,Course!$A$1:$C$229, 2, FALSE)</f>
        <v>0</v>
      </c>
      <c r="E180">
        <v>24</v>
      </c>
      <c r="F180" t="s">
        <v>619</v>
      </c>
      <c r="G180">
        <v>1</v>
      </c>
      <c r="H180" s="6">
        <v>0.8</v>
      </c>
      <c r="I180">
        <v>1</v>
      </c>
    </row>
    <row r="181" spans="1:9" x14ac:dyDescent="0.2">
      <c r="A181" s="2">
        <v>180</v>
      </c>
      <c r="B181">
        <v>180</v>
      </c>
      <c r="C181">
        <v>16</v>
      </c>
      <c r="D181">
        <f>VLOOKUP(C181,Course!$A$1:$C$229, 2, FALSE)</f>
        <v>0</v>
      </c>
      <c r="E181">
        <v>25</v>
      </c>
      <c r="F181" t="s">
        <v>620</v>
      </c>
      <c r="G181">
        <v>1</v>
      </c>
      <c r="H181" s="6">
        <v>0.8</v>
      </c>
      <c r="I181">
        <v>1</v>
      </c>
    </row>
    <row r="182" spans="1:9" x14ac:dyDescent="0.2">
      <c r="A182" s="2">
        <v>181</v>
      </c>
      <c r="B182">
        <v>181</v>
      </c>
      <c r="C182">
        <v>16</v>
      </c>
      <c r="D182">
        <f>VLOOKUP(C182,Course!$A$1:$C$229, 2, FALSE)</f>
        <v>0</v>
      </c>
      <c r="E182">
        <v>26</v>
      </c>
      <c r="F182" t="s">
        <v>621</v>
      </c>
      <c r="G182">
        <v>1</v>
      </c>
      <c r="H182" s="6">
        <v>0.8</v>
      </c>
      <c r="I182">
        <v>1</v>
      </c>
    </row>
    <row r="183" spans="1:9" x14ac:dyDescent="0.2">
      <c r="A183" s="2">
        <v>182</v>
      </c>
      <c r="B183">
        <v>182</v>
      </c>
      <c r="C183">
        <v>16</v>
      </c>
      <c r="D183">
        <f>VLOOKUP(C183,Course!$A$1:$C$229, 2, FALSE)</f>
        <v>0</v>
      </c>
      <c r="E183">
        <v>27</v>
      </c>
      <c r="F183" t="s">
        <v>622</v>
      </c>
      <c r="G183">
        <v>1</v>
      </c>
      <c r="H183" s="6">
        <v>0.8</v>
      </c>
      <c r="I183">
        <v>1</v>
      </c>
    </row>
    <row r="184" spans="1:9" x14ac:dyDescent="0.2">
      <c r="A184" s="2">
        <v>183</v>
      </c>
      <c r="B184">
        <v>183</v>
      </c>
      <c r="C184">
        <v>16</v>
      </c>
      <c r="D184">
        <f>VLOOKUP(C184,Course!$A$1:$C$229, 2, FALSE)</f>
        <v>0</v>
      </c>
      <c r="E184">
        <v>28</v>
      </c>
      <c r="F184" t="s">
        <v>623</v>
      </c>
      <c r="G184">
        <v>1</v>
      </c>
      <c r="H184" s="6">
        <v>0.8</v>
      </c>
      <c r="I184">
        <v>1</v>
      </c>
    </row>
    <row r="185" spans="1:9" x14ac:dyDescent="0.2">
      <c r="A185" s="2">
        <v>184</v>
      </c>
      <c r="B185">
        <v>184</v>
      </c>
      <c r="C185">
        <v>16</v>
      </c>
      <c r="D185">
        <f>VLOOKUP(C185,Course!$A$1:$C$229, 2, FALSE)</f>
        <v>0</v>
      </c>
      <c r="E185">
        <v>29</v>
      </c>
      <c r="F185" t="s">
        <v>624</v>
      </c>
      <c r="G185">
        <v>1</v>
      </c>
      <c r="H185" s="6">
        <v>0.8</v>
      </c>
      <c r="I185">
        <v>1</v>
      </c>
    </row>
    <row r="186" spans="1:9" x14ac:dyDescent="0.2">
      <c r="A186" s="2">
        <v>185</v>
      </c>
      <c r="B186">
        <v>185</v>
      </c>
      <c r="C186">
        <v>16</v>
      </c>
      <c r="D186">
        <f>VLOOKUP(C186,Course!$A$1:$C$229, 2, FALSE)</f>
        <v>0</v>
      </c>
      <c r="E186">
        <v>30</v>
      </c>
      <c r="F186" t="s">
        <v>625</v>
      </c>
      <c r="G186">
        <v>1</v>
      </c>
      <c r="H186" s="6">
        <v>0.8</v>
      </c>
      <c r="I186">
        <v>1</v>
      </c>
    </row>
    <row r="187" spans="1:9" x14ac:dyDescent="0.2">
      <c r="A187" s="2">
        <v>186</v>
      </c>
      <c r="B187">
        <v>186</v>
      </c>
      <c r="C187">
        <v>16</v>
      </c>
      <c r="D187">
        <f>VLOOKUP(C187,Course!$A$1:$C$229, 2, FALSE)</f>
        <v>0</v>
      </c>
      <c r="E187">
        <v>31</v>
      </c>
      <c r="F187" t="s">
        <v>626</v>
      </c>
      <c r="G187">
        <v>1</v>
      </c>
      <c r="H187" s="6">
        <v>0.8</v>
      </c>
      <c r="I187">
        <v>1</v>
      </c>
    </row>
    <row r="188" spans="1:9" x14ac:dyDescent="0.2">
      <c r="A188" s="2">
        <v>187</v>
      </c>
      <c r="B188">
        <v>187</v>
      </c>
      <c r="C188">
        <v>16</v>
      </c>
      <c r="D188">
        <f>VLOOKUP(C188,Course!$A$1:$C$229, 2, FALSE)</f>
        <v>0</v>
      </c>
      <c r="E188">
        <v>32</v>
      </c>
      <c r="F188" t="s">
        <v>627</v>
      </c>
      <c r="G188">
        <v>1</v>
      </c>
      <c r="H188" s="6">
        <v>0.8</v>
      </c>
      <c r="I188">
        <v>1</v>
      </c>
    </row>
    <row r="189" spans="1:9" x14ac:dyDescent="0.2">
      <c r="A189" s="2">
        <v>188</v>
      </c>
      <c r="B189">
        <v>188</v>
      </c>
      <c r="C189">
        <v>16</v>
      </c>
      <c r="D189">
        <f>VLOOKUP(C189,Course!$A$1:$C$229, 2, FALSE)</f>
        <v>0</v>
      </c>
      <c r="E189">
        <v>33</v>
      </c>
      <c r="F189" t="s">
        <v>628</v>
      </c>
      <c r="G189">
        <v>1</v>
      </c>
      <c r="H189" s="6">
        <v>0.8</v>
      </c>
      <c r="I189">
        <v>1</v>
      </c>
    </row>
    <row r="190" spans="1:9" x14ac:dyDescent="0.2">
      <c r="A190" s="2">
        <v>189</v>
      </c>
      <c r="B190">
        <v>189</v>
      </c>
      <c r="C190">
        <v>16</v>
      </c>
      <c r="D190">
        <f>VLOOKUP(C190,Course!$A$1:$C$229, 2, FALSE)</f>
        <v>0</v>
      </c>
      <c r="E190">
        <v>34</v>
      </c>
      <c r="F190" t="s">
        <v>629</v>
      </c>
      <c r="G190">
        <v>1</v>
      </c>
      <c r="H190" s="6">
        <v>0.8</v>
      </c>
      <c r="I190">
        <v>1</v>
      </c>
    </row>
    <row r="191" spans="1:9" x14ac:dyDescent="0.2">
      <c r="A191" s="2">
        <v>190</v>
      </c>
      <c r="B191">
        <v>190</v>
      </c>
      <c r="C191">
        <v>16</v>
      </c>
      <c r="D191">
        <f>VLOOKUP(C191,Course!$A$1:$C$229, 2, FALSE)</f>
        <v>0</v>
      </c>
      <c r="E191">
        <v>35</v>
      </c>
      <c r="F191" t="s">
        <v>630</v>
      </c>
      <c r="G191">
        <v>1</v>
      </c>
      <c r="H191" s="6">
        <v>0.8</v>
      </c>
      <c r="I191">
        <v>1</v>
      </c>
    </row>
    <row r="192" spans="1:9" x14ac:dyDescent="0.2">
      <c r="A192" s="2">
        <v>191</v>
      </c>
      <c r="B192">
        <v>191</v>
      </c>
      <c r="C192">
        <v>16</v>
      </c>
      <c r="D192">
        <f>VLOOKUP(C192,Course!$A$1:$C$229, 2, FALSE)</f>
        <v>0</v>
      </c>
      <c r="E192">
        <v>36</v>
      </c>
      <c r="F192" t="s">
        <v>631</v>
      </c>
      <c r="G192">
        <v>1</v>
      </c>
      <c r="H192" s="6">
        <v>0.8</v>
      </c>
      <c r="I192">
        <v>1</v>
      </c>
    </row>
    <row r="193" spans="1:9" x14ac:dyDescent="0.2">
      <c r="A193" s="2">
        <v>192</v>
      </c>
      <c r="B193">
        <v>192</v>
      </c>
      <c r="C193">
        <v>17</v>
      </c>
      <c r="D193">
        <f>VLOOKUP(C193,Course!$A$1:$C$229, 2, FALSE)</f>
        <v>0</v>
      </c>
      <c r="E193">
        <v>25</v>
      </c>
      <c r="F193" t="s">
        <v>632</v>
      </c>
      <c r="G193">
        <v>1</v>
      </c>
      <c r="H193" s="6">
        <v>0.8</v>
      </c>
      <c r="I193">
        <v>1</v>
      </c>
    </row>
    <row r="194" spans="1:9" x14ac:dyDescent="0.2">
      <c r="A194" s="2">
        <v>193</v>
      </c>
      <c r="B194">
        <v>193</v>
      </c>
      <c r="C194">
        <v>17</v>
      </c>
      <c r="D194">
        <f>VLOOKUP(C194,Course!$A$1:$C$229, 2, FALSE)</f>
        <v>0</v>
      </c>
      <c r="E194">
        <v>26</v>
      </c>
      <c r="F194" t="s">
        <v>633</v>
      </c>
      <c r="G194">
        <v>1</v>
      </c>
      <c r="H194" s="6">
        <v>0.8</v>
      </c>
      <c r="I194">
        <v>1</v>
      </c>
    </row>
    <row r="195" spans="1:9" x14ac:dyDescent="0.2">
      <c r="A195" s="2">
        <v>194</v>
      </c>
      <c r="B195">
        <v>194</v>
      </c>
      <c r="C195">
        <v>17</v>
      </c>
      <c r="D195">
        <f>VLOOKUP(C195,Course!$A$1:$C$229, 2, FALSE)</f>
        <v>0</v>
      </c>
      <c r="E195">
        <v>27</v>
      </c>
      <c r="F195" t="s">
        <v>634</v>
      </c>
      <c r="G195">
        <v>1</v>
      </c>
      <c r="H195" s="6">
        <v>0.8</v>
      </c>
      <c r="I195">
        <v>1</v>
      </c>
    </row>
    <row r="196" spans="1:9" x14ac:dyDescent="0.2">
      <c r="A196" s="2">
        <v>195</v>
      </c>
      <c r="B196">
        <v>195</v>
      </c>
      <c r="C196">
        <v>17</v>
      </c>
      <c r="D196">
        <f>VLOOKUP(C196,Course!$A$1:$C$229, 2, FALSE)</f>
        <v>0</v>
      </c>
      <c r="E196">
        <v>28</v>
      </c>
      <c r="F196" t="s">
        <v>635</v>
      </c>
      <c r="G196">
        <v>1</v>
      </c>
      <c r="H196" s="6">
        <v>0.8</v>
      </c>
      <c r="I196">
        <v>1</v>
      </c>
    </row>
    <row r="197" spans="1:9" x14ac:dyDescent="0.2">
      <c r="A197" s="2">
        <v>196</v>
      </c>
      <c r="B197">
        <v>196</v>
      </c>
      <c r="C197">
        <v>17</v>
      </c>
      <c r="D197">
        <f>VLOOKUP(C197,Course!$A$1:$C$229, 2, FALSE)</f>
        <v>0</v>
      </c>
      <c r="E197">
        <v>29</v>
      </c>
      <c r="F197" t="s">
        <v>636</v>
      </c>
      <c r="G197">
        <v>1</v>
      </c>
      <c r="H197" s="6">
        <v>0.8</v>
      </c>
      <c r="I197">
        <v>1</v>
      </c>
    </row>
    <row r="198" spans="1:9" x14ac:dyDescent="0.2">
      <c r="A198" s="2">
        <v>197</v>
      </c>
      <c r="B198">
        <v>197</v>
      </c>
      <c r="C198">
        <v>17</v>
      </c>
      <c r="D198">
        <f>VLOOKUP(C198,Course!$A$1:$C$229, 2, FALSE)</f>
        <v>0</v>
      </c>
      <c r="E198">
        <v>30</v>
      </c>
      <c r="F198" t="s">
        <v>637</v>
      </c>
      <c r="G198">
        <v>1</v>
      </c>
      <c r="H198" s="6">
        <v>0.8</v>
      </c>
      <c r="I198">
        <v>1</v>
      </c>
    </row>
    <row r="199" spans="1:9" x14ac:dyDescent="0.2">
      <c r="A199" s="2">
        <v>198</v>
      </c>
      <c r="B199">
        <v>198</v>
      </c>
      <c r="C199">
        <v>17</v>
      </c>
      <c r="D199">
        <f>VLOOKUP(C199,Course!$A$1:$C$229, 2, FALSE)</f>
        <v>0</v>
      </c>
      <c r="E199">
        <v>31</v>
      </c>
      <c r="F199" t="s">
        <v>638</v>
      </c>
      <c r="G199">
        <v>1</v>
      </c>
      <c r="H199" s="6">
        <v>0.8</v>
      </c>
      <c r="I199">
        <v>1</v>
      </c>
    </row>
    <row r="200" spans="1:9" x14ac:dyDescent="0.2">
      <c r="A200" s="2">
        <v>199</v>
      </c>
      <c r="B200">
        <v>199</v>
      </c>
      <c r="C200">
        <v>17</v>
      </c>
      <c r="D200">
        <f>VLOOKUP(C200,Course!$A$1:$C$229, 2, FALSE)</f>
        <v>0</v>
      </c>
      <c r="E200">
        <v>32</v>
      </c>
      <c r="F200" t="s">
        <v>639</v>
      </c>
      <c r="G200">
        <v>1</v>
      </c>
      <c r="H200" s="6">
        <v>0.8</v>
      </c>
      <c r="I200">
        <v>1</v>
      </c>
    </row>
    <row r="201" spans="1:9" x14ac:dyDescent="0.2">
      <c r="A201" s="2">
        <v>200</v>
      </c>
      <c r="B201">
        <v>200</v>
      </c>
      <c r="C201">
        <v>17</v>
      </c>
      <c r="D201">
        <f>VLOOKUP(C201,Course!$A$1:$C$229, 2, FALSE)</f>
        <v>0</v>
      </c>
      <c r="E201">
        <v>33</v>
      </c>
      <c r="F201" t="s">
        <v>640</v>
      </c>
      <c r="G201">
        <v>1</v>
      </c>
      <c r="H201" s="6">
        <v>0.8</v>
      </c>
      <c r="I201">
        <v>1</v>
      </c>
    </row>
    <row r="202" spans="1:9" x14ac:dyDescent="0.2">
      <c r="A202" s="2">
        <v>201</v>
      </c>
      <c r="B202">
        <v>201</v>
      </c>
      <c r="C202">
        <v>17</v>
      </c>
      <c r="D202">
        <f>VLOOKUP(C202,Course!$A$1:$C$229, 2, FALSE)</f>
        <v>0</v>
      </c>
      <c r="E202">
        <v>34</v>
      </c>
      <c r="F202" t="s">
        <v>641</v>
      </c>
      <c r="G202">
        <v>1</v>
      </c>
      <c r="H202" s="6">
        <v>0.8</v>
      </c>
      <c r="I202">
        <v>1</v>
      </c>
    </row>
    <row r="203" spans="1:9" x14ac:dyDescent="0.2">
      <c r="A203" s="2">
        <v>202</v>
      </c>
      <c r="B203">
        <v>202</v>
      </c>
      <c r="C203">
        <v>17</v>
      </c>
      <c r="D203">
        <f>VLOOKUP(C203,Course!$A$1:$C$229, 2, FALSE)</f>
        <v>0</v>
      </c>
      <c r="E203">
        <v>35</v>
      </c>
      <c r="F203" t="s">
        <v>642</v>
      </c>
      <c r="G203">
        <v>1</v>
      </c>
      <c r="H203" s="6">
        <v>0.8</v>
      </c>
      <c r="I203">
        <v>1</v>
      </c>
    </row>
    <row r="204" spans="1:9" x14ac:dyDescent="0.2">
      <c r="A204" s="2">
        <v>203</v>
      </c>
      <c r="B204">
        <v>203</v>
      </c>
      <c r="C204">
        <v>17</v>
      </c>
      <c r="D204">
        <f>VLOOKUP(C204,Course!$A$1:$C$229, 2, FALSE)</f>
        <v>0</v>
      </c>
      <c r="E204">
        <v>36</v>
      </c>
      <c r="F204" t="s">
        <v>643</v>
      </c>
      <c r="G204">
        <v>1</v>
      </c>
      <c r="H204" s="6">
        <v>0.8</v>
      </c>
      <c r="I204">
        <v>1</v>
      </c>
    </row>
    <row r="205" spans="1:9" x14ac:dyDescent="0.2">
      <c r="A205" s="2">
        <v>204</v>
      </c>
      <c r="B205">
        <v>204</v>
      </c>
      <c r="C205">
        <v>18</v>
      </c>
      <c r="D205">
        <f>VLOOKUP(C205,Course!$A$1:$C$229, 2, FALSE)</f>
        <v>0</v>
      </c>
      <c r="E205">
        <v>25</v>
      </c>
      <c r="F205" t="s">
        <v>644</v>
      </c>
      <c r="G205">
        <v>1</v>
      </c>
      <c r="H205" s="6">
        <v>0.9</v>
      </c>
      <c r="I205">
        <v>1</v>
      </c>
    </row>
    <row r="206" spans="1:9" x14ac:dyDescent="0.2">
      <c r="A206" s="2">
        <v>205</v>
      </c>
      <c r="B206">
        <v>205</v>
      </c>
      <c r="C206">
        <v>18</v>
      </c>
      <c r="D206">
        <f>VLOOKUP(C206,Course!$A$1:$C$229, 2, FALSE)</f>
        <v>0</v>
      </c>
      <c r="E206">
        <v>26</v>
      </c>
      <c r="F206" t="s">
        <v>645</v>
      </c>
      <c r="G206">
        <v>1</v>
      </c>
      <c r="H206" s="6">
        <v>0.9</v>
      </c>
      <c r="I206">
        <v>1</v>
      </c>
    </row>
    <row r="207" spans="1:9" x14ac:dyDescent="0.2">
      <c r="A207" s="2">
        <v>206</v>
      </c>
      <c r="B207">
        <v>206</v>
      </c>
      <c r="C207">
        <v>18</v>
      </c>
      <c r="D207">
        <f>VLOOKUP(C207,Course!$A$1:$C$229, 2, FALSE)</f>
        <v>0</v>
      </c>
      <c r="E207">
        <v>27</v>
      </c>
      <c r="F207" t="s">
        <v>646</v>
      </c>
      <c r="G207">
        <v>1</v>
      </c>
      <c r="H207" s="6">
        <v>0.9</v>
      </c>
      <c r="I207">
        <v>1</v>
      </c>
    </row>
    <row r="208" spans="1:9" x14ac:dyDescent="0.2">
      <c r="A208" s="2">
        <v>207</v>
      </c>
      <c r="B208">
        <v>207</v>
      </c>
      <c r="C208">
        <v>18</v>
      </c>
      <c r="D208">
        <f>VLOOKUP(C208,Course!$A$1:$C$229, 2, FALSE)</f>
        <v>0</v>
      </c>
      <c r="E208">
        <v>28</v>
      </c>
      <c r="F208" t="s">
        <v>647</v>
      </c>
      <c r="G208">
        <v>1</v>
      </c>
      <c r="H208" s="6">
        <v>0.9</v>
      </c>
      <c r="I208">
        <v>1</v>
      </c>
    </row>
    <row r="209" spans="1:9" x14ac:dyDescent="0.2">
      <c r="A209" s="2">
        <v>208</v>
      </c>
      <c r="B209">
        <v>208</v>
      </c>
      <c r="C209">
        <v>18</v>
      </c>
      <c r="D209">
        <f>VLOOKUP(C209,Course!$A$1:$C$229, 2, FALSE)</f>
        <v>0</v>
      </c>
      <c r="E209">
        <v>29</v>
      </c>
      <c r="F209" t="s">
        <v>648</v>
      </c>
      <c r="G209">
        <v>1</v>
      </c>
      <c r="H209" s="6">
        <v>0.9</v>
      </c>
      <c r="I209">
        <v>1</v>
      </c>
    </row>
    <row r="210" spans="1:9" x14ac:dyDescent="0.2">
      <c r="A210" s="2">
        <v>209</v>
      </c>
      <c r="B210">
        <v>209</v>
      </c>
      <c r="C210">
        <v>18</v>
      </c>
      <c r="D210">
        <f>VLOOKUP(C210,Course!$A$1:$C$229, 2, FALSE)</f>
        <v>0</v>
      </c>
      <c r="E210">
        <v>30</v>
      </c>
      <c r="F210" t="s">
        <v>649</v>
      </c>
      <c r="G210">
        <v>1</v>
      </c>
      <c r="H210" s="6">
        <v>0.9</v>
      </c>
      <c r="I210">
        <v>1</v>
      </c>
    </row>
    <row r="211" spans="1:9" x14ac:dyDescent="0.2">
      <c r="A211" s="2">
        <v>210</v>
      </c>
      <c r="B211">
        <v>210</v>
      </c>
      <c r="C211">
        <v>18</v>
      </c>
      <c r="D211">
        <f>VLOOKUP(C211,Course!$A$1:$C$229, 2, FALSE)</f>
        <v>0</v>
      </c>
      <c r="E211">
        <v>31</v>
      </c>
      <c r="F211" t="s">
        <v>650</v>
      </c>
      <c r="G211">
        <v>1</v>
      </c>
      <c r="H211" s="6">
        <v>0.9</v>
      </c>
      <c r="I211">
        <v>1</v>
      </c>
    </row>
    <row r="212" spans="1:9" x14ac:dyDescent="0.2">
      <c r="A212" s="2">
        <v>211</v>
      </c>
      <c r="B212">
        <v>211</v>
      </c>
      <c r="C212">
        <v>18</v>
      </c>
      <c r="D212">
        <f>VLOOKUP(C212,Course!$A$1:$C$229, 2, FALSE)</f>
        <v>0</v>
      </c>
      <c r="E212">
        <v>32</v>
      </c>
      <c r="F212" t="s">
        <v>651</v>
      </c>
      <c r="G212">
        <v>1</v>
      </c>
      <c r="H212" s="6">
        <v>0.9</v>
      </c>
      <c r="I212">
        <v>1</v>
      </c>
    </row>
    <row r="213" spans="1:9" x14ac:dyDescent="0.2">
      <c r="A213" s="2">
        <v>212</v>
      </c>
      <c r="B213">
        <v>212</v>
      </c>
      <c r="C213">
        <v>18</v>
      </c>
      <c r="D213">
        <f>VLOOKUP(C213,Course!$A$1:$C$229, 2, FALSE)</f>
        <v>0</v>
      </c>
      <c r="E213">
        <v>33</v>
      </c>
      <c r="F213" t="s">
        <v>652</v>
      </c>
      <c r="G213">
        <v>1</v>
      </c>
      <c r="H213" s="6">
        <v>0.9</v>
      </c>
      <c r="I213">
        <v>1</v>
      </c>
    </row>
    <row r="214" spans="1:9" x14ac:dyDescent="0.2">
      <c r="A214" s="2">
        <v>213</v>
      </c>
      <c r="B214">
        <v>213</v>
      </c>
      <c r="C214">
        <v>18</v>
      </c>
      <c r="D214">
        <f>VLOOKUP(C214,Course!$A$1:$C$229, 2, FALSE)</f>
        <v>0</v>
      </c>
      <c r="E214">
        <v>34</v>
      </c>
      <c r="F214" t="s">
        <v>653</v>
      </c>
      <c r="G214">
        <v>1</v>
      </c>
      <c r="H214" s="6">
        <v>0.9</v>
      </c>
      <c r="I214">
        <v>1</v>
      </c>
    </row>
    <row r="215" spans="1:9" x14ac:dyDescent="0.2">
      <c r="A215" s="2">
        <v>214</v>
      </c>
      <c r="B215">
        <v>214</v>
      </c>
      <c r="C215">
        <v>18</v>
      </c>
      <c r="D215">
        <f>VLOOKUP(C215,Course!$A$1:$C$229, 2, FALSE)</f>
        <v>0</v>
      </c>
      <c r="E215">
        <v>35</v>
      </c>
      <c r="F215" t="s">
        <v>654</v>
      </c>
      <c r="G215">
        <v>1</v>
      </c>
      <c r="H215" s="6">
        <v>0.9</v>
      </c>
      <c r="I215">
        <v>1</v>
      </c>
    </row>
    <row r="216" spans="1:9" x14ac:dyDescent="0.2">
      <c r="A216" s="2">
        <v>215</v>
      </c>
      <c r="B216">
        <v>215</v>
      </c>
      <c r="C216">
        <v>18</v>
      </c>
      <c r="D216">
        <f>VLOOKUP(C216,Course!$A$1:$C$229, 2, FALSE)</f>
        <v>0</v>
      </c>
      <c r="E216">
        <v>36</v>
      </c>
      <c r="F216" t="s">
        <v>655</v>
      </c>
      <c r="G216">
        <v>1</v>
      </c>
      <c r="H216" s="6">
        <v>0.9</v>
      </c>
      <c r="I216">
        <v>1</v>
      </c>
    </row>
    <row r="217" spans="1:9" x14ac:dyDescent="0.2">
      <c r="A217" s="2">
        <v>216</v>
      </c>
      <c r="B217">
        <v>216</v>
      </c>
      <c r="C217">
        <v>19</v>
      </c>
      <c r="D217">
        <f>VLOOKUP(C217,Course!$A$1:$C$229, 2, FALSE)</f>
        <v>0</v>
      </c>
      <c r="E217">
        <v>25</v>
      </c>
      <c r="F217" t="s">
        <v>656</v>
      </c>
      <c r="G217">
        <v>1</v>
      </c>
      <c r="H217" s="6">
        <v>0.8</v>
      </c>
      <c r="I217">
        <v>1</v>
      </c>
    </row>
    <row r="218" spans="1:9" x14ac:dyDescent="0.2">
      <c r="A218" s="2">
        <v>217</v>
      </c>
      <c r="B218">
        <v>217</v>
      </c>
      <c r="C218">
        <v>19</v>
      </c>
      <c r="D218">
        <f>VLOOKUP(C218,Course!$A$1:$C$229, 2, FALSE)</f>
        <v>0</v>
      </c>
      <c r="E218">
        <v>26</v>
      </c>
      <c r="F218" t="s">
        <v>657</v>
      </c>
      <c r="G218">
        <v>1</v>
      </c>
      <c r="H218" s="6">
        <v>0.8</v>
      </c>
      <c r="I218">
        <v>1</v>
      </c>
    </row>
    <row r="219" spans="1:9" x14ac:dyDescent="0.2">
      <c r="A219" s="2">
        <v>218</v>
      </c>
      <c r="B219">
        <v>218</v>
      </c>
      <c r="C219">
        <v>19</v>
      </c>
      <c r="D219">
        <f>VLOOKUP(C219,Course!$A$1:$C$229, 2, FALSE)</f>
        <v>0</v>
      </c>
      <c r="E219">
        <v>27</v>
      </c>
      <c r="F219" t="s">
        <v>658</v>
      </c>
      <c r="G219">
        <v>1</v>
      </c>
      <c r="H219" s="6">
        <v>0.8</v>
      </c>
      <c r="I219">
        <v>1</v>
      </c>
    </row>
    <row r="220" spans="1:9" x14ac:dyDescent="0.2">
      <c r="A220" s="2">
        <v>219</v>
      </c>
      <c r="B220">
        <v>219</v>
      </c>
      <c r="C220">
        <v>19</v>
      </c>
      <c r="D220">
        <f>VLOOKUP(C220,Course!$A$1:$C$229, 2, FALSE)</f>
        <v>0</v>
      </c>
      <c r="E220">
        <v>28</v>
      </c>
      <c r="F220" t="s">
        <v>659</v>
      </c>
      <c r="G220">
        <v>1</v>
      </c>
      <c r="H220" s="6">
        <v>0.8</v>
      </c>
      <c r="I220">
        <v>1</v>
      </c>
    </row>
    <row r="221" spans="1:9" x14ac:dyDescent="0.2">
      <c r="A221" s="2">
        <v>220</v>
      </c>
      <c r="B221">
        <v>220</v>
      </c>
      <c r="C221">
        <v>19</v>
      </c>
      <c r="D221">
        <f>VLOOKUP(C221,Course!$A$1:$C$229, 2, FALSE)</f>
        <v>0</v>
      </c>
      <c r="E221">
        <v>29</v>
      </c>
      <c r="F221" t="s">
        <v>660</v>
      </c>
      <c r="G221">
        <v>1</v>
      </c>
      <c r="H221" s="6">
        <v>0.8</v>
      </c>
      <c r="I221">
        <v>1</v>
      </c>
    </row>
    <row r="222" spans="1:9" x14ac:dyDescent="0.2">
      <c r="A222" s="2">
        <v>221</v>
      </c>
      <c r="B222">
        <v>221</v>
      </c>
      <c r="C222">
        <v>19</v>
      </c>
      <c r="D222">
        <f>VLOOKUP(C222,Course!$A$1:$C$229, 2, FALSE)</f>
        <v>0</v>
      </c>
      <c r="E222">
        <v>30</v>
      </c>
      <c r="F222" t="s">
        <v>661</v>
      </c>
      <c r="G222">
        <v>1</v>
      </c>
      <c r="H222" s="6">
        <v>0.8</v>
      </c>
      <c r="I222">
        <v>1</v>
      </c>
    </row>
    <row r="223" spans="1:9" x14ac:dyDescent="0.2">
      <c r="A223" s="2">
        <v>222</v>
      </c>
      <c r="B223">
        <v>222</v>
      </c>
      <c r="C223">
        <v>19</v>
      </c>
      <c r="D223">
        <f>VLOOKUP(C223,Course!$A$1:$C$229, 2, FALSE)</f>
        <v>0</v>
      </c>
      <c r="E223">
        <v>31</v>
      </c>
      <c r="F223" t="s">
        <v>662</v>
      </c>
      <c r="G223">
        <v>1</v>
      </c>
      <c r="H223" s="6">
        <v>0.8</v>
      </c>
      <c r="I223">
        <v>1</v>
      </c>
    </row>
    <row r="224" spans="1:9" x14ac:dyDescent="0.2">
      <c r="A224" s="2">
        <v>223</v>
      </c>
      <c r="B224">
        <v>223</v>
      </c>
      <c r="C224">
        <v>19</v>
      </c>
      <c r="D224">
        <f>VLOOKUP(C224,Course!$A$1:$C$229, 2, FALSE)</f>
        <v>0</v>
      </c>
      <c r="E224">
        <v>32</v>
      </c>
      <c r="F224" t="s">
        <v>663</v>
      </c>
      <c r="G224">
        <v>1</v>
      </c>
      <c r="H224" s="6">
        <v>0.8</v>
      </c>
      <c r="I224">
        <v>1</v>
      </c>
    </row>
    <row r="225" spans="1:9" x14ac:dyDescent="0.2">
      <c r="A225" s="2">
        <v>224</v>
      </c>
      <c r="B225">
        <v>224</v>
      </c>
      <c r="C225">
        <v>19</v>
      </c>
      <c r="D225">
        <f>VLOOKUP(C225,Course!$A$1:$C$229, 2, FALSE)</f>
        <v>0</v>
      </c>
      <c r="E225">
        <v>33</v>
      </c>
      <c r="F225" t="s">
        <v>664</v>
      </c>
      <c r="G225">
        <v>1</v>
      </c>
      <c r="H225" s="6">
        <v>0.8</v>
      </c>
      <c r="I225">
        <v>1</v>
      </c>
    </row>
    <row r="226" spans="1:9" x14ac:dyDescent="0.2">
      <c r="A226" s="2">
        <v>225</v>
      </c>
      <c r="B226">
        <v>225</v>
      </c>
      <c r="C226">
        <v>19</v>
      </c>
      <c r="D226">
        <f>VLOOKUP(C226,Course!$A$1:$C$229, 2, FALSE)</f>
        <v>0</v>
      </c>
      <c r="E226">
        <v>34</v>
      </c>
      <c r="F226" t="s">
        <v>665</v>
      </c>
      <c r="G226">
        <v>1</v>
      </c>
      <c r="H226" s="6">
        <v>0.8</v>
      </c>
      <c r="I226">
        <v>1</v>
      </c>
    </row>
    <row r="227" spans="1:9" x14ac:dyDescent="0.2">
      <c r="A227" s="2">
        <v>226</v>
      </c>
      <c r="B227">
        <v>226</v>
      </c>
      <c r="C227">
        <v>19</v>
      </c>
      <c r="D227">
        <f>VLOOKUP(C227,Course!$A$1:$C$229, 2, FALSE)</f>
        <v>0</v>
      </c>
      <c r="E227">
        <v>35</v>
      </c>
      <c r="F227" t="s">
        <v>666</v>
      </c>
      <c r="G227">
        <v>1</v>
      </c>
      <c r="H227" s="6">
        <v>0.8</v>
      </c>
      <c r="I227">
        <v>1</v>
      </c>
    </row>
    <row r="228" spans="1:9" x14ac:dyDescent="0.2">
      <c r="A228" s="2">
        <v>227</v>
      </c>
      <c r="B228">
        <v>227</v>
      </c>
      <c r="C228">
        <v>19</v>
      </c>
      <c r="D228">
        <f>VLOOKUP(C228,Course!$A$1:$C$229, 2, FALSE)</f>
        <v>0</v>
      </c>
      <c r="E228">
        <v>36</v>
      </c>
      <c r="F228" t="s">
        <v>667</v>
      </c>
      <c r="G228">
        <v>1</v>
      </c>
      <c r="H228" s="6">
        <v>0.8</v>
      </c>
      <c r="I228">
        <v>1</v>
      </c>
    </row>
    <row r="229" spans="1:9" x14ac:dyDescent="0.2">
      <c r="A229" s="2">
        <v>228</v>
      </c>
      <c r="B229">
        <v>228</v>
      </c>
      <c r="C229">
        <v>20</v>
      </c>
      <c r="D229">
        <f>VLOOKUP(C229,Course!$A$1:$C$229, 2, FALSE)</f>
        <v>0</v>
      </c>
      <c r="E229">
        <v>25</v>
      </c>
      <c r="F229" t="s">
        <v>668</v>
      </c>
      <c r="G229">
        <v>1</v>
      </c>
      <c r="H229" s="6">
        <v>0.8</v>
      </c>
      <c r="I229">
        <v>1</v>
      </c>
    </row>
    <row r="230" spans="1:9" x14ac:dyDescent="0.2">
      <c r="A230" s="2">
        <v>229</v>
      </c>
      <c r="B230">
        <v>229</v>
      </c>
      <c r="C230">
        <v>20</v>
      </c>
      <c r="D230">
        <f>VLOOKUP(C230,Course!$A$1:$C$229, 2, FALSE)</f>
        <v>0</v>
      </c>
      <c r="E230">
        <v>26</v>
      </c>
      <c r="F230" t="s">
        <v>669</v>
      </c>
      <c r="G230">
        <v>1</v>
      </c>
      <c r="H230" s="6">
        <v>0.8</v>
      </c>
      <c r="I230">
        <v>1</v>
      </c>
    </row>
    <row r="231" spans="1:9" x14ac:dyDescent="0.2">
      <c r="A231" s="2">
        <v>230</v>
      </c>
      <c r="B231">
        <v>230</v>
      </c>
      <c r="C231">
        <v>20</v>
      </c>
      <c r="D231">
        <f>VLOOKUP(C231,Course!$A$1:$C$229, 2, FALSE)</f>
        <v>0</v>
      </c>
      <c r="E231">
        <v>27</v>
      </c>
      <c r="F231" t="s">
        <v>670</v>
      </c>
      <c r="G231">
        <v>1</v>
      </c>
      <c r="H231" s="6">
        <v>0.8</v>
      </c>
      <c r="I231">
        <v>1</v>
      </c>
    </row>
    <row r="232" spans="1:9" x14ac:dyDescent="0.2">
      <c r="A232" s="2">
        <v>231</v>
      </c>
      <c r="B232">
        <v>231</v>
      </c>
      <c r="C232">
        <v>20</v>
      </c>
      <c r="D232">
        <f>VLOOKUP(C232,Course!$A$1:$C$229, 2, FALSE)</f>
        <v>0</v>
      </c>
      <c r="E232">
        <v>28</v>
      </c>
      <c r="F232" t="s">
        <v>671</v>
      </c>
      <c r="G232">
        <v>1</v>
      </c>
      <c r="H232" s="6">
        <v>0.8</v>
      </c>
      <c r="I232">
        <v>1</v>
      </c>
    </row>
    <row r="233" spans="1:9" x14ac:dyDescent="0.2">
      <c r="A233" s="2">
        <v>232</v>
      </c>
      <c r="B233">
        <v>232</v>
      </c>
      <c r="C233">
        <v>20</v>
      </c>
      <c r="D233">
        <f>VLOOKUP(C233,Course!$A$1:$C$229, 2, FALSE)</f>
        <v>0</v>
      </c>
      <c r="E233">
        <v>29</v>
      </c>
      <c r="F233" t="s">
        <v>672</v>
      </c>
      <c r="G233">
        <v>1</v>
      </c>
      <c r="H233" s="6">
        <v>0.8</v>
      </c>
      <c r="I233">
        <v>1</v>
      </c>
    </row>
    <row r="234" spans="1:9" x14ac:dyDescent="0.2">
      <c r="A234" s="2">
        <v>233</v>
      </c>
      <c r="B234">
        <v>233</v>
      </c>
      <c r="C234">
        <v>20</v>
      </c>
      <c r="D234">
        <f>VLOOKUP(C234,Course!$A$1:$C$229, 2, FALSE)</f>
        <v>0</v>
      </c>
      <c r="E234">
        <v>30</v>
      </c>
      <c r="F234" t="s">
        <v>673</v>
      </c>
      <c r="G234">
        <v>1</v>
      </c>
      <c r="H234" s="6">
        <v>0.8</v>
      </c>
      <c r="I234">
        <v>1</v>
      </c>
    </row>
    <row r="235" spans="1:9" x14ac:dyDescent="0.2">
      <c r="A235" s="2">
        <v>234</v>
      </c>
      <c r="B235">
        <v>234</v>
      </c>
      <c r="C235">
        <v>20</v>
      </c>
      <c r="D235">
        <f>VLOOKUP(C235,Course!$A$1:$C$229, 2, FALSE)</f>
        <v>0</v>
      </c>
      <c r="E235">
        <v>31</v>
      </c>
      <c r="F235" t="s">
        <v>674</v>
      </c>
      <c r="G235">
        <v>1</v>
      </c>
      <c r="H235" s="6">
        <v>0.8</v>
      </c>
      <c r="I235">
        <v>1</v>
      </c>
    </row>
    <row r="236" spans="1:9" x14ac:dyDescent="0.2">
      <c r="A236" s="2">
        <v>235</v>
      </c>
      <c r="B236">
        <v>235</v>
      </c>
      <c r="C236">
        <v>20</v>
      </c>
      <c r="D236">
        <f>VLOOKUP(C236,Course!$A$1:$C$229, 2, FALSE)</f>
        <v>0</v>
      </c>
      <c r="E236">
        <v>32</v>
      </c>
      <c r="F236" t="s">
        <v>675</v>
      </c>
      <c r="G236">
        <v>1</v>
      </c>
      <c r="H236" s="6">
        <v>0.8</v>
      </c>
      <c r="I236">
        <v>1</v>
      </c>
    </row>
    <row r="237" spans="1:9" x14ac:dyDescent="0.2">
      <c r="A237" s="2">
        <v>236</v>
      </c>
      <c r="B237">
        <v>236</v>
      </c>
      <c r="C237">
        <v>20</v>
      </c>
      <c r="D237">
        <f>VLOOKUP(C237,Course!$A$1:$C$229, 2, FALSE)</f>
        <v>0</v>
      </c>
      <c r="E237">
        <v>33</v>
      </c>
      <c r="F237" t="s">
        <v>676</v>
      </c>
      <c r="G237">
        <v>1</v>
      </c>
      <c r="H237" s="6">
        <v>0.8</v>
      </c>
      <c r="I237">
        <v>1</v>
      </c>
    </row>
    <row r="238" spans="1:9" x14ac:dyDescent="0.2">
      <c r="A238" s="2">
        <v>237</v>
      </c>
      <c r="B238">
        <v>237</v>
      </c>
      <c r="C238">
        <v>20</v>
      </c>
      <c r="D238">
        <f>VLOOKUP(C238,Course!$A$1:$C$229, 2, FALSE)</f>
        <v>0</v>
      </c>
      <c r="E238">
        <v>34</v>
      </c>
      <c r="F238" t="s">
        <v>677</v>
      </c>
      <c r="G238">
        <v>1</v>
      </c>
      <c r="H238" s="6">
        <v>0.8</v>
      </c>
      <c r="I238">
        <v>1</v>
      </c>
    </row>
    <row r="239" spans="1:9" x14ac:dyDescent="0.2">
      <c r="A239" s="2">
        <v>238</v>
      </c>
      <c r="B239">
        <v>238</v>
      </c>
      <c r="C239">
        <v>20</v>
      </c>
      <c r="D239">
        <f>VLOOKUP(C239,Course!$A$1:$C$229, 2, FALSE)</f>
        <v>0</v>
      </c>
      <c r="E239">
        <v>35</v>
      </c>
      <c r="F239" t="s">
        <v>678</v>
      </c>
      <c r="G239">
        <v>1</v>
      </c>
      <c r="H239" s="6">
        <v>0.8</v>
      </c>
      <c r="I239">
        <v>1</v>
      </c>
    </row>
    <row r="240" spans="1:9" x14ac:dyDescent="0.2">
      <c r="A240" s="2">
        <v>239</v>
      </c>
      <c r="B240">
        <v>239</v>
      </c>
      <c r="C240">
        <v>20</v>
      </c>
      <c r="D240">
        <f>VLOOKUP(C240,Course!$A$1:$C$229, 2, FALSE)</f>
        <v>0</v>
      </c>
      <c r="E240">
        <v>36</v>
      </c>
      <c r="F240" t="s">
        <v>679</v>
      </c>
      <c r="G240">
        <v>1</v>
      </c>
      <c r="H240" s="6">
        <v>0.8</v>
      </c>
      <c r="I240">
        <v>1</v>
      </c>
    </row>
    <row r="241" spans="1:9" x14ac:dyDescent="0.2">
      <c r="A241" s="2">
        <v>240</v>
      </c>
      <c r="B241">
        <v>240</v>
      </c>
      <c r="C241">
        <v>21</v>
      </c>
      <c r="D241">
        <f>VLOOKUP(C241,Course!$A$1:$C$229, 2, FALSE)</f>
        <v>0</v>
      </c>
      <c r="E241">
        <v>25</v>
      </c>
      <c r="F241" t="s">
        <v>680</v>
      </c>
      <c r="G241">
        <v>1</v>
      </c>
      <c r="H241" s="6">
        <v>0.8</v>
      </c>
      <c r="I241">
        <v>1</v>
      </c>
    </row>
    <row r="242" spans="1:9" x14ac:dyDescent="0.2">
      <c r="A242" s="2">
        <v>241</v>
      </c>
      <c r="B242">
        <v>241</v>
      </c>
      <c r="C242">
        <v>21</v>
      </c>
      <c r="D242">
        <f>VLOOKUP(C242,Course!$A$1:$C$229, 2, FALSE)</f>
        <v>0</v>
      </c>
      <c r="E242">
        <v>26</v>
      </c>
      <c r="F242" t="s">
        <v>681</v>
      </c>
      <c r="G242">
        <v>1</v>
      </c>
      <c r="H242" s="6">
        <v>0.8</v>
      </c>
      <c r="I242">
        <v>1</v>
      </c>
    </row>
    <row r="243" spans="1:9" x14ac:dyDescent="0.2">
      <c r="A243" s="2">
        <v>242</v>
      </c>
      <c r="B243">
        <v>242</v>
      </c>
      <c r="C243">
        <v>21</v>
      </c>
      <c r="D243">
        <f>VLOOKUP(C243,Course!$A$1:$C$229, 2, FALSE)</f>
        <v>0</v>
      </c>
      <c r="E243">
        <v>27</v>
      </c>
      <c r="F243" t="s">
        <v>682</v>
      </c>
      <c r="G243">
        <v>1</v>
      </c>
      <c r="H243" s="6">
        <v>0.8</v>
      </c>
      <c r="I243">
        <v>1</v>
      </c>
    </row>
    <row r="244" spans="1:9" x14ac:dyDescent="0.2">
      <c r="A244" s="2">
        <v>243</v>
      </c>
      <c r="B244">
        <v>243</v>
      </c>
      <c r="C244">
        <v>21</v>
      </c>
      <c r="D244">
        <f>VLOOKUP(C244,Course!$A$1:$C$229, 2, FALSE)</f>
        <v>0</v>
      </c>
      <c r="E244">
        <v>28</v>
      </c>
      <c r="F244" t="s">
        <v>683</v>
      </c>
      <c r="G244">
        <v>1</v>
      </c>
      <c r="H244" s="6">
        <v>0.8</v>
      </c>
      <c r="I244">
        <v>1</v>
      </c>
    </row>
    <row r="245" spans="1:9" x14ac:dyDescent="0.2">
      <c r="A245" s="2">
        <v>244</v>
      </c>
      <c r="B245">
        <v>244</v>
      </c>
      <c r="C245">
        <v>21</v>
      </c>
      <c r="D245">
        <f>VLOOKUP(C245,Course!$A$1:$C$229, 2, FALSE)</f>
        <v>0</v>
      </c>
      <c r="E245">
        <v>29</v>
      </c>
      <c r="F245" t="s">
        <v>684</v>
      </c>
      <c r="G245">
        <v>1</v>
      </c>
      <c r="H245" s="6">
        <v>0.8</v>
      </c>
      <c r="I245">
        <v>1</v>
      </c>
    </row>
    <row r="246" spans="1:9" x14ac:dyDescent="0.2">
      <c r="A246" s="2">
        <v>245</v>
      </c>
      <c r="B246">
        <v>245</v>
      </c>
      <c r="C246">
        <v>21</v>
      </c>
      <c r="D246">
        <f>VLOOKUP(C246,Course!$A$1:$C$229, 2, FALSE)</f>
        <v>0</v>
      </c>
      <c r="E246">
        <v>30</v>
      </c>
      <c r="F246" t="s">
        <v>685</v>
      </c>
      <c r="G246">
        <v>1</v>
      </c>
      <c r="H246" s="6">
        <v>0.8</v>
      </c>
      <c r="I246">
        <v>1</v>
      </c>
    </row>
    <row r="247" spans="1:9" x14ac:dyDescent="0.2">
      <c r="A247" s="2">
        <v>246</v>
      </c>
      <c r="B247">
        <v>246</v>
      </c>
      <c r="C247">
        <v>21</v>
      </c>
      <c r="D247">
        <f>VLOOKUP(C247,Course!$A$1:$C$229, 2, FALSE)</f>
        <v>0</v>
      </c>
      <c r="E247">
        <v>31</v>
      </c>
      <c r="F247" t="s">
        <v>686</v>
      </c>
      <c r="G247">
        <v>1</v>
      </c>
      <c r="H247" s="6">
        <v>0.8</v>
      </c>
      <c r="I247">
        <v>1</v>
      </c>
    </row>
    <row r="248" spans="1:9" x14ac:dyDescent="0.2">
      <c r="A248" s="2">
        <v>247</v>
      </c>
      <c r="B248">
        <v>247</v>
      </c>
      <c r="C248">
        <v>21</v>
      </c>
      <c r="D248">
        <f>VLOOKUP(C248,Course!$A$1:$C$229, 2, FALSE)</f>
        <v>0</v>
      </c>
      <c r="E248">
        <v>32</v>
      </c>
      <c r="F248" t="s">
        <v>687</v>
      </c>
      <c r="G248">
        <v>1</v>
      </c>
      <c r="H248" s="6">
        <v>0.8</v>
      </c>
      <c r="I248">
        <v>1</v>
      </c>
    </row>
    <row r="249" spans="1:9" x14ac:dyDescent="0.2">
      <c r="A249" s="2">
        <v>248</v>
      </c>
      <c r="B249">
        <v>248</v>
      </c>
      <c r="C249">
        <v>21</v>
      </c>
      <c r="D249">
        <f>VLOOKUP(C249,Course!$A$1:$C$229, 2, FALSE)</f>
        <v>0</v>
      </c>
      <c r="E249">
        <v>33</v>
      </c>
      <c r="F249" t="s">
        <v>688</v>
      </c>
      <c r="G249">
        <v>1</v>
      </c>
      <c r="H249" s="6">
        <v>0.8</v>
      </c>
      <c r="I249">
        <v>1</v>
      </c>
    </row>
    <row r="250" spans="1:9" x14ac:dyDescent="0.2">
      <c r="A250" s="2">
        <v>249</v>
      </c>
      <c r="B250">
        <v>249</v>
      </c>
      <c r="C250">
        <v>21</v>
      </c>
      <c r="D250">
        <f>VLOOKUP(C250,Course!$A$1:$C$229, 2, FALSE)</f>
        <v>0</v>
      </c>
      <c r="E250">
        <v>34</v>
      </c>
      <c r="F250" t="s">
        <v>689</v>
      </c>
      <c r="G250">
        <v>1</v>
      </c>
      <c r="H250" s="6">
        <v>0.8</v>
      </c>
      <c r="I250">
        <v>1</v>
      </c>
    </row>
    <row r="251" spans="1:9" x14ac:dyDescent="0.2">
      <c r="A251" s="2">
        <v>250</v>
      </c>
      <c r="B251">
        <v>250</v>
      </c>
      <c r="C251">
        <v>21</v>
      </c>
      <c r="D251">
        <f>VLOOKUP(C251,Course!$A$1:$C$229, 2, FALSE)</f>
        <v>0</v>
      </c>
      <c r="E251">
        <v>35</v>
      </c>
      <c r="F251" t="s">
        <v>690</v>
      </c>
      <c r="G251">
        <v>1</v>
      </c>
      <c r="H251" s="6">
        <v>0.8</v>
      </c>
      <c r="I251">
        <v>1</v>
      </c>
    </row>
    <row r="252" spans="1:9" x14ac:dyDescent="0.2">
      <c r="A252" s="2">
        <v>251</v>
      </c>
      <c r="B252">
        <v>251</v>
      </c>
      <c r="C252">
        <v>21</v>
      </c>
      <c r="D252">
        <f>VLOOKUP(C252,Course!$A$1:$C$229, 2, FALSE)</f>
        <v>0</v>
      </c>
      <c r="E252">
        <v>36</v>
      </c>
      <c r="F252" t="s">
        <v>691</v>
      </c>
      <c r="G252">
        <v>1</v>
      </c>
      <c r="H252" s="6">
        <v>0.8</v>
      </c>
      <c r="I252">
        <v>1</v>
      </c>
    </row>
    <row r="253" spans="1:9" x14ac:dyDescent="0.2">
      <c r="A253" s="2">
        <v>252</v>
      </c>
      <c r="B253">
        <v>252</v>
      </c>
      <c r="C253">
        <v>22</v>
      </c>
      <c r="D253">
        <f>VLOOKUP(C253,Course!$A$1:$C$229, 2, FALSE)</f>
        <v>0</v>
      </c>
      <c r="E253">
        <v>25</v>
      </c>
      <c r="F253" t="s">
        <v>692</v>
      </c>
      <c r="G253">
        <v>1</v>
      </c>
      <c r="H253" s="6">
        <v>0.8</v>
      </c>
      <c r="I253">
        <v>1</v>
      </c>
    </row>
    <row r="254" spans="1:9" x14ac:dyDescent="0.2">
      <c r="A254" s="2">
        <v>253</v>
      </c>
      <c r="B254">
        <v>253</v>
      </c>
      <c r="C254">
        <v>22</v>
      </c>
      <c r="D254">
        <f>VLOOKUP(C254,Course!$A$1:$C$229, 2, FALSE)</f>
        <v>0</v>
      </c>
      <c r="E254">
        <v>26</v>
      </c>
      <c r="F254" t="s">
        <v>693</v>
      </c>
      <c r="G254">
        <v>1</v>
      </c>
      <c r="H254" s="6">
        <v>0.8</v>
      </c>
      <c r="I254">
        <v>1</v>
      </c>
    </row>
    <row r="255" spans="1:9" x14ac:dyDescent="0.2">
      <c r="A255" s="2">
        <v>254</v>
      </c>
      <c r="B255">
        <v>254</v>
      </c>
      <c r="C255">
        <v>22</v>
      </c>
      <c r="D255">
        <f>VLOOKUP(C255,Course!$A$1:$C$229, 2, FALSE)</f>
        <v>0</v>
      </c>
      <c r="E255">
        <v>27</v>
      </c>
      <c r="F255" t="s">
        <v>694</v>
      </c>
      <c r="G255">
        <v>1</v>
      </c>
      <c r="H255" s="6">
        <v>0.8</v>
      </c>
      <c r="I255">
        <v>1</v>
      </c>
    </row>
    <row r="256" spans="1:9" x14ac:dyDescent="0.2">
      <c r="A256" s="2">
        <v>255</v>
      </c>
      <c r="B256">
        <v>255</v>
      </c>
      <c r="C256">
        <v>22</v>
      </c>
      <c r="D256">
        <f>VLOOKUP(C256,Course!$A$1:$C$229, 2, FALSE)</f>
        <v>0</v>
      </c>
      <c r="E256">
        <v>28</v>
      </c>
      <c r="F256" t="s">
        <v>695</v>
      </c>
      <c r="G256">
        <v>1</v>
      </c>
      <c r="H256" s="6">
        <v>0.8</v>
      </c>
      <c r="I256">
        <v>1</v>
      </c>
    </row>
    <row r="257" spans="1:9" x14ac:dyDescent="0.2">
      <c r="A257" s="2">
        <v>256</v>
      </c>
      <c r="B257">
        <v>256</v>
      </c>
      <c r="C257">
        <v>22</v>
      </c>
      <c r="D257">
        <f>VLOOKUP(C257,Course!$A$1:$C$229, 2, FALSE)</f>
        <v>0</v>
      </c>
      <c r="E257">
        <v>29</v>
      </c>
      <c r="F257" t="s">
        <v>696</v>
      </c>
      <c r="G257">
        <v>1</v>
      </c>
      <c r="H257" s="6">
        <v>0.8</v>
      </c>
      <c r="I257">
        <v>1</v>
      </c>
    </row>
    <row r="258" spans="1:9" x14ac:dyDescent="0.2">
      <c r="A258" s="2">
        <v>257</v>
      </c>
      <c r="B258">
        <v>257</v>
      </c>
      <c r="C258">
        <v>22</v>
      </c>
      <c r="D258">
        <f>VLOOKUP(C258,Course!$A$1:$C$229, 2, FALSE)</f>
        <v>0</v>
      </c>
      <c r="E258">
        <v>30</v>
      </c>
      <c r="F258" t="s">
        <v>697</v>
      </c>
      <c r="G258">
        <v>1</v>
      </c>
      <c r="H258" s="6">
        <v>0.8</v>
      </c>
      <c r="I258">
        <v>1</v>
      </c>
    </row>
    <row r="259" spans="1:9" x14ac:dyDescent="0.2">
      <c r="A259" s="2">
        <v>258</v>
      </c>
      <c r="B259">
        <v>258</v>
      </c>
      <c r="C259">
        <v>22</v>
      </c>
      <c r="D259">
        <f>VLOOKUP(C259,Course!$A$1:$C$229, 2, FALSE)</f>
        <v>0</v>
      </c>
      <c r="E259">
        <v>31</v>
      </c>
      <c r="F259" t="s">
        <v>698</v>
      </c>
      <c r="G259">
        <v>1</v>
      </c>
      <c r="H259" s="6">
        <v>0.8</v>
      </c>
      <c r="I259">
        <v>1</v>
      </c>
    </row>
    <row r="260" spans="1:9" x14ac:dyDescent="0.2">
      <c r="A260" s="2">
        <v>259</v>
      </c>
      <c r="B260">
        <v>259</v>
      </c>
      <c r="C260">
        <v>22</v>
      </c>
      <c r="D260">
        <f>VLOOKUP(C260,Course!$A$1:$C$229, 2, FALSE)</f>
        <v>0</v>
      </c>
      <c r="E260">
        <v>32</v>
      </c>
      <c r="F260" t="s">
        <v>699</v>
      </c>
      <c r="G260">
        <v>1</v>
      </c>
      <c r="H260" s="6">
        <v>0.8</v>
      </c>
      <c r="I260">
        <v>1</v>
      </c>
    </row>
    <row r="261" spans="1:9" x14ac:dyDescent="0.2">
      <c r="A261" s="2">
        <v>260</v>
      </c>
      <c r="B261">
        <v>260</v>
      </c>
      <c r="C261">
        <v>22</v>
      </c>
      <c r="D261">
        <f>VLOOKUP(C261,Course!$A$1:$C$229, 2, FALSE)</f>
        <v>0</v>
      </c>
      <c r="E261">
        <v>33</v>
      </c>
      <c r="F261" t="s">
        <v>700</v>
      </c>
      <c r="G261">
        <v>1</v>
      </c>
      <c r="H261" s="6">
        <v>0.8</v>
      </c>
      <c r="I261">
        <v>1</v>
      </c>
    </row>
    <row r="262" spans="1:9" x14ac:dyDescent="0.2">
      <c r="A262" s="2">
        <v>261</v>
      </c>
      <c r="B262">
        <v>261</v>
      </c>
      <c r="C262">
        <v>22</v>
      </c>
      <c r="D262">
        <f>VLOOKUP(C262,Course!$A$1:$C$229, 2, FALSE)</f>
        <v>0</v>
      </c>
      <c r="E262">
        <v>34</v>
      </c>
      <c r="F262" t="s">
        <v>701</v>
      </c>
      <c r="G262">
        <v>1</v>
      </c>
      <c r="H262" s="6">
        <v>0.8</v>
      </c>
      <c r="I262">
        <v>1</v>
      </c>
    </row>
    <row r="263" spans="1:9" x14ac:dyDescent="0.2">
      <c r="A263" s="2">
        <v>262</v>
      </c>
      <c r="B263">
        <v>262</v>
      </c>
      <c r="C263">
        <v>22</v>
      </c>
      <c r="D263">
        <f>VLOOKUP(C263,Course!$A$1:$C$229, 2, FALSE)</f>
        <v>0</v>
      </c>
      <c r="E263">
        <v>35</v>
      </c>
      <c r="F263" t="s">
        <v>702</v>
      </c>
      <c r="G263">
        <v>1</v>
      </c>
      <c r="H263" s="6">
        <v>0.8</v>
      </c>
      <c r="I263">
        <v>1</v>
      </c>
    </row>
    <row r="264" spans="1:9" x14ac:dyDescent="0.2">
      <c r="A264" s="2">
        <v>263</v>
      </c>
      <c r="B264">
        <v>263</v>
      </c>
      <c r="C264">
        <v>22</v>
      </c>
      <c r="D264">
        <f>VLOOKUP(C264,Course!$A$1:$C$229, 2, FALSE)</f>
        <v>0</v>
      </c>
      <c r="E264">
        <v>36</v>
      </c>
      <c r="F264" t="s">
        <v>703</v>
      </c>
      <c r="G264">
        <v>1</v>
      </c>
      <c r="H264" s="6">
        <v>0.8</v>
      </c>
      <c r="I264">
        <v>1</v>
      </c>
    </row>
    <row r="265" spans="1:9" x14ac:dyDescent="0.2">
      <c r="A265" s="2">
        <v>264</v>
      </c>
      <c r="B265">
        <v>264</v>
      </c>
      <c r="C265">
        <v>23</v>
      </c>
      <c r="D265">
        <f>VLOOKUP(C265,Course!$A$1:$C$229, 2, FALSE)</f>
        <v>0</v>
      </c>
      <c r="E265">
        <v>37</v>
      </c>
      <c r="F265" t="s">
        <v>704</v>
      </c>
      <c r="G265">
        <v>1</v>
      </c>
      <c r="H265" s="6">
        <v>0.8</v>
      </c>
      <c r="I265">
        <v>1</v>
      </c>
    </row>
    <row r="266" spans="1:9" x14ac:dyDescent="0.2">
      <c r="A266" s="2">
        <v>265</v>
      </c>
      <c r="B266">
        <v>265</v>
      </c>
      <c r="C266">
        <v>23</v>
      </c>
      <c r="D266">
        <f>VLOOKUP(C266,Course!$A$1:$C$229, 2, FALSE)</f>
        <v>0</v>
      </c>
      <c r="E266">
        <v>38</v>
      </c>
      <c r="F266" t="s">
        <v>705</v>
      </c>
      <c r="G266">
        <v>1</v>
      </c>
      <c r="H266" s="6">
        <v>0.8</v>
      </c>
      <c r="I266">
        <v>1</v>
      </c>
    </row>
    <row r="267" spans="1:9" x14ac:dyDescent="0.2">
      <c r="A267" s="2">
        <v>266</v>
      </c>
      <c r="B267">
        <v>266</v>
      </c>
      <c r="C267">
        <v>23</v>
      </c>
      <c r="D267">
        <f>VLOOKUP(C267,Course!$A$1:$C$229, 2, FALSE)</f>
        <v>0</v>
      </c>
      <c r="E267">
        <v>39</v>
      </c>
      <c r="F267" t="s">
        <v>706</v>
      </c>
      <c r="G267">
        <v>1</v>
      </c>
      <c r="H267" s="6">
        <v>0.8</v>
      </c>
      <c r="I267">
        <v>1</v>
      </c>
    </row>
    <row r="268" spans="1:9" x14ac:dyDescent="0.2">
      <c r="A268" s="2">
        <v>267</v>
      </c>
      <c r="B268">
        <v>267</v>
      </c>
      <c r="C268">
        <v>23</v>
      </c>
      <c r="D268">
        <f>VLOOKUP(C268,Course!$A$1:$C$229, 2, FALSE)</f>
        <v>0</v>
      </c>
      <c r="E268">
        <v>40</v>
      </c>
      <c r="F268" t="s">
        <v>707</v>
      </c>
      <c r="G268">
        <v>1</v>
      </c>
      <c r="H268" s="6">
        <v>0.8</v>
      </c>
      <c r="I268">
        <v>1</v>
      </c>
    </row>
    <row r="269" spans="1:9" x14ac:dyDescent="0.2">
      <c r="A269" s="2">
        <v>268</v>
      </c>
      <c r="B269">
        <v>268</v>
      </c>
      <c r="C269">
        <v>23</v>
      </c>
      <c r="D269">
        <f>VLOOKUP(C269,Course!$A$1:$C$229, 2, FALSE)</f>
        <v>0</v>
      </c>
      <c r="E269">
        <v>41</v>
      </c>
      <c r="F269" t="s">
        <v>708</v>
      </c>
      <c r="G269">
        <v>1</v>
      </c>
      <c r="H269" s="6">
        <v>0.8</v>
      </c>
      <c r="I269">
        <v>1</v>
      </c>
    </row>
    <row r="270" spans="1:9" x14ac:dyDescent="0.2">
      <c r="A270" s="2">
        <v>269</v>
      </c>
      <c r="B270">
        <v>269</v>
      </c>
      <c r="C270">
        <v>23</v>
      </c>
      <c r="D270">
        <f>VLOOKUP(C270,Course!$A$1:$C$229, 2, FALSE)</f>
        <v>0</v>
      </c>
      <c r="E270">
        <v>42</v>
      </c>
      <c r="F270" t="s">
        <v>709</v>
      </c>
      <c r="G270">
        <v>1</v>
      </c>
      <c r="H270" s="6">
        <v>0.8</v>
      </c>
      <c r="I270">
        <v>1</v>
      </c>
    </row>
    <row r="271" spans="1:9" x14ac:dyDescent="0.2">
      <c r="A271" s="2">
        <v>270</v>
      </c>
      <c r="B271">
        <v>270</v>
      </c>
      <c r="C271">
        <v>23</v>
      </c>
      <c r="D271">
        <f>VLOOKUP(C271,Course!$A$1:$C$229, 2, FALSE)</f>
        <v>0</v>
      </c>
      <c r="E271">
        <v>43</v>
      </c>
      <c r="F271" t="s">
        <v>710</v>
      </c>
      <c r="G271">
        <v>1</v>
      </c>
      <c r="H271" s="6">
        <v>0.8</v>
      </c>
      <c r="I271">
        <v>1</v>
      </c>
    </row>
    <row r="272" spans="1:9" x14ac:dyDescent="0.2">
      <c r="A272" s="2">
        <v>271</v>
      </c>
      <c r="B272">
        <v>271</v>
      </c>
      <c r="C272">
        <v>23</v>
      </c>
      <c r="D272">
        <f>VLOOKUP(C272,Course!$A$1:$C$229, 2, FALSE)</f>
        <v>0</v>
      </c>
      <c r="E272">
        <v>44</v>
      </c>
      <c r="F272" t="s">
        <v>711</v>
      </c>
      <c r="G272">
        <v>1</v>
      </c>
      <c r="H272" s="6">
        <v>0.8</v>
      </c>
      <c r="I272">
        <v>1</v>
      </c>
    </row>
    <row r="273" spans="1:9" x14ac:dyDescent="0.2">
      <c r="A273" s="2">
        <v>272</v>
      </c>
      <c r="B273">
        <v>272</v>
      </c>
      <c r="C273">
        <v>23</v>
      </c>
      <c r="D273">
        <f>VLOOKUP(C273,Course!$A$1:$C$229, 2, FALSE)</f>
        <v>0</v>
      </c>
      <c r="E273">
        <v>45</v>
      </c>
      <c r="F273" t="s">
        <v>712</v>
      </c>
      <c r="G273">
        <v>1</v>
      </c>
      <c r="H273" s="6">
        <v>0.8</v>
      </c>
      <c r="I273">
        <v>1</v>
      </c>
    </row>
    <row r="274" spans="1:9" x14ac:dyDescent="0.2">
      <c r="A274" s="2">
        <v>273</v>
      </c>
      <c r="B274">
        <v>273</v>
      </c>
      <c r="C274">
        <v>23</v>
      </c>
      <c r="D274">
        <f>VLOOKUP(C274,Course!$A$1:$C$229, 2, FALSE)</f>
        <v>0</v>
      </c>
      <c r="E274">
        <v>46</v>
      </c>
      <c r="F274" t="s">
        <v>713</v>
      </c>
      <c r="G274">
        <v>1</v>
      </c>
      <c r="H274" s="6">
        <v>0.8</v>
      </c>
      <c r="I274">
        <v>1</v>
      </c>
    </row>
    <row r="275" spans="1:9" x14ac:dyDescent="0.2">
      <c r="A275" s="2">
        <v>274</v>
      </c>
      <c r="B275">
        <v>274</v>
      </c>
      <c r="C275">
        <v>23</v>
      </c>
      <c r="D275">
        <f>VLOOKUP(C275,Course!$A$1:$C$229, 2, FALSE)</f>
        <v>0</v>
      </c>
      <c r="E275">
        <v>47</v>
      </c>
      <c r="F275" t="s">
        <v>714</v>
      </c>
      <c r="G275">
        <v>1</v>
      </c>
      <c r="H275" s="6">
        <v>0.8</v>
      </c>
      <c r="I275">
        <v>1</v>
      </c>
    </row>
    <row r="276" spans="1:9" x14ac:dyDescent="0.2">
      <c r="A276" s="2">
        <v>275</v>
      </c>
      <c r="B276">
        <v>275</v>
      </c>
      <c r="C276">
        <v>23</v>
      </c>
      <c r="D276">
        <f>VLOOKUP(C276,Course!$A$1:$C$229, 2, FALSE)</f>
        <v>0</v>
      </c>
      <c r="E276">
        <v>48</v>
      </c>
      <c r="F276" t="s">
        <v>715</v>
      </c>
      <c r="G276">
        <v>1</v>
      </c>
      <c r="H276" s="6">
        <v>0.8</v>
      </c>
      <c r="I276">
        <v>1</v>
      </c>
    </row>
    <row r="277" spans="1:9" x14ac:dyDescent="0.2">
      <c r="A277" s="2">
        <v>276</v>
      </c>
      <c r="B277">
        <v>276</v>
      </c>
      <c r="C277">
        <v>24</v>
      </c>
      <c r="D277">
        <f>VLOOKUP(C277,Course!$A$1:$C$229, 2, FALSE)</f>
        <v>0</v>
      </c>
      <c r="E277">
        <v>37</v>
      </c>
      <c r="F277" t="s">
        <v>716</v>
      </c>
      <c r="G277">
        <v>1</v>
      </c>
      <c r="H277" s="6">
        <v>0.8</v>
      </c>
      <c r="I277">
        <v>1</v>
      </c>
    </row>
    <row r="278" spans="1:9" x14ac:dyDescent="0.2">
      <c r="A278" s="2">
        <v>277</v>
      </c>
      <c r="B278">
        <v>277</v>
      </c>
      <c r="C278">
        <v>24</v>
      </c>
      <c r="D278">
        <f>VLOOKUP(C278,Course!$A$1:$C$229, 2, FALSE)</f>
        <v>0</v>
      </c>
      <c r="E278">
        <v>38</v>
      </c>
      <c r="F278" t="s">
        <v>717</v>
      </c>
      <c r="G278">
        <v>1</v>
      </c>
      <c r="H278" s="6">
        <v>0.8</v>
      </c>
      <c r="I278">
        <v>1</v>
      </c>
    </row>
    <row r="279" spans="1:9" x14ac:dyDescent="0.2">
      <c r="A279" s="2">
        <v>278</v>
      </c>
      <c r="B279">
        <v>278</v>
      </c>
      <c r="C279">
        <v>24</v>
      </c>
      <c r="D279">
        <f>VLOOKUP(C279,Course!$A$1:$C$229, 2, FALSE)</f>
        <v>0</v>
      </c>
      <c r="E279">
        <v>39</v>
      </c>
      <c r="F279" t="s">
        <v>718</v>
      </c>
      <c r="G279">
        <v>1</v>
      </c>
      <c r="H279" s="6">
        <v>0.8</v>
      </c>
      <c r="I279">
        <v>1</v>
      </c>
    </row>
    <row r="280" spans="1:9" x14ac:dyDescent="0.2">
      <c r="A280" s="2">
        <v>279</v>
      </c>
      <c r="B280">
        <v>279</v>
      </c>
      <c r="C280">
        <v>24</v>
      </c>
      <c r="D280">
        <f>VLOOKUP(C280,Course!$A$1:$C$229, 2, FALSE)</f>
        <v>0</v>
      </c>
      <c r="E280">
        <v>40</v>
      </c>
      <c r="F280" t="s">
        <v>719</v>
      </c>
      <c r="G280">
        <v>1</v>
      </c>
      <c r="H280" s="6">
        <v>0.8</v>
      </c>
      <c r="I280">
        <v>1</v>
      </c>
    </row>
    <row r="281" spans="1:9" x14ac:dyDescent="0.2">
      <c r="A281" s="2">
        <v>280</v>
      </c>
      <c r="B281">
        <v>280</v>
      </c>
      <c r="C281">
        <v>24</v>
      </c>
      <c r="D281">
        <f>VLOOKUP(C281,Course!$A$1:$C$229, 2, FALSE)</f>
        <v>0</v>
      </c>
      <c r="E281">
        <v>41</v>
      </c>
      <c r="F281" t="s">
        <v>720</v>
      </c>
      <c r="G281">
        <v>1</v>
      </c>
      <c r="H281" s="6">
        <v>0.8</v>
      </c>
      <c r="I281">
        <v>1</v>
      </c>
    </row>
    <row r="282" spans="1:9" x14ac:dyDescent="0.2">
      <c r="A282" s="2">
        <v>281</v>
      </c>
      <c r="B282">
        <v>281</v>
      </c>
      <c r="C282">
        <v>24</v>
      </c>
      <c r="D282">
        <f>VLOOKUP(C282,Course!$A$1:$C$229, 2, FALSE)</f>
        <v>0</v>
      </c>
      <c r="E282">
        <v>42</v>
      </c>
      <c r="F282" t="s">
        <v>721</v>
      </c>
      <c r="G282">
        <v>1</v>
      </c>
      <c r="H282" s="6">
        <v>0.8</v>
      </c>
      <c r="I282">
        <v>1</v>
      </c>
    </row>
    <row r="283" spans="1:9" x14ac:dyDescent="0.2">
      <c r="A283" s="2">
        <v>282</v>
      </c>
      <c r="B283">
        <v>282</v>
      </c>
      <c r="C283">
        <v>24</v>
      </c>
      <c r="D283">
        <f>VLOOKUP(C283,Course!$A$1:$C$229, 2, FALSE)</f>
        <v>0</v>
      </c>
      <c r="E283">
        <v>43</v>
      </c>
      <c r="F283" t="s">
        <v>722</v>
      </c>
      <c r="G283">
        <v>1</v>
      </c>
      <c r="H283" s="6">
        <v>0.8</v>
      </c>
      <c r="I283">
        <v>1</v>
      </c>
    </row>
    <row r="284" spans="1:9" x14ac:dyDescent="0.2">
      <c r="A284" s="2">
        <v>283</v>
      </c>
      <c r="B284">
        <v>283</v>
      </c>
      <c r="C284">
        <v>24</v>
      </c>
      <c r="D284">
        <f>VLOOKUP(C284,Course!$A$1:$C$229, 2, FALSE)</f>
        <v>0</v>
      </c>
      <c r="E284">
        <v>44</v>
      </c>
      <c r="F284" t="s">
        <v>723</v>
      </c>
      <c r="G284">
        <v>1</v>
      </c>
      <c r="H284" s="6">
        <v>0.8</v>
      </c>
      <c r="I284">
        <v>1</v>
      </c>
    </row>
    <row r="285" spans="1:9" x14ac:dyDescent="0.2">
      <c r="A285" s="2">
        <v>284</v>
      </c>
      <c r="B285">
        <v>284</v>
      </c>
      <c r="C285">
        <v>24</v>
      </c>
      <c r="D285">
        <f>VLOOKUP(C285,Course!$A$1:$C$229, 2, FALSE)</f>
        <v>0</v>
      </c>
      <c r="E285">
        <v>45</v>
      </c>
      <c r="F285" t="s">
        <v>724</v>
      </c>
      <c r="G285">
        <v>1</v>
      </c>
      <c r="H285" s="6">
        <v>0.8</v>
      </c>
      <c r="I285">
        <v>1</v>
      </c>
    </row>
    <row r="286" spans="1:9" x14ac:dyDescent="0.2">
      <c r="A286" s="2">
        <v>285</v>
      </c>
      <c r="B286">
        <v>285</v>
      </c>
      <c r="C286">
        <v>24</v>
      </c>
      <c r="D286">
        <f>VLOOKUP(C286,Course!$A$1:$C$229, 2, FALSE)</f>
        <v>0</v>
      </c>
      <c r="E286">
        <v>46</v>
      </c>
      <c r="F286" t="s">
        <v>725</v>
      </c>
      <c r="G286">
        <v>1</v>
      </c>
      <c r="H286" s="6">
        <v>0.8</v>
      </c>
      <c r="I286">
        <v>1</v>
      </c>
    </row>
    <row r="287" spans="1:9" x14ac:dyDescent="0.2">
      <c r="A287" s="2">
        <v>286</v>
      </c>
      <c r="B287">
        <v>286</v>
      </c>
      <c r="C287">
        <v>24</v>
      </c>
      <c r="D287">
        <f>VLOOKUP(C287,Course!$A$1:$C$229, 2, FALSE)</f>
        <v>0</v>
      </c>
      <c r="E287">
        <v>47</v>
      </c>
      <c r="F287" t="s">
        <v>726</v>
      </c>
      <c r="G287">
        <v>1</v>
      </c>
      <c r="H287" s="6">
        <v>0.8</v>
      </c>
      <c r="I287">
        <v>1</v>
      </c>
    </row>
    <row r="288" spans="1:9" x14ac:dyDescent="0.2">
      <c r="A288" s="2">
        <v>287</v>
      </c>
      <c r="B288">
        <v>287</v>
      </c>
      <c r="C288">
        <v>24</v>
      </c>
      <c r="D288">
        <f>VLOOKUP(C288,Course!$A$1:$C$229, 2, FALSE)</f>
        <v>0</v>
      </c>
      <c r="E288">
        <v>48</v>
      </c>
      <c r="F288" t="s">
        <v>727</v>
      </c>
      <c r="G288">
        <v>1</v>
      </c>
      <c r="H288" s="6">
        <v>0.8</v>
      </c>
      <c r="I288">
        <v>1</v>
      </c>
    </row>
    <row r="289" spans="1:9" x14ac:dyDescent="0.2">
      <c r="A289" s="2">
        <v>288</v>
      </c>
      <c r="B289">
        <v>288</v>
      </c>
      <c r="C289">
        <v>25</v>
      </c>
      <c r="D289">
        <f>VLOOKUP(C289,Course!$A$1:$C$229, 2, FALSE)</f>
        <v>0</v>
      </c>
      <c r="E289">
        <v>37</v>
      </c>
      <c r="F289" t="s">
        <v>728</v>
      </c>
      <c r="G289">
        <v>1</v>
      </c>
      <c r="H289" s="6">
        <v>0.9</v>
      </c>
      <c r="I289">
        <v>1</v>
      </c>
    </row>
    <row r="290" spans="1:9" x14ac:dyDescent="0.2">
      <c r="A290" s="2">
        <v>289</v>
      </c>
      <c r="B290">
        <v>289</v>
      </c>
      <c r="C290">
        <v>25</v>
      </c>
      <c r="D290">
        <f>VLOOKUP(C290,Course!$A$1:$C$229, 2, FALSE)</f>
        <v>0</v>
      </c>
      <c r="E290">
        <v>38</v>
      </c>
      <c r="F290" t="s">
        <v>729</v>
      </c>
      <c r="G290">
        <v>1</v>
      </c>
      <c r="H290" s="6">
        <v>0.9</v>
      </c>
      <c r="I290">
        <v>1</v>
      </c>
    </row>
    <row r="291" spans="1:9" x14ac:dyDescent="0.2">
      <c r="A291" s="2">
        <v>290</v>
      </c>
      <c r="B291">
        <v>290</v>
      </c>
      <c r="C291">
        <v>25</v>
      </c>
      <c r="D291">
        <f>VLOOKUP(C291,Course!$A$1:$C$229, 2, FALSE)</f>
        <v>0</v>
      </c>
      <c r="E291">
        <v>39</v>
      </c>
      <c r="F291" t="s">
        <v>730</v>
      </c>
      <c r="G291">
        <v>1</v>
      </c>
      <c r="H291" s="6">
        <v>0.9</v>
      </c>
      <c r="I291">
        <v>1</v>
      </c>
    </row>
    <row r="292" spans="1:9" x14ac:dyDescent="0.2">
      <c r="A292" s="2">
        <v>291</v>
      </c>
      <c r="B292">
        <v>291</v>
      </c>
      <c r="C292">
        <v>25</v>
      </c>
      <c r="D292">
        <f>VLOOKUP(C292,Course!$A$1:$C$229, 2, FALSE)</f>
        <v>0</v>
      </c>
      <c r="E292">
        <v>40</v>
      </c>
      <c r="F292" t="s">
        <v>731</v>
      </c>
      <c r="G292">
        <v>1</v>
      </c>
      <c r="H292" s="6">
        <v>0.9</v>
      </c>
      <c r="I292">
        <v>1</v>
      </c>
    </row>
    <row r="293" spans="1:9" x14ac:dyDescent="0.2">
      <c r="A293" s="2">
        <v>292</v>
      </c>
      <c r="B293">
        <v>292</v>
      </c>
      <c r="C293">
        <v>25</v>
      </c>
      <c r="D293">
        <f>VLOOKUP(C293,Course!$A$1:$C$229, 2, FALSE)</f>
        <v>0</v>
      </c>
      <c r="E293">
        <v>41</v>
      </c>
      <c r="F293" t="s">
        <v>732</v>
      </c>
      <c r="G293">
        <v>1</v>
      </c>
      <c r="H293" s="6">
        <v>0.9</v>
      </c>
      <c r="I293">
        <v>1</v>
      </c>
    </row>
    <row r="294" spans="1:9" x14ac:dyDescent="0.2">
      <c r="A294" s="2">
        <v>293</v>
      </c>
      <c r="B294">
        <v>293</v>
      </c>
      <c r="C294">
        <v>25</v>
      </c>
      <c r="D294">
        <f>VLOOKUP(C294,Course!$A$1:$C$229, 2, FALSE)</f>
        <v>0</v>
      </c>
      <c r="E294">
        <v>42</v>
      </c>
      <c r="F294" t="s">
        <v>733</v>
      </c>
      <c r="G294">
        <v>1</v>
      </c>
      <c r="H294" s="6">
        <v>0.9</v>
      </c>
      <c r="I294">
        <v>1</v>
      </c>
    </row>
    <row r="295" spans="1:9" x14ac:dyDescent="0.2">
      <c r="A295" s="2">
        <v>294</v>
      </c>
      <c r="B295">
        <v>294</v>
      </c>
      <c r="C295">
        <v>25</v>
      </c>
      <c r="D295">
        <f>VLOOKUP(C295,Course!$A$1:$C$229, 2, FALSE)</f>
        <v>0</v>
      </c>
      <c r="E295">
        <v>43</v>
      </c>
      <c r="F295" t="s">
        <v>734</v>
      </c>
      <c r="G295">
        <v>1</v>
      </c>
      <c r="H295" s="6">
        <v>0.9</v>
      </c>
      <c r="I295">
        <v>1</v>
      </c>
    </row>
    <row r="296" spans="1:9" x14ac:dyDescent="0.2">
      <c r="A296" s="2">
        <v>295</v>
      </c>
      <c r="B296">
        <v>295</v>
      </c>
      <c r="C296">
        <v>25</v>
      </c>
      <c r="D296">
        <f>VLOOKUP(C296,Course!$A$1:$C$229, 2, FALSE)</f>
        <v>0</v>
      </c>
      <c r="E296">
        <v>44</v>
      </c>
      <c r="F296" t="s">
        <v>735</v>
      </c>
      <c r="G296">
        <v>1</v>
      </c>
      <c r="H296" s="6">
        <v>0.9</v>
      </c>
      <c r="I296">
        <v>1</v>
      </c>
    </row>
    <row r="297" spans="1:9" x14ac:dyDescent="0.2">
      <c r="A297" s="2">
        <v>296</v>
      </c>
      <c r="B297">
        <v>296</v>
      </c>
      <c r="C297">
        <v>25</v>
      </c>
      <c r="D297">
        <f>VLOOKUP(C297,Course!$A$1:$C$229, 2, FALSE)</f>
        <v>0</v>
      </c>
      <c r="E297">
        <v>45</v>
      </c>
      <c r="F297" t="s">
        <v>736</v>
      </c>
      <c r="G297">
        <v>1</v>
      </c>
      <c r="H297" s="6">
        <v>0.9</v>
      </c>
      <c r="I297">
        <v>1</v>
      </c>
    </row>
    <row r="298" spans="1:9" x14ac:dyDescent="0.2">
      <c r="A298" s="2">
        <v>297</v>
      </c>
      <c r="B298">
        <v>297</v>
      </c>
      <c r="C298">
        <v>25</v>
      </c>
      <c r="D298">
        <f>VLOOKUP(C298,Course!$A$1:$C$229, 2, FALSE)</f>
        <v>0</v>
      </c>
      <c r="E298">
        <v>46</v>
      </c>
      <c r="F298" t="s">
        <v>737</v>
      </c>
      <c r="G298">
        <v>1</v>
      </c>
      <c r="H298" s="6">
        <v>0.9</v>
      </c>
      <c r="I298">
        <v>1</v>
      </c>
    </row>
    <row r="299" spans="1:9" x14ac:dyDescent="0.2">
      <c r="A299" s="2">
        <v>298</v>
      </c>
      <c r="B299">
        <v>298</v>
      </c>
      <c r="C299">
        <v>25</v>
      </c>
      <c r="D299">
        <f>VLOOKUP(C299,Course!$A$1:$C$229, 2, FALSE)</f>
        <v>0</v>
      </c>
      <c r="E299">
        <v>47</v>
      </c>
      <c r="F299" t="s">
        <v>738</v>
      </c>
      <c r="G299">
        <v>1</v>
      </c>
      <c r="H299" s="6">
        <v>0.9</v>
      </c>
      <c r="I299">
        <v>1</v>
      </c>
    </row>
    <row r="300" spans="1:9" x14ac:dyDescent="0.2">
      <c r="A300" s="2">
        <v>299</v>
      </c>
      <c r="B300">
        <v>299</v>
      </c>
      <c r="C300">
        <v>25</v>
      </c>
      <c r="D300">
        <f>VLOOKUP(C300,Course!$A$1:$C$229, 2, FALSE)</f>
        <v>0</v>
      </c>
      <c r="E300">
        <v>48</v>
      </c>
      <c r="F300" t="s">
        <v>739</v>
      </c>
      <c r="G300">
        <v>1</v>
      </c>
      <c r="H300" s="6">
        <v>0.9</v>
      </c>
      <c r="I300">
        <v>1</v>
      </c>
    </row>
    <row r="301" spans="1:9" x14ac:dyDescent="0.2">
      <c r="A301" s="2">
        <v>300</v>
      </c>
      <c r="B301">
        <v>300</v>
      </c>
      <c r="C301">
        <v>26</v>
      </c>
      <c r="D301">
        <f>VLOOKUP(C301,Course!$A$1:$C$229, 2, FALSE)</f>
        <v>0</v>
      </c>
      <c r="E301">
        <v>37</v>
      </c>
      <c r="F301" t="s">
        <v>740</v>
      </c>
      <c r="G301">
        <v>1</v>
      </c>
      <c r="H301" s="6">
        <v>0.8</v>
      </c>
      <c r="I301">
        <v>1</v>
      </c>
    </row>
    <row r="302" spans="1:9" x14ac:dyDescent="0.2">
      <c r="A302" s="2">
        <v>301</v>
      </c>
      <c r="B302">
        <v>301</v>
      </c>
      <c r="C302">
        <v>26</v>
      </c>
      <c r="D302">
        <f>VLOOKUP(C302,Course!$A$1:$C$229, 2, FALSE)</f>
        <v>0</v>
      </c>
      <c r="E302">
        <v>38</v>
      </c>
      <c r="F302" t="s">
        <v>741</v>
      </c>
      <c r="G302">
        <v>1</v>
      </c>
      <c r="H302" s="6">
        <v>0.8</v>
      </c>
      <c r="I302">
        <v>1</v>
      </c>
    </row>
    <row r="303" spans="1:9" x14ac:dyDescent="0.2">
      <c r="A303" s="2">
        <v>302</v>
      </c>
      <c r="B303">
        <v>302</v>
      </c>
      <c r="C303">
        <v>26</v>
      </c>
      <c r="D303">
        <f>VLOOKUP(C303,Course!$A$1:$C$229, 2, FALSE)</f>
        <v>0</v>
      </c>
      <c r="E303">
        <v>39</v>
      </c>
      <c r="F303" t="s">
        <v>742</v>
      </c>
      <c r="G303">
        <v>1</v>
      </c>
      <c r="H303" s="6">
        <v>0.8</v>
      </c>
      <c r="I303">
        <v>1</v>
      </c>
    </row>
    <row r="304" spans="1:9" x14ac:dyDescent="0.2">
      <c r="A304" s="2">
        <v>303</v>
      </c>
      <c r="B304">
        <v>303</v>
      </c>
      <c r="C304">
        <v>26</v>
      </c>
      <c r="D304">
        <f>VLOOKUP(C304,Course!$A$1:$C$229, 2, FALSE)</f>
        <v>0</v>
      </c>
      <c r="E304">
        <v>40</v>
      </c>
      <c r="F304" t="s">
        <v>743</v>
      </c>
      <c r="G304">
        <v>1</v>
      </c>
      <c r="H304" s="6">
        <v>0.8</v>
      </c>
      <c r="I304">
        <v>1</v>
      </c>
    </row>
    <row r="305" spans="1:9" x14ac:dyDescent="0.2">
      <c r="A305" s="2">
        <v>304</v>
      </c>
      <c r="B305">
        <v>304</v>
      </c>
      <c r="C305">
        <v>26</v>
      </c>
      <c r="D305">
        <f>VLOOKUP(C305,Course!$A$1:$C$229, 2, FALSE)</f>
        <v>0</v>
      </c>
      <c r="E305">
        <v>41</v>
      </c>
      <c r="F305" t="s">
        <v>744</v>
      </c>
      <c r="G305">
        <v>1</v>
      </c>
      <c r="H305" s="6">
        <v>0.8</v>
      </c>
      <c r="I305">
        <v>1</v>
      </c>
    </row>
    <row r="306" spans="1:9" x14ac:dyDescent="0.2">
      <c r="A306" s="2">
        <v>305</v>
      </c>
      <c r="B306">
        <v>305</v>
      </c>
      <c r="C306">
        <v>26</v>
      </c>
      <c r="D306">
        <f>VLOOKUP(C306,Course!$A$1:$C$229, 2, FALSE)</f>
        <v>0</v>
      </c>
      <c r="E306">
        <v>42</v>
      </c>
      <c r="F306" t="s">
        <v>745</v>
      </c>
      <c r="G306">
        <v>1</v>
      </c>
      <c r="H306" s="6">
        <v>0.8</v>
      </c>
      <c r="I306">
        <v>1</v>
      </c>
    </row>
    <row r="307" spans="1:9" x14ac:dyDescent="0.2">
      <c r="A307" s="2">
        <v>306</v>
      </c>
      <c r="B307">
        <v>306</v>
      </c>
      <c r="C307">
        <v>26</v>
      </c>
      <c r="D307">
        <f>VLOOKUP(C307,Course!$A$1:$C$229, 2, FALSE)</f>
        <v>0</v>
      </c>
      <c r="E307">
        <v>43</v>
      </c>
      <c r="F307" t="s">
        <v>746</v>
      </c>
      <c r="G307">
        <v>1</v>
      </c>
      <c r="H307" s="6">
        <v>0.8</v>
      </c>
      <c r="I307">
        <v>1</v>
      </c>
    </row>
    <row r="308" spans="1:9" x14ac:dyDescent="0.2">
      <c r="A308" s="2">
        <v>307</v>
      </c>
      <c r="B308">
        <v>307</v>
      </c>
      <c r="C308">
        <v>26</v>
      </c>
      <c r="D308">
        <f>VLOOKUP(C308,Course!$A$1:$C$229, 2, FALSE)</f>
        <v>0</v>
      </c>
      <c r="E308">
        <v>44</v>
      </c>
      <c r="F308" t="s">
        <v>747</v>
      </c>
      <c r="G308">
        <v>1</v>
      </c>
      <c r="H308" s="6">
        <v>0.8</v>
      </c>
      <c r="I308">
        <v>1</v>
      </c>
    </row>
    <row r="309" spans="1:9" x14ac:dyDescent="0.2">
      <c r="A309" s="2">
        <v>308</v>
      </c>
      <c r="B309">
        <v>308</v>
      </c>
      <c r="C309">
        <v>26</v>
      </c>
      <c r="D309">
        <f>VLOOKUP(C309,Course!$A$1:$C$229, 2, FALSE)</f>
        <v>0</v>
      </c>
      <c r="E309">
        <v>45</v>
      </c>
      <c r="F309" t="s">
        <v>748</v>
      </c>
      <c r="G309">
        <v>1</v>
      </c>
      <c r="H309" s="6">
        <v>0.8</v>
      </c>
      <c r="I309">
        <v>1</v>
      </c>
    </row>
    <row r="310" spans="1:9" x14ac:dyDescent="0.2">
      <c r="A310" s="2">
        <v>309</v>
      </c>
      <c r="B310">
        <v>309</v>
      </c>
      <c r="C310">
        <v>26</v>
      </c>
      <c r="D310">
        <f>VLOOKUP(C310,Course!$A$1:$C$229, 2, FALSE)</f>
        <v>0</v>
      </c>
      <c r="E310">
        <v>46</v>
      </c>
      <c r="F310" t="s">
        <v>749</v>
      </c>
      <c r="G310">
        <v>1</v>
      </c>
      <c r="H310" s="6">
        <v>0.8</v>
      </c>
      <c r="I310">
        <v>1</v>
      </c>
    </row>
    <row r="311" spans="1:9" x14ac:dyDescent="0.2">
      <c r="A311" s="2">
        <v>310</v>
      </c>
      <c r="B311">
        <v>310</v>
      </c>
      <c r="C311">
        <v>26</v>
      </c>
      <c r="D311">
        <f>VLOOKUP(C311,Course!$A$1:$C$229, 2, FALSE)</f>
        <v>0</v>
      </c>
      <c r="E311">
        <v>47</v>
      </c>
      <c r="F311" t="s">
        <v>750</v>
      </c>
      <c r="G311">
        <v>1</v>
      </c>
      <c r="H311" s="6">
        <v>0.8</v>
      </c>
      <c r="I311">
        <v>1</v>
      </c>
    </row>
    <row r="312" spans="1:9" x14ac:dyDescent="0.2">
      <c r="A312" s="2">
        <v>311</v>
      </c>
      <c r="B312">
        <v>311</v>
      </c>
      <c r="C312">
        <v>26</v>
      </c>
      <c r="D312">
        <f>VLOOKUP(C312,Course!$A$1:$C$229, 2, FALSE)</f>
        <v>0</v>
      </c>
      <c r="E312">
        <v>48</v>
      </c>
      <c r="F312" t="s">
        <v>751</v>
      </c>
      <c r="G312">
        <v>1</v>
      </c>
      <c r="H312" s="6">
        <v>0.8</v>
      </c>
      <c r="I312">
        <v>1</v>
      </c>
    </row>
    <row r="313" spans="1:9" x14ac:dyDescent="0.2">
      <c r="A313" s="2">
        <v>312</v>
      </c>
      <c r="B313">
        <v>312</v>
      </c>
      <c r="C313">
        <v>27</v>
      </c>
      <c r="D313">
        <f>VLOOKUP(C313,Course!$A$1:$C$229, 2, FALSE)</f>
        <v>0</v>
      </c>
      <c r="E313">
        <v>37</v>
      </c>
      <c r="F313" t="s">
        <v>752</v>
      </c>
      <c r="G313">
        <v>1</v>
      </c>
      <c r="H313" s="6">
        <v>0.8</v>
      </c>
      <c r="I313">
        <v>1</v>
      </c>
    </row>
    <row r="314" spans="1:9" x14ac:dyDescent="0.2">
      <c r="A314" s="2">
        <v>313</v>
      </c>
      <c r="B314">
        <v>313</v>
      </c>
      <c r="C314">
        <v>27</v>
      </c>
      <c r="D314">
        <f>VLOOKUP(C314,Course!$A$1:$C$229, 2, FALSE)</f>
        <v>0</v>
      </c>
      <c r="E314">
        <v>38</v>
      </c>
      <c r="F314" t="s">
        <v>753</v>
      </c>
      <c r="G314">
        <v>1</v>
      </c>
      <c r="H314" s="6">
        <v>0.8</v>
      </c>
      <c r="I314">
        <v>1</v>
      </c>
    </row>
    <row r="315" spans="1:9" x14ac:dyDescent="0.2">
      <c r="A315" s="2">
        <v>314</v>
      </c>
      <c r="B315">
        <v>314</v>
      </c>
      <c r="C315">
        <v>27</v>
      </c>
      <c r="D315">
        <f>VLOOKUP(C315,Course!$A$1:$C$229, 2, FALSE)</f>
        <v>0</v>
      </c>
      <c r="E315">
        <v>39</v>
      </c>
      <c r="F315" t="s">
        <v>754</v>
      </c>
      <c r="G315">
        <v>1</v>
      </c>
      <c r="H315" s="6">
        <v>0.8</v>
      </c>
      <c r="I315">
        <v>1</v>
      </c>
    </row>
    <row r="316" spans="1:9" x14ac:dyDescent="0.2">
      <c r="A316" s="2">
        <v>315</v>
      </c>
      <c r="B316">
        <v>315</v>
      </c>
      <c r="C316">
        <v>27</v>
      </c>
      <c r="D316">
        <f>VLOOKUP(C316,Course!$A$1:$C$229, 2, FALSE)</f>
        <v>0</v>
      </c>
      <c r="E316">
        <v>40</v>
      </c>
      <c r="F316" t="s">
        <v>755</v>
      </c>
      <c r="G316">
        <v>1</v>
      </c>
      <c r="H316" s="6">
        <v>0.8</v>
      </c>
      <c r="I316">
        <v>1</v>
      </c>
    </row>
    <row r="317" spans="1:9" x14ac:dyDescent="0.2">
      <c r="A317" s="2">
        <v>316</v>
      </c>
      <c r="B317">
        <v>316</v>
      </c>
      <c r="C317">
        <v>27</v>
      </c>
      <c r="D317">
        <f>VLOOKUP(C317,Course!$A$1:$C$229, 2, FALSE)</f>
        <v>0</v>
      </c>
      <c r="E317">
        <v>41</v>
      </c>
      <c r="F317" t="s">
        <v>756</v>
      </c>
      <c r="G317">
        <v>1</v>
      </c>
      <c r="H317" s="6">
        <v>0.8</v>
      </c>
      <c r="I317">
        <v>1</v>
      </c>
    </row>
    <row r="318" spans="1:9" x14ac:dyDescent="0.2">
      <c r="A318" s="2">
        <v>317</v>
      </c>
      <c r="B318">
        <v>317</v>
      </c>
      <c r="C318">
        <v>27</v>
      </c>
      <c r="D318">
        <f>VLOOKUP(C318,Course!$A$1:$C$229, 2, FALSE)</f>
        <v>0</v>
      </c>
      <c r="E318">
        <v>42</v>
      </c>
      <c r="F318" t="s">
        <v>757</v>
      </c>
      <c r="G318">
        <v>1</v>
      </c>
      <c r="H318" s="6">
        <v>0.8</v>
      </c>
      <c r="I318">
        <v>1</v>
      </c>
    </row>
    <row r="319" spans="1:9" x14ac:dyDescent="0.2">
      <c r="A319" s="2">
        <v>318</v>
      </c>
      <c r="B319">
        <v>318</v>
      </c>
      <c r="C319">
        <v>27</v>
      </c>
      <c r="D319">
        <f>VLOOKUP(C319,Course!$A$1:$C$229, 2, FALSE)</f>
        <v>0</v>
      </c>
      <c r="E319">
        <v>43</v>
      </c>
      <c r="F319" t="s">
        <v>758</v>
      </c>
      <c r="G319">
        <v>1</v>
      </c>
      <c r="H319" s="6">
        <v>0.8</v>
      </c>
      <c r="I319">
        <v>1</v>
      </c>
    </row>
    <row r="320" spans="1:9" x14ac:dyDescent="0.2">
      <c r="A320" s="2">
        <v>319</v>
      </c>
      <c r="B320">
        <v>319</v>
      </c>
      <c r="C320">
        <v>27</v>
      </c>
      <c r="D320">
        <f>VLOOKUP(C320,Course!$A$1:$C$229, 2, FALSE)</f>
        <v>0</v>
      </c>
      <c r="E320">
        <v>44</v>
      </c>
      <c r="F320" t="s">
        <v>759</v>
      </c>
      <c r="G320">
        <v>1</v>
      </c>
      <c r="H320" s="6">
        <v>0.8</v>
      </c>
      <c r="I320">
        <v>1</v>
      </c>
    </row>
    <row r="321" spans="1:9" x14ac:dyDescent="0.2">
      <c r="A321" s="2">
        <v>320</v>
      </c>
      <c r="B321">
        <v>320</v>
      </c>
      <c r="C321">
        <v>27</v>
      </c>
      <c r="D321">
        <f>VLOOKUP(C321,Course!$A$1:$C$229, 2, FALSE)</f>
        <v>0</v>
      </c>
      <c r="E321">
        <v>45</v>
      </c>
      <c r="F321" t="s">
        <v>760</v>
      </c>
      <c r="G321">
        <v>1</v>
      </c>
      <c r="H321" s="6">
        <v>0.8</v>
      </c>
      <c r="I321">
        <v>1</v>
      </c>
    </row>
    <row r="322" spans="1:9" x14ac:dyDescent="0.2">
      <c r="A322" s="2">
        <v>321</v>
      </c>
      <c r="B322">
        <v>321</v>
      </c>
      <c r="C322">
        <v>27</v>
      </c>
      <c r="D322">
        <f>VLOOKUP(C322,Course!$A$1:$C$229, 2, FALSE)</f>
        <v>0</v>
      </c>
      <c r="E322">
        <v>46</v>
      </c>
      <c r="F322" t="s">
        <v>761</v>
      </c>
      <c r="G322">
        <v>1</v>
      </c>
      <c r="H322" s="6">
        <v>0.8</v>
      </c>
      <c r="I322">
        <v>1</v>
      </c>
    </row>
    <row r="323" spans="1:9" x14ac:dyDescent="0.2">
      <c r="A323" s="2">
        <v>322</v>
      </c>
      <c r="B323">
        <v>322</v>
      </c>
      <c r="C323">
        <v>27</v>
      </c>
      <c r="D323">
        <f>VLOOKUP(C323,Course!$A$1:$C$229, 2, FALSE)</f>
        <v>0</v>
      </c>
      <c r="E323">
        <v>47</v>
      </c>
      <c r="F323" t="s">
        <v>762</v>
      </c>
      <c r="G323">
        <v>1</v>
      </c>
      <c r="H323" s="6">
        <v>0.8</v>
      </c>
      <c r="I323">
        <v>1</v>
      </c>
    </row>
    <row r="324" spans="1:9" x14ac:dyDescent="0.2">
      <c r="A324" s="2">
        <v>323</v>
      </c>
      <c r="B324">
        <v>323</v>
      </c>
      <c r="C324">
        <v>27</v>
      </c>
      <c r="D324">
        <f>VLOOKUP(C324,Course!$A$1:$C$229, 2, FALSE)</f>
        <v>0</v>
      </c>
      <c r="E324">
        <v>48</v>
      </c>
      <c r="F324" t="s">
        <v>763</v>
      </c>
      <c r="G324">
        <v>1</v>
      </c>
      <c r="H324" s="6">
        <v>0.8</v>
      </c>
      <c r="I324">
        <v>1</v>
      </c>
    </row>
    <row r="325" spans="1:9" x14ac:dyDescent="0.2">
      <c r="A325" s="2">
        <v>324</v>
      </c>
      <c r="B325">
        <v>324</v>
      </c>
      <c r="C325">
        <v>28</v>
      </c>
      <c r="D325">
        <f>VLOOKUP(C325,Course!$A$1:$C$229, 2, FALSE)</f>
        <v>0</v>
      </c>
      <c r="E325">
        <v>37</v>
      </c>
      <c r="F325" t="s">
        <v>764</v>
      </c>
      <c r="G325">
        <v>1</v>
      </c>
      <c r="H325" s="6">
        <v>0.8</v>
      </c>
      <c r="I325">
        <v>1</v>
      </c>
    </row>
    <row r="326" spans="1:9" x14ac:dyDescent="0.2">
      <c r="A326" s="2">
        <v>325</v>
      </c>
      <c r="B326">
        <v>325</v>
      </c>
      <c r="C326">
        <v>28</v>
      </c>
      <c r="D326">
        <f>VLOOKUP(C326,Course!$A$1:$C$229, 2, FALSE)</f>
        <v>0</v>
      </c>
      <c r="E326">
        <v>38</v>
      </c>
      <c r="F326" t="s">
        <v>765</v>
      </c>
      <c r="G326">
        <v>1</v>
      </c>
      <c r="H326" s="6">
        <v>0.8</v>
      </c>
      <c r="I326">
        <v>1</v>
      </c>
    </row>
    <row r="327" spans="1:9" x14ac:dyDescent="0.2">
      <c r="A327" s="2">
        <v>326</v>
      </c>
      <c r="B327">
        <v>326</v>
      </c>
      <c r="C327">
        <v>28</v>
      </c>
      <c r="D327">
        <f>VLOOKUP(C327,Course!$A$1:$C$229, 2, FALSE)</f>
        <v>0</v>
      </c>
      <c r="E327">
        <v>39</v>
      </c>
      <c r="F327" t="s">
        <v>766</v>
      </c>
      <c r="G327">
        <v>1</v>
      </c>
      <c r="H327" s="6">
        <v>0.8</v>
      </c>
      <c r="I327">
        <v>1</v>
      </c>
    </row>
    <row r="328" spans="1:9" x14ac:dyDescent="0.2">
      <c r="A328" s="2">
        <v>327</v>
      </c>
      <c r="B328">
        <v>327</v>
      </c>
      <c r="C328">
        <v>28</v>
      </c>
      <c r="D328">
        <f>VLOOKUP(C328,Course!$A$1:$C$229, 2, FALSE)</f>
        <v>0</v>
      </c>
      <c r="E328">
        <v>40</v>
      </c>
      <c r="F328" t="s">
        <v>767</v>
      </c>
      <c r="G328">
        <v>1</v>
      </c>
      <c r="H328" s="6">
        <v>0.8</v>
      </c>
      <c r="I328">
        <v>1</v>
      </c>
    </row>
    <row r="329" spans="1:9" x14ac:dyDescent="0.2">
      <c r="A329" s="2">
        <v>328</v>
      </c>
      <c r="B329">
        <v>328</v>
      </c>
      <c r="C329">
        <v>28</v>
      </c>
      <c r="D329">
        <f>VLOOKUP(C329,Course!$A$1:$C$229, 2, FALSE)</f>
        <v>0</v>
      </c>
      <c r="E329">
        <v>41</v>
      </c>
      <c r="F329" t="s">
        <v>768</v>
      </c>
      <c r="G329">
        <v>1</v>
      </c>
      <c r="H329" s="6">
        <v>0.8</v>
      </c>
      <c r="I329">
        <v>1</v>
      </c>
    </row>
    <row r="330" spans="1:9" x14ac:dyDescent="0.2">
      <c r="A330" s="2">
        <v>329</v>
      </c>
      <c r="B330">
        <v>329</v>
      </c>
      <c r="C330">
        <v>28</v>
      </c>
      <c r="D330">
        <f>VLOOKUP(C330,Course!$A$1:$C$229, 2, FALSE)</f>
        <v>0</v>
      </c>
      <c r="E330">
        <v>42</v>
      </c>
      <c r="F330" t="s">
        <v>769</v>
      </c>
      <c r="G330">
        <v>1</v>
      </c>
      <c r="H330" s="6">
        <v>0.8</v>
      </c>
      <c r="I330">
        <v>1</v>
      </c>
    </row>
    <row r="331" spans="1:9" x14ac:dyDescent="0.2">
      <c r="A331" s="2">
        <v>330</v>
      </c>
      <c r="B331">
        <v>330</v>
      </c>
      <c r="C331">
        <v>28</v>
      </c>
      <c r="D331">
        <f>VLOOKUP(C331,Course!$A$1:$C$229, 2, FALSE)</f>
        <v>0</v>
      </c>
      <c r="E331">
        <v>43</v>
      </c>
      <c r="F331" t="s">
        <v>770</v>
      </c>
      <c r="G331">
        <v>1</v>
      </c>
      <c r="H331" s="6">
        <v>0.8</v>
      </c>
      <c r="I331">
        <v>1</v>
      </c>
    </row>
    <row r="332" spans="1:9" x14ac:dyDescent="0.2">
      <c r="A332" s="2">
        <v>331</v>
      </c>
      <c r="B332">
        <v>331</v>
      </c>
      <c r="C332">
        <v>28</v>
      </c>
      <c r="D332">
        <f>VLOOKUP(C332,Course!$A$1:$C$229, 2, FALSE)</f>
        <v>0</v>
      </c>
      <c r="E332">
        <v>44</v>
      </c>
      <c r="F332" t="s">
        <v>771</v>
      </c>
      <c r="G332">
        <v>1</v>
      </c>
      <c r="H332" s="6">
        <v>0.8</v>
      </c>
      <c r="I332">
        <v>1</v>
      </c>
    </row>
    <row r="333" spans="1:9" x14ac:dyDescent="0.2">
      <c r="A333" s="2">
        <v>332</v>
      </c>
      <c r="B333">
        <v>332</v>
      </c>
      <c r="C333">
        <v>28</v>
      </c>
      <c r="D333">
        <f>VLOOKUP(C333,Course!$A$1:$C$229, 2, FALSE)</f>
        <v>0</v>
      </c>
      <c r="E333">
        <v>45</v>
      </c>
      <c r="F333" t="s">
        <v>772</v>
      </c>
      <c r="G333">
        <v>1</v>
      </c>
      <c r="H333" s="6">
        <v>0.8</v>
      </c>
      <c r="I333">
        <v>1</v>
      </c>
    </row>
    <row r="334" spans="1:9" x14ac:dyDescent="0.2">
      <c r="A334" s="2">
        <v>333</v>
      </c>
      <c r="B334">
        <v>333</v>
      </c>
      <c r="C334">
        <v>28</v>
      </c>
      <c r="D334">
        <f>VLOOKUP(C334,Course!$A$1:$C$229, 2, FALSE)</f>
        <v>0</v>
      </c>
      <c r="E334">
        <v>46</v>
      </c>
      <c r="F334" t="s">
        <v>773</v>
      </c>
      <c r="G334">
        <v>1</v>
      </c>
      <c r="H334" s="6">
        <v>0.8</v>
      </c>
      <c r="I334">
        <v>1</v>
      </c>
    </row>
    <row r="335" spans="1:9" x14ac:dyDescent="0.2">
      <c r="A335" s="2">
        <v>334</v>
      </c>
      <c r="B335">
        <v>334</v>
      </c>
      <c r="C335">
        <v>28</v>
      </c>
      <c r="D335">
        <f>VLOOKUP(C335,Course!$A$1:$C$229, 2, FALSE)</f>
        <v>0</v>
      </c>
      <c r="E335">
        <v>47</v>
      </c>
      <c r="F335" t="s">
        <v>774</v>
      </c>
      <c r="G335">
        <v>1</v>
      </c>
      <c r="H335" s="6">
        <v>0.8</v>
      </c>
      <c r="I335">
        <v>1</v>
      </c>
    </row>
    <row r="336" spans="1:9" x14ac:dyDescent="0.2">
      <c r="A336" s="2">
        <v>335</v>
      </c>
      <c r="B336">
        <v>335</v>
      </c>
      <c r="C336">
        <v>28</v>
      </c>
      <c r="D336">
        <f>VLOOKUP(C336,Course!$A$1:$C$229, 2, FALSE)</f>
        <v>0</v>
      </c>
      <c r="E336">
        <v>48</v>
      </c>
      <c r="F336" t="s">
        <v>775</v>
      </c>
      <c r="G336">
        <v>1</v>
      </c>
      <c r="H336" s="6">
        <v>0.8</v>
      </c>
      <c r="I336">
        <v>1</v>
      </c>
    </row>
    <row r="337" spans="1:9" x14ac:dyDescent="0.2">
      <c r="A337" s="2">
        <v>336</v>
      </c>
      <c r="B337">
        <v>336</v>
      </c>
      <c r="C337">
        <v>29</v>
      </c>
      <c r="D337">
        <f>VLOOKUP(C337,Course!$A$1:$C$229, 2, FALSE)</f>
        <v>0</v>
      </c>
      <c r="E337">
        <v>37</v>
      </c>
      <c r="F337" t="s">
        <v>776</v>
      </c>
      <c r="G337">
        <v>1</v>
      </c>
      <c r="H337" s="6">
        <v>0.8</v>
      </c>
      <c r="I337">
        <v>1</v>
      </c>
    </row>
    <row r="338" spans="1:9" x14ac:dyDescent="0.2">
      <c r="A338" s="2">
        <v>337</v>
      </c>
      <c r="B338">
        <v>337</v>
      </c>
      <c r="C338">
        <v>29</v>
      </c>
      <c r="D338">
        <f>VLOOKUP(C338,Course!$A$1:$C$229, 2, FALSE)</f>
        <v>0</v>
      </c>
      <c r="E338">
        <v>38</v>
      </c>
      <c r="F338" t="s">
        <v>777</v>
      </c>
      <c r="G338">
        <v>1</v>
      </c>
      <c r="H338" s="6">
        <v>0.8</v>
      </c>
      <c r="I338">
        <v>1</v>
      </c>
    </row>
    <row r="339" spans="1:9" x14ac:dyDescent="0.2">
      <c r="A339" s="2">
        <v>338</v>
      </c>
      <c r="B339">
        <v>338</v>
      </c>
      <c r="C339">
        <v>29</v>
      </c>
      <c r="D339">
        <f>VLOOKUP(C339,Course!$A$1:$C$229, 2, FALSE)</f>
        <v>0</v>
      </c>
      <c r="E339">
        <v>39</v>
      </c>
      <c r="F339" t="s">
        <v>778</v>
      </c>
      <c r="G339">
        <v>1</v>
      </c>
      <c r="H339" s="6">
        <v>0.8</v>
      </c>
      <c r="I339">
        <v>1</v>
      </c>
    </row>
    <row r="340" spans="1:9" x14ac:dyDescent="0.2">
      <c r="A340" s="2">
        <v>339</v>
      </c>
      <c r="B340">
        <v>339</v>
      </c>
      <c r="C340">
        <v>29</v>
      </c>
      <c r="D340">
        <f>VLOOKUP(C340,Course!$A$1:$C$229, 2, FALSE)</f>
        <v>0</v>
      </c>
      <c r="E340">
        <v>40</v>
      </c>
      <c r="F340" t="s">
        <v>779</v>
      </c>
      <c r="G340">
        <v>1</v>
      </c>
      <c r="H340" s="6">
        <v>0.8</v>
      </c>
      <c r="I340">
        <v>1</v>
      </c>
    </row>
    <row r="341" spans="1:9" x14ac:dyDescent="0.2">
      <c r="A341" s="2">
        <v>340</v>
      </c>
      <c r="B341">
        <v>340</v>
      </c>
      <c r="C341">
        <v>29</v>
      </c>
      <c r="D341">
        <f>VLOOKUP(C341,Course!$A$1:$C$229, 2, FALSE)</f>
        <v>0</v>
      </c>
      <c r="E341">
        <v>41</v>
      </c>
      <c r="F341" t="s">
        <v>780</v>
      </c>
      <c r="G341">
        <v>1</v>
      </c>
      <c r="H341" s="6">
        <v>0.8</v>
      </c>
      <c r="I341">
        <v>1</v>
      </c>
    </row>
    <row r="342" spans="1:9" x14ac:dyDescent="0.2">
      <c r="A342" s="2">
        <v>341</v>
      </c>
      <c r="B342">
        <v>341</v>
      </c>
      <c r="C342">
        <v>29</v>
      </c>
      <c r="D342">
        <f>VLOOKUP(C342,Course!$A$1:$C$229, 2, FALSE)</f>
        <v>0</v>
      </c>
      <c r="E342">
        <v>42</v>
      </c>
      <c r="F342" t="s">
        <v>781</v>
      </c>
      <c r="G342">
        <v>1</v>
      </c>
      <c r="H342" s="6">
        <v>0.8</v>
      </c>
      <c r="I342">
        <v>1</v>
      </c>
    </row>
    <row r="343" spans="1:9" x14ac:dyDescent="0.2">
      <c r="A343" s="2">
        <v>342</v>
      </c>
      <c r="B343">
        <v>342</v>
      </c>
      <c r="C343">
        <v>29</v>
      </c>
      <c r="D343">
        <f>VLOOKUP(C343,Course!$A$1:$C$229, 2, FALSE)</f>
        <v>0</v>
      </c>
      <c r="E343">
        <v>43</v>
      </c>
      <c r="F343" t="s">
        <v>782</v>
      </c>
      <c r="G343">
        <v>1</v>
      </c>
      <c r="H343" s="6">
        <v>0.8</v>
      </c>
      <c r="I343">
        <v>1</v>
      </c>
    </row>
    <row r="344" spans="1:9" x14ac:dyDescent="0.2">
      <c r="A344" s="2">
        <v>343</v>
      </c>
      <c r="B344">
        <v>343</v>
      </c>
      <c r="C344">
        <v>29</v>
      </c>
      <c r="D344">
        <f>VLOOKUP(C344,Course!$A$1:$C$229, 2, FALSE)</f>
        <v>0</v>
      </c>
      <c r="E344">
        <v>44</v>
      </c>
      <c r="F344" t="s">
        <v>783</v>
      </c>
      <c r="G344">
        <v>1</v>
      </c>
      <c r="H344" s="6">
        <v>0.8</v>
      </c>
      <c r="I344">
        <v>1</v>
      </c>
    </row>
    <row r="345" spans="1:9" x14ac:dyDescent="0.2">
      <c r="A345" s="2">
        <v>344</v>
      </c>
      <c r="B345">
        <v>344</v>
      </c>
      <c r="C345">
        <v>29</v>
      </c>
      <c r="D345">
        <f>VLOOKUP(C345,Course!$A$1:$C$229, 2, FALSE)</f>
        <v>0</v>
      </c>
      <c r="E345">
        <v>45</v>
      </c>
      <c r="F345" t="s">
        <v>784</v>
      </c>
      <c r="G345">
        <v>1</v>
      </c>
      <c r="H345" s="6">
        <v>0.8</v>
      </c>
      <c r="I345">
        <v>1</v>
      </c>
    </row>
    <row r="346" spans="1:9" x14ac:dyDescent="0.2">
      <c r="A346" s="2">
        <v>345</v>
      </c>
      <c r="B346">
        <v>345</v>
      </c>
      <c r="C346">
        <v>29</v>
      </c>
      <c r="D346">
        <f>VLOOKUP(C346,Course!$A$1:$C$229, 2, FALSE)</f>
        <v>0</v>
      </c>
      <c r="E346">
        <v>46</v>
      </c>
      <c r="F346" t="s">
        <v>785</v>
      </c>
      <c r="G346">
        <v>1</v>
      </c>
      <c r="H346" s="6">
        <v>0.8</v>
      </c>
      <c r="I346">
        <v>1</v>
      </c>
    </row>
    <row r="347" spans="1:9" x14ac:dyDescent="0.2">
      <c r="A347" s="2">
        <v>346</v>
      </c>
      <c r="B347">
        <v>346</v>
      </c>
      <c r="C347">
        <v>29</v>
      </c>
      <c r="D347">
        <f>VLOOKUP(C347,Course!$A$1:$C$229, 2, FALSE)</f>
        <v>0</v>
      </c>
      <c r="E347">
        <v>47</v>
      </c>
      <c r="F347" t="s">
        <v>786</v>
      </c>
      <c r="G347">
        <v>1</v>
      </c>
      <c r="H347" s="6">
        <v>0.8</v>
      </c>
      <c r="I347">
        <v>1</v>
      </c>
    </row>
    <row r="348" spans="1:9" x14ac:dyDescent="0.2">
      <c r="A348" s="2">
        <v>347</v>
      </c>
      <c r="B348">
        <v>347</v>
      </c>
      <c r="C348">
        <v>29</v>
      </c>
      <c r="D348">
        <f>VLOOKUP(C348,Course!$A$1:$C$229, 2, FALSE)</f>
        <v>0</v>
      </c>
      <c r="E348">
        <v>48</v>
      </c>
      <c r="F348" t="s">
        <v>787</v>
      </c>
      <c r="G348">
        <v>1</v>
      </c>
      <c r="H348" s="6">
        <v>0.8</v>
      </c>
      <c r="I348">
        <v>1</v>
      </c>
    </row>
    <row r="349" spans="1:9" x14ac:dyDescent="0.2">
      <c r="A349" s="2">
        <v>348</v>
      </c>
      <c r="B349">
        <v>348</v>
      </c>
      <c r="C349">
        <v>30</v>
      </c>
      <c r="D349">
        <f>VLOOKUP(C349,Course!$A$1:$C$229, 2, FALSE)</f>
        <v>0</v>
      </c>
      <c r="E349">
        <v>49</v>
      </c>
      <c r="F349" t="s">
        <v>788</v>
      </c>
      <c r="G349">
        <v>1</v>
      </c>
      <c r="H349" s="6">
        <v>0.8</v>
      </c>
      <c r="I349">
        <v>1</v>
      </c>
    </row>
    <row r="350" spans="1:9" x14ac:dyDescent="0.2">
      <c r="A350" s="2">
        <v>349</v>
      </c>
      <c r="B350">
        <v>349</v>
      </c>
      <c r="C350">
        <v>30</v>
      </c>
      <c r="D350">
        <f>VLOOKUP(C350,Course!$A$1:$C$229, 2, FALSE)</f>
        <v>0</v>
      </c>
      <c r="E350">
        <v>50</v>
      </c>
      <c r="F350" t="s">
        <v>789</v>
      </c>
      <c r="G350">
        <v>1</v>
      </c>
      <c r="H350" s="6">
        <v>0.8</v>
      </c>
      <c r="I350">
        <v>1</v>
      </c>
    </row>
    <row r="351" spans="1:9" x14ac:dyDescent="0.2">
      <c r="A351" s="2">
        <v>350</v>
      </c>
      <c r="B351">
        <v>350</v>
      </c>
      <c r="C351">
        <v>30</v>
      </c>
      <c r="D351">
        <f>VLOOKUP(C351,Course!$A$1:$C$229, 2, FALSE)</f>
        <v>0</v>
      </c>
      <c r="E351">
        <v>51</v>
      </c>
      <c r="F351" t="s">
        <v>790</v>
      </c>
      <c r="G351">
        <v>1</v>
      </c>
      <c r="H351" s="6">
        <v>0.8</v>
      </c>
      <c r="I351">
        <v>1</v>
      </c>
    </row>
    <row r="352" spans="1:9" x14ac:dyDescent="0.2">
      <c r="A352" s="2">
        <v>351</v>
      </c>
      <c r="B352">
        <v>351</v>
      </c>
      <c r="C352">
        <v>30</v>
      </c>
      <c r="D352">
        <f>VLOOKUP(C352,Course!$A$1:$C$229, 2, FALSE)</f>
        <v>0</v>
      </c>
      <c r="E352">
        <v>52</v>
      </c>
      <c r="F352" t="s">
        <v>791</v>
      </c>
      <c r="G352">
        <v>1</v>
      </c>
      <c r="H352" s="6">
        <v>0.8</v>
      </c>
      <c r="I352">
        <v>1</v>
      </c>
    </row>
    <row r="353" spans="1:9" x14ac:dyDescent="0.2">
      <c r="A353" s="2">
        <v>352</v>
      </c>
      <c r="B353">
        <v>352</v>
      </c>
      <c r="C353">
        <v>30</v>
      </c>
      <c r="D353">
        <f>VLOOKUP(C353,Course!$A$1:$C$229, 2, FALSE)</f>
        <v>0</v>
      </c>
      <c r="E353">
        <v>53</v>
      </c>
      <c r="F353" t="s">
        <v>792</v>
      </c>
      <c r="G353">
        <v>1</v>
      </c>
      <c r="H353" s="6">
        <v>0.8</v>
      </c>
      <c r="I353">
        <v>1</v>
      </c>
    </row>
    <row r="354" spans="1:9" x14ac:dyDescent="0.2">
      <c r="A354" s="2">
        <v>353</v>
      </c>
      <c r="B354">
        <v>353</v>
      </c>
      <c r="C354">
        <v>30</v>
      </c>
      <c r="D354">
        <f>VLOOKUP(C354,Course!$A$1:$C$229, 2, FALSE)</f>
        <v>0</v>
      </c>
      <c r="E354">
        <v>54</v>
      </c>
      <c r="F354" t="s">
        <v>793</v>
      </c>
      <c r="G354">
        <v>1</v>
      </c>
      <c r="H354" s="6">
        <v>0.8</v>
      </c>
      <c r="I354">
        <v>1</v>
      </c>
    </row>
    <row r="355" spans="1:9" x14ac:dyDescent="0.2">
      <c r="A355" s="2">
        <v>354</v>
      </c>
      <c r="B355">
        <v>354</v>
      </c>
      <c r="C355">
        <v>30</v>
      </c>
      <c r="D355">
        <f>VLOOKUP(C355,Course!$A$1:$C$229, 2, FALSE)</f>
        <v>0</v>
      </c>
      <c r="E355">
        <v>55</v>
      </c>
      <c r="F355" t="s">
        <v>794</v>
      </c>
      <c r="G355">
        <v>1</v>
      </c>
      <c r="H355" s="6">
        <v>0.8</v>
      </c>
      <c r="I355">
        <v>1</v>
      </c>
    </row>
    <row r="356" spans="1:9" x14ac:dyDescent="0.2">
      <c r="A356" s="2">
        <v>355</v>
      </c>
      <c r="B356">
        <v>355</v>
      </c>
      <c r="C356">
        <v>30</v>
      </c>
      <c r="D356">
        <f>VLOOKUP(C356,Course!$A$1:$C$229, 2, FALSE)</f>
        <v>0</v>
      </c>
      <c r="E356">
        <v>56</v>
      </c>
      <c r="F356" t="s">
        <v>795</v>
      </c>
      <c r="G356">
        <v>1</v>
      </c>
      <c r="H356" s="6">
        <v>0.8</v>
      </c>
      <c r="I356">
        <v>1</v>
      </c>
    </row>
    <row r="357" spans="1:9" x14ac:dyDescent="0.2">
      <c r="A357" s="2">
        <v>356</v>
      </c>
      <c r="B357">
        <v>356</v>
      </c>
      <c r="C357">
        <v>30</v>
      </c>
      <c r="D357">
        <f>VLOOKUP(C357,Course!$A$1:$C$229, 2, FALSE)</f>
        <v>0</v>
      </c>
      <c r="E357">
        <v>57</v>
      </c>
      <c r="F357" t="s">
        <v>796</v>
      </c>
      <c r="G357">
        <v>1</v>
      </c>
      <c r="H357" s="6">
        <v>0.8</v>
      </c>
      <c r="I357">
        <v>1</v>
      </c>
    </row>
    <row r="358" spans="1:9" x14ac:dyDescent="0.2">
      <c r="A358" s="2">
        <v>357</v>
      </c>
      <c r="B358">
        <v>357</v>
      </c>
      <c r="C358">
        <v>30</v>
      </c>
      <c r="D358">
        <f>VLOOKUP(C358,Course!$A$1:$C$229, 2, FALSE)</f>
        <v>0</v>
      </c>
      <c r="E358">
        <v>58</v>
      </c>
      <c r="F358" t="s">
        <v>797</v>
      </c>
      <c r="G358">
        <v>1</v>
      </c>
      <c r="H358" s="6">
        <v>0.8</v>
      </c>
      <c r="I358">
        <v>1</v>
      </c>
    </row>
    <row r="359" spans="1:9" x14ac:dyDescent="0.2">
      <c r="A359" s="2">
        <v>358</v>
      </c>
      <c r="B359">
        <v>358</v>
      </c>
      <c r="C359">
        <v>30</v>
      </c>
      <c r="D359">
        <f>VLOOKUP(C359,Course!$A$1:$C$229, 2, FALSE)</f>
        <v>0</v>
      </c>
      <c r="E359">
        <v>59</v>
      </c>
      <c r="F359" t="s">
        <v>798</v>
      </c>
      <c r="G359">
        <v>1</v>
      </c>
      <c r="H359" s="6">
        <v>0.8</v>
      </c>
      <c r="I359">
        <v>1</v>
      </c>
    </row>
    <row r="360" spans="1:9" x14ac:dyDescent="0.2">
      <c r="A360" s="2">
        <v>359</v>
      </c>
      <c r="B360">
        <v>359</v>
      </c>
      <c r="C360">
        <v>30</v>
      </c>
      <c r="D360">
        <f>VLOOKUP(C360,Course!$A$1:$C$229, 2, FALSE)</f>
        <v>0</v>
      </c>
      <c r="E360">
        <v>60</v>
      </c>
      <c r="F360" t="s">
        <v>799</v>
      </c>
      <c r="G360">
        <v>1</v>
      </c>
      <c r="H360" s="6">
        <v>0.8</v>
      </c>
      <c r="I360">
        <v>1</v>
      </c>
    </row>
    <row r="361" spans="1:9" x14ac:dyDescent="0.2">
      <c r="A361" s="2">
        <v>360</v>
      </c>
      <c r="B361">
        <v>360</v>
      </c>
      <c r="C361">
        <v>31</v>
      </c>
      <c r="D361">
        <f>VLOOKUP(C361,Course!$A$1:$C$229, 2, FALSE)</f>
        <v>0</v>
      </c>
      <c r="E361">
        <v>49</v>
      </c>
      <c r="F361" t="s">
        <v>800</v>
      </c>
      <c r="G361">
        <v>1</v>
      </c>
      <c r="H361" s="6">
        <v>0.8</v>
      </c>
      <c r="I361">
        <v>1</v>
      </c>
    </row>
    <row r="362" spans="1:9" x14ac:dyDescent="0.2">
      <c r="A362" s="2">
        <v>361</v>
      </c>
      <c r="B362">
        <v>361</v>
      </c>
      <c r="C362">
        <v>31</v>
      </c>
      <c r="D362">
        <f>VLOOKUP(C362,Course!$A$1:$C$229, 2, FALSE)</f>
        <v>0</v>
      </c>
      <c r="E362">
        <v>50</v>
      </c>
      <c r="F362" t="s">
        <v>801</v>
      </c>
      <c r="G362">
        <v>1</v>
      </c>
      <c r="H362" s="6">
        <v>0.8</v>
      </c>
      <c r="I362">
        <v>1</v>
      </c>
    </row>
    <row r="363" spans="1:9" x14ac:dyDescent="0.2">
      <c r="A363" s="2">
        <v>362</v>
      </c>
      <c r="B363">
        <v>362</v>
      </c>
      <c r="C363">
        <v>31</v>
      </c>
      <c r="D363">
        <f>VLOOKUP(C363,Course!$A$1:$C$229, 2, FALSE)</f>
        <v>0</v>
      </c>
      <c r="E363">
        <v>51</v>
      </c>
      <c r="F363" t="s">
        <v>802</v>
      </c>
      <c r="G363">
        <v>1</v>
      </c>
      <c r="H363" s="6">
        <v>0.8</v>
      </c>
      <c r="I363">
        <v>1</v>
      </c>
    </row>
    <row r="364" spans="1:9" x14ac:dyDescent="0.2">
      <c r="A364" s="2">
        <v>363</v>
      </c>
      <c r="B364">
        <v>363</v>
      </c>
      <c r="C364">
        <v>31</v>
      </c>
      <c r="D364">
        <f>VLOOKUP(C364,Course!$A$1:$C$229, 2, FALSE)</f>
        <v>0</v>
      </c>
      <c r="E364">
        <v>52</v>
      </c>
      <c r="F364" t="s">
        <v>803</v>
      </c>
      <c r="G364">
        <v>1</v>
      </c>
      <c r="H364" s="6">
        <v>0.8</v>
      </c>
      <c r="I364">
        <v>1</v>
      </c>
    </row>
    <row r="365" spans="1:9" x14ac:dyDescent="0.2">
      <c r="A365" s="2">
        <v>364</v>
      </c>
      <c r="B365">
        <v>364</v>
      </c>
      <c r="C365">
        <v>31</v>
      </c>
      <c r="D365">
        <f>VLOOKUP(C365,Course!$A$1:$C$229, 2, FALSE)</f>
        <v>0</v>
      </c>
      <c r="E365">
        <v>53</v>
      </c>
      <c r="F365" t="s">
        <v>804</v>
      </c>
      <c r="G365">
        <v>1</v>
      </c>
      <c r="H365" s="6">
        <v>0.8</v>
      </c>
      <c r="I365">
        <v>1</v>
      </c>
    </row>
    <row r="366" spans="1:9" x14ac:dyDescent="0.2">
      <c r="A366" s="2">
        <v>365</v>
      </c>
      <c r="B366">
        <v>365</v>
      </c>
      <c r="C366">
        <v>31</v>
      </c>
      <c r="D366">
        <f>VLOOKUP(C366,Course!$A$1:$C$229, 2, FALSE)</f>
        <v>0</v>
      </c>
      <c r="E366">
        <v>54</v>
      </c>
      <c r="F366" t="s">
        <v>805</v>
      </c>
      <c r="G366">
        <v>1</v>
      </c>
      <c r="H366" s="6">
        <v>0.8</v>
      </c>
      <c r="I366">
        <v>1</v>
      </c>
    </row>
    <row r="367" spans="1:9" x14ac:dyDescent="0.2">
      <c r="A367" s="2">
        <v>366</v>
      </c>
      <c r="B367">
        <v>366</v>
      </c>
      <c r="C367">
        <v>31</v>
      </c>
      <c r="D367">
        <f>VLOOKUP(C367,Course!$A$1:$C$229, 2, FALSE)</f>
        <v>0</v>
      </c>
      <c r="E367">
        <v>55</v>
      </c>
      <c r="F367" t="s">
        <v>806</v>
      </c>
      <c r="G367">
        <v>1</v>
      </c>
      <c r="H367" s="6">
        <v>0.8</v>
      </c>
      <c r="I367">
        <v>1</v>
      </c>
    </row>
    <row r="368" spans="1:9" x14ac:dyDescent="0.2">
      <c r="A368" s="2">
        <v>367</v>
      </c>
      <c r="B368">
        <v>367</v>
      </c>
      <c r="C368">
        <v>31</v>
      </c>
      <c r="D368">
        <f>VLOOKUP(C368,Course!$A$1:$C$229, 2, FALSE)</f>
        <v>0</v>
      </c>
      <c r="E368">
        <v>56</v>
      </c>
      <c r="F368" t="s">
        <v>807</v>
      </c>
      <c r="G368">
        <v>1</v>
      </c>
      <c r="H368" s="6">
        <v>0.8</v>
      </c>
      <c r="I368">
        <v>1</v>
      </c>
    </row>
    <row r="369" spans="1:9" x14ac:dyDescent="0.2">
      <c r="A369" s="2">
        <v>368</v>
      </c>
      <c r="B369">
        <v>368</v>
      </c>
      <c r="C369">
        <v>31</v>
      </c>
      <c r="D369">
        <f>VLOOKUP(C369,Course!$A$1:$C$229, 2, FALSE)</f>
        <v>0</v>
      </c>
      <c r="E369">
        <v>57</v>
      </c>
      <c r="F369" t="s">
        <v>808</v>
      </c>
      <c r="G369">
        <v>1</v>
      </c>
      <c r="H369" s="6">
        <v>0.8</v>
      </c>
      <c r="I369">
        <v>1</v>
      </c>
    </row>
    <row r="370" spans="1:9" x14ac:dyDescent="0.2">
      <c r="A370" s="2">
        <v>369</v>
      </c>
      <c r="B370">
        <v>369</v>
      </c>
      <c r="C370">
        <v>31</v>
      </c>
      <c r="D370">
        <f>VLOOKUP(C370,Course!$A$1:$C$229, 2, FALSE)</f>
        <v>0</v>
      </c>
      <c r="E370">
        <v>58</v>
      </c>
      <c r="F370" t="s">
        <v>809</v>
      </c>
      <c r="G370">
        <v>1</v>
      </c>
      <c r="H370" s="6">
        <v>0.8</v>
      </c>
      <c r="I370">
        <v>1</v>
      </c>
    </row>
    <row r="371" spans="1:9" x14ac:dyDescent="0.2">
      <c r="A371" s="2">
        <v>370</v>
      </c>
      <c r="B371">
        <v>370</v>
      </c>
      <c r="C371">
        <v>31</v>
      </c>
      <c r="D371">
        <f>VLOOKUP(C371,Course!$A$1:$C$229, 2, FALSE)</f>
        <v>0</v>
      </c>
      <c r="E371">
        <v>59</v>
      </c>
      <c r="F371" t="s">
        <v>810</v>
      </c>
      <c r="G371">
        <v>1</v>
      </c>
      <c r="H371" s="6">
        <v>0.8</v>
      </c>
      <c r="I371">
        <v>1</v>
      </c>
    </row>
    <row r="372" spans="1:9" x14ac:dyDescent="0.2">
      <c r="A372" s="2">
        <v>371</v>
      </c>
      <c r="B372">
        <v>371</v>
      </c>
      <c r="C372">
        <v>31</v>
      </c>
      <c r="D372">
        <f>VLOOKUP(C372,Course!$A$1:$C$229, 2, FALSE)</f>
        <v>0</v>
      </c>
      <c r="E372">
        <v>60</v>
      </c>
      <c r="F372" t="s">
        <v>811</v>
      </c>
      <c r="G372">
        <v>1</v>
      </c>
      <c r="H372" s="6">
        <v>0.8</v>
      </c>
      <c r="I372">
        <v>1</v>
      </c>
    </row>
    <row r="373" spans="1:9" x14ac:dyDescent="0.2">
      <c r="A373" s="2">
        <v>372</v>
      </c>
      <c r="B373">
        <v>372</v>
      </c>
      <c r="C373">
        <v>32</v>
      </c>
      <c r="D373">
        <f>VLOOKUP(C373,Course!$A$1:$C$229, 2, FALSE)</f>
        <v>0</v>
      </c>
      <c r="E373">
        <v>49</v>
      </c>
      <c r="F373" t="s">
        <v>812</v>
      </c>
      <c r="G373">
        <v>1</v>
      </c>
      <c r="H373" s="6">
        <v>0.9</v>
      </c>
      <c r="I373">
        <v>1</v>
      </c>
    </row>
    <row r="374" spans="1:9" x14ac:dyDescent="0.2">
      <c r="A374" s="2">
        <v>373</v>
      </c>
      <c r="B374">
        <v>373</v>
      </c>
      <c r="C374">
        <v>32</v>
      </c>
      <c r="D374">
        <f>VLOOKUP(C374,Course!$A$1:$C$229, 2, FALSE)</f>
        <v>0</v>
      </c>
      <c r="E374">
        <v>50</v>
      </c>
      <c r="F374" t="s">
        <v>813</v>
      </c>
      <c r="G374">
        <v>1</v>
      </c>
      <c r="H374" s="6">
        <v>0.9</v>
      </c>
      <c r="I374">
        <v>1</v>
      </c>
    </row>
    <row r="375" spans="1:9" x14ac:dyDescent="0.2">
      <c r="A375" s="2">
        <v>374</v>
      </c>
      <c r="B375">
        <v>374</v>
      </c>
      <c r="C375">
        <v>32</v>
      </c>
      <c r="D375">
        <f>VLOOKUP(C375,Course!$A$1:$C$229, 2, FALSE)</f>
        <v>0</v>
      </c>
      <c r="E375">
        <v>51</v>
      </c>
      <c r="F375" t="s">
        <v>814</v>
      </c>
      <c r="G375">
        <v>1</v>
      </c>
      <c r="H375" s="6">
        <v>0.9</v>
      </c>
      <c r="I375">
        <v>1</v>
      </c>
    </row>
    <row r="376" spans="1:9" x14ac:dyDescent="0.2">
      <c r="A376" s="2">
        <v>375</v>
      </c>
      <c r="B376">
        <v>375</v>
      </c>
      <c r="C376">
        <v>32</v>
      </c>
      <c r="D376">
        <f>VLOOKUP(C376,Course!$A$1:$C$229, 2, FALSE)</f>
        <v>0</v>
      </c>
      <c r="E376">
        <v>52</v>
      </c>
      <c r="F376" t="s">
        <v>815</v>
      </c>
      <c r="G376">
        <v>1</v>
      </c>
      <c r="H376" s="6">
        <v>0.9</v>
      </c>
      <c r="I376">
        <v>1</v>
      </c>
    </row>
    <row r="377" spans="1:9" x14ac:dyDescent="0.2">
      <c r="A377" s="2">
        <v>376</v>
      </c>
      <c r="B377">
        <v>376</v>
      </c>
      <c r="C377">
        <v>32</v>
      </c>
      <c r="D377">
        <f>VLOOKUP(C377,Course!$A$1:$C$229, 2, FALSE)</f>
        <v>0</v>
      </c>
      <c r="E377">
        <v>53</v>
      </c>
      <c r="F377" t="s">
        <v>816</v>
      </c>
      <c r="G377">
        <v>1</v>
      </c>
      <c r="H377" s="6">
        <v>0.9</v>
      </c>
      <c r="I377">
        <v>1</v>
      </c>
    </row>
    <row r="378" spans="1:9" x14ac:dyDescent="0.2">
      <c r="A378" s="2">
        <v>377</v>
      </c>
      <c r="B378">
        <v>377</v>
      </c>
      <c r="C378">
        <v>32</v>
      </c>
      <c r="D378">
        <f>VLOOKUP(C378,Course!$A$1:$C$229, 2, FALSE)</f>
        <v>0</v>
      </c>
      <c r="E378">
        <v>54</v>
      </c>
      <c r="F378" t="s">
        <v>817</v>
      </c>
      <c r="G378">
        <v>1</v>
      </c>
      <c r="H378" s="6">
        <v>0.9</v>
      </c>
      <c r="I378">
        <v>1</v>
      </c>
    </row>
    <row r="379" spans="1:9" x14ac:dyDescent="0.2">
      <c r="A379" s="2">
        <v>378</v>
      </c>
      <c r="B379">
        <v>378</v>
      </c>
      <c r="C379">
        <v>32</v>
      </c>
      <c r="D379">
        <f>VLOOKUP(C379,Course!$A$1:$C$229, 2, FALSE)</f>
        <v>0</v>
      </c>
      <c r="E379">
        <v>55</v>
      </c>
      <c r="F379" t="s">
        <v>818</v>
      </c>
      <c r="G379">
        <v>1</v>
      </c>
      <c r="H379" s="6">
        <v>0.9</v>
      </c>
      <c r="I379">
        <v>1</v>
      </c>
    </row>
    <row r="380" spans="1:9" x14ac:dyDescent="0.2">
      <c r="A380" s="2">
        <v>379</v>
      </c>
      <c r="B380">
        <v>379</v>
      </c>
      <c r="C380">
        <v>32</v>
      </c>
      <c r="D380">
        <f>VLOOKUP(C380,Course!$A$1:$C$229, 2, FALSE)</f>
        <v>0</v>
      </c>
      <c r="E380">
        <v>56</v>
      </c>
      <c r="F380" t="s">
        <v>819</v>
      </c>
      <c r="G380">
        <v>1</v>
      </c>
      <c r="H380" s="6">
        <v>0.9</v>
      </c>
      <c r="I380">
        <v>1</v>
      </c>
    </row>
    <row r="381" spans="1:9" x14ac:dyDescent="0.2">
      <c r="A381" s="2">
        <v>380</v>
      </c>
      <c r="B381">
        <v>380</v>
      </c>
      <c r="C381">
        <v>32</v>
      </c>
      <c r="D381">
        <f>VLOOKUP(C381,Course!$A$1:$C$229, 2, FALSE)</f>
        <v>0</v>
      </c>
      <c r="E381">
        <v>57</v>
      </c>
      <c r="F381" t="s">
        <v>820</v>
      </c>
      <c r="G381">
        <v>1</v>
      </c>
      <c r="H381" s="6">
        <v>0.9</v>
      </c>
      <c r="I381">
        <v>1</v>
      </c>
    </row>
    <row r="382" spans="1:9" x14ac:dyDescent="0.2">
      <c r="A382" s="2">
        <v>381</v>
      </c>
      <c r="B382">
        <v>381</v>
      </c>
      <c r="C382">
        <v>32</v>
      </c>
      <c r="D382">
        <f>VLOOKUP(C382,Course!$A$1:$C$229, 2, FALSE)</f>
        <v>0</v>
      </c>
      <c r="E382">
        <v>58</v>
      </c>
      <c r="F382" t="s">
        <v>821</v>
      </c>
      <c r="G382">
        <v>1</v>
      </c>
      <c r="H382" s="6">
        <v>0.9</v>
      </c>
      <c r="I382">
        <v>1</v>
      </c>
    </row>
    <row r="383" spans="1:9" x14ac:dyDescent="0.2">
      <c r="A383" s="2">
        <v>382</v>
      </c>
      <c r="B383">
        <v>382</v>
      </c>
      <c r="C383">
        <v>32</v>
      </c>
      <c r="D383">
        <f>VLOOKUP(C383,Course!$A$1:$C$229, 2, FALSE)</f>
        <v>0</v>
      </c>
      <c r="E383">
        <v>59</v>
      </c>
      <c r="F383" t="s">
        <v>822</v>
      </c>
      <c r="G383">
        <v>1</v>
      </c>
      <c r="H383" s="6">
        <v>0.9</v>
      </c>
      <c r="I383">
        <v>1</v>
      </c>
    </row>
    <row r="384" spans="1:9" x14ac:dyDescent="0.2">
      <c r="A384" s="2">
        <v>383</v>
      </c>
      <c r="B384">
        <v>383</v>
      </c>
      <c r="C384">
        <v>32</v>
      </c>
      <c r="D384">
        <f>VLOOKUP(C384,Course!$A$1:$C$229, 2, FALSE)</f>
        <v>0</v>
      </c>
      <c r="E384">
        <v>60</v>
      </c>
      <c r="F384" t="s">
        <v>823</v>
      </c>
      <c r="G384">
        <v>1</v>
      </c>
      <c r="H384" s="6">
        <v>0.9</v>
      </c>
      <c r="I384">
        <v>1</v>
      </c>
    </row>
    <row r="385" spans="1:9" x14ac:dyDescent="0.2">
      <c r="A385" s="2">
        <v>384</v>
      </c>
      <c r="B385">
        <v>384</v>
      </c>
      <c r="C385">
        <v>33</v>
      </c>
      <c r="D385">
        <f>VLOOKUP(C385,Course!$A$1:$C$229, 2, FALSE)</f>
        <v>0</v>
      </c>
      <c r="E385">
        <v>49</v>
      </c>
      <c r="F385" t="s">
        <v>824</v>
      </c>
      <c r="G385">
        <v>1</v>
      </c>
      <c r="H385" s="6">
        <v>0.8</v>
      </c>
      <c r="I385">
        <v>1</v>
      </c>
    </row>
    <row r="386" spans="1:9" x14ac:dyDescent="0.2">
      <c r="A386" s="2">
        <v>385</v>
      </c>
      <c r="B386">
        <v>385</v>
      </c>
      <c r="C386">
        <v>33</v>
      </c>
      <c r="D386">
        <f>VLOOKUP(C386,Course!$A$1:$C$229, 2, FALSE)</f>
        <v>0</v>
      </c>
      <c r="E386">
        <v>50</v>
      </c>
      <c r="F386" t="s">
        <v>825</v>
      </c>
      <c r="G386">
        <v>1</v>
      </c>
      <c r="H386" s="6">
        <v>0.8</v>
      </c>
      <c r="I386">
        <v>1</v>
      </c>
    </row>
    <row r="387" spans="1:9" x14ac:dyDescent="0.2">
      <c r="A387" s="2">
        <v>386</v>
      </c>
      <c r="B387">
        <v>386</v>
      </c>
      <c r="C387">
        <v>33</v>
      </c>
      <c r="D387">
        <f>VLOOKUP(C387,Course!$A$1:$C$229, 2, FALSE)</f>
        <v>0</v>
      </c>
      <c r="E387">
        <v>51</v>
      </c>
      <c r="F387" t="s">
        <v>826</v>
      </c>
      <c r="G387">
        <v>1</v>
      </c>
      <c r="H387" s="6">
        <v>0.8</v>
      </c>
      <c r="I387">
        <v>1</v>
      </c>
    </row>
    <row r="388" spans="1:9" x14ac:dyDescent="0.2">
      <c r="A388" s="2">
        <v>387</v>
      </c>
      <c r="B388">
        <v>387</v>
      </c>
      <c r="C388">
        <v>33</v>
      </c>
      <c r="D388">
        <f>VLOOKUP(C388,Course!$A$1:$C$229, 2, FALSE)</f>
        <v>0</v>
      </c>
      <c r="E388">
        <v>52</v>
      </c>
      <c r="F388" t="s">
        <v>827</v>
      </c>
      <c r="G388">
        <v>1</v>
      </c>
      <c r="H388" s="6">
        <v>0.8</v>
      </c>
      <c r="I388">
        <v>1</v>
      </c>
    </row>
    <row r="389" spans="1:9" x14ac:dyDescent="0.2">
      <c r="A389" s="2">
        <v>388</v>
      </c>
      <c r="B389">
        <v>388</v>
      </c>
      <c r="C389">
        <v>33</v>
      </c>
      <c r="D389">
        <f>VLOOKUP(C389,Course!$A$1:$C$229, 2, FALSE)</f>
        <v>0</v>
      </c>
      <c r="E389">
        <v>53</v>
      </c>
      <c r="F389" t="s">
        <v>828</v>
      </c>
      <c r="G389">
        <v>1</v>
      </c>
      <c r="H389" s="6">
        <v>0.8</v>
      </c>
      <c r="I389">
        <v>1</v>
      </c>
    </row>
    <row r="390" spans="1:9" x14ac:dyDescent="0.2">
      <c r="A390" s="2">
        <v>389</v>
      </c>
      <c r="B390">
        <v>389</v>
      </c>
      <c r="C390">
        <v>33</v>
      </c>
      <c r="D390">
        <f>VLOOKUP(C390,Course!$A$1:$C$229, 2, FALSE)</f>
        <v>0</v>
      </c>
      <c r="E390">
        <v>54</v>
      </c>
      <c r="F390" t="s">
        <v>829</v>
      </c>
      <c r="G390">
        <v>1</v>
      </c>
      <c r="H390" s="6">
        <v>0.8</v>
      </c>
      <c r="I390">
        <v>1</v>
      </c>
    </row>
    <row r="391" spans="1:9" x14ac:dyDescent="0.2">
      <c r="A391" s="2">
        <v>390</v>
      </c>
      <c r="B391">
        <v>390</v>
      </c>
      <c r="C391">
        <v>33</v>
      </c>
      <c r="D391">
        <f>VLOOKUP(C391,Course!$A$1:$C$229, 2, FALSE)</f>
        <v>0</v>
      </c>
      <c r="E391">
        <v>55</v>
      </c>
      <c r="F391" t="s">
        <v>830</v>
      </c>
      <c r="G391">
        <v>1</v>
      </c>
      <c r="H391" s="6">
        <v>0.8</v>
      </c>
      <c r="I391">
        <v>1</v>
      </c>
    </row>
    <row r="392" spans="1:9" x14ac:dyDescent="0.2">
      <c r="A392" s="2">
        <v>391</v>
      </c>
      <c r="B392">
        <v>391</v>
      </c>
      <c r="C392">
        <v>33</v>
      </c>
      <c r="D392">
        <f>VLOOKUP(C392,Course!$A$1:$C$229, 2, FALSE)</f>
        <v>0</v>
      </c>
      <c r="E392">
        <v>56</v>
      </c>
      <c r="F392" t="s">
        <v>831</v>
      </c>
      <c r="G392">
        <v>1</v>
      </c>
      <c r="H392" s="6">
        <v>0.8</v>
      </c>
      <c r="I392">
        <v>1</v>
      </c>
    </row>
    <row r="393" spans="1:9" x14ac:dyDescent="0.2">
      <c r="A393" s="2">
        <v>392</v>
      </c>
      <c r="B393">
        <v>392</v>
      </c>
      <c r="C393">
        <v>33</v>
      </c>
      <c r="D393">
        <f>VLOOKUP(C393,Course!$A$1:$C$229, 2, FALSE)</f>
        <v>0</v>
      </c>
      <c r="E393">
        <v>57</v>
      </c>
      <c r="F393" t="s">
        <v>832</v>
      </c>
      <c r="G393">
        <v>1</v>
      </c>
      <c r="H393" s="6">
        <v>0.8</v>
      </c>
      <c r="I393">
        <v>1</v>
      </c>
    </row>
    <row r="394" spans="1:9" x14ac:dyDescent="0.2">
      <c r="A394" s="2">
        <v>393</v>
      </c>
      <c r="B394">
        <v>393</v>
      </c>
      <c r="C394">
        <v>33</v>
      </c>
      <c r="D394">
        <f>VLOOKUP(C394,Course!$A$1:$C$229, 2, FALSE)</f>
        <v>0</v>
      </c>
      <c r="E394">
        <v>58</v>
      </c>
      <c r="F394" t="s">
        <v>833</v>
      </c>
      <c r="G394">
        <v>1</v>
      </c>
      <c r="H394" s="6">
        <v>0.8</v>
      </c>
      <c r="I394">
        <v>1</v>
      </c>
    </row>
    <row r="395" spans="1:9" x14ac:dyDescent="0.2">
      <c r="A395" s="2">
        <v>394</v>
      </c>
      <c r="B395">
        <v>394</v>
      </c>
      <c r="C395">
        <v>33</v>
      </c>
      <c r="D395">
        <f>VLOOKUP(C395,Course!$A$1:$C$229, 2, FALSE)</f>
        <v>0</v>
      </c>
      <c r="E395">
        <v>59</v>
      </c>
      <c r="F395" t="s">
        <v>834</v>
      </c>
      <c r="G395">
        <v>1</v>
      </c>
      <c r="H395" s="6">
        <v>0.8</v>
      </c>
      <c r="I395">
        <v>1</v>
      </c>
    </row>
    <row r="396" spans="1:9" x14ac:dyDescent="0.2">
      <c r="A396" s="2">
        <v>395</v>
      </c>
      <c r="B396">
        <v>395</v>
      </c>
      <c r="C396">
        <v>33</v>
      </c>
      <c r="D396">
        <f>VLOOKUP(C396,Course!$A$1:$C$229, 2, FALSE)</f>
        <v>0</v>
      </c>
      <c r="E396">
        <v>60</v>
      </c>
      <c r="F396" t="s">
        <v>835</v>
      </c>
      <c r="G396">
        <v>1</v>
      </c>
      <c r="H396" s="6">
        <v>0.8</v>
      </c>
      <c r="I396">
        <v>1</v>
      </c>
    </row>
    <row r="397" spans="1:9" x14ac:dyDescent="0.2">
      <c r="A397" s="2">
        <v>396</v>
      </c>
      <c r="B397">
        <v>396</v>
      </c>
      <c r="C397">
        <v>34</v>
      </c>
      <c r="D397">
        <f>VLOOKUP(C397,Course!$A$1:$C$229, 2, FALSE)</f>
        <v>0</v>
      </c>
      <c r="E397">
        <v>49</v>
      </c>
      <c r="F397" t="s">
        <v>836</v>
      </c>
      <c r="G397">
        <v>1</v>
      </c>
      <c r="H397" s="6">
        <v>0.8</v>
      </c>
      <c r="I397">
        <v>1</v>
      </c>
    </row>
    <row r="398" spans="1:9" x14ac:dyDescent="0.2">
      <c r="A398" s="2">
        <v>397</v>
      </c>
      <c r="B398">
        <v>397</v>
      </c>
      <c r="C398">
        <v>34</v>
      </c>
      <c r="D398">
        <f>VLOOKUP(C398,Course!$A$1:$C$229, 2, FALSE)</f>
        <v>0</v>
      </c>
      <c r="E398">
        <v>50</v>
      </c>
      <c r="F398" t="s">
        <v>837</v>
      </c>
      <c r="G398">
        <v>1</v>
      </c>
      <c r="H398" s="6">
        <v>0.8</v>
      </c>
      <c r="I398">
        <v>1</v>
      </c>
    </row>
    <row r="399" spans="1:9" x14ac:dyDescent="0.2">
      <c r="A399" s="2">
        <v>398</v>
      </c>
      <c r="B399">
        <v>398</v>
      </c>
      <c r="C399">
        <v>34</v>
      </c>
      <c r="D399">
        <f>VLOOKUP(C399,Course!$A$1:$C$229, 2, FALSE)</f>
        <v>0</v>
      </c>
      <c r="E399">
        <v>51</v>
      </c>
      <c r="F399" t="s">
        <v>838</v>
      </c>
      <c r="G399">
        <v>1</v>
      </c>
      <c r="H399" s="6">
        <v>0.8</v>
      </c>
      <c r="I399">
        <v>1</v>
      </c>
    </row>
    <row r="400" spans="1:9" x14ac:dyDescent="0.2">
      <c r="A400" s="2">
        <v>399</v>
      </c>
      <c r="B400">
        <v>399</v>
      </c>
      <c r="C400">
        <v>34</v>
      </c>
      <c r="D400">
        <f>VLOOKUP(C400,Course!$A$1:$C$229, 2, FALSE)</f>
        <v>0</v>
      </c>
      <c r="E400">
        <v>52</v>
      </c>
      <c r="F400" t="s">
        <v>839</v>
      </c>
      <c r="G400">
        <v>1</v>
      </c>
      <c r="H400" s="6">
        <v>0.8</v>
      </c>
      <c r="I400">
        <v>1</v>
      </c>
    </row>
    <row r="401" spans="1:9" x14ac:dyDescent="0.2">
      <c r="A401" s="2">
        <v>400</v>
      </c>
      <c r="B401">
        <v>400</v>
      </c>
      <c r="C401">
        <v>34</v>
      </c>
      <c r="D401">
        <f>VLOOKUP(C401,Course!$A$1:$C$229, 2, FALSE)</f>
        <v>0</v>
      </c>
      <c r="E401">
        <v>53</v>
      </c>
      <c r="F401" t="s">
        <v>840</v>
      </c>
      <c r="G401">
        <v>1</v>
      </c>
      <c r="H401" s="6">
        <v>0.8</v>
      </c>
      <c r="I401">
        <v>1</v>
      </c>
    </row>
    <row r="402" spans="1:9" x14ac:dyDescent="0.2">
      <c r="A402" s="2">
        <v>401</v>
      </c>
      <c r="B402">
        <v>401</v>
      </c>
      <c r="C402">
        <v>34</v>
      </c>
      <c r="D402">
        <f>VLOOKUP(C402,Course!$A$1:$C$229, 2, FALSE)</f>
        <v>0</v>
      </c>
      <c r="E402">
        <v>54</v>
      </c>
      <c r="F402" t="s">
        <v>841</v>
      </c>
      <c r="G402">
        <v>1</v>
      </c>
      <c r="H402" s="6">
        <v>0.8</v>
      </c>
      <c r="I402">
        <v>1</v>
      </c>
    </row>
    <row r="403" spans="1:9" x14ac:dyDescent="0.2">
      <c r="A403" s="2">
        <v>402</v>
      </c>
      <c r="B403">
        <v>402</v>
      </c>
      <c r="C403">
        <v>34</v>
      </c>
      <c r="D403">
        <f>VLOOKUP(C403,Course!$A$1:$C$229, 2, FALSE)</f>
        <v>0</v>
      </c>
      <c r="E403">
        <v>55</v>
      </c>
      <c r="F403" t="s">
        <v>842</v>
      </c>
      <c r="G403">
        <v>1</v>
      </c>
      <c r="H403" s="6">
        <v>0.8</v>
      </c>
      <c r="I403">
        <v>1</v>
      </c>
    </row>
    <row r="404" spans="1:9" x14ac:dyDescent="0.2">
      <c r="A404" s="2">
        <v>403</v>
      </c>
      <c r="B404">
        <v>403</v>
      </c>
      <c r="C404">
        <v>34</v>
      </c>
      <c r="D404">
        <f>VLOOKUP(C404,Course!$A$1:$C$229, 2, FALSE)</f>
        <v>0</v>
      </c>
      <c r="E404">
        <v>56</v>
      </c>
      <c r="F404" t="s">
        <v>843</v>
      </c>
      <c r="G404">
        <v>1</v>
      </c>
      <c r="H404" s="6">
        <v>0.8</v>
      </c>
      <c r="I404">
        <v>1</v>
      </c>
    </row>
    <row r="405" spans="1:9" x14ac:dyDescent="0.2">
      <c r="A405" s="2">
        <v>404</v>
      </c>
      <c r="B405">
        <v>404</v>
      </c>
      <c r="C405">
        <v>34</v>
      </c>
      <c r="D405">
        <f>VLOOKUP(C405,Course!$A$1:$C$229, 2, FALSE)</f>
        <v>0</v>
      </c>
      <c r="E405">
        <v>57</v>
      </c>
      <c r="F405" t="s">
        <v>844</v>
      </c>
      <c r="G405">
        <v>1</v>
      </c>
      <c r="H405" s="6">
        <v>0.8</v>
      </c>
      <c r="I405">
        <v>1</v>
      </c>
    </row>
    <row r="406" spans="1:9" x14ac:dyDescent="0.2">
      <c r="A406" s="2">
        <v>405</v>
      </c>
      <c r="B406">
        <v>405</v>
      </c>
      <c r="C406">
        <v>34</v>
      </c>
      <c r="D406">
        <f>VLOOKUP(C406,Course!$A$1:$C$229, 2, FALSE)</f>
        <v>0</v>
      </c>
      <c r="E406">
        <v>58</v>
      </c>
      <c r="F406" t="s">
        <v>845</v>
      </c>
      <c r="G406">
        <v>1</v>
      </c>
      <c r="H406" s="6">
        <v>0.8</v>
      </c>
      <c r="I406">
        <v>1</v>
      </c>
    </row>
    <row r="407" spans="1:9" x14ac:dyDescent="0.2">
      <c r="A407" s="2">
        <v>406</v>
      </c>
      <c r="B407">
        <v>406</v>
      </c>
      <c r="C407">
        <v>34</v>
      </c>
      <c r="D407">
        <f>VLOOKUP(C407,Course!$A$1:$C$229, 2, FALSE)</f>
        <v>0</v>
      </c>
      <c r="E407">
        <v>59</v>
      </c>
      <c r="F407" t="s">
        <v>846</v>
      </c>
      <c r="G407">
        <v>1</v>
      </c>
      <c r="H407" s="6">
        <v>0.8</v>
      </c>
      <c r="I407">
        <v>1</v>
      </c>
    </row>
    <row r="408" spans="1:9" x14ac:dyDescent="0.2">
      <c r="A408" s="2">
        <v>407</v>
      </c>
      <c r="B408">
        <v>407</v>
      </c>
      <c r="C408">
        <v>34</v>
      </c>
      <c r="D408">
        <f>VLOOKUP(C408,Course!$A$1:$C$229, 2, FALSE)</f>
        <v>0</v>
      </c>
      <c r="E408">
        <v>60</v>
      </c>
      <c r="F408" t="s">
        <v>847</v>
      </c>
      <c r="G408">
        <v>1</v>
      </c>
      <c r="H408" s="6">
        <v>0.8</v>
      </c>
      <c r="I408">
        <v>1</v>
      </c>
    </row>
    <row r="409" spans="1:9" x14ac:dyDescent="0.2">
      <c r="A409" s="2">
        <v>408</v>
      </c>
      <c r="B409">
        <v>408</v>
      </c>
      <c r="C409">
        <v>35</v>
      </c>
      <c r="D409">
        <f>VLOOKUP(C409,Course!$A$1:$C$229, 2, FALSE)</f>
        <v>0</v>
      </c>
      <c r="E409">
        <v>49</v>
      </c>
      <c r="F409" t="s">
        <v>848</v>
      </c>
      <c r="G409">
        <v>1</v>
      </c>
      <c r="H409" s="6">
        <v>0.8</v>
      </c>
      <c r="I409">
        <v>1</v>
      </c>
    </row>
    <row r="410" spans="1:9" x14ac:dyDescent="0.2">
      <c r="A410" s="2">
        <v>409</v>
      </c>
      <c r="B410">
        <v>409</v>
      </c>
      <c r="C410">
        <v>35</v>
      </c>
      <c r="D410">
        <f>VLOOKUP(C410,Course!$A$1:$C$229, 2, FALSE)</f>
        <v>0</v>
      </c>
      <c r="E410">
        <v>50</v>
      </c>
      <c r="F410" t="s">
        <v>849</v>
      </c>
      <c r="G410">
        <v>1</v>
      </c>
      <c r="H410" s="6">
        <v>0.8</v>
      </c>
      <c r="I410">
        <v>1</v>
      </c>
    </row>
    <row r="411" spans="1:9" x14ac:dyDescent="0.2">
      <c r="A411" s="2">
        <v>410</v>
      </c>
      <c r="B411">
        <v>410</v>
      </c>
      <c r="C411">
        <v>35</v>
      </c>
      <c r="D411">
        <f>VLOOKUP(C411,Course!$A$1:$C$229, 2, FALSE)</f>
        <v>0</v>
      </c>
      <c r="E411">
        <v>51</v>
      </c>
      <c r="F411" t="s">
        <v>850</v>
      </c>
      <c r="G411">
        <v>1</v>
      </c>
      <c r="H411" s="6">
        <v>0.8</v>
      </c>
      <c r="I411">
        <v>1</v>
      </c>
    </row>
    <row r="412" spans="1:9" x14ac:dyDescent="0.2">
      <c r="A412" s="2">
        <v>411</v>
      </c>
      <c r="B412">
        <v>411</v>
      </c>
      <c r="C412">
        <v>35</v>
      </c>
      <c r="D412">
        <f>VLOOKUP(C412,Course!$A$1:$C$229, 2, FALSE)</f>
        <v>0</v>
      </c>
      <c r="E412">
        <v>52</v>
      </c>
      <c r="F412" t="s">
        <v>851</v>
      </c>
      <c r="G412">
        <v>1</v>
      </c>
      <c r="H412" s="6">
        <v>0.8</v>
      </c>
      <c r="I412">
        <v>1</v>
      </c>
    </row>
    <row r="413" spans="1:9" x14ac:dyDescent="0.2">
      <c r="A413" s="2">
        <v>412</v>
      </c>
      <c r="B413">
        <v>412</v>
      </c>
      <c r="C413">
        <v>35</v>
      </c>
      <c r="D413">
        <f>VLOOKUP(C413,Course!$A$1:$C$229, 2, FALSE)</f>
        <v>0</v>
      </c>
      <c r="E413">
        <v>53</v>
      </c>
      <c r="F413" t="s">
        <v>852</v>
      </c>
      <c r="G413">
        <v>1</v>
      </c>
      <c r="H413" s="6">
        <v>0.8</v>
      </c>
      <c r="I413">
        <v>1</v>
      </c>
    </row>
    <row r="414" spans="1:9" x14ac:dyDescent="0.2">
      <c r="A414" s="2">
        <v>413</v>
      </c>
      <c r="B414">
        <v>413</v>
      </c>
      <c r="C414">
        <v>35</v>
      </c>
      <c r="D414">
        <f>VLOOKUP(C414,Course!$A$1:$C$229, 2, FALSE)</f>
        <v>0</v>
      </c>
      <c r="E414">
        <v>54</v>
      </c>
      <c r="F414" t="s">
        <v>853</v>
      </c>
      <c r="G414">
        <v>1</v>
      </c>
      <c r="H414" s="6">
        <v>0.8</v>
      </c>
      <c r="I414">
        <v>1</v>
      </c>
    </row>
    <row r="415" spans="1:9" x14ac:dyDescent="0.2">
      <c r="A415" s="2">
        <v>414</v>
      </c>
      <c r="B415">
        <v>414</v>
      </c>
      <c r="C415">
        <v>35</v>
      </c>
      <c r="D415">
        <f>VLOOKUP(C415,Course!$A$1:$C$229, 2, FALSE)</f>
        <v>0</v>
      </c>
      <c r="E415">
        <v>55</v>
      </c>
      <c r="F415" t="s">
        <v>854</v>
      </c>
      <c r="G415">
        <v>1</v>
      </c>
      <c r="H415" s="6">
        <v>0.8</v>
      </c>
      <c r="I415">
        <v>1</v>
      </c>
    </row>
    <row r="416" spans="1:9" x14ac:dyDescent="0.2">
      <c r="A416" s="2">
        <v>415</v>
      </c>
      <c r="B416">
        <v>415</v>
      </c>
      <c r="C416">
        <v>35</v>
      </c>
      <c r="D416">
        <f>VLOOKUP(C416,Course!$A$1:$C$229, 2, FALSE)</f>
        <v>0</v>
      </c>
      <c r="E416">
        <v>56</v>
      </c>
      <c r="F416" t="s">
        <v>855</v>
      </c>
      <c r="G416">
        <v>1</v>
      </c>
      <c r="H416" s="6">
        <v>0.8</v>
      </c>
      <c r="I416">
        <v>1</v>
      </c>
    </row>
    <row r="417" spans="1:9" x14ac:dyDescent="0.2">
      <c r="A417" s="2">
        <v>416</v>
      </c>
      <c r="B417">
        <v>416</v>
      </c>
      <c r="C417">
        <v>35</v>
      </c>
      <c r="D417">
        <f>VLOOKUP(C417,Course!$A$1:$C$229, 2, FALSE)</f>
        <v>0</v>
      </c>
      <c r="E417">
        <v>57</v>
      </c>
      <c r="F417" t="s">
        <v>856</v>
      </c>
      <c r="G417">
        <v>1</v>
      </c>
      <c r="H417" s="6">
        <v>0.8</v>
      </c>
      <c r="I417">
        <v>1</v>
      </c>
    </row>
    <row r="418" spans="1:9" x14ac:dyDescent="0.2">
      <c r="A418" s="2">
        <v>417</v>
      </c>
      <c r="B418">
        <v>417</v>
      </c>
      <c r="C418">
        <v>35</v>
      </c>
      <c r="D418">
        <f>VLOOKUP(C418,Course!$A$1:$C$229, 2, FALSE)</f>
        <v>0</v>
      </c>
      <c r="E418">
        <v>58</v>
      </c>
      <c r="F418" t="s">
        <v>857</v>
      </c>
      <c r="G418">
        <v>1</v>
      </c>
      <c r="H418" s="6">
        <v>0.8</v>
      </c>
      <c r="I418">
        <v>1</v>
      </c>
    </row>
    <row r="419" spans="1:9" x14ac:dyDescent="0.2">
      <c r="A419" s="2">
        <v>418</v>
      </c>
      <c r="B419">
        <v>418</v>
      </c>
      <c r="C419">
        <v>35</v>
      </c>
      <c r="D419">
        <f>VLOOKUP(C419,Course!$A$1:$C$229, 2, FALSE)</f>
        <v>0</v>
      </c>
      <c r="E419">
        <v>59</v>
      </c>
      <c r="F419" t="s">
        <v>858</v>
      </c>
      <c r="G419">
        <v>1</v>
      </c>
      <c r="H419" s="6">
        <v>0.8</v>
      </c>
      <c r="I419">
        <v>1</v>
      </c>
    </row>
    <row r="420" spans="1:9" x14ac:dyDescent="0.2">
      <c r="A420" s="2">
        <v>419</v>
      </c>
      <c r="B420">
        <v>419</v>
      </c>
      <c r="C420">
        <v>35</v>
      </c>
      <c r="D420">
        <f>VLOOKUP(C420,Course!$A$1:$C$229, 2, FALSE)</f>
        <v>0</v>
      </c>
      <c r="E420">
        <v>60</v>
      </c>
      <c r="F420" t="s">
        <v>859</v>
      </c>
      <c r="G420">
        <v>1</v>
      </c>
      <c r="H420" s="6">
        <v>0.8</v>
      </c>
      <c r="I420">
        <v>1</v>
      </c>
    </row>
    <row r="421" spans="1:9" x14ac:dyDescent="0.2">
      <c r="A421" s="2">
        <v>420</v>
      </c>
      <c r="B421">
        <v>420</v>
      </c>
      <c r="C421">
        <v>36</v>
      </c>
      <c r="D421">
        <f>VLOOKUP(C421,Course!$A$1:$C$229, 2, FALSE)</f>
        <v>0</v>
      </c>
      <c r="E421">
        <v>49</v>
      </c>
      <c r="F421" t="s">
        <v>860</v>
      </c>
      <c r="G421">
        <v>1</v>
      </c>
      <c r="H421" s="6">
        <v>0.8</v>
      </c>
      <c r="I421">
        <v>1</v>
      </c>
    </row>
    <row r="422" spans="1:9" x14ac:dyDescent="0.2">
      <c r="A422" s="2">
        <v>421</v>
      </c>
      <c r="B422">
        <v>421</v>
      </c>
      <c r="C422">
        <v>36</v>
      </c>
      <c r="D422">
        <f>VLOOKUP(C422,Course!$A$1:$C$229, 2, FALSE)</f>
        <v>0</v>
      </c>
      <c r="E422">
        <v>50</v>
      </c>
      <c r="F422" t="s">
        <v>861</v>
      </c>
      <c r="G422">
        <v>1</v>
      </c>
      <c r="H422" s="6">
        <v>0.8</v>
      </c>
      <c r="I422">
        <v>1</v>
      </c>
    </row>
    <row r="423" spans="1:9" x14ac:dyDescent="0.2">
      <c r="A423" s="2">
        <v>422</v>
      </c>
      <c r="B423">
        <v>422</v>
      </c>
      <c r="C423">
        <v>36</v>
      </c>
      <c r="D423">
        <f>VLOOKUP(C423,Course!$A$1:$C$229, 2, FALSE)</f>
        <v>0</v>
      </c>
      <c r="E423">
        <v>51</v>
      </c>
      <c r="F423" t="s">
        <v>862</v>
      </c>
      <c r="G423">
        <v>1</v>
      </c>
      <c r="H423" s="6">
        <v>0.8</v>
      </c>
      <c r="I423">
        <v>1</v>
      </c>
    </row>
    <row r="424" spans="1:9" x14ac:dyDescent="0.2">
      <c r="A424" s="2">
        <v>423</v>
      </c>
      <c r="B424">
        <v>423</v>
      </c>
      <c r="C424">
        <v>36</v>
      </c>
      <c r="D424">
        <f>VLOOKUP(C424,Course!$A$1:$C$229, 2, FALSE)</f>
        <v>0</v>
      </c>
      <c r="E424">
        <v>52</v>
      </c>
      <c r="F424" t="s">
        <v>863</v>
      </c>
      <c r="G424">
        <v>1</v>
      </c>
      <c r="H424" s="6">
        <v>0.8</v>
      </c>
      <c r="I424">
        <v>1</v>
      </c>
    </row>
    <row r="425" spans="1:9" x14ac:dyDescent="0.2">
      <c r="A425" s="2">
        <v>424</v>
      </c>
      <c r="B425">
        <v>424</v>
      </c>
      <c r="C425">
        <v>36</v>
      </c>
      <c r="D425">
        <f>VLOOKUP(C425,Course!$A$1:$C$229, 2, FALSE)</f>
        <v>0</v>
      </c>
      <c r="E425">
        <v>53</v>
      </c>
      <c r="F425" t="s">
        <v>864</v>
      </c>
      <c r="G425">
        <v>1</v>
      </c>
      <c r="H425" s="6">
        <v>0.8</v>
      </c>
      <c r="I425">
        <v>1</v>
      </c>
    </row>
    <row r="426" spans="1:9" x14ac:dyDescent="0.2">
      <c r="A426" s="2">
        <v>425</v>
      </c>
      <c r="B426">
        <v>425</v>
      </c>
      <c r="C426">
        <v>36</v>
      </c>
      <c r="D426">
        <f>VLOOKUP(C426,Course!$A$1:$C$229, 2, FALSE)</f>
        <v>0</v>
      </c>
      <c r="E426">
        <v>54</v>
      </c>
      <c r="F426" t="s">
        <v>865</v>
      </c>
      <c r="G426">
        <v>1</v>
      </c>
      <c r="H426" s="6">
        <v>0.8</v>
      </c>
      <c r="I426">
        <v>1</v>
      </c>
    </row>
    <row r="427" spans="1:9" x14ac:dyDescent="0.2">
      <c r="A427" s="2">
        <v>426</v>
      </c>
      <c r="B427">
        <v>426</v>
      </c>
      <c r="C427">
        <v>36</v>
      </c>
      <c r="D427">
        <f>VLOOKUP(C427,Course!$A$1:$C$229, 2, FALSE)</f>
        <v>0</v>
      </c>
      <c r="E427">
        <v>55</v>
      </c>
      <c r="F427" t="s">
        <v>866</v>
      </c>
      <c r="G427">
        <v>1</v>
      </c>
      <c r="H427" s="6">
        <v>0.8</v>
      </c>
      <c r="I427">
        <v>1</v>
      </c>
    </row>
    <row r="428" spans="1:9" x14ac:dyDescent="0.2">
      <c r="A428" s="2">
        <v>427</v>
      </c>
      <c r="B428">
        <v>427</v>
      </c>
      <c r="C428">
        <v>36</v>
      </c>
      <c r="D428">
        <f>VLOOKUP(C428,Course!$A$1:$C$229, 2, FALSE)</f>
        <v>0</v>
      </c>
      <c r="E428">
        <v>56</v>
      </c>
      <c r="F428" t="s">
        <v>867</v>
      </c>
      <c r="G428">
        <v>1</v>
      </c>
      <c r="H428" s="6">
        <v>0.8</v>
      </c>
      <c r="I428">
        <v>1</v>
      </c>
    </row>
    <row r="429" spans="1:9" x14ac:dyDescent="0.2">
      <c r="A429" s="2">
        <v>428</v>
      </c>
      <c r="B429">
        <v>428</v>
      </c>
      <c r="C429">
        <v>36</v>
      </c>
      <c r="D429">
        <f>VLOOKUP(C429,Course!$A$1:$C$229, 2, FALSE)</f>
        <v>0</v>
      </c>
      <c r="E429">
        <v>57</v>
      </c>
      <c r="F429" t="s">
        <v>868</v>
      </c>
      <c r="G429">
        <v>1</v>
      </c>
      <c r="H429" s="6">
        <v>0.8</v>
      </c>
      <c r="I429">
        <v>1</v>
      </c>
    </row>
    <row r="430" spans="1:9" x14ac:dyDescent="0.2">
      <c r="A430" s="2">
        <v>429</v>
      </c>
      <c r="B430">
        <v>429</v>
      </c>
      <c r="C430">
        <v>36</v>
      </c>
      <c r="D430">
        <f>VLOOKUP(C430,Course!$A$1:$C$229, 2, FALSE)</f>
        <v>0</v>
      </c>
      <c r="E430">
        <v>58</v>
      </c>
      <c r="F430" t="s">
        <v>869</v>
      </c>
      <c r="G430">
        <v>1</v>
      </c>
      <c r="H430" s="6">
        <v>0.8</v>
      </c>
      <c r="I430">
        <v>1</v>
      </c>
    </row>
    <row r="431" spans="1:9" x14ac:dyDescent="0.2">
      <c r="A431" s="2">
        <v>430</v>
      </c>
      <c r="B431">
        <v>430</v>
      </c>
      <c r="C431">
        <v>36</v>
      </c>
      <c r="D431">
        <f>VLOOKUP(C431,Course!$A$1:$C$229, 2, FALSE)</f>
        <v>0</v>
      </c>
      <c r="E431">
        <v>59</v>
      </c>
      <c r="F431" t="s">
        <v>870</v>
      </c>
      <c r="G431">
        <v>1</v>
      </c>
      <c r="H431" s="6">
        <v>0.8</v>
      </c>
      <c r="I431">
        <v>1</v>
      </c>
    </row>
    <row r="432" spans="1:9" x14ac:dyDescent="0.2">
      <c r="A432" s="2">
        <v>431</v>
      </c>
      <c r="B432">
        <v>431</v>
      </c>
      <c r="C432">
        <v>36</v>
      </c>
      <c r="D432">
        <f>VLOOKUP(C432,Course!$A$1:$C$229, 2, FALSE)</f>
        <v>0</v>
      </c>
      <c r="E432">
        <v>60</v>
      </c>
      <c r="F432" t="s">
        <v>871</v>
      </c>
      <c r="G432">
        <v>1</v>
      </c>
      <c r="H432" s="6">
        <v>0.8</v>
      </c>
      <c r="I432">
        <v>1</v>
      </c>
    </row>
    <row r="433" spans="1:9" x14ac:dyDescent="0.2">
      <c r="A433" s="2">
        <v>432</v>
      </c>
      <c r="B433">
        <v>432</v>
      </c>
      <c r="C433">
        <v>37</v>
      </c>
      <c r="D433">
        <f>VLOOKUP(C433,Course!$A$1:$C$229, 2, FALSE)</f>
        <v>0</v>
      </c>
      <c r="E433">
        <v>61</v>
      </c>
      <c r="F433" t="s">
        <v>872</v>
      </c>
      <c r="G433">
        <v>1</v>
      </c>
      <c r="H433" s="6">
        <v>0.8</v>
      </c>
      <c r="I433">
        <v>1</v>
      </c>
    </row>
    <row r="434" spans="1:9" x14ac:dyDescent="0.2">
      <c r="A434" s="2">
        <v>433</v>
      </c>
      <c r="B434">
        <v>433</v>
      </c>
      <c r="C434">
        <v>37</v>
      </c>
      <c r="D434">
        <f>VLOOKUP(C434,Course!$A$1:$C$229, 2, FALSE)</f>
        <v>0</v>
      </c>
      <c r="E434">
        <v>62</v>
      </c>
      <c r="F434" t="s">
        <v>873</v>
      </c>
      <c r="G434">
        <v>1</v>
      </c>
      <c r="H434" s="6">
        <v>0.8</v>
      </c>
      <c r="I434">
        <v>1</v>
      </c>
    </row>
    <row r="435" spans="1:9" x14ac:dyDescent="0.2">
      <c r="A435" s="2">
        <v>434</v>
      </c>
      <c r="B435">
        <v>434</v>
      </c>
      <c r="C435">
        <v>37</v>
      </c>
      <c r="D435">
        <f>VLOOKUP(C435,Course!$A$1:$C$229, 2, FALSE)</f>
        <v>0</v>
      </c>
      <c r="E435">
        <v>63</v>
      </c>
      <c r="F435" t="s">
        <v>874</v>
      </c>
      <c r="G435">
        <v>1</v>
      </c>
      <c r="H435" s="6">
        <v>0.8</v>
      </c>
      <c r="I435">
        <v>1</v>
      </c>
    </row>
    <row r="436" spans="1:9" x14ac:dyDescent="0.2">
      <c r="A436" s="2">
        <v>435</v>
      </c>
      <c r="B436">
        <v>435</v>
      </c>
      <c r="C436">
        <v>37</v>
      </c>
      <c r="D436">
        <f>VLOOKUP(C436,Course!$A$1:$C$229, 2, FALSE)</f>
        <v>0</v>
      </c>
      <c r="E436">
        <v>64</v>
      </c>
      <c r="F436" t="s">
        <v>875</v>
      </c>
      <c r="G436">
        <v>1</v>
      </c>
      <c r="H436" s="6">
        <v>0.8</v>
      </c>
      <c r="I436">
        <v>1</v>
      </c>
    </row>
    <row r="437" spans="1:9" x14ac:dyDescent="0.2">
      <c r="A437" s="2">
        <v>436</v>
      </c>
      <c r="B437">
        <v>436</v>
      </c>
      <c r="C437">
        <v>37</v>
      </c>
      <c r="D437">
        <f>VLOOKUP(C437,Course!$A$1:$C$229, 2, FALSE)</f>
        <v>0</v>
      </c>
      <c r="E437">
        <v>65</v>
      </c>
      <c r="F437" t="s">
        <v>876</v>
      </c>
      <c r="G437">
        <v>1</v>
      </c>
      <c r="H437" s="6">
        <v>0.8</v>
      </c>
      <c r="I437">
        <v>1</v>
      </c>
    </row>
    <row r="438" spans="1:9" x14ac:dyDescent="0.2">
      <c r="A438" s="2">
        <v>437</v>
      </c>
      <c r="B438">
        <v>437</v>
      </c>
      <c r="C438">
        <v>37</v>
      </c>
      <c r="D438">
        <f>VLOOKUP(C438,Course!$A$1:$C$229, 2, FALSE)</f>
        <v>0</v>
      </c>
      <c r="E438">
        <v>66</v>
      </c>
      <c r="F438" t="s">
        <v>877</v>
      </c>
      <c r="G438">
        <v>1</v>
      </c>
      <c r="H438" s="6">
        <v>0.8</v>
      </c>
      <c r="I438">
        <v>1</v>
      </c>
    </row>
    <row r="439" spans="1:9" x14ac:dyDescent="0.2">
      <c r="A439" s="2">
        <v>438</v>
      </c>
      <c r="B439">
        <v>438</v>
      </c>
      <c r="C439">
        <v>37</v>
      </c>
      <c r="D439">
        <f>VLOOKUP(C439,Course!$A$1:$C$229, 2, FALSE)</f>
        <v>0</v>
      </c>
      <c r="E439">
        <v>67</v>
      </c>
      <c r="F439" t="s">
        <v>878</v>
      </c>
      <c r="G439">
        <v>1</v>
      </c>
      <c r="H439" s="6">
        <v>0.8</v>
      </c>
      <c r="I439">
        <v>1</v>
      </c>
    </row>
    <row r="440" spans="1:9" x14ac:dyDescent="0.2">
      <c r="A440" s="2">
        <v>439</v>
      </c>
      <c r="B440">
        <v>439</v>
      </c>
      <c r="C440">
        <v>37</v>
      </c>
      <c r="D440">
        <f>VLOOKUP(C440,Course!$A$1:$C$229, 2, FALSE)</f>
        <v>0</v>
      </c>
      <c r="E440">
        <v>68</v>
      </c>
      <c r="F440" t="s">
        <v>879</v>
      </c>
      <c r="G440">
        <v>1</v>
      </c>
      <c r="H440" s="6">
        <v>0.8</v>
      </c>
      <c r="I440">
        <v>1</v>
      </c>
    </row>
    <row r="441" spans="1:9" x14ac:dyDescent="0.2">
      <c r="A441" s="2">
        <v>440</v>
      </c>
      <c r="B441">
        <v>440</v>
      </c>
      <c r="C441">
        <v>37</v>
      </c>
      <c r="D441">
        <f>VLOOKUP(C441,Course!$A$1:$C$229, 2, FALSE)</f>
        <v>0</v>
      </c>
      <c r="E441">
        <v>69</v>
      </c>
      <c r="F441" t="s">
        <v>880</v>
      </c>
      <c r="G441">
        <v>1</v>
      </c>
      <c r="H441" s="6">
        <v>0.8</v>
      </c>
      <c r="I441">
        <v>1</v>
      </c>
    </row>
    <row r="442" spans="1:9" x14ac:dyDescent="0.2">
      <c r="A442" s="2">
        <v>441</v>
      </c>
      <c r="B442">
        <v>441</v>
      </c>
      <c r="C442">
        <v>37</v>
      </c>
      <c r="D442">
        <f>VLOOKUP(C442,Course!$A$1:$C$229, 2, FALSE)</f>
        <v>0</v>
      </c>
      <c r="E442">
        <v>70</v>
      </c>
      <c r="F442" t="s">
        <v>881</v>
      </c>
      <c r="G442">
        <v>1</v>
      </c>
      <c r="H442" s="6">
        <v>0.8</v>
      </c>
      <c r="I442">
        <v>1</v>
      </c>
    </row>
    <row r="443" spans="1:9" x14ac:dyDescent="0.2">
      <c r="A443" s="2">
        <v>442</v>
      </c>
      <c r="B443">
        <v>442</v>
      </c>
      <c r="C443">
        <v>37</v>
      </c>
      <c r="D443">
        <f>VLOOKUP(C443,Course!$A$1:$C$229, 2, FALSE)</f>
        <v>0</v>
      </c>
      <c r="E443">
        <v>71</v>
      </c>
      <c r="F443" t="s">
        <v>882</v>
      </c>
      <c r="G443">
        <v>1</v>
      </c>
      <c r="H443" s="6">
        <v>0.8</v>
      </c>
      <c r="I443">
        <v>1</v>
      </c>
    </row>
    <row r="444" spans="1:9" x14ac:dyDescent="0.2">
      <c r="A444" s="2">
        <v>443</v>
      </c>
      <c r="B444">
        <v>443</v>
      </c>
      <c r="C444">
        <v>37</v>
      </c>
      <c r="D444">
        <f>VLOOKUP(C444,Course!$A$1:$C$229, 2, FALSE)</f>
        <v>0</v>
      </c>
      <c r="E444">
        <v>72</v>
      </c>
      <c r="F444" t="s">
        <v>883</v>
      </c>
      <c r="G444">
        <v>1</v>
      </c>
      <c r="H444" s="6">
        <v>0.8</v>
      </c>
      <c r="I444">
        <v>1</v>
      </c>
    </row>
    <row r="445" spans="1:9" x14ac:dyDescent="0.2">
      <c r="A445" s="2">
        <v>444</v>
      </c>
      <c r="B445">
        <v>444</v>
      </c>
      <c r="C445">
        <v>38</v>
      </c>
      <c r="D445">
        <f>VLOOKUP(C445,Course!$A$1:$C$229, 2, FALSE)</f>
        <v>0</v>
      </c>
      <c r="E445">
        <v>61</v>
      </c>
      <c r="F445" t="s">
        <v>884</v>
      </c>
      <c r="G445">
        <v>1</v>
      </c>
      <c r="H445" s="6">
        <v>0.8</v>
      </c>
      <c r="I445">
        <v>1</v>
      </c>
    </row>
    <row r="446" spans="1:9" x14ac:dyDescent="0.2">
      <c r="A446" s="2">
        <v>445</v>
      </c>
      <c r="B446">
        <v>445</v>
      </c>
      <c r="C446">
        <v>38</v>
      </c>
      <c r="D446">
        <f>VLOOKUP(C446,Course!$A$1:$C$229, 2, FALSE)</f>
        <v>0</v>
      </c>
      <c r="E446">
        <v>62</v>
      </c>
      <c r="F446" t="s">
        <v>885</v>
      </c>
      <c r="G446">
        <v>1</v>
      </c>
      <c r="H446" s="6">
        <v>0.8</v>
      </c>
      <c r="I446">
        <v>1</v>
      </c>
    </row>
    <row r="447" spans="1:9" x14ac:dyDescent="0.2">
      <c r="A447" s="2">
        <v>446</v>
      </c>
      <c r="B447">
        <v>446</v>
      </c>
      <c r="C447">
        <v>38</v>
      </c>
      <c r="D447">
        <f>VLOOKUP(C447,Course!$A$1:$C$229, 2, FALSE)</f>
        <v>0</v>
      </c>
      <c r="E447">
        <v>63</v>
      </c>
      <c r="F447" t="s">
        <v>886</v>
      </c>
      <c r="G447">
        <v>1</v>
      </c>
      <c r="H447" s="6">
        <v>0.8</v>
      </c>
      <c r="I447">
        <v>1</v>
      </c>
    </row>
    <row r="448" spans="1:9" x14ac:dyDescent="0.2">
      <c r="A448" s="2">
        <v>447</v>
      </c>
      <c r="B448">
        <v>447</v>
      </c>
      <c r="C448">
        <v>38</v>
      </c>
      <c r="D448">
        <f>VLOOKUP(C448,Course!$A$1:$C$229, 2, FALSE)</f>
        <v>0</v>
      </c>
      <c r="E448">
        <v>64</v>
      </c>
      <c r="F448" t="s">
        <v>887</v>
      </c>
      <c r="G448">
        <v>1</v>
      </c>
      <c r="H448" s="6">
        <v>0.8</v>
      </c>
      <c r="I448">
        <v>1</v>
      </c>
    </row>
    <row r="449" spans="1:9" x14ac:dyDescent="0.2">
      <c r="A449" s="2">
        <v>448</v>
      </c>
      <c r="B449">
        <v>448</v>
      </c>
      <c r="C449">
        <v>38</v>
      </c>
      <c r="D449">
        <f>VLOOKUP(C449,Course!$A$1:$C$229, 2, FALSE)</f>
        <v>0</v>
      </c>
      <c r="E449">
        <v>65</v>
      </c>
      <c r="F449" t="s">
        <v>888</v>
      </c>
      <c r="G449">
        <v>1</v>
      </c>
      <c r="H449" s="6">
        <v>0.8</v>
      </c>
      <c r="I449">
        <v>1</v>
      </c>
    </row>
    <row r="450" spans="1:9" x14ac:dyDescent="0.2">
      <c r="A450" s="2">
        <v>449</v>
      </c>
      <c r="B450">
        <v>449</v>
      </c>
      <c r="C450">
        <v>38</v>
      </c>
      <c r="D450">
        <f>VLOOKUP(C450,Course!$A$1:$C$229, 2, FALSE)</f>
        <v>0</v>
      </c>
      <c r="E450">
        <v>66</v>
      </c>
      <c r="F450" t="s">
        <v>889</v>
      </c>
      <c r="G450">
        <v>1</v>
      </c>
      <c r="H450" s="6">
        <v>0.8</v>
      </c>
      <c r="I450">
        <v>1</v>
      </c>
    </row>
    <row r="451" spans="1:9" x14ac:dyDescent="0.2">
      <c r="A451" s="2">
        <v>450</v>
      </c>
      <c r="B451">
        <v>450</v>
      </c>
      <c r="C451">
        <v>38</v>
      </c>
      <c r="D451">
        <f>VLOOKUP(C451,Course!$A$1:$C$229, 2, FALSE)</f>
        <v>0</v>
      </c>
      <c r="E451">
        <v>67</v>
      </c>
      <c r="F451" t="s">
        <v>890</v>
      </c>
      <c r="G451">
        <v>1</v>
      </c>
      <c r="H451" s="6">
        <v>0.8</v>
      </c>
      <c r="I451">
        <v>1</v>
      </c>
    </row>
    <row r="452" spans="1:9" x14ac:dyDescent="0.2">
      <c r="A452" s="2">
        <v>451</v>
      </c>
      <c r="B452">
        <v>451</v>
      </c>
      <c r="C452">
        <v>38</v>
      </c>
      <c r="D452">
        <f>VLOOKUP(C452,Course!$A$1:$C$229, 2, FALSE)</f>
        <v>0</v>
      </c>
      <c r="E452">
        <v>68</v>
      </c>
      <c r="F452" t="s">
        <v>891</v>
      </c>
      <c r="G452">
        <v>1</v>
      </c>
      <c r="H452" s="6">
        <v>0.8</v>
      </c>
      <c r="I452">
        <v>1</v>
      </c>
    </row>
    <row r="453" spans="1:9" x14ac:dyDescent="0.2">
      <c r="A453" s="2">
        <v>452</v>
      </c>
      <c r="B453">
        <v>452</v>
      </c>
      <c r="C453">
        <v>38</v>
      </c>
      <c r="D453">
        <f>VLOOKUP(C453,Course!$A$1:$C$229, 2, FALSE)</f>
        <v>0</v>
      </c>
      <c r="E453">
        <v>69</v>
      </c>
      <c r="F453" t="s">
        <v>892</v>
      </c>
      <c r="G453">
        <v>1</v>
      </c>
      <c r="H453" s="6">
        <v>0.8</v>
      </c>
      <c r="I453">
        <v>1</v>
      </c>
    </row>
    <row r="454" spans="1:9" x14ac:dyDescent="0.2">
      <c r="A454" s="2">
        <v>453</v>
      </c>
      <c r="B454">
        <v>453</v>
      </c>
      <c r="C454">
        <v>38</v>
      </c>
      <c r="D454">
        <f>VLOOKUP(C454,Course!$A$1:$C$229, 2, FALSE)</f>
        <v>0</v>
      </c>
      <c r="E454">
        <v>70</v>
      </c>
      <c r="F454" t="s">
        <v>893</v>
      </c>
      <c r="G454">
        <v>1</v>
      </c>
      <c r="H454" s="6">
        <v>0.8</v>
      </c>
      <c r="I454">
        <v>1</v>
      </c>
    </row>
    <row r="455" spans="1:9" x14ac:dyDescent="0.2">
      <c r="A455" s="2">
        <v>454</v>
      </c>
      <c r="B455">
        <v>454</v>
      </c>
      <c r="C455">
        <v>38</v>
      </c>
      <c r="D455">
        <f>VLOOKUP(C455,Course!$A$1:$C$229, 2, FALSE)</f>
        <v>0</v>
      </c>
      <c r="E455">
        <v>71</v>
      </c>
      <c r="F455" t="s">
        <v>894</v>
      </c>
      <c r="G455">
        <v>1</v>
      </c>
      <c r="H455" s="6">
        <v>0.8</v>
      </c>
      <c r="I455">
        <v>1</v>
      </c>
    </row>
    <row r="456" spans="1:9" x14ac:dyDescent="0.2">
      <c r="A456" s="2">
        <v>455</v>
      </c>
      <c r="B456">
        <v>455</v>
      </c>
      <c r="C456">
        <v>38</v>
      </c>
      <c r="D456">
        <f>VLOOKUP(C456,Course!$A$1:$C$229, 2, FALSE)</f>
        <v>0</v>
      </c>
      <c r="E456">
        <v>72</v>
      </c>
      <c r="F456" t="s">
        <v>895</v>
      </c>
      <c r="G456">
        <v>1</v>
      </c>
      <c r="H456" s="6">
        <v>0.8</v>
      </c>
      <c r="I456">
        <v>1</v>
      </c>
    </row>
    <row r="457" spans="1:9" x14ac:dyDescent="0.2">
      <c r="A457" s="2">
        <v>456</v>
      </c>
      <c r="B457">
        <v>456</v>
      </c>
      <c r="C457">
        <v>39</v>
      </c>
      <c r="D457">
        <f>VLOOKUP(C457,Course!$A$1:$C$229, 2, FALSE)</f>
        <v>0</v>
      </c>
      <c r="E457">
        <v>61</v>
      </c>
      <c r="F457" t="s">
        <v>896</v>
      </c>
      <c r="G457">
        <v>1</v>
      </c>
      <c r="H457" s="6">
        <v>0.9</v>
      </c>
      <c r="I457">
        <v>1</v>
      </c>
    </row>
    <row r="458" spans="1:9" x14ac:dyDescent="0.2">
      <c r="A458" s="2">
        <v>457</v>
      </c>
      <c r="B458">
        <v>457</v>
      </c>
      <c r="C458">
        <v>39</v>
      </c>
      <c r="D458">
        <f>VLOOKUP(C458,Course!$A$1:$C$229, 2, FALSE)</f>
        <v>0</v>
      </c>
      <c r="E458">
        <v>62</v>
      </c>
      <c r="F458" t="s">
        <v>897</v>
      </c>
      <c r="G458">
        <v>1</v>
      </c>
      <c r="H458" s="6">
        <v>0.9</v>
      </c>
      <c r="I458">
        <v>1</v>
      </c>
    </row>
    <row r="459" spans="1:9" x14ac:dyDescent="0.2">
      <c r="A459" s="2">
        <v>458</v>
      </c>
      <c r="B459">
        <v>458</v>
      </c>
      <c r="C459">
        <v>39</v>
      </c>
      <c r="D459">
        <f>VLOOKUP(C459,Course!$A$1:$C$229, 2, FALSE)</f>
        <v>0</v>
      </c>
      <c r="E459">
        <v>63</v>
      </c>
      <c r="F459" t="s">
        <v>898</v>
      </c>
      <c r="G459">
        <v>1</v>
      </c>
      <c r="H459" s="6">
        <v>0.9</v>
      </c>
      <c r="I459">
        <v>1</v>
      </c>
    </row>
    <row r="460" spans="1:9" x14ac:dyDescent="0.2">
      <c r="A460" s="2">
        <v>459</v>
      </c>
      <c r="B460">
        <v>459</v>
      </c>
      <c r="C460">
        <v>39</v>
      </c>
      <c r="D460">
        <f>VLOOKUP(C460,Course!$A$1:$C$229, 2, FALSE)</f>
        <v>0</v>
      </c>
      <c r="E460">
        <v>64</v>
      </c>
      <c r="F460" t="s">
        <v>899</v>
      </c>
      <c r="G460">
        <v>1</v>
      </c>
      <c r="H460" s="6">
        <v>0.9</v>
      </c>
      <c r="I460">
        <v>1</v>
      </c>
    </row>
    <row r="461" spans="1:9" x14ac:dyDescent="0.2">
      <c r="A461" s="2">
        <v>460</v>
      </c>
      <c r="B461">
        <v>460</v>
      </c>
      <c r="C461">
        <v>39</v>
      </c>
      <c r="D461">
        <f>VLOOKUP(C461,Course!$A$1:$C$229, 2, FALSE)</f>
        <v>0</v>
      </c>
      <c r="E461">
        <v>65</v>
      </c>
      <c r="F461" t="s">
        <v>900</v>
      </c>
      <c r="G461">
        <v>1</v>
      </c>
      <c r="H461" s="6">
        <v>0.9</v>
      </c>
      <c r="I461">
        <v>1</v>
      </c>
    </row>
    <row r="462" spans="1:9" x14ac:dyDescent="0.2">
      <c r="A462" s="2">
        <v>461</v>
      </c>
      <c r="B462">
        <v>461</v>
      </c>
      <c r="C462">
        <v>39</v>
      </c>
      <c r="D462">
        <f>VLOOKUP(C462,Course!$A$1:$C$229, 2, FALSE)</f>
        <v>0</v>
      </c>
      <c r="E462">
        <v>66</v>
      </c>
      <c r="F462" t="s">
        <v>901</v>
      </c>
      <c r="G462">
        <v>1</v>
      </c>
      <c r="H462" s="6">
        <v>0.9</v>
      </c>
      <c r="I462">
        <v>1</v>
      </c>
    </row>
    <row r="463" spans="1:9" x14ac:dyDescent="0.2">
      <c r="A463" s="2">
        <v>462</v>
      </c>
      <c r="B463">
        <v>462</v>
      </c>
      <c r="C463">
        <v>39</v>
      </c>
      <c r="D463">
        <f>VLOOKUP(C463,Course!$A$1:$C$229, 2, FALSE)</f>
        <v>0</v>
      </c>
      <c r="E463">
        <v>67</v>
      </c>
      <c r="F463" t="s">
        <v>902</v>
      </c>
      <c r="G463">
        <v>1</v>
      </c>
      <c r="H463" s="6">
        <v>0.9</v>
      </c>
      <c r="I463">
        <v>1</v>
      </c>
    </row>
    <row r="464" spans="1:9" x14ac:dyDescent="0.2">
      <c r="A464" s="2">
        <v>463</v>
      </c>
      <c r="B464">
        <v>463</v>
      </c>
      <c r="C464">
        <v>39</v>
      </c>
      <c r="D464">
        <f>VLOOKUP(C464,Course!$A$1:$C$229, 2, FALSE)</f>
        <v>0</v>
      </c>
      <c r="E464">
        <v>68</v>
      </c>
      <c r="F464" t="s">
        <v>903</v>
      </c>
      <c r="G464">
        <v>1</v>
      </c>
      <c r="H464" s="6">
        <v>0.9</v>
      </c>
      <c r="I464">
        <v>1</v>
      </c>
    </row>
    <row r="465" spans="1:9" x14ac:dyDescent="0.2">
      <c r="A465" s="2">
        <v>464</v>
      </c>
      <c r="B465">
        <v>464</v>
      </c>
      <c r="C465">
        <v>39</v>
      </c>
      <c r="D465">
        <f>VLOOKUP(C465,Course!$A$1:$C$229, 2, FALSE)</f>
        <v>0</v>
      </c>
      <c r="E465">
        <v>69</v>
      </c>
      <c r="F465" t="s">
        <v>904</v>
      </c>
      <c r="G465">
        <v>1</v>
      </c>
      <c r="H465" s="6">
        <v>0.9</v>
      </c>
      <c r="I465">
        <v>1</v>
      </c>
    </row>
    <row r="466" spans="1:9" x14ac:dyDescent="0.2">
      <c r="A466" s="2">
        <v>465</v>
      </c>
      <c r="B466">
        <v>465</v>
      </c>
      <c r="C466">
        <v>39</v>
      </c>
      <c r="D466">
        <f>VLOOKUP(C466,Course!$A$1:$C$229, 2, FALSE)</f>
        <v>0</v>
      </c>
      <c r="E466">
        <v>70</v>
      </c>
      <c r="F466" t="s">
        <v>905</v>
      </c>
      <c r="G466">
        <v>1</v>
      </c>
      <c r="H466" s="6">
        <v>0.9</v>
      </c>
      <c r="I466">
        <v>1</v>
      </c>
    </row>
    <row r="467" spans="1:9" x14ac:dyDescent="0.2">
      <c r="A467" s="2">
        <v>466</v>
      </c>
      <c r="B467">
        <v>466</v>
      </c>
      <c r="C467">
        <v>39</v>
      </c>
      <c r="D467">
        <f>VLOOKUP(C467,Course!$A$1:$C$229, 2, FALSE)</f>
        <v>0</v>
      </c>
      <c r="E467">
        <v>71</v>
      </c>
      <c r="F467" t="s">
        <v>906</v>
      </c>
      <c r="G467">
        <v>1</v>
      </c>
      <c r="H467" s="6">
        <v>0.9</v>
      </c>
      <c r="I467">
        <v>1</v>
      </c>
    </row>
    <row r="468" spans="1:9" x14ac:dyDescent="0.2">
      <c r="A468" s="2">
        <v>467</v>
      </c>
      <c r="B468">
        <v>467</v>
      </c>
      <c r="C468">
        <v>39</v>
      </c>
      <c r="D468">
        <f>VLOOKUP(C468,Course!$A$1:$C$229, 2, FALSE)</f>
        <v>0</v>
      </c>
      <c r="E468">
        <v>72</v>
      </c>
      <c r="F468" t="s">
        <v>907</v>
      </c>
      <c r="G468">
        <v>1</v>
      </c>
      <c r="H468" s="6">
        <v>0.9</v>
      </c>
      <c r="I468">
        <v>1</v>
      </c>
    </row>
    <row r="469" spans="1:9" x14ac:dyDescent="0.2">
      <c r="A469" s="2">
        <v>468</v>
      </c>
      <c r="B469">
        <v>468</v>
      </c>
      <c r="C469">
        <v>40</v>
      </c>
      <c r="D469">
        <f>VLOOKUP(C469,Course!$A$1:$C$229, 2, FALSE)</f>
        <v>0</v>
      </c>
      <c r="E469">
        <v>61</v>
      </c>
      <c r="F469" t="s">
        <v>908</v>
      </c>
      <c r="G469">
        <v>1</v>
      </c>
      <c r="H469" s="6">
        <v>0.8</v>
      </c>
      <c r="I469">
        <v>1</v>
      </c>
    </row>
    <row r="470" spans="1:9" x14ac:dyDescent="0.2">
      <c r="A470" s="2">
        <v>469</v>
      </c>
      <c r="B470">
        <v>469</v>
      </c>
      <c r="C470">
        <v>40</v>
      </c>
      <c r="D470">
        <f>VLOOKUP(C470,Course!$A$1:$C$229, 2, FALSE)</f>
        <v>0</v>
      </c>
      <c r="E470">
        <v>62</v>
      </c>
      <c r="F470" t="s">
        <v>909</v>
      </c>
      <c r="G470">
        <v>1</v>
      </c>
      <c r="H470" s="6">
        <v>0.8</v>
      </c>
      <c r="I470">
        <v>1</v>
      </c>
    </row>
    <row r="471" spans="1:9" x14ac:dyDescent="0.2">
      <c r="A471" s="2">
        <v>470</v>
      </c>
      <c r="B471">
        <v>470</v>
      </c>
      <c r="C471">
        <v>40</v>
      </c>
      <c r="D471">
        <f>VLOOKUP(C471,Course!$A$1:$C$229, 2, FALSE)</f>
        <v>0</v>
      </c>
      <c r="E471">
        <v>63</v>
      </c>
      <c r="F471" t="s">
        <v>910</v>
      </c>
      <c r="G471">
        <v>1</v>
      </c>
      <c r="H471" s="6">
        <v>0.8</v>
      </c>
      <c r="I471">
        <v>1</v>
      </c>
    </row>
    <row r="472" spans="1:9" x14ac:dyDescent="0.2">
      <c r="A472" s="2">
        <v>471</v>
      </c>
      <c r="B472">
        <v>471</v>
      </c>
      <c r="C472">
        <v>40</v>
      </c>
      <c r="D472">
        <f>VLOOKUP(C472,Course!$A$1:$C$229, 2, FALSE)</f>
        <v>0</v>
      </c>
      <c r="E472">
        <v>64</v>
      </c>
      <c r="F472" t="s">
        <v>911</v>
      </c>
      <c r="G472">
        <v>1</v>
      </c>
      <c r="H472" s="6">
        <v>0.8</v>
      </c>
      <c r="I472">
        <v>1</v>
      </c>
    </row>
    <row r="473" spans="1:9" x14ac:dyDescent="0.2">
      <c r="A473" s="2">
        <v>472</v>
      </c>
      <c r="B473">
        <v>472</v>
      </c>
      <c r="C473">
        <v>40</v>
      </c>
      <c r="D473">
        <f>VLOOKUP(C473,Course!$A$1:$C$229, 2, FALSE)</f>
        <v>0</v>
      </c>
      <c r="E473">
        <v>65</v>
      </c>
      <c r="F473" t="s">
        <v>912</v>
      </c>
      <c r="G473">
        <v>1</v>
      </c>
      <c r="H473" s="6">
        <v>0.8</v>
      </c>
      <c r="I473">
        <v>1</v>
      </c>
    </row>
    <row r="474" spans="1:9" x14ac:dyDescent="0.2">
      <c r="A474" s="2">
        <v>473</v>
      </c>
      <c r="B474">
        <v>473</v>
      </c>
      <c r="C474">
        <v>40</v>
      </c>
      <c r="D474">
        <f>VLOOKUP(C474,Course!$A$1:$C$229, 2, FALSE)</f>
        <v>0</v>
      </c>
      <c r="E474">
        <v>66</v>
      </c>
      <c r="F474" t="s">
        <v>913</v>
      </c>
      <c r="G474">
        <v>1</v>
      </c>
      <c r="H474" s="6">
        <v>0.8</v>
      </c>
      <c r="I474">
        <v>1</v>
      </c>
    </row>
    <row r="475" spans="1:9" x14ac:dyDescent="0.2">
      <c r="A475" s="2">
        <v>474</v>
      </c>
      <c r="B475">
        <v>474</v>
      </c>
      <c r="C475">
        <v>40</v>
      </c>
      <c r="D475">
        <f>VLOOKUP(C475,Course!$A$1:$C$229, 2, FALSE)</f>
        <v>0</v>
      </c>
      <c r="E475">
        <v>67</v>
      </c>
      <c r="F475" t="s">
        <v>914</v>
      </c>
      <c r="G475">
        <v>1</v>
      </c>
      <c r="H475" s="6">
        <v>0.8</v>
      </c>
      <c r="I475">
        <v>1</v>
      </c>
    </row>
    <row r="476" spans="1:9" x14ac:dyDescent="0.2">
      <c r="A476" s="2">
        <v>475</v>
      </c>
      <c r="B476">
        <v>475</v>
      </c>
      <c r="C476">
        <v>40</v>
      </c>
      <c r="D476">
        <f>VLOOKUP(C476,Course!$A$1:$C$229, 2, FALSE)</f>
        <v>0</v>
      </c>
      <c r="E476">
        <v>68</v>
      </c>
      <c r="F476" t="s">
        <v>915</v>
      </c>
      <c r="G476">
        <v>1</v>
      </c>
      <c r="H476" s="6">
        <v>0.8</v>
      </c>
      <c r="I476">
        <v>1</v>
      </c>
    </row>
    <row r="477" spans="1:9" x14ac:dyDescent="0.2">
      <c r="A477" s="2">
        <v>476</v>
      </c>
      <c r="B477">
        <v>476</v>
      </c>
      <c r="C477">
        <v>40</v>
      </c>
      <c r="D477">
        <f>VLOOKUP(C477,Course!$A$1:$C$229, 2, FALSE)</f>
        <v>0</v>
      </c>
      <c r="E477">
        <v>69</v>
      </c>
      <c r="F477" t="s">
        <v>916</v>
      </c>
      <c r="G477">
        <v>1</v>
      </c>
      <c r="H477" s="6">
        <v>0.8</v>
      </c>
      <c r="I477">
        <v>1</v>
      </c>
    </row>
    <row r="478" spans="1:9" x14ac:dyDescent="0.2">
      <c r="A478" s="2">
        <v>477</v>
      </c>
      <c r="B478">
        <v>477</v>
      </c>
      <c r="C478">
        <v>40</v>
      </c>
      <c r="D478">
        <f>VLOOKUP(C478,Course!$A$1:$C$229, 2, FALSE)</f>
        <v>0</v>
      </c>
      <c r="E478">
        <v>70</v>
      </c>
      <c r="F478" t="s">
        <v>917</v>
      </c>
      <c r="G478">
        <v>1</v>
      </c>
      <c r="H478" s="6">
        <v>0.8</v>
      </c>
      <c r="I478">
        <v>1</v>
      </c>
    </row>
    <row r="479" spans="1:9" x14ac:dyDescent="0.2">
      <c r="A479" s="2">
        <v>478</v>
      </c>
      <c r="B479">
        <v>478</v>
      </c>
      <c r="C479">
        <v>40</v>
      </c>
      <c r="D479">
        <f>VLOOKUP(C479,Course!$A$1:$C$229, 2, FALSE)</f>
        <v>0</v>
      </c>
      <c r="E479">
        <v>71</v>
      </c>
      <c r="F479" t="s">
        <v>918</v>
      </c>
      <c r="G479">
        <v>1</v>
      </c>
      <c r="H479" s="6">
        <v>0.8</v>
      </c>
      <c r="I479">
        <v>1</v>
      </c>
    </row>
    <row r="480" spans="1:9" x14ac:dyDescent="0.2">
      <c r="A480" s="2">
        <v>479</v>
      </c>
      <c r="B480">
        <v>479</v>
      </c>
      <c r="C480">
        <v>40</v>
      </c>
      <c r="D480">
        <f>VLOOKUP(C480,Course!$A$1:$C$229, 2, FALSE)</f>
        <v>0</v>
      </c>
      <c r="E480">
        <v>72</v>
      </c>
      <c r="F480" t="s">
        <v>919</v>
      </c>
      <c r="G480">
        <v>1</v>
      </c>
      <c r="H480" s="6">
        <v>0.8</v>
      </c>
      <c r="I480">
        <v>1</v>
      </c>
    </row>
    <row r="481" spans="1:9" x14ac:dyDescent="0.2">
      <c r="A481" s="2">
        <v>480</v>
      </c>
      <c r="B481">
        <v>480</v>
      </c>
      <c r="C481">
        <v>41</v>
      </c>
      <c r="D481">
        <f>VLOOKUP(C481,Course!$A$1:$C$229, 2, FALSE)</f>
        <v>0</v>
      </c>
      <c r="E481">
        <v>61</v>
      </c>
      <c r="F481" t="s">
        <v>920</v>
      </c>
      <c r="G481">
        <v>1</v>
      </c>
      <c r="H481" s="6">
        <v>0.8</v>
      </c>
      <c r="I481">
        <v>1</v>
      </c>
    </row>
    <row r="482" spans="1:9" x14ac:dyDescent="0.2">
      <c r="A482" s="2">
        <v>481</v>
      </c>
      <c r="B482">
        <v>481</v>
      </c>
      <c r="C482">
        <v>41</v>
      </c>
      <c r="D482">
        <f>VLOOKUP(C482,Course!$A$1:$C$229, 2, FALSE)</f>
        <v>0</v>
      </c>
      <c r="E482">
        <v>62</v>
      </c>
      <c r="F482" t="s">
        <v>921</v>
      </c>
      <c r="G482">
        <v>1</v>
      </c>
      <c r="H482" s="6">
        <v>0.8</v>
      </c>
      <c r="I482">
        <v>1</v>
      </c>
    </row>
    <row r="483" spans="1:9" x14ac:dyDescent="0.2">
      <c r="A483" s="2">
        <v>482</v>
      </c>
      <c r="B483">
        <v>482</v>
      </c>
      <c r="C483">
        <v>41</v>
      </c>
      <c r="D483">
        <f>VLOOKUP(C483,Course!$A$1:$C$229, 2, FALSE)</f>
        <v>0</v>
      </c>
      <c r="E483">
        <v>63</v>
      </c>
      <c r="F483" t="s">
        <v>922</v>
      </c>
      <c r="G483">
        <v>1</v>
      </c>
      <c r="H483" s="6">
        <v>0.8</v>
      </c>
      <c r="I483">
        <v>1</v>
      </c>
    </row>
    <row r="484" spans="1:9" x14ac:dyDescent="0.2">
      <c r="A484" s="2">
        <v>483</v>
      </c>
      <c r="B484">
        <v>483</v>
      </c>
      <c r="C484">
        <v>41</v>
      </c>
      <c r="D484">
        <f>VLOOKUP(C484,Course!$A$1:$C$229, 2, FALSE)</f>
        <v>0</v>
      </c>
      <c r="E484">
        <v>64</v>
      </c>
      <c r="F484" t="s">
        <v>923</v>
      </c>
      <c r="G484">
        <v>1</v>
      </c>
      <c r="H484" s="6">
        <v>0.8</v>
      </c>
      <c r="I484">
        <v>1</v>
      </c>
    </row>
    <row r="485" spans="1:9" x14ac:dyDescent="0.2">
      <c r="A485" s="2">
        <v>484</v>
      </c>
      <c r="B485">
        <v>484</v>
      </c>
      <c r="C485">
        <v>41</v>
      </c>
      <c r="D485">
        <f>VLOOKUP(C485,Course!$A$1:$C$229, 2, FALSE)</f>
        <v>0</v>
      </c>
      <c r="E485">
        <v>65</v>
      </c>
      <c r="F485" t="s">
        <v>924</v>
      </c>
      <c r="G485">
        <v>1</v>
      </c>
      <c r="H485" s="6">
        <v>0.8</v>
      </c>
      <c r="I485">
        <v>1</v>
      </c>
    </row>
    <row r="486" spans="1:9" x14ac:dyDescent="0.2">
      <c r="A486" s="2">
        <v>485</v>
      </c>
      <c r="B486">
        <v>485</v>
      </c>
      <c r="C486">
        <v>41</v>
      </c>
      <c r="D486">
        <f>VLOOKUP(C486,Course!$A$1:$C$229, 2, FALSE)</f>
        <v>0</v>
      </c>
      <c r="E486">
        <v>66</v>
      </c>
      <c r="F486" t="s">
        <v>925</v>
      </c>
      <c r="G486">
        <v>1</v>
      </c>
      <c r="H486" s="6">
        <v>0.8</v>
      </c>
      <c r="I486">
        <v>1</v>
      </c>
    </row>
    <row r="487" spans="1:9" x14ac:dyDescent="0.2">
      <c r="A487" s="2">
        <v>486</v>
      </c>
      <c r="B487">
        <v>486</v>
      </c>
      <c r="C487">
        <v>41</v>
      </c>
      <c r="D487">
        <f>VLOOKUP(C487,Course!$A$1:$C$229, 2, FALSE)</f>
        <v>0</v>
      </c>
      <c r="E487">
        <v>67</v>
      </c>
      <c r="F487" t="s">
        <v>926</v>
      </c>
      <c r="G487">
        <v>1</v>
      </c>
      <c r="H487" s="6">
        <v>0.8</v>
      </c>
      <c r="I487">
        <v>1</v>
      </c>
    </row>
    <row r="488" spans="1:9" x14ac:dyDescent="0.2">
      <c r="A488" s="2">
        <v>487</v>
      </c>
      <c r="B488">
        <v>487</v>
      </c>
      <c r="C488">
        <v>41</v>
      </c>
      <c r="D488">
        <f>VLOOKUP(C488,Course!$A$1:$C$229, 2, FALSE)</f>
        <v>0</v>
      </c>
      <c r="E488">
        <v>68</v>
      </c>
      <c r="F488" t="s">
        <v>927</v>
      </c>
      <c r="G488">
        <v>1</v>
      </c>
      <c r="H488" s="6">
        <v>0.8</v>
      </c>
      <c r="I488">
        <v>1</v>
      </c>
    </row>
    <row r="489" spans="1:9" x14ac:dyDescent="0.2">
      <c r="A489" s="2">
        <v>488</v>
      </c>
      <c r="B489">
        <v>488</v>
      </c>
      <c r="C489">
        <v>41</v>
      </c>
      <c r="D489">
        <f>VLOOKUP(C489,Course!$A$1:$C$229, 2, FALSE)</f>
        <v>0</v>
      </c>
      <c r="E489">
        <v>69</v>
      </c>
      <c r="F489" t="s">
        <v>928</v>
      </c>
      <c r="G489">
        <v>1</v>
      </c>
      <c r="H489" s="6">
        <v>0.8</v>
      </c>
      <c r="I489">
        <v>1</v>
      </c>
    </row>
    <row r="490" spans="1:9" x14ac:dyDescent="0.2">
      <c r="A490" s="2">
        <v>489</v>
      </c>
      <c r="B490">
        <v>489</v>
      </c>
      <c r="C490">
        <v>41</v>
      </c>
      <c r="D490">
        <f>VLOOKUP(C490,Course!$A$1:$C$229, 2, FALSE)</f>
        <v>0</v>
      </c>
      <c r="E490">
        <v>70</v>
      </c>
      <c r="F490" t="s">
        <v>929</v>
      </c>
      <c r="G490">
        <v>1</v>
      </c>
      <c r="H490" s="6">
        <v>0.8</v>
      </c>
      <c r="I490">
        <v>1</v>
      </c>
    </row>
    <row r="491" spans="1:9" x14ac:dyDescent="0.2">
      <c r="A491" s="2">
        <v>490</v>
      </c>
      <c r="B491">
        <v>490</v>
      </c>
      <c r="C491">
        <v>41</v>
      </c>
      <c r="D491">
        <f>VLOOKUP(C491,Course!$A$1:$C$229, 2, FALSE)</f>
        <v>0</v>
      </c>
      <c r="E491">
        <v>71</v>
      </c>
      <c r="F491" t="s">
        <v>930</v>
      </c>
      <c r="G491">
        <v>1</v>
      </c>
      <c r="H491" s="6">
        <v>0.8</v>
      </c>
      <c r="I491">
        <v>1</v>
      </c>
    </row>
    <row r="492" spans="1:9" x14ac:dyDescent="0.2">
      <c r="A492" s="2">
        <v>491</v>
      </c>
      <c r="B492">
        <v>491</v>
      </c>
      <c r="C492">
        <v>41</v>
      </c>
      <c r="D492">
        <f>VLOOKUP(C492,Course!$A$1:$C$229, 2, FALSE)</f>
        <v>0</v>
      </c>
      <c r="E492">
        <v>72</v>
      </c>
      <c r="F492" t="s">
        <v>931</v>
      </c>
      <c r="G492">
        <v>1</v>
      </c>
      <c r="H492" s="6">
        <v>0.8</v>
      </c>
      <c r="I492">
        <v>1</v>
      </c>
    </row>
    <row r="493" spans="1:9" x14ac:dyDescent="0.2">
      <c r="A493" s="2">
        <v>492</v>
      </c>
      <c r="B493">
        <v>492</v>
      </c>
      <c r="C493">
        <v>42</v>
      </c>
      <c r="D493">
        <f>VLOOKUP(C493,Course!$A$1:$C$229, 2, FALSE)</f>
        <v>0</v>
      </c>
      <c r="E493">
        <v>61</v>
      </c>
      <c r="F493" t="s">
        <v>932</v>
      </c>
      <c r="G493">
        <v>1</v>
      </c>
      <c r="H493" s="6">
        <v>0.8</v>
      </c>
      <c r="I493">
        <v>1</v>
      </c>
    </row>
    <row r="494" spans="1:9" x14ac:dyDescent="0.2">
      <c r="A494" s="2">
        <v>493</v>
      </c>
      <c r="B494">
        <v>493</v>
      </c>
      <c r="C494">
        <v>42</v>
      </c>
      <c r="D494">
        <f>VLOOKUP(C494,Course!$A$1:$C$229, 2, FALSE)</f>
        <v>0</v>
      </c>
      <c r="E494">
        <v>62</v>
      </c>
      <c r="F494" t="s">
        <v>933</v>
      </c>
      <c r="G494">
        <v>1</v>
      </c>
      <c r="H494" s="6">
        <v>0.8</v>
      </c>
      <c r="I494">
        <v>1</v>
      </c>
    </row>
    <row r="495" spans="1:9" x14ac:dyDescent="0.2">
      <c r="A495" s="2">
        <v>494</v>
      </c>
      <c r="B495">
        <v>494</v>
      </c>
      <c r="C495">
        <v>42</v>
      </c>
      <c r="D495">
        <f>VLOOKUP(C495,Course!$A$1:$C$229, 2, FALSE)</f>
        <v>0</v>
      </c>
      <c r="E495">
        <v>63</v>
      </c>
      <c r="F495" t="s">
        <v>934</v>
      </c>
      <c r="G495">
        <v>1</v>
      </c>
      <c r="H495" s="6">
        <v>0.8</v>
      </c>
      <c r="I495">
        <v>1</v>
      </c>
    </row>
    <row r="496" spans="1:9" x14ac:dyDescent="0.2">
      <c r="A496" s="2">
        <v>495</v>
      </c>
      <c r="B496">
        <v>495</v>
      </c>
      <c r="C496">
        <v>42</v>
      </c>
      <c r="D496">
        <f>VLOOKUP(C496,Course!$A$1:$C$229, 2, FALSE)</f>
        <v>0</v>
      </c>
      <c r="E496">
        <v>64</v>
      </c>
      <c r="F496" t="s">
        <v>935</v>
      </c>
      <c r="G496">
        <v>1</v>
      </c>
      <c r="H496" s="6">
        <v>0.8</v>
      </c>
      <c r="I496">
        <v>1</v>
      </c>
    </row>
    <row r="497" spans="1:9" x14ac:dyDescent="0.2">
      <c r="A497" s="2">
        <v>496</v>
      </c>
      <c r="B497">
        <v>496</v>
      </c>
      <c r="C497">
        <v>42</v>
      </c>
      <c r="D497">
        <f>VLOOKUP(C497,Course!$A$1:$C$229, 2, FALSE)</f>
        <v>0</v>
      </c>
      <c r="E497">
        <v>65</v>
      </c>
      <c r="F497" t="s">
        <v>936</v>
      </c>
      <c r="G497">
        <v>1</v>
      </c>
      <c r="H497" s="6">
        <v>0.8</v>
      </c>
      <c r="I497">
        <v>1</v>
      </c>
    </row>
    <row r="498" spans="1:9" x14ac:dyDescent="0.2">
      <c r="A498" s="2">
        <v>497</v>
      </c>
      <c r="B498">
        <v>497</v>
      </c>
      <c r="C498">
        <v>42</v>
      </c>
      <c r="D498">
        <f>VLOOKUP(C498,Course!$A$1:$C$229, 2, FALSE)</f>
        <v>0</v>
      </c>
      <c r="E498">
        <v>66</v>
      </c>
      <c r="F498" t="s">
        <v>937</v>
      </c>
      <c r="G498">
        <v>1</v>
      </c>
      <c r="H498" s="6">
        <v>0.8</v>
      </c>
      <c r="I498">
        <v>1</v>
      </c>
    </row>
    <row r="499" spans="1:9" x14ac:dyDescent="0.2">
      <c r="A499" s="2">
        <v>498</v>
      </c>
      <c r="B499">
        <v>498</v>
      </c>
      <c r="C499">
        <v>42</v>
      </c>
      <c r="D499">
        <f>VLOOKUP(C499,Course!$A$1:$C$229, 2, FALSE)</f>
        <v>0</v>
      </c>
      <c r="E499">
        <v>67</v>
      </c>
      <c r="F499" t="s">
        <v>938</v>
      </c>
      <c r="G499">
        <v>1</v>
      </c>
      <c r="H499" s="6">
        <v>0.8</v>
      </c>
      <c r="I499">
        <v>1</v>
      </c>
    </row>
    <row r="500" spans="1:9" x14ac:dyDescent="0.2">
      <c r="A500" s="2">
        <v>499</v>
      </c>
      <c r="B500">
        <v>499</v>
      </c>
      <c r="C500">
        <v>42</v>
      </c>
      <c r="D500">
        <f>VLOOKUP(C500,Course!$A$1:$C$229, 2, FALSE)</f>
        <v>0</v>
      </c>
      <c r="E500">
        <v>68</v>
      </c>
      <c r="F500" t="s">
        <v>939</v>
      </c>
      <c r="G500">
        <v>1</v>
      </c>
      <c r="H500" s="6">
        <v>0.8</v>
      </c>
      <c r="I500">
        <v>1</v>
      </c>
    </row>
    <row r="501" spans="1:9" x14ac:dyDescent="0.2">
      <c r="A501" s="2">
        <v>500</v>
      </c>
      <c r="B501">
        <v>500</v>
      </c>
      <c r="C501">
        <v>42</v>
      </c>
      <c r="D501">
        <f>VLOOKUP(C501,Course!$A$1:$C$229, 2, FALSE)</f>
        <v>0</v>
      </c>
      <c r="E501">
        <v>69</v>
      </c>
      <c r="F501" t="s">
        <v>940</v>
      </c>
      <c r="G501">
        <v>1</v>
      </c>
      <c r="H501" s="6">
        <v>0.8</v>
      </c>
      <c r="I501">
        <v>1</v>
      </c>
    </row>
    <row r="502" spans="1:9" x14ac:dyDescent="0.2">
      <c r="A502" s="2">
        <v>501</v>
      </c>
      <c r="B502">
        <v>501</v>
      </c>
      <c r="C502">
        <v>42</v>
      </c>
      <c r="D502">
        <f>VLOOKUP(C502,Course!$A$1:$C$229, 2, FALSE)</f>
        <v>0</v>
      </c>
      <c r="E502">
        <v>70</v>
      </c>
      <c r="F502" t="s">
        <v>941</v>
      </c>
      <c r="G502">
        <v>1</v>
      </c>
      <c r="H502" s="6">
        <v>0.8</v>
      </c>
      <c r="I502">
        <v>1</v>
      </c>
    </row>
    <row r="503" spans="1:9" x14ac:dyDescent="0.2">
      <c r="A503" s="2">
        <v>502</v>
      </c>
      <c r="B503">
        <v>502</v>
      </c>
      <c r="C503">
        <v>42</v>
      </c>
      <c r="D503">
        <f>VLOOKUP(C503,Course!$A$1:$C$229, 2, FALSE)</f>
        <v>0</v>
      </c>
      <c r="E503">
        <v>71</v>
      </c>
      <c r="F503" t="s">
        <v>942</v>
      </c>
      <c r="G503">
        <v>1</v>
      </c>
      <c r="H503" s="6">
        <v>0.8</v>
      </c>
      <c r="I503">
        <v>1</v>
      </c>
    </row>
    <row r="504" spans="1:9" x14ac:dyDescent="0.2">
      <c r="A504" s="2">
        <v>503</v>
      </c>
      <c r="B504">
        <v>503</v>
      </c>
      <c r="C504">
        <v>42</v>
      </c>
      <c r="D504">
        <f>VLOOKUP(C504,Course!$A$1:$C$229, 2, FALSE)</f>
        <v>0</v>
      </c>
      <c r="E504">
        <v>72</v>
      </c>
      <c r="F504" t="s">
        <v>943</v>
      </c>
      <c r="G504">
        <v>1</v>
      </c>
      <c r="H504" s="6">
        <v>0.8</v>
      </c>
      <c r="I504">
        <v>1</v>
      </c>
    </row>
    <row r="505" spans="1:9" x14ac:dyDescent="0.2">
      <c r="A505" s="2">
        <v>504</v>
      </c>
      <c r="B505">
        <v>504</v>
      </c>
      <c r="C505">
        <v>43</v>
      </c>
      <c r="D505">
        <f>VLOOKUP(C505,Course!$A$1:$C$229, 2, FALSE)</f>
        <v>0</v>
      </c>
      <c r="E505">
        <v>61</v>
      </c>
      <c r="F505" t="s">
        <v>944</v>
      </c>
      <c r="G505">
        <v>1</v>
      </c>
      <c r="H505" s="6">
        <v>0.8</v>
      </c>
      <c r="I505">
        <v>1</v>
      </c>
    </row>
    <row r="506" spans="1:9" x14ac:dyDescent="0.2">
      <c r="A506" s="2">
        <v>505</v>
      </c>
      <c r="B506">
        <v>505</v>
      </c>
      <c r="C506">
        <v>43</v>
      </c>
      <c r="D506">
        <f>VLOOKUP(C506,Course!$A$1:$C$229, 2, FALSE)</f>
        <v>0</v>
      </c>
      <c r="E506">
        <v>62</v>
      </c>
      <c r="F506" t="s">
        <v>945</v>
      </c>
      <c r="G506">
        <v>1</v>
      </c>
      <c r="H506" s="6">
        <v>0.8</v>
      </c>
      <c r="I506">
        <v>1</v>
      </c>
    </row>
    <row r="507" spans="1:9" x14ac:dyDescent="0.2">
      <c r="A507" s="2">
        <v>506</v>
      </c>
      <c r="B507">
        <v>506</v>
      </c>
      <c r="C507">
        <v>43</v>
      </c>
      <c r="D507">
        <f>VLOOKUP(C507,Course!$A$1:$C$229, 2, FALSE)</f>
        <v>0</v>
      </c>
      <c r="E507">
        <v>63</v>
      </c>
      <c r="F507" t="s">
        <v>946</v>
      </c>
      <c r="G507">
        <v>1</v>
      </c>
      <c r="H507" s="6">
        <v>0.8</v>
      </c>
      <c r="I507">
        <v>1</v>
      </c>
    </row>
    <row r="508" spans="1:9" x14ac:dyDescent="0.2">
      <c r="A508" s="2">
        <v>507</v>
      </c>
      <c r="B508">
        <v>507</v>
      </c>
      <c r="C508">
        <v>43</v>
      </c>
      <c r="D508">
        <f>VLOOKUP(C508,Course!$A$1:$C$229, 2, FALSE)</f>
        <v>0</v>
      </c>
      <c r="E508">
        <v>64</v>
      </c>
      <c r="F508" t="s">
        <v>947</v>
      </c>
      <c r="G508">
        <v>1</v>
      </c>
      <c r="H508" s="6">
        <v>0.8</v>
      </c>
      <c r="I508">
        <v>1</v>
      </c>
    </row>
    <row r="509" spans="1:9" x14ac:dyDescent="0.2">
      <c r="A509" s="2">
        <v>508</v>
      </c>
      <c r="B509">
        <v>508</v>
      </c>
      <c r="C509">
        <v>43</v>
      </c>
      <c r="D509">
        <f>VLOOKUP(C509,Course!$A$1:$C$229, 2, FALSE)</f>
        <v>0</v>
      </c>
      <c r="E509">
        <v>65</v>
      </c>
      <c r="F509" t="s">
        <v>948</v>
      </c>
      <c r="G509">
        <v>1</v>
      </c>
      <c r="H509" s="6">
        <v>0.8</v>
      </c>
      <c r="I509">
        <v>1</v>
      </c>
    </row>
    <row r="510" spans="1:9" x14ac:dyDescent="0.2">
      <c r="A510" s="2">
        <v>509</v>
      </c>
      <c r="B510">
        <v>509</v>
      </c>
      <c r="C510">
        <v>43</v>
      </c>
      <c r="D510">
        <f>VLOOKUP(C510,Course!$A$1:$C$229, 2, FALSE)</f>
        <v>0</v>
      </c>
      <c r="E510">
        <v>66</v>
      </c>
      <c r="F510" t="s">
        <v>949</v>
      </c>
      <c r="G510">
        <v>1</v>
      </c>
      <c r="H510" s="6">
        <v>0.8</v>
      </c>
      <c r="I510">
        <v>1</v>
      </c>
    </row>
    <row r="511" spans="1:9" x14ac:dyDescent="0.2">
      <c r="A511" s="2">
        <v>510</v>
      </c>
      <c r="B511">
        <v>510</v>
      </c>
      <c r="C511">
        <v>43</v>
      </c>
      <c r="D511">
        <f>VLOOKUP(C511,Course!$A$1:$C$229, 2, FALSE)</f>
        <v>0</v>
      </c>
      <c r="E511">
        <v>67</v>
      </c>
      <c r="F511" t="s">
        <v>950</v>
      </c>
      <c r="G511">
        <v>1</v>
      </c>
      <c r="H511" s="6">
        <v>0.8</v>
      </c>
      <c r="I511">
        <v>1</v>
      </c>
    </row>
    <row r="512" spans="1:9" x14ac:dyDescent="0.2">
      <c r="A512" s="2">
        <v>511</v>
      </c>
      <c r="B512">
        <v>511</v>
      </c>
      <c r="C512">
        <v>43</v>
      </c>
      <c r="D512">
        <f>VLOOKUP(C512,Course!$A$1:$C$229, 2, FALSE)</f>
        <v>0</v>
      </c>
      <c r="E512">
        <v>68</v>
      </c>
      <c r="F512" t="s">
        <v>951</v>
      </c>
      <c r="G512">
        <v>1</v>
      </c>
      <c r="H512" s="6">
        <v>0.8</v>
      </c>
      <c r="I512">
        <v>1</v>
      </c>
    </row>
    <row r="513" spans="1:9" x14ac:dyDescent="0.2">
      <c r="A513" s="2">
        <v>512</v>
      </c>
      <c r="B513">
        <v>512</v>
      </c>
      <c r="C513">
        <v>43</v>
      </c>
      <c r="D513">
        <f>VLOOKUP(C513,Course!$A$1:$C$229, 2, FALSE)</f>
        <v>0</v>
      </c>
      <c r="E513">
        <v>69</v>
      </c>
      <c r="F513" t="s">
        <v>952</v>
      </c>
      <c r="G513">
        <v>1</v>
      </c>
      <c r="H513" s="6">
        <v>0.8</v>
      </c>
      <c r="I513">
        <v>1</v>
      </c>
    </row>
    <row r="514" spans="1:9" x14ac:dyDescent="0.2">
      <c r="A514" s="2">
        <v>513</v>
      </c>
      <c r="B514">
        <v>513</v>
      </c>
      <c r="C514">
        <v>43</v>
      </c>
      <c r="D514">
        <f>VLOOKUP(C514,Course!$A$1:$C$229, 2, FALSE)</f>
        <v>0</v>
      </c>
      <c r="E514">
        <v>70</v>
      </c>
      <c r="F514" t="s">
        <v>953</v>
      </c>
      <c r="G514">
        <v>1</v>
      </c>
      <c r="H514" s="6">
        <v>0.8</v>
      </c>
      <c r="I514">
        <v>1</v>
      </c>
    </row>
    <row r="515" spans="1:9" x14ac:dyDescent="0.2">
      <c r="A515" s="2">
        <v>514</v>
      </c>
      <c r="B515">
        <v>514</v>
      </c>
      <c r="C515">
        <v>43</v>
      </c>
      <c r="D515">
        <f>VLOOKUP(C515,Course!$A$1:$C$229, 2, FALSE)</f>
        <v>0</v>
      </c>
      <c r="E515">
        <v>71</v>
      </c>
      <c r="F515" t="s">
        <v>954</v>
      </c>
      <c r="G515">
        <v>1</v>
      </c>
      <c r="H515" s="6">
        <v>0.8</v>
      </c>
      <c r="I515">
        <v>1</v>
      </c>
    </row>
    <row r="516" spans="1:9" x14ac:dyDescent="0.2">
      <c r="A516" s="2">
        <v>515</v>
      </c>
      <c r="B516">
        <v>515</v>
      </c>
      <c r="C516">
        <v>43</v>
      </c>
      <c r="D516">
        <f>VLOOKUP(C516,Course!$A$1:$C$229, 2, FALSE)</f>
        <v>0</v>
      </c>
      <c r="E516">
        <v>72</v>
      </c>
      <c r="F516" t="s">
        <v>955</v>
      </c>
      <c r="G516">
        <v>1</v>
      </c>
      <c r="H516" s="6">
        <v>0.8</v>
      </c>
      <c r="I516">
        <v>1</v>
      </c>
    </row>
    <row r="517" spans="1:9" x14ac:dyDescent="0.2">
      <c r="A517" s="2">
        <v>516</v>
      </c>
      <c r="B517">
        <v>516</v>
      </c>
      <c r="C517">
        <v>44</v>
      </c>
      <c r="D517">
        <f>VLOOKUP(C517,Course!$A$1:$C$229, 2, FALSE)</f>
        <v>0</v>
      </c>
      <c r="E517">
        <v>73</v>
      </c>
      <c r="F517" t="s">
        <v>956</v>
      </c>
      <c r="G517">
        <v>1</v>
      </c>
      <c r="H517" s="6">
        <v>0.8</v>
      </c>
      <c r="I517">
        <v>1</v>
      </c>
    </row>
    <row r="518" spans="1:9" x14ac:dyDescent="0.2">
      <c r="A518" s="2">
        <v>517</v>
      </c>
      <c r="B518">
        <v>517</v>
      </c>
      <c r="C518">
        <v>44</v>
      </c>
      <c r="D518">
        <f>VLOOKUP(C518,Course!$A$1:$C$229, 2, FALSE)</f>
        <v>0</v>
      </c>
      <c r="E518">
        <v>74</v>
      </c>
      <c r="F518" t="s">
        <v>957</v>
      </c>
      <c r="G518">
        <v>1</v>
      </c>
      <c r="H518" s="6">
        <v>0.8</v>
      </c>
      <c r="I518">
        <v>1</v>
      </c>
    </row>
    <row r="519" spans="1:9" x14ac:dyDescent="0.2">
      <c r="A519" s="2">
        <v>518</v>
      </c>
      <c r="B519">
        <v>518</v>
      </c>
      <c r="C519">
        <v>44</v>
      </c>
      <c r="D519">
        <f>VLOOKUP(C519,Course!$A$1:$C$229, 2, FALSE)</f>
        <v>0</v>
      </c>
      <c r="E519">
        <v>75</v>
      </c>
      <c r="F519" t="s">
        <v>958</v>
      </c>
      <c r="G519">
        <v>1</v>
      </c>
      <c r="H519" s="6">
        <v>0.8</v>
      </c>
      <c r="I519">
        <v>1</v>
      </c>
    </row>
    <row r="520" spans="1:9" x14ac:dyDescent="0.2">
      <c r="A520" s="2">
        <v>519</v>
      </c>
      <c r="B520">
        <v>519</v>
      </c>
      <c r="C520">
        <v>44</v>
      </c>
      <c r="D520">
        <f>VLOOKUP(C520,Course!$A$1:$C$229, 2, FALSE)</f>
        <v>0</v>
      </c>
      <c r="E520">
        <v>76</v>
      </c>
      <c r="F520" t="s">
        <v>959</v>
      </c>
      <c r="G520">
        <v>1</v>
      </c>
      <c r="H520" s="6">
        <v>0.8</v>
      </c>
      <c r="I520">
        <v>1</v>
      </c>
    </row>
    <row r="521" spans="1:9" x14ac:dyDescent="0.2">
      <c r="A521" s="2">
        <v>520</v>
      </c>
      <c r="B521">
        <v>520</v>
      </c>
      <c r="C521">
        <v>44</v>
      </c>
      <c r="D521">
        <f>VLOOKUP(C521,Course!$A$1:$C$229, 2, FALSE)</f>
        <v>0</v>
      </c>
      <c r="E521">
        <v>77</v>
      </c>
      <c r="F521" t="s">
        <v>960</v>
      </c>
      <c r="G521">
        <v>1</v>
      </c>
      <c r="H521" s="6">
        <v>0.8</v>
      </c>
      <c r="I521">
        <v>1</v>
      </c>
    </row>
    <row r="522" spans="1:9" x14ac:dyDescent="0.2">
      <c r="A522" s="2">
        <v>521</v>
      </c>
      <c r="B522">
        <v>521</v>
      </c>
      <c r="C522">
        <v>44</v>
      </c>
      <c r="D522">
        <f>VLOOKUP(C522,Course!$A$1:$C$229, 2, FALSE)</f>
        <v>0</v>
      </c>
      <c r="E522">
        <v>78</v>
      </c>
      <c r="F522" t="s">
        <v>961</v>
      </c>
      <c r="G522">
        <v>1</v>
      </c>
      <c r="H522" s="6">
        <v>0.8</v>
      </c>
      <c r="I522">
        <v>1</v>
      </c>
    </row>
    <row r="523" spans="1:9" x14ac:dyDescent="0.2">
      <c r="A523" s="2">
        <v>522</v>
      </c>
      <c r="B523">
        <v>522</v>
      </c>
      <c r="C523">
        <v>44</v>
      </c>
      <c r="D523">
        <f>VLOOKUP(C523,Course!$A$1:$C$229, 2, FALSE)</f>
        <v>0</v>
      </c>
      <c r="E523">
        <v>79</v>
      </c>
      <c r="F523" t="s">
        <v>962</v>
      </c>
      <c r="G523">
        <v>1</v>
      </c>
      <c r="H523" s="6">
        <v>0.8</v>
      </c>
      <c r="I523">
        <v>1</v>
      </c>
    </row>
    <row r="524" spans="1:9" x14ac:dyDescent="0.2">
      <c r="A524" s="2">
        <v>523</v>
      </c>
      <c r="B524">
        <v>523</v>
      </c>
      <c r="C524">
        <v>44</v>
      </c>
      <c r="D524">
        <f>VLOOKUP(C524,Course!$A$1:$C$229, 2, FALSE)</f>
        <v>0</v>
      </c>
      <c r="E524">
        <v>80</v>
      </c>
      <c r="F524" t="s">
        <v>963</v>
      </c>
      <c r="G524">
        <v>1</v>
      </c>
      <c r="H524" s="6">
        <v>0.8</v>
      </c>
      <c r="I524">
        <v>1</v>
      </c>
    </row>
    <row r="525" spans="1:9" x14ac:dyDescent="0.2">
      <c r="A525" s="2">
        <v>524</v>
      </c>
      <c r="B525">
        <v>524</v>
      </c>
      <c r="C525">
        <v>44</v>
      </c>
      <c r="D525">
        <f>VLOOKUP(C525,Course!$A$1:$C$229, 2, FALSE)</f>
        <v>0</v>
      </c>
      <c r="E525">
        <v>81</v>
      </c>
      <c r="F525" t="s">
        <v>964</v>
      </c>
      <c r="G525">
        <v>1</v>
      </c>
      <c r="H525" s="6">
        <v>0.8</v>
      </c>
      <c r="I525">
        <v>1</v>
      </c>
    </row>
    <row r="526" spans="1:9" x14ac:dyDescent="0.2">
      <c r="A526" s="2">
        <v>525</v>
      </c>
      <c r="B526">
        <v>525</v>
      </c>
      <c r="C526">
        <v>44</v>
      </c>
      <c r="D526">
        <f>VLOOKUP(C526,Course!$A$1:$C$229, 2, FALSE)</f>
        <v>0</v>
      </c>
      <c r="E526">
        <v>82</v>
      </c>
      <c r="F526" t="s">
        <v>965</v>
      </c>
      <c r="G526">
        <v>1</v>
      </c>
      <c r="H526" s="6">
        <v>0.8</v>
      </c>
      <c r="I526">
        <v>1</v>
      </c>
    </row>
    <row r="527" spans="1:9" x14ac:dyDescent="0.2">
      <c r="A527" s="2">
        <v>526</v>
      </c>
      <c r="B527">
        <v>526</v>
      </c>
      <c r="C527">
        <v>44</v>
      </c>
      <c r="D527">
        <f>VLOOKUP(C527,Course!$A$1:$C$229, 2, FALSE)</f>
        <v>0</v>
      </c>
      <c r="E527">
        <v>83</v>
      </c>
      <c r="F527" t="s">
        <v>966</v>
      </c>
      <c r="G527">
        <v>1</v>
      </c>
      <c r="H527" s="6">
        <v>0.8</v>
      </c>
      <c r="I527">
        <v>1</v>
      </c>
    </row>
    <row r="528" spans="1:9" x14ac:dyDescent="0.2">
      <c r="A528" s="2">
        <v>527</v>
      </c>
      <c r="B528">
        <v>527</v>
      </c>
      <c r="C528">
        <v>44</v>
      </c>
      <c r="D528">
        <f>VLOOKUP(C528,Course!$A$1:$C$229, 2, FALSE)</f>
        <v>0</v>
      </c>
      <c r="E528">
        <v>84</v>
      </c>
      <c r="F528" t="s">
        <v>967</v>
      </c>
      <c r="G528">
        <v>1</v>
      </c>
      <c r="H528" s="6">
        <v>0.8</v>
      </c>
      <c r="I528">
        <v>1</v>
      </c>
    </row>
    <row r="529" spans="1:9" x14ac:dyDescent="0.2">
      <c r="A529" s="2">
        <v>528</v>
      </c>
      <c r="B529">
        <v>528</v>
      </c>
      <c r="C529">
        <v>45</v>
      </c>
      <c r="D529">
        <f>VLOOKUP(C529,Course!$A$1:$C$229, 2, FALSE)</f>
        <v>0</v>
      </c>
      <c r="E529">
        <v>73</v>
      </c>
      <c r="F529" t="s">
        <v>968</v>
      </c>
      <c r="G529">
        <v>1</v>
      </c>
      <c r="H529" s="6">
        <v>0.8</v>
      </c>
      <c r="I529">
        <v>1</v>
      </c>
    </row>
    <row r="530" spans="1:9" x14ac:dyDescent="0.2">
      <c r="A530" s="2">
        <v>529</v>
      </c>
      <c r="B530">
        <v>529</v>
      </c>
      <c r="C530">
        <v>45</v>
      </c>
      <c r="D530">
        <f>VLOOKUP(C530,Course!$A$1:$C$229, 2, FALSE)</f>
        <v>0</v>
      </c>
      <c r="E530">
        <v>74</v>
      </c>
      <c r="F530" t="s">
        <v>969</v>
      </c>
      <c r="G530">
        <v>1</v>
      </c>
      <c r="H530" s="6">
        <v>0.8</v>
      </c>
      <c r="I530">
        <v>1</v>
      </c>
    </row>
    <row r="531" spans="1:9" x14ac:dyDescent="0.2">
      <c r="A531" s="2">
        <v>530</v>
      </c>
      <c r="B531">
        <v>530</v>
      </c>
      <c r="C531">
        <v>45</v>
      </c>
      <c r="D531">
        <f>VLOOKUP(C531,Course!$A$1:$C$229, 2, FALSE)</f>
        <v>0</v>
      </c>
      <c r="E531">
        <v>75</v>
      </c>
      <c r="F531" t="s">
        <v>970</v>
      </c>
      <c r="G531">
        <v>1</v>
      </c>
      <c r="H531" s="6">
        <v>0.8</v>
      </c>
      <c r="I531">
        <v>1</v>
      </c>
    </row>
    <row r="532" spans="1:9" x14ac:dyDescent="0.2">
      <c r="A532" s="2">
        <v>531</v>
      </c>
      <c r="B532">
        <v>531</v>
      </c>
      <c r="C532">
        <v>45</v>
      </c>
      <c r="D532">
        <f>VLOOKUP(C532,Course!$A$1:$C$229, 2, FALSE)</f>
        <v>0</v>
      </c>
      <c r="E532">
        <v>76</v>
      </c>
      <c r="F532" t="s">
        <v>971</v>
      </c>
      <c r="G532">
        <v>1</v>
      </c>
      <c r="H532" s="6">
        <v>0.8</v>
      </c>
      <c r="I532">
        <v>1</v>
      </c>
    </row>
    <row r="533" spans="1:9" x14ac:dyDescent="0.2">
      <c r="A533" s="2">
        <v>532</v>
      </c>
      <c r="B533">
        <v>532</v>
      </c>
      <c r="C533">
        <v>45</v>
      </c>
      <c r="D533">
        <f>VLOOKUP(C533,Course!$A$1:$C$229, 2, FALSE)</f>
        <v>0</v>
      </c>
      <c r="E533">
        <v>77</v>
      </c>
      <c r="F533" t="s">
        <v>972</v>
      </c>
      <c r="G533">
        <v>1</v>
      </c>
      <c r="H533" s="6">
        <v>0.8</v>
      </c>
      <c r="I533">
        <v>1</v>
      </c>
    </row>
    <row r="534" spans="1:9" x14ac:dyDescent="0.2">
      <c r="A534" s="2">
        <v>533</v>
      </c>
      <c r="B534">
        <v>533</v>
      </c>
      <c r="C534">
        <v>45</v>
      </c>
      <c r="D534">
        <f>VLOOKUP(C534,Course!$A$1:$C$229, 2, FALSE)</f>
        <v>0</v>
      </c>
      <c r="E534">
        <v>78</v>
      </c>
      <c r="F534" t="s">
        <v>973</v>
      </c>
      <c r="G534">
        <v>1</v>
      </c>
      <c r="H534" s="6">
        <v>0.8</v>
      </c>
      <c r="I534">
        <v>1</v>
      </c>
    </row>
    <row r="535" spans="1:9" x14ac:dyDescent="0.2">
      <c r="A535" s="2">
        <v>534</v>
      </c>
      <c r="B535">
        <v>534</v>
      </c>
      <c r="C535">
        <v>45</v>
      </c>
      <c r="D535">
        <f>VLOOKUP(C535,Course!$A$1:$C$229, 2, FALSE)</f>
        <v>0</v>
      </c>
      <c r="E535">
        <v>79</v>
      </c>
      <c r="F535" t="s">
        <v>974</v>
      </c>
      <c r="G535">
        <v>1</v>
      </c>
      <c r="H535" s="6">
        <v>0.8</v>
      </c>
      <c r="I535">
        <v>1</v>
      </c>
    </row>
    <row r="536" spans="1:9" x14ac:dyDescent="0.2">
      <c r="A536" s="2">
        <v>535</v>
      </c>
      <c r="B536">
        <v>535</v>
      </c>
      <c r="C536">
        <v>45</v>
      </c>
      <c r="D536">
        <f>VLOOKUP(C536,Course!$A$1:$C$229, 2, FALSE)</f>
        <v>0</v>
      </c>
      <c r="E536">
        <v>80</v>
      </c>
      <c r="F536" t="s">
        <v>975</v>
      </c>
      <c r="G536">
        <v>1</v>
      </c>
      <c r="H536" s="6">
        <v>0.8</v>
      </c>
      <c r="I536">
        <v>1</v>
      </c>
    </row>
    <row r="537" spans="1:9" x14ac:dyDescent="0.2">
      <c r="A537" s="2">
        <v>536</v>
      </c>
      <c r="B537">
        <v>536</v>
      </c>
      <c r="C537">
        <v>45</v>
      </c>
      <c r="D537">
        <f>VLOOKUP(C537,Course!$A$1:$C$229, 2, FALSE)</f>
        <v>0</v>
      </c>
      <c r="E537">
        <v>81</v>
      </c>
      <c r="F537" t="s">
        <v>976</v>
      </c>
      <c r="G537">
        <v>1</v>
      </c>
      <c r="H537" s="6">
        <v>0.8</v>
      </c>
      <c r="I537">
        <v>1</v>
      </c>
    </row>
    <row r="538" spans="1:9" x14ac:dyDescent="0.2">
      <c r="A538" s="2">
        <v>537</v>
      </c>
      <c r="B538">
        <v>537</v>
      </c>
      <c r="C538">
        <v>45</v>
      </c>
      <c r="D538">
        <f>VLOOKUP(C538,Course!$A$1:$C$229, 2, FALSE)</f>
        <v>0</v>
      </c>
      <c r="E538">
        <v>82</v>
      </c>
      <c r="F538" t="s">
        <v>977</v>
      </c>
      <c r="G538">
        <v>1</v>
      </c>
      <c r="H538" s="6">
        <v>0.8</v>
      </c>
      <c r="I538">
        <v>1</v>
      </c>
    </row>
    <row r="539" spans="1:9" x14ac:dyDescent="0.2">
      <c r="A539" s="2">
        <v>538</v>
      </c>
      <c r="B539">
        <v>538</v>
      </c>
      <c r="C539">
        <v>45</v>
      </c>
      <c r="D539">
        <f>VLOOKUP(C539,Course!$A$1:$C$229, 2, FALSE)</f>
        <v>0</v>
      </c>
      <c r="E539">
        <v>83</v>
      </c>
      <c r="F539" t="s">
        <v>978</v>
      </c>
      <c r="G539">
        <v>1</v>
      </c>
      <c r="H539" s="6">
        <v>0.8</v>
      </c>
      <c r="I539">
        <v>1</v>
      </c>
    </row>
    <row r="540" spans="1:9" x14ac:dyDescent="0.2">
      <c r="A540" s="2">
        <v>539</v>
      </c>
      <c r="B540">
        <v>539</v>
      </c>
      <c r="C540">
        <v>45</v>
      </c>
      <c r="D540">
        <f>VLOOKUP(C540,Course!$A$1:$C$229, 2, FALSE)</f>
        <v>0</v>
      </c>
      <c r="E540">
        <v>84</v>
      </c>
      <c r="F540" t="s">
        <v>979</v>
      </c>
      <c r="G540">
        <v>1</v>
      </c>
      <c r="H540" s="6">
        <v>0.8</v>
      </c>
      <c r="I540">
        <v>1</v>
      </c>
    </row>
    <row r="541" spans="1:9" x14ac:dyDescent="0.2">
      <c r="A541" s="2">
        <v>540</v>
      </c>
      <c r="B541">
        <v>540</v>
      </c>
      <c r="C541">
        <v>46</v>
      </c>
      <c r="D541">
        <f>VLOOKUP(C541,Course!$A$1:$C$229, 2, FALSE)</f>
        <v>0</v>
      </c>
      <c r="E541">
        <v>73</v>
      </c>
      <c r="F541" t="s">
        <v>980</v>
      </c>
      <c r="G541">
        <v>1</v>
      </c>
      <c r="H541" s="6">
        <v>0.8</v>
      </c>
      <c r="I541">
        <v>1</v>
      </c>
    </row>
    <row r="542" spans="1:9" x14ac:dyDescent="0.2">
      <c r="A542" s="2">
        <v>541</v>
      </c>
      <c r="B542">
        <v>541</v>
      </c>
      <c r="C542">
        <v>46</v>
      </c>
      <c r="D542">
        <f>VLOOKUP(C542,Course!$A$1:$C$229, 2, FALSE)</f>
        <v>0</v>
      </c>
      <c r="E542">
        <v>74</v>
      </c>
      <c r="F542" t="s">
        <v>981</v>
      </c>
      <c r="G542">
        <v>1</v>
      </c>
      <c r="H542" s="6">
        <v>0.8</v>
      </c>
      <c r="I542">
        <v>1</v>
      </c>
    </row>
    <row r="543" spans="1:9" x14ac:dyDescent="0.2">
      <c r="A543" s="2">
        <v>542</v>
      </c>
      <c r="B543">
        <v>542</v>
      </c>
      <c r="C543">
        <v>46</v>
      </c>
      <c r="D543">
        <f>VLOOKUP(C543,Course!$A$1:$C$229, 2, FALSE)</f>
        <v>0</v>
      </c>
      <c r="E543">
        <v>75</v>
      </c>
      <c r="F543" t="s">
        <v>982</v>
      </c>
      <c r="G543">
        <v>1</v>
      </c>
      <c r="H543" s="6">
        <v>0.8</v>
      </c>
      <c r="I543">
        <v>1</v>
      </c>
    </row>
    <row r="544" spans="1:9" x14ac:dyDescent="0.2">
      <c r="A544" s="2">
        <v>543</v>
      </c>
      <c r="B544">
        <v>543</v>
      </c>
      <c r="C544">
        <v>46</v>
      </c>
      <c r="D544">
        <f>VLOOKUP(C544,Course!$A$1:$C$229, 2, FALSE)</f>
        <v>0</v>
      </c>
      <c r="E544">
        <v>76</v>
      </c>
      <c r="F544" t="s">
        <v>983</v>
      </c>
      <c r="G544">
        <v>1</v>
      </c>
      <c r="H544" s="6">
        <v>0.8</v>
      </c>
      <c r="I544">
        <v>1</v>
      </c>
    </row>
    <row r="545" spans="1:9" x14ac:dyDescent="0.2">
      <c r="A545" s="2">
        <v>544</v>
      </c>
      <c r="B545">
        <v>544</v>
      </c>
      <c r="C545">
        <v>46</v>
      </c>
      <c r="D545">
        <f>VLOOKUP(C545,Course!$A$1:$C$229, 2, FALSE)</f>
        <v>0</v>
      </c>
      <c r="E545">
        <v>77</v>
      </c>
      <c r="F545" t="s">
        <v>984</v>
      </c>
      <c r="G545">
        <v>1</v>
      </c>
      <c r="H545" s="6">
        <v>0.8</v>
      </c>
      <c r="I545">
        <v>1</v>
      </c>
    </row>
    <row r="546" spans="1:9" x14ac:dyDescent="0.2">
      <c r="A546" s="2">
        <v>545</v>
      </c>
      <c r="B546">
        <v>545</v>
      </c>
      <c r="C546">
        <v>46</v>
      </c>
      <c r="D546">
        <f>VLOOKUP(C546,Course!$A$1:$C$229, 2, FALSE)</f>
        <v>0</v>
      </c>
      <c r="E546">
        <v>78</v>
      </c>
      <c r="F546" t="s">
        <v>985</v>
      </c>
      <c r="G546">
        <v>1</v>
      </c>
      <c r="H546" s="6">
        <v>0.8</v>
      </c>
      <c r="I546">
        <v>1</v>
      </c>
    </row>
    <row r="547" spans="1:9" x14ac:dyDescent="0.2">
      <c r="A547" s="2">
        <v>546</v>
      </c>
      <c r="B547">
        <v>546</v>
      </c>
      <c r="C547">
        <v>46</v>
      </c>
      <c r="D547">
        <f>VLOOKUP(C547,Course!$A$1:$C$229, 2, FALSE)</f>
        <v>0</v>
      </c>
      <c r="E547">
        <v>79</v>
      </c>
      <c r="F547" t="s">
        <v>986</v>
      </c>
      <c r="G547">
        <v>1</v>
      </c>
      <c r="H547" s="6">
        <v>0.8</v>
      </c>
      <c r="I547">
        <v>1</v>
      </c>
    </row>
    <row r="548" spans="1:9" x14ac:dyDescent="0.2">
      <c r="A548" s="2">
        <v>547</v>
      </c>
      <c r="B548">
        <v>547</v>
      </c>
      <c r="C548">
        <v>46</v>
      </c>
      <c r="D548">
        <f>VLOOKUP(C548,Course!$A$1:$C$229, 2, FALSE)</f>
        <v>0</v>
      </c>
      <c r="E548">
        <v>80</v>
      </c>
      <c r="F548" t="s">
        <v>987</v>
      </c>
      <c r="G548">
        <v>1</v>
      </c>
      <c r="H548" s="6">
        <v>0.8</v>
      </c>
      <c r="I548">
        <v>1</v>
      </c>
    </row>
    <row r="549" spans="1:9" x14ac:dyDescent="0.2">
      <c r="A549" s="2">
        <v>548</v>
      </c>
      <c r="B549">
        <v>548</v>
      </c>
      <c r="C549">
        <v>46</v>
      </c>
      <c r="D549">
        <f>VLOOKUP(C549,Course!$A$1:$C$229, 2, FALSE)</f>
        <v>0</v>
      </c>
      <c r="E549">
        <v>81</v>
      </c>
      <c r="F549" t="s">
        <v>988</v>
      </c>
      <c r="G549">
        <v>1</v>
      </c>
      <c r="H549" s="6">
        <v>0.8</v>
      </c>
      <c r="I549">
        <v>1</v>
      </c>
    </row>
    <row r="550" spans="1:9" x14ac:dyDescent="0.2">
      <c r="A550" s="2">
        <v>549</v>
      </c>
      <c r="B550">
        <v>549</v>
      </c>
      <c r="C550">
        <v>46</v>
      </c>
      <c r="D550">
        <f>VLOOKUP(C550,Course!$A$1:$C$229, 2, FALSE)</f>
        <v>0</v>
      </c>
      <c r="E550">
        <v>82</v>
      </c>
      <c r="F550" t="s">
        <v>989</v>
      </c>
      <c r="G550">
        <v>1</v>
      </c>
      <c r="H550" s="6">
        <v>0.8</v>
      </c>
      <c r="I550">
        <v>1</v>
      </c>
    </row>
    <row r="551" spans="1:9" x14ac:dyDescent="0.2">
      <c r="A551" s="2">
        <v>550</v>
      </c>
      <c r="B551">
        <v>550</v>
      </c>
      <c r="C551">
        <v>46</v>
      </c>
      <c r="D551">
        <f>VLOOKUP(C551,Course!$A$1:$C$229, 2, FALSE)</f>
        <v>0</v>
      </c>
      <c r="E551">
        <v>83</v>
      </c>
      <c r="F551" t="s">
        <v>990</v>
      </c>
      <c r="G551">
        <v>1</v>
      </c>
      <c r="H551" s="6">
        <v>0.8</v>
      </c>
      <c r="I551">
        <v>1</v>
      </c>
    </row>
    <row r="552" spans="1:9" x14ac:dyDescent="0.2">
      <c r="A552" s="2">
        <v>551</v>
      </c>
      <c r="B552">
        <v>551</v>
      </c>
      <c r="C552">
        <v>46</v>
      </c>
      <c r="D552">
        <f>VLOOKUP(C552,Course!$A$1:$C$229, 2, FALSE)</f>
        <v>0</v>
      </c>
      <c r="E552">
        <v>84</v>
      </c>
      <c r="F552" t="s">
        <v>991</v>
      </c>
      <c r="G552">
        <v>1</v>
      </c>
      <c r="H552" s="6">
        <v>0.8</v>
      </c>
      <c r="I552">
        <v>1</v>
      </c>
    </row>
    <row r="553" spans="1:9" x14ac:dyDescent="0.2">
      <c r="A553" s="2">
        <v>552</v>
      </c>
      <c r="B553">
        <v>552</v>
      </c>
      <c r="C553">
        <v>47</v>
      </c>
      <c r="D553">
        <f>VLOOKUP(C553,Course!$A$1:$C$229, 2, FALSE)</f>
        <v>0</v>
      </c>
      <c r="E553">
        <v>73</v>
      </c>
      <c r="F553" t="s">
        <v>992</v>
      </c>
      <c r="G553">
        <v>1</v>
      </c>
      <c r="H553" s="6">
        <v>0.9</v>
      </c>
      <c r="I553">
        <v>1</v>
      </c>
    </row>
    <row r="554" spans="1:9" x14ac:dyDescent="0.2">
      <c r="A554" s="2">
        <v>553</v>
      </c>
      <c r="B554">
        <v>553</v>
      </c>
      <c r="C554">
        <v>47</v>
      </c>
      <c r="D554">
        <f>VLOOKUP(C554,Course!$A$1:$C$229, 2, FALSE)</f>
        <v>0</v>
      </c>
      <c r="E554">
        <v>74</v>
      </c>
      <c r="F554" t="s">
        <v>993</v>
      </c>
      <c r="G554">
        <v>1</v>
      </c>
      <c r="H554" s="6">
        <v>0.9</v>
      </c>
      <c r="I554">
        <v>1</v>
      </c>
    </row>
    <row r="555" spans="1:9" x14ac:dyDescent="0.2">
      <c r="A555" s="2">
        <v>554</v>
      </c>
      <c r="B555">
        <v>554</v>
      </c>
      <c r="C555">
        <v>47</v>
      </c>
      <c r="D555">
        <f>VLOOKUP(C555,Course!$A$1:$C$229, 2, FALSE)</f>
        <v>0</v>
      </c>
      <c r="E555">
        <v>75</v>
      </c>
      <c r="F555" t="s">
        <v>994</v>
      </c>
      <c r="G555">
        <v>1</v>
      </c>
      <c r="H555" s="6">
        <v>0.9</v>
      </c>
      <c r="I555">
        <v>1</v>
      </c>
    </row>
    <row r="556" spans="1:9" x14ac:dyDescent="0.2">
      <c r="A556" s="2">
        <v>555</v>
      </c>
      <c r="B556">
        <v>555</v>
      </c>
      <c r="C556">
        <v>47</v>
      </c>
      <c r="D556">
        <f>VLOOKUP(C556,Course!$A$1:$C$229, 2, FALSE)</f>
        <v>0</v>
      </c>
      <c r="E556">
        <v>76</v>
      </c>
      <c r="F556" t="s">
        <v>995</v>
      </c>
      <c r="G556">
        <v>1</v>
      </c>
      <c r="H556" s="6">
        <v>0.9</v>
      </c>
      <c r="I556">
        <v>1</v>
      </c>
    </row>
    <row r="557" spans="1:9" x14ac:dyDescent="0.2">
      <c r="A557" s="2">
        <v>556</v>
      </c>
      <c r="B557">
        <v>556</v>
      </c>
      <c r="C557">
        <v>47</v>
      </c>
      <c r="D557">
        <f>VLOOKUP(C557,Course!$A$1:$C$229, 2, FALSE)</f>
        <v>0</v>
      </c>
      <c r="E557">
        <v>77</v>
      </c>
      <c r="F557" t="s">
        <v>996</v>
      </c>
      <c r="G557">
        <v>1</v>
      </c>
      <c r="H557" s="6">
        <v>0.9</v>
      </c>
      <c r="I557">
        <v>1</v>
      </c>
    </row>
    <row r="558" spans="1:9" x14ac:dyDescent="0.2">
      <c r="A558" s="2">
        <v>557</v>
      </c>
      <c r="B558">
        <v>557</v>
      </c>
      <c r="C558">
        <v>47</v>
      </c>
      <c r="D558">
        <f>VLOOKUP(C558,Course!$A$1:$C$229, 2, FALSE)</f>
        <v>0</v>
      </c>
      <c r="E558">
        <v>78</v>
      </c>
      <c r="F558" t="s">
        <v>997</v>
      </c>
      <c r="G558">
        <v>1</v>
      </c>
      <c r="H558" s="6">
        <v>0.9</v>
      </c>
      <c r="I558">
        <v>1</v>
      </c>
    </row>
    <row r="559" spans="1:9" x14ac:dyDescent="0.2">
      <c r="A559" s="2">
        <v>558</v>
      </c>
      <c r="B559">
        <v>558</v>
      </c>
      <c r="C559">
        <v>47</v>
      </c>
      <c r="D559">
        <f>VLOOKUP(C559,Course!$A$1:$C$229, 2, FALSE)</f>
        <v>0</v>
      </c>
      <c r="E559">
        <v>79</v>
      </c>
      <c r="F559" t="s">
        <v>998</v>
      </c>
      <c r="G559">
        <v>1</v>
      </c>
      <c r="H559" s="6">
        <v>0.9</v>
      </c>
      <c r="I559">
        <v>1</v>
      </c>
    </row>
    <row r="560" spans="1:9" x14ac:dyDescent="0.2">
      <c r="A560" s="2">
        <v>559</v>
      </c>
      <c r="B560">
        <v>559</v>
      </c>
      <c r="C560">
        <v>47</v>
      </c>
      <c r="D560">
        <f>VLOOKUP(C560,Course!$A$1:$C$229, 2, FALSE)</f>
        <v>0</v>
      </c>
      <c r="E560">
        <v>80</v>
      </c>
      <c r="F560" t="s">
        <v>999</v>
      </c>
      <c r="G560">
        <v>1</v>
      </c>
      <c r="H560" s="6">
        <v>0.9</v>
      </c>
      <c r="I560">
        <v>1</v>
      </c>
    </row>
    <row r="561" spans="1:9" x14ac:dyDescent="0.2">
      <c r="A561" s="2">
        <v>560</v>
      </c>
      <c r="B561">
        <v>560</v>
      </c>
      <c r="C561">
        <v>47</v>
      </c>
      <c r="D561">
        <f>VLOOKUP(C561,Course!$A$1:$C$229, 2, FALSE)</f>
        <v>0</v>
      </c>
      <c r="E561">
        <v>81</v>
      </c>
      <c r="F561" t="s">
        <v>1000</v>
      </c>
      <c r="G561">
        <v>1</v>
      </c>
      <c r="H561" s="6">
        <v>0.9</v>
      </c>
      <c r="I561">
        <v>1</v>
      </c>
    </row>
    <row r="562" spans="1:9" x14ac:dyDescent="0.2">
      <c r="A562" s="2">
        <v>561</v>
      </c>
      <c r="B562">
        <v>561</v>
      </c>
      <c r="C562">
        <v>47</v>
      </c>
      <c r="D562">
        <f>VLOOKUP(C562,Course!$A$1:$C$229, 2, FALSE)</f>
        <v>0</v>
      </c>
      <c r="E562">
        <v>82</v>
      </c>
      <c r="F562" t="s">
        <v>1001</v>
      </c>
      <c r="G562">
        <v>1</v>
      </c>
      <c r="H562" s="6">
        <v>0.9</v>
      </c>
      <c r="I562">
        <v>1</v>
      </c>
    </row>
    <row r="563" spans="1:9" x14ac:dyDescent="0.2">
      <c r="A563" s="2">
        <v>562</v>
      </c>
      <c r="B563">
        <v>562</v>
      </c>
      <c r="C563">
        <v>47</v>
      </c>
      <c r="D563">
        <f>VLOOKUP(C563,Course!$A$1:$C$229, 2, FALSE)</f>
        <v>0</v>
      </c>
      <c r="E563">
        <v>83</v>
      </c>
      <c r="F563" t="s">
        <v>1002</v>
      </c>
      <c r="G563">
        <v>1</v>
      </c>
      <c r="H563" s="6">
        <v>0.9</v>
      </c>
      <c r="I563">
        <v>1</v>
      </c>
    </row>
    <row r="564" spans="1:9" x14ac:dyDescent="0.2">
      <c r="A564" s="2">
        <v>563</v>
      </c>
      <c r="B564">
        <v>563</v>
      </c>
      <c r="C564">
        <v>47</v>
      </c>
      <c r="D564">
        <f>VLOOKUP(C564,Course!$A$1:$C$229, 2, FALSE)</f>
        <v>0</v>
      </c>
      <c r="E564">
        <v>84</v>
      </c>
      <c r="F564" t="s">
        <v>1003</v>
      </c>
      <c r="G564">
        <v>1</v>
      </c>
      <c r="H564" s="6">
        <v>0.9</v>
      </c>
      <c r="I564">
        <v>1</v>
      </c>
    </row>
    <row r="565" spans="1:9" x14ac:dyDescent="0.2">
      <c r="A565" s="2">
        <v>564</v>
      </c>
      <c r="B565">
        <v>564</v>
      </c>
      <c r="C565">
        <v>48</v>
      </c>
      <c r="D565">
        <f>VLOOKUP(C565,Course!$A$1:$C$229, 2, FALSE)</f>
        <v>0</v>
      </c>
      <c r="E565">
        <v>74</v>
      </c>
      <c r="F565" t="s">
        <v>1004</v>
      </c>
      <c r="G565">
        <f t="shared" ref="G565:G570" si="0">1/6/2</f>
        <v>8.3333333333333329E-2</v>
      </c>
      <c r="H565" s="6">
        <v>0.8</v>
      </c>
      <c r="I565">
        <v>1</v>
      </c>
    </row>
    <row r="566" spans="1:9" x14ac:dyDescent="0.2">
      <c r="A566" s="2">
        <v>566</v>
      </c>
      <c r="B566">
        <v>566</v>
      </c>
      <c r="C566">
        <v>48</v>
      </c>
      <c r="D566">
        <f>VLOOKUP(C566,Course!$A$1:$C$229, 2, FALSE)</f>
        <v>0</v>
      </c>
      <c r="E566">
        <v>76</v>
      </c>
      <c r="F566" t="s">
        <v>1005</v>
      </c>
      <c r="G566">
        <f t="shared" si="0"/>
        <v>8.3333333333333329E-2</v>
      </c>
      <c r="H566" s="6">
        <v>0.8</v>
      </c>
      <c r="I566">
        <v>1</v>
      </c>
    </row>
    <row r="567" spans="1:9" x14ac:dyDescent="0.2">
      <c r="A567" s="2">
        <v>568</v>
      </c>
      <c r="B567">
        <v>568</v>
      </c>
      <c r="C567">
        <v>48</v>
      </c>
      <c r="D567">
        <f>VLOOKUP(C567,Course!$A$1:$C$229, 2, FALSE)</f>
        <v>0</v>
      </c>
      <c r="E567">
        <v>78</v>
      </c>
      <c r="F567" t="s">
        <v>1006</v>
      </c>
      <c r="G567">
        <f t="shared" si="0"/>
        <v>8.3333333333333329E-2</v>
      </c>
      <c r="H567" s="6">
        <v>0.8</v>
      </c>
      <c r="I567">
        <v>1</v>
      </c>
    </row>
    <row r="568" spans="1:9" x14ac:dyDescent="0.2">
      <c r="A568" s="2">
        <v>570</v>
      </c>
      <c r="B568">
        <v>570</v>
      </c>
      <c r="C568">
        <v>48</v>
      </c>
      <c r="D568">
        <f>VLOOKUP(C568,Course!$A$1:$C$229, 2, FALSE)</f>
        <v>0</v>
      </c>
      <c r="E568">
        <v>80</v>
      </c>
      <c r="F568" t="s">
        <v>1007</v>
      </c>
      <c r="G568">
        <f t="shared" si="0"/>
        <v>8.3333333333333329E-2</v>
      </c>
      <c r="H568" s="6">
        <v>0.8</v>
      </c>
      <c r="I568">
        <v>1</v>
      </c>
    </row>
    <row r="569" spans="1:9" x14ac:dyDescent="0.2">
      <c r="A569" s="2">
        <v>572</v>
      </c>
      <c r="B569">
        <v>572</v>
      </c>
      <c r="C569">
        <v>48</v>
      </c>
      <c r="D569">
        <f>VLOOKUP(C569,Course!$A$1:$C$229, 2, FALSE)</f>
        <v>0</v>
      </c>
      <c r="E569">
        <v>82</v>
      </c>
      <c r="F569" t="s">
        <v>1008</v>
      </c>
      <c r="G569">
        <f t="shared" si="0"/>
        <v>8.3333333333333329E-2</v>
      </c>
      <c r="H569" s="6">
        <v>0.8</v>
      </c>
      <c r="I569">
        <v>1</v>
      </c>
    </row>
    <row r="570" spans="1:9" x14ac:dyDescent="0.2">
      <c r="A570" s="2">
        <v>574</v>
      </c>
      <c r="B570">
        <v>574</v>
      </c>
      <c r="C570">
        <v>48</v>
      </c>
      <c r="D570">
        <f>VLOOKUP(C570,Course!$A$1:$C$229, 2, FALSE)</f>
        <v>0</v>
      </c>
      <c r="E570">
        <v>84</v>
      </c>
      <c r="F570" t="s">
        <v>1009</v>
      </c>
      <c r="G570">
        <f t="shared" si="0"/>
        <v>8.3333333333333329E-2</v>
      </c>
      <c r="H570" s="6">
        <v>0.8</v>
      </c>
      <c r="I570">
        <v>1</v>
      </c>
    </row>
    <row r="571" spans="1:9" x14ac:dyDescent="0.2">
      <c r="A571" s="2">
        <v>575</v>
      </c>
      <c r="B571">
        <v>575</v>
      </c>
      <c r="C571">
        <v>49</v>
      </c>
      <c r="D571">
        <f>VLOOKUP(C571,Course!$A$1:$C$229, 2, FALSE)</f>
        <v>0</v>
      </c>
      <c r="E571">
        <v>73</v>
      </c>
      <c r="F571" t="s">
        <v>1010</v>
      </c>
      <c r="G571">
        <v>1</v>
      </c>
      <c r="H571" s="6">
        <v>0.8</v>
      </c>
      <c r="I571">
        <v>1</v>
      </c>
    </row>
    <row r="572" spans="1:9" x14ac:dyDescent="0.2">
      <c r="A572" s="2">
        <v>576</v>
      </c>
      <c r="B572">
        <v>576</v>
      </c>
      <c r="C572">
        <v>49</v>
      </c>
      <c r="D572">
        <f>VLOOKUP(C572,Course!$A$1:$C$229, 2, FALSE)</f>
        <v>0</v>
      </c>
      <c r="E572">
        <v>74</v>
      </c>
      <c r="F572" t="s">
        <v>1011</v>
      </c>
      <c r="G572">
        <v>1</v>
      </c>
      <c r="H572" s="6">
        <v>0.8</v>
      </c>
      <c r="I572">
        <v>1</v>
      </c>
    </row>
    <row r="573" spans="1:9" x14ac:dyDescent="0.2">
      <c r="A573" s="2">
        <v>577</v>
      </c>
      <c r="B573">
        <v>577</v>
      </c>
      <c r="C573">
        <v>49</v>
      </c>
      <c r="D573">
        <f>VLOOKUP(C573,Course!$A$1:$C$229, 2, FALSE)</f>
        <v>0</v>
      </c>
      <c r="E573">
        <v>75</v>
      </c>
      <c r="F573" t="s">
        <v>1012</v>
      </c>
      <c r="G573">
        <v>1</v>
      </c>
      <c r="H573" s="6">
        <v>0.8</v>
      </c>
      <c r="I573">
        <v>1</v>
      </c>
    </row>
    <row r="574" spans="1:9" x14ac:dyDescent="0.2">
      <c r="A574" s="2">
        <v>578</v>
      </c>
      <c r="B574">
        <v>578</v>
      </c>
      <c r="C574">
        <v>49</v>
      </c>
      <c r="D574">
        <f>VLOOKUP(C574,Course!$A$1:$C$229, 2, FALSE)</f>
        <v>0</v>
      </c>
      <c r="E574">
        <v>76</v>
      </c>
      <c r="F574" t="s">
        <v>1013</v>
      </c>
      <c r="G574">
        <v>1</v>
      </c>
      <c r="H574" s="6">
        <v>0.8</v>
      </c>
      <c r="I574">
        <v>1</v>
      </c>
    </row>
    <row r="575" spans="1:9" x14ac:dyDescent="0.2">
      <c r="A575" s="2">
        <v>579</v>
      </c>
      <c r="B575">
        <v>579</v>
      </c>
      <c r="C575">
        <v>49</v>
      </c>
      <c r="D575">
        <f>VLOOKUP(C575,Course!$A$1:$C$229, 2, FALSE)</f>
        <v>0</v>
      </c>
      <c r="E575">
        <v>77</v>
      </c>
      <c r="F575" t="s">
        <v>1014</v>
      </c>
      <c r="G575">
        <v>1</v>
      </c>
      <c r="H575" s="6">
        <v>0.8</v>
      </c>
      <c r="I575">
        <v>1</v>
      </c>
    </row>
    <row r="576" spans="1:9" x14ac:dyDescent="0.2">
      <c r="A576" s="2">
        <v>580</v>
      </c>
      <c r="B576">
        <v>580</v>
      </c>
      <c r="C576">
        <v>49</v>
      </c>
      <c r="D576">
        <f>VLOOKUP(C576,Course!$A$1:$C$229, 2, FALSE)</f>
        <v>0</v>
      </c>
      <c r="E576">
        <v>78</v>
      </c>
      <c r="F576" t="s">
        <v>1015</v>
      </c>
      <c r="G576">
        <v>1</v>
      </c>
      <c r="H576" s="6">
        <v>0.8</v>
      </c>
      <c r="I576">
        <v>1</v>
      </c>
    </row>
    <row r="577" spans="1:9" x14ac:dyDescent="0.2">
      <c r="A577" s="2">
        <v>581</v>
      </c>
      <c r="B577">
        <v>581</v>
      </c>
      <c r="C577">
        <v>49</v>
      </c>
      <c r="D577">
        <f>VLOOKUP(C577,Course!$A$1:$C$229, 2, FALSE)</f>
        <v>0</v>
      </c>
      <c r="E577">
        <v>79</v>
      </c>
      <c r="F577" t="s">
        <v>1016</v>
      </c>
      <c r="G577">
        <v>1</v>
      </c>
      <c r="H577" s="6">
        <v>0.8</v>
      </c>
      <c r="I577">
        <v>1</v>
      </c>
    </row>
    <row r="578" spans="1:9" x14ac:dyDescent="0.2">
      <c r="A578" s="2">
        <v>582</v>
      </c>
      <c r="B578">
        <v>582</v>
      </c>
      <c r="C578">
        <v>49</v>
      </c>
      <c r="D578">
        <f>VLOOKUP(C578,Course!$A$1:$C$229, 2, FALSE)</f>
        <v>0</v>
      </c>
      <c r="E578">
        <v>80</v>
      </c>
      <c r="F578" t="s">
        <v>1017</v>
      </c>
      <c r="G578">
        <v>1</v>
      </c>
      <c r="H578" s="6">
        <v>0.8</v>
      </c>
      <c r="I578">
        <v>1</v>
      </c>
    </row>
    <row r="579" spans="1:9" x14ac:dyDescent="0.2">
      <c r="A579" s="2">
        <v>583</v>
      </c>
      <c r="B579">
        <v>583</v>
      </c>
      <c r="C579">
        <v>49</v>
      </c>
      <c r="D579">
        <f>VLOOKUP(C579,Course!$A$1:$C$229, 2, FALSE)</f>
        <v>0</v>
      </c>
      <c r="E579">
        <v>81</v>
      </c>
      <c r="F579" t="s">
        <v>1018</v>
      </c>
      <c r="G579">
        <v>1</v>
      </c>
      <c r="H579" s="6">
        <v>0.8</v>
      </c>
      <c r="I579">
        <v>1</v>
      </c>
    </row>
    <row r="580" spans="1:9" x14ac:dyDescent="0.2">
      <c r="A580" s="2">
        <v>584</v>
      </c>
      <c r="B580">
        <v>584</v>
      </c>
      <c r="C580">
        <v>49</v>
      </c>
      <c r="D580">
        <f>VLOOKUP(C580,Course!$A$1:$C$229, 2, FALSE)</f>
        <v>0</v>
      </c>
      <c r="E580">
        <v>82</v>
      </c>
      <c r="F580" t="s">
        <v>1019</v>
      </c>
      <c r="G580">
        <v>1</v>
      </c>
      <c r="H580" s="6">
        <v>0.8</v>
      </c>
      <c r="I580">
        <v>1</v>
      </c>
    </row>
    <row r="581" spans="1:9" x14ac:dyDescent="0.2">
      <c r="A581" s="2">
        <v>585</v>
      </c>
      <c r="B581">
        <v>585</v>
      </c>
      <c r="C581">
        <v>49</v>
      </c>
      <c r="D581">
        <f>VLOOKUP(C581,Course!$A$1:$C$229, 2, FALSE)</f>
        <v>0</v>
      </c>
      <c r="E581">
        <v>83</v>
      </c>
      <c r="F581" t="s">
        <v>1020</v>
      </c>
      <c r="G581">
        <v>1</v>
      </c>
      <c r="H581" s="6">
        <v>0.8</v>
      </c>
      <c r="I581">
        <v>1</v>
      </c>
    </row>
    <row r="582" spans="1:9" x14ac:dyDescent="0.2">
      <c r="A582" s="2">
        <v>586</v>
      </c>
      <c r="B582">
        <v>586</v>
      </c>
      <c r="C582">
        <v>49</v>
      </c>
      <c r="D582">
        <f>VLOOKUP(C582,Course!$A$1:$C$229, 2, FALSE)</f>
        <v>0</v>
      </c>
      <c r="E582">
        <v>84</v>
      </c>
      <c r="F582" t="s">
        <v>1021</v>
      </c>
      <c r="G582">
        <v>1</v>
      </c>
      <c r="H582" s="6">
        <v>0.8</v>
      </c>
      <c r="I582">
        <v>1</v>
      </c>
    </row>
    <row r="583" spans="1:9" x14ac:dyDescent="0.2">
      <c r="A583" s="2">
        <v>587</v>
      </c>
      <c r="B583">
        <v>587</v>
      </c>
      <c r="C583">
        <v>50</v>
      </c>
      <c r="D583">
        <f>VLOOKUP(C583,Course!$A$1:$C$229, 2, FALSE)</f>
        <v>0</v>
      </c>
      <c r="E583">
        <v>73</v>
      </c>
      <c r="F583" t="s">
        <v>1022</v>
      </c>
      <c r="G583">
        <v>1</v>
      </c>
      <c r="H583" s="6">
        <v>0.8</v>
      </c>
      <c r="I583">
        <v>1</v>
      </c>
    </row>
    <row r="584" spans="1:9" x14ac:dyDescent="0.2">
      <c r="A584" s="2">
        <v>588</v>
      </c>
      <c r="B584">
        <v>588</v>
      </c>
      <c r="C584">
        <v>50</v>
      </c>
      <c r="D584">
        <f>VLOOKUP(C584,Course!$A$1:$C$229, 2, FALSE)</f>
        <v>0</v>
      </c>
      <c r="E584">
        <v>74</v>
      </c>
      <c r="F584" t="s">
        <v>1023</v>
      </c>
      <c r="G584">
        <v>1</v>
      </c>
      <c r="H584" s="6">
        <v>0.8</v>
      </c>
      <c r="I584">
        <v>1</v>
      </c>
    </row>
    <row r="585" spans="1:9" x14ac:dyDescent="0.2">
      <c r="A585" s="2">
        <v>589</v>
      </c>
      <c r="B585">
        <v>589</v>
      </c>
      <c r="C585">
        <v>50</v>
      </c>
      <c r="D585">
        <f>VLOOKUP(C585,Course!$A$1:$C$229, 2, FALSE)</f>
        <v>0</v>
      </c>
      <c r="E585">
        <v>75</v>
      </c>
      <c r="F585" t="s">
        <v>1024</v>
      </c>
      <c r="G585">
        <v>1</v>
      </c>
      <c r="H585" s="6">
        <v>0.8</v>
      </c>
      <c r="I585">
        <v>1</v>
      </c>
    </row>
    <row r="586" spans="1:9" x14ac:dyDescent="0.2">
      <c r="A586" s="2">
        <v>590</v>
      </c>
      <c r="B586">
        <v>590</v>
      </c>
      <c r="C586">
        <v>50</v>
      </c>
      <c r="D586">
        <f>VLOOKUP(C586,Course!$A$1:$C$229, 2, FALSE)</f>
        <v>0</v>
      </c>
      <c r="E586">
        <v>76</v>
      </c>
      <c r="F586" t="s">
        <v>1025</v>
      </c>
      <c r="G586">
        <v>1</v>
      </c>
      <c r="H586" s="6">
        <v>0.8</v>
      </c>
      <c r="I586">
        <v>1</v>
      </c>
    </row>
    <row r="587" spans="1:9" x14ac:dyDescent="0.2">
      <c r="A587" s="2">
        <v>591</v>
      </c>
      <c r="B587">
        <v>591</v>
      </c>
      <c r="C587">
        <v>50</v>
      </c>
      <c r="D587">
        <f>VLOOKUP(C587,Course!$A$1:$C$229, 2, FALSE)</f>
        <v>0</v>
      </c>
      <c r="E587">
        <v>77</v>
      </c>
      <c r="F587" t="s">
        <v>1026</v>
      </c>
      <c r="G587">
        <v>1</v>
      </c>
      <c r="H587" s="6">
        <v>0.8</v>
      </c>
      <c r="I587">
        <v>1</v>
      </c>
    </row>
    <row r="588" spans="1:9" x14ac:dyDescent="0.2">
      <c r="A588" s="2">
        <v>592</v>
      </c>
      <c r="B588">
        <v>592</v>
      </c>
      <c r="C588">
        <v>50</v>
      </c>
      <c r="D588">
        <f>VLOOKUP(C588,Course!$A$1:$C$229, 2, FALSE)</f>
        <v>0</v>
      </c>
      <c r="E588">
        <v>78</v>
      </c>
      <c r="F588" t="s">
        <v>1027</v>
      </c>
      <c r="G588">
        <v>1</v>
      </c>
      <c r="H588" s="6">
        <v>0.8</v>
      </c>
      <c r="I588">
        <v>1</v>
      </c>
    </row>
    <row r="589" spans="1:9" x14ac:dyDescent="0.2">
      <c r="A589" s="2">
        <v>593</v>
      </c>
      <c r="B589">
        <v>593</v>
      </c>
      <c r="C589">
        <v>51</v>
      </c>
      <c r="D589">
        <f>VLOOKUP(C589,Course!$A$1:$C$229, 2, FALSE)</f>
        <v>0</v>
      </c>
      <c r="E589">
        <v>1</v>
      </c>
      <c r="F589" t="s">
        <v>1028</v>
      </c>
      <c r="G589">
        <v>1</v>
      </c>
      <c r="H589" s="6">
        <v>0.8</v>
      </c>
      <c r="I589">
        <v>1</v>
      </c>
    </row>
    <row r="590" spans="1:9" x14ac:dyDescent="0.2">
      <c r="A590" s="2">
        <v>594</v>
      </c>
      <c r="B590">
        <v>594</v>
      </c>
      <c r="C590">
        <v>51</v>
      </c>
      <c r="D590">
        <f>VLOOKUP(C590,Course!$A$1:$C$229, 2, FALSE)</f>
        <v>0</v>
      </c>
      <c r="E590">
        <v>2</v>
      </c>
      <c r="F590" t="s">
        <v>1029</v>
      </c>
      <c r="G590">
        <v>1</v>
      </c>
      <c r="H590" s="6">
        <v>0.8</v>
      </c>
      <c r="I590">
        <v>1</v>
      </c>
    </row>
    <row r="591" spans="1:9" x14ac:dyDescent="0.2">
      <c r="A591" s="2">
        <v>595</v>
      </c>
      <c r="B591">
        <v>595</v>
      </c>
      <c r="C591">
        <v>51</v>
      </c>
      <c r="D591">
        <f>VLOOKUP(C591,Course!$A$1:$C$229, 2, FALSE)</f>
        <v>0</v>
      </c>
      <c r="E591">
        <v>3</v>
      </c>
      <c r="F591" t="s">
        <v>1030</v>
      </c>
      <c r="G591">
        <v>1</v>
      </c>
      <c r="H591" s="6">
        <v>0.8</v>
      </c>
      <c r="I591">
        <v>1</v>
      </c>
    </row>
    <row r="592" spans="1:9" x14ac:dyDescent="0.2">
      <c r="A592" s="2">
        <v>596</v>
      </c>
      <c r="B592">
        <v>596</v>
      </c>
      <c r="C592">
        <v>52</v>
      </c>
      <c r="D592">
        <f>VLOOKUP(C592,Course!$A$1:$C$229, 2, FALSE)</f>
        <v>0</v>
      </c>
      <c r="E592">
        <v>73</v>
      </c>
      <c r="F592" t="s">
        <v>1788</v>
      </c>
      <c r="G592">
        <v>1</v>
      </c>
      <c r="H592" s="6">
        <v>0.8</v>
      </c>
      <c r="I592">
        <v>1</v>
      </c>
    </row>
    <row r="593" spans="1:9" x14ac:dyDescent="0.2">
      <c r="A593" s="2">
        <v>597</v>
      </c>
      <c r="B593">
        <v>597</v>
      </c>
      <c r="C593">
        <v>52</v>
      </c>
      <c r="D593">
        <f>VLOOKUP(C593,Course!$A$1:$C$229, 2, FALSE)</f>
        <v>0</v>
      </c>
      <c r="E593">
        <v>74</v>
      </c>
      <c r="F593" t="s">
        <v>1789</v>
      </c>
      <c r="G593">
        <v>1</v>
      </c>
      <c r="H593" s="6">
        <v>0.8</v>
      </c>
      <c r="I593">
        <v>1</v>
      </c>
    </row>
    <row r="594" spans="1:9" x14ac:dyDescent="0.2">
      <c r="A594" s="2">
        <v>598</v>
      </c>
      <c r="B594">
        <v>598</v>
      </c>
      <c r="C594">
        <v>52</v>
      </c>
      <c r="D594">
        <f>VLOOKUP(C594,Course!$A$1:$C$229, 2, FALSE)</f>
        <v>0</v>
      </c>
      <c r="E594">
        <v>75</v>
      </c>
      <c r="F594" t="s">
        <v>1790</v>
      </c>
      <c r="G594">
        <v>1</v>
      </c>
      <c r="H594" s="6">
        <v>0.8</v>
      </c>
      <c r="I594">
        <v>1</v>
      </c>
    </row>
    <row r="595" spans="1:9" x14ac:dyDescent="0.2">
      <c r="A595" s="2">
        <v>599</v>
      </c>
      <c r="B595">
        <v>599</v>
      </c>
      <c r="C595">
        <v>52</v>
      </c>
      <c r="D595">
        <f>VLOOKUP(C595,Course!$A$1:$C$229, 2, FALSE)</f>
        <v>0</v>
      </c>
      <c r="E595">
        <v>76</v>
      </c>
      <c r="F595" t="s">
        <v>1791</v>
      </c>
      <c r="G595">
        <v>1</v>
      </c>
      <c r="H595" s="6">
        <v>0.8</v>
      </c>
      <c r="I595">
        <v>1</v>
      </c>
    </row>
    <row r="596" spans="1:9" x14ac:dyDescent="0.2">
      <c r="A596" s="2">
        <v>600</v>
      </c>
      <c r="B596">
        <v>600</v>
      </c>
      <c r="C596">
        <v>52</v>
      </c>
      <c r="D596">
        <f>VLOOKUP(C596,Course!$A$1:$C$229, 2, FALSE)</f>
        <v>0</v>
      </c>
      <c r="E596">
        <v>77</v>
      </c>
      <c r="F596" t="s">
        <v>1792</v>
      </c>
      <c r="G596">
        <v>1</v>
      </c>
      <c r="H596" s="6">
        <v>0.8</v>
      </c>
      <c r="I596">
        <v>1</v>
      </c>
    </row>
    <row r="597" spans="1:9" x14ac:dyDescent="0.2">
      <c r="A597" s="2">
        <v>601</v>
      </c>
      <c r="B597">
        <v>601</v>
      </c>
      <c r="C597">
        <v>52</v>
      </c>
      <c r="D597">
        <f>VLOOKUP(C597,Course!$A$1:$C$229, 2, FALSE)</f>
        <v>0</v>
      </c>
      <c r="E597">
        <v>78</v>
      </c>
      <c r="F597" t="s">
        <v>1793</v>
      </c>
      <c r="G597">
        <v>1</v>
      </c>
      <c r="H597" s="6">
        <v>0.8</v>
      </c>
      <c r="I597">
        <v>1</v>
      </c>
    </row>
    <row r="598" spans="1:9" x14ac:dyDescent="0.2">
      <c r="A598" s="2">
        <v>602</v>
      </c>
      <c r="B598">
        <v>602</v>
      </c>
      <c r="C598">
        <v>52</v>
      </c>
      <c r="D598">
        <f>VLOOKUP(C598,Course!$A$1:$C$229, 2, FALSE)</f>
        <v>0</v>
      </c>
      <c r="E598">
        <v>79</v>
      </c>
      <c r="F598" t="s">
        <v>1794</v>
      </c>
      <c r="G598">
        <v>1</v>
      </c>
      <c r="H598" s="6">
        <v>0.8</v>
      </c>
      <c r="I598">
        <v>1</v>
      </c>
    </row>
    <row r="599" spans="1:9" x14ac:dyDescent="0.2">
      <c r="A599" s="2">
        <v>603</v>
      </c>
      <c r="B599">
        <v>603</v>
      </c>
      <c r="C599">
        <v>52</v>
      </c>
      <c r="D599">
        <f>VLOOKUP(C599,Course!$A$1:$C$229, 2, FALSE)</f>
        <v>0</v>
      </c>
      <c r="E599">
        <v>80</v>
      </c>
      <c r="F599" t="s">
        <v>1795</v>
      </c>
      <c r="G599">
        <v>1</v>
      </c>
      <c r="H599" s="6">
        <v>0.8</v>
      </c>
      <c r="I599">
        <v>1</v>
      </c>
    </row>
    <row r="600" spans="1:9" x14ac:dyDescent="0.2">
      <c r="A600" s="2">
        <v>604</v>
      </c>
      <c r="B600">
        <v>604</v>
      </c>
      <c r="C600">
        <v>52</v>
      </c>
      <c r="D600">
        <f>VLOOKUP(C600,Course!$A$1:$C$229, 2, FALSE)</f>
        <v>0</v>
      </c>
      <c r="E600">
        <v>81</v>
      </c>
      <c r="F600" t="s">
        <v>1796</v>
      </c>
      <c r="G600">
        <v>1</v>
      </c>
      <c r="H600" s="6">
        <v>0.8</v>
      </c>
      <c r="I600">
        <v>1</v>
      </c>
    </row>
    <row r="601" spans="1:9" x14ac:dyDescent="0.2">
      <c r="A601" s="2">
        <v>605</v>
      </c>
      <c r="B601">
        <v>605</v>
      </c>
      <c r="C601">
        <v>52</v>
      </c>
      <c r="D601">
        <f>VLOOKUP(C601,Course!$A$1:$C$229, 2, FALSE)</f>
        <v>0</v>
      </c>
      <c r="E601">
        <v>82</v>
      </c>
      <c r="F601" t="s">
        <v>1797</v>
      </c>
      <c r="G601">
        <v>1</v>
      </c>
      <c r="H601" s="6">
        <v>0.8</v>
      </c>
      <c r="I601">
        <v>1</v>
      </c>
    </row>
    <row r="602" spans="1:9" x14ac:dyDescent="0.2">
      <c r="A602" s="2">
        <v>606</v>
      </c>
      <c r="B602">
        <v>606</v>
      </c>
      <c r="C602">
        <v>52</v>
      </c>
      <c r="D602">
        <f>VLOOKUP(C602,Course!$A$1:$C$229, 2, FALSE)</f>
        <v>0</v>
      </c>
      <c r="E602">
        <v>83</v>
      </c>
      <c r="F602" t="s">
        <v>1798</v>
      </c>
      <c r="G602">
        <v>1</v>
      </c>
      <c r="H602" s="6">
        <v>0.8</v>
      </c>
      <c r="I602">
        <v>1</v>
      </c>
    </row>
    <row r="603" spans="1:9" x14ac:dyDescent="0.2">
      <c r="A603" s="2">
        <v>607</v>
      </c>
      <c r="B603">
        <v>607</v>
      </c>
      <c r="C603">
        <v>52</v>
      </c>
      <c r="D603">
        <f>VLOOKUP(C603,Course!$A$1:$C$229, 2, FALSE)</f>
        <v>0</v>
      </c>
      <c r="E603">
        <v>84</v>
      </c>
      <c r="F603" t="s">
        <v>1799</v>
      </c>
      <c r="G603">
        <v>1</v>
      </c>
      <c r="H603" s="6">
        <v>0.8</v>
      </c>
      <c r="I603">
        <v>1</v>
      </c>
    </row>
    <row r="604" spans="1:9" x14ac:dyDescent="0.2">
      <c r="A604" s="2">
        <v>608</v>
      </c>
      <c r="B604">
        <v>608</v>
      </c>
      <c r="C604">
        <v>53</v>
      </c>
      <c r="D604">
        <f>VLOOKUP(C604,Course!$A$1:$C$229, 2, FALSE)</f>
        <v>0</v>
      </c>
      <c r="E604">
        <v>85</v>
      </c>
      <c r="F604" t="s">
        <v>1031</v>
      </c>
      <c r="G604">
        <v>1</v>
      </c>
      <c r="H604" s="6">
        <v>0.8</v>
      </c>
      <c r="I604">
        <v>1</v>
      </c>
    </row>
    <row r="605" spans="1:9" x14ac:dyDescent="0.2">
      <c r="A605" s="2">
        <v>609</v>
      </c>
      <c r="B605">
        <v>609</v>
      </c>
      <c r="C605">
        <v>53</v>
      </c>
      <c r="D605">
        <f>VLOOKUP(C605,Course!$A$1:$C$229, 2, FALSE)</f>
        <v>0</v>
      </c>
      <c r="E605">
        <v>86</v>
      </c>
      <c r="F605" t="s">
        <v>1032</v>
      </c>
      <c r="G605">
        <v>1</v>
      </c>
      <c r="H605" s="6">
        <v>0.8</v>
      </c>
      <c r="I605">
        <v>1</v>
      </c>
    </row>
    <row r="606" spans="1:9" x14ac:dyDescent="0.2">
      <c r="A606" s="2">
        <v>610</v>
      </c>
      <c r="B606">
        <v>610</v>
      </c>
      <c r="C606">
        <v>53</v>
      </c>
      <c r="D606">
        <f>VLOOKUP(C606,Course!$A$1:$C$229, 2, FALSE)</f>
        <v>0</v>
      </c>
      <c r="E606">
        <v>87</v>
      </c>
      <c r="F606" t="s">
        <v>1033</v>
      </c>
      <c r="G606">
        <v>1</v>
      </c>
      <c r="H606" s="6">
        <v>0.8</v>
      </c>
      <c r="I606">
        <v>1</v>
      </c>
    </row>
    <row r="607" spans="1:9" x14ac:dyDescent="0.2">
      <c r="A607" s="2">
        <v>611</v>
      </c>
      <c r="B607">
        <v>611</v>
      </c>
      <c r="C607">
        <v>53</v>
      </c>
      <c r="D607">
        <f>VLOOKUP(C607,Course!$A$1:$C$229, 2, FALSE)</f>
        <v>0</v>
      </c>
      <c r="E607">
        <v>88</v>
      </c>
      <c r="F607" t="s">
        <v>1034</v>
      </c>
      <c r="G607">
        <v>1</v>
      </c>
      <c r="H607" s="6">
        <v>0.8</v>
      </c>
      <c r="I607">
        <v>1</v>
      </c>
    </row>
    <row r="608" spans="1:9" x14ac:dyDescent="0.2">
      <c r="A608" s="2">
        <v>612</v>
      </c>
      <c r="B608">
        <v>612</v>
      </c>
      <c r="C608">
        <v>53</v>
      </c>
      <c r="D608">
        <f>VLOOKUP(C608,Course!$A$1:$C$229, 2, FALSE)</f>
        <v>0</v>
      </c>
      <c r="E608">
        <v>89</v>
      </c>
      <c r="F608" t="s">
        <v>1035</v>
      </c>
      <c r="G608">
        <v>1</v>
      </c>
      <c r="H608" s="6">
        <v>0.8</v>
      </c>
      <c r="I608">
        <v>1</v>
      </c>
    </row>
    <row r="609" spans="1:9" x14ac:dyDescent="0.2">
      <c r="A609" s="2">
        <v>613</v>
      </c>
      <c r="B609">
        <v>613</v>
      </c>
      <c r="C609">
        <v>53</v>
      </c>
      <c r="D609">
        <f>VLOOKUP(C609,Course!$A$1:$C$229, 2, FALSE)</f>
        <v>0</v>
      </c>
      <c r="E609">
        <v>90</v>
      </c>
      <c r="F609" t="s">
        <v>1036</v>
      </c>
      <c r="G609">
        <v>1</v>
      </c>
      <c r="H609" s="6">
        <v>0.8</v>
      </c>
      <c r="I609">
        <v>1</v>
      </c>
    </row>
    <row r="610" spans="1:9" x14ac:dyDescent="0.2">
      <c r="A610" s="2">
        <v>614</v>
      </c>
      <c r="B610">
        <v>614</v>
      </c>
      <c r="C610">
        <v>53</v>
      </c>
      <c r="D610">
        <f>VLOOKUP(C610,Course!$A$1:$C$229, 2, FALSE)</f>
        <v>0</v>
      </c>
      <c r="E610">
        <v>91</v>
      </c>
      <c r="F610" t="s">
        <v>1037</v>
      </c>
      <c r="G610">
        <v>1</v>
      </c>
      <c r="H610" s="6">
        <v>0.8</v>
      </c>
      <c r="I610">
        <v>1</v>
      </c>
    </row>
    <row r="611" spans="1:9" x14ac:dyDescent="0.2">
      <c r="A611" s="2">
        <v>615</v>
      </c>
      <c r="B611">
        <v>615</v>
      </c>
      <c r="C611">
        <v>53</v>
      </c>
      <c r="D611">
        <f>VLOOKUP(C611,Course!$A$1:$C$229, 2, FALSE)</f>
        <v>0</v>
      </c>
      <c r="E611">
        <v>92</v>
      </c>
      <c r="F611" t="s">
        <v>1038</v>
      </c>
      <c r="G611">
        <v>1</v>
      </c>
      <c r="H611" s="6">
        <v>0.8</v>
      </c>
      <c r="I611">
        <v>1</v>
      </c>
    </row>
    <row r="612" spans="1:9" x14ac:dyDescent="0.2">
      <c r="A612" s="2">
        <v>616</v>
      </c>
      <c r="B612">
        <v>616</v>
      </c>
      <c r="C612">
        <v>53</v>
      </c>
      <c r="D612">
        <f>VLOOKUP(C612,Course!$A$1:$C$229, 2, FALSE)</f>
        <v>0</v>
      </c>
      <c r="E612">
        <v>93</v>
      </c>
      <c r="F612" t="s">
        <v>1039</v>
      </c>
      <c r="G612">
        <v>1</v>
      </c>
      <c r="H612" s="6">
        <v>0.8</v>
      </c>
      <c r="I612">
        <v>1</v>
      </c>
    </row>
    <row r="613" spans="1:9" x14ac:dyDescent="0.2">
      <c r="A613" s="2">
        <v>617</v>
      </c>
      <c r="B613">
        <v>617</v>
      </c>
      <c r="C613">
        <v>53</v>
      </c>
      <c r="D613">
        <f>VLOOKUP(C613,Course!$A$1:$C$229, 2, FALSE)</f>
        <v>0</v>
      </c>
      <c r="E613">
        <v>94</v>
      </c>
      <c r="F613" t="s">
        <v>1040</v>
      </c>
      <c r="G613">
        <v>1</v>
      </c>
      <c r="H613" s="6">
        <v>0.8</v>
      </c>
      <c r="I613">
        <v>1</v>
      </c>
    </row>
    <row r="614" spans="1:9" x14ac:dyDescent="0.2">
      <c r="A614" s="2">
        <v>618</v>
      </c>
      <c r="B614">
        <v>618</v>
      </c>
      <c r="C614">
        <v>53</v>
      </c>
      <c r="D614">
        <f>VLOOKUP(C614,Course!$A$1:$C$229, 2, FALSE)</f>
        <v>0</v>
      </c>
      <c r="E614">
        <v>95</v>
      </c>
      <c r="F614" t="s">
        <v>1041</v>
      </c>
      <c r="G614">
        <v>1</v>
      </c>
      <c r="H614" s="6">
        <v>0.8</v>
      </c>
      <c r="I614">
        <v>1</v>
      </c>
    </row>
    <row r="615" spans="1:9" x14ac:dyDescent="0.2">
      <c r="A615" s="2">
        <v>619</v>
      </c>
      <c r="B615">
        <v>619</v>
      </c>
      <c r="C615">
        <v>53</v>
      </c>
      <c r="D615">
        <f>VLOOKUP(C615,Course!$A$1:$C$229, 2, FALSE)</f>
        <v>0</v>
      </c>
      <c r="E615">
        <v>96</v>
      </c>
      <c r="F615" t="s">
        <v>1042</v>
      </c>
      <c r="G615">
        <v>1</v>
      </c>
      <c r="H615" s="6">
        <v>0.8</v>
      </c>
      <c r="I615">
        <v>1</v>
      </c>
    </row>
    <row r="616" spans="1:9" x14ac:dyDescent="0.2">
      <c r="A616" s="2">
        <v>620</v>
      </c>
      <c r="B616">
        <v>620</v>
      </c>
      <c r="C616">
        <v>54</v>
      </c>
      <c r="D616">
        <f>VLOOKUP(C616,Course!$A$1:$C$229, 2, FALSE)</f>
        <v>0</v>
      </c>
      <c r="E616">
        <v>85</v>
      </c>
      <c r="F616" t="s">
        <v>1043</v>
      </c>
      <c r="G616">
        <v>1</v>
      </c>
      <c r="H616" s="6">
        <v>0.8</v>
      </c>
      <c r="I616">
        <v>1</v>
      </c>
    </row>
    <row r="617" spans="1:9" x14ac:dyDescent="0.2">
      <c r="A617" s="2">
        <v>621</v>
      </c>
      <c r="B617">
        <v>621</v>
      </c>
      <c r="C617">
        <v>54</v>
      </c>
      <c r="D617">
        <f>VLOOKUP(C617,Course!$A$1:$C$229, 2, FALSE)</f>
        <v>0</v>
      </c>
      <c r="E617">
        <v>86</v>
      </c>
      <c r="F617" t="s">
        <v>1044</v>
      </c>
      <c r="G617">
        <v>1</v>
      </c>
      <c r="H617" s="6">
        <v>0.8</v>
      </c>
      <c r="I617">
        <v>1</v>
      </c>
    </row>
    <row r="618" spans="1:9" x14ac:dyDescent="0.2">
      <c r="A618" s="2">
        <v>622</v>
      </c>
      <c r="B618">
        <v>622</v>
      </c>
      <c r="C618">
        <v>54</v>
      </c>
      <c r="D618">
        <f>VLOOKUP(C618,Course!$A$1:$C$229, 2, FALSE)</f>
        <v>0</v>
      </c>
      <c r="E618">
        <v>87</v>
      </c>
      <c r="F618" t="s">
        <v>1045</v>
      </c>
      <c r="G618">
        <v>1</v>
      </c>
      <c r="H618" s="6">
        <v>0.8</v>
      </c>
      <c r="I618">
        <v>1</v>
      </c>
    </row>
    <row r="619" spans="1:9" x14ac:dyDescent="0.2">
      <c r="A619" s="2">
        <v>623</v>
      </c>
      <c r="B619">
        <v>623</v>
      </c>
      <c r="C619">
        <v>54</v>
      </c>
      <c r="D619">
        <f>VLOOKUP(C619,Course!$A$1:$C$229, 2, FALSE)</f>
        <v>0</v>
      </c>
      <c r="E619">
        <v>88</v>
      </c>
      <c r="F619" t="s">
        <v>1046</v>
      </c>
      <c r="G619">
        <v>1</v>
      </c>
      <c r="H619" s="6">
        <v>0.8</v>
      </c>
      <c r="I619">
        <v>1</v>
      </c>
    </row>
    <row r="620" spans="1:9" x14ac:dyDescent="0.2">
      <c r="A620" s="2">
        <v>624</v>
      </c>
      <c r="B620">
        <v>624</v>
      </c>
      <c r="C620">
        <v>54</v>
      </c>
      <c r="D620">
        <f>VLOOKUP(C620,Course!$A$1:$C$229, 2, FALSE)</f>
        <v>0</v>
      </c>
      <c r="E620">
        <v>89</v>
      </c>
      <c r="F620" t="s">
        <v>1047</v>
      </c>
      <c r="G620">
        <v>1</v>
      </c>
      <c r="H620" s="6">
        <v>0.8</v>
      </c>
      <c r="I620">
        <v>1</v>
      </c>
    </row>
    <row r="621" spans="1:9" x14ac:dyDescent="0.2">
      <c r="A621" s="2">
        <v>625</v>
      </c>
      <c r="B621">
        <v>625</v>
      </c>
      <c r="C621">
        <v>54</v>
      </c>
      <c r="D621">
        <f>VLOOKUP(C621,Course!$A$1:$C$229, 2, FALSE)</f>
        <v>0</v>
      </c>
      <c r="E621">
        <v>90</v>
      </c>
      <c r="F621" t="s">
        <v>1048</v>
      </c>
      <c r="G621">
        <v>1</v>
      </c>
      <c r="H621" s="6">
        <v>0.8</v>
      </c>
      <c r="I621">
        <v>1</v>
      </c>
    </row>
    <row r="622" spans="1:9" x14ac:dyDescent="0.2">
      <c r="A622" s="2">
        <v>626</v>
      </c>
      <c r="B622">
        <v>626</v>
      </c>
      <c r="C622">
        <v>54</v>
      </c>
      <c r="D622">
        <f>VLOOKUP(C622,Course!$A$1:$C$229, 2, FALSE)</f>
        <v>0</v>
      </c>
      <c r="E622">
        <v>91</v>
      </c>
      <c r="F622" t="s">
        <v>1049</v>
      </c>
      <c r="G622">
        <v>1</v>
      </c>
      <c r="H622" s="6">
        <v>0.8</v>
      </c>
      <c r="I622">
        <v>1</v>
      </c>
    </row>
    <row r="623" spans="1:9" x14ac:dyDescent="0.2">
      <c r="A623" s="2">
        <v>627</v>
      </c>
      <c r="B623">
        <v>627</v>
      </c>
      <c r="C623">
        <v>54</v>
      </c>
      <c r="D623">
        <f>VLOOKUP(C623,Course!$A$1:$C$229, 2, FALSE)</f>
        <v>0</v>
      </c>
      <c r="E623">
        <v>92</v>
      </c>
      <c r="F623" t="s">
        <v>1050</v>
      </c>
      <c r="G623">
        <v>1</v>
      </c>
      <c r="H623" s="6">
        <v>0.8</v>
      </c>
      <c r="I623">
        <v>1</v>
      </c>
    </row>
    <row r="624" spans="1:9" x14ac:dyDescent="0.2">
      <c r="A624" s="2">
        <v>628</v>
      </c>
      <c r="B624">
        <v>628</v>
      </c>
      <c r="C624">
        <v>54</v>
      </c>
      <c r="D624">
        <f>VLOOKUP(C624,Course!$A$1:$C$229, 2, FALSE)</f>
        <v>0</v>
      </c>
      <c r="E624">
        <v>93</v>
      </c>
      <c r="F624" t="s">
        <v>1051</v>
      </c>
      <c r="G624">
        <v>1</v>
      </c>
      <c r="H624" s="6">
        <v>0.8</v>
      </c>
      <c r="I624">
        <v>1</v>
      </c>
    </row>
    <row r="625" spans="1:9" x14ac:dyDescent="0.2">
      <c r="A625" s="2">
        <v>629</v>
      </c>
      <c r="B625">
        <v>629</v>
      </c>
      <c r="C625">
        <v>54</v>
      </c>
      <c r="D625">
        <f>VLOOKUP(C625,Course!$A$1:$C$229, 2, FALSE)</f>
        <v>0</v>
      </c>
      <c r="E625">
        <v>94</v>
      </c>
      <c r="F625" t="s">
        <v>1052</v>
      </c>
      <c r="G625">
        <v>1</v>
      </c>
      <c r="H625" s="6">
        <v>0.8</v>
      </c>
      <c r="I625">
        <v>1</v>
      </c>
    </row>
    <row r="626" spans="1:9" x14ac:dyDescent="0.2">
      <c r="A626" s="2">
        <v>630</v>
      </c>
      <c r="B626">
        <v>630</v>
      </c>
      <c r="C626">
        <v>54</v>
      </c>
      <c r="D626">
        <f>VLOOKUP(C626,Course!$A$1:$C$229, 2, FALSE)</f>
        <v>0</v>
      </c>
      <c r="E626">
        <v>95</v>
      </c>
      <c r="F626" t="s">
        <v>1053</v>
      </c>
      <c r="G626">
        <v>1</v>
      </c>
      <c r="H626" s="6">
        <v>0.8</v>
      </c>
      <c r="I626">
        <v>1</v>
      </c>
    </row>
    <row r="627" spans="1:9" x14ac:dyDescent="0.2">
      <c r="A627" s="2">
        <v>631</v>
      </c>
      <c r="B627">
        <v>631</v>
      </c>
      <c r="C627">
        <v>54</v>
      </c>
      <c r="D627">
        <f>VLOOKUP(C627,Course!$A$1:$C$229, 2, FALSE)</f>
        <v>0</v>
      </c>
      <c r="E627">
        <v>96</v>
      </c>
      <c r="F627" t="s">
        <v>1054</v>
      </c>
      <c r="G627">
        <v>1</v>
      </c>
      <c r="H627" s="6">
        <v>0.8</v>
      </c>
      <c r="I627">
        <v>1</v>
      </c>
    </row>
    <row r="628" spans="1:9" x14ac:dyDescent="0.2">
      <c r="A628" s="2">
        <v>632</v>
      </c>
      <c r="B628">
        <v>632</v>
      </c>
      <c r="C628">
        <v>55</v>
      </c>
      <c r="D628">
        <f>VLOOKUP(C628,Course!$A$1:$C$229, 2, FALSE)</f>
        <v>0</v>
      </c>
      <c r="E628">
        <v>85</v>
      </c>
      <c r="F628" t="s">
        <v>1055</v>
      </c>
      <c r="G628">
        <v>1</v>
      </c>
      <c r="H628" s="6">
        <v>0.9</v>
      </c>
      <c r="I628">
        <v>1</v>
      </c>
    </row>
    <row r="629" spans="1:9" x14ac:dyDescent="0.2">
      <c r="A629" s="2">
        <v>633</v>
      </c>
      <c r="B629">
        <v>633</v>
      </c>
      <c r="C629">
        <v>55</v>
      </c>
      <c r="D629">
        <f>VLOOKUP(C629,Course!$A$1:$C$229, 2, FALSE)</f>
        <v>0</v>
      </c>
      <c r="E629">
        <v>86</v>
      </c>
      <c r="F629" t="s">
        <v>1056</v>
      </c>
      <c r="G629">
        <v>1</v>
      </c>
      <c r="H629" s="6">
        <v>0.9</v>
      </c>
      <c r="I629">
        <v>1</v>
      </c>
    </row>
    <row r="630" spans="1:9" x14ac:dyDescent="0.2">
      <c r="A630" s="2">
        <v>634</v>
      </c>
      <c r="B630">
        <v>634</v>
      </c>
      <c r="C630">
        <v>55</v>
      </c>
      <c r="D630">
        <f>VLOOKUP(C630,Course!$A$1:$C$229, 2, FALSE)</f>
        <v>0</v>
      </c>
      <c r="E630">
        <v>87</v>
      </c>
      <c r="F630" t="s">
        <v>1057</v>
      </c>
      <c r="G630">
        <v>1</v>
      </c>
      <c r="H630" s="6">
        <v>0.9</v>
      </c>
      <c r="I630">
        <v>1</v>
      </c>
    </row>
    <row r="631" spans="1:9" x14ac:dyDescent="0.2">
      <c r="A631" s="2">
        <v>635</v>
      </c>
      <c r="B631">
        <v>635</v>
      </c>
      <c r="C631">
        <v>55</v>
      </c>
      <c r="D631">
        <f>VLOOKUP(C631,Course!$A$1:$C$229, 2, FALSE)</f>
        <v>0</v>
      </c>
      <c r="E631">
        <v>88</v>
      </c>
      <c r="F631" t="s">
        <v>1058</v>
      </c>
      <c r="G631">
        <v>1</v>
      </c>
      <c r="H631" s="6">
        <v>0.9</v>
      </c>
      <c r="I631">
        <v>1</v>
      </c>
    </row>
    <row r="632" spans="1:9" x14ac:dyDescent="0.2">
      <c r="A632" s="2">
        <v>636</v>
      </c>
      <c r="B632">
        <v>636</v>
      </c>
      <c r="C632">
        <v>55</v>
      </c>
      <c r="D632">
        <f>VLOOKUP(C632,Course!$A$1:$C$229, 2, FALSE)</f>
        <v>0</v>
      </c>
      <c r="E632">
        <v>89</v>
      </c>
      <c r="F632" t="s">
        <v>1059</v>
      </c>
      <c r="G632">
        <v>1</v>
      </c>
      <c r="H632" s="6">
        <v>0.9</v>
      </c>
      <c r="I632">
        <v>1</v>
      </c>
    </row>
    <row r="633" spans="1:9" x14ac:dyDescent="0.2">
      <c r="A633" s="2">
        <v>637</v>
      </c>
      <c r="B633">
        <v>637</v>
      </c>
      <c r="C633">
        <v>55</v>
      </c>
      <c r="D633">
        <f>VLOOKUP(C633,Course!$A$1:$C$229, 2, FALSE)</f>
        <v>0</v>
      </c>
      <c r="E633">
        <v>90</v>
      </c>
      <c r="F633" t="s">
        <v>1060</v>
      </c>
      <c r="G633">
        <v>1</v>
      </c>
      <c r="H633" s="6">
        <v>0.9</v>
      </c>
      <c r="I633">
        <v>1</v>
      </c>
    </row>
    <row r="634" spans="1:9" x14ac:dyDescent="0.2">
      <c r="A634" s="2">
        <v>638</v>
      </c>
      <c r="B634">
        <v>638</v>
      </c>
      <c r="C634">
        <v>55</v>
      </c>
      <c r="D634">
        <f>VLOOKUP(C634,Course!$A$1:$C$229, 2, FALSE)</f>
        <v>0</v>
      </c>
      <c r="E634">
        <v>91</v>
      </c>
      <c r="F634" t="s">
        <v>1061</v>
      </c>
      <c r="G634">
        <v>1</v>
      </c>
      <c r="H634" s="6">
        <v>0.9</v>
      </c>
      <c r="I634">
        <v>1</v>
      </c>
    </row>
    <row r="635" spans="1:9" x14ac:dyDescent="0.2">
      <c r="A635" s="2">
        <v>639</v>
      </c>
      <c r="B635">
        <v>639</v>
      </c>
      <c r="C635">
        <v>55</v>
      </c>
      <c r="D635">
        <f>VLOOKUP(C635,Course!$A$1:$C$229, 2, FALSE)</f>
        <v>0</v>
      </c>
      <c r="E635">
        <v>92</v>
      </c>
      <c r="F635" t="s">
        <v>1062</v>
      </c>
      <c r="G635">
        <v>1</v>
      </c>
      <c r="H635" s="6">
        <v>0.9</v>
      </c>
      <c r="I635">
        <v>1</v>
      </c>
    </row>
    <row r="636" spans="1:9" x14ac:dyDescent="0.2">
      <c r="A636" s="2">
        <v>640</v>
      </c>
      <c r="B636">
        <v>640</v>
      </c>
      <c r="C636">
        <v>55</v>
      </c>
      <c r="D636">
        <f>VLOOKUP(C636,Course!$A$1:$C$229, 2, FALSE)</f>
        <v>0</v>
      </c>
      <c r="E636">
        <v>93</v>
      </c>
      <c r="F636" t="s">
        <v>1063</v>
      </c>
      <c r="G636">
        <v>1</v>
      </c>
      <c r="H636" s="6">
        <v>0.9</v>
      </c>
      <c r="I636">
        <v>1</v>
      </c>
    </row>
    <row r="637" spans="1:9" x14ac:dyDescent="0.2">
      <c r="A637" s="2">
        <v>641</v>
      </c>
      <c r="B637">
        <v>641</v>
      </c>
      <c r="C637">
        <v>55</v>
      </c>
      <c r="D637">
        <f>VLOOKUP(C637,Course!$A$1:$C$229, 2, FALSE)</f>
        <v>0</v>
      </c>
      <c r="E637">
        <v>94</v>
      </c>
      <c r="F637" t="s">
        <v>1064</v>
      </c>
      <c r="G637">
        <v>1</v>
      </c>
      <c r="H637" s="6">
        <v>0.9</v>
      </c>
      <c r="I637">
        <v>1</v>
      </c>
    </row>
    <row r="638" spans="1:9" x14ac:dyDescent="0.2">
      <c r="A638" s="2">
        <v>642</v>
      </c>
      <c r="B638">
        <v>642</v>
      </c>
      <c r="C638">
        <v>55</v>
      </c>
      <c r="D638">
        <f>VLOOKUP(C638,Course!$A$1:$C$229, 2, FALSE)</f>
        <v>0</v>
      </c>
      <c r="E638">
        <v>95</v>
      </c>
      <c r="F638" t="s">
        <v>1065</v>
      </c>
      <c r="G638">
        <v>1</v>
      </c>
      <c r="H638" s="6">
        <v>0.9</v>
      </c>
      <c r="I638">
        <v>1</v>
      </c>
    </row>
    <row r="639" spans="1:9" x14ac:dyDescent="0.2">
      <c r="A639" s="2">
        <v>643</v>
      </c>
      <c r="B639">
        <v>643</v>
      </c>
      <c r="C639">
        <v>55</v>
      </c>
      <c r="D639">
        <f>VLOOKUP(C639,Course!$A$1:$C$229, 2, FALSE)</f>
        <v>0</v>
      </c>
      <c r="E639">
        <v>96</v>
      </c>
      <c r="F639" t="s">
        <v>1066</v>
      </c>
      <c r="G639">
        <v>1</v>
      </c>
      <c r="H639" s="6">
        <v>0.9</v>
      </c>
      <c r="I639">
        <v>1</v>
      </c>
    </row>
    <row r="640" spans="1:9" x14ac:dyDescent="0.2">
      <c r="A640" s="2">
        <v>644</v>
      </c>
      <c r="B640">
        <v>644</v>
      </c>
      <c r="C640">
        <v>56</v>
      </c>
      <c r="D640">
        <f>VLOOKUP(C640,Course!$A$1:$C$229, 2, FALSE)</f>
        <v>0</v>
      </c>
      <c r="E640">
        <v>86</v>
      </c>
      <c r="F640" t="s">
        <v>1067</v>
      </c>
      <c r="G640">
        <f>1/6/2</f>
        <v>8.3333333333333329E-2</v>
      </c>
      <c r="H640" s="6">
        <v>0.8</v>
      </c>
      <c r="I640">
        <v>1</v>
      </c>
    </row>
    <row r="641" spans="1:9" x14ac:dyDescent="0.2">
      <c r="A641" s="2">
        <v>646</v>
      </c>
      <c r="B641">
        <v>646</v>
      </c>
      <c r="C641">
        <v>56</v>
      </c>
      <c r="D641">
        <f>VLOOKUP(C641,Course!$A$1:$C$229, 2, FALSE)</f>
        <v>0</v>
      </c>
      <c r="E641">
        <v>88</v>
      </c>
      <c r="F641" t="s">
        <v>1068</v>
      </c>
      <c r="G641">
        <f t="shared" ref="G641:G645" si="1">1/6/2</f>
        <v>8.3333333333333329E-2</v>
      </c>
      <c r="H641" s="6">
        <v>0.8</v>
      </c>
      <c r="I641">
        <v>1</v>
      </c>
    </row>
    <row r="642" spans="1:9" x14ac:dyDescent="0.2">
      <c r="A642" s="2">
        <v>648</v>
      </c>
      <c r="B642">
        <v>648</v>
      </c>
      <c r="C642">
        <v>56</v>
      </c>
      <c r="D642">
        <f>VLOOKUP(C642,Course!$A$1:$C$229, 2, FALSE)</f>
        <v>0</v>
      </c>
      <c r="E642">
        <v>90</v>
      </c>
      <c r="F642" t="s">
        <v>1069</v>
      </c>
      <c r="G642">
        <f t="shared" si="1"/>
        <v>8.3333333333333329E-2</v>
      </c>
      <c r="H642" s="6">
        <v>0.8</v>
      </c>
      <c r="I642">
        <v>1</v>
      </c>
    </row>
    <row r="643" spans="1:9" x14ac:dyDescent="0.2">
      <c r="A643" s="2">
        <v>650</v>
      </c>
      <c r="B643">
        <v>650</v>
      </c>
      <c r="C643">
        <v>56</v>
      </c>
      <c r="D643">
        <f>VLOOKUP(C643,Course!$A$1:$C$229, 2, FALSE)</f>
        <v>0</v>
      </c>
      <c r="E643">
        <v>92</v>
      </c>
      <c r="F643" t="s">
        <v>1070</v>
      </c>
      <c r="G643">
        <f t="shared" si="1"/>
        <v>8.3333333333333329E-2</v>
      </c>
      <c r="H643" s="6">
        <v>0.8</v>
      </c>
      <c r="I643">
        <v>1</v>
      </c>
    </row>
    <row r="644" spans="1:9" x14ac:dyDescent="0.2">
      <c r="A644" s="2">
        <v>652</v>
      </c>
      <c r="B644">
        <v>652</v>
      </c>
      <c r="C644">
        <v>56</v>
      </c>
      <c r="D644">
        <f>VLOOKUP(C644,Course!$A$1:$C$229, 2, FALSE)</f>
        <v>0</v>
      </c>
      <c r="E644">
        <v>94</v>
      </c>
      <c r="F644" t="s">
        <v>1071</v>
      </c>
      <c r="G644">
        <f t="shared" si="1"/>
        <v>8.3333333333333329E-2</v>
      </c>
      <c r="H644" s="6">
        <v>0.8</v>
      </c>
      <c r="I644">
        <v>1</v>
      </c>
    </row>
    <row r="645" spans="1:9" x14ac:dyDescent="0.2">
      <c r="A645" s="2">
        <v>654</v>
      </c>
      <c r="B645">
        <v>654</v>
      </c>
      <c r="C645">
        <v>56</v>
      </c>
      <c r="D645">
        <f>VLOOKUP(C645,Course!$A$1:$C$229, 2, FALSE)</f>
        <v>0</v>
      </c>
      <c r="E645">
        <v>96</v>
      </c>
      <c r="F645" t="s">
        <v>1072</v>
      </c>
      <c r="G645">
        <f t="shared" si="1"/>
        <v>8.3333333333333329E-2</v>
      </c>
      <c r="H645" s="6">
        <v>0.8</v>
      </c>
      <c r="I645">
        <v>1</v>
      </c>
    </row>
    <row r="646" spans="1:9" x14ac:dyDescent="0.2">
      <c r="A646" s="2">
        <v>655</v>
      </c>
      <c r="B646">
        <v>655</v>
      </c>
      <c r="C646">
        <v>57</v>
      </c>
      <c r="D646">
        <f>VLOOKUP(C646,Course!$A$1:$C$229, 2, FALSE)</f>
        <v>0</v>
      </c>
      <c r="E646">
        <v>85</v>
      </c>
      <c r="F646" t="s">
        <v>1073</v>
      </c>
      <c r="G646">
        <v>1</v>
      </c>
      <c r="H646" s="6">
        <v>0.8</v>
      </c>
      <c r="I646">
        <v>1</v>
      </c>
    </row>
    <row r="647" spans="1:9" x14ac:dyDescent="0.2">
      <c r="A647" s="2">
        <v>656</v>
      </c>
      <c r="B647">
        <v>656</v>
      </c>
      <c r="C647">
        <v>57</v>
      </c>
      <c r="D647">
        <f>VLOOKUP(C647,Course!$A$1:$C$229, 2, FALSE)</f>
        <v>0</v>
      </c>
      <c r="E647">
        <v>86</v>
      </c>
      <c r="F647" t="s">
        <v>1074</v>
      </c>
      <c r="G647">
        <v>1</v>
      </c>
      <c r="H647" s="6">
        <v>0.8</v>
      </c>
      <c r="I647">
        <v>1</v>
      </c>
    </row>
    <row r="648" spans="1:9" x14ac:dyDescent="0.2">
      <c r="A648" s="2">
        <v>657</v>
      </c>
      <c r="B648">
        <v>657</v>
      </c>
      <c r="C648">
        <v>57</v>
      </c>
      <c r="D648">
        <f>VLOOKUP(C648,Course!$A$1:$C$229, 2, FALSE)</f>
        <v>0</v>
      </c>
      <c r="E648">
        <v>87</v>
      </c>
      <c r="F648" t="s">
        <v>1075</v>
      </c>
      <c r="G648">
        <v>1</v>
      </c>
      <c r="H648" s="6">
        <v>0.8</v>
      </c>
      <c r="I648">
        <v>1</v>
      </c>
    </row>
    <row r="649" spans="1:9" x14ac:dyDescent="0.2">
      <c r="A649" s="2">
        <v>658</v>
      </c>
      <c r="B649">
        <v>658</v>
      </c>
      <c r="C649">
        <v>57</v>
      </c>
      <c r="D649">
        <f>VLOOKUP(C649,Course!$A$1:$C$229, 2, FALSE)</f>
        <v>0</v>
      </c>
      <c r="E649">
        <v>88</v>
      </c>
      <c r="F649" t="s">
        <v>1076</v>
      </c>
      <c r="G649">
        <v>1</v>
      </c>
      <c r="H649" s="6">
        <v>0.8</v>
      </c>
      <c r="I649">
        <v>1</v>
      </c>
    </row>
    <row r="650" spans="1:9" x14ac:dyDescent="0.2">
      <c r="A650" s="2">
        <v>659</v>
      </c>
      <c r="B650">
        <v>659</v>
      </c>
      <c r="C650">
        <v>57</v>
      </c>
      <c r="D650">
        <f>VLOOKUP(C650,Course!$A$1:$C$229, 2, FALSE)</f>
        <v>0</v>
      </c>
      <c r="E650">
        <v>89</v>
      </c>
      <c r="F650" t="s">
        <v>1077</v>
      </c>
      <c r="G650">
        <v>1</v>
      </c>
      <c r="H650" s="6">
        <v>0.8</v>
      </c>
      <c r="I650">
        <v>1</v>
      </c>
    </row>
    <row r="651" spans="1:9" x14ac:dyDescent="0.2">
      <c r="A651" s="2">
        <v>660</v>
      </c>
      <c r="B651">
        <v>660</v>
      </c>
      <c r="C651">
        <v>57</v>
      </c>
      <c r="D651">
        <f>VLOOKUP(C651,Course!$A$1:$C$229, 2, FALSE)</f>
        <v>0</v>
      </c>
      <c r="E651">
        <v>90</v>
      </c>
      <c r="F651" t="s">
        <v>1078</v>
      </c>
      <c r="G651">
        <v>1</v>
      </c>
      <c r="H651" s="6">
        <v>0.8</v>
      </c>
      <c r="I651">
        <v>1</v>
      </c>
    </row>
    <row r="652" spans="1:9" x14ac:dyDescent="0.2">
      <c r="A652" s="2">
        <v>661</v>
      </c>
      <c r="B652">
        <v>661</v>
      </c>
      <c r="C652">
        <v>57</v>
      </c>
      <c r="D652">
        <f>VLOOKUP(C652,Course!$A$1:$C$229, 2, FALSE)</f>
        <v>0</v>
      </c>
      <c r="E652">
        <v>91</v>
      </c>
      <c r="F652" t="s">
        <v>1079</v>
      </c>
      <c r="G652">
        <v>1</v>
      </c>
      <c r="H652" s="6">
        <v>0.8</v>
      </c>
      <c r="I652">
        <v>1</v>
      </c>
    </row>
    <row r="653" spans="1:9" x14ac:dyDescent="0.2">
      <c r="A653" s="2">
        <v>662</v>
      </c>
      <c r="B653">
        <v>662</v>
      </c>
      <c r="C653">
        <v>57</v>
      </c>
      <c r="D653">
        <f>VLOOKUP(C653,Course!$A$1:$C$229, 2, FALSE)</f>
        <v>0</v>
      </c>
      <c r="E653">
        <v>92</v>
      </c>
      <c r="F653" t="s">
        <v>1080</v>
      </c>
      <c r="G653">
        <v>1</v>
      </c>
      <c r="H653" s="6">
        <v>0.8</v>
      </c>
      <c r="I653">
        <v>1</v>
      </c>
    </row>
    <row r="654" spans="1:9" x14ac:dyDescent="0.2">
      <c r="A654" s="2">
        <v>663</v>
      </c>
      <c r="B654">
        <v>663</v>
      </c>
      <c r="C654">
        <v>57</v>
      </c>
      <c r="D654">
        <f>VLOOKUP(C654,Course!$A$1:$C$229, 2, FALSE)</f>
        <v>0</v>
      </c>
      <c r="E654">
        <v>93</v>
      </c>
      <c r="F654" t="s">
        <v>1081</v>
      </c>
      <c r="G654">
        <v>1</v>
      </c>
      <c r="H654" s="6">
        <v>0.8</v>
      </c>
      <c r="I654">
        <v>1</v>
      </c>
    </row>
    <row r="655" spans="1:9" x14ac:dyDescent="0.2">
      <c r="A655" s="2">
        <v>664</v>
      </c>
      <c r="B655">
        <v>664</v>
      </c>
      <c r="C655">
        <v>57</v>
      </c>
      <c r="D655">
        <f>VLOOKUP(C655,Course!$A$1:$C$229, 2, FALSE)</f>
        <v>0</v>
      </c>
      <c r="E655">
        <v>94</v>
      </c>
      <c r="F655" t="s">
        <v>1082</v>
      </c>
      <c r="G655">
        <v>1</v>
      </c>
      <c r="H655" s="6">
        <v>0.8</v>
      </c>
      <c r="I655">
        <v>1</v>
      </c>
    </row>
    <row r="656" spans="1:9" x14ac:dyDescent="0.2">
      <c r="A656" s="2">
        <v>665</v>
      </c>
      <c r="B656">
        <v>665</v>
      </c>
      <c r="C656">
        <v>57</v>
      </c>
      <c r="D656">
        <f>VLOOKUP(C656,Course!$A$1:$C$229, 2, FALSE)</f>
        <v>0</v>
      </c>
      <c r="E656">
        <v>95</v>
      </c>
      <c r="F656" t="s">
        <v>1083</v>
      </c>
      <c r="G656">
        <v>1</v>
      </c>
      <c r="H656" s="6">
        <v>0.8</v>
      </c>
      <c r="I656">
        <v>1</v>
      </c>
    </row>
    <row r="657" spans="1:9" x14ac:dyDescent="0.2">
      <c r="A657" s="2">
        <v>666</v>
      </c>
      <c r="B657">
        <v>666</v>
      </c>
      <c r="C657">
        <v>57</v>
      </c>
      <c r="D657">
        <f>VLOOKUP(C657,Course!$A$1:$C$229, 2, FALSE)</f>
        <v>0</v>
      </c>
      <c r="E657">
        <v>96</v>
      </c>
      <c r="F657" t="s">
        <v>1084</v>
      </c>
      <c r="G657">
        <v>1</v>
      </c>
      <c r="H657" s="6">
        <v>0.8</v>
      </c>
      <c r="I657">
        <v>1</v>
      </c>
    </row>
    <row r="658" spans="1:9" x14ac:dyDescent="0.2">
      <c r="A658" s="2">
        <v>667</v>
      </c>
      <c r="B658">
        <v>667</v>
      </c>
      <c r="C658">
        <v>58</v>
      </c>
      <c r="D658">
        <f>VLOOKUP(C658,Course!$A$1:$C$229, 2, FALSE)</f>
        <v>0</v>
      </c>
      <c r="E658">
        <v>97</v>
      </c>
      <c r="F658" t="s">
        <v>1085</v>
      </c>
      <c r="G658">
        <v>1</v>
      </c>
      <c r="H658" s="6">
        <v>0.8</v>
      </c>
      <c r="I658">
        <v>1</v>
      </c>
    </row>
    <row r="659" spans="1:9" x14ac:dyDescent="0.2">
      <c r="A659" s="2">
        <v>668</v>
      </c>
      <c r="B659">
        <v>668</v>
      </c>
      <c r="C659">
        <v>58</v>
      </c>
      <c r="D659">
        <f>VLOOKUP(C659,Course!$A$1:$C$229, 2, FALSE)</f>
        <v>0</v>
      </c>
      <c r="E659">
        <v>98</v>
      </c>
      <c r="F659" t="s">
        <v>1086</v>
      </c>
      <c r="G659">
        <v>1</v>
      </c>
      <c r="H659" s="6">
        <v>0.8</v>
      </c>
      <c r="I659">
        <v>1</v>
      </c>
    </row>
    <row r="660" spans="1:9" x14ac:dyDescent="0.2">
      <c r="A660" s="2">
        <v>669</v>
      </c>
      <c r="B660">
        <v>669</v>
      </c>
      <c r="C660">
        <v>58</v>
      </c>
      <c r="D660">
        <f>VLOOKUP(C660,Course!$A$1:$C$229, 2, FALSE)</f>
        <v>0</v>
      </c>
      <c r="E660">
        <v>99</v>
      </c>
      <c r="F660" t="s">
        <v>1087</v>
      </c>
      <c r="G660">
        <v>1</v>
      </c>
      <c r="H660" s="6">
        <v>0.8</v>
      </c>
      <c r="I660">
        <v>1</v>
      </c>
    </row>
    <row r="661" spans="1:9" x14ac:dyDescent="0.2">
      <c r="A661" s="2">
        <v>670</v>
      </c>
      <c r="B661">
        <v>670</v>
      </c>
      <c r="C661">
        <v>58</v>
      </c>
      <c r="D661">
        <f>VLOOKUP(C661,Course!$A$1:$C$229, 2, FALSE)</f>
        <v>0</v>
      </c>
      <c r="E661">
        <v>100</v>
      </c>
      <c r="F661" t="s">
        <v>1088</v>
      </c>
      <c r="G661">
        <v>1</v>
      </c>
      <c r="H661" s="6">
        <v>0.8</v>
      </c>
      <c r="I661">
        <v>1</v>
      </c>
    </row>
    <row r="662" spans="1:9" x14ac:dyDescent="0.2">
      <c r="A662" s="2">
        <v>671</v>
      </c>
      <c r="B662">
        <v>671</v>
      </c>
      <c r="C662">
        <v>58</v>
      </c>
      <c r="D662">
        <f>VLOOKUP(C662,Course!$A$1:$C$229, 2, FALSE)</f>
        <v>0</v>
      </c>
      <c r="E662">
        <v>101</v>
      </c>
      <c r="F662" t="s">
        <v>1089</v>
      </c>
      <c r="G662">
        <v>1</v>
      </c>
      <c r="H662" s="6">
        <v>0.8</v>
      </c>
      <c r="I662">
        <v>1</v>
      </c>
    </row>
    <row r="663" spans="1:9" x14ac:dyDescent="0.2">
      <c r="A663" s="2">
        <v>672</v>
      </c>
      <c r="B663">
        <v>672</v>
      </c>
      <c r="C663">
        <v>58</v>
      </c>
      <c r="D663">
        <f>VLOOKUP(C663,Course!$A$1:$C$229, 2, FALSE)</f>
        <v>0</v>
      </c>
      <c r="E663">
        <v>102</v>
      </c>
      <c r="F663" t="s">
        <v>1090</v>
      </c>
      <c r="G663">
        <v>1</v>
      </c>
      <c r="H663" s="6">
        <v>0.8</v>
      </c>
      <c r="I663">
        <v>1</v>
      </c>
    </row>
    <row r="664" spans="1:9" x14ac:dyDescent="0.2">
      <c r="A664" s="2">
        <v>673</v>
      </c>
      <c r="B664">
        <v>673</v>
      </c>
      <c r="C664">
        <v>58</v>
      </c>
      <c r="D664">
        <f>VLOOKUP(C664,Course!$A$1:$C$229, 2, FALSE)</f>
        <v>0</v>
      </c>
      <c r="E664">
        <v>103</v>
      </c>
      <c r="F664" t="s">
        <v>1091</v>
      </c>
      <c r="G664">
        <v>1</v>
      </c>
      <c r="H664" s="6">
        <v>0.8</v>
      </c>
      <c r="I664">
        <v>1</v>
      </c>
    </row>
    <row r="665" spans="1:9" x14ac:dyDescent="0.2">
      <c r="A665" s="2">
        <v>674</v>
      </c>
      <c r="B665">
        <v>674</v>
      </c>
      <c r="C665">
        <v>58</v>
      </c>
      <c r="D665">
        <f>VLOOKUP(C665,Course!$A$1:$C$229, 2, FALSE)</f>
        <v>0</v>
      </c>
      <c r="E665">
        <v>104</v>
      </c>
      <c r="F665" t="s">
        <v>1092</v>
      </c>
      <c r="G665">
        <v>1</v>
      </c>
      <c r="H665" s="6">
        <v>0.8</v>
      </c>
      <c r="I665">
        <v>1</v>
      </c>
    </row>
    <row r="666" spans="1:9" x14ac:dyDescent="0.2">
      <c r="A666" s="2">
        <v>675</v>
      </c>
      <c r="B666">
        <v>675</v>
      </c>
      <c r="C666">
        <v>58</v>
      </c>
      <c r="D666">
        <f>VLOOKUP(C666,Course!$A$1:$C$229, 2, FALSE)</f>
        <v>0</v>
      </c>
      <c r="E666">
        <v>105</v>
      </c>
      <c r="F666" t="s">
        <v>1093</v>
      </c>
      <c r="G666">
        <v>1</v>
      </c>
      <c r="H666" s="6">
        <v>0.8</v>
      </c>
      <c r="I666">
        <v>1</v>
      </c>
    </row>
    <row r="667" spans="1:9" x14ac:dyDescent="0.2">
      <c r="A667" s="2">
        <v>676</v>
      </c>
      <c r="B667">
        <v>676</v>
      </c>
      <c r="C667">
        <v>58</v>
      </c>
      <c r="D667">
        <f>VLOOKUP(C667,Course!$A$1:$C$229, 2, FALSE)</f>
        <v>0</v>
      </c>
      <c r="E667">
        <v>106</v>
      </c>
      <c r="F667" t="s">
        <v>1094</v>
      </c>
      <c r="G667">
        <v>1</v>
      </c>
      <c r="H667" s="6">
        <v>0.8</v>
      </c>
      <c r="I667">
        <v>1</v>
      </c>
    </row>
    <row r="668" spans="1:9" x14ac:dyDescent="0.2">
      <c r="A668" s="2">
        <v>677</v>
      </c>
      <c r="B668">
        <v>677</v>
      </c>
      <c r="C668">
        <v>58</v>
      </c>
      <c r="D668">
        <f>VLOOKUP(C668,Course!$A$1:$C$229, 2, FALSE)</f>
        <v>0</v>
      </c>
      <c r="E668">
        <v>107</v>
      </c>
      <c r="F668" t="s">
        <v>1095</v>
      </c>
      <c r="G668">
        <v>1</v>
      </c>
      <c r="H668" s="6">
        <v>0.8</v>
      </c>
      <c r="I668">
        <v>1</v>
      </c>
    </row>
    <row r="669" spans="1:9" x14ac:dyDescent="0.2">
      <c r="A669" s="2">
        <v>678</v>
      </c>
      <c r="B669">
        <v>678</v>
      </c>
      <c r="C669">
        <v>58</v>
      </c>
      <c r="D669">
        <f>VLOOKUP(C669,Course!$A$1:$C$229, 2, FALSE)</f>
        <v>0</v>
      </c>
      <c r="E669">
        <v>108</v>
      </c>
      <c r="F669" t="s">
        <v>1096</v>
      </c>
      <c r="G669">
        <v>1</v>
      </c>
      <c r="H669" s="6">
        <v>0.8</v>
      </c>
      <c r="I669">
        <v>1</v>
      </c>
    </row>
    <row r="670" spans="1:9" x14ac:dyDescent="0.2">
      <c r="A670" s="2">
        <v>679</v>
      </c>
      <c r="B670">
        <v>679</v>
      </c>
      <c r="C670">
        <v>59</v>
      </c>
      <c r="D670" t="s">
        <v>1971</v>
      </c>
      <c r="E670">
        <v>97</v>
      </c>
      <c r="F670" t="s">
        <v>1097</v>
      </c>
      <c r="G670">
        <v>1</v>
      </c>
      <c r="H670" s="6">
        <v>0.8</v>
      </c>
      <c r="I670">
        <v>1</v>
      </c>
    </row>
    <row r="671" spans="1:9" x14ac:dyDescent="0.2">
      <c r="A671" s="2">
        <v>680</v>
      </c>
      <c r="B671">
        <v>680</v>
      </c>
      <c r="C671">
        <v>59</v>
      </c>
      <c r="D671" t="s">
        <v>1971</v>
      </c>
      <c r="E671">
        <v>98</v>
      </c>
      <c r="F671" t="s">
        <v>1098</v>
      </c>
      <c r="G671">
        <v>1</v>
      </c>
      <c r="H671" s="6">
        <v>0.8</v>
      </c>
      <c r="I671">
        <v>1</v>
      </c>
    </row>
    <row r="672" spans="1:9" x14ac:dyDescent="0.2">
      <c r="A672" s="2">
        <v>681</v>
      </c>
      <c r="B672">
        <v>681</v>
      </c>
      <c r="C672">
        <v>59</v>
      </c>
      <c r="D672" t="s">
        <v>1971</v>
      </c>
      <c r="E672">
        <v>99</v>
      </c>
      <c r="F672" t="s">
        <v>1099</v>
      </c>
      <c r="G672">
        <v>1</v>
      </c>
      <c r="H672" s="6">
        <v>0.8</v>
      </c>
      <c r="I672">
        <v>1</v>
      </c>
    </row>
    <row r="673" spans="1:9" x14ac:dyDescent="0.2">
      <c r="A673" s="2">
        <v>682</v>
      </c>
      <c r="B673">
        <v>682</v>
      </c>
      <c r="C673">
        <v>59</v>
      </c>
      <c r="D673" t="s">
        <v>1971</v>
      </c>
      <c r="E673">
        <v>100</v>
      </c>
      <c r="F673" t="s">
        <v>1100</v>
      </c>
      <c r="G673">
        <v>1</v>
      </c>
      <c r="H673" s="6">
        <v>0.8</v>
      </c>
      <c r="I673">
        <v>1</v>
      </c>
    </row>
    <row r="674" spans="1:9" x14ac:dyDescent="0.2">
      <c r="A674" s="2">
        <v>683</v>
      </c>
      <c r="B674">
        <v>683</v>
      </c>
      <c r="C674">
        <v>59</v>
      </c>
      <c r="D674" t="s">
        <v>1971</v>
      </c>
      <c r="E674">
        <v>101</v>
      </c>
      <c r="F674" t="s">
        <v>1101</v>
      </c>
      <c r="G674">
        <v>1</v>
      </c>
      <c r="H674" s="6">
        <v>0.8</v>
      </c>
      <c r="I674">
        <v>1</v>
      </c>
    </row>
    <row r="675" spans="1:9" x14ac:dyDescent="0.2">
      <c r="A675" s="2">
        <v>684</v>
      </c>
      <c r="B675">
        <v>684</v>
      </c>
      <c r="C675">
        <v>59</v>
      </c>
      <c r="D675" t="s">
        <v>1971</v>
      </c>
      <c r="E675">
        <v>102</v>
      </c>
      <c r="F675" t="s">
        <v>1102</v>
      </c>
      <c r="G675">
        <v>1</v>
      </c>
      <c r="H675" s="6">
        <v>0.8</v>
      </c>
      <c r="I675">
        <v>1</v>
      </c>
    </row>
    <row r="676" spans="1:9" x14ac:dyDescent="0.2">
      <c r="A676" s="2">
        <v>685</v>
      </c>
      <c r="B676">
        <v>685</v>
      </c>
      <c r="C676">
        <v>59</v>
      </c>
      <c r="D676" t="s">
        <v>1971</v>
      </c>
      <c r="E676">
        <v>103</v>
      </c>
      <c r="F676" t="s">
        <v>1103</v>
      </c>
      <c r="G676">
        <v>1</v>
      </c>
      <c r="H676" s="6">
        <v>0.8</v>
      </c>
      <c r="I676">
        <v>1</v>
      </c>
    </row>
    <row r="677" spans="1:9" x14ac:dyDescent="0.2">
      <c r="A677" s="2">
        <v>686</v>
      </c>
      <c r="B677">
        <v>686</v>
      </c>
      <c r="C677">
        <v>59</v>
      </c>
      <c r="D677" t="s">
        <v>1971</v>
      </c>
      <c r="E677">
        <v>104</v>
      </c>
      <c r="F677" t="s">
        <v>1104</v>
      </c>
      <c r="G677">
        <v>1</v>
      </c>
      <c r="H677" s="6">
        <v>0.8</v>
      </c>
      <c r="I677">
        <v>1</v>
      </c>
    </row>
    <row r="678" spans="1:9" x14ac:dyDescent="0.2">
      <c r="A678" s="2">
        <v>687</v>
      </c>
      <c r="B678">
        <v>687</v>
      </c>
      <c r="C678">
        <v>59</v>
      </c>
      <c r="D678" t="s">
        <v>1971</v>
      </c>
      <c r="E678">
        <v>105</v>
      </c>
      <c r="F678" t="s">
        <v>1105</v>
      </c>
      <c r="G678">
        <v>1</v>
      </c>
      <c r="H678" s="6">
        <v>0.8</v>
      </c>
      <c r="I678">
        <v>1</v>
      </c>
    </row>
    <row r="679" spans="1:9" x14ac:dyDescent="0.2">
      <c r="A679" s="2">
        <v>688</v>
      </c>
      <c r="B679">
        <v>688</v>
      </c>
      <c r="C679">
        <v>59</v>
      </c>
      <c r="D679" t="s">
        <v>1971</v>
      </c>
      <c r="E679">
        <v>106</v>
      </c>
      <c r="F679" t="s">
        <v>1106</v>
      </c>
      <c r="G679">
        <v>1</v>
      </c>
      <c r="H679" s="6">
        <v>0.8</v>
      </c>
      <c r="I679">
        <v>1</v>
      </c>
    </row>
    <row r="680" spans="1:9" x14ac:dyDescent="0.2">
      <c r="A680" s="2">
        <v>689</v>
      </c>
      <c r="B680">
        <v>689</v>
      </c>
      <c r="C680">
        <v>59</v>
      </c>
      <c r="D680" t="s">
        <v>1971</v>
      </c>
      <c r="E680">
        <v>107</v>
      </c>
      <c r="F680" t="s">
        <v>1107</v>
      </c>
      <c r="G680">
        <v>1</v>
      </c>
      <c r="H680" s="6">
        <v>0.8</v>
      </c>
      <c r="I680">
        <v>1</v>
      </c>
    </row>
    <row r="681" spans="1:9" x14ac:dyDescent="0.2">
      <c r="A681" s="2">
        <v>690</v>
      </c>
      <c r="B681">
        <v>690</v>
      </c>
      <c r="C681">
        <v>59</v>
      </c>
      <c r="D681" t="s">
        <v>1971</v>
      </c>
      <c r="E681">
        <v>108</v>
      </c>
      <c r="F681" t="s">
        <v>1108</v>
      </c>
      <c r="G681">
        <v>1</v>
      </c>
      <c r="H681" s="6">
        <v>0.8</v>
      </c>
      <c r="I681">
        <v>1</v>
      </c>
    </row>
    <row r="682" spans="1:9" x14ac:dyDescent="0.2">
      <c r="A682" s="2">
        <v>691</v>
      </c>
      <c r="B682">
        <v>691</v>
      </c>
      <c r="C682">
        <v>60</v>
      </c>
      <c r="D682" t="str">
        <f>VLOOKUP(C682,Course!$A$1:$C$229, 2, FALSE)</f>
        <v>Biblical Studies I</v>
      </c>
      <c r="E682">
        <v>97</v>
      </c>
      <c r="F682" t="s">
        <v>1109</v>
      </c>
      <c r="G682">
        <v>1</v>
      </c>
      <c r="H682" s="6">
        <v>0.8</v>
      </c>
      <c r="I682">
        <v>1</v>
      </c>
    </row>
    <row r="683" spans="1:9" x14ac:dyDescent="0.2">
      <c r="A683" s="2">
        <v>692</v>
      </c>
      <c r="B683">
        <v>692</v>
      </c>
      <c r="C683">
        <v>60</v>
      </c>
      <c r="D683" t="str">
        <f>VLOOKUP(C683,Course!$A$1:$C$229, 2, FALSE)</f>
        <v>Biblical Studies I</v>
      </c>
      <c r="E683">
        <v>98</v>
      </c>
      <c r="F683" t="s">
        <v>1110</v>
      </c>
      <c r="G683">
        <v>1</v>
      </c>
      <c r="H683" s="6">
        <v>0.8</v>
      </c>
      <c r="I683">
        <v>1</v>
      </c>
    </row>
    <row r="684" spans="1:9" x14ac:dyDescent="0.2">
      <c r="A684" s="2">
        <v>693</v>
      </c>
      <c r="B684">
        <v>693</v>
      </c>
      <c r="C684">
        <v>60</v>
      </c>
      <c r="D684" t="str">
        <f>VLOOKUP(C684,Course!$A$1:$C$229, 2, FALSE)</f>
        <v>Biblical Studies I</v>
      </c>
      <c r="E684">
        <v>99</v>
      </c>
      <c r="F684" t="s">
        <v>1111</v>
      </c>
      <c r="G684">
        <v>1</v>
      </c>
      <c r="H684" s="6">
        <v>0.8</v>
      </c>
      <c r="I684">
        <v>1</v>
      </c>
    </row>
    <row r="685" spans="1:9" x14ac:dyDescent="0.2">
      <c r="A685" s="2">
        <v>694</v>
      </c>
      <c r="B685">
        <v>694</v>
      </c>
      <c r="C685">
        <v>60</v>
      </c>
      <c r="D685" t="str">
        <f>VLOOKUP(C685,Course!$A$1:$C$229, 2, FALSE)</f>
        <v>Biblical Studies I</v>
      </c>
      <c r="E685">
        <v>100</v>
      </c>
      <c r="F685" t="s">
        <v>1112</v>
      </c>
      <c r="G685">
        <v>1</v>
      </c>
      <c r="H685" s="6">
        <v>0.8</v>
      </c>
      <c r="I685">
        <v>1</v>
      </c>
    </row>
    <row r="686" spans="1:9" x14ac:dyDescent="0.2">
      <c r="A686" s="2">
        <v>695</v>
      </c>
      <c r="B686">
        <v>695</v>
      </c>
      <c r="C686">
        <v>60</v>
      </c>
      <c r="D686" t="str">
        <f>VLOOKUP(C686,Course!$A$1:$C$229, 2, FALSE)</f>
        <v>Biblical Studies I</v>
      </c>
      <c r="E686">
        <v>101</v>
      </c>
      <c r="F686" t="s">
        <v>1113</v>
      </c>
      <c r="G686">
        <v>1</v>
      </c>
      <c r="H686" s="6">
        <v>0.8</v>
      </c>
      <c r="I686">
        <v>1</v>
      </c>
    </row>
    <row r="687" spans="1:9" x14ac:dyDescent="0.2">
      <c r="A687" s="2">
        <v>696</v>
      </c>
      <c r="B687">
        <v>696</v>
      </c>
      <c r="C687">
        <v>60</v>
      </c>
      <c r="D687" t="str">
        <f>VLOOKUP(C687,Course!$A$1:$C$229, 2, FALSE)</f>
        <v>Biblical Studies I</v>
      </c>
      <c r="E687">
        <v>102</v>
      </c>
      <c r="F687" t="s">
        <v>1114</v>
      </c>
      <c r="G687">
        <v>1</v>
      </c>
      <c r="H687" s="6">
        <v>0.8</v>
      </c>
      <c r="I687">
        <v>1</v>
      </c>
    </row>
    <row r="688" spans="1:9" x14ac:dyDescent="0.2">
      <c r="A688" s="2">
        <v>697</v>
      </c>
      <c r="B688">
        <v>697</v>
      </c>
      <c r="C688">
        <v>61</v>
      </c>
      <c r="D688">
        <f>VLOOKUP(C688,Course!$A$1:$C$229, 2, FALSE)</f>
        <v>0</v>
      </c>
      <c r="E688">
        <v>97</v>
      </c>
      <c r="F688" t="s">
        <v>1115</v>
      </c>
      <c r="G688">
        <v>1</v>
      </c>
      <c r="H688" s="6">
        <v>0.8</v>
      </c>
      <c r="I688">
        <v>1</v>
      </c>
    </row>
    <row r="689" spans="1:9" x14ac:dyDescent="0.2">
      <c r="A689" s="2">
        <v>698</v>
      </c>
      <c r="B689">
        <v>698</v>
      </c>
      <c r="C689">
        <v>61</v>
      </c>
      <c r="D689">
        <f>VLOOKUP(C689,Course!$A$1:$C$229, 2, FALSE)</f>
        <v>0</v>
      </c>
      <c r="E689">
        <v>98</v>
      </c>
      <c r="F689" t="s">
        <v>1116</v>
      </c>
      <c r="G689">
        <v>1</v>
      </c>
      <c r="H689" s="6">
        <v>0.8</v>
      </c>
      <c r="I689">
        <v>1</v>
      </c>
    </row>
    <row r="690" spans="1:9" x14ac:dyDescent="0.2">
      <c r="A690" s="2">
        <v>699</v>
      </c>
      <c r="B690">
        <v>699</v>
      </c>
      <c r="C690">
        <v>61</v>
      </c>
      <c r="D690">
        <f>VLOOKUP(C690,Course!$A$1:$C$229, 2, FALSE)</f>
        <v>0</v>
      </c>
      <c r="E690">
        <v>99</v>
      </c>
      <c r="F690" t="s">
        <v>1117</v>
      </c>
      <c r="G690">
        <v>1</v>
      </c>
      <c r="H690" s="6">
        <v>0.8</v>
      </c>
      <c r="I690">
        <v>1</v>
      </c>
    </row>
    <row r="691" spans="1:9" x14ac:dyDescent="0.2">
      <c r="A691" s="2">
        <v>700</v>
      </c>
      <c r="B691">
        <v>700</v>
      </c>
      <c r="C691">
        <v>61</v>
      </c>
      <c r="D691">
        <f>VLOOKUP(C691,Course!$A$1:$C$229, 2, FALSE)</f>
        <v>0</v>
      </c>
      <c r="E691">
        <v>100</v>
      </c>
      <c r="F691" t="s">
        <v>1118</v>
      </c>
      <c r="G691">
        <v>1</v>
      </c>
      <c r="H691" s="6">
        <v>0.8</v>
      </c>
      <c r="I691">
        <v>1</v>
      </c>
    </row>
    <row r="692" spans="1:9" x14ac:dyDescent="0.2">
      <c r="A692" s="2">
        <v>701</v>
      </c>
      <c r="B692">
        <v>701</v>
      </c>
      <c r="C692">
        <v>61</v>
      </c>
      <c r="D692">
        <f>VLOOKUP(C692,Course!$A$1:$C$229, 2, FALSE)</f>
        <v>0</v>
      </c>
      <c r="E692">
        <v>101</v>
      </c>
      <c r="F692" t="s">
        <v>1119</v>
      </c>
      <c r="G692">
        <v>1</v>
      </c>
      <c r="H692" s="6">
        <v>0.8</v>
      </c>
      <c r="I692">
        <v>1</v>
      </c>
    </row>
    <row r="693" spans="1:9" x14ac:dyDescent="0.2">
      <c r="A693" s="2">
        <v>702</v>
      </c>
      <c r="B693">
        <v>702</v>
      </c>
      <c r="C693">
        <v>61</v>
      </c>
      <c r="D693">
        <f>VLOOKUP(C693,Course!$A$1:$C$229, 2, FALSE)</f>
        <v>0</v>
      </c>
      <c r="E693">
        <v>102</v>
      </c>
      <c r="F693" t="s">
        <v>1120</v>
      </c>
      <c r="G693">
        <v>1</v>
      </c>
      <c r="H693" s="6">
        <v>0.8</v>
      </c>
      <c r="I693">
        <v>1</v>
      </c>
    </row>
    <row r="694" spans="1:9" x14ac:dyDescent="0.2">
      <c r="A694" s="2">
        <v>703</v>
      </c>
      <c r="B694">
        <v>703</v>
      </c>
      <c r="C694">
        <v>61</v>
      </c>
      <c r="D694">
        <f>VLOOKUP(C694,Course!$A$1:$C$229, 2, FALSE)</f>
        <v>0</v>
      </c>
      <c r="E694">
        <v>103</v>
      </c>
      <c r="F694" t="s">
        <v>1121</v>
      </c>
      <c r="G694">
        <v>1</v>
      </c>
      <c r="H694" s="6">
        <v>0.8</v>
      </c>
      <c r="I694">
        <v>1</v>
      </c>
    </row>
    <row r="695" spans="1:9" x14ac:dyDescent="0.2">
      <c r="A695" s="2">
        <v>704</v>
      </c>
      <c r="B695">
        <v>704</v>
      </c>
      <c r="C695">
        <v>61</v>
      </c>
      <c r="D695">
        <f>VLOOKUP(C695,Course!$A$1:$C$229, 2, FALSE)</f>
        <v>0</v>
      </c>
      <c r="E695">
        <v>104</v>
      </c>
      <c r="F695" t="s">
        <v>1122</v>
      </c>
      <c r="G695">
        <v>1</v>
      </c>
      <c r="H695" s="6">
        <v>0.8</v>
      </c>
      <c r="I695">
        <v>1</v>
      </c>
    </row>
    <row r="696" spans="1:9" x14ac:dyDescent="0.2">
      <c r="A696" s="2">
        <v>705</v>
      </c>
      <c r="B696">
        <v>705</v>
      </c>
      <c r="C696">
        <v>61</v>
      </c>
      <c r="D696">
        <f>VLOOKUP(C696,Course!$A$1:$C$229, 2, FALSE)</f>
        <v>0</v>
      </c>
      <c r="E696">
        <v>105</v>
      </c>
      <c r="F696" t="s">
        <v>1123</v>
      </c>
      <c r="G696">
        <v>1</v>
      </c>
      <c r="H696" s="6">
        <v>0.8</v>
      </c>
      <c r="I696">
        <v>1</v>
      </c>
    </row>
    <row r="697" spans="1:9" x14ac:dyDescent="0.2">
      <c r="A697" s="2">
        <v>706</v>
      </c>
      <c r="B697">
        <v>706</v>
      </c>
      <c r="C697">
        <v>61</v>
      </c>
      <c r="D697">
        <f>VLOOKUP(C697,Course!$A$1:$C$229, 2, FALSE)</f>
        <v>0</v>
      </c>
      <c r="E697">
        <v>106</v>
      </c>
      <c r="F697" t="s">
        <v>1124</v>
      </c>
      <c r="G697">
        <v>1</v>
      </c>
      <c r="H697" s="6">
        <v>0.8</v>
      </c>
      <c r="I697">
        <v>1</v>
      </c>
    </row>
    <row r="698" spans="1:9" x14ac:dyDescent="0.2">
      <c r="A698" s="2">
        <v>707</v>
      </c>
      <c r="B698">
        <v>707</v>
      </c>
      <c r="C698">
        <v>61</v>
      </c>
      <c r="D698">
        <f>VLOOKUP(C698,Course!$A$1:$C$229, 2, FALSE)</f>
        <v>0</v>
      </c>
      <c r="E698">
        <v>107</v>
      </c>
      <c r="F698" t="s">
        <v>1125</v>
      </c>
      <c r="G698">
        <v>1</v>
      </c>
      <c r="H698" s="6">
        <v>0.8</v>
      </c>
      <c r="I698">
        <v>1</v>
      </c>
    </row>
    <row r="699" spans="1:9" x14ac:dyDescent="0.2">
      <c r="A699" s="2">
        <v>708</v>
      </c>
      <c r="B699">
        <v>708</v>
      </c>
      <c r="C699">
        <v>61</v>
      </c>
      <c r="D699">
        <f>VLOOKUP(C699,Course!$A$1:$C$229, 2, FALSE)</f>
        <v>0</v>
      </c>
      <c r="E699">
        <v>108</v>
      </c>
      <c r="F699" t="s">
        <v>1126</v>
      </c>
      <c r="G699">
        <v>1</v>
      </c>
      <c r="H699" s="6">
        <v>0.8</v>
      </c>
      <c r="I699">
        <v>1</v>
      </c>
    </row>
    <row r="700" spans="1:9" x14ac:dyDescent="0.2">
      <c r="A700" s="2">
        <v>709</v>
      </c>
      <c r="B700">
        <v>709</v>
      </c>
      <c r="C700">
        <v>62</v>
      </c>
      <c r="D700">
        <f>VLOOKUP(C700,Course!$A$1:$C$229, 2, FALSE)</f>
        <v>0</v>
      </c>
      <c r="E700">
        <v>97</v>
      </c>
      <c r="F700" t="s">
        <v>1127</v>
      </c>
      <c r="G700">
        <v>1</v>
      </c>
      <c r="H700" s="6">
        <v>0.8</v>
      </c>
      <c r="I700">
        <v>1</v>
      </c>
    </row>
    <row r="701" spans="1:9" x14ac:dyDescent="0.2">
      <c r="A701" s="2">
        <v>710</v>
      </c>
      <c r="B701">
        <v>710</v>
      </c>
      <c r="C701">
        <v>62</v>
      </c>
      <c r="D701">
        <f>VLOOKUP(C701,Course!$A$1:$C$229, 2, FALSE)</f>
        <v>0</v>
      </c>
      <c r="E701">
        <v>98</v>
      </c>
      <c r="F701" t="s">
        <v>1128</v>
      </c>
      <c r="G701">
        <v>1</v>
      </c>
      <c r="H701" s="6">
        <v>0.8</v>
      </c>
      <c r="I701">
        <v>1</v>
      </c>
    </row>
    <row r="702" spans="1:9" x14ac:dyDescent="0.2">
      <c r="A702" s="2">
        <v>711</v>
      </c>
      <c r="B702">
        <v>711</v>
      </c>
      <c r="C702">
        <v>62</v>
      </c>
      <c r="D702">
        <f>VLOOKUP(C702,Course!$A$1:$C$229, 2, FALSE)</f>
        <v>0</v>
      </c>
      <c r="E702">
        <v>99</v>
      </c>
      <c r="F702" t="s">
        <v>1129</v>
      </c>
      <c r="G702">
        <v>1</v>
      </c>
      <c r="H702" s="6">
        <v>0.8</v>
      </c>
      <c r="I702">
        <v>1</v>
      </c>
    </row>
    <row r="703" spans="1:9" x14ac:dyDescent="0.2">
      <c r="A703" s="2">
        <v>712</v>
      </c>
      <c r="B703">
        <v>712</v>
      </c>
      <c r="C703">
        <v>62</v>
      </c>
      <c r="D703">
        <f>VLOOKUP(C703,Course!$A$1:$C$229, 2, FALSE)</f>
        <v>0</v>
      </c>
      <c r="E703">
        <v>100</v>
      </c>
      <c r="F703" t="s">
        <v>1130</v>
      </c>
      <c r="G703">
        <v>1</v>
      </c>
      <c r="H703" s="6">
        <v>0.8</v>
      </c>
      <c r="I703">
        <v>1</v>
      </c>
    </row>
    <row r="704" spans="1:9" x14ac:dyDescent="0.2">
      <c r="A704" s="2">
        <v>713</v>
      </c>
      <c r="B704">
        <v>713</v>
      </c>
      <c r="C704">
        <v>62</v>
      </c>
      <c r="D704">
        <f>VLOOKUP(C704,Course!$A$1:$C$229, 2, FALSE)</f>
        <v>0</v>
      </c>
      <c r="E704">
        <v>101</v>
      </c>
      <c r="F704" t="s">
        <v>464</v>
      </c>
      <c r="G704">
        <v>1</v>
      </c>
      <c r="H704" s="6">
        <v>0.8</v>
      </c>
      <c r="I704">
        <v>1</v>
      </c>
    </row>
    <row r="705" spans="1:9" x14ac:dyDescent="0.2">
      <c r="A705" s="2">
        <v>714</v>
      </c>
      <c r="B705">
        <v>714</v>
      </c>
      <c r="C705">
        <v>62</v>
      </c>
      <c r="D705">
        <f>VLOOKUP(C705,Course!$A$1:$C$229, 2, FALSE)</f>
        <v>0</v>
      </c>
      <c r="E705">
        <v>102</v>
      </c>
      <c r="F705" t="s">
        <v>465</v>
      </c>
      <c r="G705">
        <v>1</v>
      </c>
      <c r="H705" s="6">
        <v>0.8</v>
      </c>
      <c r="I705">
        <v>1</v>
      </c>
    </row>
    <row r="706" spans="1:9" x14ac:dyDescent="0.2">
      <c r="A706" s="2">
        <v>715</v>
      </c>
      <c r="B706">
        <v>715</v>
      </c>
      <c r="C706">
        <v>62</v>
      </c>
      <c r="D706">
        <f>VLOOKUP(C706,Course!$A$1:$C$229, 2, FALSE)</f>
        <v>0</v>
      </c>
      <c r="E706">
        <v>103</v>
      </c>
      <c r="F706" t="s">
        <v>466</v>
      </c>
      <c r="G706">
        <v>1</v>
      </c>
      <c r="H706" s="6">
        <v>0.8</v>
      </c>
      <c r="I706">
        <v>1</v>
      </c>
    </row>
    <row r="707" spans="1:9" x14ac:dyDescent="0.2">
      <c r="A707" s="2">
        <v>716</v>
      </c>
      <c r="B707">
        <v>716</v>
      </c>
      <c r="C707">
        <v>62</v>
      </c>
      <c r="D707">
        <f>VLOOKUP(C707,Course!$A$1:$C$229, 2, FALSE)</f>
        <v>0</v>
      </c>
      <c r="E707">
        <v>104</v>
      </c>
      <c r="F707" t="s">
        <v>467</v>
      </c>
      <c r="G707">
        <v>1</v>
      </c>
      <c r="H707" s="6">
        <v>0.8</v>
      </c>
      <c r="I707">
        <v>1</v>
      </c>
    </row>
    <row r="708" spans="1:9" x14ac:dyDescent="0.2">
      <c r="A708" s="2">
        <v>717</v>
      </c>
      <c r="B708">
        <v>717</v>
      </c>
      <c r="C708">
        <v>62</v>
      </c>
      <c r="D708">
        <f>VLOOKUP(C708,Course!$A$1:$C$229, 2, FALSE)</f>
        <v>0</v>
      </c>
      <c r="E708">
        <v>105</v>
      </c>
      <c r="F708" t="s">
        <v>468</v>
      </c>
      <c r="G708">
        <v>1</v>
      </c>
      <c r="H708" s="6">
        <v>0.8</v>
      </c>
      <c r="I708">
        <v>1</v>
      </c>
    </row>
    <row r="709" spans="1:9" x14ac:dyDescent="0.2">
      <c r="A709" s="2">
        <v>718</v>
      </c>
      <c r="B709">
        <v>718</v>
      </c>
      <c r="C709">
        <v>62</v>
      </c>
      <c r="D709">
        <f>VLOOKUP(C709,Course!$A$1:$C$229, 2, FALSE)</f>
        <v>0</v>
      </c>
      <c r="E709">
        <v>106</v>
      </c>
      <c r="F709" t="s">
        <v>469</v>
      </c>
      <c r="G709">
        <v>1</v>
      </c>
      <c r="H709" s="6">
        <v>0.8</v>
      </c>
      <c r="I709">
        <v>1</v>
      </c>
    </row>
    <row r="710" spans="1:9" x14ac:dyDescent="0.2">
      <c r="A710" s="2">
        <v>719</v>
      </c>
      <c r="B710">
        <v>719</v>
      </c>
      <c r="C710">
        <v>62</v>
      </c>
      <c r="D710">
        <f>VLOOKUP(C710,Course!$A$1:$C$229, 2, FALSE)</f>
        <v>0</v>
      </c>
      <c r="E710">
        <v>107</v>
      </c>
      <c r="F710" t="s">
        <v>470</v>
      </c>
      <c r="G710">
        <v>1</v>
      </c>
      <c r="H710" s="6">
        <v>0.8</v>
      </c>
      <c r="I710">
        <v>1</v>
      </c>
    </row>
    <row r="711" spans="1:9" x14ac:dyDescent="0.2">
      <c r="A711" s="2">
        <v>720</v>
      </c>
      <c r="B711">
        <v>720</v>
      </c>
      <c r="C711">
        <v>62</v>
      </c>
      <c r="D711">
        <f>VLOOKUP(C711,Course!$A$1:$C$229, 2, FALSE)</f>
        <v>0</v>
      </c>
      <c r="E711">
        <v>108</v>
      </c>
      <c r="F711" t="s">
        <v>471</v>
      </c>
      <c r="G711">
        <v>1</v>
      </c>
      <c r="H711" s="6">
        <v>0.8</v>
      </c>
      <c r="I711">
        <v>1</v>
      </c>
    </row>
    <row r="712" spans="1:9" x14ac:dyDescent="0.2">
      <c r="A712" s="2">
        <v>721</v>
      </c>
      <c r="B712">
        <v>721</v>
      </c>
      <c r="C712">
        <v>63</v>
      </c>
      <c r="D712">
        <f>VLOOKUP(C712,Course!$A$1:$C$229, 2, FALSE)</f>
        <v>0</v>
      </c>
      <c r="E712">
        <v>97</v>
      </c>
      <c r="F712" t="s">
        <v>1131</v>
      </c>
      <c r="G712">
        <v>1</v>
      </c>
      <c r="H712" s="6">
        <v>0.8</v>
      </c>
      <c r="I712">
        <v>1</v>
      </c>
    </row>
    <row r="713" spans="1:9" x14ac:dyDescent="0.2">
      <c r="A713" s="2">
        <v>722</v>
      </c>
      <c r="B713">
        <v>722</v>
      </c>
      <c r="C713">
        <v>63</v>
      </c>
      <c r="D713">
        <f>VLOOKUP(C713,Course!$A$1:$C$229, 2, FALSE)</f>
        <v>0</v>
      </c>
      <c r="E713">
        <v>98</v>
      </c>
      <c r="F713" t="s">
        <v>1132</v>
      </c>
      <c r="G713">
        <v>1</v>
      </c>
      <c r="H713" s="6">
        <v>0.8</v>
      </c>
      <c r="I713">
        <v>1</v>
      </c>
    </row>
    <row r="714" spans="1:9" x14ac:dyDescent="0.2">
      <c r="A714" s="2">
        <v>723</v>
      </c>
      <c r="B714">
        <v>723</v>
      </c>
      <c r="C714">
        <v>63</v>
      </c>
      <c r="D714">
        <f>VLOOKUP(C714,Course!$A$1:$C$229, 2, FALSE)</f>
        <v>0</v>
      </c>
      <c r="E714">
        <v>99</v>
      </c>
      <c r="F714" t="s">
        <v>1133</v>
      </c>
      <c r="G714">
        <v>1</v>
      </c>
      <c r="H714" s="6">
        <v>0.8</v>
      </c>
      <c r="I714">
        <v>1</v>
      </c>
    </row>
    <row r="715" spans="1:9" x14ac:dyDescent="0.2">
      <c r="A715" s="2">
        <v>724</v>
      </c>
      <c r="B715">
        <v>724</v>
      </c>
      <c r="C715">
        <v>63</v>
      </c>
      <c r="D715">
        <f>VLOOKUP(C715,Course!$A$1:$C$229, 2, FALSE)</f>
        <v>0</v>
      </c>
      <c r="E715">
        <v>100</v>
      </c>
      <c r="F715" t="s">
        <v>1134</v>
      </c>
      <c r="G715">
        <v>1</v>
      </c>
      <c r="H715" s="6">
        <v>0.8</v>
      </c>
      <c r="I715">
        <v>1</v>
      </c>
    </row>
    <row r="716" spans="1:9" x14ac:dyDescent="0.2">
      <c r="A716" s="2">
        <v>725</v>
      </c>
      <c r="B716">
        <v>725</v>
      </c>
      <c r="C716">
        <v>63</v>
      </c>
      <c r="D716">
        <f>VLOOKUP(C716,Course!$A$1:$C$229, 2, FALSE)</f>
        <v>0</v>
      </c>
      <c r="E716">
        <v>101</v>
      </c>
      <c r="F716" t="s">
        <v>1135</v>
      </c>
      <c r="G716">
        <v>1</v>
      </c>
      <c r="H716" s="6">
        <v>0.8</v>
      </c>
      <c r="I716">
        <v>1</v>
      </c>
    </row>
    <row r="717" spans="1:9" x14ac:dyDescent="0.2">
      <c r="A717" s="2">
        <v>726</v>
      </c>
      <c r="B717">
        <v>726</v>
      </c>
      <c r="C717">
        <v>63</v>
      </c>
      <c r="D717">
        <f>VLOOKUP(C717,Course!$A$1:$C$229, 2, FALSE)</f>
        <v>0</v>
      </c>
      <c r="E717">
        <v>102</v>
      </c>
      <c r="F717" t="s">
        <v>1136</v>
      </c>
      <c r="G717">
        <v>1</v>
      </c>
      <c r="H717" s="6">
        <v>0.8</v>
      </c>
      <c r="I717">
        <v>1</v>
      </c>
    </row>
    <row r="718" spans="1:9" x14ac:dyDescent="0.2">
      <c r="A718" s="2">
        <v>727</v>
      </c>
      <c r="B718">
        <v>727</v>
      </c>
      <c r="C718">
        <v>63</v>
      </c>
      <c r="D718">
        <f>VLOOKUP(C718,Course!$A$1:$C$229, 2, FALSE)</f>
        <v>0</v>
      </c>
      <c r="E718">
        <v>103</v>
      </c>
      <c r="F718" t="s">
        <v>1137</v>
      </c>
      <c r="G718">
        <v>1</v>
      </c>
      <c r="H718" s="6">
        <v>0.8</v>
      </c>
      <c r="I718">
        <v>1</v>
      </c>
    </row>
    <row r="719" spans="1:9" x14ac:dyDescent="0.2">
      <c r="A719" s="2">
        <v>728</v>
      </c>
      <c r="B719">
        <v>728</v>
      </c>
      <c r="C719">
        <v>63</v>
      </c>
      <c r="D719">
        <f>VLOOKUP(C719,Course!$A$1:$C$229, 2, FALSE)</f>
        <v>0</v>
      </c>
      <c r="E719">
        <v>104</v>
      </c>
      <c r="F719" t="s">
        <v>1138</v>
      </c>
      <c r="G719">
        <v>1</v>
      </c>
      <c r="H719" s="6">
        <v>0.8</v>
      </c>
      <c r="I719">
        <v>1</v>
      </c>
    </row>
    <row r="720" spans="1:9" x14ac:dyDescent="0.2">
      <c r="A720" s="2">
        <v>729</v>
      </c>
      <c r="B720">
        <v>729</v>
      </c>
      <c r="C720">
        <v>63</v>
      </c>
      <c r="D720">
        <f>VLOOKUP(C720,Course!$A$1:$C$229, 2, FALSE)</f>
        <v>0</v>
      </c>
      <c r="E720">
        <v>105</v>
      </c>
      <c r="F720" t="s">
        <v>1139</v>
      </c>
      <c r="G720">
        <v>1</v>
      </c>
      <c r="H720" s="6">
        <v>0.8</v>
      </c>
      <c r="I720">
        <v>1</v>
      </c>
    </row>
    <row r="721" spans="1:9" x14ac:dyDescent="0.2">
      <c r="A721" s="2">
        <v>730</v>
      </c>
      <c r="B721">
        <v>730</v>
      </c>
      <c r="C721">
        <v>63</v>
      </c>
      <c r="D721">
        <f>VLOOKUP(C721,Course!$A$1:$C$229, 2, FALSE)</f>
        <v>0</v>
      </c>
      <c r="E721">
        <v>106</v>
      </c>
      <c r="F721" t="s">
        <v>1140</v>
      </c>
      <c r="G721">
        <v>1</v>
      </c>
      <c r="H721" s="6">
        <v>0.8</v>
      </c>
      <c r="I721">
        <v>1</v>
      </c>
    </row>
    <row r="722" spans="1:9" x14ac:dyDescent="0.2">
      <c r="A722" s="2">
        <v>731</v>
      </c>
      <c r="B722">
        <v>731</v>
      </c>
      <c r="C722">
        <v>63</v>
      </c>
      <c r="D722">
        <f>VLOOKUP(C722,Course!$A$1:$C$229, 2, FALSE)</f>
        <v>0</v>
      </c>
      <c r="E722">
        <v>107</v>
      </c>
      <c r="F722" t="s">
        <v>1141</v>
      </c>
      <c r="G722">
        <v>1</v>
      </c>
      <c r="H722" s="6">
        <v>0.8</v>
      </c>
      <c r="I722">
        <v>1</v>
      </c>
    </row>
    <row r="723" spans="1:9" x14ac:dyDescent="0.2">
      <c r="A723" s="2">
        <v>732</v>
      </c>
      <c r="B723">
        <v>732</v>
      </c>
      <c r="C723">
        <v>63</v>
      </c>
      <c r="D723">
        <f>VLOOKUP(C723,Course!$A$1:$C$229, 2, FALSE)</f>
        <v>0</v>
      </c>
      <c r="E723">
        <v>108</v>
      </c>
      <c r="F723" t="s">
        <v>1142</v>
      </c>
      <c r="G723">
        <v>1</v>
      </c>
      <c r="H723" s="6">
        <v>0.8</v>
      </c>
      <c r="I723">
        <v>1</v>
      </c>
    </row>
    <row r="724" spans="1:9" x14ac:dyDescent="0.2">
      <c r="A724" s="2">
        <v>733</v>
      </c>
      <c r="B724">
        <v>733</v>
      </c>
      <c r="C724">
        <v>64</v>
      </c>
      <c r="D724">
        <f>VLOOKUP(C724,Course!$A$1:$C$229, 2, FALSE)</f>
        <v>0</v>
      </c>
      <c r="E724">
        <v>1</v>
      </c>
      <c r="F724" t="s">
        <v>1143</v>
      </c>
      <c r="G724">
        <v>1</v>
      </c>
      <c r="H724" s="6">
        <v>0.8</v>
      </c>
      <c r="I724">
        <v>1</v>
      </c>
    </row>
    <row r="725" spans="1:9" x14ac:dyDescent="0.2">
      <c r="A725" s="2">
        <v>734</v>
      </c>
      <c r="B725">
        <v>734</v>
      </c>
      <c r="C725">
        <v>64</v>
      </c>
      <c r="D725">
        <f>VLOOKUP(C725,Course!$A$1:$C$229, 2, FALSE)</f>
        <v>0</v>
      </c>
      <c r="E725">
        <v>2</v>
      </c>
      <c r="F725" t="s">
        <v>1144</v>
      </c>
      <c r="G725">
        <v>1</v>
      </c>
      <c r="H725" s="6">
        <v>0.8</v>
      </c>
      <c r="I725">
        <v>1</v>
      </c>
    </row>
    <row r="726" spans="1:9" x14ac:dyDescent="0.2">
      <c r="A726" s="2">
        <v>735</v>
      </c>
      <c r="B726">
        <v>735</v>
      </c>
      <c r="C726">
        <v>65</v>
      </c>
      <c r="D726">
        <f>VLOOKUP(C726,Course!$A$1:$C$229, 2, FALSE)</f>
        <v>0</v>
      </c>
      <c r="E726">
        <v>1</v>
      </c>
      <c r="F726" t="s">
        <v>1145</v>
      </c>
      <c r="G726">
        <v>1</v>
      </c>
      <c r="H726" s="6">
        <v>0.8</v>
      </c>
      <c r="I726">
        <v>1</v>
      </c>
    </row>
    <row r="727" spans="1:9" x14ac:dyDescent="0.2">
      <c r="A727" s="2">
        <v>736</v>
      </c>
      <c r="B727">
        <v>736</v>
      </c>
      <c r="C727">
        <v>65</v>
      </c>
      <c r="D727">
        <f>VLOOKUP(C727,Course!$A$1:$C$229, 2, FALSE)</f>
        <v>0</v>
      </c>
      <c r="E727">
        <v>2</v>
      </c>
      <c r="F727" t="s">
        <v>1146</v>
      </c>
      <c r="G727">
        <v>1</v>
      </c>
      <c r="H727" s="6">
        <v>0.8</v>
      </c>
      <c r="I727">
        <v>1</v>
      </c>
    </row>
    <row r="728" spans="1:9" x14ac:dyDescent="0.2">
      <c r="A728" s="2">
        <v>737</v>
      </c>
      <c r="B728">
        <v>737</v>
      </c>
      <c r="C728">
        <v>65</v>
      </c>
      <c r="D728">
        <f>VLOOKUP(C728,Course!$A$1:$C$229, 2, FALSE)</f>
        <v>0</v>
      </c>
      <c r="E728">
        <v>3</v>
      </c>
      <c r="F728" t="s">
        <v>1147</v>
      </c>
      <c r="G728">
        <v>1</v>
      </c>
      <c r="H728" s="6">
        <v>0.8</v>
      </c>
      <c r="I728">
        <v>1</v>
      </c>
    </row>
    <row r="729" spans="1:9" x14ac:dyDescent="0.2">
      <c r="A729" s="2">
        <v>738</v>
      </c>
      <c r="B729">
        <v>738</v>
      </c>
      <c r="C729">
        <v>65</v>
      </c>
      <c r="D729">
        <f>VLOOKUP(C729,Course!$A$1:$C$229, 2, FALSE)</f>
        <v>0</v>
      </c>
      <c r="E729">
        <v>4</v>
      </c>
      <c r="F729" t="s">
        <v>1148</v>
      </c>
      <c r="G729">
        <v>1</v>
      </c>
      <c r="H729" s="6">
        <v>0.8</v>
      </c>
      <c r="I729">
        <v>1</v>
      </c>
    </row>
    <row r="730" spans="1:9" x14ac:dyDescent="0.2">
      <c r="A730" s="2">
        <v>739</v>
      </c>
      <c r="B730">
        <v>739</v>
      </c>
      <c r="C730">
        <v>65</v>
      </c>
      <c r="D730">
        <f>VLOOKUP(C730,Course!$A$1:$C$229, 2, FALSE)</f>
        <v>0</v>
      </c>
      <c r="E730">
        <v>5</v>
      </c>
      <c r="F730" t="s">
        <v>1149</v>
      </c>
      <c r="G730">
        <v>1</v>
      </c>
      <c r="H730" s="6">
        <v>0.8</v>
      </c>
      <c r="I730">
        <v>1</v>
      </c>
    </row>
    <row r="731" spans="1:9" x14ac:dyDescent="0.2">
      <c r="A731" s="2">
        <v>740</v>
      </c>
      <c r="B731">
        <v>740</v>
      </c>
      <c r="C731">
        <v>65</v>
      </c>
      <c r="D731">
        <f>VLOOKUP(C731,Course!$A$1:$C$229, 2, FALSE)</f>
        <v>0</v>
      </c>
      <c r="E731">
        <v>6</v>
      </c>
      <c r="F731" t="s">
        <v>1150</v>
      </c>
      <c r="G731">
        <v>1</v>
      </c>
      <c r="H731" s="6">
        <v>0.8</v>
      </c>
      <c r="I731">
        <v>1</v>
      </c>
    </row>
    <row r="732" spans="1:9" x14ac:dyDescent="0.2">
      <c r="A732" s="2">
        <v>741</v>
      </c>
      <c r="B732">
        <v>741</v>
      </c>
      <c r="C732">
        <v>65</v>
      </c>
      <c r="D732">
        <f>VLOOKUP(C732,Course!$A$1:$C$229, 2, FALSE)</f>
        <v>0</v>
      </c>
      <c r="E732">
        <v>7</v>
      </c>
      <c r="F732" t="s">
        <v>1151</v>
      </c>
      <c r="G732">
        <v>1</v>
      </c>
      <c r="H732" s="6">
        <v>0.8</v>
      </c>
      <c r="I732">
        <v>1</v>
      </c>
    </row>
    <row r="733" spans="1:9" x14ac:dyDescent="0.2">
      <c r="A733" s="2">
        <v>742</v>
      </c>
      <c r="B733">
        <v>742</v>
      </c>
      <c r="C733">
        <v>65</v>
      </c>
      <c r="D733">
        <f>VLOOKUP(C733,Course!$A$1:$C$229, 2, FALSE)</f>
        <v>0</v>
      </c>
      <c r="E733">
        <v>8</v>
      </c>
      <c r="F733" t="s">
        <v>1152</v>
      </c>
      <c r="G733">
        <v>1</v>
      </c>
      <c r="H733" s="6">
        <v>0.8</v>
      </c>
      <c r="I733">
        <v>1</v>
      </c>
    </row>
    <row r="734" spans="1:9" x14ac:dyDescent="0.2">
      <c r="A734" s="2">
        <v>743</v>
      </c>
      <c r="B734">
        <v>743</v>
      </c>
      <c r="C734">
        <v>65</v>
      </c>
      <c r="D734">
        <f>VLOOKUP(C734,Course!$A$1:$C$229, 2, FALSE)</f>
        <v>0</v>
      </c>
      <c r="E734">
        <v>9</v>
      </c>
      <c r="F734" t="s">
        <v>1153</v>
      </c>
      <c r="G734">
        <v>1</v>
      </c>
      <c r="H734" s="6">
        <v>0.8</v>
      </c>
      <c r="I734">
        <v>1</v>
      </c>
    </row>
    <row r="735" spans="1:9" x14ac:dyDescent="0.2">
      <c r="A735" s="2">
        <v>744</v>
      </c>
      <c r="B735">
        <v>744</v>
      </c>
      <c r="C735">
        <v>65</v>
      </c>
      <c r="D735">
        <f>VLOOKUP(C735,Course!$A$1:$C$229, 2, FALSE)</f>
        <v>0</v>
      </c>
      <c r="E735">
        <v>10</v>
      </c>
      <c r="F735" t="s">
        <v>1154</v>
      </c>
      <c r="G735">
        <v>1</v>
      </c>
      <c r="H735" s="6">
        <v>0.8</v>
      </c>
      <c r="I735">
        <v>1</v>
      </c>
    </row>
    <row r="736" spans="1:9" x14ac:dyDescent="0.2">
      <c r="A736" s="2">
        <v>745</v>
      </c>
      <c r="B736">
        <v>745</v>
      </c>
      <c r="C736">
        <v>65</v>
      </c>
      <c r="D736">
        <f>VLOOKUP(C736,Course!$A$1:$C$229, 2, FALSE)</f>
        <v>0</v>
      </c>
      <c r="E736">
        <v>11</v>
      </c>
      <c r="F736" t="s">
        <v>1155</v>
      </c>
      <c r="G736">
        <v>1</v>
      </c>
      <c r="H736" s="6">
        <v>0.8</v>
      </c>
      <c r="I736">
        <v>1</v>
      </c>
    </row>
    <row r="737" spans="1:9" x14ac:dyDescent="0.2">
      <c r="A737" s="2">
        <v>746</v>
      </c>
      <c r="B737">
        <v>746</v>
      </c>
      <c r="C737">
        <v>65</v>
      </c>
      <c r="D737">
        <f>VLOOKUP(C737,Course!$A$1:$C$229, 2, FALSE)</f>
        <v>0</v>
      </c>
      <c r="E737">
        <v>12</v>
      </c>
      <c r="F737" t="s">
        <v>1156</v>
      </c>
      <c r="G737">
        <v>1</v>
      </c>
      <c r="H737" s="6">
        <v>0.8</v>
      </c>
      <c r="I737">
        <v>1</v>
      </c>
    </row>
    <row r="738" spans="1:9" x14ac:dyDescent="0.2">
      <c r="A738" s="2">
        <v>747</v>
      </c>
      <c r="B738">
        <v>747</v>
      </c>
      <c r="C738">
        <v>66</v>
      </c>
      <c r="D738">
        <f>VLOOKUP(C738,Course!$A$1:$C$229, 2, FALSE)</f>
        <v>0</v>
      </c>
      <c r="E738">
        <v>97</v>
      </c>
      <c r="F738" t="s">
        <v>1157</v>
      </c>
      <c r="G738">
        <v>1</v>
      </c>
      <c r="H738" s="6">
        <v>0.8</v>
      </c>
      <c r="I738">
        <v>1</v>
      </c>
    </row>
    <row r="739" spans="1:9" x14ac:dyDescent="0.2">
      <c r="A739" s="2">
        <v>748</v>
      </c>
      <c r="B739">
        <v>748</v>
      </c>
      <c r="C739">
        <v>66</v>
      </c>
      <c r="D739">
        <f>VLOOKUP(C739,Course!$A$1:$C$229, 2, FALSE)</f>
        <v>0</v>
      </c>
      <c r="E739">
        <v>98</v>
      </c>
      <c r="F739" t="s">
        <v>1158</v>
      </c>
      <c r="G739">
        <v>1</v>
      </c>
      <c r="H739" s="6">
        <v>0.8</v>
      </c>
      <c r="I739">
        <v>1</v>
      </c>
    </row>
    <row r="740" spans="1:9" x14ac:dyDescent="0.2">
      <c r="A740" s="2">
        <v>749</v>
      </c>
      <c r="B740">
        <v>749</v>
      </c>
      <c r="C740">
        <v>66</v>
      </c>
      <c r="D740">
        <f>VLOOKUP(C740,Course!$A$1:$C$229, 2, FALSE)</f>
        <v>0</v>
      </c>
      <c r="E740">
        <v>99</v>
      </c>
      <c r="F740" t="s">
        <v>1159</v>
      </c>
      <c r="G740">
        <v>1</v>
      </c>
      <c r="H740" s="6">
        <v>0.8</v>
      </c>
      <c r="I740">
        <v>1</v>
      </c>
    </row>
    <row r="741" spans="1:9" x14ac:dyDescent="0.2">
      <c r="A741" s="2">
        <v>750</v>
      </c>
      <c r="B741">
        <v>750</v>
      </c>
      <c r="C741">
        <v>66</v>
      </c>
      <c r="D741">
        <f>VLOOKUP(C741,Course!$A$1:$C$229, 2, FALSE)</f>
        <v>0</v>
      </c>
      <c r="E741">
        <v>100</v>
      </c>
      <c r="F741" t="s">
        <v>1160</v>
      </c>
      <c r="G741">
        <v>1</v>
      </c>
      <c r="H741" s="6">
        <v>0.8</v>
      </c>
      <c r="I741">
        <v>1</v>
      </c>
    </row>
    <row r="742" spans="1:9" x14ac:dyDescent="0.2">
      <c r="A742" s="2">
        <v>751</v>
      </c>
      <c r="B742">
        <v>751</v>
      </c>
      <c r="C742">
        <v>66</v>
      </c>
      <c r="D742">
        <f>VLOOKUP(C742,Course!$A$1:$C$229, 2, FALSE)</f>
        <v>0</v>
      </c>
      <c r="E742">
        <v>101</v>
      </c>
      <c r="F742" t="s">
        <v>1161</v>
      </c>
      <c r="G742">
        <v>1</v>
      </c>
      <c r="H742" s="6">
        <v>0.8</v>
      </c>
      <c r="I742">
        <v>1</v>
      </c>
    </row>
    <row r="743" spans="1:9" x14ac:dyDescent="0.2">
      <c r="A743" s="2">
        <v>752</v>
      </c>
      <c r="B743">
        <v>752</v>
      </c>
      <c r="C743">
        <v>66</v>
      </c>
      <c r="D743">
        <f>VLOOKUP(C743,Course!$A$1:$C$229, 2, FALSE)</f>
        <v>0</v>
      </c>
      <c r="E743">
        <v>102</v>
      </c>
      <c r="F743" t="s">
        <v>1162</v>
      </c>
      <c r="G743">
        <v>1</v>
      </c>
      <c r="H743" s="6">
        <v>0.8</v>
      </c>
      <c r="I743">
        <v>1</v>
      </c>
    </row>
    <row r="744" spans="1:9" x14ac:dyDescent="0.2">
      <c r="A744" s="2">
        <v>753</v>
      </c>
      <c r="B744">
        <v>753</v>
      </c>
      <c r="C744">
        <v>66</v>
      </c>
      <c r="D744">
        <f>VLOOKUP(C744,Course!$A$1:$C$229, 2, FALSE)</f>
        <v>0</v>
      </c>
      <c r="E744">
        <v>103</v>
      </c>
      <c r="F744" t="s">
        <v>1163</v>
      </c>
      <c r="G744">
        <v>1</v>
      </c>
      <c r="H744" s="6">
        <v>0.8</v>
      </c>
      <c r="I744">
        <v>1</v>
      </c>
    </row>
    <row r="745" spans="1:9" x14ac:dyDescent="0.2">
      <c r="A745" s="2">
        <v>754</v>
      </c>
      <c r="B745">
        <v>754</v>
      </c>
      <c r="C745">
        <v>66</v>
      </c>
      <c r="D745">
        <f>VLOOKUP(C745,Course!$A$1:$C$229, 2, FALSE)</f>
        <v>0</v>
      </c>
      <c r="E745">
        <v>104</v>
      </c>
      <c r="F745" t="s">
        <v>1164</v>
      </c>
      <c r="G745">
        <v>1</v>
      </c>
      <c r="H745" s="6">
        <v>0.8</v>
      </c>
      <c r="I745">
        <v>1</v>
      </c>
    </row>
    <row r="746" spans="1:9" x14ac:dyDescent="0.2">
      <c r="A746" s="2">
        <v>755</v>
      </c>
      <c r="B746">
        <v>755</v>
      </c>
      <c r="C746">
        <v>66</v>
      </c>
      <c r="D746">
        <f>VLOOKUP(C746,Course!$A$1:$C$229, 2, FALSE)</f>
        <v>0</v>
      </c>
      <c r="E746">
        <v>105</v>
      </c>
      <c r="F746" t="s">
        <v>1165</v>
      </c>
      <c r="G746">
        <v>1</v>
      </c>
      <c r="H746" s="6">
        <v>0.8</v>
      </c>
      <c r="I746">
        <v>1</v>
      </c>
    </row>
    <row r="747" spans="1:9" x14ac:dyDescent="0.2">
      <c r="A747" s="2">
        <v>756</v>
      </c>
      <c r="B747">
        <v>756</v>
      </c>
      <c r="C747">
        <v>66</v>
      </c>
      <c r="D747">
        <f>VLOOKUP(C747,Course!$A$1:$C$229, 2, FALSE)</f>
        <v>0</v>
      </c>
      <c r="E747">
        <v>106</v>
      </c>
      <c r="F747" t="s">
        <v>1166</v>
      </c>
      <c r="G747">
        <v>1</v>
      </c>
      <c r="H747" s="6">
        <v>0.8</v>
      </c>
      <c r="I747">
        <v>1</v>
      </c>
    </row>
    <row r="748" spans="1:9" x14ac:dyDescent="0.2">
      <c r="A748" s="2">
        <v>757</v>
      </c>
      <c r="B748">
        <v>757</v>
      </c>
      <c r="C748">
        <v>66</v>
      </c>
      <c r="D748">
        <f>VLOOKUP(C748,Course!$A$1:$C$229, 2, FALSE)</f>
        <v>0</v>
      </c>
      <c r="E748">
        <v>107</v>
      </c>
      <c r="F748" t="s">
        <v>1167</v>
      </c>
      <c r="G748">
        <v>1</v>
      </c>
      <c r="H748" s="6">
        <v>0.8</v>
      </c>
      <c r="I748">
        <v>1</v>
      </c>
    </row>
    <row r="749" spans="1:9" x14ac:dyDescent="0.2">
      <c r="A749" s="2">
        <v>758</v>
      </c>
      <c r="B749">
        <v>758</v>
      </c>
      <c r="C749">
        <v>66</v>
      </c>
      <c r="D749">
        <f>VLOOKUP(C749,Course!$A$1:$C$229, 2, FALSE)</f>
        <v>0</v>
      </c>
      <c r="E749">
        <v>108</v>
      </c>
      <c r="F749" t="s">
        <v>1168</v>
      </c>
      <c r="G749">
        <v>1</v>
      </c>
      <c r="H749" s="6">
        <v>0.8</v>
      </c>
      <c r="I749">
        <v>1</v>
      </c>
    </row>
    <row r="750" spans="1:9" x14ac:dyDescent="0.2">
      <c r="A750" s="2">
        <v>759</v>
      </c>
      <c r="B750">
        <v>759</v>
      </c>
      <c r="C750">
        <v>67</v>
      </c>
      <c r="D750">
        <f>VLOOKUP(C750,Course!$A$1:$C$229, 2, FALSE)</f>
        <v>0</v>
      </c>
      <c r="E750">
        <v>1</v>
      </c>
      <c r="F750" t="s">
        <v>1169</v>
      </c>
      <c r="G750">
        <v>1</v>
      </c>
      <c r="H750" s="6">
        <v>0.8</v>
      </c>
      <c r="I750">
        <v>1</v>
      </c>
    </row>
    <row r="751" spans="1:9" x14ac:dyDescent="0.2">
      <c r="A751" s="2">
        <v>760</v>
      </c>
      <c r="B751">
        <v>760</v>
      </c>
      <c r="C751">
        <v>67</v>
      </c>
      <c r="D751">
        <f>VLOOKUP(C751,Course!$A$1:$C$229, 2, FALSE)</f>
        <v>0</v>
      </c>
      <c r="E751">
        <v>2</v>
      </c>
      <c r="F751" t="s">
        <v>1170</v>
      </c>
      <c r="G751">
        <v>1</v>
      </c>
      <c r="H751" s="6">
        <v>0.8</v>
      </c>
      <c r="I751">
        <v>1</v>
      </c>
    </row>
    <row r="752" spans="1:9" x14ac:dyDescent="0.2">
      <c r="A752" s="2">
        <v>761</v>
      </c>
      <c r="B752">
        <v>761</v>
      </c>
      <c r="C752">
        <v>67</v>
      </c>
      <c r="D752">
        <f>VLOOKUP(C752,Course!$A$1:$C$229, 2, FALSE)</f>
        <v>0</v>
      </c>
      <c r="E752">
        <v>3</v>
      </c>
      <c r="F752" t="s">
        <v>1171</v>
      </c>
      <c r="G752">
        <v>1</v>
      </c>
      <c r="H752" s="6">
        <v>0.8</v>
      </c>
      <c r="I752">
        <v>1</v>
      </c>
    </row>
    <row r="753" spans="1:9" x14ac:dyDescent="0.2">
      <c r="A753" s="2">
        <v>762</v>
      </c>
      <c r="B753">
        <v>762</v>
      </c>
      <c r="C753">
        <v>67</v>
      </c>
      <c r="D753">
        <f>VLOOKUP(C753,Course!$A$1:$C$229, 2, FALSE)</f>
        <v>0</v>
      </c>
      <c r="E753">
        <v>4</v>
      </c>
      <c r="F753" t="s">
        <v>1172</v>
      </c>
      <c r="G753">
        <v>1</v>
      </c>
      <c r="H753" s="6">
        <v>0.8</v>
      </c>
      <c r="I753">
        <v>1</v>
      </c>
    </row>
    <row r="754" spans="1:9" x14ac:dyDescent="0.2">
      <c r="A754" s="2">
        <v>763</v>
      </c>
      <c r="B754">
        <v>763</v>
      </c>
      <c r="C754">
        <v>67</v>
      </c>
      <c r="D754">
        <f>VLOOKUP(C754,Course!$A$1:$C$229, 2, FALSE)</f>
        <v>0</v>
      </c>
      <c r="E754">
        <v>5</v>
      </c>
      <c r="F754" t="s">
        <v>1173</v>
      </c>
      <c r="G754">
        <v>1</v>
      </c>
      <c r="H754" s="6">
        <v>0.8</v>
      </c>
      <c r="I754">
        <v>1</v>
      </c>
    </row>
    <row r="755" spans="1:9" x14ac:dyDescent="0.2">
      <c r="A755" s="2">
        <v>764</v>
      </c>
      <c r="B755">
        <v>764</v>
      </c>
      <c r="C755">
        <v>67</v>
      </c>
      <c r="D755">
        <f>VLOOKUP(C755,Course!$A$1:$C$229, 2, FALSE)</f>
        <v>0</v>
      </c>
      <c r="E755">
        <v>6</v>
      </c>
      <c r="F755" t="s">
        <v>1174</v>
      </c>
      <c r="G755">
        <v>1</v>
      </c>
      <c r="H755" s="6">
        <v>0.8</v>
      </c>
      <c r="I755">
        <v>1</v>
      </c>
    </row>
    <row r="756" spans="1:9" x14ac:dyDescent="0.2">
      <c r="A756" s="2">
        <v>765</v>
      </c>
      <c r="B756">
        <v>765</v>
      </c>
      <c r="C756">
        <v>67</v>
      </c>
      <c r="D756">
        <f>VLOOKUP(C756,Course!$A$1:$C$229, 2, FALSE)</f>
        <v>0</v>
      </c>
      <c r="E756">
        <v>7</v>
      </c>
      <c r="F756" t="s">
        <v>1175</v>
      </c>
      <c r="G756">
        <v>1</v>
      </c>
      <c r="H756" s="6">
        <v>0.8</v>
      </c>
      <c r="I756">
        <v>1</v>
      </c>
    </row>
    <row r="757" spans="1:9" x14ac:dyDescent="0.2">
      <c r="A757" s="2">
        <v>766</v>
      </c>
      <c r="B757">
        <v>766</v>
      </c>
      <c r="C757">
        <v>67</v>
      </c>
      <c r="D757">
        <f>VLOOKUP(C757,Course!$A$1:$C$229, 2, FALSE)</f>
        <v>0</v>
      </c>
      <c r="E757">
        <v>8</v>
      </c>
      <c r="F757" t="s">
        <v>1176</v>
      </c>
      <c r="G757">
        <v>1</v>
      </c>
      <c r="H757" s="6">
        <v>0.8</v>
      </c>
      <c r="I757">
        <v>1</v>
      </c>
    </row>
    <row r="758" spans="1:9" x14ac:dyDescent="0.2">
      <c r="A758" s="2">
        <v>767</v>
      </c>
      <c r="B758">
        <v>767</v>
      </c>
      <c r="C758">
        <v>67</v>
      </c>
      <c r="D758">
        <f>VLOOKUP(C758,Course!$A$1:$C$229, 2, FALSE)</f>
        <v>0</v>
      </c>
      <c r="E758">
        <v>9</v>
      </c>
      <c r="F758" t="s">
        <v>1177</v>
      </c>
      <c r="G758">
        <v>1</v>
      </c>
      <c r="H758" s="6">
        <v>0.8</v>
      </c>
      <c r="I758">
        <v>1</v>
      </c>
    </row>
    <row r="759" spans="1:9" x14ac:dyDescent="0.2">
      <c r="A759" s="2">
        <v>768</v>
      </c>
      <c r="B759">
        <v>768</v>
      </c>
      <c r="C759">
        <v>67</v>
      </c>
      <c r="D759">
        <f>VLOOKUP(C759,Course!$A$1:$C$229, 2, FALSE)</f>
        <v>0</v>
      </c>
      <c r="E759">
        <v>10</v>
      </c>
      <c r="F759" t="s">
        <v>1178</v>
      </c>
      <c r="G759">
        <v>1</v>
      </c>
      <c r="H759" s="6">
        <v>0.8</v>
      </c>
      <c r="I759">
        <v>1</v>
      </c>
    </row>
    <row r="760" spans="1:9" x14ac:dyDescent="0.2">
      <c r="A760" s="2">
        <v>769</v>
      </c>
      <c r="B760">
        <v>769</v>
      </c>
      <c r="C760">
        <v>68</v>
      </c>
      <c r="D760">
        <f>VLOOKUP(C760,Course!$A$1:$C$229, 2, FALSE)</f>
        <v>0</v>
      </c>
      <c r="E760">
        <v>97</v>
      </c>
      <c r="F760" t="s">
        <v>1179</v>
      </c>
      <c r="G760">
        <v>1</v>
      </c>
      <c r="H760" s="6">
        <v>0.9</v>
      </c>
      <c r="I760">
        <v>1</v>
      </c>
    </row>
    <row r="761" spans="1:9" x14ac:dyDescent="0.2">
      <c r="A761" s="2">
        <v>770</v>
      </c>
      <c r="B761">
        <v>770</v>
      </c>
      <c r="C761">
        <v>68</v>
      </c>
      <c r="D761">
        <f>VLOOKUP(C761,Course!$A$1:$C$229, 2, FALSE)</f>
        <v>0</v>
      </c>
      <c r="E761">
        <v>98</v>
      </c>
      <c r="F761" t="s">
        <v>1180</v>
      </c>
      <c r="G761">
        <v>1</v>
      </c>
      <c r="H761" s="6">
        <v>0.9</v>
      </c>
      <c r="I761">
        <v>1</v>
      </c>
    </row>
    <row r="762" spans="1:9" x14ac:dyDescent="0.2">
      <c r="A762" s="2">
        <v>771</v>
      </c>
      <c r="B762">
        <v>771</v>
      </c>
      <c r="C762">
        <v>68</v>
      </c>
      <c r="D762">
        <f>VLOOKUP(C762,Course!$A$1:$C$229, 2, FALSE)</f>
        <v>0</v>
      </c>
      <c r="E762">
        <v>99</v>
      </c>
      <c r="F762" t="s">
        <v>1181</v>
      </c>
      <c r="G762">
        <v>1</v>
      </c>
      <c r="H762" s="6">
        <v>0.9</v>
      </c>
      <c r="I762">
        <v>1</v>
      </c>
    </row>
    <row r="763" spans="1:9" x14ac:dyDescent="0.2">
      <c r="A763" s="2">
        <v>772</v>
      </c>
      <c r="B763">
        <v>772</v>
      </c>
      <c r="C763">
        <v>68</v>
      </c>
      <c r="D763">
        <f>VLOOKUP(C763,Course!$A$1:$C$229, 2, FALSE)</f>
        <v>0</v>
      </c>
      <c r="E763">
        <v>100</v>
      </c>
      <c r="F763" t="s">
        <v>1182</v>
      </c>
      <c r="G763">
        <v>1</v>
      </c>
      <c r="H763" s="6">
        <v>0.9</v>
      </c>
      <c r="I763">
        <v>1</v>
      </c>
    </row>
    <row r="764" spans="1:9" x14ac:dyDescent="0.2">
      <c r="A764" s="2">
        <v>773</v>
      </c>
      <c r="B764">
        <v>773</v>
      </c>
      <c r="C764">
        <v>68</v>
      </c>
      <c r="D764">
        <f>VLOOKUP(C764,Course!$A$1:$C$229, 2, FALSE)</f>
        <v>0</v>
      </c>
      <c r="E764">
        <v>101</v>
      </c>
      <c r="F764" t="s">
        <v>1183</v>
      </c>
      <c r="G764">
        <v>1</v>
      </c>
      <c r="H764" s="6">
        <v>0.9</v>
      </c>
      <c r="I764">
        <v>1</v>
      </c>
    </row>
    <row r="765" spans="1:9" x14ac:dyDescent="0.2">
      <c r="A765" s="2">
        <v>774</v>
      </c>
      <c r="B765">
        <v>774</v>
      </c>
      <c r="C765">
        <v>68</v>
      </c>
      <c r="D765">
        <f>VLOOKUP(C765,Course!$A$1:$C$229, 2, FALSE)</f>
        <v>0</v>
      </c>
      <c r="E765">
        <v>102</v>
      </c>
      <c r="F765" t="s">
        <v>1184</v>
      </c>
      <c r="G765">
        <v>1</v>
      </c>
      <c r="H765" s="6">
        <v>0.9</v>
      </c>
      <c r="I765">
        <v>1</v>
      </c>
    </row>
    <row r="766" spans="1:9" x14ac:dyDescent="0.2">
      <c r="A766" s="2">
        <v>775</v>
      </c>
      <c r="B766">
        <v>775</v>
      </c>
      <c r="C766">
        <v>68</v>
      </c>
      <c r="D766">
        <f>VLOOKUP(C766,Course!$A$1:$C$229, 2, FALSE)</f>
        <v>0</v>
      </c>
      <c r="E766">
        <v>103</v>
      </c>
      <c r="F766" t="s">
        <v>1185</v>
      </c>
      <c r="G766">
        <v>1</v>
      </c>
      <c r="H766" s="6">
        <v>0.9</v>
      </c>
      <c r="I766">
        <v>1</v>
      </c>
    </row>
    <row r="767" spans="1:9" x14ac:dyDescent="0.2">
      <c r="A767" s="2">
        <v>776</v>
      </c>
      <c r="B767">
        <v>776</v>
      </c>
      <c r="C767">
        <v>68</v>
      </c>
      <c r="D767">
        <f>VLOOKUP(C767,Course!$A$1:$C$229, 2, FALSE)</f>
        <v>0</v>
      </c>
      <c r="E767">
        <v>104</v>
      </c>
      <c r="F767" t="s">
        <v>1186</v>
      </c>
      <c r="G767">
        <v>1</v>
      </c>
      <c r="H767" s="6">
        <v>0.9</v>
      </c>
      <c r="I767">
        <v>1</v>
      </c>
    </row>
    <row r="768" spans="1:9" x14ac:dyDescent="0.2">
      <c r="A768" s="2">
        <v>777</v>
      </c>
      <c r="B768">
        <v>777</v>
      </c>
      <c r="C768">
        <v>68</v>
      </c>
      <c r="D768">
        <f>VLOOKUP(C768,Course!$A$1:$C$229, 2, FALSE)</f>
        <v>0</v>
      </c>
      <c r="E768">
        <v>105</v>
      </c>
      <c r="F768" t="s">
        <v>1187</v>
      </c>
      <c r="G768">
        <v>1</v>
      </c>
      <c r="H768" s="6">
        <v>0.9</v>
      </c>
      <c r="I768">
        <v>1</v>
      </c>
    </row>
    <row r="769" spans="1:9" x14ac:dyDescent="0.2">
      <c r="A769" s="2">
        <v>778</v>
      </c>
      <c r="B769">
        <v>778</v>
      </c>
      <c r="C769">
        <v>68</v>
      </c>
      <c r="D769">
        <f>VLOOKUP(C769,Course!$A$1:$C$229, 2, FALSE)</f>
        <v>0</v>
      </c>
      <c r="E769">
        <v>106</v>
      </c>
      <c r="F769" t="s">
        <v>1188</v>
      </c>
      <c r="G769">
        <v>1</v>
      </c>
      <c r="H769" s="6">
        <v>0.9</v>
      </c>
      <c r="I769">
        <v>1</v>
      </c>
    </row>
    <row r="770" spans="1:9" x14ac:dyDescent="0.2">
      <c r="A770" s="2">
        <v>779</v>
      </c>
      <c r="B770">
        <v>779</v>
      </c>
      <c r="C770">
        <v>68</v>
      </c>
      <c r="D770">
        <f>VLOOKUP(C770,Course!$A$1:$C$229, 2, FALSE)</f>
        <v>0</v>
      </c>
      <c r="E770">
        <v>107</v>
      </c>
      <c r="F770" t="s">
        <v>1189</v>
      </c>
      <c r="G770">
        <v>1</v>
      </c>
      <c r="H770" s="6">
        <v>0.9</v>
      </c>
      <c r="I770">
        <v>1</v>
      </c>
    </row>
    <row r="771" spans="1:9" x14ac:dyDescent="0.2">
      <c r="A771" s="2">
        <v>780</v>
      </c>
      <c r="B771">
        <v>780</v>
      </c>
      <c r="C771">
        <v>68</v>
      </c>
      <c r="D771">
        <f>VLOOKUP(C771,Course!$A$1:$C$229, 2, FALSE)</f>
        <v>0</v>
      </c>
      <c r="E771">
        <v>108</v>
      </c>
      <c r="F771" t="s">
        <v>1190</v>
      </c>
      <c r="G771">
        <v>1</v>
      </c>
      <c r="H771" s="6">
        <v>0.9</v>
      </c>
      <c r="I771">
        <v>1</v>
      </c>
    </row>
    <row r="772" spans="1:9" x14ac:dyDescent="0.2">
      <c r="A772" s="2">
        <v>781</v>
      </c>
      <c r="B772">
        <v>781</v>
      </c>
      <c r="C772">
        <v>69</v>
      </c>
      <c r="D772">
        <f>VLOOKUP(C772,Course!$A$1:$C$229, 2, FALSE)</f>
        <v>0</v>
      </c>
      <c r="E772">
        <v>1</v>
      </c>
      <c r="F772" t="s">
        <v>1191</v>
      </c>
      <c r="G772">
        <v>1</v>
      </c>
      <c r="H772" s="6">
        <v>0.8</v>
      </c>
      <c r="I772">
        <v>1</v>
      </c>
    </row>
    <row r="773" spans="1:9" x14ac:dyDescent="0.2">
      <c r="A773" s="2">
        <v>782</v>
      </c>
      <c r="B773">
        <v>782</v>
      </c>
      <c r="C773">
        <v>69</v>
      </c>
      <c r="D773">
        <f>VLOOKUP(C773,Course!$A$1:$C$229, 2, FALSE)</f>
        <v>0</v>
      </c>
      <c r="E773">
        <v>2</v>
      </c>
      <c r="F773" t="s">
        <v>1192</v>
      </c>
      <c r="G773">
        <v>1</v>
      </c>
      <c r="H773" s="6">
        <v>0.8</v>
      </c>
      <c r="I773">
        <v>1</v>
      </c>
    </row>
    <row r="774" spans="1:9" x14ac:dyDescent="0.2">
      <c r="A774" s="2">
        <v>783</v>
      </c>
      <c r="B774">
        <v>783</v>
      </c>
      <c r="C774">
        <v>69</v>
      </c>
      <c r="D774">
        <f>VLOOKUP(C774,Course!$A$1:$C$229, 2, FALSE)</f>
        <v>0</v>
      </c>
      <c r="E774">
        <v>3</v>
      </c>
      <c r="F774" t="s">
        <v>1193</v>
      </c>
      <c r="G774">
        <v>1</v>
      </c>
      <c r="H774" s="6">
        <v>0.8</v>
      </c>
      <c r="I774">
        <v>1</v>
      </c>
    </row>
    <row r="775" spans="1:9" x14ac:dyDescent="0.2">
      <c r="A775" s="2">
        <v>784</v>
      </c>
      <c r="B775">
        <v>784</v>
      </c>
      <c r="C775">
        <v>69</v>
      </c>
      <c r="D775">
        <f>VLOOKUP(C775,Course!$A$1:$C$229, 2, FALSE)</f>
        <v>0</v>
      </c>
      <c r="E775">
        <v>4</v>
      </c>
      <c r="F775" t="s">
        <v>1194</v>
      </c>
      <c r="G775">
        <v>1</v>
      </c>
      <c r="H775" s="6">
        <v>0.8</v>
      </c>
      <c r="I775">
        <v>1</v>
      </c>
    </row>
    <row r="776" spans="1:9" x14ac:dyDescent="0.2">
      <c r="A776" s="2">
        <v>785</v>
      </c>
      <c r="B776">
        <v>785</v>
      </c>
      <c r="C776">
        <v>69</v>
      </c>
      <c r="D776">
        <f>VLOOKUP(C776,Course!$A$1:$C$229, 2, FALSE)</f>
        <v>0</v>
      </c>
      <c r="E776">
        <v>5</v>
      </c>
      <c r="F776" t="s">
        <v>1195</v>
      </c>
      <c r="G776">
        <v>1</v>
      </c>
      <c r="H776" s="6">
        <v>0.8</v>
      </c>
      <c r="I776">
        <v>1</v>
      </c>
    </row>
    <row r="777" spans="1:9" x14ac:dyDescent="0.2">
      <c r="A777" s="2">
        <v>786</v>
      </c>
      <c r="B777">
        <v>786</v>
      </c>
      <c r="C777">
        <v>69</v>
      </c>
      <c r="D777">
        <f>VLOOKUP(C777,Course!$A$1:$C$229, 2, FALSE)</f>
        <v>0</v>
      </c>
      <c r="E777">
        <v>6</v>
      </c>
      <c r="F777" t="s">
        <v>1196</v>
      </c>
      <c r="G777">
        <v>1</v>
      </c>
      <c r="H777" s="6">
        <v>0.8</v>
      </c>
      <c r="I777">
        <v>1</v>
      </c>
    </row>
    <row r="778" spans="1:9" x14ac:dyDescent="0.2">
      <c r="A778" s="2">
        <v>787</v>
      </c>
      <c r="B778">
        <v>787</v>
      </c>
      <c r="C778">
        <v>70</v>
      </c>
      <c r="D778">
        <f>VLOOKUP(C778,Course!$A$1:$C$229, 2, FALSE)</f>
        <v>0</v>
      </c>
      <c r="E778">
        <v>5</v>
      </c>
      <c r="F778" t="s">
        <v>1197</v>
      </c>
      <c r="G778">
        <v>1</v>
      </c>
      <c r="H778" s="6">
        <v>0.8</v>
      </c>
      <c r="I778">
        <v>1</v>
      </c>
    </row>
    <row r="779" spans="1:9" x14ac:dyDescent="0.2">
      <c r="A779" s="2">
        <v>788</v>
      </c>
      <c r="B779">
        <v>788</v>
      </c>
      <c r="C779">
        <v>70</v>
      </c>
      <c r="D779">
        <f>VLOOKUP(C779,Course!$A$1:$C$229, 2, FALSE)</f>
        <v>0</v>
      </c>
      <c r="E779">
        <v>6</v>
      </c>
      <c r="F779" t="s">
        <v>1198</v>
      </c>
      <c r="G779">
        <v>1</v>
      </c>
      <c r="H779" s="6">
        <v>0.8</v>
      </c>
      <c r="I779">
        <v>1</v>
      </c>
    </row>
    <row r="780" spans="1:9" x14ac:dyDescent="0.2">
      <c r="A780" s="2">
        <v>789</v>
      </c>
      <c r="B780">
        <v>789</v>
      </c>
      <c r="C780">
        <v>71</v>
      </c>
      <c r="D780">
        <f>VLOOKUP(C780,Course!$A$1:$C$229, 2, FALSE)</f>
        <v>0</v>
      </c>
      <c r="E780">
        <v>5</v>
      </c>
      <c r="F780" t="s">
        <v>1197</v>
      </c>
      <c r="G780">
        <v>1</v>
      </c>
      <c r="H780" s="6">
        <v>0.8</v>
      </c>
      <c r="I780">
        <v>1</v>
      </c>
    </row>
    <row r="781" spans="1:9" x14ac:dyDescent="0.2">
      <c r="A781" s="2">
        <v>790</v>
      </c>
      <c r="B781">
        <v>790</v>
      </c>
      <c r="C781">
        <v>71</v>
      </c>
      <c r="D781">
        <f>VLOOKUP(C781,Course!$A$1:$C$229, 2, FALSE)</f>
        <v>0</v>
      </c>
      <c r="E781">
        <v>6</v>
      </c>
      <c r="F781" t="s">
        <v>1198</v>
      </c>
      <c r="G781">
        <v>1</v>
      </c>
      <c r="H781" s="6">
        <v>0.8</v>
      </c>
      <c r="I781">
        <v>1</v>
      </c>
    </row>
    <row r="782" spans="1:9" x14ac:dyDescent="0.2">
      <c r="A782" s="2">
        <v>791</v>
      </c>
      <c r="B782">
        <v>791</v>
      </c>
      <c r="C782">
        <v>72</v>
      </c>
      <c r="D782">
        <f>VLOOKUP(C782,Course!$A$1:$C$229, 2, FALSE)</f>
        <v>0</v>
      </c>
      <c r="E782">
        <v>1</v>
      </c>
      <c r="F782" t="s">
        <v>1199</v>
      </c>
      <c r="G782">
        <v>1</v>
      </c>
      <c r="H782" s="6">
        <v>0.8</v>
      </c>
      <c r="I782">
        <v>1</v>
      </c>
    </row>
    <row r="783" spans="1:9" x14ac:dyDescent="0.2">
      <c r="A783" s="2">
        <v>792</v>
      </c>
      <c r="B783">
        <v>792</v>
      </c>
      <c r="C783">
        <v>72</v>
      </c>
      <c r="D783">
        <f>VLOOKUP(C783,Course!$A$1:$C$229, 2, FALSE)</f>
        <v>0</v>
      </c>
      <c r="E783">
        <v>2</v>
      </c>
      <c r="F783" t="s">
        <v>1200</v>
      </c>
      <c r="G783">
        <v>1</v>
      </c>
      <c r="H783" s="6">
        <v>0.8</v>
      </c>
      <c r="I783">
        <v>1</v>
      </c>
    </row>
    <row r="784" spans="1:9" x14ac:dyDescent="0.2">
      <c r="A784" s="2">
        <v>793</v>
      </c>
      <c r="B784">
        <v>793</v>
      </c>
      <c r="C784">
        <v>72</v>
      </c>
      <c r="D784">
        <f>VLOOKUP(C784,Course!$A$1:$C$229, 2, FALSE)</f>
        <v>0</v>
      </c>
      <c r="E784">
        <v>3</v>
      </c>
      <c r="F784" t="s">
        <v>1201</v>
      </c>
      <c r="G784">
        <v>1</v>
      </c>
      <c r="H784" s="6">
        <v>0.8</v>
      </c>
      <c r="I784">
        <v>1</v>
      </c>
    </row>
    <row r="785" spans="1:9" x14ac:dyDescent="0.2">
      <c r="A785" s="2">
        <v>794</v>
      </c>
      <c r="B785">
        <v>794</v>
      </c>
      <c r="C785">
        <v>72</v>
      </c>
      <c r="D785">
        <f>VLOOKUP(C785,Course!$A$1:$C$229, 2, FALSE)</f>
        <v>0</v>
      </c>
      <c r="E785">
        <v>4</v>
      </c>
      <c r="F785" t="s">
        <v>1202</v>
      </c>
      <c r="G785">
        <v>1</v>
      </c>
      <c r="H785" s="6">
        <v>0.8</v>
      </c>
      <c r="I785">
        <v>1</v>
      </c>
    </row>
    <row r="786" spans="1:9" x14ac:dyDescent="0.2">
      <c r="A786" s="2">
        <v>795</v>
      </c>
      <c r="B786">
        <v>795</v>
      </c>
      <c r="C786">
        <v>72</v>
      </c>
      <c r="D786">
        <f>VLOOKUP(C786,Course!$A$1:$C$229, 2, FALSE)</f>
        <v>0</v>
      </c>
      <c r="E786">
        <v>5</v>
      </c>
      <c r="F786" t="s">
        <v>1203</v>
      </c>
      <c r="G786">
        <v>1</v>
      </c>
      <c r="H786" s="6">
        <v>0.8</v>
      </c>
      <c r="I786">
        <v>1</v>
      </c>
    </row>
    <row r="787" spans="1:9" x14ac:dyDescent="0.2">
      <c r="A787" s="2">
        <v>796</v>
      </c>
      <c r="B787">
        <v>796</v>
      </c>
      <c r="C787">
        <v>72</v>
      </c>
      <c r="D787">
        <f>VLOOKUP(C787,Course!$A$1:$C$229, 2, FALSE)</f>
        <v>0</v>
      </c>
      <c r="E787">
        <v>6</v>
      </c>
      <c r="F787" t="s">
        <v>1204</v>
      </c>
      <c r="G787">
        <v>1</v>
      </c>
      <c r="H787" s="6">
        <v>0.8</v>
      </c>
      <c r="I787">
        <v>1</v>
      </c>
    </row>
    <row r="788" spans="1:9" x14ac:dyDescent="0.2">
      <c r="A788" s="2">
        <v>797</v>
      </c>
      <c r="B788">
        <v>797</v>
      </c>
      <c r="C788">
        <v>73</v>
      </c>
      <c r="D788">
        <f>VLOOKUP(C788,Course!$A$1:$C$229, 2, FALSE)</f>
        <v>0</v>
      </c>
      <c r="E788">
        <v>1</v>
      </c>
      <c r="F788" t="s">
        <v>1205</v>
      </c>
      <c r="G788">
        <v>1</v>
      </c>
      <c r="H788" s="6">
        <v>0.8</v>
      </c>
      <c r="I788">
        <v>1</v>
      </c>
    </row>
    <row r="789" spans="1:9" x14ac:dyDescent="0.2">
      <c r="A789" s="2">
        <v>798</v>
      </c>
      <c r="B789">
        <v>798</v>
      </c>
      <c r="C789">
        <v>73</v>
      </c>
      <c r="D789">
        <f>VLOOKUP(C789,Course!$A$1:$C$229, 2, FALSE)</f>
        <v>0</v>
      </c>
      <c r="E789">
        <v>2</v>
      </c>
      <c r="F789" t="s">
        <v>1206</v>
      </c>
      <c r="G789">
        <v>1</v>
      </c>
      <c r="H789" s="6">
        <v>0.8</v>
      </c>
      <c r="I789">
        <v>1</v>
      </c>
    </row>
    <row r="790" spans="1:9" x14ac:dyDescent="0.2">
      <c r="A790" s="2">
        <v>799</v>
      </c>
      <c r="B790">
        <v>799</v>
      </c>
      <c r="C790">
        <v>73</v>
      </c>
      <c r="D790">
        <f>VLOOKUP(C790,Course!$A$1:$C$229, 2, FALSE)</f>
        <v>0</v>
      </c>
      <c r="E790">
        <v>3</v>
      </c>
      <c r="F790" t="s">
        <v>1207</v>
      </c>
      <c r="G790">
        <v>1</v>
      </c>
      <c r="H790" s="6">
        <v>0.8</v>
      </c>
      <c r="I790">
        <v>1</v>
      </c>
    </row>
    <row r="791" spans="1:9" x14ac:dyDescent="0.2">
      <c r="A791" s="2">
        <v>800</v>
      </c>
      <c r="B791">
        <v>800</v>
      </c>
      <c r="C791">
        <v>73</v>
      </c>
      <c r="D791">
        <f>VLOOKUP(C791,Course!$A$1:$C$229, 2, FALSE)</f>
        <v>0</v>
      </c>
      <c r="E791">
        <v>4</v>
      </c>
      <c r="F791" t="s">
        <v>1208</v>
      </c>
      <c r="G791">
        <v>1</v>
      </c>
      <c r="H791" s="6">
        <v>0.8</v>
      </c>
      <c r="I791">
        <v>1</v>
      </c>
    </row>
    <row r="792" spans="1:9" x14ac:dyDescent="0.2">
      <c r="A792" s="2">
        <v>801</v>
      </c>
      <c r="B792">
        <v>801</v>
      </c>
      <c r="C792">
        <v>146</v>
      </c>
      <c r="D792">
        <f>VLOOKUP(C792,Course!$A$1:$C$229, 2, FALSE)</f>
        <v>0</v>
      </c>
      <c r="E792">
        <v>98</v>
      </c>
      <c r="F792" t="s">
        <v>1209</v>
      </c>
      <c r="G792">
        <f t="shared" ref="G792:G797" si="2">1/6</f>
        <v>0.16666666666666666</v>
      </c>
      <c r="H792" s="6">
        <v>0.8</v>
      </c>
      <c r="I792">
        <v>1</v>
      </c>
    </row>
    <row r="793" spans="1:9" x14ac:dyDescent="0.2">
      <c r="A793" s="2">
        <v>803</v>
      </c>
      <c r="B793">
        <v>803</v>
      </c>
      <c r="C793">
        <v>146</v>
      </c>
      <c r="D793">
        <f>VLOOKUP(C793,Course!$A$1:$C$229, 2, FALSE)</f>
        <v>0</v>
      </c>
      <c r="E793">
        <v>100</v>
      </c>
      <c r="F793" t="s">
        <v>1210</v>
      </c>
      <c r="G793">
        <f t="shared" si="2"/>
        <v>0.16666666666666666</v>
      </c>
      <c r="H793" s="6">
        <v>0.8</v>
      </c>
      <c r="I793">
        <v>1</v>
      </c>
    </row>
    <row r="794" spans="1:9" x14ac:dyDescent="0.2">
      <c r="A794" s="2">
        <v>805</v>
      </c>
      <c r="B794">
        <v>805</v>
      </c>
      <c r="C794">
        <v>146</v>
      </c>
      <c r="D794">
        <f>VLOOKUP(C794,Course!$A$1:$C$229, 2, FALSE)</f>
        <v>0</v>
      </c>
      <c r="E794">
        <v>102</v>
      </c>
      <c r="F794" t="s">
        <v>489</v>
      </c>
      <c r="G794">
        <f t="shared" si="2"/>
        <v>0.16666666666666666</v>
      </c>
      <c r="H794" s="6">
        <v>0.8</v>
      </c>
      <c r="I794">
        <v>1</v>
      </c>
    </row>
    <row r="795" spans="1:9" x14ac:dyDescent="0.2">
      <c r="A795" s="2">
        <v>807</v>
      </c>
      <c r="B795">
        <v>807</v>
      </c>
      <c r="C795">
        <v>146</v>
      </c>
      <c r="D795">
        <f>VLOOKUP(C795,Course!$A$1:$C$229, 2, FALSE)</f>
        <v>0</v>
      </c>
      <c r="E795">
        <v>104</v>
      </c>
      <c r="F795" t="s">
        <v>491</v>
      </c>
      <c r="G795">
        <f t="shared" si="2"/>
        <v>0.16666666666666666</v>
      </c>
      <c r="H795" s="6">
        <v>0.8</v>
      </c>
      <c r="I795">
        <v>1</v>
      </c>
    </row>
    <row r="796" spans="1:9" x14ac:dyDescent="0.2">
      <c r="A796" s="2">
        <v>809</v>
      </c>
      <c r="B796">
        <v>809</v>
      </c>
      <c r="C796">
        <v>146</v>
      </c>
      <c r="D796">
        <f>VLOOKUP(C796,Course!$A$1:$C$229, 2, FALSE)</f>
        <v>0</v>
      </c>
      <c r="E796">
        <v>106</v>
      </c>
      <c r="F796" t="s">
        <v>493</v>
      </c>
      <c r="G796">
        <f t="shared" si="2"/>
        <v>0.16666666666666666</v>
      </c>
      <c r="H796" s="6">
        <v>0.8</v>
      </c>
      <c r="I796">
        <v>1</v>
      </c>
    </row>
    <row r="797" spans="1:9" x14ac:dyDescent="0.2">
      <c r="A797" s="2">
        <v>811</v>
      </c>
      <c r="B797">
        <v>811</v>
      </c>
      <c r="C797">
        <v>146</v>
      </c>
      <c r="D797">
        <f>VLOOKUP(C797,Course!$A$1:$C$229, 2, FALSE)</f>
        <v>0</v>
      </c>
      <c r="E797">
        <v>108</v>
      </c>
      <c r="F797" t="s">
        <v>495</v>
      </c>
      <c r="G797">
        <f t="shared" si="2"/>
        <v>0.16666666666666666</v>
      </c>
      <c r="H797" s="6">
        <v>0.8</v>
      </c>
      <c r="I797">
        <v>1</v>
      </c>
    </row>
    <row r="798" spans="1:9" x14ac:dyDescent="0.2">
      <c r="A798" s="2">
        <v>812</v>
      </c>
      <c r="B798">
        <v>812</v>
      </c>
      <c r="C798">
        <v>74</v>
      </c>
      <c r="D798">
        <f>VLOOKUP(C798,Course!$A$1:$C$229, 2, FALSE)</f>
        <v>0</v>
      </c>
      <c r="E798">
        <v>1</v>
      </c>
      <c r="F798" t="s">
        <v>1211</v>
      </c>
      <c r="G798">
        <v>0.2</v>
      </c>
      <c r="H798" s="6">
        <v>0.8</v>
      </c>
      <c r="I798">
        <v>1</v>
      </c>
    </row>
    <row r="799" spans="1:9" x14ac:dyDescent="0.2">
      <c r="A799" s="2">
        <v>813</v>
      </c>
      <c r="B799">
        <v>813</v>
      </c>
      <c r="C799">
        <v>74</v>
      </c>
      <c r="D799">
        <f>VLOOKUP(C799,Course!$A$1:$C$229, 2, FALSE)</f>
        <v>0</v>
      </c>
      <c r="E799">
        <v>2</v>
      </c>
      <c r="F799" t="s">
        <v>1212</v>
      </c>
      <c r="G799">
        <v>0.2</v>
      </c>
      <c r="H799" s="6">
        <v>0.8</v>
      </c>
      <c r="I799">
        <v>1</v>
      </c>
    </row>
    <row r="800" spans="1:9" x14ac:dyDescent="0.2">
      <c r="A800" s="2">
        <v>814</v>
      </c>
      <c r="B800">
        <v>814</v>
      </c>
      <c r="C800">
        <v>74</v>
      </c>
      <c r="D800">
        <f>VLOOKUP(C800,Course!$A$1:$C$229, 2, FALSE)</f>
        <v>0</v>
      </c>
      <c r="E800">
        <v>3</v>
      </c>
      <c r="F800" t="s">
        <v>1213</v>
      </c>
      <c r="G800">
        <v>0.2</v>
      </c>
      <c r="H800" s="6">
        <v>0.8</v>
      </c>
      <c r="I800">
        <v>1</v>
      </c>
    </row>
    <row r="801" spans="1:9" x14ac:dyDescent="0.2">
      <c r="A801" s="2">
        <v>815</v>
      </c>
      <c r="B801">
        <v>815</v>
      </c>
      <c r="C801">
        <v>74</v>
      </c>
      <c r="D801">
        <f>VLOOKUP(C801,Course!$A$1:$C$229, 2, FALSE)</f>
        <v>0</v>
      </c>
      <c r="E801">
        <v>4</v>
      </c>
      <c r="F801" t="s">
        <v>1214</v>
      </c>
      <c r="G801">
        <v>0.2</v>
      </c>
      <c r="H801" s="6">
        <v>0.8</v>
      </c>
      <c r="I801">
        <v>1</v>
      </c>
    </row>
    <row r="802" spans="1:9" x14ac:dyDescent="0.2">
      <c r="A802" s="2">
        <v>816</v>
      </c>
      <c r="B802">
        <v>816</v>
      </c>
      <c r="C802">
        <v>74</v>
      </c>
      <c r="D802">
        <f>VLOOKUP(C802,Course!$A$1:$C$229, 2, FALSE)</f>
        <v>0</v>
      </c>
      <c r="E802">
        <v>5</v>
      </c>
      <c r="F802" t="s">
        <v>1215</v>
      </c>
      <c r="G802">
        <v>0.2</v>
      </c>
      <c r="H802" s="6">
        <v>0.8</v>
      </c>
      <c r="I802">
        <v>1</v>
      </c>
    </row>
    <row r="803" spans="1:9" x14ac:dyDescent="0.2">
      <c r="A803" s="2">
        <v>817</v>
      </c>
      <c r="B803">
        <v>817</v>
      </c>
      <c r="C803">
        <v>75</v>
      </c>
      <c r="D803">
        <f>VLOOKUP(C803,Course!$A$1:$C$229, 2, FALSE)</f>
        <v>0</v>
      </c>
      <c r="E803">
        <v>97</v>
      </c>
      <c r="F803" t="s">
        <v>1216</v>
      </c>
      <c r="G803">
        <f>1/12</f>
        <v>8.3333333333333329E-2</v>
      </c>
      <c r="H803" s="6">
        <v>0.8</v>
      </c>
      <c r="I803">
        <v>1</v>
      </c>
    </row>
    <row r="804" spans="1:9" x14ac:dyDescent="0.2">
      <c r="A804" s="2">
        <v>818</v>
      </c>
      <c r="B804">
        <v>818</v>
      </c>
      <c r="C804">
        <v>75</v>
      </c>
      <c r="D804">
        <f>VLOOKUP(C804,Course!$A$1:$C$229, 2, FALSE)</f>
        <v>0</v>
      </c>
      <c r="E804">
        <v>98</v>
      </c>
      <c r="F804" t="s">
        <v>1217</v>
      </c>
      <c r="G804">
        <f t="shared" ref="G804:G814" si="3">1/12</f>
        <v>8.3333333333333329E-2</v>
      </c>
      <c r="H804" s="6">
        <v>0.8</v>
      </c>
      <c r="I804">
        <v>1</v>
      </c>
    </row>
    <row r="805" spans="1:9" x14ac:dyDescent="0.2">
      <c r="A805" s="2">
        <v>819</v>
      </c>
      <c r="B805">
        <v>819</v>
      </c>
      <c r="C805">
        <v>75</v>
      </c>
      <c r="D805">
        <f>VLOOKUP(C805,Course!$A$1:$C$229, 2, FALSE)</f>
        <v>0</v>
      </c>
      <c r="E805">
        <v>99</v>
      </c>
      <c r="F805" t="s">
        <v>1218</v>
      </c>
      <c r="G805">
        <f t="shared" si="3"/>
        <v>8.3333333333333329E-2</v>
      </c>
      <c r="H805" s="6">
        <v>0.8</v>
      </c>
      <c r="I805">
        <v>1</v>
      </c>
    </row>
    <row r="806" spans="1:9" x14ac:dyDescent="0.2">
      <c r="A806" s="2">
        <v>820</v>
      </c>
      <c r="B806">
        <v>820</v>
      </c>
      <c r="C806">
        <v>75</v>
      </c>
      <c r="D806">
        <f>VLOOKUP(C806,Course!$A$1:$C$229, 2, FALSE)</f>
        <v>0</v>
      </c>
      <c r="E806">
        <v>100</v>
      </c>
      <c r="F806" t="s">
        <v>1219</v>
      </c>
      <c r="G806">
        <f t="shared" si="3"/>
        <v>8.3333333333333329E-2</v>
      </c>
      <c r="H806" s="6">
        <v>0.8</v>
      </c>
      <c r="I806">
        <v>1</v>
      </c>
    </row>
    <row r="807" spans="1:9" x14ac:dyDescent="0.2">
      <c r="A807" s="2">
        <v>821</v>
      </c>
      <c r="B807">
        <v>821</v>
      </c>
      <c r="C807">
        <v>75</v>
      </c>
      <c r="D807">
        <f>VLOOKUP(C807,Course!$A$1:$C$229, 2, FALSE)</f>
        <v>0</v>
      </c>
      <c r="E807">
        <v>101</v>
      </c>
      <c r="F807" t="s">
        <v>1220</v>
      </c>
      <c r="G807">
        <f t="shared" si="3"/>
        <v>8.3333333333333329E-2</v>
      </c>
      <c r="H807" s="6">
        <v>0.8</v>
      </c>
      <c r="I807">
        <v>1</v>
      </c>
    </row>
    <row r="808" spans="1:9" x14ac:dyDescent="0.2">
      <c r="A808" s="2">
        <v>822</v>
      </c>
      <c r="B808">
        <v>822</v>
      </c>
      <c r="C808">
        <v>75</v>
      </c>
      <c r="D808">
        <f>VLOOKUP(C808,Course!$A$1:$C$229, 2, FALSE)</f>
        <v>0</v>
      </c>
      <c r="E808">
        <v>102</v>
      </c>
      <c r="F808" t="s">
        <v>1221</v>
      </c>
      <c r="G808">
        <f t="shared" si="3"/>
        <v>8.3333333333333329E-2</v>
      </c>
      <c r="H808" s="6">
        <v>0.8</v>
      </c>
      <c r="I808">
        <v>1</v>
      </c>
    </row>
    <row r="809" spans="1:9" x14ac:dyDescent="0.2">
      <c r="A809" s="2">
        <v>823</v>
      </c>
      <c r="B809">
        <v>823</v>
      </c>
      <c r="C809">
        <v>75</v>
      </c>
      <c r="D809">
        <f>VLOOKUP(C809,Course!$A$1:$C$229, 2, FALSE)</f>
        <v>0</v>
      </c>
      <c r="E809">
        <v>103</v>
      </c>
      <c r="F809" t="s">
        <v>1222</v>
      </c>
      <c r="G809">
        <f t="shared" si="3"/>
        <v>8.3333333333333329E-2</v>
      </c>
      <c r="H809" s="6">
        <v>0.8</v>
      </c>
      <c r="I809">
        <v>1</v>
      </c>
    </row>
    <row r="810" spans="1:9" x14ac:dyDescent="0.2">
      <c r="A810" s="2">
        <v>824</v>
      </c>
      <c r="B810">
        <v>824</v>
      </c>
      <c r="C810">
        <v>75</v>
      </c>
      <c r="D810">
        <f>VLOOKUP(C810,Course!$A$1:$C$229, 2, FALSE)</f>
        <v>0</v>
      </c>
      <c r="E810">
        <v>104</v>
      </c>
      <c r="F810" t="s">
        <v>1223</v>
      </c>
      <c r="G810">
        <f t="shared" si="3"/>
        <v>8.3333333333333329E-2</v>
      </c>
      <c r="H810" s="6">
        <v>0.8</v>
      </c>
      <c r="I810">
        <v>1</v>
      </c>
    </row>
    <row r="811" spans="1:9" x14ac:dyDescent="0.2">
      <c r="A811" s="2">
        <v>825</v>
      </c>
      <c r="B811">
        <v>825</v>
      </c>
      <c r="C811">
        <v>75</v>
      </c>
      <c r="D811">
        <f>VLOOKUP(C811,Course!$A$1:$C$229, 2, FALSE)</f>
        <v>0</v>
      </c>
      <c r="E811">
        <v>105</v>
      </c>
      <c r="F811" t="s">
        <v>1224</v>
      </c>
      <c r="G811">
        <f t="shared" si="3"/>
        <v>8.3333333333333329E-2</v>
      </c>
      <c r="H811" s="6">
        <v>0.8</v>
      </c>
      <c r="I811">
        <v>1</v>
      </c>
    </row>
    <row r="812" spans="1:9" x14ac:dyDescent="0.2">
      <c r="A812" s="2">
        <v>826</v>
      </c>
      <c r="B812">
        <v>826</v>
      </c>
      <c r="C812">
        <v>75</v>
      </c>
      <c r="D812">
        <f>VLOOKUP(C812,Course!$A$1:$C$229, 2, FALSE)</f>
        <v>0</v>
      </c>
      <c r="E812">
        <v>106</v>
      </c>
      <c r="F812" t="s">
        <v>1225</v>
      </c>
      <c r="G812">
        <f t="shared" si="3"/>
        <v>8.3333333333333329E-2</v>
      </c>
      <c r="H812" s="6">
        <v>0.8</v>
      </c>
      <c r="I812">
        <v>1</v>
      </c>
    </row>
    <row r="813" spans="1:9" x14ac:dyDescent="0.2">
      <c r="A813" s="2">
        <v>827</v>
      </c>
      <c r="B813">
        <v>827</v>
      </c>
      <c r="C813">
        <v>75</v>
      </c>
      <c r="D813">
        <f>VLOOKUP(C813,Course!$A$1:$C$229, 2, FALSE)</f>
        <v>0</v>
      </c>
      <c r="E813">
        <v>107</v>
      </c>
      <c r="F813" t="s">
        <v>1226</v>
      </c>
      <c r="G813">
        <f t="shared" si="3"/>
        <v>8.3333333333333329E-2</v>
      </c>
      <c r="H813" s="6">
        <v>0.8</v>
      </c>
      <c r="I813">
        <v>1</v>
      </c>
    </row>
    <row r="814" spans="1:9" x14ac:dyDescent="0.2">
      <c r="A814" s="2">
        <v>828</v>
      </c>
      <c r="B814">
        <v>828</v>
      </c>
      <c r="C814">
        <v>75</v>
      </c>
      <c r="D814">
        <f>VLOOKUP(C814,Course!$A$1:$C$229, 2, FALSE)</f>
        <v>0</v>
      </c>
      <c r="E814">
        <v>108</v>
      </c>
      <c r="F814" t="s">
        <v>1227</v>
      </c>
      <c r="G814">
        <f t="shared" si="3"/>
        <v>8.3333333333333329E-2</v>
      </c>
      <c r="H814" s="6">
        <v>0.8</v>
      </c>
      <c r="I814">
        <v>1</v>
      </c>
    </row>
    <row r="815" spans="1:9" x14ac:dyDescent="0.2">
      <c r="A815" s="2">
        <v>829</v>
      </c>
      <c r="B815">
        <v>829</v>
      </c>
      <c r="C815">
        <v>76</v>
      </c>
      <c r="D815">
        <f>VLOOKUP(C815,Course!$A$1:$C$229, 2, FALSE)</f>
        <v>0</v>
      </c>
      <c r="E815">
        <v>1</v>
      </c>
      <c r="F815" t="s">
        <v>1228</v>
      </c>
      <c r="G815">
        <f>1/6</f>
        <v>0.16666666666666666</v>
      </c>
      <c r="H815" s="6">
        <v>0.8</v>
      </c>
      <c r="I815">
        <v>1</v>
      </c>
    </row>
    <row r="816" spans="1:9" x14ac:dyDescent="0.2">
      <c r="A816" s="2">
        <v>830</v>
      </c>
      <c r="B816">
        <v>830</v>
      </c>
      <c r="C816">
        <v>76</v>
      </c>
      <c r="D816">
        <f>VLOOKUP(C816,Course!$A$1:$C$229, 2, FALSE)</f>
        <v>0</v>
      </c>
      <c r="E816">
        <v>2</v>
      </c>
      <c r="F816" t="s">
        <v>1229</v>
      </c>
      <c r="G816">
        <f t="shared" ref="G816:G820" si="4">1/6</f>
        <v>0.16666666666666666</v>
      </c>
      <c r="H816" s="6">
        <v>0.8</v>
      </c>
      <c r="I816">
        <v>1</v>
      </c>
    </row>
    <row r="817" spans="1:9" x14ac:dyDescent="0.2">
      <c r="A817" s="2">
        <v>831</v>
      </c>
      <c r="B817">
        <v>831</v>
      </c>
      <c r="C817">
        <v>76</v>
      </c>
      <c r="D817">
        <f>VLOOKUP(C817,Course!$A$1:$C$229, 2, FALSE)</f>
        <v>0</v>
      </c>
      <c r="E817">
        <v>3</v>
      </c>
      <c r="F817" t="s">
        <v>1230</v>
      </c>
      <c r="G817">
        <f t="shared" si="4"/>
        <v>0.16666666666666666</v>
      </c>
      <c r="H817" s="6">
        <v>0.8</v>
      </c>
      <c r="I817">
        <v>1</v>
      </c>
    </row>
    <row r="818" spans="1:9" x14ac:dyDescent="0.2">
      <c r="A818" s="2">
        <v>832</v>
      </c>
      <c r="B818">
        <v>832</v>
      </c>
      <c r="C818">
        <v>76</v>
      </c>
      <c r="D818">
        <f>VLOOKUP(C818,Course!$A$1:$C$229, 2, FALSE)</f>
        <v>0</v>
      </c>
      <c r="E818">
        <v>4</v>
      </c>
      <c r="F818" t="s">
        <v>1231</v>
      </c>
      <c r="G818">
        <f t="shared" si="4"/>
        <v>0.16666666666666666</v>
      </c>
      <c r="H818" s="6">
        <v>0.8</v>
      </c>
      <c r="I818">
        <v>1</v>
      </c>
    </row>
    <row r="819" spans="1:9" x14ac:dyDescent="0.2">
      <c r="A819" s="2">
        <v>833</v>
      </c>
      <c r="B819">
        <v>833</v>
      </c>
      <c r="C819">
        <v>76</v>
      </c>
      <c r="D819">
        <f>VLOOKUP(C819,Course!$A$1:$C$229, 2, FALSE)</f>
        <v>0</v>
      </c>
      <c r="E819">
        <v>5</v>
      </c>
      <c r="F819" t="s">
        <v>1232</v>
      </c>
      <c r="G819">
        <f t="shared" si="4"/>
        <v>0.16666666666666666</v>
      </c>
      <c r="H819" s="6">
        <v>0.8</v>
      </c>
      <c r="I819">
        <v>1</v>
      </c>
    </row>
    <row r="820" spans="1:9" x14ac:dyDescent="0.2">
      <c r="A820" s="2">
        <v>834</v>
      </c>
      <c r="B820">
        <v>834</v>
      </c>
      <c r="C820">
        <v>76</v>
      </c>
      <c r="D820">
        <f>VLOOKUP(C820,Course!$A$1:$C$229, 2, FALSE)</f>
        <v>0</v>
      </c>
      <c r="E820">
        <v>6</v>
      </c>
      <c r="F820" t="s">
        <v>1233</v>
      </c>
      <c r="G820">
        <f t="shared" si="4"/>
        <v>0.16666666666666666</v>
      </c>
      <c r="H820" s="6">
        <v>0.8</v>
      </c>
      <c r="I820">
        <v>1</v>
      </c>
    </row>
    <row r="821" spans="1:9" x14ac:dyDescent="0.2">
      <c r="A821" s="2">
        <v>835</v>
      </c>
      <c r="B821">
        <v>835</v>
      </c>
      <c r="C821">
        <v>77</v>
      </c>
      <c r="D821">
        <f>VLOOKUP(C821,Course!$A$1:$C$229, 2, FALSE)</f>
        <v>0</v>
      </c>
      <c r="E821">
        <v>1</v>
      </c>
      <c r="F821" t="s">
        <v>1234</v>
      </c>
      <c r="G821">
        <f>1/6</f>
        <v>0.16666666666666666</v>
      </c>
      <c r="H821" s="6">
        <v>0.8</v>
      </c>
      <c r="I821">
        <v>1</v>
      </c>
    </row>
    <row r="822" spans="1:9" x14ac:dyDescent="0.2">
      <c r="A822" s="2">
        <v>836</v>
      </c>
      <c r="B822">
        <v>836</v>
      </c>
      <c r="C822">
        <v>77</v>
      </c>
      <c r="D822">
        <f>VLOOKUP(C822,Course!$A$1:$C$229, 2, FALSE)</f>
        <v>0</v>
      </c>
      <c r="E822">
        <v>2</v>
      </c>
      <c r="F822" t="s">
        <v>1235</v>
      </c>
      <c r="G822">
        <f t="shared" ref="G822:G826" si="5">1/6</f>
        <v>0.16666666666666666</v>
      </c>
      <c r="H822" s="6">
        <v>0.8</v>
      </c>
      <c r="I822">
        <v>1</v>
      </c>
    </row>
    <row r="823" spans="1:9" x14ac:dyDescent="0.2">
      <c r="A823" s="2">
        <v>837</v>
      </c>
      <c r="B823">
        <v>837</v>
      </c>
      <c r="C823">
        <v>77</v>
      </c>
      <c r="D823">
        <f>VLOOKUP(C823,Course!$A$1:$C$229, 2, FALSE)</f>
        <v>0</v>
      </c>
      <c r="E823">
        <v>3</v>
      </c>
      <c r="F823" t="s">
        <v>1236</v>
      </c>
      <c r="G823">
        <f t="shared" si="5"/>
        <v>0.16666666666666666</v>
      </c>
      <c r="H823" s="6">
        <v>0.8</v>
      </c>
      <c r="I823">
        <v>1</v>
      </c>
    </row>
    <row r="824" spans="1:9" x14ac:dyDescent="0.2">
      <c r="A824" s="2">
        <v>838</v>
      </c>
      <c r="B824">
        <v>838</v>
      </c>
      <c r="C824">
        <v>77</v>
      </c>
      <c r="D824">
        <f>VLOOKUP(C824,Course!$A$1:$C$229, 2, FALSE)</f>
        <v>0</v>
      </c>
      <c r="E824">
        <v>4</v>
      </c>
      <c r="F824" t="s">
        <v>1237</v>
      </c>
      <c r="G824">
        <f t="shared" si="5"/>
        <v>0.16666666666666666</v>
      </c>
      <c r="H824" s="6">
        <v>0.8</v>
      </c>
      <c r="I824">
        <v>1</v>
      </c>
    </row>
    <row r="825" spans="1:9" x14ac:dyDescent="0.2">
      <c r="A825" s="2">
        <v>839</v>
      </c>
      <c r="B825">
        <v>839</v>
      </c>
      <c r="C825">
        <v>77</v>
      </c>
      <c r="D825">
        <f>VLOOKUP(C825,Course!$A$1:$C$229, 2, FALSE)</f>
        <v>0</v>
      </c>
      <c r="E825">
        <v>5</v>
      </c>
      <c r="F825" t="s">
        <v>1238</v>
      </c>
      <c r="G825">
        <f t="shared" si="5"/>
        <v>0.16666666666666666</v>
      </c>
      <c r="H825" s="6">
        <v>0.8</v>
      </c>
      <c r="I825">
        <v>1</v>
      </c>
    </row>
    <row r="826" spans="1:9" x14ac:dyDescent="0.2">
      <c r="A826" s="2">
        <v>840</v>
      </c>
      <c r="B826">
        <v>840</v>
      </c>
      <c r="C826">
        <v>77</v>
      </c>
      <c r="D826">
        <f>VLOOKUP(C826,Course!$A$1:$C$229, 2, FALSE)</f>
        <v>0</v>
      </c>
      <c r="E826">
        <v>6</v>
      </c>
      <c r="F826" t="s">
        <v>1239</v>
      </c>
      <c r="G826">
        <f t="shared" si="5"/>
        <v>0.16666666666666666</v>
      </c>
      <c r="H826" s="6">
        <v>0.8</v>
      </c>
      <c r="I826">
        <v>1</v>
      </c>
    </row>
    <row r="827" spans="1:9" x14ac:dyDescent="0.2">
      <c r="A827" s="2">
        <v>1298</v>
      </c>
      <c r="B827">
        <v>841</v>
      </c>
      <c r="C827">
        <v>78</v>
      </c>
      <c r="D827">
        <f>VLOOKUP(C827,Course!$A$1:$C$229, 2, FALSE)</f>
        <v>0</v>
      </c>
      <c r="E827">
        <v>1</v>
      </c>
      <c r="F827" t="s">
        <v>1240</v>
      </c>
      <c r="G827">
        <f>1/10</f>
        <v>0.1</v>
      </c>
      <c r="H827" s="6">
        <v>0.8</v>
      </c>
      <c r="I827">
        <v>0</v>
      </c>
    </row>
    <row r="828" spans="1:9" x14ac:dyDescent="0.2">
      <c r="A828" s="2">
        <v>1299</v>
      </c>
      <c r="B828">
        <v>842</v>
      </c>
      <c r="C828">
        <v>78</v>
      </c>
      <c r="D828">
        <f>VLOOKUP(C828,Course!$A$1:$C$229, 2, FALSE)</f>
        <v>0</v>
      </c>
      <c r="E828">
        <v>2</v>
      </c>
      <c r="F828" t="s">
        <v>1241</v>
      </c>
      <c r="G828">
        <f t="shared" ref="G828:G836" si="6">1/10</f>
        <v>0.1</v>
      </c>
      <c r="H828" s="6">
        <v>0.8</v>
      </c>
      <c r="I828">
        <v>0</v>
      </c>
    </row>
    <row r="829" spans="1:9" x14ac:dyDescent="0.2">
      <c r="A829" s="2">
        <v>1300</v>
      </c>
      <c r="B829">
        <v>843</v>
      </c>
      <c r="C829">
        <v>78</v>
      </c>
      <c r="D829">
        <f>VLOOKUP(C829,Course!$A$1:$C$229, 2, FALSE)</f>
        <v>0</v>
      </c>
      <c r="E829">
        <v>3</v>
      </c>
      <c r="F829" t="s">
        <v>1242</v>
      </c>
      <c r="G829">
        <f t="shared" si="6"/>
        <v>0.1</v>
      </c>
      <c r="H829" s="6">
        <v>0.8</v>
      </c>
      <c r="I829">
        <v>0</v>
      </c>
    </row>
    <row r="830" spans="1:9" x14ac:dyDescent="0.2">
      <c r="A830" s="2">
        <v>1301</v>
      </c>
      <c r="B830">
        <v>844</v>
      </c>
      <c r="C830">
        <v>78</v>
      </c>
      <c r="D830">
        <f>VLOOKUP(C830,Course!$A$1:$C$229, 2, FALSE)</f>
        <v>0</v>
      </c>
      <c r="E830">
        <v>4</v>
      </c>
      <c r="F830" t="s">
        <v>1243</v>
      </c>
      <c r="G830">
        <f t="shared" si="6"/>
        <v>0.1</v>
      </c>
      <c r="H830" s="6">
        <v>0.8</v>
      </c>
      <c r="I830">
        <v>0</v>
      </c>
    </row>
    <row r="831" spans="1:9" x14ac:dyDescent="0.2">
      <c r="A831" s="2">
        <v>1302</v>
      </c>
      <c r="B831">
        <v>829</v>
      </c>
      <c r="C831">
        <v>78</v>
      </c>
      <c r="D831">
        <f>VLOOKUP(C831,Course!$A$1:$C$229, 2, FALSE)</f>
        <v>0</v>
      </c>
      <c r="E831">
        <v>1</v>
      </c>
      <c r="G831">
        <f t="shared" si="6"/>
        <v>0.1</v>
      </c>
      <c r="H831" s="6">
        <v>0.8</v>
      </c>
      <c r="I831">
        <v>0</v>
      </c>
    </row>
    <row r="832" spans="1:9" x14ac:dyDescent="0.2">
      <c r="A832" s="2">
        <v>1303</v>
      </c>
      <c r="B832">
        <v>830</v>
      </c>
      <c r="C832">
        <v>78</v>
      </c>
      <c r="D832">
        <f>VLOOKUP(C832,Course!$A$1:$C$229, 2, FALSE)</f>
        <v>0</v>
      </c>
      <c r="E832">
        <v>2</v>
      </c>
      <c r="G832">
        <f t="shared" si="6"/>
        <v>0.1</v>
      </c>
      <c r="H832" s="6">
        <v>0.8</v>
      </c>
      <c r="I832">
        <v>0</v>
      </c>
    </row>
    <row r="833" spans="1:9" x14ac:dyDescent="0.2">
      <c r="A833" s="2">
        <v>1304</v>
      </c>
      <c r="B833">
        <v>831</v>
      </c>
      <c r="C833">
        <v>78</v>
      </c>
      <c r="D833">
        <f>VLOOKUP(C833,Course!$A$1:$C$229, 2, FALSE)</f>
        <v>0</v>
      </c>
      <c r="E833">
        <v>3</v>
      </c>
      <c r="G833">
        <f t="shared" si="6"/>
        <v>0.1</v>
      </c>
      <c r="H833" s="6">
        <v>0.8</v>
      </c>
      <c r="I833">
        <v>0</v>
      </c>
    </row>
    <row r="834" spans="1:9" x14ac:dyDescent="0.2">
      <c r="A834" s="2">
        <v>1305</v>
      </c>
      <c r="B834">
        <v>832</v>
      </c>
      <c r="C834">
        <v>78</v>
      </c>
      <c r="D834">
        <f>VLOOKUP(C834,Course!$A$1:$C$229, 2, FALSE)</f>
        <v>0</v>
      </c>
      <c r="E834">
        <v>4</v>
      </c>
      <c r="G834">
        <f t="shared" si="6"/>
        <v>0.1</v>
      </c>
      <c r="H834" s="6">
        <v>0.8</v>
      </c>
      <c r="I834">
        <v>0</v>
      </c>
    </row>
    <row r="835" spans="1:9" x14ac:dyDescent="0.2">
      <c r="A835" s="2">
        <v>1306</v>
      </c>
      <c r="B835">
        <v>833</v>
      </c>
      <c r="C835">
        <v>78</v>
      </c>
      <c r="D835">
        <f>VLOOKUP(C835,Course!$A$1:$C$229, 2, FALSE)</f>
        <v>0</v>
      </c>
      <c r="E835">
        <v>5</v>
      </c>
      <c r="G835">
        <f t="shared" si="6"/>
        <v>0.1</v>
      </c>
      <c r="H835" s="6">
        <v>0.8</v>
      </c>
      <c r="I835">
        <v>0</v>
      </c>
    </row>
    <row r="836" spans="1:9" x14ac:dyDescent="0.2">
      <c r="A836" s="2">
        <v>1307</v>
      </c>
      <c r="B836">
        <v>834</v>
      </c>
      <c r="C836">
        <v>78</v>
      </c>
      <c r="D836">
        <f>VLOOKUP(C836,Course!$A$1:$C$229, 2, FALSE)</f>
        <v>0</v>
      </c>
      <c r="E836">
        <v>6</v>
      </c>
      <c r="G836">
        <f t="shared" si="6"/>
        <v>0.1</v>
      </c>
      <c r="H836" s="6">
        <v>0.8</v>
      </c>
      <c r="I836">
        <v>0</v>
      </c>
    </row>
    <row r="837" spans="1:9" x14ac:dyDescent="0.2">
      <c r="A837" s="2">
        <v>845</v>
      </c>
      <c r="B837">
        <v>845</v>
      </c>
      <c r="C837">
        <v>79</v>
      </c>
      <c r="D837">
        <f>VLOOKUP(C837,Course!$A$1:$C$229, 2, FALSE)</f>
        <v>0</v>
      </c>
      <c r="E837">
        <v>97</v>
      </c>
      <c r="F837" t="s">
        <v>1244</v>
      </c>
      <c r="G837">
        <v>1</v>
      </c>
      <c r="H837" s="6">
        <v>0.8</v>
      </c>
      <c r="I837">
        <v>1</v>
      </c>
    </row>
    <row r="838" spans="1:9" x14ac:dyDescent="0.2">
      <c r="A838" s="2">
        <v>846</v>
      </c>
      <c r="B838">
        <v>846</v>
      </c>
      <c r="C838">
        <v>79</v>
      </c>
      <c r="D838">
        <f>VLOOKUP(C838,Course!$A$1:$C$229, 2, FALSE)</f>
        <v>0</v>
      </c>
      <c r="E838">
        <v>98</v>
      </c>
      <c r="F838" t="s">
        <v>1245</v>
      </c>
      <c r="G838">
        <v>1</v>
      </c>
      <c r="H838" s="6">
        <v>0.8</v>
      </c>
      <c r="I838">
        <v>1</v>
      </c>
    </row>
    <row r="839" spans="1:9" x14ac:dyDescent="0.2">
      <c r="A839" s="2">
        <v>847</v>
      </c>
      <c r="B839">
        <v>847</v>
      </c>
      <c r="C839">
        <v>79</v>
      </c>
      <c r="D839">
        <f>VLOOKUP(C839,Course!$A$1:$C$229, 2, FALSE)</f>
        <v>0</v>
      </c>
      <c r="E839">
        <v>99</v>
      </c>
      <c r="F839" t="s">
        <v>1246</v>
      </c>
      <c r="G839">
        <v>1</v>
      </c>
      <c r="H839" s="6">
        <v>0.8</v>
      </c>
      <c r="I839">
        <v>1</v>
      </c>
    </row>
    <row r="840" spans="1:9" x14ac:dyDescent="0.2">
      <c r="A840" s="2">
        <v>848</v>
      </c>
      <c r="B840">
        <v>848</v>
      </c>
      <c r="C840">
        <v>79</v>
      </c>
      <c r="D840">
        <f>VLOOKUP(C840,Course!$A$1:$C$229, 2, FALSE)</f>
        <v>0</v>
      </c>
      <c r="E840">
        <v>100</v>
      </c>
      <c r="F840" t="s">
        <v>1247</v>
      </c>
      <c r="G840">
        <v>1</v>
      </c>
      <c r="H840" s="6">
        <v>0.8</v>
      </c>
      <c r="I840">
        <v>1</v>
      </c>
    </row>
    <row r="841" spans="1:9" x14ac:dyDescent="0.2">
      <c r="A841" s="2">
        <v>849</v>
      </c>
      <c r="B841">
        <v>849</v>
      </c>
      <c r="C841">
        <v>79</v>
      </c>
      <c r="D841">
        <f>VLOOKUP(C841,Course!$A$1:$C$229, 2, FALSE)</f>
        <v>0</v>
      </c>
      <c r="E841">
        <v>101</v>
      </c>
      <c r="F841" t="s">
        <v>1248</v>
      </c>
      <c r="G841">
        <v>1</v>
      </c>
      <c r="H841" s="6">
        <v>0.8</v>
      </c>
      <c r="I841">
        <v>1</v>
      </c>
    </row>
    <row r="842" spans="1:9" x14ac:dyDescent="0.2">
      <c r="A842" s="2">
        <v>850</v>
      </c>
      <c r="B842">
        <v>850</v>
      </c>
      <c r="C842">
        <v>79</v>
      </c>
      <c r="D842">
        <f>VLOOKUP(C842,Course!$A$1:$C$229, 2, FALSE)</f>
        <v>0</v>
      </c>
      <c r="E842">
        <v>102</v>
      </c>
      <c r="F842" t="s">
        <v>1249</v>
      </c>
      <c r="G842">
        <v>1</v>
      </c>
      <c r="H842" s="6">
        <v>0.8</v>
      </c>
      <c r="I842">
        <v>1</v>
      </c>
    </row>
    <row r="843" spans="1:9" x14ac:dyDescent="0.2">
      <c r="A843" s="2">
        <v>851</v>
      </c>
      <c r="B843">
        <v>851</v>
      </c>
      <c r="C843">
        <v>79</v>
      </c>
      <c r="D843">
        <f>VLOOKUP(C843,Course!$A$1:$C$229, 2, FALSE)</f>
        <v>0</v>
      </c>
      <c r="E843">
        <v>103</v>
      </c>
      <c r="F843" t="s">
        <v>1250</v>
      </c>
      <c r="G843">
        <v>1</v>
      </c>
      <c r="H843" s="6">
        <v>0.8</v>
      </c>
      <c r="I843">
        <v>1</v>
      </c>
    </row>
    <row r="844" spans="1:9" x14ac:dyDescent="0.2">
      <c r="A844" s="2">
        <v>852</v>
      </c>
      <c r="B844">
        <v>852</v>
      </c>
      <c r="C844">
        <v>79</v>
      </c>
      <c r="D844">
        <f>VLOOKUP(C844,Course!$A$1:$C$229, 2, FALSE)</f>
        <v>0</v>
      </c>
      <c r="E844">
        <v>104</v>
      </c>
      <c r="F844" t="s">
        <v>1251</v>
      </c>
      <c r="G844">
        <v>1</v>
      </c>
      <c r="H844" s="6">
        <v>0.8</v>
      </c>
      <c r="I844">
        <v>1</v>
      </c>
    </row>
    <row r="845" spans="1:9" x14ac:dyDescent="0.2">
      <c r="A845" s="2">
        <v>853</v>
      </c>
      <c r="B845">
        <v>853</v>
      </c>
      <c r="C845">
        <v>79</v>
      </c>
      <c r="D845">
        <f>VLOOKUP(C845,Course!$A$1:$C$229, 2, FALSE)</f>
        <v>0</v>
      </c>
      <c r="E845">
        <v>105</v>
      </c>
      <c r="F845" t="s">
        <v>1252</v>
      </c>
      <c r="G845">
        <v>1</v>
      </c>
      <c r="H845" s="6">
        <v>0.8</v>
      </c>
      <c r="I845">
        <v>1</v>
      </c>
    </row>
    <row r="846" spans="1:9" x14ac:dyDescent="0.2">
      <c r="A846" s="2">
        <v>854</v>
      </c>
      <c r="B846">
        <v>854</v>
      </c>
      <c r="C846">
        <v>79</v>
      </c>
      <c r="D846">
        <f>VLOOKUP(C846,Course!$A$1:$C$229, 2, FALSE)</f>
        <v>0</v>
      </c>
      <c r="E846">
        <v>106</v>
      </c>
      <c r="F846" t="s">
        <v>1253</v>
      </c>
      <c r="G846">
        <v>1</v>
      </c>
      <c r="H846" s="6">
        <v>0.8</v>
      </c>
      <c r="I846">
        <v>1</v>
      </c>
    </row>
    <row r="847" spans="1:9" x14ac:dyDescent="0.2">
      <c r="A847" s="2">
        <v>855</v>
      </c>
      <c r="B847">
        <v>855</v>
      </c>
      <c r="C847">
        <v>79</v>
      </c>
      <c r="D847">
        <f>VLOOKUP(C847,Course!$A$1:$C$229, 2, FALSE)</f>
        <v>0</v>
      </c>
      <c r="E847">
        <v>107</v>
      </c>
      <c r="F847" t="s">
        <v>1254</v>
      </c>
      <c r="G847">
        <v>1</v>
      </c>
      <c r="H847" s="6">
        <v>0.8</v>
      </c>
      <c r="I847">
        <v>1</v>
      </c>
    </row>
    <row r="848" spans="1:9" x14ac:dyDescent="0.2">
      <c r="A848" s="2">
        <v>856</v>
      </c>
      <c r="B848">
        <v>856</v>
      </c>
      <c r="C848">
        <v>79</v>
      </c>
      <c r="D848">
        <f>VLOOKUP(C848,Course!$A$1:$C$229, 2, FALSE)</f>
        <v>0</v>
      </c>
      <c r="E848">
        <v>108</v>
      </c>
      <c r="F848" t="s">
        <v>1255</v>
      </c>
      <c r="G848">
        <v>1</v>
      </c>
      <c r="H848" s="6">
        <v>0.8</v>
      </c>
      <c r="I848">
        <v>1</v>
      </c>
    </row>
    <row r="849" spans="1:10" x14ac:dyDescent="0.2">
      <c r="A849" s="2">
        <v>857</v>
      </c>
      <c r="B849">
        <v>857</v>
      </c>
      <c r="C849">
        <v>80</v>
      </c>
      <c r="D849">
        <f>VLOOKUP(C849,Course!$A$1:$C$229, 2, FALSE)</f>
        <v>0</v>
      </c>
      <c r="E849">
        <v>97</v>
      </c>
      <c r="F849" t="s">
        <v>1256</v>
      </c>
      <c r="G849">
        <v>1</v>
      </c>
      <c r="H849" s="6">
        <v>0.8</v>
      </c>
      <c r="I849">
        <v>1</v>
      </c>
    </row>
    <row r="850" spans="1:10" x14ac:dyDescent="0.2">
      <c r="A850" s="2">
        <v>858</v>
      </c>
      <c r="B850">
        <v>858</v>
      </c>
      <c r="C850">
        <v>80</v>
      </c>
      <c r="D850">
        <f>VLOOKUP(C850,Course!$A$1:$C$229, 2, FALSE)</f>
        <v>0</v>
      </c>
      <c r="E850">
        <v>98</v>
      </c>
      <c r="F850" t="s">
        <v>1257</v>
      </c>
      <c r="G850">
        <v>1</v>
      </c>
      <c r="H850" s="6">
        <v>0.8</v>
      </c>
      <c r="I850">
        <v>1</v>
      </c>
    </row>
    <row r="851" spans="1:10" x14ac:dyDescent="0.2">
      <c r="A851" s="2">
        <v>859</v>
      </c>
      <c r="B851">
        <v>859</v>
      </c>
      <c r="C851">
        <v>80</v>
      </c>
      <c r="D851">
        <f>VLOOKUP(C851,Course!$A$1:$C$229, 2, FALSE)</f>
        <v>0</v>
      </c>
      <c r="E851">
        <v>99</v>
      </c>
      <c r="F851" t="s">
        <v>1258</v>
      </c>
      <c r="G851">
        <v>1</v>
      </c>
      <c r="H851" s="6">
        <v>0.8</v>
      </c>
      <c r="I851">
        <v>1</v>
      </c>
    </row>
    <row r="852" spans="1:10" x14ac:dyDescent="0.2">
      <c r="A852" s="2">
        <v>860</v>
      </c>
      <c r="B852">
        <v>860</v>
      </c>
      <c r="C852">
        <v>80</v>
      </c>
      <c r="D852">
        <f>VLOOKUP(C852,Course!$A$1:$C$229, 2, FALSE)</f>
        <v>0</v>
      </c>
      <c r="E852">
        <v>100</v>
      </c>
      <c r="F852" t="s">
        <v>1259</v>
      </c>
      <c r="G852">
        <v>1</v>
      </c>
      <c r="H852" s="6">
        <v>0.8</v>
      </c>
      <c r="I852">
        <v>1</v>
      </c>
    </row>
    <row r="853" spans="1:10" x14ac:dyDescent="0.2">
      <c r="A853" s="2">
        <v>861</v>
      </c>
      <c r="B853">
        <v>861</v>
      </c>
      <c r="C853">
        <v>80</v>
      </c>
      <c r="D853">
        <f>VLOOKUP(C853,Course!$A$1:$C$229, 2, FALSE)</f>
        <v>0</v>
      </c>
      <c r="E853">
        <v>101</v>
      </c>
      <c r="F853" t="s">
        <v>1260</v>
      </c>
      <c r="G853">
        <v>1</v>
      </c>
      <c r="H853" s="6">
        <v>0.8</v>
      </c>
      <c r="I853">
        <v>1</v>
      </c>
    </row>
    <row r="854" spans="1:10" x14ac:dyDescent="0.2">
      <c r="A854" s="2">
        <v>862</v>
      </c>
      <c r="B854">
        <v>862</v>
      </c>
      <c r="C854">
        <v>80</v>
      </c>
      <c r="D854">
        <f>VLOOKUP(C854,Course!$A$1:$C$229, 2, FALSE)</f>
        <v>0</v>
      </c>
      <c r="E854">
        <v>102</v>
      </c>
      <c r="F854" t="s">
        <v>1261</v>
      </c>
      <c r="G854">
        <v>1</v>
      </c>
      <c r="H854" s="6">
        <v>0.8</v>
      </c>
      <c r="I854">
        <v>1</v>
      </c>
    </row>
    <row r="855" spans="1:10" x14ac:dyDescent="0.2">
      <c r="A855" s="2">
        <v>863</v>
      </c>
      <c r="B855">
        <v>863</v>
      </c>
      <c r="C855">
        <v>80</v>
      </c>
      <c r="D855">
        <f>VLOOKUP(C855,Course!$A$1:$C$229, 2, FALSE)</f>
        <v>0</v>
      </c>
      <c r="E855">
        <v>103</v>
      </c>
      <c r="F855" t="s">
        <v>1262</v>
      </c>
      <c r="G855">
        <v>1</v>
      </c>
      <c r="H855" s="6">
        <v>0.8</v>
      </c>
      <c r="I855">
        <v>1</v>
      </c>
    </row>
    <row r="856" spans="1:10" x14ac:dyDescent="0.2">
      <c r="A856" s="2">
        <v>864</v>
      </c>
      <c r="B856">
        <v>864</v>
      </c>
      <c r="C856">
        <v>80</v>
      </c>
      <c r="D856">
        <f>VLOOKUP(C856,Course!$A$1:$C$229, 2, FALSE)</f>
        <v>0</v>
      </c>
      <c r="E856">
        <v>104</v>
      </c>
      <c r="F856" t="s">
        <v>1263</v>
      </c>
      <c r="G856">
        <v>1</v>
      </c>
      <c r="H856" s="6">
        <v>0.8</v>
      </c>
      <c r="I856">
        <v>1</v>
      </c>
    </row>
    <row r="857" spans="1:10" x14ac:dyDescent="0.2">
      <c r="A857" s="2">
        <v>865</v>
      </c>
      <c r="B857">
        <v>865</v>
      </c>
      <c r="C857">
        <v>80</v>
      </c>
      <c r="D857">
        <f>VLOOKUP(C857,Course!$A$1:$C$229, 2, FALSE)</f>
        <v>0</v>
      </c>
      <c r="E857">
        <v>105</v>
      </c>
      <c r="F857" t="s">
        <v>1264</v>
      </c>
      <c r="G857">
        <v>1</v>
      </c>
      <c r="H857" s="6">
        <v>0.8</v>
      </c>
      <c r="I857">
        <v>1</v>
      </c>
    </row>
    <row r="858" spans="1:10" x14ac:dyDescent="0.2">
      <c r="A858" s="2">
        <v>866</v>
      </c>
      <c r="B858">
        <v>866</v>
      </c>
      <c r="C858">
        <v>80</v>
      </c>
      <c r="D858">
        <f>VLOOKUP(C858,Course!$A$1:$C$229, 2, FALSE)</f>
        <v>0</v>
      </c>
      <c r="E858">
        <v>106</v>
      </c>
      <c r="F858" t="s">
        <v>1265</v>
      </c>
      <c r="G858">
        <v>1</v>
      </c>
      <c r="H858" s="6">
        <v>0.8</v>
      </c>
      <c r="I858">
        <v>1</v>
      </c>
    </row>
    <row r="859" spans="1:10" x14ac:dyDescent="0.2">
      <c r="A859" s="2">
        <v>867</v>
      </c>
      <c r="B859">
        <v>867</v>
      </c>
      <c r="C859">
        <v>80</v>
      </c>
      <c r="D859">
        <f>VLOOKUP(C859,Course!$A$1:$C$229, 2, FALSE)</f>
        <v>0</v>
      </c>
      <c r="E859">
        <v>107</v>
      </c>
      <c r="F859" t="s">
        <v>1266</v>
      </c>
      <c r="G859">
        <v>1</v>
      </c>
      <c r="H859" s="6">
        <v>0.8</v>
      </c>
      <c r="I859">
        <v>1</v>
      </c>
    </row>
    <row r="860" spans="1:10" x14ac:dyDescent="0.2">
      <c r="A860" s="2">
        <v>868</v>
      </c>
      <c r="B860">
        <v>868</v>
      </c>
      <c r="C860">
        <v>80</v>
      </c>
      <c r="D860">
        <f>VLOOKUP(C860,Course!$A$1:$C$229, 2, FALSE)</f>
        <v>0</v>
      </c>
      <c r="E860">
        <v>108</v>
      </c>
      <c r="F860" t="s">
        <v>1267</v>
      </c>
      <c r="G860">
        <v>1</v>
      </c>
      <c r="H860" s="6">
        <v>0.8</v>
      </c>
      <c r="I860">
        <v>1</v>
      </c>
    </row>
    <row r="861" spans="1:10" x14ac:dyDescent="0.2">
      <c r="A861" s="2">
        <v>869</v>
      </c>
      <c r="B861">
        <v>869</v>
      </c>
      <c r="C861" s="13">
        <v>81</v>
      </c>
      <c r="D861" s="13">
        <f>VLOOKUP(C861,Course!$A$1:$C$229, 2, FALSE)</f>
        <v>0</v>
      </c>
      <c r="E861" s="13">
        <v>1</v>
      </c>
      <c r="F861" s="13" t="s">
        <v>1268</v>
      </c>
      <c r="G861" s="19">
        <v>0.25</v>
      </c>
      <c r="H861" s="6">
        <v>0.8</v>
      </c>
      <c r="I861">
        <v>1</v>
      </c>
      <c r="J861" t="s">
        <v>1960</v>
      </c>
    </row>
    <row r="862" spans="1:10" x14ac:dyDescent="0.2">
      <c r="A862" s="2">
        <v>870</v>
      </c>
      <c r="B862">
        <v>870</v>
      </c>
      <c r="C862" s="13">
        <v>81</v>
      </c>
      <c r="D862" s="13">
        <f>VLOOKUP(C862,Course!$A$1:$C$229, 2, FALSE)</f>
        <v>0</v>
      </c>
      <c r="E862" s="13">
        <v>2</v>
      </c>
      <c r="F862" s="13" t="s">
        <v>1269</v>
      </c>
      <c r="G862" s="19">
        <v>0.25</v>
      </c>
      <c r="H862" s="6">
        <v>0.8</v>
      </c>
      <c r="I862">
        <v>1</v>
      </c>
    </row>
    <row r="863" spans="1:10" x14ac:dyDescent="0.2">
      <c r="A863" s="2">
        <v>871</v>
      </c>
      <c r="B863">
        <v>871</v>
      </c>
      <c r="C863">
        <v>81</v>
      </c>
      <c r="D863">
        <f>VLOOKUP(C863,Course!$A$1:$C$229, 2, FALSE)</f>
        <v>0</v>
      </c>
      <c r="E863">
        <v>97</v>
      </c>
      <c r="F863" t="s">
        <v>1270</v>
      </c>
      <c r="G863" s="19">
        <f>0.5/6</f>
        <v>8.3333333333333329E-2</v>
      </c>
      <c r="H863" s="6">
        <v>0.8</v>
      </c>
      <c r="I863">
        <v>1</v>
      </c>
    </row>
    <row r="864" spans="1:10" x14ac:dyDescent="0.2">
      <c r="A864" s="2">
        <v>872</v>
      </c>
      <c r="B864">
        <v>872</v>
      </c>
      <c r="C864">
        <v>81</v>
      </c>
      <c r="D864">
        <f>VLOOKUP(C864,Course!$A$1:$C$229, 2, FALSE)</f>
        <v>0</v>
      </c>
      <c r="E864">
        <v>98</v>
      </c>
      <c r="F864" t="s">
        <v>1271</v>
      </c>
      <c r="G864" s="19">
        <f t="shared" ref="G864:G868" si="7">0.5/6</f>
        <v>8.3333333333333329E-2</v>
      </c>
      <c r="H864" s="6">
        <v>0.8</v>
      </c>
      <c r="I864">
        <v>1</v>
      </c>
    </row>
    <row r="865" spans="1:9" x14ac:dyDescent="0.2">
      <c r="A865" s="2">
        <v>873</v>
      </c>
      <c r="B865">
        <v>873</v>
      </c>
      <c r="C865">
        <v>81</v>
      </c>
      <c r="D865">
        <f>VLOOKUP(C865,Course!$A$1:$C$229, 2, FALSE)</f>
        <v>0</v>
      </c>
      <c r="E865">
        <v>99</v>
      </c>
      <c r="F865" t="s">
        <v>1272</v>
      </c>
      <c r="G865" s="19">
        <f t="shared" si="7"/>
        <v>8.3333333333333329E-2</v>
      </c>
      <c r="H865" s="6">
        <v>0.8</v>
      </c>
      <c r="I865">
        <v>1</v>
      </c>
    </row>
    <row r="866" spans="1:9" x14ac:dyDescent="0.2">
      <c r="A866" s="2">
        <v>874</v>
      </c>
      <c r="B866">
        <v>874</v>
      </c>
      <c r="C866">
        <v>81</v>
      </c>
      <c r="D866">
        <f>VLOOKUP(C866,Course!$A$1:$C$229, 2, FALSE)</f>
        <v>0</v>
      </c>
      <c r="E866">
        <v>100</v>
      </c>
      <c r="F866" t="s">
        <v>1273</v>
      </c>
      <c r="G866" s="19">
        <f t="shared" si="7"/>
        <v>8.3333333333333329E-2</v>
      </c>
      <c r="H866" s="6">
        <v>0.8</v>
      </c>
      <c r="I866">
        <v>1</v>
      </c>
    </row>
    <row r="867" spans="1:9" x14ac:dyDescent="0.2">
      <c r="A867" s="2">
        <v>875</v>
      </c>
      <c r="B867">
        <v>875</v>
      </c>
      <c r="C867">
        <v>81</v>
      </c>
      <c r="D867">
        <f>VLOOKUP(C867,Course!$A$1:$C$229, 2, FALSE)</f>
        <v>0</v>
      </c>
      <c r="E867">
        <v>101</v>
      </c>
      <c r="F867" t="s">
        <v>1274</v>
      </c>
      <c r="G867" s="19">
        <f t="shared" si="7"/>
        <v>8.3333333333333329E-2</v>
      </c>
      <c r="H867" s="6">
        <v>0.8</v>
      </c>
      <c r="I867">
        <v>1</v>
      </c>
    </row>
    <row r="868" spans="1:9" x14ac:dyDescent="0.2">
      <c r="A868" s="2">
        <v>876</v>
      </c>
      <c r="B868">
        <v>876</v>
      </c>
      <c r="C868">
        <v>81</v>
      </c>
      <c r="D868">
        <f>VLOOKUP(C868,Course!$A$1:$C$229, 2, FALSE)</f>
        <v>0</v>
      </c>
      <c r="E868">
        <v>102</v>
      </c>
      <c r="F868" t="s">
        <v>1275</v>
      </c>
      <c r="G868" s="19">
        <f t="shared" si="7"/>
        <v>8.3333333333333329E-2</v>
      </c>
      <c r="H868" s="6">
        <v>0.8</v>
      </c>
      <c r="I868">
        <v>1</v>
      </c>
    </row>
    <row r="869" spans="1:9" x14ac:dyDescent="0.2">
      <c r="A869" s="2">
        <v>877</v>
      </c>
      <c r="B869">
        <v>877</v>
      </c>
      <c r="C869">
        <v>82</v>
      </c>
      <c r="D869">
        <f>VLOOKUP(C869,Course!$A$1:$C$229, 2, FALSE)</f>
        <v>0</v>
      </c>
      <c r="E869">
        <v>1</v>
      </c>
      <c r="F869" t="s">
        <v>1276</v>
      </c>
      <c r="G869">
        <v>1</v>
      </c>
      <c r="H869" s="6">
        <v>0.8</v>
      </c>
      <c r="I869">
        <v>1</v>
      </c>
    </row>
    <row r="870" spans="1:9" x14ac:dyDescent="0.2">
      <c r="A870" s="2">
        <v>878</v>
      </c>
      <c r="B870">
        <v>878</v>
      </c>
      <c r="C870">
        <v>82</v>
      </c>
      <c r="D870">
        <f>VLOOKUP(C870,Course!$A$1:$C$229, 2, FALSE)</f>
        <v>0</v>
      </c>
      <c r="E870">
        <v>2</v>
      </c>
      <c r="F870" t="s">
        <v>1277</v>
      </c>
      <c r="G870">
        <v>1</v>
      </c>
      <c r="H870" s="6">
        <v>0.8</v>
      </c>
      <c r="I870">
        <v>1</v>
      </c>
    </row>
    <row r="871" spans="1:9" x14ac:dyDescent="0.2">
      <c r="A871" s="2">
        <v>879</v>
      </c>
      <c r="B871">
        <v>879</v>
      </c>
      <c r="C871">
        <v>82</v>
      </c>
      <c r="D871">
        <f>VLOOKUP(C871,Course!$A$1:$C$229, 2, FALSE)</f>
        <v>0</v>
      </c>
      <c r="E871">
        <v>3</v>
      </c>
      <c r="F871" t="s">
        <v>1278</v>
      </c>
      <c r="G871">
        <v>1</v>
      </c>
      <c r="H871" s="6">
        <v>0.8</v>
      </c>
      <c r="I871">
        <v>1</v>
      </c>
    </row>
    <row r="872" spans="1:9" x14ac:dyDescent="0.2">
      <c r="A872" s="2">
        <v>880</v>
      </c>
      <c r="B872">
        <v>880</v>
      </c>
      <c r="C872">
        <v>82</v>
      </c>
      <c r="D872">
        <f>VLOOKUP(C872,Course!$A$1:$C$229, 2, FALSE)</f>
        <v>0</v>
      </c>
      <c r="E872">
        <v>4</v>
      </c>
      <c r="F872" t="s">
        <v>1279</v>
      </c>
      <c r="G872">
        <v>1</v>
      </c>
      <c r="H872" s="6">
        <v>0.8</v>
      </c>
      <c r="I872">
        <v>1</v>
      </c>
    </row>
    <row r="873" spans="1:9" x14ac:dyDescent="0.2">
      <c r="A873" s="2">
        <v>881</v>
      </c>
      <c r="B873">
        <v>881</v>
      </c>
      <c r="C873">
        <v>82</v>
      </c>
      <c r="D873">
        <f>VLOOKUP(C873,Course!$A$1:$C$229, 2, FALSE)</f>
        <v>0</v>
      </c>
      <c r="E873">
        <v>5</v>
      </c>
      <c r="F873" t="s">
        <v>1280</v>
      </c>
      <c r="G873">
        <v>1</v>
      </c>
      <c r="H873" s="6">
        <v>0.8</v>
      </c>
      <c r="I873">
        <v>1</v>
      </c>
    </row>
    <row r="874" spans="1:9" x14ac:dyDescent="0.2">
      <c r="A874" s="2">
        <v>882</v>
      </c>
      <c r="B874">
        <v>882</v>
      </c>
      <c r="C874">
        <v>82</v>
      </c>
      <c r="D874">
        <f>VLOOKUP(C874,Course!$A$1:$C$229, 2, FALSE)</f>
        <v>0</v>
      </c>
      <c r="E874">
        <v>6</v>
      </c>
      <c r="F874" t="s">
        <v>1281</v>
      </c>
      <c r="G874">
        <v>1</v>
      </c>
      <c r="H874" s="6">
        <v>0.8</v>
      </c>
      <c r="I874">
        <v>1</v>
      </c>
    </row>
    <row r="875" spans="1:9" x14ac:dyDescent="0.2">
      <c r="A875" s="2">
        <v>883</v>
      </c>
      <c r="B875">
        <v>883</v>
      </c>
      <c r="C875">
        <v>83</v>
      </c>
      <c r="D875">
        <f>VLOOKUP(C875,Course!$A$1:$C$229, 2, FALSE)</f>
        <v>0</v>
      </c>
      <c r="E875">
        <v>1</v>
      </c>
      <c r="F875" t="s">
        <v>1282</v>
      </c>
      <c r="G875">
        <v>1</v>
      </c>
      <c r="H875" s="6">
        <v>0.8</v>
      </c>
      <c r="I875">
        <v>1</v>
      </c>
    </row>
    <row r="876" spans="1:9" x14ac:dyDescent="0.2">
      <c r="A876" s="2">
        <v>884</v>
      </c>
      <c r="B876">
        <v>884</v>
      </c>
      <c r="C876">
        <v>83</v>
      </c>
      <c r="D876">
        <f>VLOOKUP(C876,Course!$A$1:$C$229, 2, FALSE)</f>
        <v>0</v>
      </c>
      <c r="E876">
        <v>2</v>
      </c>
      <c r="F876" t="s">
        <v>1283</v>
      </c>
      <c r="G876">
        <v>1</v>
      </c>
      <c r="H876" s="6">
        <v>0.8</v>
      </c>
      <c r="I876">
        <v>1</v>
      </c>
    </row>
    <row r="877" spans="1:9" x14ac:dyDescent="0.2">
      <c r="A877" s="2">
        <v>885</v>
      </c>
      <c r="B877">
        <v>885</v>
      </c>
      <c r="C877">
        <v>83</v>
      </c>
      <c r="D877">
        <f>VLOOKUP(C877,Course!$A$1:$C$229, 2, FALSE)</f>
        <v>0</v>
      </c>
      <c r="E877">
        <v>3</v>
      </c>
      <c r="F877" t="s">
        <v>1284</v>
      </c>
      <c r="G877">
        <v>1</v>
      </c>
      <c r="H877" s="6">
        <v>0.8</v>
      </c>
      <c r="I877">
        <v>1</v>
      </c>
    </row>
    <row r="878" spans="1:9" x14ac:dyDescent="0.2">
      <c r="A878" s="2">
        <v>886</v>
      </c>
      <c r="B878">
        <v>886</v>
      </c>
      <c r="C878">
        <v>83</v>
      </c>
      <c r="D878">
        <f>VLOOKUP(C878,Course!$A$1:$C$229, 2, FALSE)</f>
        <v>0</v>
      </c>
      <c r="E878">
        <v>4</v>
      </c>
      <c r="F878" t="s">
        <v>1285</v>
      </c>
      <c r="G878">
        <v>1</v>
      </c>
      <c r="H878" s="6">
        <v>0.8</v>
      </c>
      <c r="I878">
        <v>1</v>
      </c>
    </row>
    <row r="879" spans="1:9" x14ac:dyDescent="0.2">
      <c r="A879" s="2">
        <v>887</v>
      </c>
      <c r="B879">
        <v>887</v>
      </c>
      <c r="C879">
        <v>83</v>
      </c>
      <c r="D879">
        <f>VLOOKUP(C879,Course!$A$1:$C$229, 2, FALSE)</f>
        <v>0</v>
      </c>
      <c r="E879">
        <v>5</v>
      </c>
      <c r="F879" t="s">
        <v>1286</v>
      </c>
      <c r="G879">
        <v>1</v>
      </c>
      <c r="H879" s="6">
        <v>0.8</v>
      </c>
      <c r="I879">
        <v>1</v>
      </c>
    </row>
    <row r="880" spans="1:9" x14ac:dyDescent="0.2">
      <c r="A880" s="2">
        <v>888</v>
      </c>
      <c r="B880">
        <v>888</v>
      </c>
      <c r="C880">
        <v>83</v>
      </c>
      <c r="D880">
        <f>VLOOKUP(C880,Course!$A$1:$C$229, 2, FALSE)</f>
        <v>0</v>
      </c>
      <c r="E880">
        <v>6</v>
      </c>
      <c r="F880" t="s">
        <v>1287</v>
      </c>
      <c r="G880">
        <v>1</v>
      </c>
      <c r="H880" s="6">
        <v>0.8</v>
      </c>
      <c r="I880">
        <v>1</v>
      </c>
    </row>
    <row r="881" spans="1:9" x14ac:dyDescent="0.2">
      <c r="A881" s="2">
        <v>889</v>
      </c>
      <c r="B881">
        <v>889</v>
      </c>
      <c r="C881">
        <v>83</v>
      </c>
      <c r="D881">
        <f>VLOOKUP(C881,Course!$A$1:$C$229, 2, FALSE)</f>
        <v>0</v>
      </c>
      <c r="E881">
        <v>7</v>
      </c>
      <c r="F881" t="s">
        <v>1288</v>
      </c>
      <c r="G881">
        <v>1</v>
      </c>
      <c r="H881" s="6">
        <v>0.8</v>
      </c>
      <c r="I881">
        <v>1</v>
      </c>
    </row>
    <row r="882" spans="1:9" x14ac:dyDescent="0.2">
      <c r="A882" s="2">
        <v>890</v>
      </c>
      <c r="B882">
        <v>890</v>
      </c>
      <c r="C882">
        <v>83</v>
      </c>
      <c r="D882">
        <f>VLOOKUP(C882,Course!$A$1:$C$229, 2, FALSE)</f>
        <v>0</v>
      </c>
      <c r="E882">
        <v>8</v>
      </c>
      <c r="F882" t="s">
        <v>1289</v>
      </c>
      <c r="G882">
        <v>1</v>
      </c>
      <c r="H882" s="6">
        <v>0.8</v>
      </c>
      <c r="I882">
        <v>1</v>
      </c>
    </row>
    <row r="883" spans="1:9" x14ac:dyDescent="0.2">
      <c r="A883" s="2">
        <v>891</v>
      </c>
      <c r="B883">
        <v>891</v>
      </c>
      <c r="C883">
        <v>83</v>
      </c>
      <c r="D883">
        <f>VLOOKUP(C883,Course!$A$1:$C$229, 2, FALSE)</f>
        <v>0</v>
      </c>
      <c r="E883">
        <v>9</v>
      </c>
      <c r="F883" t="s">
        <v>1290</v>
      </c>
      <c r="G883">
        <v>1</v>
      </c>
      <c r="H883" s="6">
        <v>0.8</v>
      </c>
      <c r="I883">
        <v>1</v>
      </c>
    </row>
    <row r="884" spans="1:9" x14ac:dyDescent="0.2">
      <c r="A884" s="2">
        <v>892</v>
      </c>
      <c r="B884">
        <v>892</v>
      </c>
      <c r="C884">
        <v>83</v>
      </c>
      <c r="D884">
        <f>VLOOKUP(C884,Course!$A$1:$C$229, 2, FALSE)</f>
        <v>0</v>
      </c>
      <c r="E884">
        <v>10</v>
      </c>
      <c r="F884" t="s">
        <v>1291</v>
      </c>
      <c r="G884">
        <v>1</v>
      </c>
      <c r="H884" s="6">
        <v>0.8</v>
      </c>
      <c r="I884">
        <v>1</v>
      </c>
    </row>
    <row r="885" spans="1:9" x14ac:dyDescent="0.2">
      <c r="A885" s="2">
        <v>893</v>
      </c>
      <c r="B885">
        <v>893</v>
      </c>
      <c r="C885">
        <v>83</v>
      </c>
      <c r="D885">
        <f>VLOOKUP(C885,Course!$A$1:$C$229, 2, FALSE)</f>
        <v>0</v>
      </c>
      <c r="E885">
        <v>11</v>
      </c>
      <c r="F885" t="s">
        <v>1292</v>
      </c>
      <c r="G885">
        <v>1</v>
      </c>
      <c r="H885" s="6">
        <v>0.8</v>
      </c>
      <c r="I885">
        <v>1</v>
      </c>
    </row>
    <row r="886" spans="1:9" x14ac:dyDescent="0.2">
      <c r="A886" s="2">
        <v>894</v>
      </c>
      <c r="B886">
        <v>894</v>
      </c>
      <c r="C886">
        <v>83</v>
      </c>
      <c r="D886">
        <f>VLOOKUP(C886,Course!$A$1:$C$229, 2, FALSE)</f>
        <v>0</v>
      </c>
      <c r="E886">
        <v>12</v>
      </c>
      <c r="F886" t="s">
        <v>1293</v>
      </c>
      <c r="G886">
        <v>1</v>
      </c>
      <c r="H886" s="6">
        <v>0.8</v>
      </c>
      <c r="I886">
        <v>1</v>
      </c>
    </row>
    <row r="887" spans="1:9" x14ac:dyDescent="0.2">
      <c r="A887" s="2">
        <v>895</v>
      </c>
      <c r="B887">
        <v>895</v>
      </c>
      <c r="C887">
        <v>85</v>
      </c>
      <c r="D887">
        <f>VLOOKUP(C887,Course!$A$1:$C$229, 2, FALSE)</f>
        <v>0</v>
      </c>
      <c r="E887">
        <v>1</v>
      </c>
      <c r="F887" t="s">
        <v>1294</v>
      </c>
      <c r="G887">
        <v>1</v>
      </c>
      <c r="H887" s="6">
        <v>0.8</v>
      </c>
      <c r="I887">
        <v>1</v>
      </c>
    </row>
    <row r="888" spans="1:9" x14ac:dyDescent="0.2">
      <c r="A888" s="2">
        <v>896</v>
      </c>
      <c r="B888">
        <v>896</v>
      </c>
      <c r="C888">
        <v>85</v>
      </c>
      <c r="D888">
        <f>VLOOKUP(C888,Course!$A$1:$C$229, 2, FALSE)</f>
        <v>0</v>
      </c>
      <c r="E888">
        <v>2</v>
      </c>
      <c r="F888" t="s">
        <v>1295</v>
      </c>
      <c r="G888">
        <v>1</v>
      </c>
      <c r="H888" s="6">
        <v>0.8</v>
      </c>
      <c r="I888">
        <v>1</v>
      </c>
    </row>
    <row r="889" spans="1:9" x14ac:dyDescent="0.2">
      <c r="A889" s="2">
        <v>897</v>
      </c>
      <c r="B889">
        <v>897</v>
      </c>
      <c r="C889">
        <v>85</v>
      </c>
      <c r="D889">
        <f>VLOOKUP(C889,Course!$A$1:$C$229, 2, FALSE)</f>
        <v>0</v>
      </c>
      <c r="E889">
        <v>3</v>
      </c>
      <c r="F889" t="s">
        <v>1296</v>
      </c>
      <c r="G889">
        <v>1</v>
      </c>
      <c r="H889" s="6">
        <v>0.8</v>
      </c>
      <c r="I889">
        <v>1</v>
      </c>
    </row>
    <row r="890" spans="1:9" x14ac:dyDescent="0.2">
      <c r="A890" s="2">
        <v>898</v>
      </c>
      <c r="B890">
        <v>898</v>
      </c>
      <c r="C890">
        <v>85</v>
      </c>
      <c r="D890">
        <f>VLOOKUP(C890,Course!$A$1:$C$229, 2, FALSE)</f>
        <v>0</v>
      </c>
      <c r="E890">
        <v>4</v>
      </c>
      <c r="F890" t="s">
        <v>1297</v>
      </c>
      <c r="G890">
        <v>1</v>
      </c>
      <c r="H890" s="6">
        <v>0.8</v>
      </c>
      <c r="I890">
        <v>1</v>
      </c>
    </row>
    <row r="891" spans="1:9" x14ac:dyDescent="0.2">
      <c r="A891" s="2">
        <v>899</v>
      </c>
      <c r="B891">
        <v>899</v>
      </c>
      <c r="C891">
        <v>85</v>
      </c>
      <c r="D891">
        <f>VLOOKUP(C891,Course!$A$1:$C$229, 2, FALSE)</f>
        <v>0</v>
      </c>
      <c r="E891">
        <v>5</v>
      </c>
      <c r="F891" t="s">
        <v>1298</v>
      </c>
      <c r="G891">
        <v>1</v>
      </c>
      <c r="H891" s="6">
        <v>0.8</v>
      </c>
      <c r="I891">
        <v>1</v>
      </c>
    </row>
    <row r="892" spans="1:9" x14ac:dyDescent="0.2">
      <c r="A892" s="2">
        <v>900</v>
      </c>
      <c r="B892">
        <v>900</v>
      </c>
      <c r="C892">
        <v>85</v>
      </c>
      <c r="D892">
        <f>VLOOKUP(C892,Course!$A$1:$C$229, 2, FALSE)</f>
        <v>0</v>
      </c>
      <c r="E892">
        <v>6</v>
      </c>
      <c r="F892" t="s">
        <v>1299</v>
      </c>
      <c r="G892">
        <v>1</v>
      </c>
      <c r="H892" s="6">
        <v>0.8</v>
      </c>
      <c r="I892">
        <v>1</v>
      </c>
    </row>
    <row r="893" spans="1:9" x14ac:dyDescent="0.2">
      <c r="A893" s="2">
        <v>901</v>
      </c>
      <c r="B893">
        <v>901</v>
      </c>
      <c r="C893">
        <v>85</v>
      </c>
      <c r="D893">
        <f>VLOOKUP(C893,Course!$A$1:$C$229, 2, FALSE)</f>
        <v>0</v>
      </c>
      <c r="E893">
        <v>7</v>
      </c>
      <c r="F893" t="s">
        <v>1300</v>
      </c>
      <c r="G893">
        <v>1</v>
      </c>
      <c r="H893" s="6">
        <v>0.8</v>
      </c>
      <c r="I893">
        <v>1</v>
      </c>
    </row>
    <row r="894" spans="1:9" x14ac:dyDescent="0.2">
      <c r="A894" s="2">
        <v>902</v>
      </c>
      <c r="B894">
        <v>902</v>
      </c>
      <c r="C894">
        <v>85</v>
      </c>
      <c r="D894">
        <f>VLOOKUP(C894,Course!$A$1:$C$229, 2, FALSE)</f>
        <v>0</v>
      </c>
      <c r="E894">
        <v>8</v>
      </c>
      <c r="F894" t="s">
        <v>1301</v>
      </c>
      <c r="G894">
        <v>1</v>
      </c>
      <c r="H894" s="6">
        <v>0.8</v>
      </c>
      <c r="I894">
        <v>1</v>
      </c>
    </row>
    <row r="895" spans="1:9" x14ac:dyDescent="0.2">
      <c r="A895" s="2">
        <v>903</v>
      </c>
      <c r="B895">
        <v>903</v>
      </c>
      <c r="C895">
        <v>86</v>
      </c>
      <c r="D895">
        <f>VLOOKUP(C895,Course!$A$1:$C$229, 2, FALSE)</f>
        <v>0</v>
      </c>
      <c r="E895">
        <v>109</v>
      </c>
      <c r="F895" t="s">
        <v>1302</v>
      </c>
      <c r="G895">
        <v>1</v>
      </c>
      <c r="H895" s="6">
        <v>0.8</v>
      </c>
      <c r="I895">
        <v>1</v>
      </c>
    </row>
    <row r="896" spans="1:9" x14ac:dyDescent="0.2">
      <c r="A896" s="2">
        <v>904</v>
      </c>
      <c r="B896">
        <v>904</v>
      </c>
      <c r="C896">
        <v>86</v>
      </c>
      <c r="D896">
        <f>VLOOKUP(C896,Course!$A$1:$C$229, 2, FALSE)</f>
        <v>0</v>
      </c>
      <c r="E896">
        <v>110</v>
      </c>
      <c r="F896" t="s">
        <v>1303</v>
      </c>
      <c r="G896">
        <v>1</v>
      </c>
      <c r="H896" s="6">
        <v>0.8</v>
      </c>
      <c r="I896">
        <v>1</v>
      </c>
    </row>
    <row r="897" spans="1:9" x14ac:dyDescent="0.2">
      <c r="A897" s="2">
        <v>905</v>
      </c>
      <c r="B897">
        <v>905</v>
      </c>
      <c r="C897">
        <v>86</v>
      </c>
      <c r="D897">
        <f>VLOOKUP(C897,Course!$A$1:$C$229, 2, FALSE)</f>
        <v>0</v>
      </c>
      <c r="E897">
        <v>111</v>
      </c>
      <c r="F897" t="s">
        <v>1304</v>
      </c>
      <c r="G897">
        <v>1</v>
      </c>
      <c r="H897" s="6">
        <v>0.8</v>
      </c>
      <c r="I897">
        <v>1</v>
      </c>
    </row>
    <row r="898" spans="1:9" x14ac:dyDescent="0.2">
      <c r="A898" s="2">
        <v>906</v>
      </c>
      <c r="B898">
        <v>906</v>
      </c>
      <c r="C898">
        <v>86</v>
      </c>
      <c r="D898">
        <f>VLOOKUP(C898,Course!$A$1:$C$229, 2, FALSE)</f>
        <v>0</v>
      </c>
      <c r="E898">
        <v>112</v>
      </c>
      <c r="F898" t="s">
        <v>1305</v>
      </c>
      <c r="G898">
        <v>1</v>
      </c>
      <c r="H898" s="6">
        <v>0.8</v>
      </c>
      <c r="I898">
        <v>1</v>
      </c>
    </row>
    <row r="899" spans="1:9" x14ac:dyDescent="0.2">
      <c r="A899" s="2">
        <v>907</v>
      </c>
      <c r="B899">
        <v>907</v>
      </c>
      <c r="C899">
        <v>86</v>
      </c>
      <c r="D899">
        <f>VLOOKUP(C899,Course!$A$1:$C$229, 2, FALSE)</f>
        <v>0</v>
      </c>
      <c r="E899">
        <v>113</v>
      </c>
      <c r="F899" t="s">
        <v>1306</v>
      </c>
      <c r="G899">
        <v>1</v>
      </c>
      <c r="H899" s="6">
        <v>0.8</v>
      </c>
      <c r="I899">
        <v>1</v>
      </c>
    </row>
    <row r="900" spans="1:9" x14ac:dyDescent="0.2">
      <c r="A900" s="2">
        <v>908</v>
      </c>
      <c r="B900">
        <v>908</v>
      </c>
      <c r="C900">
        <v>86</v>
      </c>
      <c r="D900">
        <f>VLOOKUP(C900,Course!$A$1:$C$229, 2, FALSE)</f>
        <v>0</v>
      </c>
      <c r="E900">
        <v>114</v>
      </c>
      <c r="F900" t="s">
        <v>1307</v>
      </c>
      <c r="G900">
        <v>1</v>
      </c>
      <c r="H900" s="6">
        <v>0.8</v>
      </c>
      <c r="I900">
        <v>1</v>
      </c>
    </row>
    <row r="901" spans="1:9" x14ac:dyDescent="0.2">
      <c r="A901" s="2">
        <v>909</v>
      </c>
      <c r="B901">
        <v>909</v>
      </c>
      <c r="C901">
        <v>86</v>
      </c>
      <c r="D901">
        <f>VLOOKUP(C901,Course!$A$1:$C$229, 2, FALSE)</f>
        <v>0</v>
      </c>
      <c r="E901">
        <v>115</v>
      </c>
      <c r="F901" t="s">
        <v>1308</v>
      </c>
      <c r="G901">
        <v>1</v>
      </c>
      <c r="H901" s="6">
        <v>0.8</v>
      </c>
      <c r="I901">
        <v>1</v>
      </c>
    </row>
    <row r="902" spans="1:9" x14ac:dyDescent="0.2">
      <c r="A902" s="2">
        <v>910</v>
      </c>
      <c r="B902">
        <v>910</v>
      </c>
      <c r="C902">
        <v>86</v>
      </c>
      <c r="D902">
        <f>VLOOKUP(C902,Course!$A$1:$C$229, 2, FALSE)</f>
        <v>0</v>
      </c>
      <c r="E902">
        <v>116</v>
      </c>
      <c r="F902" t="s">
        <v>1309</v>
      </c>
      <c r="G902">
        <v>1</v>
      </c>
      <c r="H902" s="6">
        <v>0.8</v>
      </c>
      <c r="I902">
        <v>1</v>
      </c>
    </row>
    <row r="903" spans="1:9" x14ac:dyDescent="0.2">
      <c r="A903" s="2">
        <v>911</v>
      </c>
      <c r="B903">
        <v>911</v>
      </c>
      <c r="C903">
        <v>86</v>
      </c>
      <c r="D903">
        <f>VLOOKUP(C903,Course!$A$1:$C$229, 2, FALSE)</f>
        <v>0</v>
      </c>
      <c r="E903">
        <v>117</v>
      </c>
      <c r="F903" t="s">
        <v>1310</v>
      </c>
      <c r="G903">
        <v>1</v>
      </c>
      <c r="H903" s="6">
        <v>0.8</v>
      </c>
      <c r="I903">
        <v>1</v>
      </c>
    </row>
    <row r="904" spans="1:9" x14ac:dyDescent="0.2">
      <c r="A904" s="2">
        <v>912</v>
      </c>
      <c r="B904">
        <v>912</v>
      </c>
      <c r="C904">
        <v>86</v>
      </c>
      <c r="D904">
        <f>VLOOKUP(C904,Course!$A$1:$C$229, 2, FALSE)</f>
        <v>0</v>
      </c>
      <c r="E904">
        <v>118</v>
      </c>
      <c r="F904" t="s">
        <v>1311</v>
      </c>
      <c r="G904">
        <v>1</v>
      </c>
      <c r="H904" s="6">
        <v>0.8</v>
      </c>
      <c r="I904">
        <v>1</v>
      </c>
    </row>
    <row r="905" spans="1:9" x14ac:dyDescent="0.2">
      <c r="A905" s="2">
        <v>913</v>
      </c>
      <c r="B905">
        <v>913</v>
      </c>
      <c r="C905">
        <v>86</v>
      </c>
      <c r="D905">
        <f>VLOOKUP(C905,Course!$A$1:$C$229, 2, FALSE)</f>
        <v>0</v>
      </c>
      <c r="E905">
        <v>119</v>
      </c>
      <c r="F905" t="s">
        <v>1312</v>
      </c>
      <c r="G905">
        <v>1</v>
      </c>
      <c r="H905" s="6">
        <v>0.8</v>
      </c>
      <c r="I905">
        <v>1</v>
      </c>
    </row>
    <row r="906" spans="1:9" x14ac:dyDescent="0.2">
      <c r="A906" s="2">
        <v>914</v>
      </c>
      <c r="B906">
        <v>914</v>
      </c>
      <c r="C906">
        <v>86</v>
      </c>
      <c r="D906">
        <f>VLOOKUP(C906,Course!$A$1:$C$229, 2, FALSE)</f>
        <v>0</v>
      </c>
      <c r="E906">
        <v>120</v>
      </c>
      <c r="F906" t="s">
        <v>1313</v>
      </c>
      <c r="G906">
        <v>1</v>
      </c>
      <c r="H906" s="6">
        <v>0.8</v>
      </c>
      <c r="I906">
        <v>1</v>
      </c>
    </row>
    <row r="907" spans="1:9" x14ac:dyDescent="0.2">
      <c r="A907" s="2">
        <v>915</v>
      </c>
      <c r="B907">
        <v>915</v>
      </c>
      <c r="C907">
        <v>87</v>
      </c>
      <c r="D907">
        <f>VLOOKUP(C907,Course!$A$1:$C$229, 2, FALSE)</f>
        <v>0</v>
      </c>
      <c r="E907">
        <v>109</v>
      </c>
      <c r="F907" t="s">
        <v>472</v>
      </c>
      <c r="G907">
        <v>1</v>
      </c>
      <c r="H907" s="6">
        <v>0.8</v>
      </c>
      <c r="I907">
        <v>1</v>
      </c>
    </row>
    <row r="908" spans="1:9" x14ac:dyDescent="0.2">
      <c r="A908" s="2">
        <v>916</v>
      </c>
      <c r="B908">
        <v>916</v>
      </c>
      <c r="C908">
        <v>87</v>
      </c>
      <c r="D908">
        <f>VLOOKUP(C908,Course!$A$1:$C$229, 2, FALSE)</f>
        <v>0</v>
      </c>
      <c r="E908">
        <v>110</v>
      </c>
      <c r="F908" t="s">
        <v>473</v>
      </c>
      <c r="G908">
        <v>1</v>
      </c>
      <c r="H908" s="6">
        <v>0.8</v>
      </c>
      <c r="I908">
        <v>1</v>
      </c>
    </row>
    <row r="909" spans="1:9" x14ac:dyDescent="0.2">
      <c r="A909" s="2">
        <v>917</v>
      </c>
      <c r="B909">
        <v>917</v>
      </c>
      <c r="C909">
        <v>87</v>
      </c>
      <c r="D909">
        <f>VLOOKUP(C909,Course!$A$1:$C$229, 2, FALSE)</f>
        <v>0</v>
      </c>
      <c r="E909">
        <v>111</v>
      </c>
      <c r="F909" t="s">
        <v>474</v>
      </c>
      <c r="G909">
        <v>1</v>
      </c>
      <c r="H909" s="6">
        <v>0.8</v>
      </c>
      <c r="I909">
        <v>1</v>
      </c>
    </row>
    <row r="910" spans="1:9" x14ac:dyDescent="0.2">
      <c r="A910" s="2">
        <v>918</v>
      </c>
      <c r="B910">
        <v>918</v>
      </c>
      <c r="C910">
        <v>87</v>
      </c>
      <c r="D910">
        <f>VLOOKUP(C910,Course!$A$1:$C$229, 2, FALSE)</f>
        <v>0</v>
      </c>
      <c r="E910">
        <v>112</v>
      </c>
      <c r="F910" t="s">
        <v>475</v>
      </c>
      <c r="G910">
        <v>1</v>
      </c>
      <c r="H910" s="6">
        <v>0.8</v>
      </c>
      <c r="I910">
        <v>1</v>
      </c>
    </row>
    <row r="911" spans="1:9" x14ac:dyDescent="0.2">
      <c r="A911" s="2">
        <v>919</v>
      </c>
      <c r="B911">
        <v>919</v>
      </c>
      <c r="C911">
        <v>87</v>
      </c>
      <c r="D911">
        <f>VLOOKUP(C911,Course!$A$1:$C$229, 2, FALSE)</f>
        <v>0</v>
      </c>
      <c r="E911">
        <v>113</v>
      </c>
      <c r="F911" t="s">
        <v>548</v>
      </c>
      <c r="G911">
        <v>1</v>
      </c>
      <c r="H911" s="6">
        <v>0.8</v>
      </c>
      <c r="I911">
        <v>1</v>
      </c>
    </row>
    <row r="912" spans="1:9" x14ac:dyDescent="0.2">
      <c r="A912" s="2">
        <v>920</v>
      </c>
      <c r="B912">
        <v>920</v>
      </c>
      <c r="C912">
        <v>87</v>
      </c>
      <c r="D912">
        <f>VLOOKUP(C912,Course!$A$1:$C$229, 2, FALSE)</f>
        <v>0</v>
      </c>
      <c r="E912">
        <v>114</v>
      </c>
      <c r="F912" t="s">
        <v>549</v>
      </c>
      <c r="G912">
        <v>1</v>
      </c>
      <c r="H912" s="6">
        <v>0.8</v>
      </c>
      <c r="I912">
        <v>1</v>
      </c>
    </row>
    <row r="913" spans="1:9" x14ac:dyDescent="0.2">
      <c r="A913" s="2">
        <v>921</v>
      </c>
      <c r="B913">
        <v>921</v>
      </c>
      <c r="C913">
        <v>87</v>
      </c>
      <c r="D913">
        <f>VLOOKUP(C913,Course!$A$1:$C$229, 2, FALSE)</f>
        <v>0</v>
      </c>
      <c r="E913">
        <v>115</v>
      </c>
      <c r="F913" t="s">
        <v>550</v>
      </c>
      <c r="G913">
        <v>1</v>
      </c>
      <c r="H913" s="6">
        <v>0.8</v>
      </c>
      <c r="I913">
        <v>1</v>
      </c>
    </row>
    <row r="914" spans="1:9" x14ac:dyDescent="0.2">
      <c r="A914" s="2">
        <v>922</v>
      </c>
      <c r="B914">
        <v>922</v>
      </c>
      <c r="C914">
        <v>87</v>
      </c>
      <c r="D914">
        <f>VLOOKUP(C914,Course!$A$1:$C$229, 2, FALSE)</f>
        <v>0</v>
      </c>
      <c r="E914">
        <v>116</v>
      </c>
      <c r="F914" t="s">
        <v>551</v>
      </c>
      <c r="G914">
        <v>1</v>
      </c>
      <c r="H914" s="6">
        <v>0.8</v>
      </c>
      <c r="I914">
        <v>1</v>
      </c>
    </row>
    <row r="915" spans="1:9" x14ac:dyDescent="0.2">
      <c r="A915" s="2">
        <v>923</v>
      </c>
      <c r="B915">
        <v>923</v>
      </c>
      <c r="C915">
        <v>87</v>
      </c>
      <c r="D915">
        <f>VLOOKUP(C915,Course!$A$1:$C$229, 2, FALSE)</f>
        <v>0</v>
      </c>
      <c r="E915">
        <v>117</v>
      </c>
      <c r="F915" t="s">
        <v>552</v>
      </c>
      <c r="G915">
        <v>1</v>
      </c>
      <c r="H915" s="6">
        <v>0.8</v>
      </c>
      <c r="I915">
        <v>1</v>
      </c>
    </row>
    <row r="916" spans="1:9" x14ac:dyDescent="0.2">
      <c r="A916" s="2">
        <v>924</v>
      </c>
      <c r="B916">
        <v>924</v>
      </c>
      <c r="C916">
        <v>87</v>
      </c>
      <c r="D916">
        <f>VLOOKUP(C916,Course!$A$1:$C$229, 2, FALSE)</f>
        <v>0</v>
      </c>
      <c r="E916">
        <v>118</v>
      </c>
      <c r="F916" t="s">
        <v>553</v>
      </c>
      <c r="G916">
        <v>1</v>
      </c>
      <c r="H916" s="6">
        <v>0.8</v>
      </c>
      <c r="I916">
        <v>1</v>
      </c>
    </row>
    <row r="917" spans="1:9" x14ac:dyDescent="0.2">
      <c r="A917" s="2">
        <v>925</v>
      </c>
      <c r="B917">
        <v>925</v>
      </c>
      <c r="C917">
        <v>87</v>
      </c>
      <c r="D917">
        <f>VLOOKUP(C917,Course!$A$1:$C$229, 2, FALSE)</f>
        <v>0</v>
      </c>
      <c r="E917">
        <v>119</v>
      </c>
      <c r="F917" t="s">
        <v>554</v>
      </c>
      <c r="G917">
        <v>1</v>
      </c>
      <c r="H917" s="6">
        <v>0.8</v>
      </c>
      <c r="I917">
        <v>1</v>
      </c>
    </row>
    <row r="918" spans="1:9" x14ac:dyDescent="0.2">
      <c r="A918" s="2">
        <v>926</v>
      </c>
      <c r="B918">
        <v>926</v>
      </c>
      <c r="C918">
        <v>87</v>
      </c>
      <c r="D918">
        <f>VLOOKUP(C918,Course!$A$1:$C$229, 2, FALSE)</f>
        <v>0</v>
      </c>
      <c r="E918">
        <v>120</v>
      </c>
      <c r="F918" t="s">
        <v>555</v>
      </c>
      <c r="G918">
        <v>1</v>
      </c>
      <c r="H918" s="6">
        <v>0.8</v>
      </c>
      <c r="I918">
        <v>1</v>
      </c>
    </row>
    <row r="919" spans="1:9" x14ac:dyDescent="0.2">
      <c r="A919" s="2">
        <v>927</v>
      </c>
      <c r="B919">
        <v>927</v>
      </c>
      <c r="C919">
        <v>88</v>
      </c>
      <c r="D919">
        <f>VLOOKUP(C919,Course!$A$1:$C$229, 2, FALSE)</f>
        <v>0</v>
      </c>
      <c r="E919">
        <v>3</v>
      </c>
      <c r="F919" t="s">
        <v>1314</v>
      </c>
      <c r="G919">
        <v>1</v>
      </c>
      <c r="H919" s="6">
        <v>0.8</v>
      </c>
      <c r="I919">
        <v>1</v>
      </c>
    </row>
    <row r="920" spans="1:9" x14ac:dyDescent="0.2">
      <c r="A920" s="2">
        <v>928</v>
      </c>
      <c r="B920">
        <v>928</v>
      </c>
      <c r="C920">
        <v>88</v>
      </c>
      <c r="D920">
        <f>VLOOKUP(C920,Course!$A$1:$C$229, 2, FALSE)</f>
        <v>0</v>
      </c>
      <c r="E920">
        <v>4</v>
      </c>
      <c r="F920" t="s">
        <v>1315</v>
      </c>
      <c r="G920">
        <v>1</v>
      </c>
      <c r="H920" s="6">
        <v>0.8</v>
      </c>
      <c r="I920">
        <v>1</v>
      </c>
    </row>
    <row r="921" spans="1:9" x14ac:dyDescent="0.2">
      <c r="A921" s="2">
        <v>929</v>
      </c>
      <c r="B921">
        <v>929</v>
      </c>
      <c r="C921">
        <v>88</v>
      </c>
      <c r="D921">
        <f>VLOOKUP(C921,Course!$A$1:$C$229, 2, FALSE)</f>
        <v>0</v>
      </c>
      <c r="E921">
        <v>5</v>
      </c>
      <c r="F921" t="s">
        <v>1316</v>
      </c>
      <c r="G921">
        <v>1</v>
      </c>
      <c r="H921" s="6">
        <v>0.8</v>
      </c>
      <c r="I921">
        <v>1</v>
      </c>
    </row>
    <row r="922" spans="1:9" x14ac:dyDescent="0.2">
      <c r="A922" s="2">
        <v>930</v>
      </c>
      <c r="B922">
        <v>930</v>
      </c>
      <c r="C922">
        <v>90</v>
      </c>
      <c r="D922">
        <f>VLOOKUP(C922,Course!$A$1:$C$229, 2, FALSE)</f>
        <v>0</v>
      </c>
      <c r="E922">
        <v>109</v>
      </c>
      <c r="F922" t="s">
        <v>1317</v>
      </c>
      <c r="G922">
        <v>1</v>
      </c>
      <c r="H922" s="6">
        <v>0.8</v>
      </c>
      <c r="I922">
        <v>1</v>
      </c>
    </row>
    <row r="923" spans="1:9" x14ac:dyDescent="0.2">
      <c r="A923" s="2">
        <v>931</v>
      </c>
      <c r="B923">
        <v>931</v>
      </c>
      <c r="C923">
        <v>90</v>
      </c>
      <c r="D923">
        <f>VLOOKUP(C923,Course!$A$1:$C$229, 2, FALSE)</f>
        <v>0</v>
      </c>
      <c r="E923">
        <v>110</v>
      </c>
      <c r="F923" t="s">
        <v>1318</v>
      </c>
      <c r="G923">
        <v>1</v>
      </c>
      <c r="H923" s="6">
        <v>0.8</v>
      </c>
      <c r="I923">
        <v>1</v>
      </c>
    </row>
    <row r="924" spans="1:9" x14ac:dyDescent="0.2">
      <c r="A924" s="2">
        <v>932</v>
      </c>
      <c r="B924">
        <v>932</v>
      </c>
      <c r="C924">
        <v>90</v>
      </c>
      <c r="D924">
        <f>VLOOKUP(C924,Course!$A$1:$C$229, 2, FALSE)</f>
        <v>0</v>
      </c>
      <c r="E924">
        <v>111</v>
      </c>
      <c r="F924" t="s">
        <v>1319</v>
      </c>
      <c r="G924">
        <v>1</v>
      </c>
      <c r="H924" s="6">
        <v>0.8</v>
      </c>
      <c r="I924">
        <v>1</v>
      </c>
    </row>
    <row r="925" spans="1:9" x14ac:dyDescent="0.2">
      <c r="A925" s="2">
        <v>933</v>
      </c>
      <c r="B925">
        <v>933</v>
      </c>
      <c r="C925">
        <v>90</v>
      </c>
      <c r="D925">
        <f>VLOOKUP(C925,Course!$A$1:$C$229, 2, FALSE)</f>
        <v>0</v>
      </c>
      <c r="E925">
        <v>112</v>
      </c>
      <c r="F925" t="s">
        <v>1320</v>
      </c>
      <c r="G925">
        <v>1</v>
      </c>
      <c r="H925" s="6">
        <v>0.8</v>
      </c>
      <c r="I925">
        <v>1</v>
      </c>
    </row>
    <row r="926" spans="1:9" x14ac:dyDescent="0.2">
      <c r="A926" s="2">
        <v>934</v>
      </c>
      <c r="B926">
        <v>934</v>
      </c>
      <c r="C926">
        <v>90</v>
      </c>
      <c r="D926">
        <f>VLOOKUP(C926,Course!$A$1:$C$229, 2, FALSE)</f>
        <v>0</v>
      </c>
      <c r="E926">
        <v>113</v>
      </c>
      <c r="F926" t="s">
        <v>1321</v>
      </c>
      <c r="G926">
        <v>1</v>
      </c>
      <c r="H926" s="6">
        <v>0.8</v>
      </c>
      <c r="I926">
        <v>1</v>
      </c>
    </row>
    <row r="927" spans="1:9" x14ac:dyDescent="0.2">
      <c r="A927" s="2">
        <v>935</v>
      </c>
      <c r="B927">
        <v>935</v>
      </c>
      <c r="C927">
        <v>90</v>
      </c>
      <c r="D927">
        <f>VLOOKUP(C927,Course!$A$1:$C$229, 2, FALSE)</f>
        <v>0</v>
      </c>
      <c r="E927">
        <v>114</v>
      </c>
      <c r="F927" t="s">
        <v>1322</v>
      </c>
      <c r="G927">
        <v>1</v>
      </c>
      <c r="H927" s="6">
        <v>0.8</v>
      </c>
      <c r="I927">
        <v>1</v>
      </c>
    </row>
    <row r="928" spans="1:9" x14ac:dyDescent="0.2">
      <c r="A928" s="2">
        <v>936</v>
      </c>
      <c r="B928">
        <v>936</v>
      </c>
      <c r="C928">
        <v>90</v>
      </c>
      <c r="D928">
        <f>VLOOKUP(C928,Course!$A$1:$C$229, 2, FALSE)</f>
        <v>0</v>
      </c>
      <c r="E928">
        <v>115</v>
      </c>
      <c r="F928" t="s">
        <v>1323</v>
      </c>
      <c r="G928">
        <v>1</v>
      </c>
      <c r="H928" s="6">
        <v>0.8</v>
      </c>
      <c r="I928">
        <v>1</v>
      </c>
    </row>
    <row r="929" spans="1:9" x14ac:dyDescent="0.2">
      <c r="A929" s="2">
        <v>937</v>
      </c>
      <c r="B929">
        <v>937</v>
      </c>
      <c r="C929">
        <v>90</v>
      </c>
      <c r="D929">
        <f>VLOOKUP(C929,Course!$A$1:$C$229, 2, FALSE)</f>
        <v>0</v>
      </c>
      <c r="E929">
        <v>116</v>
      </c>
      <c r="F929" t="s">
        <v>1324</v>
      </c>
      <c r="G929">
        <v>1</v>
      </c>
      <c r="H929" s="6">
        <v>0.8</v>
      </c>
      <c r="I929">
        <v>1</v>
      </c>
    </row>
    <row r="930" spans="1:9" x14ac:dyDescent="0.2">
      <c r="A930" s="2">
        <v>938</v>
      </c>
      <c r="B930">
        <v>938</v>
      </c>
      <c r="C930">
        <v>90</v>
      </c>
      <c r="D930">
        <f>VLOOKUP(C930,Course!$A$1:$C$229, 2, FALSE)</f>
        <v>0</v>
      </c>
      <c r="E930">
        <v>117</v>
      </c>
      <c r="F930" t="s">
        <v>1325</v>
      </c>
      <c r="G930">
        <v>1</v>
      </c>
      <c r="H930" s="6">
        <v>0.8</v>
      </c>
      <c r="I930">
        <v>1</v>
      </c>
    </row>
    <row r="931" spans="1:9" x14ac:dyDescent="0.2">
      <c r="A931" s="2">
        <v>939</v>
      </c>
      <c r="B931">
        <v>939</v>
      </c>
      <c r="C931">
        <v>90</v>
      </c>
      <c r="D931">
        <f>VLOOKUP(C931,Course!$A$1:$C$229, 2, FALSE)</f>
        <v>0</v>
      </c>
      <c r="E931">
        <v>118</v>
      </c>
      <c r="F931" t="s">
        <v>1326</v>
      </c>
      <c r="G931">
        <v>1</v>
      </c>
      <c r="H931" s="6">
        <v>0.8</v>
      </c>
      <c r="I931">
        <v>1</v>
      </c>
    </row>
    <row r="932" spans="1:9" x14ac:dyDescent="0.2">
      <c r="A932" s="2">
        <v>940</v>
      </c>
      <c r="B932">
        <v>940</v>
      </c>
      <c r="C932">
        <v>90</v>
      </c>
      <c r="D932">
        <f>VLOOKUP(C932,Course!$A$1:$C$229, 2, FALSE)</f>
        <v>0</v>
      </c>
      <c r="E932">
        <v>119</v>
      </c>
      <c r="F932" t="s">
        <v>1327</v>
      </c>
      <c r="G932">
        <v>1</v>
      </c>
      <c r="H932" s="6">
        <v>0.8</v>
      </c>
      <c r="I932">
        <v>1</v>
      </c>
    </row>
    <row r="933" spans="1:9" x14ac:dyDescent="0.2">
      <c r="A933" s="2">
        <v>941</v>
      </c>
      <c r="B933">
        <v>941</v>
      </c>
      <c r="C933">
        <v>90</v>
      </c>
      <c r="D933">
        <f>VLOOKUP(C933,Course!$A$1:$C$229, 2, FALSE)</f>
        <v>0</v>
      </c>
      <c r="E933">
        <v>120</v>
      </c>
      <c r="F933" t="s">
        <v>1328</v>
      </c>
      <c r="G933">
        <v>1</v>
      </c>
      <c r="H933" s="6">
        <v>0.8</v>
      </c>
      <c r="I933">
        <v>1</v>
      </c>
    </row>
    <row r="934" spans="1:9" x14ac:dyDescent="0.2">
      <c r="A934" s="2">
        <v>942</v>
      </c>
      <c r="B934">
        <v>942</v>
      </c>
      <c r="C934">
        <v>91</v>
      </c>
      <c r="D934">
        <f>VLOOKUP(C934,Course!$A$1:$C$229, 2, FALSE)</f>
        <v>0</v>
      </c>
      <c r="E934">
        <v>1</v>
      </c>
      <c r="F934" t="s">
        <v>1329</v>
      </c>
      <c r="G934">
        <v>0.1</v>
      </c>
      <c r="H934" s="6">
        <v>0.8</v>
      </c>
      <c r="I934">
        <v>1</v>
      </c>
    </row>
    <row r="935" spans="1:9" x14ac:dyDescent="0.2">
      <c r="A935" s="2">
        <v>943</v>
      </c>
      <c r="B935">
        <v>943</v>
      </c>
      <c r="C935">
        <v>91</v>
      </c>
      <c r="D935">
        <f>VLOOKUP(C935,Course!$A$1:$C$229, 2, FALSE)</f>
        <v>0</v>
      </c>
      <c r="E935">
        <v>2</v>
      </c>
      <c r="F935" t="s">
        <v>1330</v>
      </c>
      <c r="G935">
        <v>0.1</v>
      </c>
      <c r="H935" s="6">
        <v>0.8</v>
      </c>
      <c r="I935">
        <v>1</v>
      </c>
    </row>
    <row r="936" spans="1:9" x14ac:dyDescent="0.2">
      <c r="A936" s="2">
        <v>944</v>
      </c>
      <c r="B936">
        <v>944</v>
      </c>
      <c r="C936">
        <v>91</v>
      </c>
      <c r="D936">
        <f>VLOOKUP(C936,Course!$A$1:$C$229, 2, FALSE)</f>
        <v>0</v>
      </c>
      <c r="E936">
        <v>3</v>
      </c>
      <c r="F936" t="s">
        <v>1331</v>
      </c>
      <c r="G936">
        <v>0.1</v>
      </c>
      <c r="H936" s="6">
        <v>0.8</v>
      </c>
      <c r="I936">
        <v>1</v>
      </c>
    </row>
    <row r="937" spans="1:9" x14ac:dyDescent="0.2">
      <c r="A937" s="2">
        <v>945</v>
      </c>
      <c r="B937">
        <v>945</v>
      </c>
      <c r="C937">
        <v>91</v>
      </c>
      <c r="D937">
        <f>VLOOKUP(C937,Course!$A$1:$C$229, 2, FALSE)</f>
        <v>0</v>
      </c>
      <c r="E937">
        <v>4</v>
      </c>
      <c r="F937" t="s">
        <v>1332</v>
      </c>
      <c r="G937">
        <v>0.1</v>
      </c>
      <c r="H937" s="6">
        <v>0.8</v>
      </c>
      <c r="I937">
        <v>1</v>
      </c>
    </row>
    <row r="938" spans="1:9" x14ac:dyDescent="0.2">
      <c r="A938" s="2">
        <v>946</v>
      </c>
      <c r="B938">
        <v>946</v>
      </c>
      <c r="C938">
        <v>91</v>
      </c>
      <c r="D938">
        <f>VLOOKUP(C938,Course!$A$1:$C$229, 2, FALSE)</f>
        <v>0</v>
      </c>
      <c r="E938">
        <v>5</v>
      </c>
      <c r="F938" t="s">
        <v>1333</v>
      </c>
      <c r="G938">
        <v>0.1</v>
      </c>
      <c r="H938" s="6">
        <v>0.8</v>
      </c>
      <c r="I938">
        <v>1</v>
      </c>
    </row>
    <row r="939" spans="1:9" x14ac:dyDescent="0.2">
      <c r="A939" s="2">
        <v>947</v>
      </c>
      <c r="B939">
        <v>947</v>
      </c>
      <c r="C939">
        <v>91</v>
      </c>
      <c r="D939">
        <f>VLOOKUP(C939,Course!$A$1:$C$229, 2, FALSE)</f>
        <v>0</v>
      </c>
      <c r="E939">
        <v>6</v>
      </c>
      <c r="F939" t="s">
        <v>1334</v>
      </c>
      <c r="G939">
        <v>0.1</v>
      </c>
      <c r="H939" s="6">
        <v>0.8</v>
      </c>
      <c r="I939">
        <v>1</v>
      </c>
    </row>
    <row r="940" spans="1:9" x14ac:dyDescent="0.2">
      <c r="A940" s="2">
        <v>948</v>
      </c>
      <c r="B940">
        <v>948</v>
      </c>
      <c r="C940">
        <v>91</v>
      </c>
      <c r="D940">
        <f>VLOOKUP(C940,Course!$A$1:$C$229, 2, FALSE)</f>
        <v>0</v>
      </c>
      <c r="E940">
        <v>7</v>
      </c>
      <c r="F940" t="s">
        <v>1335</v>
      </c>
      <c r="G940">
        <v>0.1</v>
      </c>
      <c r="H940" s="6">
        <v>0.8</v>
      </c>
      <c r="I940">
        <v>1</v>
      </c>
    </row>
    <row r="941" spans="1:9" x14ac:dyDescent="0.2">
      <c r="A941" s="2">
        <v>949</v>
      </c>
      <c r="B941">
        <v>949</v>
      </c>
      <c r="C941">
        <v>91</v>
      </c>
      <c r="D941">
        <f>VLOOKUP(C941,Course!$A$1:$C$229, 2, FALSE)</f>
        <v>0</v>
      </c>
      <c r="E941">
        <v>8</v>
      </c>
      <c r="F941" t="s">
        <v>1336</v>
      </c>
      <c r="G941">
        <v>0.1</v>
      </c>
      <c r="H941" s="6">
        <v>0.8</v>
      </c>
      <c r="I941">
        <v>1</v>
      </c>
    </row>
    <row r="942" spans="1:9" x14ac:dyDescent="0.2">
      <c r="A942" s="2">
        <v>950</v>
      </c>
      <c r="B942">
        <v>950</v>
      </c>
      <c r="C942">
        <v>91</v>
      </c>
      <c r="D942">
        <f>VLOOKUP(C942,Course!$A$1:$C$229, 2, FALSE)</f>
        <v>0</v>
      </c>
      <c r="E942">
        <v>9</v>
      </c>
      <c r="F942" t="s">
        <v>1337</v>
      </c>
      <c r="G942">
        <v>0.1</v>
      </c>
      <c r="H942" s="6">
        <v>0.8</v>
      </c>
      <c r="I942">
        <v>1</v>
      </c>
    </row>
    <row r="943" spans="1:9" x14ac:dyDescent="0.2">
      <c r="A943" s="2">
        <v>951</v>
      </c>
      <c r="B943">
        <v>951</v>
      </c>
      <c r="C943">
        <v>91</v>
      </c>
      <c r="D943">
        <f>VLOOKUP(C943,Course!$A$1:$C$229, 2, FALSE)</f>
        <v>0</v>
      </c>
      <c r="E943">
        <v>10</v>
      </c>
      <c r="F943" t="s">
        <v>1338</v>
      </c>
      <c r="G943">
        <v>0.1</v>
      </c>
      <c r="H943" s="6">
        <v>0.8</v>
      </c>
      <c r="I943">
        <v>1</v>
      </c>
    </row>
    <row r="944" spans="1:9" x14ac:dyDescent="0.2">
      <c r="A944" s="2">
        <v>952</v>
      </c>
      <c r="B944">
        <v>952</v>
      </c>
      <c r="C944" s="13">
        <v>92</v>
      </c>
      <c r="D944" s="13">
        <f>VLOOKUP(C944,Course!$A$1:$C$229, 2, FALSE)</f>
        <v>0</v>
      </c>
      <c r="E944" s="13">
        <v>3</v>
      </c>
      <c r="F944" t="s">
        <v>1957</v>
      </c>
      <c r="G944">
        <v>1</v>
      </c>
      <c r="H944" s="6">
        <v>0.8</v>
      </c>
      <c r="I944">
        <v>1</v>
      </c>
    </row>
    <row r="945" spans="1:9" x14ac:dyDescent="0.2">
      <c r="A945" s="2">
        <v>953</v>
      </c>
      <c r="B945">
        <v>953</v>
      </c>
      <c r="C945" s="13">
        <v>92</v>
      </c>
      <c r="D945" s="13">
        <f>VLOOKUP(C945,Course!$A$1:$C$229, 2, FALSE)</f>
        <v>0</v>
      </c>
      <c r="E945" s="13">
        <v>4</v>
      </c>
      <c r="F945" t="s">
        <v>1958</v>
      </c>
      <c r="G945">
        <v>1</v>
      </c>
      <c r="H945" s="6">
        <v>0.8</v>
      </c>
      <c r="I945">
        <v>1</v>
      </c>
    </row>
    <row r="946" spans="1:9" x14ac:dyDescent="0.2">
      <c r="A946" s="2">
        <v>954</v>
      </c>
      <c r="B946">
        <v>954</v>
      </c>
      <c r="C946">
        <v>93</v>
      </c>
      <c r="D946">
        <f>VLOOKUP(C946,Course!$A$1:$C$229, 2, FALSE)</f>
        <v>0</v>
      </c>
      <c r="E946">
        <v>1</v>
      </c>
      <c r="F946" t="s">
        <v>1339</v>
      </c>
      <c r="G946">
        <v>1</v>
      </c>
      <c r="H946" s="6">
        <v>0.8</v>
      </c>
      <c r="I946">
        <v>1</v>
      </c>
    </row>
    <row r="947" spans="1:9" x14ac:dyDescent="0.2">
      <c r="A947" s="2">
        <v>955</v>
      </c>
      <c r="B947">
        <v>955</v>
      </c>
      <c r="C947">
        <v>93</v>
      </c>
      <c r="D947">
        <f>VLOOKUP(C947,Course!$A$1:$C$229, 2, FALSE)</f>
        <v>0</v>
      </c>
      <c r="E947">
        <v>2</v>
      </c>
      <c r="F947" t="s">
        <v>1340</v>
      </c>
      <c r="G947">
        <v>1</v>
      </c>
      <c r="H947" s="6">
        <v>0.8</v>
      </c>
      <c r="I947">
        <v>1</v>
      </c>
    </row>
    <row r="948" spans="1:9" x14ac:dyDescent="0.2">
      <c r="A948" s="2">
        <v>956</v>
      </c>
      <c r="B948">
        <v>956</v>
      </c>
      <c r="C948">
        <v>93</v>
      </c>
      <c r="D948">
        <f>VLOOKUP(C948,Course!$A$1:$C$229, 2, FALSE)</f>
        <v>0</v>
      </c>
      <c r="E948">
        <v>3</v>
      </c>
      <c r="F948" t="s">
        <v>1341</v>
      </c>
      <c r="G948">
        <v>1</v>
      </c>
      <c r="H948" s="6">
        <v>0.8</v>
      </c>
      <c r="I948">
        <v>1</v>
      </c>
    </row>
    <row r="949" spans="1:9" x14ac:dyDescent="0.2">
      <c r="A949" s="2">
        <v>957</v>
      </c>
      <c r="B949">
        <v>957</v>
      </c>
      <c r="C949">
        <v>93</v>
      </c>
      <c r="D949">
        <f>VLOOKUP(C949,Course!$A$1:$C$229, 2, FALSE)</f>
        <v>0</v>
      </c>
      <c r="E949">
        <v>4</v>
      </c>
      <c r="F949" t="s">
        <v>1342</v>
      </c>
      <c r="G949">
        <v>1</v>
      </c>
      <c r="H949" s="6">
        <v>0.8</v>
      </c>
      <c r="I949">
        <v>1</v>
      </c>
    </row>
    <row r="950" spans="1:9" x14ac:dyDescent="0.2">
      <c r="A950" s="2">
        <v>958</v>
      </c>
      <c r="B950">
        <v>958</v>
      </c>
      <c r="C950">
        <v>93</v>
      </c>
      <c r="D950">
        <f>VLOOKUP(C950,Course!$A$1:$C$229, 2, FALSE)</f>
        <v>0</v>
      </c>
      <c r="E950">
        <v>5</v>
      </c>
      <c r="F950" t="s">
        <v>1343</v>
      </c>
      <c r="G950">
        <v>1</v>
      </c>
      <c r="H950" s="6">
        <v>0.8</v>
      </c>
      <c r="I950">
        <v>1</v>
      </c>
    </row>
    <row r="951" spans="1:9" x14ac:dyDescent="0.2">
      <c r="A951" s="2">
        <v>959</v>
      </c>
      <c r="B951">
        <v>959</v>
      </c>
      <c r="C951">
        <v>94</v>
      </c>
      <c r="D951">
        <f>VLOOKUP(C951,Course!$A$1:$C$229, 2, FALSE)</f>
        <v>0</v>
      </c>
      <c r="E951">
        <v>133</v>
      </c>
      <c r="F951" t="s">
        <v>1344</v>
      </c>
      <c r="G951">
        <v>1</v>
      </c>
      <c r="H951" s="6">
        <v>0.8</v>
      </c>
      <c r="I951">
        <v>1</v>
      </c>
    </row>
    <row r="952" spans="1:9" x14ac:dyDescent="0.2">
      <c r="A952" s="2">
        <v>960</v>
      </c>
      <c r="B952">
        <v>960</v>
      </c>
      <c r="C952">
        <v>94</v>
      </c>
      <c r="D952">
        <f>VLOOKUP(C952,Course!$A$1:$C$229, 2, FALSE)</f>
        <v>0</v>
      </c>
      <c r="E952">
        <v>134</v>
      </c>
      <c r="F952" t="s">
        <v>1345</v>
      </c>
      <c r="G952">
        <v>1</v>
      </c>
      <c r="H952" s="6">
        <v>0.8</v>
      </c>
      <c r="I952">
        <v>1</v>
      </c>
    </row>
    <row r="953" spans="1:9" x14ac:dyDescent="0.2">
      <c r="A953" s="2">
        <v>961</v>
      </c>
      <c r="B953">
        <v>961</v>
      </c>
      <c r="C953">
        <v>94</v>
      </c>
      <c r="D953">
        <f>VLOOKUP(C953,Course!$A$1:$C$229, 2, FALSE)</f>
        <v>0</v>
      </c>
      <c r="E953">
        <v>135</v>
      </c>
      <c r="F953" t="s">
        <v>1346</v>
      </c>
      <c r="G953">
        <v>1</v>
      </c>
      <c r="H953" s="6">
        <v>0.8</v>
      </c>
      <c r="I953">
        <v>1</v>
      </c>
    </row>
    <row r="954" spans="1:9" x14ac:dyDescent="0.2">
      <c r="A954" s="2">
        <v>962</v>
      </c>
      <c r="B954">
        <v>962</v>
      </c>
      <c r="C954">
        <v>94</v>
      </c>
      <c r="D954">
        <f>VLOOKUP(C954,Course!$A$1:$C$229, 2, FALSE)</f>
        <v>0</v>
      </c>
      <c r="E954">
        <v>136</v>
      </c>
      <c r="F954" t="s">
        <v>1347</v>
      </c>
      <c r="G954">
        <v>1</v>
      </c>
      <c r="H954" s="6">
        <v>0.8</v>
      </c>
      <c r="I954">
        <v>1</v>
      </c>
    </row>
    <row r="955" spans="1:9" x14ac:dyDescent="0.2">
      <c r="A955" s="2">
        <v>963</v>
      </c>
      <c r="B955">
        <v>963</v>
      </c>
      <c r="C955">
        <v>94</v>
      </c>
      <c r="D955">
        <f>VLOOKUP(C955,Course!$A$1:$C$229, 2, FALSE)</f>
        <v>0</v>
      </c>
      <c r="E955">
        <v>137</v>
      </c>
      <c r="F955" t="s">
        <v>1348</v>
      </c>
      <c r="G955">
        <v>1</v>
      </c>
      <c r="H955" s="6">
        <v>0.8</v>
      </c>
      <c r="I955">
        <v>1</v>
      </c>
    </row>
    <row r="956" spans="1:9" x14ac:dyDescent="0.2">
      <c r="A956" s="2">
        <v>964</v>
      </c>
      <c r="B956">
        <v>964</v>
      </c>
      <c r="C956">
        <v>94</v>
      </c>
      <c r="D956">
        <f>VLOOKUP(C956,Course!$A$1:$C$229, 2, FALSE)</f>
        <v>0</v>
      </c>
      <c r="E956">
        <v>138</v>
      </c>
      <c r="F956" t="s">
        <v>1349</v>
      </c>
      <c r="G956">
        <v>1</v>
      </c>
      <c r="H956" s="6">
        <v>0.8</v>
      </c>
      <c r="I956">
        <v>1</v>
      </c>
    </row>
    <row r="957" spans="1:9" x14ac:dyDescent="0.2">
      <c r="A957" s="2">
        <v>965</v>
      </c>
      <c r="B957">
        <v>965</v>
      </c>
      <c r="C957">
        <v>95</v>
      </c>
      <c r="D957" t="str">
        <f>VLOOKUP(C957,Course!$A$1:$C$229, 2, FALSE)</f>
        <v>Biblical Studies II</v>
      </c>
      <c r="E957">
        <v>109</v>
      </c>
      <c r="F957" t="s">
        <v>1350</v>
      </c>
      <c r="G957">
        <v>1</v>
      </c>
      <c r="H957" s="6">
        <v>0.8</v>
      </c>
      <c r="I957">
        <v>1</v>
      </c>
    </row>
    <row r="958" spans="1:9" x14ac:dyDescent="0.2">
      <c r="A958" s="2">
        <v>966</v>
      </c>
      <c r="B958">
        <v>966</v>
      </c>
      <c r="C958">
        <v>95</v>
      </c>
      <c r="D958" t="str">
        <f>VLOOKUP(C958,Course!$A$1:$C$229, 2, FALSE)</f>
        <v>Biblical Studies II</v>
      </c>
      <c r="E958">
        <v>110</v>
      </c>
      <c r="F958" t="s">
        <v>1351</v>
      </c>
      <c r="G958">
        <v>1</v>
      </c>
      <c r="H958" s="6">
        <v>0.8</v>
      </c>
      <c r="I958">
        <v>1</v>
      </c>
    </row>
    <row r="959" spans="1:9" x14ac:dyDescent="0.2">
      <c r="A959" s="2">
        <v>967</v>
      </c>
      <c r="B959">
        <v>967</v>
      </c>
      <c r="C959">
        <v>95</v>
      </c>
      <c r="D959" t="str">
        <f>VLOOKUP(C959,Course!$A$1:$C$229, 2, FALSE)</f>
        <v>Biblical Studies II</v>
      </c>
      <c r="E959">
        <v>111</v>
      </c>
      <c r="F959" t="s">
        <v>1352</v>
      </c>
      <c r="G959">
        <v>1</v>
      </c>
      <c r="H959" s="6">
        <v>0.8</v>
      </c>
      <c r="I959">
        <v>1</v>
      </c>
    </row>
    <row r="960" spans="1:9" x14ac:dyDescent="0.2">
      <c r="A960" s="2">
        <v>968</v>
      </c>
      <c r="B960">
        <v>968</v>
      </c>
      <c r="C960">
        <v>95</v>
      </c>
      <c r="D960" t="str">
        <f>VLOOKUP(C960,Course!$A$1:$C$229, 2, FALSE)</f>
        <v>Biblical Studies II</v>
      </c>
      <c r="E960">
        <v>112</v>
      </c>
      <c r="F960" t="s">
        <v>1353</v>
      </c>
      <c r="G960">
        <v>1</v>
      </c>
      <c r="H960" s="6">
        <v>0.8</v>
      </c>
      <c r="I960">
        <v>1</v>
      </c>
    </row>
    <row r="961" spans="1:9" x14ac:dyDescent="0.2">
      <c r="A961" s="2">
        <v>969</v>
      </c>
      <c r="B961">
        <v>969</v>
      </c>
      <c r="C961">
        <v>95</v>
      </c>
      <c r="D961" t="str">
        <f>VLOOKUP(C961,Course!$A$1:$C$229, 2, FALSE)</f>
        <v>Biblical Studies II</v>
      </c>
      <c r="E961">
        <v>113</v>
      </c>
      <c r="F961" t="s">
        <v>1354</v>
      </c>
      <c r="G961">
        <v>1</v>
      </c>
      <c r="H961" s="6">
        <v>0.8</v>
      </c>
      <c r="I961">
        <v>1</v>
      </c>
    </row>
    <row r="962" spans="1:9" x14ac:dyDescent="0.2">
      <c r="A962" s="2">
        <v>970</v>
      </c>
      <c r="B962">
        <v>970</v>
      </c>
      <c r="C962">
        <v>95</v>
      </c>
      <c r="D962" t="str">
        <f>VLOOKUP(C962,Course!$A$1:$C$229, 2, FALSE)</f>
        <v>Biblical Studies II</v>
      </c>
      <c r="E962">
        <v>114</v>
      </c>
      <c r="F962" t="s">
        <v>1355</v>
      </c>
      <c r="G962">
        <v>1</v>
      </c>
      <c r="H962" s="6">
        <v>0.8</v>
      </c>
      <c r="I962">
        <v>1</v>
      </c>
    </row>
    <row r="963" spans="1:9" x14ac:dyDescent="0.2">
      <c r="A963" s="2">
        <v>971</v>
      </c>
      <c r="B963">
        <v>971</v>
      </c>
      <c r="C963">
        <v>95</v>
      </c>
      <c r="D963" t="str">
        <f>VLOOKUP(C963,Course!$A$1:$C$229, 2, FALSE)</f>
        <v>Biblical Studies II</v>
      </c>
      <c r="E963">
        <v>115</v>
      </c>
      <c r="F963" t="s">
        <v>1356</v>
      </c>
      <c r="G963">
        <v>1</v>
      </c>
      <c r="H963" s="6">
        <v>0.8</v>
      </c>
      <c r="I963">
        <v>1</v>
      </c>
    </row>
    <row r="964" spans="1:9" x14ac:dyDescent="0.2">
      <c r="A964" s="2">
        <v>972</v>
      </c>
      <c r="B964">
        <v>972</v>
      </c>
      <c r="C964">
        <v>95</v>
      </c>
      <c r="D964" t="str">
        <f>VLOOKUP(C964,Course!$A$1:$C$229, 2, FALSE)</f>
        <v>Biblical Studies II</v>
      </c>
      <c r="E964">
        <v>116</v>
      </c>
      <c r="F964" t="s">
        <v>1357</v>
      </c>
      <c r="G964">
        <v>1</v>
      </c>
      <c r="H964" s="6">
        <v>0.8</v>
      </c>
      <c r="I964">
        <v>1</v>
      </c>
    </row>
    <row r="965" spans="1:9" x14ac:dyDescent="0.2">
      <c r="A965" s="2">
        <v>973</v>
      </c>
      <c r="B965">
        <v>973</v>
      </c>
      <c r="C965">
        <v>95</v>
      </c>
      <c r="D965" t="str">
        <f>VLOOKUP(C965,Course!$A$1:$C$229, 2, FALSE)</f>
        <v>Biblical Studies II</v>
      </c>
      <c r="E965">
        <v>117</v>
      </c>
      <c r="F965" t="s">
        <v>1358</v>
      </c>
      <c r="G965">
        <v>1</v>
      </c>
      <c r="H965" s="6">
        <v>0.8</v>
      </c>
      <c r="I965">
        <v>1</v>
      </c>
    </row>
    <row r="966" spans="1:9" x14ac:dyDescent="0.2">
      <c r="A966" s="2">
        <v>974</v>
      </c>
      <c r="B966">
        <v>974</v>
      </c>
      <c r="C966">
        <v>95</v>
      </c>
      <c r="D966" t="str">
        <f>VLOOKUP(C966,Course!$A$1:$C$229, 2, FALSE)</f>
        <v>Biblical Studies II</v>
      </c>
      <c r="E966">
        <v>118</v>
      </c>
      <c r="F966" t="s">
        <v>1359</v>
      </c>
      <c r="G966">
        <v>1</v>
      </c>
      <c r="H966" s="6">
        <v>0.8</v>
      </c>
      <c r="I966">
        <v>1</v>
      </c>
    </row>
    <row r="967" spans="1:9" x14ac:dyDescent="0.2">
      <c r="A967" s="2">
        <v>975</v>
      </c>
      <c r="B967">
        <v>975</v>
      </c>
      <c r="C967">
        <v>95</v>
      </c>
      <c r="D967" t="str">
        <f>VLOOKUP(C967,Course!$A$1:$C$229, 2, FALSE)</f>
        <v>Biblical Studies II</v>
      </c>
      <c r="E967">
        <v>119</v>
      </c>
      <c r="F967" t="s">
        <v>1360</v>
      </c>
      <c r="G967">
        <v>1</v>
      </c>
      <c r="H967" s="6">
        <v>0.8</v>
      </c>
      <c r="I967">
        <v>1</v>
      </c>
    </row>
    <row r="968" spans="1:9" x14ac:dyDescent="0.2">
      <c r="A968" s="2">
        <v>976</v>
      </c>
      <c r="B968">
        <v>976</v>
      </c>
      <c r="C968">
        <v>95</v>
      </c>
      <c r="D968" t="str">
        <f>VLOOKUP(C968,Course!$A$1:$C$229, 2, FALSE)</f>
        <v>Biblical Studies II</v>
      </c>
      <c r="E968">
        <v>120</v>
      </c>
      <c r="F968" t="s">
        <v>1361</v>
      </c>
      <c r="G968">
        <v>1</v>
      </c>
      <c r="H968" s="6">
        <v>0.8</v>
      </c>
      <c r="I968">
        <v>1</v>
      </c>
    </row>
    <row r="969" spans="1:9" x14ac:dyDescent="0.2">
      <c r="A969" s="2">
        <v>977</v>
      </c>
      <c r="B969">
        <v>977</v>
      </c>
      <c r="C969">
        <v>96</v>
      </c>
      <c r="D969">
        <f>VLOOKUP(C969,Course!$A$1:$C$229, 2, FALSE)</f>
        <v>0</v>
      </c>
      <c r="E969">
        <v>109</v>
      </c>
      <c r="F969" t="s">
        <v>1362</v>
      </c>
      <c r="G969">
        <v>1</v>
      </c>
      <c r="H969" s="6">
        <v>0.8</v>
      </c>
      <c r="I969">
        <v>1</v>
      </c>
    </row>
    <row r="970" spans="1:9" x14ac:dyDescent="0.2">
      <c r="A970" s="2">
        <v>978</v>
      </c>
      <c r="B970">
        <v>978</v>
      </c>
      <c r="C970">
        <v>96</v>
      </c>
      <c r="D970">
        <f>VLOOKUP(C970,Course!$A$1:$C$229, 2, FALSE)</f>
        <v>0</v>
      </c>
      <c r="E970">
        <v>110</v>
      </c>
      <c r="F970" t="s">
        <v>1363</v>
      </c>
      <c r="G970">
        <v>1</v>
      </c>
      <c r="H970" s="6">
        <v>0.8</v>
      </c>
      <c r="I970">
        <v>1</v>
      </c>
    </row>
    <row r="971" spans="1:9" x14ac:dyDescent="0.2">
      <c r="A971" s="2">
        <v>979</v>
      </c>
      <c r="B971">
        <v>979</v>
      </c>
      <c r="C971">
        <v>96</v>
      </c>
      <c r="D971">
        <f>VLOOKUP(C971,Course!$A$1:$C$229, 2, FALSE)</f>
        <v>0</v>
      </c>
      <c r="E971">
        <v>111</v>
      </c>
      <c r="F971" t="s">
        <v>1364</v>
      </c>
      <c r="G971">
        <v>1</v>
      </c>
      <c r="H971" s="6">
        <v>0.8</v>
      </c>
      <c r="I971">
        <v>1</v>
      </c>
    </row>
    <row r="972" spans="1:9" x14ac:dyDescent="0.2">
      <c r="A972" s="2">
        <v>980</v>
      </c>
      <c r="B972">
        <v>980</v>
      </c>
      <c r="C972">
        <v>96</v>
      </c>
      <c r="D972">
        <f>VLOOKUP(C972,Course!$A$1:$C$229, 2, FALSE)</f>
        <v>0</v>
      </c>
      <c r="E972">
        <v>112</v>
      </c>
      <c r="F972" t="s">
        <v>1365</v>
      </c>
      <c r="G972">
        <v>1</v>
      </c>
      <c r="H972" s="6">
        <v>0.8</v>
      </c>
      <c r="I972">
        <v>1</v>
      </c>
    </row>
    <row r="973" spans="1:9" x14ac:dyDescent="0.2">
      <c r="A973" s="2">
        <v>981</v>
      </c>
      <c r="B973">
        <v>981</v>
      </c>
      <c r="C973">
        <v>96</v>
      </c>
      <c r="D973">
        <f>VLOOKUP(C973,Course!$A$1:$C$229, 2, FALSE)</f>
        <v>0</v>
      </c>
      <c r="E973">
        <v>113</v>
      </c>
      <c r="F973" t="s">
        <v>1366</v>
      </c>
      <c r="G973">
        <v>1</v>
      </c>
      <c r="H973" s="6">
        <v>0.8</v>
      </c>
      <c r="I973">
        <v>1</v>
      </c>
    </row>
    <row r="974" spans="1:9" x14ac:dyDescent="0.2">
      <c r="A974" s="2">
        <v>982</v>
      </c>
      <c r="B974">
        <v>982</v>
      </c>
      <c r="C974">
        <v>96</v>
      </c>
      <c r="D974">
        <f>VLOOKUP(C974,Course!$A$1:$C$229, 2, FALSE)</f>
        <v>0</v>
      </c>
      <c r="E974">
        <v>114</v>
      </c>
      <c r="F974" t="s">
        <v>1367</v>
      </c>
      <c r="G974">
        <v>1</v>
      </c>
      <c r="H974" s="6">
        <v>0.8</v>
      </c>
      <c r="I974">
        <v>1</v>
      </c>
    </row>
    <row r="975" spans="1:9" x14ac:dyDescent="0.2">
      <c r="A975" s="2">
        <v>983</v>
      </c>
      <c r="B975">
        <v>983</v>
      </c>
      <c r="C975">
        <v>98</v>
      </c>
      <c r="D975">
        <f>VLOOKUP(C975,Course!$A$1:$C$229, 2, FALSE)</f>
        <v>0</v>
      </c>
      <c r="E975">
        <v>121</v>
      </c>
      <c r="F975" t="s">
        <v>1368</v>
      </c>
      <c r="G975">
        <v>1</v>
      </c>
      <c r="H975" s="6">
        <v>0.8</v>
      </c>
      <c r="I975">
        <v>1</v>
      </c>
    </row>
    <row r="976" spans="1:9" x14ac:dyDescent="0.2">
      <c r="A976" s="2">
        <v>984</v>
      </c>
      <c r="B976">
        <v>984</v>
      </c>
      <c r="C976">
        <v>98</v>
      </c>
      <c r="D976">
        <f>VLOOKUP(C976,Course!$A$1:$C$229, 2, FALSE)</f>
        <v>0</v>
      </c>
      <c r="E976">
        <v>122</v>
      </c>
      <c r="F976" t="s">
        <v>1369</v>
      </c>
      <c r="G976">
        <v>1</v>
      </c>
      <c r="H976" s="6">
        <v>0.8</v>
      </c>
      <c r="I976">
        <v>1</v>
      </c>
    </row>
    <row r="977" spans="1:9" x14ac:dyDescent="0.2">
      <c r="A977" s="2">
        <v>985</v>
      </c>
      <c r="B977">
        <v>985</v>
      </c>
      <c r="C977">
        <v>98</v>
      </c>
      <c r="D977">
        <f>VLOOKUP(C977,Course!$A$1:$C$229, 2, FALSE)</f>
        <v>0</v>
      </c>
      <c r="E977">
        <v>123</v>
      </c>
      <c r="F977" t="s">
        <v>1370</v>
      </c>
      <c r="G977">
        <v>1</v>
      </c>
      <c r="H977" s="6">
        <v>0.8</v>
      </c>
      <c r="I977">
        <v>1</v>
      </c>
    </row>
    <row r="978" spans="1:9" x14ac:dyDescent="0.2">
      <c r="A978" s="2">
        <v>986</v>
      </c>
      <c r="B978">
        <v>986</v>
      </c>
      <c r="C978">
        <v>98</v>
      </c>
      <c r="D978">
        <f>VLOOKUP(C978,Course!$A$1:$C$229, 2, FALSE)</f>
        <v>0</v>
      </c>
      <c r="E978">
        <v>124</v>
      </c>
      <c r="F978" t="s">
        <v>1371</v>
      </c>
      <c r="G978">
        <v>1</v>
      </c>
      <c r="H978" s="6">
        <v>0.8</v>
      </c>
      <c r="I978">
        <v>1</v>
      </c>
    </row>
    <row r="979" spans="1:9" x14ac:dyDescent="0.2">
      <c r="A979" s="2">
        <v>987</v>
      </c>
      <c r="B979">
        <v>987</v>
      </c>
      <c r="C979">
        <v>98</v>
      </c>
      <c r="D979">
        <f>VLOOKUP(C979,Course!$A$1:$C$229, 2, FALSE)</f>
        <v>0</v>
      </c>
      <c r="E979">
        <v>125</v>
      </c>
      <c r="F979" t="s">
        <v>1372</v>
      </c>
      <c r="G979">
        <v>1</v>
      </c>
      <c r="H979" s="6">
        <v>0.8</v>
      </c>
      <c r="I979">
        <v>1</v>
      </c>
    </row>
    <row r="980" spans="1:9" x14ac:dyDescent="0.2">
      <c r="A980" s="2">
        <v>988</v>
      </c>
      <c r="B980">
        <v>988</v>
      </c>
      <c r="C980">
        <v>98</v>
      </c>
      <c r="D980">
        <f>VLOOKUP(C980,Course!$A$1:$C$229, 2, FALSE)</f>
        <v>0</v>
      </c>
      <c r="E980">
        <v>126</v>
      </c>
      <c r="F980" t="s">
        <v>1373</v>
      </c>
      <c r="G980">
        <v>1</v>
      </c>
      <c r="H980" s="6">
        <v>0.8</v>
      </c>
      <c r="I980">
        <v>1</v>
      </c>
    </row>
    <row r="981" spans="1:9" x14ac:dyDescent="0.2">
      <c r="A981" s="2">
        <v>989</v>
      </c>
      <c r="B981">
        <v>989</v>
      </c>
      <c r="C981">
        <v>98</v>
      </c>
      <c r="D981">
        <f>VLOOKUP(C981,Course!$A$1:$C$229, 2, FALSE)</f>
        <v>0</v>
      </c>
      <c r="E981">
        <v>127</v>
      </c>
      <c r="F981" t="s">
        <v>1374</v>
      </c>
      <c r="G981">
        <v>1</v>
      </c>
      <c r="H981" s="6">
        <v>0.8</v>
      </c>
      <c r="I981">
        <v>1</v>
      </c>
    </row>
    <row r="982" spans="1:9" x14ac:dyDescent="0.2">
      <c r="A982" s="2">
        <v>990</v>
      </c>
      <c r="B982">
        <v>990</v>
      </c>
      <c r="C982">
        <v>98</v>
      </c>
      <c r="D982">
        <f>VLOOKUP(C982,Course!$A$1:$C$229, 2, FALSE)</f>
        <v>0</v>
      </c>
      <c r="E982">
        <v>128</v>
      </c>
      <c r="F982" t="s">
        <v>1375</v>
      </c>
      <c r="G982">
        <v>1</v>
      </c>
      <c r="H982" s="6">
        <v>0.8</v>
      </c>
      <c r="I982">
        <v>1</v>
      </c>
    </row>
    <row r="983" spans="1:9" x14ac:dyDescent="0.2">
      <c r="A983" s="2">
        <v>991</v>
      </c>
      <c r="B983">
        <v>991</v>
      </c>
      <c r="C983">
        <v>98</v>
      </c>
      <c r="D983">
        <f>VLOOKUP(C983,Course!$A$1:$C$229, 2, FALSE)</f>
        <v>0</v>
      </c>
      <c r="E983">
        <v>129</v>
      </c>
      <c r="F983" t="s">
        <v>1376</v>
      </c>
      <c r="G983">
        <v>1</v>
      </c>
      <c r="H983" s="6">
        <v>0.8</v>
      </c>
      <c r="I983">
        <v>1</v>
      </c>
    </row>
    <row r="984" spans="1:9" x14ac:dyDescent="0.2">
      <c r="A984" s="2">
        <v>992</v>
      </c>
      <c r="B984">
        <v>992</v>
      </c>
      <c r="C984">
        <v>98</v>
      </c>
      <c r="D984">
        <f>VLOOKUP(C984,Course!$A$1:$C$229, 2, FALSE)</f>
        <v>0</v>
      </c>
      <c r="E984">
        <v>130</v>
      </c>
      <c r="F984" t="s">
        <v>1377</v>
      </c>
      <c r="G984">
        <v>1</v>
      </c>
      <c r="H984" s="6">
        <v>0.8</v>
      </c>
      <c r="I984">
        <v>1</v>
      </c>
    </row>
    <row r="985" spans="1:9" x14ac:dyDescent="0.2">
      <c r="A985" s="2">
        <v>993</v>
      </c>
      <c r="B985">
        <v>993</v>
      </c>
      <c r="C985">
        <v>98</v>
      </c>
      <c r="D985">
        <f>VLOOKUP(C985,Course!$A$1:$C$229, 2, FALSE)</f>
        <v>0</v>
      </c>
      <c r="E985">
        <v>131</v>
      </c>
      <c r="F985" t="s">
        <v>1378</v>
      </c>
      <c r="G985">
        <v>1</v>
      </c>
      <c r="H985" s="6">
        <v>0.8</v>
      </c>
      <c r="I985">
        <v>1</v>
      </c>
    </row>
    <row r="986" spans="1:9" x14ac:dyDescent="0.2">
      <c r="A986" s="2">
        <v>994</v>
      </c>
      <c r="B986">
        <v>994</v>
      </c>
      <c r="C986">
        <v>98</v>
      </c>
      <c r="D986">
        <f>VLOOKUP(C986,Course!$A$1:$C$229, 2, FALSE)</f>
        <v>0</v>
      </c>
      <c r="E986">
        <v>132</v>
      </c>
      <c r="F986" t="s">
        <v>1379</v>
      </c>
      <c r="G986">
        <v>1</v>
      </c>
      <c r="H986" s="6">
        <v>0.8</v>
      </c>
      <c r="I986">
        <v>1</v>
      </c>
    </row>
    <row r="987" spans="1:9" x14ac:dyDescent="0.2">
      <c r="A987" s="2">
        <v>995</v>
      </c>
      <c r="B987">
        <v>995</v>
      </c>
      <c r="C987">
        <v>99</v>
      </c>
      <c r="D987">
        <f>VLOOKUP(C987,Course!$A$1:$C$229, 2, FALSE)</f>
        <v>0</v>
      </c>
      <c r="E987">
        <v>1</v>
      </c>
      <c r="F987" t="s">
        <v>1380</v>
      </c>
      <c r="G987">
        <v>1</v>
      </c>
      <c r="H987" s="6">
        <v>0.8</v>
      </c>
      <c r="I987">
        <v>1</v>
      </c>
    </row>
    <row r="988" spans="1:9" x14ac:dyDescent="0.2">
      <c r="A988" s="2">
        <v>996</v>
      </c>
      <c r="B988">
        <v>996</v>
      </c>
      <c r="C988">
        <v>99</v>
      </c>
      <c r="D988">
        <f>VLOOKUP(C988,Course!$A$1:$C$229, 2, FALSE)</f>
        <v>0</v>
      </c>
      <c r="E988">
        <v>2</v>
      </c>
      <c r="F988" t="s">
        <v>1381</v>
      </c>
      <c r="G988">
        <v>1</v>
      </c>
      <c r="H988" s="6">
        <v>0.8</v>
      </c>
      <c r="I988">
        <v>1</v>
      </c>
    </row>
    <row r="989" spans="1:9" x14ac:dyDescent="0.2">
      <c r="A989" s="2">
        <v>997</v>
      </c>
      <c r="B989">
        <v>997</v>
      </c>
      <c r="C989">
        <v>99</v>
      </c>
      <c r="D989">
        <f>VLOOKUP(C989,Course!$A$1:$C$229, 2, FALSE)</f>
        <v>0</v>
      </c>
      <c r="E989">
        <v>3</v>
      </c>
      <c r="F989" t="s">
        <v>1382</v>
      </c>
      <c r="G989">
        <v>1</v>
      </c>
      <c r="H989" s="6">
        <v>0.8</v>
      </c>
      <c r="I989">
        <v>1</v>
      </c>
    </row>
    <row r="990" spans="1:9" x14ac:dyDescent="0.2">
      <c r="A990" s="2">
        <v>998</v>
      </c>
      <c r="B990">
        <v>998</v>
      </c>
      <c r="C990">
        <v>99</v>
      </c>
      <c r="D990">
        <f>VLOOKUP(C990,Course!$A$1:$C$229, 2, FALSE)</f>
        <v>0</v>
      </c>
      <c r="E990">
        <v>4</v>
      </c>
      <c r="F990" t="s">
        <v>1383</v>
      </c>
      <c r="G990">
        <v>1</v>
      </c>
      <c r="H990" s="6">
        <v>0.8</v>
      </c>
      <c r="I990">
        <v>1</v>
      </c>
    </row>
    <row r="991" spans="1:9" x14ac:dyDescent="0.2">
      <c r="A991" s="2">
        <v>999</v>
      </c>
      <c r="B991">
        <v>999</v>
      </c>
      <c r="C991">
        <v>99</v>
      </c>
      <c r="D991">
        <f>VLOOKUP(C991,Course!$A$1:$C$229, 2, FALSE)</f>
        <v>0</v>
      </c>
      <c r="E991">
        <v>5</v>
      </c>
      <c r="F991" t="s">
        <v>1384</v>
      </c>
      <c r="G991">
        <v>1</v>
      </c>
      <c r="H991" s="6">
        <v>0.8</v>
      </c>
      <c r="I991">
        <v>1</v>
      </c>
    </row>
    <row r="992" spans="1:9" x14ac:dyDescent="0.2">
      <c r="A992" s="2">
        <v>1000</v>
      </c>
      <c r="B992">
        <v>1000</v>
      </c>
      <c r="C992">
        <v>101</v>
      </c>
      <c r="D992">
        <f>VLOOKUP(C992,Course!$A$1:$C$229, 2, FALSE)</f>
        <v>0</v>
      </c>
      <c r="E992">
        <v>121</v>
      </c>
      <c r="F992" t="s">
        <v>556</v>
      </c>
      <c r="G992">
        <v>1</v>
      </c>
      <c r="H992" s="6">
        <v>0.8</v>
      </c>
      <c r="I992">
        <v>1</v>
      </c>
    </row>
    <row r="993" spans="1:9" x14ac:dyDescent="0.2">
      <c r="A993" s="2">
        <v>1001</v>
      </c>
      <c r="B993">
        <v>1001</v>
      </c>
      <c r="C993">
        <v>101</v>
      </c>
      <c r="D993">
        <f>VLOOKUP(C993,Course!$A$1:$C$229, 2, FALSE)</f>
        <v>0</v>
      </c>
      <c r="E993">
        <v>122</v>
      </c>
      <c r="F993" t="s">
        <v>557</v>
      </c>
      <c r="G993">
        <v>1</v>
      </c>
      <c r="H993" s="6">
        <v>0.8</v>
      </c>
      <c r="I993">
        <v>1</v>
      </c>
    </row>
    <row r="994" spans="1:9" x14ac:dyDescent="0.2">
      <c r="A994" s="2">
        <v>1002</v>
      </c>
      <c r="B994">
        <v>1002</v>
      </c>
      <c r="C994">
        <v>101</v>
      </c>
      <c r="D994">
        <f>VLOOKUP(C994,Course!$A$1:$C$229, 2, FALSE)</f>
        <v>0</v>
      </c>
      <c r="E994">
        <v>123</v>
      </c>
      <c r="F994" t="s">
        <v>558</v>
      </c>
      <c r="G994">
        <v>1</v>
      </c>
      <c r="H994" s="6">
        <v>0.8</v>
      </c>
      <c r="I994">
        <v>1</v>
      </c>
    </row>
    <row r="995" spans="1:9" x14ac:dyDescent="0.2">
      <c r="A995" s="2">
        <v>1003</v>
      </c>
      <c r="B995">
        <v>1003</v>
      </c>
      <c r="C995">
        <v>101</v>
      </c>
      <c r="D995">
        <f>VLOOKUP(C995,Course!$A$1:$C$229, 2, FALSE)</f>
        <v>0</v>
      </c>
      <c r="E995">
        <v>124</v>
      </c>
      <c r="F995" t="s">
        <v>559</v>
      </c>
      <c r="G995">
        <v>1</v>
      </c>
      <c r="H995" s="6">
        <v>0.8</v>
      </c>
      <c r="I995">
        <v>1</v>
      </c>
    </row>
    <row r="996" spans="1:9" x14ac:dyDescent="0.2">
      <c r="A996" s="2">
        <v>1004</v>
      </c>
      <c r="B996">
        <v>1004</v>
      </c>
      <c r="C996">
        <v>101</v>
      </c>
      <c r="D996">
        <f>VLOOKUP(C996,Course!$A$1:$C$229, 2, FALSE)</f>
        <v>0</v>
      </c>
      <c r="E996">
        <v>125</v>
      </c>
      <c r="F996" t="s">
        <v>632</v>
      </c>
      <c r="G996">
        <v>1</v>
      </c>
      <c r="H996" s="6">
        <v>0.8</v>
      </c>
      <c r="I996">
        <v>1</v>
      </c>
    </row>
    <row r="997" spans="1:9" x14ac:dyDescent="0.2">
      <c r="A997" s="2">
        <v>1005</v>
      </c>
      <c r="B997">
        <v>1005</v>
      </c>
      <c r="C997">
        <v>101</v>
      </c>
      <c r="D997">
        <f>VLOOKUP(C997,Course!$A$1:$C$229, 2, FALSE)</f>
        <v>0</v>
      </c>
      <c r="E997">
        <v>126</v>
      </c>
      <c r="F997" t="s">
        <v>633</v>
      </c>
      <c r="G997">
        <v>1</v>
      </c>
      <c r="H997" s="6">
        <v>0.8</v>
      </c>
      <c r="I997">
        <v>1</v>
      </c>
    </row>
    <row r="998" spans="1:9" x14ac:dyDescent="0.2">
      <c r="A998" s="2">
        <v>1006</v>
      </c>
      <c r="B998">
        <v>1006</v>
      </c>
      <c r="C998">
        <v>101</v>
      </c>
      <c r="D998">
        <f>VLOOKUP(C998,Course!$A$1:$C$229, 2, FALSE)</f>
        <v>0</v>
      </c>
      <c r="E998">
        <v>127</v>
      </c>
      <c r="F998" t="s">
        <v>634</v>
      </c>
      <c r="G998">
        <v>1</v>
      </c>
      <c r="H998" s="6">
        <v>0.8</v>
      </c>
      <c r="I998">
        <v>1</v>
      </c>
    </row>
    <row r="999" spans="1:9" x14ac:dyDescent="0.2">
      <c r="A999" s="2">
        <v>1007</v>
      </c>
      <c r="B999">
        <v>1007</v>
      </c>
      <c r="C999">
        <v>101</v>
      </c>
      <c r="D999">
        <f>VLOOKUP(C999,Course!$A$1:$C$229, 2, FALSE)</f>
        <v>0</v>
      </c>
      <c r="E999">
        <v>128</v>
      </c>
      <c r="F999" t="s">
        <v>635</v>
      </c>
      <c r="G999">
        <v>1</v>
      </c>
      <c r="H999" s="6">
        <v>0.8</v>
      </c>
      <c r="I999">
        <v>1</v>
      </c>
    </row>
    <row r="1000" spans="1:9" x14ac:dyDescent="0.2">
      <c r="A1000" s="2">
        <v>1008</v>
      </c>
      <c r="B1000">
        <v>1008</v>
      </c>
      <c r="C1000">
        <v>101</v>
      </c>
      <c r="D1000">
        <f>VLOOKUP(C1000,Course!$A$1:$C$229, 2, FALSE)</f>
        <v>0</v>
      </c>
      <c r="E1000">
        <v>129</v>
      </c>
      <c r="F1000" t="s">
        <v>636</v>
      </c>
      <c r="G1000">
        <v>1</v>
      </c>
      <c r="H1000" s="6">
        <v>0.8</v>
      </c>
      <c r="I1000">
        <v>1</v>
      </c>
    </row>
    <row r="1001" spans="1:9" x14ac:dyDescent="0.2">
      <c r="A1001" s="2">
        <v>1009</v>
      </c>
      <c r="B1001">
        <v>1009</v>
      </c>
      <c r="C1001">
        <v>101</v>
      </c>
      <c r="D1001">
        <f>VLOOKUP(C1001,Course!$A$1:$C$229, 2, FALSE)</f>
        <v>0</v>
      </c>
      <c r="E1001">
        <v>130</v>
      </c>
      <c r="F1001" t="s">
        <v>637</v>
      </c>
      <c r="G1001">
        <v>1</v>
      </c>
      <c r="H1001" s="6">
        <v>0.8</v>
      </c>
      <c r="I1001">
        <v>1</v>
      </c>
    </row>
    <row r="1002" spans="1:9" x14ac:dyDescent="0.2">
      <c r="A1002" s="2">
        <v>1010</v>
      </c>
      <c r="B1002">
        <v>1010</v>
      </c>
      <c r="C1002">
        <v>101</v>
      </c>
      <c r="D1002">
        <f>VLOOKUP(C1002,Course!$A$1:$C$229, 2, FALSE)</f>
        <v>0</v>
      </c>
      <c r="E1002">
        <v>131</v>
      </c>
      <c r="F1002" t="s">
        <v>638</v>
      </c>
      <c r="G1002">
        <v>1</v>
      </c>
      <c r="H1002" s="6">
        <v>0.8</v>
      </c>
      <c r="I1002">
        <v>1</v>
      </c>
    </row>
    <row r="1003" spans="1:9" x14ac:dyDescent="0.2">
      <c r="A1003" s="2">
        <v>1011</v>
      </c>
      <c r="B1003">
        <v>1011</v>
      </c>
      <c r="C1003">
        <v>101</v>
      </c>
      <c r="D1003">
        <f>VLOOKUP(C1003,Course!$A$1:$C$229, 2, FALSE)</f>
        <v>0</v>
      </c>
      <c r="E1003">
        <v>132</v>
      </c>
      <c r="F1003" t="s">
        <v>639</v>
      </c>
      <c r="G1003">
        <v>1</v>
      </c>
      <c r="H1003" s="6">
        <v>0.8</v>
      </c>
      <c r="I1003">
        <v>1</v>
      </c>
    </row>
    <row r="1004" spans="1:9" x14ac:dyDescent="0.2">
      <c r="A1004" s="2">
        <v>1012</v>
      </c>
      <c r="B1004">
        <v>1012</v>
      </c>
      <c r="C1004">
        <v>102</v>
      </c>
      <c r="D1004">
        <f>VLOOKUP(C1004,Course!$A$1:$C$229, 2, FALSE)</f>
        <v>0</v>
      </c>
      <c r="E1004">
        <v>1</v>
      </c>
      <c r="F1004" t="s">
        <v>1385</v>
      </c>
      <c r="G1004">
        <v>1</v>
      </c>
      <c r="H1004" s="6">
        <v>0.8</v>
      </c>
      <c r="I1004">
        <v>1</v>
      </c>
    </row>
    <row r="1005" spans="1:9" x14ac:dyDescent="0.2">
      <c r="A1005" s="2">
        <v>1013</v>
      </c>
      <c r="B1005">
        <v>1013</v>
      </c>
      <c r="C1005">
        <v>102</v>
      </c>
      <c r="D1005">
        <f>VLOOKUP(C1005,Course!$A$1:$C$229, 2, FALSE)</f>
        <v>0</v>
      </c>
      <c r="E1005">
        <v>2</v>
      </c>
      <c r="F1005" t="s">
        <v>1386</v>
      </c>
      <c r="G1005">
        <v>1</v>
      </c>
      <c r="H1005" s="6">
        <v>0.8</v>
      </c>
      <c r="I1005">
        <v>1</v>
      </c>
    </row>
    <row r="1006" spans="1:9" x14ac:dyDescent="0.2">
      <c r="A1006" s="2">
        <v>1014</v>
      </c>
      <c r="B1006">
        <v>1014</v>
      </c>
      <c r="C1006">
        <v>102</v>
      </c>
      <c r="D1006">
        <f>VLOOKUP(C1006,Course!$A$1:$C$229, 2, FALSE)</f>
        <v>0</v>
      </c>
      <c r="E1006">
        <v>3</v>
      </c>
      <c r="F1006" t="s">
        <v>1387</v>
      </c>
      <c r="G1006">
        <v>1</v>
      </c>
      <c r="H1006" s="6">
        <v>0.8</v>
      </c>
      <c r="I1006">
        <v>1</v>
      </c>
    </row>
    <row r="1007" spans="1:9" x14ac:dyDescent="0.2">
      <c r="A1007" s="2">
        <v>1015</v>
      </c>
      <c r="B1007">
        <v>1015</v>
      </c>
      <c r="C1007">
        <v>103</v>
      </c>
      <c r="D1007">
        <f>VLOOKUP(C1007,Course!$A$1:$C$229, 2, FALSE)</f>
        <v>0</v>
      </c>
      <c r="E1007">
        <v>1</v>
      </c>
      <c r="F1007" t="s">
        <v>1385</v>
      </c>
      <c r="G1007">
        <v>1</v>
      </c>
      <c r="H1007" s="6">
        <v>0.8</v>
      </c>
      <c r="I1007">
        <v>1</v>
      </c>
    </row>
    <row r="1008" spans="1:9" x14ac:dyDescent="0.2">
      <c r="A1008" s="2">
        <v>1016</v>
      </c>
      <c r="B1008">
        <v>1016</v>
      </c>
      <c r="C1008">
        <v>103</v>
      </c>
      <c r="D1008">
        <f>VLOOKUP(C1008,Course!$A$1:$C$229, 2, FALSE)</f>
        <v>0</v>
      </c>
      <c r="E1008">
        <v>2</v>
      </c>
      <c r="F1008" t="s">
        <v>1386</v>
      </c>
      <c r="G1008">
        <v>1</v>
      </c>
      <c r="H1008" s="6">
        <v>0.8</v>
      </c>
      <c r="I1008">
        <v>1</v>
      </c>
    </row>
    <row r="1009" spans="1:9" x14ac:dyDescent="0.2">
      <c r="A1009" s="2">
        <v>1017</v>
      </c>
      <c r="B1009">
        <v>1017</v>
      </c>
      <c r="C1009">
        <v>103</v>
      </c>
      <c r="D1009">
        <f>VLOOKUP(C1009,Course!$A$1:$C$229, 2, FALSE)</f>
        <v>0</v>
      </c>
      <c r="E1009">
        <v>3</v>
      </c>
      <c r="F1009" t="s">
        <v>1387</v>
      </c>
      <c r="G1009">
        <v>1</v>
      </c>
      <c r="H1009" s="6">
        <v>0.8</v>
      </c>
      <c r="I1009">
        <v>1</v>
      </c>
    </row>
    <row r="1010" spans="1:9" x14ac:dyDescent="0.2">
      <c r="A1010" s="2">
        <v>1018</v>
      </c>
      <c r="B1010">
        <v>1018</v>
      </c>
      <c r="C1010">
        <v>103</v>
      </c>
      <c r="D1010">
        <f>VLOOKUP(C1010,Course!$A$1:$C$229, 2, FALSE)</f>
        <v>0</v>
      </c>
      <c r="E1010">
        <v>4</v>
      </c>
      <c r="F1010" t="s">
        <v>1388</v>
      </c>
      <c r="G1010">
        <v>1</v>
      </c>
      <c r="H1010" s="6">
        <v>0.8</v>
      </c>
      <c r="I1010">
        <v>1</v>
      </c>
    </row>
    <row r="1011" spans="1:9" x14ac:dyDescent="0.2">
      <c r="A1011" s="2">
        <v>1019</v>
      </c>
      <c r="B1011">
        <v>1019</v>
      </c>
      <c r="C1011">
        <v>103</v>
      </c>
      <c r="D1011">
        <f>VLOOKUP(C1011,Course!$A$1:$C$229, 2, FALSE)</f>
        <v>0</v>
      </c>
      <c r="E1011">
        <v>5</v>
      </c>
      <c r="F1011" t="s">
        <v>1389</v>
      </c>
      <c r="G1011">
        <v>1</v>
      </c>
      <c r="H1011" s="6">
        <v>0.8</v>
      </c>
      <c r="I1011">
        <v>1</v>
      </c>
    </row>
    <row r="1012" spans="1:9" x14ac:dyDescent="0.2">
      <c r="A1012" s="2">
        <v>1020</v>
      </c>
      <c r="B1012">
        <v>1020</v>
      </c>
      <c r="C1012">
        <v>103</v>
      </c>
      <c r="D1012">
        <f>VLOOKUP(C1012,Course!$A$1:$C$229, 2, FALSE)</f>
        <v>0</v>
      </c>
      <c r="E1012">
        <v>6</v>
      </c>
      <c r="F1012" t="s">
        <v>1390</v>
      </c>
      <c r="G1012">
        <v>1</v>
      </c>
      <c r="H1012" s="6">
        <v>0.8</v>
      </c>
      <c r="I1012">
        <v>1</v>
      </c>
    </row>
    <row r="1013" spans="1:9" x14ac:dyDescent="0.2">
      <c r="A1013" s="2">
        <v>1021</v>
      </c>
      <c r="B1013">
        <v>1021</v>
      </c>
      <c r="C1013">
        <v>104</v>
      </c>
      <c r="D1013">
        <f>VLOOKUP(C1013,Course!$A$1:$C$229, 2, FALSE)</f>
        <v>0</v>
      </c>
      <c r="E1013">
        <v>121</v>
      </c>
      <c r="F1013" t="s">
        <v>1391</v>
      </c>
      <c r="G1013">
        <v>1</v>
      </c>
      <c r="H1013" s="6">
        <v>0.8</v>
      </c>
      <c r="I1013">
        <v>1</v>
      </c>
    </row>
    <row r="1014" spans="1:9" x14ac:dyDescent="0.2">
      <c r="A1014" s="2">
        <v>1022</v>
      </c>
      <c r="B1014">
        <v>1022</v>
      </c>
      <c r="C1014">
        <v>104</v>
      </c>
      <c r="D1014">
        <f>VLOOKUP(C1014,Course!$A$1:$C$229, 2, FALSE)</f>
        <v>0</v>
      </c>
      <c r="E1014">
        <v>122</v>
      </c>
      <c r="F1014" t="s">
        <v>1392</v>
      </c>
      <c r="G1014">
        <v>1</v>
      </c>
      <c r="H1014" s="6">
        <v>0.8</v>
      </c>
      <c r="I1014">
        <v>1</v>
      </c>
    </row>
    <row r="1015" spans="1:9" x14ac:dyDescent="0.2">
      <c r="A1015" s="2">
        <v>1023</v>
      </c>
      <c r="B1015">
        <v>1023</v>
      </c>
      <c r="C1015">
        <v>104</v>
      </c>
      <c r="D1015">
        <f>VLOOKUP(C1015,Course!$A$1:$C$229, 2, FALSE)</f>
        <v>0</v>
      </c>
      <c r="E1015">
        <v>123</v>
      </c>
      <c r="F1015" t="s">
        <v>1393</v>
      </c>
      <c r="G1015">
        <v>1</v>
      </c>
      <c r="H1015" s="6">
        <v>0.8</v>
      </c>
      <c r="I1015">
        <v>1</v>
      </c>
    </row>
    <row r="1016" spans="1:9" x14ac:dyDescent="0.2">
      <c r="A1016" s="2">
        <v>1024</v>
      </c>
      <c r="B1016">
        <v>1024</v>
      </c>
      <c r="C1016">
        <v>104</v>
      </c>
      <c r="D1016">
        <f>VLOOKUP(C1016,Course!$A$1:$C$229, 2, FALSE)</f>
        <v>0</v>
      </c>
      <c r="E1016">
        <v>124</v>
      </c>
      <c r="F1016" t="s">
        <v>1394</v>
      </c>
      <c r="G1016">
        <v>1</v>
      </c>
      <c r="H1016" s="6">
        <v>0.8</v>
      </c>
      <c r="I1016">
        <v>1</v>
      </c>
    </row>
    <row r="1017" spans="1:9" x14ac:dyDescent="0.2">
      <c r="A1017" s="2">
        <v>1025</v>
      </c>
      <c r="B1017">
        <v>1025</v>
      </c>
      <c r="C1017">
        <v>104</v>
      </c>
      <c r="D1017">
        <f>VLOOKUP(C1017,Course!$A$1:$C$229, 2, FALSE)</f>
        <v>0</v>
      </c>
      <c r="E1017">
        <v>125</v>
      </c>
      <c r="F1017" t="s">
        <v>1395</v>
      </c>
      <c r="G1017">
        <v>1</v>
      </c>
      <c r="H1017" s="6">
        <v>0.8</v>
      </c>
      <c r="I1017">
        <v>1</v>
      </c>
    </row>
    <row r="1018" spans="1:9" x14ac:dyDescent="0.2">
      <c r="A1018" s="2">
        <v>1026</v>
      </c>
      <c r="B1018">
        <v>1026</v>
      </c>
      <c r="C1018">
        <v>104</v>
      </c>
      <c r="D1018">
        <f>VLOOKUP(C1018,Course!$A$1:$C$229, 2, FALSE)</f>
        <v>0</v>
      </c>
      <c r="E1018">
        <v>126</v>
      </c>
      <c r="F1018" t="s">
        <v>1396</v>
      </c>
      <c r="G1018">
        <v>1</v>
      </c>
      <c r="H1018" s="6">
        <v>0.8</v>
      </c>
      <c r="I1018">
        <v>1</v>
      </c>
    </row>
    <row r="1019" spans="1:9" x14ac:dyDescent="0.2">
      <c r="A1019" s="2">
        <v>1027</v>
      </c>
      <c r="B1019">
        <v>1027</v>
      </c>
      <c r="C1019">
        <v>104</v>
      </c>
      <c r="D1019">
        <f>VLOOKUP(C1019,Course!$A$1:$C$229, 2, FALSE)</f>
        <v>0</v>
      </c>
      <c r="E1019">
        <v>127</v>
      </c>
      <c r="F1019" t="s">
        <v>1397</v>
      </c>
      <c r="G1019">
        <v>1</v>
      </c>
      <c r="H1019" s="6">
        <v>0.8</v>
      </c>
      <c r="I1019">
        <v>1</v>
      </c>
    </row>
    <row r="1020" spans="1:9" x14ac:dyDescent="0.2">
      <c r="A1020" s="2">
        <v>1028</v>
      </c>
      <c r="B1020">
        <v>1028</v>
      </c>
      <c r="C1020">
        <v>104</v>
      </c>
      <c r="D1020">
        <f>VLOOKUP(C1020,Course!$A$1:$C$229, 2, FALSE)</f>
        <v>0</v>
      </c>
      <c r="E1020">
        <v>128</v>
      </c>
      <c r="F1020" t="s">
        <v>1398</v>
      </c>
      <c r="G1020">
        <v>1</v>
      </c>
      <c r="H1020" s="6">
        <v>0.8</v>
      </c>
      <c r="I1020">
        <v>1</v>
      </c>
    </row>
    <row r="1021" spans="1:9" x14ac:dyDescent="0.2">
      <c r="A1021" s="2">
        <v>1029</v>
      </c>
      <c r="B1021">
        <v>1029</v>
      </c>
      <c r="C1021">
        <v>104</v>
      </c>
      <c r="D1021">
        <f>VLOOKUP(C1021,Course!$A$1:$C$229, 2, FALSE)</f>
        <v>0</v>
      </c>
      <c r="E1021">
        <v>129</v>
      </c>
      <c r="F1021" t="s">
        <v>1399</v>
      </c>
      <c r="G1021">
        <v>1</v>
      </c>
      <c r="H1021" s="6">
        <v>0.8</v>
      </c>
      <c r="I1021">
        <v>1</v>
      </c>
    </row>
    <row r="1022" spans="1:9" x14ac:dyDescent="0.2">
      <c r="A1022" s="2">
        <v>1030</v>
      </c>
      <c r="B1022">
        <v>1030</v>
      </c>
      <c r="C1022">
        <v>104</v>
      </c>
      <c r="D1022">
        <f>VLOOKUP(C1022,Course!$A$1:$C$229, 2, FALSE)</f>
        <v>0</v>
      </c>
      <c r="E1022">
        <v>130</v>
      </c>
      <c r="F1022" t="s">
        <v>1400</v>
      </c>
      <c r="G1022">
        <v>1</v>
      </c>
      <c r="H1022" s="6">
        <v>0.8</v>
      </c>
      <c r="I1022">
        <v>1</v>
      </c>
    </row>
    <row r="1023" spans="1:9" x14ac:dyDescent="0.2">
      <c r="A1023" s="2">
        <v>1031</v>
      </c>
      <c r="B1023">
        <v>1031</v>
      </c>
      <c r="C1023">
        <v>104</v>
      </c>
      <c r="D1023">
        <f>VLOOKUP(C1023,Course!$A$1:$C$229, 2, FALSE)</f>
        <v>0</v>
      </c>
      <c r="E1023">
        <v>131</v>
      </c>
      <c r="F1023" t="s">
        <v>1401</v>
      </c>
      <c r="G1023">
        <v>1</v>
      </c>
      <c r="H1023" s="6">
        <v>0.8</v>
      </c>
      <c r="I1023">
        <v>1</v>
      </c>
    </row>
    <row r="1024" spans="1:9" x14ac:dyDescent="0.2">
      <c r="A1024" s="2">
        <v>1032</v>
      </c>
      <c r="B1024">
        <v>1032</v>
      </c>
      <c r="C1024">
        <v>104</v>
      </c>
      <c r="D1024">
        <f>VLOOKUP(C1024,Course!$A$1:$C$229, 2, FALSE)</f>
        <v>0</v>
      </c>
      <c r="E1024">
        <v>132</v>
      </c>
      <c r="F1024" t="s">
        <v>1402</v>
      </c>
      <c r="G1024">
        <v>1</v>
      </c>
      <c r="H1024" s="6">
        <v>0.8</v>
      </c>
      <c r="I1024">
        <v>1</v>
      </c>
    </row>
    <row r="1025" spans="1:9" x14ac:dyDescent="0.2">
      <c r="A1025" s="2">
        <v>1033</v>
      </c>
      <c r="B1025">
        <v>1033</v>
      </c>
      <c r="C1025">
        <v>105</v>
      </c>
      <c r="D1025">
        <f>VLOOKUP(C1025,Course!$A$1:$C$229, 2, FALSE)</f>
        <v>0</v>
      </c>
      <c r="E1025">
        <v>121</v>
      </c>
      <c r="F1025" t="s">
        <v>1403</v>
      </c>
      <c r="G1025">
        <v>1</v>
      </c>
      <c r="H1025" s="6">
        <v>0.8</v>
      </c>
      <c r="I1025">
        <v>1</v>
      </c>
    </row>
    <row r="1026" spans="1:9" x14ac:dyDescent="0.2">
      <c r="A1026" s="2">
        <v>1034</v>
      </c>
      <c r="B1026">
        <v>1034</v>
      </c>
      <c r="C1026">
        <v>105</v>
      </c>
      <c r="D1026">
        <f>VLOOKUP(C1026,Course!$A$1:$C$229, 2, FALSE)</f>
        <v>0</v>
      </c>
      <c r="E1026">
        <v>122</v>
      </c>
      <c r="F1026" t="s">
        <v>1404</v>
      </c>
      <c r="G1026">
        <v>1</v>
      </c>
      <c r="H1026" s="6">
        <v>0.8</v>
      </c>
      <c r="I1026">
        <v>1</v>
      </c>
    </row>
    <row r="1027" spans="1:9" x14ac:dyDescent="0.2">
      <c r="A1027" s="2">
        <v>1035</v>
      </c>
      <c r="B1027">
        <v>1035</v>
      </c>
      <c r="C1027">
        <v>105</v>
      </c>
      <c r="D1027">
        <f>VLOOKUP(C1027,Course!$A$1:$C$229, 2, FALSE)</f>
        <v>0</v>
      </c>
      <c r="E1027">
        <v>123</v>
      </c>
      <c r="F1027" t="s">
        <v>1405</v>
      </c>
      <c r="G1027">
        <v>1</v>
      </c>
      <c r="H1027" s="6">
        <v>0.8</v>
      </c>
      <c r="I1027">
        <v>1</v>
      </c>
    </row>
    <row r="1028" spans="1:9" x14ac:dyDescent="0.2">
      <c r="A1028" s="2">
        <v>1036</v>
      </c>
      <c r="B1028">
        <v>1036</v>
      </c>
      <c r="C1028">
        <v>105</v>
      </c>
      <c r="D1028">
        <f>VLOOKUP(C1028,Course!$A$1:$C$229, 2, FALSE)</f>
        <v>0</v>
      </c>
      <c r="E1028">
        <v>124</v>
      </c>
      <c r="F1028" t="s">
        <v>1406</v>
      </c>
      <c r="G1028">
        <v>1</v>
      </c>
      <c r="H1028" s="6">
        <v>0.8</v>
      </c>
      <c r="I1028">
        <v>1</v>
      </c>
    </row>
    <row r="1029" spans="1:9" x14ac:dyDescent="0.2">
      <c r="A1029" s="2">
        <v>1037</v>
      </c>
      <c r="B1029">
        <v>1037</v>
      </c>
      <c r="C1029">
        <v>105</v>
      </c>
      <c r="D1029">
        <f>VLOOKUP(C1029,Course!$A$1:$C$229, 2, FALSE)</f>
        <v>0</v>
      </c>
      <c r="E1029">
        <v>125</v>
      </c>
      <c r="F1029" t="s">
        <v>1407</v>
      </c>
      <c r="G1029">
        <v>1</v>
      </c>
      <c r="H1029" s="6">
        <v>0.8</v>
      </c>
      <c r="I1029">
        <v>1</v>
      </c>
    </row>
    <row r="1030" spans="1:9" x14ac:dyDescent="0.2">
      <c r="A1030" s="2">
        <v>1038</v>
      </c>
      <c r="B1030">
        <v>1038</v>
      </c>
      <c r="C1030">
        <v>105</v>
      </c>
      <c r="D1030">
        <f>VLOOKUP(C1030,Course!$A$1:$C$229, 2, FALSE)</f>
        <v>0</v>
      </c>
      <c r="E1030">
        <v>126</v>
      </c>
      <c r="F1030" t="s">
        <v>1408</v>
      </c>
      <c r="G1030">
        <v>1</v>
      </c>
      <c r="H1030" s="6">
        <v>0.8</v>
      </c>
      <c r="I1030">
        <v>1</v>
      </c>
    </row>
    <row r="1031" spans="1:9" x14ac:dyDescent="0.2">
      <c r="A1031" s="2">
        <v>1039</v>
      </c>
      <c r="B1031">
        <v>1039</v>
      </c>
      <c r="C1031">
        <v>105</v>
      </c>
      <c r="D1031">
        <f>VLOOKUP(C1031,Course!$A$1:$C$229, 2, FALSE)</f>
        <v>0</v>
      </c>
      <c r="E1031">
        <v>127</v>
      </c>
      <c r="F1031" t="s">
        <v>1409</v>
      </c>
      <c r="G1031">
        <v>1</v>
      </c>
      <c r="H1031" s="6">
        <v>0.8</v>
      </c>
      <c r="I1031">
        <v>1</v>
      </c>
    </row>
    <row r="1032" spans="1:9" x14ac:dyDescent="0.2">
      <c r="A1032" s="2">
        <v>1040</v>
      </c>
      <c r="B1032">
        <v>1040</v>
      </c>
      <c r="C1032">
        <v>105</v>
      </c>
      <c r="D1032">
        <f>VLOOKUP(C1032,Course!$A$1:$C$229, 2, FALSE)</f>
        <v>0</v>
      </c>
      <c r="E1032">
        <v>128</v>
      </c>
      <c r="F1032" t="s">
        <v>1410</v>
      </c>
      <c r="G1032">
        <v>1</v>
      </c>
      <c r="H1032" s="6">
        <v>0.8</v>
      </c>
      <c r="I1032">
        <v>1</v>
      </c>
    </row>
    <row r="1033" spans="1:9" x14ac:dyDescent="0.2">
      <c r="A1033" s="2">
        <v>1041</v>
      </c>
      <c r="B1033">
        <v>1041</v>
      </c>
      <c r="C1033">
        <v>105</v>
      </c>
      <c r="D1033">
        <f>VLOOKUP(C1033,Course!$A$1:$C$229, 2, FALSE)</f>
        <v>0</v>
      </c>
      <c r="E1033">
        <v>129</v>
      </c>
      <c r="F1033" t="s">
        <v>1411</v>
      </c>
      <c r="G1033">
        <v>1</v>
      </c>
      <c r="H1033" s="6">
        <v>0.8</v>
      </c>
      <c r="I1033">
        <v>1</v>
      </c>
    </row>
    <row r="1034" spans="1:9" x14ac:dyDescent="0.2">
      <c r="A1034" s="2">
        <v>1042</v>
      </c>
      <c r="B1034">
        <v>1042</v>
      </c>
      <c r="C1034">
        <v>105</v>
      </c>
      <c r="D1034">
        <f>VLOOKUP(C1034,Course!$A$1:$C$229, 2, FALSE)</f>
        <v>0</v>
      </c>
      <c r="E1034">
        <v>130</v>
      </c>
      <c r="F1034" t="s">
        <v>1412</v>
      </c>
      <c r="G1034">
        <v>1</v>
      </c>
      <c r="H1034" s="6">
        <v>0.8</v>
      </c>
      <c r="I1034">
        <v>1</v>
      </c>
    </row>
    <row r="1035" spans="1:9" x14ac:dyDescent="0.2">
      <c r="A1035" s="2">
        <v>1043</v>
      </c>
      <c r="B1035">
        <v>1043</v>
      </c>
      <c r="C1035">
        <v>105</v>
      </c>
      <c r="D1035">
        <f>VLOOKUP(C1035,Course!$A$1:$C$229, 2, FALSE)</f>
        <v>0</v>
      </c>
      <c r="E1035">
        <v>131</v>
      </c>
      <c r="F1035" t="s">
        <v>1413</v>
      </c>
      <c r="G1035">
        <v>1</v>
      </c>
      <c r="H1035" s="6">
        <v>0.8</v>
      </c>
      <c r="I1035">
        <v>1</v>
      </c>
    </row>
    <row r="1036" spans="1:9" x14ac:dyDescent="0.2">
      <c r="A1036" s="2">
        <v>1044</v>
      </c>
      <c r="B1036">
        <v>1044</v>
      </c>
      <c r="C1036">
        <v>105</v>
      </c>
      <c r="D1036">
        <f>VLOOKUP(C1036,Course!$A$1:$C$229, 2, FALSE)</f>
        <v>0</v>
      </c>
      <c r="E1036">
        <v>132</v>
      </c>
      <c r="F1036" t="s">
        <v>1414</v>
      </c>
      <c r="G1036">
        <v>1</v>
      </c>
      <c r="H1036" s="6">
        <v>0.8</v>
      </c>
      <c r="I1036">
        <v>1</v>
      </c>
    </row>
    <row r="1037" spans="1:9" x14ac:dyDescent="0.2">
      <c r="A1037" s="2">
        <v>1045</v>
      </c>
      <c r="B1037">
        <v>1045</v>
      </c>
      <c r="C1037">
        <v>106</v>
      </c>
      <c r="D1037" t="str">
        <f>VLOOKUP(C1037,Course!$A$1:$C$229, 2, FALSE)</f>
        <v>Biblical Studies III</v>
      </c>
      <c r="E1037">
        <v>121</v>
      </c>
      <c r="F1037" t="s">
        <v>1415</v>
      </c>
      <c r="G1037">
        <f>1/12</f>
        <v>8.3333333333333329E-2</v>
      </c>
      <c r="H1037" s="6">
        <v>0.8</v>
      </c>
      <c r="I1037">
        <v>1</v>
      </c>
    </row>
    <row r="1038" spans="1:9" x14ac:dyDescent="0.2">
      <c r="A1038" s="2">
        <v>1046</v>
      </c>
      <c r="B1038">
        <v>1046</v>
      </c>
      <c r="C1038">
        <v>106</v>
      </c>
      <c r="D1038" t="str">
        <f>VLOOKUP(C1038,Course!$A$1:$C$229, 2, FALSE)</f>
        <v>Biblical Studies III</v>
      </c>
      <c r="E1038">
        <v>122</v>
      </c>
      <c r="F1038" t="s">
        <v>1416</v>
      </c>
      <c r="G1038">
        <f t="shared" ref="G1038:G1048" si="8">1/12</f>
        <v>8.3333333333333329E-2</v>
      </c>
      <c r="H1038" s="6">
        <v>0.8</v>
      </c>
      <c r="I1038">
        <v>1</v>
      </c>
    </row>
    <row r="1039" spans="1:9" x14ac:dyDescent="0.2">
      <c r="A1039" s="2">
        <v>1047</v>
      </c>
      <c r="B1039">
        <v>1047</v>
      </c>
      <c r="C1039">
        <v>106</v>
      </c>
      <c r="D1039" t="str">
        <f>VLOOKUP(C1039,Course!$A$1:$C$229, 2, FALSE)</f>
        <v>Biblical Studies III</v>
      </c>
      <c r="E1039">
        <v>123</v>
      </c>
      <c r="F1039" t="s">
        <v>1417</v>
      </c>
      <c r="G1039">
        <f t="shared" si="8"/>
        <v>8.3333333333333329E-2</v>
      </c>
      <c r="H1039" s="6">
        <v>0.8</v>
      </c>
      <c r="I1039">
        <v>1</v>
      </c>
    </row>
    <row r="1040" spans="1:9" x14ac:dyDescent="0.2">
      <c r="A1040" s="2">
        <v>1048</v>
      </c>
      <c r="B1040">
        <v>1048</v>
      </c>
      <c r="C1040">
        <v>106</v>
      </c>
      <c r="D1040" t="str">
        <f>VLOOKUP(C1040,Course!$A$1:$C$229, 2, FALSE)</f>
        <v>Biblical Studies III</v>
      </c>
      <c r="E1040">
        <v>124</v>
      </c>
      <c r="F1040" t="s">
        <v>1418</v>
      </c>
      <c r="G1040">
        <f t="shared" si="8"/>
        <v>8.3333333333333329E-2</v>
      </c>
      <c r="H1040" s="6">
        <v>0.8</v>
      </c>
      <c r="I1040">
        <v>1</v>
      </c>
    </row>
    <row r="1041" spans="1:9" x14ac:dyDescent="0.2">
      <c r="A1041" s="2">
        <v>1049</v>
      </c>
      <c r="B1041">
        <v>1049</v>
      </c>
      <c r="C1041">
        <v>106</v>
      </c>
      <c r="D1041" t="str">
        <f>VLOOKUP(C1041,Course!$A$1:$C$229, 2, FALSE)</f>
        <v>Biblical Studies III</v>
      </c>
      <c r="E1041">
        <v>125</v>
      </c>
      <c r="F1041" t="s">
        <v>1419</v>
      </c>
      <c r="G1041">
        <f t="shared" si="8"/>
        <v>8.3333333333333329E-2</v>
      </c>
      <c r="H1041" s="6">
        <v>0.8</v>
      </c>
      <c r="I1041">
        <v>1</v>
      </c>
    </row>
    <row r="1042" spans="1:9" x14ac:dyDescent="0.2">
      <c r="A1042" s="2">
        <v>1050</v>
      </c>
      <c r="B1042">
        <v>1050</v>
      </c>
      <c r="C1042">
        <v>106</v>
      </c>
      <c r="D1042" t="str">
        <f>VLOOKUP(C1042,Course!$A$1:$C$229, 2, FALSE)</f>
        <v>Biblical Studies III</v>
      </c>
      <c r="E1042">
        <v>126</v>
      </c>
      <c r="F1042" t="s">
        <v>1420</v>
      </c>
      <c r="G1042">
        <f t="shared" si="8"/>
        <v>8.3333333333333329E-2</v>
      </c>
      <c r="H1042" s="6">
        <v>0.8</v>
      </c>
      <c r="I1042">
        <v>1</v>
      </c>
    </row>
    <row r="1043" spans="1:9" x14ac:dyDescent="0.2">
      <c r="A1043" s="2">
        <v>1051</v>
      </c>
      <c r="B1043">
        <v>1051</v>
      </c>
      <c r="C1043">
        <v>106</v>
      </c>
      <c r="D1043" t="str">
        <f>VLOOKUP(C1043,Course!$A$1:$C$229, 2, FALSE)</f>
        <v>Biblical Studies III</v>
      </c>
      <c r="E1043">
        <v>127</v>
      </c>
      <c r="F1043" t="s">
        <v>1421</v>
      </c>
      <c r="G1043">
        <f t="shared" si="8"/>
        <v>8.3333333333333329E-2</v>
      </c>
      <c r="H1043" s="6">
        <v>0.8</v>
      </c>
      <c r="I1043">
        <v>1</v>
      </c>
    </row>
    <row r="1044" spans="1:9" x14ac:dyDescent="0.2">
      <c r="A1044" s="2">
        <v>1052</v>
      </c>
      <c r="B1044">
        <v>1052</v>
      </c>
      <c r="C1044">
        <v>106</v>
      </c>
      <c r="D1044" t="str">
        <f>VLOOKUP(C1044,Course!$A$1:$C$229, 2, FALSE)</f>
        <v>Biblical Studies III</v>
      </c>
      <c r="E1044">
        <v>128</v>
      </c>
      <c r="F1044" t="s">
        <v>1422</v>
      </c>
      <c r="G1044">
        <f t="shared" si="8"/>
        <v>8.3333333333333329E-2</v>
      </c>
      <c r="H1044" s="6">
        <v>0.8</v>
      </c>
      <c r="I1044">
        <v>1</v>
      </c>
    </row>
    <row r="1045" spans="1:9" x14ac:dyDescent="0.2">
      <c r="A1045" s="2">
        <v>1053</v>
      </c>
      <c r="B1045">
        <v>1053</v>
      </c>
      <c r="C1045">
        <v>106</v>
      </c>
      <c r="D1045" t="str">
        <f>VLOOKUP(C1045,Course!$A$1:$C$229, 2, FALSE)</f>
        <v>Biblical Studies III</v>
      </c>
      <c r="E1045">
        <v>129</v>
      </c>
      <c r="F1045" t="s">
        <v>1423</v>
      </c>
      <c r="G1045">
        <f t="shared" si="8"/>
        <v>8.3333333333333329E-2</v>
      </c>
      <c r="H1045" s="6">
        <v>0.8</v>
      </c>
      <c r="I1045">
        <v>1</v>
      </c>
    </row>
    <row r="1046" spans="1:9" x14ac:dyDescent="0.2">
      <c r="A1046" s="2">
        <v>1054</v>
      </c>
      <c r="B1046">
        <v>1054</v>
      </c>
      <c r="C1046">
        <v>106</v>
      </c>
      <c r="D1046" t="str">
        <f>VLOOKUP(C1046,Course!$A$1:$C$229, 2, FALSE)</f>
        <v>Biblical Studies III</v>
      </c>
      <c r="E1046">
        <v>130</v>
      </c>
      <c r="F1046" t="s">
        <v>1424</v>
      </c>
      <c r="G1046">
        <f t="shared" si="8"/>
        <v>8.3333333333333329E-2</v>
      </c>
      <c r="H1046" s="6">
        <v>0.8</v>
      </c>
      <c r="I1046">
        <v>1</v>
      </c>
    </row>
    <row r="1047" spans="1:9" x14ac:dyDescent="0.2">
      <c r="A1047" s="2">
        <v>1055</v>
      </c>
      <c r="B1047">
        <v>1055</v>
      </c>
      <c r="C1047">
        <v>106</v>
      </c>
      <c r="D1047" t="str">
        <f>VLOOKUP(C1047,Course!$A$1:$C$229, 2, FALSE)</f>
        <v>Biblical Studies III</v>
      </c>
      <c r="E1047">
        <v>131</v>
      </c>
      <c r="F1047" t="s">
        <v>1425</v>
      </c>
      <c r="G1047">
        <f t="shared" si="8"/>
        <v>8.3333333333333329E-2</v>
      </c>
      <c r="H1047" s="6">
        <v>0.8</v>
      </c>
      <c r="I1047">
        <v>1</v>
      </c>
    </row>
    <row r="1048" spans="1:9" x14ac:dyDescent="0.2">
      <c r="A1048" s="2">
        <v>1056</v>
      </c>
      <c r="B1048">
        <v>1056</v>
      </c>
      <c r="C1048">
        <v>106</v>
      </c>
      <c r="D1048" t="str">
        <f>VLOOKUP(C1048,Course!$A$1:$C$229, 2, FALSE)</f>
        <v>Biblical Studies III</v>
      </c>
      <c r="E1048">
        <v>132</v>
      </c>
      <c r="F1048" t="s">
        <v>1426</v>
      </c>
      <c r="G1048">
        <f t="shared" si="8"/>
        <v>8.3333333333333329E-2</v>
      </c>
      <c r="H1048" s="6">
        <v>0.8</v>
      </c>
      <c r="I1048">
        <v>1</v>
      </c>
    </row>
    <row r="1049" spans="1:9" x14ac:dyDescent="0.2">
      <c r="A1049" s="2">
        <v>1057</v>
      </c>
      <c r="B1049">
        <v>1057</v>
      </c>
      <c r="C1049">
        <v>107</v>
      </c>
      <c r="D1049">
        <f>VLOOKUP(C1049,Course!$A$1:$C$229, 2, FALSE)</f>
        <v>0</v>
      </c>
      <c r="E1049">
        <v>121</v>
      </c>
      <c r="F1049" t="s">
        <v>1427</v>
      </c>
      <c r="G1049">
        <v>1</v>
      </c>
      <c r="H1049" s="6">
        <v>0.8</v>
      </c>
      <c r="I1049">
        <v>1</v>
      </c>
    </row>
    <row r="1050" spans="1:9" x14ac:dyDescent="0.2">
      <c r="A1050" s="2">
        <v>1058</v>
      </c>
      <c r="B1050">
        <v>1058</v>
      </c>
      <c r="C1050">
        <v>107</v>
      </c>
      <c r="D1050">
        <f>VLOOKUP(C1050,Course!$A$1:$C$229, 2, FALSE)</f>
        <v>0</v>
      </c>
      <c r="E1050">
        <v>122</v>
      </c>
      <c r="F1050" t="s">
        <v>1428</v>
      </c>
      <c r="G1050">
        <v>1</v>
      </c>
      <c r="H1050" s="6">
        <v>0.8</v>
      </c>
      <c r="I1050">
        <v>1</v>
      </c>
    </row>
    <row r="1051" spans="1:9" x14ac:dyDescent="0.2">
      <c r="A1051" s="2">
        <v>1059</v>
      </c>
      <c r="B1051">
        <v>1059</v>
      </c>
      <c r="C1051">
        <v>107</v>
      </c>
      <c r="D1051">
        <f>VLOOKUP(C1051,Course!$A$1:$C$229, 2, FALSE)</f>
        <v>0</v>
      </c>
      <c r="E1051">
        <v>123</v>
      </c>
      <c r="F1051" t="s">
        <v>1429</v>
      </c>
      <c r="G1051">
        <v>1</v>
      </c>
      <c r="H1051" s="6">
        <v>0.8</v>
      </c>
      <c r="I1051">
        <v>1</v>
      </c>
    </row>
    <row r="1052" spans="1:9" x14ac:dyDescent="0.2">
      <c r="A1052" s="2">
        <v>1060</v>
      </c>
      <c r="B1052">
        <v>1060</v>
      </c>
      <c r="C1052">
        <v>107</v>
      </c>
      <c r="D1052">
        <f>VLOOKUP(C1052,Course!$A$1:$C$229, 2, FALSE)</f>
        <v>0</v>
      </c>
      <c r="E1052">
        <v>124</v>
      </c>
      <c r="F1052" t="s">
        <v>1430</v>
      </c>
      <c r="G1052">
        <v>1</v>
      </c>
      <c r="H1052" s="6">
        <v>0.8</v>
      </c>
      <c r="I1052">
        <v>1</v>
      </c>
    </row>
    <row r="1053" spans="1:9" x14ac:dyDescent="0.2">
      <c r="A1053" s="2">
        <v>1061</v>
      </c>
      <c r="B1053">
        <v>1061</v>
      </c>
      <c r="C1053">
        <v>107</v>
      </c>
      <c r="D1053">
        <f>VLOOKUP(C1053,Course!$A$1:$C$229, 2, FALSE)</f>
        <v>0</v>
      </c>
      <c r="E1053">
        <v>125</v>
      </c>
      <c r="F1053" t="s">
        <v>1431</v>
      </c>
      <c r="G1053">
        <v>1</v>
      </c>
      <c r="H1053" s="6">
        <v>0.8</v>
      </c>
      <c r="I1053">
        <v>1</v>
      </c>
    </row>
    <row r="1054" spans="1:9" x14ac:dyDescent="0.2">
      <c r="A1054" s="2">
        <v>1062</v>
      </c>
      <c r="B1054">
        <v>1062</v>
      </c>
      <c r="C1054">
        <v>107</v>
      </c>
      <c r="D1054">
        <f>VLOOKUP(C1054,Course!$A$1:$C$229, 2, FALSE)</f>
        <v>0</v>
      </c>
      <c r="E1054">
        <v>126</v>
      </c>
      <c r="F1054" t="s">
        <v>1432</v>
      </c>
      <c r="G1054">
        <v>1</v>
      </c>
      <c r="H1054" s="6">
        <v>0.8</v>
      </c>
      <c r="I1054">
        <v>1</v>
      </c>
    </row>
    <row r="1055" spans="1:9" x14ac:dyDescent="0.2">
      <c r="A1055" s="2">
        <v>1063</v>
      </c>
      <c r="B1055">
        <v>1063</v>
      </c>
      <c r="C1055">
        <v>107</v>
      </c>
      <c r="D1055">
        <f>VLOOKUP(C1055,Course!$A$1:$C$229, 2, FALSE)</f>
        <v>0</v>
      </c>
      <c r="E1055">
        <v>127</v>
      </c>
      <c r="F1055" t="s">
        <v>1433</v>
      </c>
      <c r="G1055">
        <v>1</v>
      </c>
      <c r="H1055" s="6">
        <v>0.8</v>
      </c>
      <c r="I1055">
        <v>1</v>
      </c>
    </row>
    <row r="1056" spans="1:9" x14ac:dyDescent="0.2">
      <c r="A1056" s="2">
        <v>1064</v>
      </c>
      <c r="B1056">
        <v>1064</v>
      </c>
      <c r="C1056">
        <v>107</v>
      </c>
      <c r="D1056">
        <f>VLOOKUP(C1056,Course!$A$1:$C$229, 2, FALSE)</f>
        <v>0</v>
      </c>
      <c r="E1056">
        <v>128</v>
      </c>
      <c r="F1056" t="s">
        <v>1434</v>
      </c>
      <c r="G1056">
        <v>1</v>
      </c>
      <c r="H1056" s="6">
        <v>0.8</v>
      </c>
      <c r="I1056">
        <v>1</v>
      </c>
    </row>
    <row r="1057" spans="1:9" x14ac:dyDescent="0.2">
      <c r="A1057" s="2">
        <v>1065</v>
      </c>
      <c r="B1057">
        <v>1065</v>
      </c>
      <c r="C1057">
        <v>107</v>
      </c>
      <c r="D1057">
        <f>VLOOKUP(C1057,Course!$A$1:$C$229, 2, FALSE)</f>
        <v>0</v>
      </c>
      <c r="E1057">
        <v>129</v>
      </c>
      <c r="F1057" t="s">
        <v>1435</v>
      </c>
      <c r="G1057">
        <v>1</v>
      </c>
      <c r="H1057" s="6">
        <v>0.8</v>
      </c>
      <c r="I1057">
        <v>1</v>
      </c>
    </row>
    <row r="1058" spans="1:9" x14ac:dyDescent="0.2">
      <c r="A1058" s="2">
        <v>1066</v>
      </c>
      <c r="B1058">
        <v>1066</v>
      </c>
      <c r="C1058">
        <v>107</v>
      </c>
      <c r="D1058">
        <f>VLOOKUP(C1058,Course!$A$1:$C$229, 2, FALSE)</f>
        <v>0</v>
      </c>
      <c r="E1058">
        <v>130</v>
      </c>
      <c r="F1058" t="s">
        <v>1436</v>
      </c>
      <c r="G1058">
        <v>1</v>
      </c>
      <c r="H1058" s="6">
        <v>0.8</v>
      </c>
      <c r="I1058">
        <v>1</v>
      </c>
    </row>
    <row r="1059" spans="1:9" x14ac:dyDescent="0.2">
      <c r="A1059" s="2">
        <v>1067</v>
      </c>
      <c r="B1059">
        <v>1067</v>
      </c>
      <c r="C1059">
        <v>107</v>
      </c>
      <c r="D1059">
        <f>VLOOKUP(C1059,Course!$A$1:$C$229, 2, FALSE)</f>
        <v>0</v>
      </c>
      <c r="E1059">
        <v>131</v>
      </c>
      <c r="F1059" t="s">
        <v>1437</v>
      </c>
      <c r="G1059">
        <v>1</v>
      </c>
      <c r="H1059" s="6">
        <v>0.8</v>
      </c>
      <c r="I1059">
        <v>1</v>
      </c>
    </row>
    <row r="1060" spans="1:9" x14ac:dyDescent="0.2">
      <c r="A1060" s="2">
        <v>1068</v>
      </c>
      <c r="B1060">
        <v>1068</v>
      </c>
      <c r="C1060">
        <v>107</v>
      </c>
      <c r="D1060">
        <f>VLOOKUP(C1060,Course!$A$1:$C$229, 2, FALSE)</f>
        <v>0</v>
      </c>
      <c r="E1060">
        <v>132</v>
      </c>
      <c r="F1060" t="s">
        <v>1438</v>
      </c>
      <c r="G1060">
        <v>1</v>
      </c>
      <c r="H1060" s="6">
        <v>0.8</v>
      </c>
      <c r="I1060">
        <v>1</v>
      </c>
    </row>
    <row r="1061" spans="1:9" x14ac:dyDescent="0.2">
      <c r="A1061" s="2">
        <v>1069</v>
      </c>
      <c r="B1061">
        <v>1069</v>
      </c>
      <c r="C1061">
        <v>108</v>
      </c>
      <c r="D1061">
        <f>VLOOKUP(C1061,Course!$A$1:$C$229, 2, FALSE)</f>
        <v>0</v>
      </c>
      <c r="E1061">
        <v>1</v>
      </c>
      <c r="F1061" t="s">
        <v>1439</v>
      </c>
      <c r="G1061">
        <v>1</v>
      </c>
      <c r="H1061" s="6">
        <v>0.8</v>
      </c>
      <c r="I1061">
        <v>1</v>
      </c>
    </row>
    <row r="1062" spans="1:9" x14ac:dyDescent="0.2">
      <c r="A1062" s="2">
        <v>1070</v>
      </c>
      <c r="B1062">
        <v>1070</v>
      </c>
      <c r="C1062">
        <v>108</v>
      </c>
      <c r="D1062">
        <f>VLOOKUP(C1062,Course!$A$1:$C$229, 2, FALSE)</f>
        <v>0</v>
      </c>
      <c r="E1062">
        <v>2</v>
      </c>
      <c r="F1062" t="s">
        <v>1440</v>
      </c>
      <c r="G1062">
        <v>1</v>
      </c>
      <c r="H1062" s="6">
        <v>0.8</v>
      </c>
      <c r="I1062">
        <v>1</v>
      </c>
    </row>
    <row r="1063" spans="1:9" x14ac:dyDescent="0.2">
      <c r="A1063" s="2">
        <v>1071</v>
      </c>
      <c r="B1063">
        <v>1071</v>
      </c>
      <c r="C1063">
        <v>108</v>
      </c>
      <c r="D1063">
        <f>VLOOKUP(C1063,Course!$A$1:$C$229, 2, FALSE)</f>
        <v>0</v>
      </c>
      <c r="E1063">
        <v>3</v>
      </c>
      <c r="F1063" t="s">
        <v>1441</v>
      </c>
      <c r="G1063">
        <v>1</v>
      </c>
      <c r="H1063" s="6">
        <v>0.8</v>
      </c>
      <c r="I1063">
        <v>1</v>
      </c>
    </row>
    <row r="1064" spans="1:9" x14ac:dyDescent="0.2">
      <c r="A1064" s="2">
        <v>1072</v>
      </c>
      <c r="B1064">
        <v>1072</v>
      </c>
      <c r="C1064">
        <v>108</v>
      </c>
      <c r="D1064">
        <f>VLOOKUP(C1064,Course!$A$1:$C$229, 2, FALSE)</f>
        <v>0</v>
      </c>
      <c r="E1064">
        <v>4</v>
      </c>
      <c r="F1064" t="s">
        <v>1442</v>
      </c>
      <c r="G1064">
        <v>1</v>
      </c>
      <c r="H1064" s="6">
        <v>0.8</v>
      </c>
      <c r="I1064">
        <v>1</v>
      </c>
    </row>
    <row r="1065" spans="1:9" x14ac:dyDescent="0.2">
      <c r="A1065" s="2">
        <v>1073</v>
      </c>
      <c r="B1065">
        <v>1073</v>
      </c>
      <c r="C1065">
        <v>108</v>
      </c>
      <c r="D1065">
        <f>VLOOKUP(C1065,Course!$A$1:$C$229, 2, FALSE)</f>
        <v>0</v>
      </c>
      <c r="E1065">
        <v>5</v>
      </c>
      <c r="F1065" t="s">
        <v>1443</v>
      </c>
      <c r="G1065">
        <v>1</v>
      </c>
      <c r="H1065" s="6">
        <v>0.8</v>
      </c>
      <c r="I1065">
        <v>1</v>
      </c>
    </row>
    <row r="1066" spans="1:9" x14ac:dyDescent="0.2">
      <c r="A1066" s="2">
        <v>1074</v>
      </c>
      <c r="B1066">
        <v>1074</v>
      </c>
      <c r="C1066">
        <v>108</v>
      </c>
      <c r="D1066">
        <f>VLOOKUP(C1066,Course!$A$1:$C$229, 2, FALSE)</f>
        <v>0</v>
      </c>
      <c r="E1066">
        <v>6</v>
      </c>
      <c r="F1066" t="s">
        <v>1444</v>
      </c>
      <c r="G1066">
        <v>1</v>
      </c>
      <c r="H1066" s="6">
        <v>0.8</v>
      </c>
      <c r="I1066">
        <v>1</v>
      </c>
    </row>
    <row r="1067" spans="1:9" x14ac:dyDescent="0.2">
      <c r="A1067" s="2">
        <v>1075</v>
      </c>
      <c r="B1067">
        <v>1075</v>
      </c>
      <c r="C1067">
        <v>108</v>
      </c>
      <c r="D1067">
        <f>VLOOKUP(C1067,Course!$A$1:$C$229, 2, FALSE)</f>
        <v>0</v>
      </c>
      <c r="E1067">
        <v>7</v>
      </c>
      <c r="F1067" t="s">
        <v>1445</v>
      </c>
      <c r="G1067">
        <v>1</v>
      </c>
      <c r="H1067" s="6">
        <v>0.8</v>
      </c>
      <c r="I1067">
        <v>1</v>
      </c>
    </row>
    <row r="1068" spans="1:9" x14ac:dyDescent="0.2">
      <c r="A1068" s="2">
        <v>1076</v>
      </c>
      <c r="B1068">
        <v>1076</v>
      </c>
      <c r="C1068">
        <v>108</v>
      </c>
      <c r="D1068">
        <f>VLOOKUP(C1068,Course!$A$1:$C$229, 2, FALSE)</f>
        <v>0</v>
      </c>
      <c r="E1068">
        <v>8</v>
      </c>
      <c r="F1068" t="s">
        <v>1446</v>
      </c>
      <c r="G1068">
        <v>1</v>
      </c>
      <c r="H1068" s="6">
        <v>0.8</v>
      </c>
      <c r="I1068">
        <v>1</v>
      </c>
    </row>
    <row r="1069" spans="1:9" x14ac:dyDescent="0.2">
      <c r="A1069" s="2">
        <v>1077</v>
      </c>
      <c r="B1069">
        <v>1077</v>
      </c>
      <c r="C1069">
        <v>108</v>
      </c>
      <c r="D1069">
        <f>VLOOKUP(C1069,Course!$A$1:$C$229, 2, FALSE)</f>
        <v>0</v>
      </c>
      <c r="E1069">
        <v>9</v>
      </c>
      <c r="F1069" t="s">
        <v>1447</v>
      </c>
      <c r="G1069">
        <v>1</v>
      </c>
      <c r="H1069" s="6">
        <v>0.8</v>
      </c>
      <c r="I1069">
        <v>1</v>
      </c>
    </row>
    <row r="1070" spans="1:9" x14ac:dyDescent="0.2">
      <c r="A1070" s="2">
        <v>1078</v>
      </c>
      <c r="B1070">
        <v>1078</v>
      </c>
      <c r="C1070">
        <v>108</v>
      </c>
      <c r="D1070">
        <f>VLOOKUP(C1070,Course!$A$1:$C$229, 2, FALSE)</f>
        <v>0</v>
      </c>
      <c r="E1070">
        <v>10</v>
      </c>
      <c r="F1070" t="s">
        <v>1448</v>
      </c>
      <c r="G1070">
        <v>1</v>
      </c>
      <c r="H1070" s="6">
        <v>0.8</v>
      </c>
      <c r="I1070">
        <v>1</v>
      </c>
    </row>
    <row r="1071" spans="1:9" x14ac:dyDescent="0.2">
      <c r="A1071" s="2">
        <v>1079</v>
      </c>
      <c r="B1071">
        <v>1079</v>
      </c>
      <c r="C1071">
        <v>109</v>
      </c>
      <c r="D1071">
        <f>VLOOKUP(C1071,Course!$A$1:$C$229, 2, FALSE)</f>
        <v>0</v>
      </c>
      <c r="E1071">
        <v>11</v>
      </c>
      <c r="F1071" t="s">
        <v>1449</v>
      </c>
      <c r="G1071">
        <v>1</v>
      </c>
      <c r="H1071" s="6">
        <v>0.8</v>
      </c>
      <c r="I1071">
        <v>1</v>
      </c>
    </row>
    <row r="1072" spans="1:9" x14ac:dyDescent="0.2">
      <c r="A1072" s="2">
        <v>1080</v>
      </c>
      <c r="B1072">
        <v>1080</v>
      </c>
      <c r="C1072">
        <v>109</v>
      </c>
      <c r="D1072">
        <f>VLOOKUP(C1072,Course!$A$1:$C$229, 2, FALSE)</f>
        <v>0</v>
      </c>
      <c r="E1072">
        <v>12</v>
      </c>
      <c r="F1072" t="s">
        <v>1450</v>
      </c>
      <c r="G1072">
        <v>1</v>
      </c>
      <c r="H1072" s="6">
        <v>0.8</v>
      </c>
      <c r="I1072">
        <v>1</v>
      </c>
    </row>
    <row r="1073" spans="1:9" x14ac:dyDescent="0.2">
      <c r="A1073" s="2">
        <v>1081</v>
      </c>
      <c r="B1073">
        <v>1081</v>
      </c>
      <c r="C1073">
        <v>109</v>
      </c>
      <c r="D1073">
        <f>VLOOKUP(C1073,Course!$A$1:$C$229, 2, FALSE)</f>
        <v>0</v>
      </c>
      <c r="E1073">
        <v>13</v>
      </c>
      <c r="F1073" t="s">
        <v>1451</v>
      </c>
      <c r="G1073">
        <v>1</v>
      </c>
      <c r="H1073" s="6">
        <v>0.8</v>
      </c>
      <c r="I1073">
        <v>1</v>
      </c>
    </row>
    <row r="1074" spans="1:9" x14ac:dyDescent="0.2">
      <c r="A1074" s="2">
        <v>1082</v>
      </c>
      <c r="B1074">
        <v>1082</v>
      </c>
      <c r="C1074">
        <v>109</v>
      </c>
      <c r="D1074">
        <f>VLOOKUP(C1074,Course!$A$1:$C$229, 2, FALSE)</f>
        <v>0</v>
      </c>
      <c r="E1074">
        <v>14</v>
      </c>
      <c r="F1074" t="s">
        <v>1452</v>
      </c>
      <c r="G1074">
        <v>1</v>
      </c>
      <c r="H1074" s="6">
        <v>0.8</v>
      </c>
      <c r="I1074">
        <v>1</v>
      </c>
    </row>
    <row r="1075" spans="1:9" x14ac:dyDescent="0.2">
      <c r="A1075" s="2">
        <v>1083</v>
      </c>
      <c r="B1075">
        <v>1083</v>
      </c>
      <c r="C1075">
        <v>109</v>
      </c>
      <c r="D1075">
        <f>VLOOKUP(C1075,Course!$A$1:$C$229, 2, FALSE)</f>
        <v>0</v>
      </c>
      <c r="E1075">
        <v>15</v>
      </c>
      <c r="F1075" t="s">
        <v>1453</v>
      </c>
      <c r="G1075">
        <v>1</v>
      </c>
      <c r="H1075" s="6">
        <v>0.8</v>
      </c>
      <c r="I1075">
        <v>1</v>
      </c>
    </row>
    <row r="1076" spans="1:9" x14ac:dyDescent="0.2">
      <c r="A1076" s="2">
        <v>1084</v>
      </c>
      <c r="B1076">
        <v>1084</v>
      </c>
      <c r="C1076">
        <v>109</v>
      </c>
      <c r="D1076">
        <f>VLOOKUP(C1076,Course!$A$1:$C$229, 2, FALSE)</f>
        <v>0</v>
      </c>
      <c r="E1076">
        <v>16</v>
      </c>
      <c r="F1076" t="s">
        <v>1454</v>
      </c>
      <c r="G1076">
        <v>1</v>
      </c>
      <c r="H1076" s="6">
        <v>0.8</v>
      </c>
      <c r="I1076">
        <v>1</v>
      </c>
    </row>
    <row r="1077" spans="1:9" x14ac:dyDescent="0.2">
      <c r="A1077" s="2">
        <v>1085</v>
      </c>
      <c r="B1077">
        <v>1085</v>
      </c>
      <c r="C1077">
        <v>109</v>
      </c>
      <c r="D1077">
        <f>VLOOKUP(C1077,Course!$A$1:$C$229, 2, FALSE)</f>
        <v>0</v>
      </c>
      <c r="E1077">
        <v>17</v>
      </c>
      <c r="F1077" t="s">
        <v>1455</v>
      </c>
      <c r="G1077">
        <v>1</v>
      </c>
      <c r="H1077" s="6">
        <v>0.8</v>
      </c>
      <c r="I1077">
        <v>1</v>
      </c>
    </row>
    <row r="1078" spans="1:9" x14ac:dyDescent="0.2">
      <c r="A1078" s="2">
        <v>1086</v>
      </c>
      <c r="B1078">
        <v>1086</v>
      </c>
      <c r="C1078">
        <v>109</v>
      </c>
      <c r="D1078">
        <f>VLOOKUP(C1078,Course!$A$1:$C$229, 2, FALSE)</f>
        <v>0</v>
      </c>
      <c r="E1078">
        <v>18</v>
      </c>
      <c r="F1078" t="s">
        <v>1456</v>
      </c>
      <c r="G1078">
        <v>1</v>
      </c>
      <c r="H1078" s="6">
        <v>0.8</v>
      </c>
      <c r="I1078">
        <v>1</v>
      </c>
    </row>
    <row r="1079" spans="1:9" x14ac:dyDescent="0.2">
      <c r="A1079" s="2">
        <v>1087</v>
      </c>
      <c r="B1079">
        <v>1087</v>
      </c>
      <c r="C1079">
        <v>109</v>
      </c>
      <c r="D1079">
        <f>VLOOKUP(C1079,Course!$A$1:$C$229, 2, FALSE)</f>
        <v>0</v>
      </c>
      <c r="E1079">
        <v>19</v>
      </c>
      <c r="F1079" t="s">
        <v>1457</v>
      </c>
      <c r="G1079">
        <v>1</v>
      </c>
      <c r="H1079" s="6">
        <v>0.8</v>
      </c>
      <c r="I1079">
        <v>1</v>
      </c>
    </row>
    <row r="1080" spans="1:9" x14ac:dyDescent="0.2">
      <c r="A1080" s="2">
        <v>1088</v>
      </c>
      <c r="B1080">
        <v>1088</v>
      </c>
      <c r="C1080">
        <v>109</v>
      </c>
      <c r="D1080">
        <f>VLOOKUP(C1080,Course!$A$1:$C$229, 2, FALSE)</f>
        <v>0</v>
      </c>
      <c r="E1080">
        <v>20</v>
      </c>
      <c r="F1080" t="s">
        <v>1458</v>
      </c>
      <c r="G1080">
        <v>1</v>
      </c>
      <c r="H1080" s="6">
        <v>0.8</v>
      </c>
      <c r="I1080">
        <v>1</v>
      </c>
    </row>
    <row r="1081" spans="1:9" x14ac:dyDescent="0.2">
      <c r="A1081" s="2">
        <v>1089</v>
      </c>
      <c r="B1081">
        <v>1089</v>
      </c>
      <c r="C1081">
        <v>110</v>
      </c>
      <c r="D1081">
        <f>VLOOKUP(C1081,Course!$A$1:$C$229, 2, FALSE)</f>
        <v>0</v>
      </c>
      <c r="E1081">
        <v>139</v>
      </c>
      <c r="F1081" t="s">
        <v>1459</v>
      </c>
      <c r="G1081">
        <v>1</v>
      </c>
      <c r="H1081" s="6">
        <v>0.8</v>
      </c>
      <c r="I1081">
        <v>1</v>
      </c>
    </row>
    <row r="1082" spans="1:9" x14ac:dyDescent="0.2">
      <c r="A1082" s="2">
        <v>1090</v>
      </c>
      <c r="B1082">
        <v>1090</v>
      </c>
      <c r="C1082">
        <v>110</v>
      </c>
      <c r="D1082">
        <f>VLOOKUP(C1082,Course!$A$1:$C$229, 2, FALSE)</f>
        <v>0</v>
      </c>
      <c r="E1082">
        <v>140</v>
      </c>
      <c r="F1082" t="s">
        <v>1460</v>
      </c>
      <c r="G1082">
        <v>1</v>
      </c>
      <c r="H1082" s="6">
        <v>0.8</v>
      </c>
      <c r="I1082">
        <v>1</v>
      </c>
    </row>
    <row r="1083" spans="1:9" x14ac:dyDescent="0.2">
      <c r="A1083" s="2">
        <v>1091</v>
      </c>
      <c r="B1083">
        <v>1091</v>
      </c>
      <c r="C1083">
        <v>110</v>
      </c>
      <c r="D1083">
        <f>VLOOKUP(C1083,Course!$A$1:$C$229, 2, FALSE)</f>
        <v>0</v>
      </c>
      <c r="E1083">
        <v>141</v>
      </c>
      <c r="F1083" t="s">
        <v>1461</v>
      </c>
      <c r="G1083">
        <v>1</v>
      </c>
      <c r="H1083" s="6">
        <v>0.8</v>
      </c>
      <c r="I1083">
        <v>1</v>
      </c>
    </row>
    <row r="1084" spans="1:9" x14ac:dyDescent="0.2">
      <c r="A1084" s="2">
        <v>1092</v>
      </c>
      <c r="B1084">
        <v>1092</v>
      </c>
      <c r="C1084">
        <v>110</v>
      </c>
      <c r="D1084">
        <f>VLOOKUP(C1084,Course!$A$1:$C$229, 2, FALSE)</f>
        <v>0</v>
      </c>
      <c r="E1084">
        <v>142</v>
      </c>
      <c r="F1084" t="s">
        <v>1462</v>
      </c>
      <c r="G1084">
        <v>1</v>
      </c>
      <c r="H1084" s="6">
        <v>0.8</v>
      </c>
      <c r="I1084">
        <v>1</v>
      </c>
    </row>
    <row r="1085" spans="1:9" x14ac:dyDescent="0.2">
      <c r="A1085" s="2">
        <v>1093</v>
      </c>
      <c r="B1085">
        <v>1093</v>
      </c>
      <c r="C1085">
        <v>110</v>
      </c>
      <c r="D1085">
        <f>VLOOKUP(C1085,Course!$A$1:$C$229, 2, FALSE)</f>
        <v>0</v>
      </c>
      <c r="E1085">
        <v>143</v>
      </c>
      <c r="F1085" t="s">
        <v>1463</v>
      </c>
      <c r="G1085">
        <v>1</v>
      </c>
      <c r="H1085" s="6">
        <v>0.8</v>
      </c>
      <c r="I1085">
        <v>1</v>
      </c>
    </row>
    <row r="1086" spans="1:9" x14ac:dyDescent="0.2">
      <c r="A1086" s="2">
        <v>1094</v>
      </c>
      <c r="B1086">
        <v>1094</v>
      </c>
      <c r="C1086">
        <v>110</v>
      </c>
      <c r="D1086">
        <f>VLOOKUP(C1086,Course!$A$1:$C$229, 2, FALSE)</f>
        <v>0</v>
      </c>
      <c r="E1086">
        <v>144</v>
      </c>
      <c r="F1086" t="s">
        <v>1464</v>
      </c>
      <c r="G1086">
        <v>1</v>
      </c>
      <c r="H1086" s="6">
        <v>0.8</v>
      </c>
      <c r="I1086">
        <v>1</v>
      </c>
    </row>
    <row r="1087" spans="1:9" x14ac:dyDescent="0.2">
      <c r="A1087" s="2">
        <v>1095</v>
      </c>
      <c r="B1087">
        <v>1095</v>
      </c>
      <c r="C1087">
        <v>111</v>
      </c>
      <c r="D1087">
        <f>VLOOKUP(C1087,Course!$A$1:$C$229, 2, FALSE)</f>
        <v>0</v>
      </c>
      <c r="E1087">
        <v>133</v>
      </c>
      <c r="F1087" t="s">
        <v>1465</v>
      </c>
      <c r="G1087">
        <v>1</v>
      </c>
      <c r="H1087" s="6">
        <v>0.8</v>
      </c>
      <c r="I1087">
        <v>1</v>
      </c>
    </row>
    <row r="1088" spans="1:9" x14ac:dyDescent="0.2">
      <c r="A1088" s="2">
        <v>1096</v>
      </c>
      <c r="B1088">
        <v>1096</v>
      </c>
      <c r="C1088">
        <v>111</v>
      </c>
      <c r="D1088">
        <f>VLOOKUP(C1088,Course!$A$1:$C$229, 2, FALSE)</f>
        <v>0</v>
      </c>
      <c r="E1088">
        <v>134</v>
      </c>
      <c r="F1088" t="s">
        <v>1466</v>
      </c>
      <c r="G1088">
        <v>1</v>
      </c>
      <c r="H1088" s="6">
        <v>0.8</v>
      </c>
      <c r="I1088">
        <v>1</v>
      </c>
    </row>
    <row r="1089" spans="1:9" x14ac:dyDescent="0.2">
      <c r="A1089" s="2">
        <v>1097</v>
      </c>
      <c r="B1089">
        <v>1097</v>
      </c>
      <c r="C1089">
        <v>111</v>
      </c>
      <c r="D1089">
        <f>VLOOKUP(C1089,Course!$A$1:$C$229, 2, FALSE)</f>
        <v>0</v>
      </c>
      <c r="E1089">
        <v>135</v>
      </c>
      <c r="F1089" t="s">
        <v>1467</v>
      </c>
      <c r="G1089">
        <v>1</v>
      </c>
      <c r="H1089" s="6">
        <v>0.8</v>
      </c>
      <c r="I1089">
        <v>1</v>
      </c>
    </row>
    <row r="1090" spans="1:9" x14ac:dyDescent="0.2">
      <c r="A1090" s="2">
        <v>1098</v>
      </c>
      <c r="B1090">
        <v>1098</v>
      </c>
      <c r="C1090">
        <v>111</v>
      </c>
      <c r="D1090">
        <f>VLOOKUP(C1090,Course!$A$1:$C$229, 2, FALSE)</f>
        <v>0</v>
      </c>
      <c r="E1090">
        <v>136</v>
      </c>
      <c r="F1090" t="s">
        <v>1468</v>
      </c>
      <c r="G1090">
        <v>1</v>
      </c>
      <c r="H1090" s="6">
        <v>0.8</v>
      </c>
      <c r="I1090">
        <v>1</v>
      </c>
    </row>
    <row r="1091" spans="1:9" x14ac:dyDescent="0.2">
      <c r="A1091" s="2">
        <v>1099</v>
      </c>
      <c r="B1091">
        <v>1099</v>
      </c>
      <c r="C1091">
        <v>111</v>
      </c>
      <c r="D1091">
        <f>VLOOKUP(C1091,Course!$A$1:$C$229, 2, FALSE)</f>
        <v>0</v>
      </c>
      <c r="E1091">
        <v>137</v>
      </c>
      <c r="F1091" t="s">
        <v>1469</v>
      </c>
      <c r="G1091">
        <v>1</v>
      </c>
      <c r="H1091" s="6">
        <v>0.8</v>
      </c>
      <c r="I1091">
        <v>1</v>
      </c>
    </row>
    <row r="1092" spans="1:9" x14ac:dyDescent="0.2">
      <c r="A1092" s="2">
        <v>1100</v>
      </c>
      <c r="B1092">
        <v>1100</v>
      </c>
      <c r="C1092">
        <v>111</v>
      </c>
      <c r="D1092">
        <f>VLOOKUP(C1092,Course!$A$1:$C$229, 2, FALSE)</f>
        <v>0</v>
      </c>
      <c r="E1092">
        <v>138</v>
      </c>
      <c r="F1092" t="s">
        <v>1470</v>
      </c>
      <c r="G1092">
        <v>1</v>
      </c>
      <c r="H1092" s="6">
        <v>0.8</v>
      </c>
      <c r="I1092">
        <v>1</v>
      </c>
    </row>
    <row r="1093" spans="1:9" x14ac:dyDescent="0.2">
      <c r="A1093" s="2">
        <v>1101</v>
      </c>
      <c r="B1093">
        <v>1101</v>
      </c>
      <c r="C1093">
        <v>112</v>
      </c>
      <c r="D1093">
        <f>VLOOKUP(C1093,Course!$A$1:$C$229, 2, FALSE)</f>
        <v>0</v>
      </c>
      <c r="E1093">
        <v>1</v>
      </c>
      <c r="F1093" t="s">
        <v>1471</v>
      </c>
      <c r="G1093">
        <v>1</v>
      </c>
      <c r="H1093" s="6">
        <v>0.8</v>
      </c>
      <c r="I1093">
        <v>1</v>
      </c>
    </row>
    <row r="1094" spans="1:9" x14ac:dyDescent="0.2">
      <c r="A1094" s="2">
        <v>1102</v>
      </c>
      <c r="B1094">
        <v>1102</v>
      </c>
      <c r="C1094">
        <v>112</v>
      </c>
      <c r="D1094">
        <f>VLOOKUP(C1094,Course!$A$1:$C$229, 2, FALSE)</f>
        <v>0</v>
      </c>
      <c r="E1094">
        <v>2</v>
      </c>
      <c r="F1094" t="s">
        <v>1472</v>
      </c>
      <c r="G1094">
        <v>1</v>
      </c>
      <c r="H1094" s="6">
        <v>0.8</v>
      </c>
      <c r="I1094">
        <v>1</v>
      </c>
    </row>
    <row r="1095" spans="1:9" x14ac:dyDescent="0.2">
      <c r="A1095" s="2">
        <v>1103</v>
      </c>
      <c r="B1095">
        <v>1103</v>
      </c>
      <c r="C1095">
        <v>112</v>
      </c>
      <c r="D1095">
        <f>VLOOKUP(C1095,Course!$A$1:$C$229, 2, FALSE)</f>
        <v>0</v>
      </c>
      <c r="E1095">
        <v>3</v>
      </c>
      <c r="F1095" t="s">
        <v>1473</v>
      </c>
      <c r="G1095">
        <v>1</v>
      </c>
      <c r="H1095" s="6">
        <v>0.8</v>
      </c>
      <c r="I1095">
        <v>1</v>
      </c>
    </row>
    <row r="1096" spans="1:9" x14ac:dyDescent="0.2">
      <c r="A1096" s="2">
        <v>1104</v>
      </c>
      <c r="B1096">
        <v>1104</v>
      </c>
      <c r="C1096">
        <v>112</v>
      </c>
      <c r="D1096">
        <f>VLOOKUP(C1096,Course!$A$1:$C$229, 2, FALSE)</f>
        <v>0</v>
      </c>
      <c r="E1096">
        <v>4</v>
      </c>
      <c r="F1096" t="s">
        <v>1474</v>
      </c>
      <c r="G1096">
        <v>1</v>
      </c>
      <c r="H1096" s="6">
        <v>0.8</v>
      </c>
      <c r="I1096">
        <v>1</v>
      </c>
    </row>
    <row r="1097" spans="1:9" x14ac:dyDescent="0.2">
      <c r="A1097" s="2">
        <v>1105</v>
      </c>
      <c r="B1097">
        <v>1105</v>
      </c>
      <c r="C1097">
        <v>112</v>
      </c>
      <c r="D1097">
        <f>VLOOKUP(C1097,Course!$A$1:$C$229, 2, FALSE)</f>
        <v>0</v>
      </c>
      <c r="E1097">
        <v>5</v>
      </c>
      <c r="F1097" t="s">
        <v>1475</v>
      </c>
      <c r="G1097">
        <v>1</v>
      </c>
      <c r="H1097" s="6">
        <v>0.8</v>
      </c>
      <c r="I1097">
        <v>1</v>
      </c>
    </row>
    <row r="1098" spans="1:9" x14ac:dyDescent="0.2">
      <c r="A1098" s="2">
        <v>1106</v>
      </c>
      <c r="B1098">
        <v>1106</v>
      </c>
      <c r="C1098">
        <v>112</v>
      </c>
      <c r="D1098">
        <f>VLOOKUP(C1098,Course!$A$1:$C$229, 2, FALSE)</f>
        <v>0</v>
      </c>
      <c r="E1098">
        <v>6</v>
      </c>
      <c r="F1098" t="s">
        <v>1476</v>
      </c>
      <c r="G1098">
        <v>1</v>
      </c>
      <c r="H1098" s="6">
        <v>0.8</v>
      </c>
      <c r="I1098">
        <v>1</v>
      </c>
    </row>
    <row r="1099" spans="1:9" x14ac:dyDescent="0.2">
      <c r="A1099" s="2">
        <v>1107</v>
      </c>
      <c r="B1099">
        <v>1107</v>
      </c>
      <c r="C1099">
        <v>112</v>
      </c>
      <c r="D1099">
        <f>VLOOKUP(C1099,Course!$A$1:$C$229, 2, FALSE)</f>
        <v>0</v>
      </c>
      <c r="E1099">
        <v>7</v>
      </c>
      <c r="F1099" t="s">
        <v>1477</v>
      </c>
      <c r="G1099">
        <v>1</v>
      </c>
      <c r="H1099" s="6">
        <v>0.8</v>
      </c>
      <c r="I1099">
        <v>1</v>
      </c>
    </row>
    <row r="1100" spans="1:9" x14ac:dyDescent="0.2">
      <c r="A1100" s="2">
        <v>1108</v>
      </c>
      <c r="B1100">
        <v>1108</v>
      </c>
      <c r="C1100">
        <v>112</v>
      </c>
      <c r="D1100">
        <f>VLOOKUP(C1100,Course!$A$1:$C$229, 2, FALSE)</f>
        <v>0</v>
      </c>
      <c r="E1100">
        <v>8</v>
      </c>
      <c r="F1100" t="s">
        <v>1478</v>
      </c>
      <c r="G1100">
        <v>1</v>
      </c>
      <c r="H1100" s="6">
        <v>0.8</v>
      </c>
      <c r="I1100">
        <v>1</v>
      </c>
    </row>
    <row r="1101" spans="1:9" x14ac:dyDescent="0.2">
      <c r="A1101" s="2">
        <v>1109</v>
      </c>
      <c r="B1101">
        <v>1109</v>
      </c>
      <c r="C1101">
        <v>112</v>
      </c>
      <c r="D1101">
        <f>VLOOKUP(C1101,Course!$A$1:$C$229, 2, FALSE)</f>
        <v>0</v>
      </c>
      <c r="E1101">
        <v>9</v>
      </c>
      <c r="F1101" t="s">
        <v>1479</v>
      </c>
      <c r="G1101">
        <v>1</v>
      </c>
      <c r="H1101" s="6">
        <v>0.8</v>
      </c>
      <c r="I1101">
        <v>1</v>
      </c>
    </row>
    <row r="1102" spans="1:9" x14ac:dyDescent="0.2">
      <c r="A1102" s="2">
        <v>1110</v>
      </c>
      <c r="B1102">
        <v>1110</v>
      </c>
      <c r="C1102">
        <v>112</v>
      </c>
      <c r="D1102">
        <f>VLOOKUP(C1102,Course!$A$1:$C$229, 2, FALSE)</f>
        <v>0</v>
      </c>
      <c r="E1102">
        <v>10</v>
      </c>
      <c r="F1102" t="s">
        <v>1480</v>
      </c>
      <c r="G1102">
        <v>1</v>
      </c>
      <c r="H1102" s="6">
        <v>0.8</v>
      </c>
      <c r="I1102">
        <v>1</v>
      </c>
    </row>
    <row r="1103" spans="1:9" x14ac:dyDescent="0.2">
      <c r="A1103" s="2">
        <v>1111</v>
      </c>
      <c r="B1103">
        <v>1111</v>
      </c>
      <c r="C1103">
        <v>113</v>
      </c>
      <c r="D1103">
        <f>VLOOKUP(C1103,Course!$A$1:$C$229, 2, FALSE)</f>
        <v>0</v>
      </c>
      <c r="E1103">
        <v>133</v>
      </c>
      <c r="F1103" t="s">
        <v>640</v>
      </c>
      <c r="G1103">
        <v>1</v>
      </c>
      <c r="H1103" s="6">
        <v>0.8</v>
      </c>
      <c r="I1103">
        <v>1</v>
      </c>
    </row>
    <row r="1104" spans="1:9" x14ac:dyDescent="0.2">
      <c r="A1104" s="2">
        <v>1112</v>
      </c>
      <c r="B1104">
        <v>1112</v>
      </c>
      <c r="C1104">
        <v>113</v>
      </c>
      <c r="D1104">
        <f>VLOOKUP(C1104,Course!$A$1:$C$229, 2, FALSE)</f>
        <v>0</v>
      </c>
      <c r="E1104">
        <v>134</v>
      </c>
      <c r="F1104" t="s">
        <v>641</v>
      </c>
      <c r="G1104">
        <v>1</v>
      </c>
      <c r="H1104" s="6">
        <v>0.8</v>
      </c>
      <c r="I1104">
        <v>1</v>
      </c>
    </row>
    <row r="1105" spans="1:9" x14ac:dyDescent="0.2">
      <c r="A1105" s="2">
        <v>1113</v>
      </c>
      <c r="B1105">
        <v>1113</v>
      </c>
      <c r="C1105">
        <v>113</v>
      </c>
      <c r="D1105">
        <f>VLOOKUP(C1105,Course!$A$1:$C$229, 2, FALSE)</f>
        <v>0</v>
      </c>
      <c r="E1105">
        <v>135</v>
      </c>
      <c r="F1105" t="s">
        <v>642</v>
      </c>
      <c r="G1105">
        <v>1</v>
      </c>
      <c r="H1105" s="6">
        <v>0.8</v>
      </c>
      <c r="I1105">
        <v>1</v>
      </c>
    </row>
    <row r="1106" spans="1:9" x14ac:dyDescent="0.2">
      <c r="A1106" s="2">
        <v>1114</v>
      </c>
      <c r="B1106">
        <v>1114</v>
      </c>
      <c r="C1106">
        <v>113</v>
      </c>
      <c r="D1106">
        <f>VLOOKUP(C1106,Course!$A$1:$C$229, 2, FALSE)</f>
        <v>0</v>
      </c>
      <c r="E1106">
        <v>136</v>
      </c>
      <c r="F1106" t="s">
        <v>643</v>
      </c>
      <c r="G1106">
        <v>1</v>
      </c>
      <c r="H1106" s="6">
        <v>0.8</v>
      </c>
      <c r="I1106">
        <v>1</v>
      </c>
    </row>
    <row r="1107" spans="1:9" x14ac:dyDescent="0.2">
      <c r="A1107" s="2">
        <v>1115</v>
      </c>
      <c r="B1107">
        <v>1115</v>
      </c>
      <c r="C1107">
        <v>113</v>
      </c>
      <c r="D1107">
        <f>VLOOKUP(C1107,Course!$A$1:$C$229, 2, FALSE)</f>
        <v>0</v>
      </c>
      <c r="E1107">
        <v>137</v>
      </c>
      <c r="F1107" t="s">
        <v>716</v>
      </c>
      <c r="G1107">
        <v>1</v>
      </c>
      <c r="H1107" s="6">
        <v>0.8</v>
      </c>
      <c r="I1107">
        <v>1</v>
      </c>
    </row>
    <row r="1108" spans="1:9" x14ac:dyDescent="0.2">
      <c r="A1108" s="2">
        <v>1116</v>
      </c>
      <c r="B1108">
        <v>1116</v>
      </c>
      <c r="C1108">
        <v>113</v>
      </c>
      <c r="D1108">
        <f>VLOOKUP(C1108,Course!$A$1:$C$229, 2, FALSE)</f>
        <v>0</v>
      </c>
      <c r="E1108">
        <v>138</v>
      </c>
      <c r="F1108" t="s">
        <v>717</v>
      </c>
      <c r="G1108">
        <v>1</v>
      </c>
      <c r="H1108" s="6">
        <v>0.8</v>
      </c>
      <c r="I1108">
        <v>1</v>
      </c>
    </row>
    <row r="1109" spans="1:9" x14ac:dyDescent="0.2">
      <c r="A1109" s="2">
        <v>1117</v>
      </c>
      <c r="B1109">
        <v>1117</v>
      </c>
      <c r="C1109">
        <v>113</v>
      </c>
      <c r="D1109">
        <f>VLOOKUP(C1109,Course!$A$1:$C$229, 2, FALSE)</f>
        <v>0</v>
      </c>
      <c r="E1109">
        <v>139</v>
      </c>
      <c r="F1109" t="s">
        <v>718</v>
      </c>
      <c r="G1109">
        <v>1</v>
      </c>
      <c r="H1109" s="6">
        <v>0.8</v>
      </c>
      <c r="I1109">
        <v>1</v>
      </c>
    </row>
    <row r="1110" spans="1:9" x14ac:dyDescent="0.2">
      <c r="A1110" s="2">
        <v>1118</v>
      </c>
      <c r="B1110">
        <v>1118</v>
      </c>
      <c r="C1110">
        <v>113</v>
      </c>
      <c r="D1110">
        <f>VLOOKUP(C1110,Course!$A$1:$C$229, 2, FALSE)</f>
        <v>0</v>
      </c>
      <c r="E1110">
        <v>140</v>
      </c>
      <c r="F1110" t="s">
        <v>719</v>
      </c>
      <c r="G1110">
        <v>1</v>
      </c>
      <c r="H1110" s="6">
        <v>0.8</v>
      </c>
      <c r="I1110">
        <v>1</v>
      </c>
    </row>
    <row r="1111" spans="1:9" x14ac:dyDescent="0.2">
      <c r="A1111" s="2">
        <v>1119</v>
      </c>
      <c r="B1111">
        <v>1119</v>
      </c>
      <c r="C1111">
        <v>113</v>
      </c>
      <c r="D1111">
        <f>VLOOKUP(C1111,Course!$A$1:$C$229, 2, FALSE)</f>
        <v>0</v>
      </c>
      <c r="E1111">
        <v>141</v>
      </c>
      <c r="F1111" t="s">
        <v>720</v>
      </c>
      <c r="G1111">
        <v>1</v>
      </c>
      <c r="H1111" s="6">
        <v>0.8</v>
      </c>
      <c r="I1111">
        <v>1</v>
      </c>
    </row>
    <row r="1112" spans="1:9" x14ac:dyDescent="0.2">
      <c r="A1112" s="2">
        <v>1120</v>
      </c>
      <c r="B1112">
        <v>1120</v>
      </c>
      <c r="C1112">
        <v>113</v>
      </c>
      <c r="D1112">
        <f>VLOOKUP(C1112,Course!$A$1:$C$229, 2, FALSE)</f>
        <v>0</v>
      </c>
      <c r="E1112">
        <v>142</v>
      </c>
      <c r="F1112" t="s">
        <v>721</v>
      </c>
      <c r="G1112">
        <v>1</v>
      </c>
      <c r="H1112" s="6">
        <v>0.8</v>
      </c>
      <c r="I1112">
        <v>1</v>
      </c>
    </row>
    <row r="1113" spans="1:9" x14ac:dyDescent="0.2">
      <c r="A1113" s="2">
        <v>1121</v>
      </c>
      <c r="B1113">
        <v>1121</v>
      </c>
      <c r="C1113">
        <v>113</v>
      </c>
      <c r="D1113">
        <f>VLOOKUP(C1113,Course!$A$1:$C$229, 2, FALSE)</f>
        <v>0</v>
      </c>
      <c r="E1113">
        <v>143</v>
      </c>
      <c r="F1113" t="s">
        <v>722</v>
      </c>
      <c r="G1113">
        <v>1</v>
      </c>
      <c r="H1113" s="6">
        <v>0.8</v>
      </c>
      <c r="I1113">
        <v>1</v>
      </c>
    </row>
    <row r="1114" spans="1:9" x14ac:dyDescent="0.2">
      <c r="A1114" s="2">
        <v>1122</v>
      </c>
      <c r="B1114">
        <v>1122</v>
      </c>
      <c r="C1114">
        <v>113</v>
      </c>
      <c r="D1114">
        <f>VLOOKUP(C1114,Course!$A$1:$C$229, 2, FALSE)</f>
        <v>0</v>
      </c>
      <c r="E1114">
        <v>144</v>
      </c>
      <c r="F1114" t="s">
        <v>723</v>
      </c>
      <c r="G1114">
        <v>1</v>
      </c>
      <c r="H1114" s="6">
        <v>0.8</v>
      </c>
      <c r="I1114">
        <v>1</v>
      </c>
    </row>
    <row r="1115" spans="1:9" x14ac:dyDescent="0.2">
      <c r="A1115" s="2">
        <v>1123</v>
      </c>
      <c r="B1115">
        <v>1123</v>
      </c>
      <c r="C1115">
        <v>114</v>
      </c>
      <c r="D1115">
        <f>VLOOKUP(C1115,Course!$A$1:$C$229, 2, FALSE)</f>
        <v>0</v>
      </c>
      <c r="E1115">
        <v>11</v>
      </c>
      <c r="F1115" t="s">
        <v>1481</v>
      </c>
      <c r="G1115">
        <v>1</v>
      </c>
      <c r="H1115" s="6">
        <v>0.8</v>
      </c>
      <c r="I1115">
        <v>1</v>
      </c>
    </row>
    <row r="1116" spans="1:9" x14ac:dyDescent="0.2">
      <c r="A1116" s="2">
        <v>1124</v>
      </c>
      <c r="B1116">
        <v>1124</v>
      </c>
      <c r="C1116">
        <v>114</v>
      </c>
      <c r="D1116">
        <f>VLOOKUP(C1116,Course!$A$1:$C$229, 2, FALSE)</f>
        <v>0</v>
      </c>
      <c r="E1116">
        <v>12</v>
      </c>
      <c r="F1116" t="s">
        <v>1482</v>
      </c>
      <c r="G1116">
        <v>1</v>
      </c>
      <c r="H1116" s="6">
        <v>0.8</v>
      </c>
      <c r="I1116">
        <v>1</v>
      </c>
    </row>
    <row r="1117" spans="1:9" x14ac:dyDescent="0.2">
      <c r="A1117" s="2">
        <v>1125</v>
      </c>
      <c r="B1117">
        <v>1125</v>
      </c>
      <c r="C1117">
        <v>114</v>
      </c>
      <c r="D1117">
        <f>VLOOKUP(C1117,Course!$A$1:$C$229, 2, FALSE)</f>
        <v>0</v>
      </c>
      <c r="E1117">
        <v>13</v>
      </c>
      <c r="F1117" t="s">
        <v>1483</v>
      </c>
      <c r="G1117">
        <v>1</v>
      </c>
      <c r="H1117" s="6">
        <v>0.8</v>
      </c>
      <c r="I1117">
        <v>1</v>
      </c>
    </row>
    <row r="1118" spans="1:9" x14ac:dyDescent="0.2">
      <c r="A1118" s="2">
        <v>1126</v>
      </c>
      <c r="B1118">
        <v>1126</v>
      </c>
      <c r="C1118">
        <v>114</v>
      </c>
      <c r="D1118">
        <f>VLOOKUP(C1118,Course!$A$1:$C$229, 2, FALSE)</f>
        <v>0</v>
      </c>
      <c r="E1118">
        <v>14</v>
      </c>
      <c r="F1118" t="s">
        <v>1484</v>
      </c>
      <c r="G1118">
        <v>1</v>
      </c>
      <c r="H1118" s="6">
        <v>0.8</v>
      </c>
      <c r="I1118">
        <v>1</v>
      </c>
    </row>
    <row r="1119" spans="1:9" x14ac:dyDescent="0.2">
      <c r="A1119" s="2">
        <v>1127</v>
      </c>
      <c r="B1119">
        <v>1127</v>
      </c>
      <c r="C1119">
        <v>114</v>
      </c>
      <c r="D1119">
        <f>VLOOKUP(C1119,Course!$A$1:$C$229, 2, FALSE)</f>
        <v>0</v>
      </c>
      <c r="E1119">
        <v>15</v>
      </c>
      <c r="F1119" t="s">
        <v>1485</v>
      </c>
      <c r="G1119">
        <v>1</v>
      </c>
      <c r="H1119" s="6">
        <v>0.8</v>
      </c>
      <c r="I1119">
        <v>1</v>
      </c>
    </row>
    <row r="1120" spans="1:9" x14ac:dyDescent="0.2">
      <c r="A1120" s="2">
        <v>1128</v>
      </c>
      <c r="B1120">
        <v>1128</v>
      </c>
      <c r="C1120">
        <v>114</v>
      </c>
      <c r="D1120">
        <f>VLOOKUP(C1120,Course!$A$1:$C$229, 2, FALSE)</f>
        <v>0</v>
      </c>
      <c r="E1120">
        <v>16</v>
      </c>
      <c r="F1120" t="s">
        <v>1486</v>
      </c>
      <c r="G1120">
        <v>1</v>
      </c>
      <c r="H1120" s="6">
        <v>0.8</v>
      </c>
      <c r="I1120">
        <v>1</v>
      </c>
    </row>
    <row r="1121" spans="1:9" x14ac:dyDescent="0.2">
      <c r="A1121" s="2">
        <v>1129</v>
      </c>
      <c r="B1121">
        <v>1129</v>
      </c>
      <c r="C1121">
        <v>114</v>
      </c>
      <c r="D1121">
        <f>VLOOKUP(C1121,Course!$A$1:$C$229, 2, FALSE)</f>
        <v>0</v>
      </c>
      <c r="E1121">
        <v>17</v>
      </c>
      <c r="F1121" t="s">
        <v>1487</v>
      </c>
      <c r="G1121">
        <v>1</v>
      </c>
      <c r="H1121" s="6">
        <v>0.8</v>
      </c>
      <c r="I1121">
        <v>1</v>
      </c>
    </row>
    <row r="1122" spans="1:9" x14ac:dyDescent="0.2">
      <c r="A1122" s="2">
        <v>1130</v>
      </c>
      <c r="B1122">
        <v>1130</v>
      </c>
      <c r="C1122">
        <v>114</v>
      </c>
      <c r="D1122">
        <f>VLOOKUP(C1122,Course!$A$1:$C$229, 2, FALSE)</f>
        <v>0</v>
      </c>
      <c r="E1122">
        <v>18</v>
      </c>
      <c r="F1122" t="s">
        <v>1488</v>
      </c>
      <c r="G1122">
        <v>1</v>
      </c>
      <c r="H1122" s="6">
        <v>0.8</v>
      </c>
      <c r="I1122">
        <v>1</v>
      </c>
    </row>
    <row r="1123" spans="1:9" x14ac:dyDescent="0.2">
      <c r="A1123" s="2">
        <v>1131</v>
      </c>
      <c r="B1123">
        <v>1131</v>
      </c>
      <c r="C1123">
        <v>114</v>
      </c>
      <c r="D1123">
        <f>VLOOKUP(C1123,Course!$A$1:$C$229, 2, FALSE)</f>
        <v>0</v>
      </c>
      <c r="E1123">
        <v>19</v>
      </c>
      <c r="F1123" t="s">
        <v>1489</v>
      </c>
      <c r="G1123">
        <v>1</v>
      </c>
      <c r="H1123" s="6">
        <v>0.8</v>
      </c>
      <c r="I1123">
        <v>1</v>
      </c>
    </row>
    <row r="1124" spans="1:9" x14ac:dyDescent="0.2">
      <c r="A1124" s="2">
        <v>1132</v>
      </c>
      <c r="B1124">
        <v>1132</v>
      </c>
      <c r="C1124">
        <v>114</v>
      </c>
      <c r="D1124">
        <f>VLOOKUP(C1124,Course!$A$1:$C$229, 2, FALSE)</f>
        <v>0</v>
      </c>
      <c r="E1124">
        <v>20</v>
      </c>
      <c r="F1124" t="s">
        <v>1490</v>
      </c>
      <c r="G1124">
        <v>1</v>
      </c>
      <c r="H1124" s="6">
        <v>0.8</v>
      </c>
      <c r="I1124">
        <v>1</v>
      </c>
    </row>
    <row r="1125" spans="1:9" x14ac:dyDescent="0.2">
      <c r="A1125" s="2">
        <v>1133</v>
      </c>
      <c r="B1125">
        <v>1133</v>
      </c>
      <c r="C1125">
        <v>115</v>
      </c>
      <c r="D1125">
        <f>VLOOKUP(C1125,Course!$A$1:$C$229, 2, FALSE)</f>
        <v>0</v>
      </c>
      <c r="E1125">
        <v>7</v>
      </c>
      <c r="F1125" t="s">
        <v>1491</v>
      </c>
      <c r="G1125">
        <v>1</v>
      </c>
      <c r="H1125" s="6">
        <v>0.8</v>
      </c>
      <c r="I1125">
        <v>1</v>
      </c>
    </row>
    <row r="1126" spans="1:9" x14ac:dyDescent="0.2">
      <c r="A1126" s="2">
        <v>1134</v>
      </c>
      <c r="B1126">
        <v>1134</v>
      </c>
      <c r="C1126">
        <v>115</v>
      </c>
      <c r="D1126">
        <f>VLOOKUP(C1126,Course!$A$1:$C$229, 2, FALSE)</f>
        <v>0</v>
      </c>
      <c r="E1126">
        <v>8</v>
      </c>
      <c r="F1126" t="s">
        <v>1492</v>
      </c>
      <c r="G1126">
        <v>1</v>
      </c>
      <c r="H1126" s="6">
        <v>0.8</v>
      </c>
      <c r="I1126">
        <v>1</v>
      </c>
    </row>
    <row r="1127" spans="1:9" x14ac:dyDescent="0.2">
      <c r="A1127" s="2">
        <v>1135</v>
      </c>
      <c r="B1127">
        <v>1135</v>
      </c>
      <c r="C1127">
        <v>116</v>
      </c>
      <c r="D1127">
        <f>VLOOKUP(C1127,Course!$A$1:$C$229, 2, FALSE)</f>
        <v>0</v>
      </c>
      <c r="E1127">
        <v>1</v>
      </c>
      <c r="F1127" t="s">
        <v>1493</v>
      </c>
      <c r="G1127">
        <v>1</v>
      </c>
      <c r="H1127" s="6">
        <v>0.8</v>
      </c>
      <c r="I1127">
        <v>1</v>
      </c>
    </row>
    <row r="1128" spans="1:9" x14ac:dyDescent="0.2">
      <c r="A1128" s="2">
        <v>1136</v>
      </c>
      <c r="B1128">
        <v>1136</v>
      </c>
      <c r="C1128">
        <v>116</v>
      </c>
      <c r="D1128">
        <f>VLOOKUP(C1128,Course!$A$1:$C$229, 2, FALSE)</f>
        <v>0</v>
      </c>
      <c r="E1128">
        <v>2</v>
      </c>
      <c r="F1128" t="s">
        <v>1494</v>
      </c>
      <c r="G1128">
        <v>1</v>
      </c>
      <c r="H1128" s="6">
        <v>0.8</v>
      </c>
      <c r="I1128">
        <v>1</v>
      </c>
    </row>
    <row r="1129" spans="1:9" x14ac:dyDescent="0.2">
      <c r="A1129" s="2">
        <v>1137</v>
      </c>
      <c r="B1129">
        <v>1137</v>
      </c>
      <c r="C1129">
        <v>116</v>
      </c>
      <c r="D1129">
        <f>VLOOKUP(C1129,Course!$A$1:$C$229, 2, FALSE)</f>
        <v>0</v>
      </c>
      <c r="E1129">
        <v>3</v>
      </c>
      <c r="F1129" t="s">
        <v>1495</v>
      </c>
      <c r="G1129">
        <v>1</v>
      </c>
      <c r="H1129" s="6">
        <v>0.8</v>
      </c>
      <c r="I1129">
        <v>1</v>
      </c>
    </row>
    <row r="1130" spans="1:9" x14ac:dyDescent="0.2">
      <c r="A1130" s="2">
        <v>1138</v>
      </c>
      <c r="B1130">
        <v>1138</v>
      </c>
      <c r="C1130">
        <v>116</v>
      </c>
      <c r="D1130">
        <f>VLOOKUP(C1130,Course!$A$1:$C$229, 2, FALSE)</f>
        <v>0</v>
      </c>
      <c r="E1130">
        <v>4</v>
      </c>
      <c r="F1130" t="s">
        <v>1496</v>
      </c>
      <c r="G1130">
        <v>1</v>
      </c>
      <c r="H1130" s="6">
        <v>0.8</v>
      </c>
      <c r="I1130">
        <v>1</v>
      </c>
    </row>
    <row r="1131" spans="1:9" x14ac:dyDescent="0.2">
      <c r="A1131" s="2">
        <v>1139</v>
      </c>
      <c r="B1131">
        <v>1139</v>
      </c>
      <c r="C1131">
        <v>116</v>
      </c>
      <c r="D1131">
        <f>VLOOKUP(C1131,Course!$A$1:$C$229, 2, FALSE)</f>
        <v>0</v>
      </c>
      <c r="E1131">
        <v>5</v>
      </c>
      <c r="F1131" t="s">
        <v>1497</v>
      </c>
      <c r="G1131">
        <v>1</v>
      </c>
      <c r="H1131" s="6">
        <v>0.8</v>
      </c>
      <c r="I1131">
        <v>1</v>
      </c>
    </row>
    <row r="1132" spans="1:9" x14ac:dyDescent="0.2">
      <c r="A1132" s="2">
        <v>1140</v>
      </c>
      <c r="B1132">
        <v>1140</v>
      </c>
      <c r="C1132">
        <v>116</v>
      </c>
      <c r="D1132">
        <f>VLOOKUP(C1132,Course!$A$1:$C$229, 2, FALSE)</f>
        <v>0</v>
      </c>
      <c r="E1132">
        <v>6</v>
      </c>
      <c r="F1132" t="s">
        <v>1498</v>
      </c>
      <c r="G1132">
        <v>1</v>
      </c>
      <c r="H1132" s="6">
        <v>0.8</v>
      </c>
      <c r="I1132">
        <v>1</v>
      </c>
    </row>
    <row r="1133" spans="1:9" x14ac:dyDescent="0.2">
      <c r="A1133" s="2">
        <v>1141</v>
      </c>
      <c r="B1133">
        <v>1141</v>
      </c>
      <c r="C1133">
        <v>116</v>
      </c>
      <c r="D1133">
        <f>VLOOKUP(C1133,Course!$A$1:$C$229, 2, FALSE)</f>
        <v>0</v>
      </c>
      <c r="E1133">
        <v>7</v>
      </c>
      <c r="F1133" t="s">
        <v>1499</v>
      </c>
      <c r="G1133">
        <v>1</v>
      </c>
      <c r="H1133" s="6">
        <v>0.8</v>
      </c>
      <c r="I1133">
        <v>1</v>
      </c>
    </row>
    <row r="1134" spans="1:9" x14ac:dyDescent="0.2">
      <c r="A1134" s="2">
        <v>1142</v>
      </c>
      <c r="B1134">
        <v>1142</v>
      </c>
      <c r="C1134">
        <v>116</v>
      </c>
      <c r="D1134">
        <f>VLOOKUP(C1134,Course!$A$1:$C$229, 2, FALSE)</f>
        <v>0</v>
      </c>
      <c r="E1134">
        <v>8</v>
      </c>
      <c r="F1134" t="s">
        <v>1500</v>
      </c>
      <c r="G1134">
        <v>1</v>
      </c>
      <c r="H1134" s="6">
        <v>0.8</v>
      </c>
      <c r="I1134">
        <v>1</v>
      </c>
    </row>
    <row r="1135" spans="1:9" x14ac:dyDescent="0.2">
      <c r="A1135" s="2">
        <v>1143</v>
      </c>
      <c r="B1135">
        <v>1143</v>
      </c>
      <c r="C1135">
        <v>116</v>
      </c>
      <c r="D1135">
        <f>VLOOKUP(C1135,Course!$A$1:$C$229, 2, FALSE)</f>
        <v>0</v>
      </c>
      <c r="E1135">
        <v>9</v>
      </c>
      <c r="F1135" t="s">
        <v>1501</v>
      </c>
      <c r="G1135">
        <v>1</v>
      </c>
      <c r="H1135" s="6">
        <v>0.8</v>
      </c>
      <c r="I1135">
        <v>1</v>
      </c>
    </row>
    <row r="1136" spans="1:9" x14ac:dyDescent="0.2">
      <c r="A1136" s="2">
        <v>1144</v>
      </c>
      <c r="B1136">
        <v>1144</v>
      </c>
      <c r="C1136">
        <v>116</v>
      </c>
      <c r="D1136">
        <f>VLOOKUP(C1136,Course!$A$1:$C$229, 2, FALSE)</f>
        <v>0</v>
      </c>
      <c r="E1136">
        <v>10</v>
      </c>
      <c r="F1136" t="s">
        <v>1502</v>
      </c>
      <c r="G1136">
        <v>1</v>
      </c>
      <c r="H1136" s="6">
        <v>0.8</v>
      </c>
      <c r="I1136">
        <v>1</v>
      </c>
    </row>
    <row r="1137" spans="1:9" x14ac:dyDescent="0.2">
      <c r="A1137" s="2">
        <v>1145</v>
      </c>
      <c r="B1137">
        <v>1145</v>
      </c>
      <c r="C1137">
        <v>117</v>
      </c>
      <c r="D1137">
        <f>VLOOKUP(C1137,Course!$A$1:$C$229, 2, FALSE)</f>
        <v>0</v>
      </c>
      <c r="E1137">
        <v>133</v>
      </c>
      <c r="F1137" t="s">
        <v>1503</v>
      </c>
      <c r="G1137">
        <v>1</v>
      </c>
      <c r="H1137" s="6">
        <v>0.8</v>
      </c>
      <c r="I1137">
        <v>1</v>
      </c>
    </row>
    <row r="1138" spans="1:9" x14ac:dyDescent="0.2">
      <c r="A1138" s="2">
        <v>1146</v>
      </c>
      <c r="B1138">
        <v>1146</v>
      </c>
      <c r="C1138">
        <v>117</v>
      </c>
      <c r="D1138">
        <f>VLOOKUP(C1138,Course!$A$1:$C$229, 2, FALSE)</f>
        <v>0</v>
      </c>
      <c r="E1138">
        <v>134</v>
      </c>
      <c r="F1138" t="s">
        <v>1504</v>
      </c>
      <c r="G1138">
        <v>1</v>
      </c>
      <c r="H1138" s="6">
        <v>0.8</v>
      </c>
      <c r="I1138">
        <v>1</v>
      </c>
    </row>
    <row r="1139" spans="1:9" x14ac:dyDescent="0.2">
      <c r="A1139" s="2">
        <v>1147</v>
      </c>
      <c r="B1139">
        <v>1147</v>
      </c>
      <c r="C1139">
        <v>117</v>
      </c>
      <c r="D1139">
        <f>VLOOKUP(C1139,Course!$A$1:$C$229, 2, FALSE)</f>
        <v>0</v>
      </c>
      <c r="E1139">
        <v>135</v>
      </c>
      <c r="F1139" t="s">
        <v>1505</v>
      </c>
      <c r="G1139">
        <v>1</v>
      </c>
      <c r="H1139" s="6">
        <v>0.8</v>
      </c>
      <c r="I1139">
        <v>1</v>
      </c>
    </row>
    <row r="1140" spans="1:9" x14ac:dyDescent="0.2">
      <c r="A1140" s="2">
        <v>1148</v>
      </c>
      <c r="B1140">
        <v>1148</v>
      </c>
      <c r="C1140">
        <v>117</v>
      </c>
      <c r="D1140">
        <f>VLOOKUP(C1140,Course!$A$1:$C$229, 2, FALSE)</f>
        <v>0</v>
      </c>
      <c r="E1140">
        <v>136</v>
      </c>
      <c r="F1140" t="s">
        <v>1506</v>
      </c>
      <c r="G1140">
        <v>1</v>
      </c>
      <c r="H1140" s="6">
        <v>0.8</v>
      </c>
      <c r="I1140">
        <v>1</v>
      </c>
    </row>
    <row r="1141" spans="1:9" x14ac:dyDescent="0.2">
      <c r="A1141" s="2">
        <v>1149</v>
      </c>
      <c r="B1141">
        <v>1149</v>
      </c>
      <c r="C1141">
        <v>117</v>
      </c>
      <c r="D1141">
        <f>VLOOKUP(C1141,Course!$A$1:$C$229, 2, FALSE)</f>
        <v>0</v>
      </c>
      <c r="E1141">
        <v>137</v>
      </c>
      <c r="F1141" t="s">
        <v>1507</v>
      </c>
      <c r="G1141">
        <v>1</v>
      </c>
      <c r="H1141" s="6">
        <v>0.8</v>
      </c>
      <c r="I1141">
        <v>1</v>
      </c>
    </row>
    <row r="1142" spans="1:9" x14ac:dyDescent="0.2">
      <c r="A1142" s="2">
        <v>1150</v>
      </c>
      <c r="B1142">
        <v>1150</v>
      </c>
      <c r="C1142">
        <v>117</v>
      </c>
      <c r="D1142">
        <f>VLOOKUP(C1142,Course!$A$1:$C$229, 2, FALSE)</f>
        <v>0</v>
      </c>
      <c r="E1142">
        <v>138</v>
      </c>
      <c r="F1142" t="s">
        <v>1508</v>
      </c>
      <c r="G1142">
        <v>1</v>
      </c>
      <c r="H1142" s="6">
        <v>0.8</v>
      </c>
      <c r="I1142">
        <v>1</v>
      </c>
    </row>
    <row r="1143" spans="1:9" x14ac:dyDescent="0.2">
      <c r="A1143" s="2">
        <v>1151</v>
      </c>
      <c r="B1143">
        <v>1151</v>
      </c>
      <c r="C1143">
        <v>117</v>
      </c>
      <c r="D1143">
        <f>VLOOKUP(C1143,Course!$A$1:$C$229, 2, FALSE)</f>
        <v>0</v>
      </c>
      <c r="E1143">
        <v>139</v>
      </c>
      <c r="F1143" t="s">
        <v>1509</v>
      </c>
      <c r="G1143">
        <v>1</v>
      </c>
      <c r="H1143" s="6">
        <v>0.8</v>
      </c>
      <c r="I1143">
        <v>1</v>
      </c>
    </row>
    <row r="1144" spans="1:9" x14ac:dyDescent="0.2">
      <c r="A1144" s="2">
        <v>1152</v>
      </c>
      <c r="B1144">
        <v>1152</v>
      </c>
      <c r="C1144">
        <v>117</v>
      </c>
      <c r="D1144">
        <f>VLOOKUP(C1144,Course!$A$1:$C$229, 2, FALSE)</f>
        <v>0</v>
      </c>
      <c r="E1144">
        <v>140</v>
      </c>
      <c r="F1144" t="s">
        <v>1510</v>
      </c>
      <c r="G1144">
        <v>1</v>
      </c>
      <c r="H1144" s="6">
        <v>0.8</v>
      </c>
      <c r="I1144">
        <v>1</v>
      </c>
    </row>
    <row r="1145" spans="1:9" x14ac:dyDescent="0.2">
      <c r="A1145" s="2">
        <v>1153</v>
      </c>
      <c r="B1145">
        <v>1153</v>
      </c>
      <c r="C1145">
        <v>117</v>
      </c>
      <c r="D1145">
        <f>VLOOKUP(C1145,Course!$A$1:$C$229, 2, FALSE)</f>
        <v>0</v>
      </c>
      <c r="E1145">
        <v>141</v>
      </c>
      <c r="F1145" t="s">
        <v>1511</v>
      </c>
      <c r="G1145">
        <v>1</v>
      </c>
      <c r="H1145" s="6">
        <v>0.8</v>
      </c>
      <c r="I1145">
        <v>1</v>
      </c>
    </row>
    <row r="1146" spans="1:9" x14ac:dyDescent="0.2">
      <c r="A1146" s="2">
        <v>1154</v>
      </c>
      <c r="B1146">
        <v>1154</v>
      </c>
      <c r="C1146">
        <v>117</v>
      </c>
      <c r="D1146">
        <f>VLOOKUP(C1146,Course!$A$1:$C$229, 2, FALSE)</f>
        <v>0</v>
      </c>
      <c r="E1146">
        <v>142</v>
      </c>
      <c r="F1146" t="s">
        <v>1512</v>
      </c>
      <c r="G1146">
        <v>1</v>
      </c>
      <c r="H1146" s="6">
        <v>0.8</v>
      </c>
      <c r="I1146">
        <v>1</v>
      </c>
    </row>
    <row r="1147" spans="1:9" x14ac:dyDescent="0.2">
      <c r="A1147" s="2">
        <v>1155</v>
      </c>
      <c r="B1147">
        <v>1155</v>
      </c>
      <c r="C1147">
        <v>117</v>
      </c>
      <c r="D1147">
        <f>VLOOKUP(C1147,Course!$A$1:$C$229, 2, FALSE)</f>
        <v>0</v>
      </c>
      <c r="E1147">
        <v>143</v>
      </c>
      <c r="F1147" t="s">
        <v>1513</v>
      </c>
      <c r="G1147">
        <v>1</v>
      </c>
      <c r="H1147" s="6">
        <v>0.8</v>
      </c>
      <c r="I1147">
        <v>1</v>
      </c>
    </row>
    <row r="1148" spans="1:9" x14ac:dyDescent="0.2">
      <c r="A1148" s="2">
        <v>1156</v>
      </c>
      <c r="B1148">
        <v>1156</v>
      </c>
      <c r="C1148">
        <v>117</v>
      </c>
      <c r="D1148">
        <f>VLOOKUP(C1148,Course!$A$1:$C$229, 2, FALSE)</f>
        <v>0</v>
      </c>
      <c r="E1148">
        <v>144</v>
      </c>
      <c r="F1148" t="s">
        <v>1514</v>
      </c>
      <c r="G1148">
        <v>1</v>
      </c>
      <c r="H1148" s="6">
        <v>0.8</v>
      </c>
      <c r="I1148">
        <v>1</v>
      </c>
    </row>
    <row r="1149" spans="1:9" x14ac:dyDescent="0.2">
      <c r="A1149" s="2">
        <v>1157</v>
      </c>
      <c r="B1149">
        <v>1157</v>
      </c>
      <c r="C1149">
        <v>118</v>
      </c>
      <c r="D1149">
        <f>VLOOKUP(C1149,Course!$A$1:$C$229, 2, FALSE)</f>
        <v>0</v>
      </c>
      <c r="E1149">
        <v>85</v>
      </c>
      <c r="F1149" t="s">
        <v>1515</v>
      </c>
      <c r="G1149">
        <v>1</v>
      </c>
      <c r="H1149" s="6">
        <v>0.8</v>
      </c>
      <c r="I1149">
        <v>1</v>
      </c>
    </row>
    <row r="1150" spans="1:9" x14ac:dyDescent="0.2">
      <c r="A1150" s="2">
        <v>1158</v>
      </c>
      <c r="B1150">
        <v>1158</v>
      </c>
      <c r="C1150">
        <v>118</v>
      </c>
      <c r="D1150">
        <f>VLOOKUP(C1150,Course!$A$1:$C$229, 2, FALSE)</f>
        <v>0</v>
      </c>
      <c r="E1150">
        <v>86</v>
      </c>
      <c r="F1150" t="s">
        <v>1516</v>
      </c>
      <c r="G1150">
        <v>1</v>
      </c>
      <c r="H1150" s="6">
        <v>0.8</v>
      </c>
      <c r="I1150">
        <v>1</v>
      </c>
    </row>
    <row r="1151" spans="1:9" x14ac:dyDescent="0.2">
      <c r="A1151" s="2">
        <v>1159</v>
      </c>
      <c r="B1151">
        <v>1159</v>
      </c>
      <c r="C1151">
        <v>118</v>
      </c>
      <c r="D1151">
        <f>VLOOKUP(C1151,Course!$A$1:$C$229, 2, FALSE)</f>
        <v>0</v>
      </c>
      <c r="E1151">
        <v>87</v>
      </c>
      <c r="F1151" t="s">
        <v>1517</v>
      </c>
      <c r="G1151">
        <v>1</v>
      </c>
      <c r="H1151" s="6">
        <v>0.8</v>
      </c>
      <c r="I1151">
        <v>1</v>
      </c>
    </row>
    <row r="1152" spans="1:9" x14ac:dyDescent="0.2">
      <c r="A1152" s="2">
        <v>1160</v>
      </c>
      <c r="B1152">
        <v>1160</v>
      </c>
      <c r="C1152">
        <v>118</v>
      </c>
      <c r="D1152">
        <f>VLOOKUP(C1152,Course!$A$1:$C$229, 2, FALSE)</f>
        <v>0</v>
      </c>
      <c r="E1152">
        <v>88</v>
      </c>
      <c r="F1152" t="s">
        <v>1518</v>
      </c>
      <c r="G1152">
        <v>1</v>
      </c>
      <c r="H1152" s="6">
        <v>0.8</v>
      </c>
      <c r="I1152">
        <v>1</v>
      </c>
    </row>
    <row r="1153" spans="1:9" x14ac:dyDescent="0.2">
      <c r="A1153" s="2">
        <v>1161</v>
      </c>
      <c r="B1153">
        <v>1161</v>
      </c>
      <c r="C1153">
        <v>118</v>
      </c>
      <c r="D1153">
        <f>VLOOKUP(C1153,Course!$A$1:$C$229, 2, FALSE)</f>
        <v>0</v>
      </c>
      <c r="E1153">
        <v>89</v>
      </c>
      <c r="F1153" t="s">
        <v>1519</v>
      </c>
      <c r="G1153">
        <v>1</v>
      </c>
      <c r="H1153" s="6">
        <v>0.8</v>
      </c>
      <c r="I1153">
        <v>1</v>
      </c>
    </row>
    <row r="1154" spans="1:9" x14ac:dyDescent="0.2">
      <c r="A1154" s="2">
        <v>1162</v>
      </c>
      <c r="B1154">
        <v>1162</v>
      </c>
      <c r="C1154">
        <v>118</v>
      </c>
      <c r="D1154">
        <f>VLOOKUP(C1154,Course!$A$1:$C$229, 2, FALSE)</f>
        <v>0</v>
      </c>
      <c r="E1154">
        <v>90</v>
      </c>
      <c r="F1154" t="s">
        <v>1520</v>
      </c>
      <c r="G1154">
        <v>1</v>
      </c>
      <c r="H1154" s="6">
        <v>0.8</v>
      </c>
      <c r="I1154">
        <v>1</v>
      </c>
    </row>
    <row r="1155" spans="1:9" x14ac:dyDescent="0.2">
      <c r="A1155" s="2">
        <v>1163</v>
      </c>
      <c r="B1155">
        <v>1163</v>
      </c>
      <c r="C1155">
        <v>118</v>
      </c>
      <c r="D1155">
        <f>VLOOKUP(C1155,Course!$A$1:$C$229, 2, FALSE)</f>
        <v>0</v>
      </c>
      <c r="E1155">
        <v>91</v>
      </c>
      <c r="F1155" t="s">
        <v>1521</v>
      </c>
      <c r="G1155">
        <v>1</v>
      </c>
      <c r="H1155" s="6">
        <v>0.8</v>
      </c>
      <c r="I1155">
        <v>1</v>
      </c>
    </row>
    <row r="1156" spans="1:9" x14ac:dyDescent="0.2">
      <c r="A1156" s="2">
        <v>1164</v>
      </c>
      <c r="B1156">
        <v>1164</v>
      </c>
      <c r="C1156">
        <v>118</v>
      </c>
      <c r="D1156">
        <f>VLOOKUP(C1156,Course!$A$1:$C$229, 2, FALSE)</f>
        <v>0</v>
      </c>
      <c r="E1156">
        <v>92</v>
      </c>
      <c r="F1156" t="s">
        <v>1522</v>
      </c>
      <c r="G1156">
        <v>1</v>
      </c>
      <c r="H1156" s="6">
        <v>0.8</v>
      </c>
      <c r="I1156">
        <v>1</v>
      </c>
    </row>
    <row r="1157" spans="1:9" x14ac:dyDescent="0.2">
      <c r="A1157" s="2">
        <v>1165</v>
      </c>
      <c r="B1157">
        <v>1165</v>
      </c>
      <c r="C1157">
        <v>118</v>
      </c>
      <c r="D1157">
        <f>VLOOKUP(C1157,Course!$A$1:$C$229, 2, FALSE)</f>
        <v>0</v>
      </c>
      <c r="E1157">
        <v>93</v>
      </c>
      <c r="F1157" t="s">
        <v>1523</v>
      </c>
      <c r="G1157">
        <v>1</v>
      </c>
      <c r="H1157" s="6">
        <v>0.8</v>
      </c>
      <c r="I1157">
        <v>1</v>
      </c>
    </row>
    <row r="1158" spans="1:9" x14ac:dyDescent="0.2">
      <c r="A1158" s="2">
        <v>1166</v>
      </c>
      <c r="B1158">
        <v>1166</v>
      </c>
      <c r="C1158">
        <v>118</v>
      </c>
      <c r="D1158">
        <f>VLOOKUP(C1158,Course!$A$1:$C$229, 2, FALSE)</f>
        <v>0</v>
      </c>
      <c r="E1158">
        <v>94</v>
      </c>
      <c r="F1158" t="s">
        <v>1524</v>
      </c>
      <c r="G1158">
        <v>1</v>
      </c>
      <c r="H1158" s="6">
        <v>0.8</v>
      </c>
      <c r="I1158">
        <v>1</v>
      </c>
    </row>
    <row r="1159" spans="1:9" x14ac:dyDescent="0.2">
      <c r="A1159" s="2">
        <v>1167</v>
      </c>
      <c r="B1159">
        <v>1167</v>
      </c>
      <c r="C1159">
        <v>118</v>
      </c>
      <c r="D1159">
        <f>VLOOKUP(C1159,Course!$A$1:$C$229, 2, FALSE)</f>
        <v>0</v>
      </c>
      <c r="E1159">
        <v>95</v>
      </c>
      <c r="F1159" t="s">
        <v>1525</v>
      </c>
      <c r="G1159">
        <v>1</v>
      </c>
      <c r="H1159" s="6">
        <v>0.8</v>
      </c>
      <c r="I1159">
        <v>1</v>
      </c>
    </row>
    <row r="1160" spans="1:9" x14ac:dyDescent="0.2">
      <c r="A1160" s="2">
        <v>1168</v>
      </c>
      <c r="B1160">
        <v>1168</v>
      </c>
      <c r="C1160">
        <v>118</v>
      </c>
      <c r="D1160">
        <f>VLOOKUP(C1160,Course!$A$1:$C$229, 2, FALSE)</f>
        <v>0</v>
      </c>
      <c r="E1160">
        <v>96</v>
      </c>
      <c r="F1160" t="s">
        <v>1526</v>
      </c>
      <c r="G1160">
        <v>1</v>
      </c>
      <c r="H1160" s="6">
        <v>0.8</v>
      </c>
      <c r="I1160">
        <v>1</v>
      </c>
    </row>
    <row r="1161" spans="1:9" x14ac:dyDescent="0.2">
      <c r="A1161" s="2">
        <v>1169</v>
      </c>
      <c r="B1161">
        <v>1169</v>
      </c>
      <c r="C1161">
        <v>119</v>
      </c>
      <c r="D1161">
        <f>VLOOKUP(C1161,Course!$A$1:$C$229, 2, FALSE)</f>
        <v>0</v>
      </c>
      <c r="E1161">
        <v>133</v>
      </c>
      <c r="F1161" t="s">
        <v>1527</v>
      </c>
      <c r="G1161">
        <v>1</v>
      </c>
      <c r="H1161" s="6">
        <v>0.8</v>
      </c>
      <c r="I1161">
        <v>1</v>
      </c>
    </row>
    <row r="1162" spans="1:9" x14ac:dyDescent="0.2">
      <c r="A1162" s="2">
        <v>1170</v>
      </c>
      <c r="B1162">
        <v>1170</v>
      </c>
      <c r="C1162">
        <v>119</v>
      </c>
      <c r="D1162">
        <f>VLOOKUP(C1162,Course!$A$1:$C$229, 2, FALSE)</f>
        <v>0</v>
      </c>
      <c r="E1162">
        <v>134</v>
      </c>
      <c r="F1162" t="s">
        <v>1528</v>
      </c>
      <c r="G1162">
        <v>1</v>
      </c>
      <c r="H1162" s="6">
        <v>0.8</v>
      </c>
      <c r="I1162">
        <v>1</v>
      </c>
    </row>
    <row r="1163" spans="1:9" x14ac:dyDescent="0.2">
      <c r="A1163" s="2">
        <v>1171</v>
      </c>
      <c r="B1163">
        <v>1171</v>
      </c>
      <c r="C1163">
        <v>119</v>
      </c>
      <c r="D1163">
        <f>VLOOKUP(C1163,Course!$A$1:$C$229, 2, FALSE)</f>
        <v>0</v>
      </c>
      <c r="E1163">
        <v>135</v>
      </c>
      <c r="F1163" t="s">
        <v>1529</v>
      </c>
      <c r="G1163">
        <v>1</v>
      </c>
      <c r="H1163" s="6">
        <v>0.8</v>
      </c>
      <c r="I1163">
        <v>1</v>
      </c>
    </row>
    <row r="1164" spans="1:9" x14ac:dyDescent="0.2">
      <c r="A1164" s="2">
        <v>1172</v>
      </c>
      <c r="B1164">
        <v>1172</v>
      </c>
      <c r="C1164">
        <v>119</v>
      </c>
      <c r="D1164">
        <f>VLOOKUP(C1164,Course!$A$1:$C$229, 2, FALSE)</f>
        <v>0</v>
      </c>
      <c r="E1164">
        <v>136</v>
      </c>
      <c r="F1164" t="s">
        <v>1530</v>
      </c>
      <c r="G1164">
        <v>1</v>
      </c>
      <c r="H1164" s="6">
        <v>0.8</v>
      </c>
      <c r="I1164">
        <v>1</v>
      </c>
    </row>
    <row r="1165" spans="1:9" x14ac:dyDescent="0.2">
      <c r="A1165" s="2">
        <v>1173</v>
      </c>
      <c r="B1165">
        <v>1173</v>
      </c>
      <c r="C1165">
        <v>119</v>
      </c>
      <c r="D1165">
        <f>VLOOKUP(C1165,Course!$A$1:$C$229, 2, FALSE)</f>
        <v>0</v>
      </c>
      <c r="E1165">
        <v>137</v>
      </c>
      <c r="F1165" t="s">
        <v>1531</v>
      </c>
      <c r="G1165">
        <v>1</v>
      </c>
      <c r="H1165" s="6">
        <v>0.8</v>
      </c>
      <c r="I1165">
        <v>1</v>
      </c>
    </row>
    <row r="1166" spans="1:9" x14ac:dyDescent="0.2">
      <c r="A1166" s="2">
        <v>1174</v>
      </c>
      <c r="B1166">
        <v>1174</v>
      </c>
      <c r="C1166">
        <v>119</v>
      </c>
      <c r="D1166">
        <f>VLOOKUP(C1166,Course!$A$1:$C$229, 2, FALSE)</f>
        <v>0</v>
      </c>
      <c r="E1166">
        <v>138</v>
      </c>
      <c r="F1166" t="s">
        <v>1532</v>
      </c>
      <c r="G1166">
        <v>1</v>
      </c>
      <c r="H1166" s="6">
        <v>0.8</v>
      </c>
      <c r="I1166">
        <v>1</v>
      </c>
    </row>
    <row r="1167" spans="1:9" x14ac:dyDescent="0.2">
      <c r="A1167" s="2">
        <v>1175</v>
      </c>
      <c r="B1167">
        <v>1175</v>
      </c>
      <c r="C1167">
        <v>119</v>
      </c>
      <c r="D1167">
        <f>VLOOKUP(C1167,Course!$A$1:$C$229, 2, FALSE)</f>
        <v>0</v>
      </c>
      <c r="E1167">
        <v>139</v>
      </c>
      <c r="F1167" t="s">
        <v>1533</v>
      </c>
      <c r="G1167">
        <v>1</v>
      </c>
      <c r="H1167" s="6">
        <v>0.8</v>
      </c>
      <c r="I1167">
        <v>1</v>
      </c>
    </row>
    <row r="1168" spans="1:9" x14ac:dyDescent="0.2">
      <c r="A1168" s="2">
        <v>1176</v>
      </c>
      <c r="B1168">
        <v>1176</v>
      </c>
      <c r="C1168">
        <v>119</v>
      </c>
      <c r="D1168">
        <f>VLOOKUP(C1168,Course!$A$1:$C$229, 2, FALSE)</f>
        <v>0</v>
      </c>
      <c r="E1168">
        <v>140</v>
      </c>
      <c r="F1168" t="s">
        <v>1534</v>
      </c>
      <c r="G1168">
        <v>1</v>
      </c>
      <c r="H1168" s="6">
        <v>0.8</v>
      </c>
      <c r="I1168">
        <v>1</v>
      </c>
    </row>
    <row r="1169" spans="1:9" x14ac:dyDescent="0.2">
      <c r="A1169" s="2">
        <v>1177</v>
      </c>
      <c r="B1169">
        <v>1177</v>
      </c>
      <c r="C1169">
        <v>119</v>
      </c>
      <c r="D1169">
        <f>VLOOKUP(C1169,Course!$A$1:$C$229, 2, FALSE)</f>
        <v>0</v>
      </c>
      <c r="E1169">
        <v>141</v>
      </c>
      <c r="F1169" t="s">
        <v>1535</v>
      </c>
      <c r="G1169">
        <v>1</v>
      </c>
      <c r="H1169" s="6">
        <v>0.8</v>
      </c>
      <c r="I1169">
        <v>1</v>
      </c>
    </row>
    <row r="1170" spans="1:9" x14ac:dyDescent="0.2">
      <c r="A1170" s="2">
        <v>1178</v>
      </c>
      <c r="B1170">
        <v>1178</v>
      </c>
      <c r="C1170">
        <v>119</v>
      </c>
      <c r="D1170">
        <f>VLOOKUP(C1170,Course!$A$1:$C$229, 2, FALSE)</f>
        <v>0</v>
      </c>
      <c r="E1170">
        <v>142</v>
      </c>
      <c r="F1170" t="s">
        <v>1536</v>
      </c>
      <c r="G1170">
        <v>1</v>
      </c>
      <c r="H1170" s="6">
        <v>0.8</v>
      </c>
      <c r="I1170">
        <v>1</v>
      </c>
    </row>
    <row r="1171" spans="1:9" x14ac:dyDescent="0.2">
      <c r="A1171" s="2">
        <v>1179</v>
      </c>
      <c r="B1171">
        <v>1179</v>
      </c>
      <c r="C1171">
        <v>119</v>
      </c>
      <c r="D1171">
        <f>VLOOKUP(C1171,Course!$A$1:$C$229, 2, FALSE)</f>
        <v>0</v>
      </c>
      <c r="E1171">
        <v>143</v>
      </c>
      <c r="F1171" t="s">
        <v>1537</v>
      </c>
      <c r="G1171">
        <v>1</v>
      </c>
      <c r="H1171" s="6">
        <v>0.8</v>
      </c>
      <c r="I1171">
        <v>1</v>
      </c>
    </row>
    <row r="1172" spans="1:9" x14ac:dyDescent="0.2">
      <c r="A1172" s="2">
        <v>1180</v>
      </c>
      <c r="B1172">
        <v>1180</v>
      </c>
      <c r="C1172">
        <v>119</v>
      </c>
      <c r="D1172">
        <f>VLOOKUP(C1172,Course!$A$1:$C$229, 2, FALSE)</f>
        <v>0</v>
      </c>
      <c r="E1172">
        <v>144</v>
      </c>
      <c r="F1172" t="s">
        <v>1538</v>
      </c>
      <c r="G1172">
        <v>1</v>
      </c>
      <c r="H1172" s="6">
        <v>0.8</v>
      </c>
      <c r="I1172">
        <v>1</v>
      </c>
    </row>
    <row r="1173" spans="1:9" x14ac:dyDescent="0.2">
      <c r="A1173" s="2">
        <v>1181</v>
      </c>
      <c r="B1173">
        <v>1181</v>
      </c>
      <c r="C1173">
        <v>120</v>
      </c>
      <c r="D1173">
        <f>VLOOKUP(C1173,Course!$A$1:$C$229, 2, FALSE)</f>
        <v>0</v>
      </c>
      <c r="E1173">
        <v>133</v>
      </c>
      <c r="F1173" t="s">
        <v>1539</v>
      </c>
      <c r="G1173">
        <f>1/6</f>
        <v>0.16666666666666666</v>
      </c>
      <c r="H1173" s="6">
        <v>0.8</v>
      </c>
      <c r="I1173">
        <v>1</v>
      </c>
    </row>
    <row r="1174" spans="1:9" x14ac:dyDescent="0.2">
      <c r="A1174" s="2">
        <v>1182</v>
      </c>
      <c r="B1174">
        <v>1182</v>
      </c>
      <c r="C1174">
        <v>120</v>
      </c>
      <c r="D1174">
        <f>VLOOKUP(C1174,Course!$A$1:$C$229, 2, FALSE)</f>
        <v>0</v>
      </c>
      <c r="E1174">
        <v>134</v>
      </c>
      <c r="F1174" t="s">
        <v>1540</v>
      </c>
      <c r="G1174">
        <f t="shared" ref="G1174:G1178" si="9">1/6</f>
        <v>0.16666666666666666</v>
      </c>
      <c r="H1174" s="6">
        <v>0.8</v>
      </c>
      <c r="I1174">
        <v>1</v>
      </c>
    </row>
    <row r="1175" spans="1:9" x14ac:dyDescent="0.2">
      <c r="A1175" s="2">
        <v>1183</v>
      </c>
      <c r="B1175">
        <v>1183</v>
      </c>
      <c r="C1175">
        <v>120</v>
      </c>
      <c r="D1175">
        <f>VLOOKUP(C1175,Course!$A$1:$C$229, 2, FALSE)</f>
        <v>0</v>
      </c>
      <c r="E1175">
        <v>135</v>
      </c>
      <c r="F1175" t="s">
        <v>1541</v>
      </c>
      <c r="G1175">
        <f t="shared" si="9"/>
        <v>0.16666666666666666</v>
      </c>
      <c r="H1175" s="6">
        <v>0.8</v>
      </c>
      <c r="I1175">
        <v>1</v>
      </c>
    </row>
    <row r="1176" spans="1:9" x14ac:dyDescent="0.2">
      <c r="A1176" s="2">
        <v>1184</v>
      </c>
      <c r="B1176">
        <v>1184</v>
      </c>
      <c r="C1176">
        <v>120</v>
      </c>
      <c r="D1176">
        <f>VLOOKUP(C1176,Course!$A$1:$C$229, 2, FALSE)</f>
        <v>0</v>
      </c>
      <c r="E1176">
        <v>136</v>
      </c>
      <c r="F1176" t="s">
        <v>1542</v>
      </c>
      <c r="G1176">
        <f t="shared" si="9"/>
        <v>0.16666666666666666</v>
      </c>
      <c r="H1176" s="6">
        <v>0.8</v>
      </c>
      <c r="I1176">
        <v>1</v>
      </c>
    </row>
    <row r="1177" spans="1:9" x14ac:dyDescent="0.2">
      <c r="A1177" s="2">
        <v>1185</v>
      </c>
      <c r="B1177">
        <v>1185</v>
      </c>
      <c r="C1177">
        <v>120</v>
      </c>
      <c r="D1177">
        <f>VLOOKUP(C1177,Course!$A$1:$C$229, 2, FALSE)</f>
        <v>0</v>
      </c>
      <c r="E1177">
        <v>137</v>
      </c>
      <c r="F1177" t="s">
        <v>1543</v>
      </c>
      <c r="G1177">
        <f t="shared" si="9"/>
        <v>0.16666666666666666</v>
      </c>
      <c r="H1177" s="6">
        <v>0.8</v>
      </c>
      <c r="I1177">
        <v>1</v>
      </c>
    </row>
    <row r="1178" spans="1:9" x14ac:dyDescent="0.2">
      <c r="A1178" s="2">
        <v>1186</v>
      </c>
      <c r="B1178">
        <v>1186</v>
      </c>
      <c r="C1178">
        <v>120</v>
      </c>
      <c r="D1178">
        <f>VLOOKUP(C1178,Course!$A$1:$C$229, 2, FALSE)</f>
        <v>0</v>
      </c>
      <c r="E1178">
        <v>138</v>
      </c>
      <c r="F1178" t="s">
        <v>1544</v>
      </c>
      <c r="G1178">
        <f t="shared" si="9"/>
        <v>0.16666666666666666</v>
      </c>
      <c r="H1178" s="6">
        <v>0.8</v>
      </c>
      <c r="I1178">
        <v>1</v>
      </c>
    </row>
    <row r="1179" spans="1:9" x14ac:dyDescent="0.2">
      <c r="A1179" s="2">
        <v>1187</v>
      </c>
      <c r="B1179">
        <v>1187</v>
      </c>
      <c r="C1179">
        <v>121</v>
      </c>
      <c r="D1179">
        <f>VLOOKUP(C1179,Course!$A$1:$C$229, 2, FALSE)</f>
        <v>0</v>
      </c>
      <c r="E1179">
        <v>11</v>
      </c>
      <c r="F1179" t="s">
        <v>1545</v>
      </c>
      <c r="G1179">
        <v>0.1</v>
      </c>
      <c r="H1179" s="6">
        <v>0.8</v>
      </c>
      <c r="I1179">
        <v>1</v>
      </c>
    </row>
    <row r="1180" spans="1:9" x14ac:dyDescent="0.2">
      <c r="A1180" s="2">
        <v>1188</v>
      </c>
      <c r="B1180">
        <v>1188</v>
      </c>
      <c r="C1180">
        <v>121</v>
      </c>
      <c r="D1180">
        <f>VLOOKUP(C1180,Course!$A$1:$C$229, 2, FALSE)</f>
        <v>0</v>
      </c>
      <c r="E1180">
        <v>12</v>
      </c>
      <c r="F1180" t="s">
        <v>1546</v>
      </c>
      <c r="G1180">
        <v>0.1</v>
      </c>
      <c r="H1180" s="6">
        <v>0.8</v>
      </c>
      <c r="I1180">
        <v>1</v>
      </c>
    </row>
    <row r="1181" spans="1:9" x14ac:dyDescent="0.2">
      <c r="A1181" s="2">
        <v>1189</v>
      </c>
      <c r="B1181">
        <v>1189</v>
      </c>
      <c r="C1181">
        <v>121</v>
      </c>
      <c r="D1181">
        <f>VLOOKUP(C1181,Course!$A$1:$C$229, 2, FALSE)</f>
        <v>0</v>
      </c>
      <c r="E1181">
        <v>13</v>
      </c>
      <c r="F1181" t="s">
        <v>1547</v>
      </c>
      <c r="G1181">
        <v>0.1</v>
      </c>
      <c r="H1181" s="6">
        <v>0.8</v>
      </c>
      <c r="I1181">
        <v>1</v>
      </c>
    </row>
    <row r="1182" spans="1:9" x14ac:dyDescent="0.2">
      <c r="A1182" s="2">
        <v>1190</v>
      </c>
      <c r="B1182">
        <v>1190</v>
      </c>
      <c r="C1182">
        <v>121</v>
      </c>
      <c r="D1182">
        <f>VLOOKUP(C1182,Course!$A$1:$C$229, 2, FALSE)</f>
        <v>0</v>
      </c>
      <c r="E1182">
        <v>14</v>
      </c>
      <c r="F1182" t="s">
        <v>1548</v>
      </c>
      <c r="G1182">
        <v>0.1</v>
      </c>
      <c r="H1182" s="6">
        <v>0.8</v>
      </c>
      <c r="I1182">
        <v>1</v>
      </c>
    </row>
    <row r="1183" spans="1:9" x14ac:dyDescent="0.2">
      <c r="A1183" s="2">
        <v>1191</v>
      </c>
      <c r="B1183">
        <v>1191</v>
      </c>
      <c r="C1183">
        <v>121</v>
      </c>
      <c r="D1183">
        <f>VLOOKUP(C1183,Course!$A$1:$C$229, 2, FALSE)</f>
        <v>0</v>
      </c>
      <c r="E1183">
        <v>15</v>
      </c>
      <c r="F1183" t="s">
        <v>1549</v>
      </c>
      <c r="G1183">
        <v>0.1</v>
      </c>
      <c r="H1183" s="6">
        <v>0.8</v>
      </c>
      <c r="I1183">
        <v>1</v>
      </c>
    </row>
    <row r="1184" spans="1:9" x14ac:dyDescent="0.2">
      <c r="A1184" s="2">
        <v>1192</v>
      </c>
      <c r="B1184">
        <v>1192</v>
      </c>
      <c r="C1184">
        <v>121</v>
      </c>
      <c r="D1184">
        <f>VLOOKUP(C1184,Course!$A$1:$C$229, 2, FALSE)</f>
        <v>0</v>
      </c>
      <c r="E1184">
        <v>16</v>
      </c>
      <c r="F1184" t="s">
        <v>1550</v>
      </c>
      <c r="G1184">
        <v>0.1</v>
      </c>
      <c r="H1184" s="6">
        <v>0.8</v>
      </c>
      <c r="I1184">
        <v>1</v>
      </c>
    </row>
    <row r="1185" spans="1:9" x14ac:dyDescent="0.2">
      <c r="A1185" s="2">
        <v>1193</v>
      </c>
      <c r="B1185">
        <v>1193</v>
      </c>
      <c r="C1185">
        <v>121</v>
      </c>
      <c r="D1185">
        <f>VLOOKUP(C1185,Course!$A$1:$C$229, 2, FALSE)</f>
        <v>0</v>
      </c>
      <c r="E1185">
        <v>17</v>
      </c>
      <c r="F1185" t="s">
        <v>1551</v>
      </c>
      <c r="G1185">
        <v>0.1</v>
      </c>
      <c r="H1185" s="6">
        <v>0.8</v>
      </c>
      <c r="I1185">
        <v>1</v>
      </c>
    </row>
    <row r="1186" spans="1:9" x14ac:dyDescent="0.2">
      <c r="A1186" s="2">
        <v>1194</v>
      </c>
      <c r="B1186">
        <v>1194</v>
      </c>
      <c r="C1186">
        <v>121</v>
      </c>
      <c r="D1186">
        <f>VLOOKUP(C1186,Course!$A$1:$C$229, 2, FALSE)</f>
        <v>0</v>
      </c>
      <c r="E1186">
        <v>18</v>
      </c>
      <c r="F1186" t="s">
        <v>1552</v>
      </c>
      <c r="G1186">
        <v>0.1</v>
      </c>
      <c r="H1186" s="6">
        <v>0.8</v>
      </c>
      <c r="I1186">
        <v>1</v>
      </c>
    </row>
    <row r="1187" spans="1:9" x14ac:dyDescent="0.2">
      <c r="A1187" s="2">
        <v>1195</v>
      </c>
      <c r="B1187">
        <v>1195</v>
      </c>
      <c r="C1187">
        <v>121</v>
      </c>
      <c r="D1187">
        <f>VLOOKUP(C1187,Course!$A$1:$C$229, 2, FALSE)</f>
        <v>0</v>
      </c>
      <c r="E1187">
        <v>19</v>
      </c>
      <c r="F1187" t="s">
        <v>1553</v>
      </c>
      <c r="G1187">
        <v>0.1</v>
      </c>
      <c r="H1187" s="6">
        <v>0.8</v>
      </c>
      <c r="I1187">
        <v>1</v>
      </c>
    </row>
    <row r="1188" spans="1:9" x14ac:dyDescent="0.2">
      <c r="A1188" s="2">
        <v>1196</v>
      </c>
      <c r="B1188">
        <v>1196</v>
      </c>
      <c r="C1188">
        <v>121</v>
      </c>
      <c r="D1188">
        <f>VLOOKUP(C1188,Course!$A$1:$C$229, 2, FALSE)</f>
        <v>0</v>
      </c>
      <c r="E1188">
        <v>20</v>
      </c>
      <c r="F1188" t="s">
        <v>1554</v>
      </c>
      <c r="G1188">
        <v>0.1</v>
      </c>
      <c r="H1188" s="6">
        <v>0.8</v>
      </c>
      <c r="I1188">
        <v>1</v>
      </c>
    </row>
    <row r="1189" spans="1:9" x14ac:dyDescent="0.2">
      <c r="A1189" s="2">
        <v>1197</v>
      </c>
      <c r="B1189">
        <v>1197</v>
      </c>
      <c r="C1189">
        <v>122</v>
      </c>
      <c r="D1189">
        <f>VLOOKUP(C1189,Course!$A$1:$C$229, 2, FALSE)</f>
        <v>0</v>
      </c>
      <c r="E1189">
        <v>133</v>
      </c>
      <c r="F1189" t="s">
        <v>1555</v>
      </c>
      <c r="G1189">
        <v>0.25</v>
      </c>
      <c r="H1189" s="6">
        <v>0.8</v>
      </c>
      <c r="I1189">
        <v>1</v>
      </c>
    </row>
    <row r="1190" spans="1:9" x14ac:dyDescent="0.2">
      <c r="A1190" s="2">
        <v>1198</v>
      </c>
      <c r="B1190">
        <v>1198</v>
      </c>
      <c r="C1190">
        <v>122</v>
      </c>
      <c r="D1190">
        <f>VLOOKUP(C1190,Course!$A$1:$C$229, 2, FALSE)</f>
        <v>0</v>
      </c>
      <c r="E1190">
        <v>134</v>
      </c>
      <c r="F1190" t="s">
        <v>1556</v>
      </c>
      <c r="G1190">
        <v>0.25</v>
      </c>
      <c r="H1190" s="6">
        <v>0.8</v>
      </c>
      <c r="I1190">
        <v>1</v>
      </c>
    </row>
    <row r="1191" spans="1:9" x14ac:dyDescent="0.2">
      <c r="A1191" s="2">
        <v>1199</v>
      </c>
      <c r="B1191">
        <v>1199</v>
      </c>
      <c r="C1191">
        <v>122</v>
      </c>
      <c r="D1191">
        <f>VLOOKUP(C1191,Course!$A$1:$C$229, 2, FALSE)</f>
        <v>0</v>
      </c>
      <c r="E1191">
        <v>135</v>
      </c>
      <c r="F1191" t="s">
        <v>1557</v>
      </c>
      <c r="G1191">
        <v>0.25</v>
      </c>
      <c r="H1191" s="6">
        <v>0.8</v>
      </c>
      <c r="I1191">
        <v>1</v>
      </c>
    </row>
    <row r="1192" spans="1:9" x14ac:dyDescent="0.2">
      <c r="A1192" s="2">
        <v>1200</v>
      </c>
      <c r="B1192">
        <v>1200</v>
      </c>
      <c r="C1192">
        <v>122</v>
      </c>
      <c r="D1192">
        <f>VLOOKUP(C1192,Course!$A$1:$C$229, 2, FALSE)</f>
        <v>0</v>
      </c>
      <c r="E1192">
        <v>136</v>
      </c>
      <c r="F1192" t="s">
        <v>1558</v>
      </c>
      <c r="G1192">
        <v>0.25</v>
      </c>
      <c r="H1192" s="6">
        <v>0.8</v>
      </c>
      <c r="I1192">
        <v>1</v>
      </c>
    </row>
    <row r="1193" spans="1:9" x14ac:dyDescent="0.2">
      <c r="A1193" s="2">
        <v>1201</v>
      </c>
      <c r="B1193">
        <v>1201</v>
      </c>
      <c r="C1193">
        <v>123</v>
      </c>
      <c r="D1193">
        <f>VLOOKUP(C1193,Course!$A$1:$C$229, 2, FALSE)</f>
        <v>0</v>
      </c>
      <c r="E1193">
        <v>6</v>
      </c>
      <c r="F1193" t="s">
        <v>1559</v>
      </c>
      <c r="G1193">
        <v>1</v>
      </c>
      <c r="H1193" s="6">
        <v>0.8</v>
      </c>
      <c r="I1193">
        <v>1</v>
      </c>
    </row>
    <row r="1194" spans="1:9" x14ac:dyDescent="0.2">
      <c r="A1194" s="2">
        <v>1202</v>
      </c>
      <c r="B1194">
        <v>1202</v>
      </c>
      <c r="C1194">
        <v>123</v>
      </c>
      <c r="D1194">
        <f>VLOOKUP(C1194,Course!$A$1:$C$229, 2, FALSE)</f>
        <v>0</v>
      </c>
      <c r="E1194">
        <v>7</v>
      </c>
      <c r="F1194" t="s">
        <v>1560</v>
      </c>
      <c r="G1194">
        <v>1</v>
      </c>
      <c r="H1194" s="6">
        <v>0.8</v>
      </c>
      <c r="I1194">
        <v>1</v>
      </c>
    </row>
    <row r="1195" spans="1:9" x14ac:dyDescent="0.2">
      <c r="A1195" s="2">
        <v>1203</v>
      </c>
      <c r="B1195">
        <v>1203</v>
      </c>
      <c r="C1195">
        <v>123</v>
      </c>
      <c r="D1195">
        <f>VLOOKUP(C1195,Course!$A$1:$C$229, 2, FALSE)</f>
        <v>0</v>
      </c>
      <c r="E1195">
        <v>8</v>
      </c>
      <c r="F1195" t="s">
        <v>1561</v>
      </c>
      <c r="G1195">
        <v>1</v>
      </c>
      <c r="H1195" s="6">
        <v>0.8</v>
      </c>
      <c r="I1195">
        <v>1</v>
      </c>
    </row>
    <row r="1196" spans="1:9" x14ac:dyDescent="0.2">
      <c r="A1196" s="2">
        <v>1204</v>
      </c>
      <c r="B1196">
        <v>1204</v>
      </c>
      <c r="C1196">
        <v>123</v>
      </c>
      <c r="D1196">
        <f>VLOOKUP(C1196,Course!$A$1:$C$229, 2, FALSE)</f>
        <v>0</v>
      </c>
      <c r="E1196">
        <v>9</v>
      </c>
      <c r="F1196" t="s">
        <v>1562</v>
      </c>
      <c r="G1196">
        <v>1</v>
      </c>
      <c r="H1196" s="6">
        <v>0.8</v>
      </c>
      <c r="I1196">
        <v>1</v>
      </c>
    </row>
    <row r="1197" spans="1:9" x14ac:dyDescent="0.2">
      <c r="A1197" s="2">
        <v>1205</v>
      </c>
      <c r="B1197">
        <v>1205</v>
      </c>
      <c r="C1197">
        <v>123</v>
      </c>
      <c r="D1197">
        <f>VLOOKUP(C1197,Course!$A$1:$C$229, 2, FALSE)</f>
        <v>0</v>
      </c>
      <c r="E1197">
        <v>10</v>
      </c>
      <c r="F1197" t="s">
        <v>1563</v>
      </c>
      <c r="G1197">
        <v>1</v>
      </c>
      <c r="H1197" s="6">
        <v>0.8</v>
      </c>
      <c r="I1197">
        <v>1</v>
      </c>
    </row>
    <row r="1198" spans="1:9" x14ac:dyDescent="0.2">
      <c r="A1198" s="2">
        <v>1206</v>
      </c>
      <c r="B1198">
        <v>1206</v>
      </c>
      <c r="C1198">
        <v>124</v>
      </c>
      <c r="D1198">
        <f>VLOOKUP(C1198,Course!$A$1:$C$229, 2, FALSE)</f>
        <v>0</v>
      </c>
      <c r="E1198">
        <v>133</v>
      </c>
      <c r="F1198" t="s">
        <v>1564</v>
      </c>
      <c r="G1198">
        <v>1</v>
      </c>
      <c r="H1198" s="6">
        <v>0.8</v>
      </c>
      <c r="I1198">
        <v>1</v>
      </c>
    </row>
    <row r="1199" spans="1:9" x14ac:dyDescent="0.2">
      <c r="A1199" s="2">
        <v>1207</v>
      </c>
      <c r="B1199">
        <v>1207</v>
      </c>
      <c r="C1199">
        <v>124</v>
      </c>
      <c r="D1199">
        <f>VLOOKUP(C1199,Course!$A$1:$C$229, 2, FALSE)</f>
        <v>0</v>
      </c>
      <c r="E1199">
        <v>134</v>
      </c>
      <c r="F1199" t="s">
        <v>1565</v>
      </c>
      <c r="G1199">
        <v>1</v>
      </c>
      <c r="H1199" s="6">
        <v>0.8</v>
      </c>
      <c r="I1199">
        <v>1</v>
      </c>
    </row>
    <row r="1200" spans="1:9" x14ac:dyDescent="0.2">
      <c r="A1200" s="2">
        <v>1208</v>
      </c>
      <c r="B1200">
        <v>1208</v>
      </c>
      <c r="C1200">
        <v>124</v>
      </c>
      <c r="D1200">
        <f>VLOOKUP(C1200,Course!$A$1:$C$229, 2, FALSE)</f>
        <v>0</v>
      </c>
      <c r="E1200">
        <v>135</v>
      </c>
      <c r="F1200" t="s">
        <v>1566</v>
      </c>
      <c r="G1200">
        <v>1</v>
      </c>
      <c r="H1200" s="6">
        <v>0.8</v>
      </c>
      <c r="I1200">
        <v>1</v>
      </c>
    </row>
    <row r="1201" spans="1:9" x14ac:dyDescent="0.2">
      <c r="A1201" s="2">
        <v>1209</v>
      </c>
      <c r="B1201">
        <v>1209</v>
      </c>
      <c r="C1201">
        <v>124</v>
      </c>
      <c r="D1201">
        <f>VLOOKUP(C1201,Course!$A$1:$C$229, 2, FALSE)</f>
        <v>0</v>
      </c>
      <c r="E1201">
        <v>136</v>
      </c>
      <c r="F1201" t="s">
        <v>1567</v>
      </c>
      <c r="G1201">
        <v>1</v>
      </c>
      <c r="H1201" s="6">
        <v>0.8</v>
      </c>
      <c r="I1201">
        <v>1</v>
      </c>
    </row>
    <row r="1202" spans="1:9" x14ac:dyDescent="0.2">
      <c r="A1202" s="2">
        <v>1210</v>
      </c>
      <c r="B1202">
        <v>1210</v>
      </c>
      <c r="C1202">
        <v>124</v>
      </c>
      <c r="D1202">
        <f>VLOOKUP(C1202,Course!$A$1:$C$229, 2, FALSE)</f>
        <v>0</v>
      </c>
      <c r="E1202">
        <v>137</v>
      </c>
      <c r="F1202" t="s">
        <v>1568</v>
      </c>
      <c r="G1202">
        <v>1</v>
      </c>
      <c r="H1202" s="6">
        <v>0.8</v>
      </c>
      <c r="I1202">
        <v>1</v>
      </c>
    </row>
    <row r="1203" spans="1:9" x14ac:dyDescent="0.2">
      <c r="A1203" s="2">
        <v>1211</v>
      </c>
      <c r="B1203">
        <v>1211</v>
      </c>
      <c r="C1203">
        <v>124</v>
      </c>
      <c r="D1203">
        <f>VLOOKUP(C1203,Course!$A$1:$C$229, 2, FALSE)</f>
        <v>0</v>
      </c>
      <c r="E1203">
        <v>138</v>
      </c>
      <c r="F1203" t="s">
        <v>1569</v>
      </c>
      <c r="G1203">
        <v>1</v>
      </c>
      <c r="H1203" s="6">
        <v>0.8</v>
      </c>
      <c r="I1203">
        <v>1</v>
      </c>
    </row>
    <row r="1204" spans="1:9" x14ac:dyDescent="0.2">
      <c r="A1204" s="2">
        <v>1212</v>
      </c>
      <c r="B1204">
        <v>1212</v>
      </c>
      <c r="C1204">
        <v>125</v>
      </c>
      <c r="D1204">
        <f>VLOOKUP(C1204,Course!$A$1:$C$229, 2, FALSE)</f>
        <v>0</v>
      </c>
      <c r="E1204">
        <v>139</v>
      </c>
      <c r="F1204" t="s">
        <v>1570</v>
      </c>
      <c r="G1204">
        <v>1</v>
      </c>
      <c r="H1204" s="6">
        <v>0.8</v>
      </c>
      <c r="I1204">
        <v>1</v>
      </c>
    </row>
    <row r="1205" spans="1:9" x14ac:dyDescent="0.2">
      <c r="A1205" s="2">
        <v>1213</v>
      </c>
      <c r="B1205">
        <v>1213</v>
      </c>
      <c r="C1205">
        <v>125</v>
      </c>
      <c r="D1205">
        <f>VLOOKUP(C1205,Course!$A$1:$C$229, 2, FALSE)</f>
        <v>0</v>
      </c>
      <c r="E1205">
        <v>140</v>
      </c>
      <c r="F1205" t="s">
        <v>1571</v>
      </c>
      <c r="G1205">
        <v>1</v>
      </c>
      <c r="H1205" s="6">
        <v>0.8</v>
      </c>
      <c r="I1205">
        <v>1</v>
      </c>
    </row>
    <row r="1206" spans="1:9" x14ac:dyDescent="0.2">
      <c r="A1206" s="2">
        <v>1214</v>
      </c>
      <c r="B1206">
        <v>1214</v>
      </c>
      <c r="C1206">
        <v>125</v>
      </c>
      <c r="D1206">
        <f>VLOOKUP(C1206,Course!$A$1:$C$229, 2, FALSE)</f>
        <v>0</v>
      </c>
      <c r="E1206">
        <v>141</v>
      </c>
      <c r="F1206" t="s">
        <v>1572</v>
      </c>
      <c r="G1206">
        <v>1</v>
      </c>
      <c r="H1206" s="6">
        <v>0.8</v>
      </c>
      <c r="I1206">
        <v>1</v>
      </c>
    </row>
    <row r="1207" spans="1:9" x14ac:dyDescent="0.2">
      <c r="A1207" s="2">
        <v>1215</v>
      </c>
      <c r="B1207">
        <v>1215</v>
      </c>
      <c r="C1207">
        <v>125</v>
      </c>
      <c r="D1207">
        <f>VLOOKUP(C1207,Course!$A$1:$C$229, 2, FALSE)</f>
        <v>0</v>
      </c>
      <c r="E1207">
        <v>142</v>
      </c>
      <c r="F1207" t="s">
        <v>1573</v>
      </c>
      <c r="G1207">
        <v>1</v>
      </c>
      <c r="H1207" s="6">
        <v>0.8</v>
      </c>
      <c r="I1207">
        <v>1</v>
      </c>
    </row>
    <row r="1208" spans="1:9" x14ac:dyDescent="0.2">
      <c r="A1208" s="2">
        <v>1216</v>
      </c>
      <c r="B1208">
        <v>1216</v>
      </c>
      <c r="C1208">
        <v>125</v>
      </c>
      <c r="D1208">
        <f>VLOOKUP(C1208,Course!$A$1:$C$229, 2, FALSE)</f>
        <v>0</v>
      </c>
      <c r="E1208">
        <v>143</v>
      </c>
      <c r="F1208" t="s">
        <v>1574</v>
      </c>
      <c r="G1208">
        <v>1</v>
      </c>
      <c r="H1208" s="6">
        <v>0.8</v>
      </c>
      <c r="I1208">
        <v>1</v>
      </c>
    </row>
    <row r="1209" spans="1:9" x14ac:dyDescent="0.2">
      <c r="A1209" s="2">
        <v>1217</v>
      </c>
      <c r="B1209">
        <v>1217</v>
      </c>
      <c r="C1209">
        <v>125</v>
      </c>
      <c r="D1209">
        <f>VLOOKUP(C1209,Course!$A$1:$C$229, 2, FALSE)</f>
        <v>0</v>
      </c>
      <c r="E1209">
        <v>144</v>
      </c>
      <c r="F1209" t="s">
        <v>1575</v>
      </c>
      <c r="G1209">
        <v>1</v>
      </c>
      <c r="H1209" s="6">
        <v>0.8</v>
      </c>
      <c r="I1209">
        <v>1</v>
      </c>
    </row>
    <row r="1210" spans="1:9" x14ac:dyDescent="0.2">
      <c r="A1210" s="2">
        <v>1218</v>
      </c>
      <c r="B1210">
        <v>1218</v>
      </c>
      <c r="C1210">
        <v>126</v>
      </c>
      <c r="D1210">
        <f>VLOOKUP(C1210,Course!$A$1:$C$229, 2, FALSE)</f>
        <v>0</v>
      </c>
      <c r="E1210">
        <v>127</v>
      </c>
      <c r="F1210" t="s">
        <v>1421</v>
      </c>
      <c r="G1210">
        <f>1/5</f>
        <v>0.2</v>
      </c>
      <c r="H1210" s="6">
        <v>0.8</v>
      </c>
      <c r="I1210">
        <v>1</v>
      </c>
    </row>
    <row r="1211" spans="1:9" x14ac:dyDescent="0.2">
      <c r="A1211" s="2">
        <v>1219</v>
      </c>
      <c r="B1211">
        <v>1219</v>
      </c>
      <c r="C1211">
        <v>126</v>
      </c>
      <c r="D1211">
        <f>VLOOKUP(C1211,Course!$A$1:$C$229, 2, FALSE)</f>
        <v>0</v>
      </c>
      <c r="E1211">
        <v>128</v>
      </c>
      <c r="F1211" t="s">
        <v>1422</v>
      </c>
      <c r="G1211">
        <f t="shared" ref="G1211:G1215" si="10">1/5</f>
        <v>0.2</v>
      </c>
      <c r="H1211" s="6">
        <v>0.8</v>
      </c>
      <c r="I1211">
        <v>1</v>
      </c>
    </row>
    <row r="1212" spans="1:9" x14ac:dyDescent="0.2">
      <c r="A1212" s="2">
        <v>1220</v>
      </c>
      <c r="B1212">
        <v>1220</v>
      </c>
      <c r="C1212">
        <v>126</v>
      </c>
      <c r="D1212">
        <f>VLOOKUP(C1212,Course!$A$1:$C$229, 2, FALSE)</f>
        <v>0</v>
      </c>
      <c r="E1212">
        <v>129</v>
      </c>
      <c r="F1212" t="s">
        <v>1423</v>
      </c>
      <c r="G1212">
        <f t="shared" si="10"/>
        <v>0.2</v>
      </c>
      <c r="H1212" s="6">
        <v>0.8</v>
      </c>
      <c r="I1212">
        <v>1</v>
      </c>
    </row>
    <row r="1213" spans="1:9" x14ac:dyDescent="0.2">
      <c r="A1213" s="2">
        <v>1221</v>
      </c>
      <c r="B1213">
        <v>1221</v>
      </c>
      <c r="C1213">
        <v>126</v>
      </c>
      <c r="D1213">
        <f>VLOOKUP(C1213,Course!$A$1:$C$229, 2, FALSE)</f>
        <v>0</v>
      </c>
      <c r="E1213">
        <v>130</v>
      </c>
      <c r="F1213" t="s">
        <v>1424</v>
      </c>
      <c r="G1213">
        <f t="shared" si="10"/>
        <v>0.2</v>
      </c>
      <c r="H1213" s="6">
        <v>0.8</v>
      </c>
      <c r="I1213">
        <v>1</v>
      </c>
    </row>
    <row r="1214" spans="1:9" x14ac:dyDescent="0.2">
      <c r="A1214" s="2">
        <v>1222</v>
      </c>
      <c r="B1214">
        <v>1222</v>
      </c>
      <c r="C1214">
        <v>126</v>
      </c>
      <c r="D1214">
        <f>VLOOKUP(C1214,Course!$A$1:$C$229, 2, FALSE)</f>
        <v>0</v>
      </c>
      <c r="E1214">
        <v>131</v>
      </c>
      <c r="F1214" t="s">
        <v>1425</v>
      </c>
      <c r="G1214">
        <f t="shared" si="10"/>
        <v>0.2</v>
      </c>
      <c r="H1214" s="6">
        <v>0.8</v>
      </c>
      <c r="I1214">
        <v>1</v>
      </c>
    </row>
    <row r="1215" spans="1:9" x14ac:dyDescent="0.2">
      <c r="A1215" s="2">
        <v>1223</v>
      </c>
      <c r="B1215">
        <v>1223</v>
      </c>
      <c r="C1215">
        <v>126</v>
      </c>
      <c r="D1215">
        <f>VLOOKUP(C1215,Course!$A$1:$C$229, 2, FALSE)</f>
        <v>0</v>
      </c>
      <c r="E1215">
        <v>132</v>
      </c>
      <c r="F1215" t="s">
        <v>1426</v>
      </c>
      <c r="G1215">
        <f t="shared" si="10"/>
        <v>0.2</v>
      </c>
      <c r="H1215" s="6">
        <v>0.8</v>
      </c>
      <c r="I1215">
        <v>1</v>
      </c>
    </row>
    <row r="1216" spans="1:9" x14ac:dyDescent="0.2">
      <c r="A1216" s="2">
        <v>1224</v>
      </c>
      <c r="B1216">
        <v>1224</v>
      </c>
      <c r="C1216">
        <v>127</v>
      </c>
      <c r="D1216">
        <f>VLOOKUP(C1216,Course!$A$1:$C$229, 2, FALSE)</f>
        <v>0</v>
      </c>
      <c r="E1216">
        <v>1</v>
      </c>
      <c r="G1216">
        <f>1/10</f>
        <v>0.1</v>
      </c>
      <c r="H1216" s="6">
        <v>0.8</v>
      </c>
      <c r="I1216">
        <v>1</v>
      </c>
    </row>
    <row r="1217" spans="1:9" x14ac:dyDescent="0.2">
      <c r="A1217" s="2">
        <v>1225</v>
      </c>
      <c r="B1217">
        <v>1225</v>
      </c>
      <c r="C1217">
        <v>127</v>
      </c>
      <c r="D1217">
        <f>VLOOKUP(C1217,Course!$A$1:$C$229, 2, FALSE)</f>
        <v>0</v>
      </c>
      <c r="E1217">
        <v>2</v>
      </c>
      <c r="G1217">
        <f t="shared" ref="G1217:G1225" si="11">1/10</f>
        <v>0.1</v>
      </c>
      <c r="H1217" s="6">
        <v>0.8</v>
      </c>
      <c r="I1217">
        <v>1</v>
      </c>
    </row>
    <row r="1218" spans="1:9" x14ac:dyDescent="0.2">
      <c r="A1218" s="2">
        <v>1226</v>
      </c>
      <c r="B1218">
        <v>1226</v>
      </c>
      <c r="C1218">
        <v>127</v>
      </c>
      <c r="D1218">
        <f>VLOOKUP(C1218,Course!$A$1:$C$229, 2, FALSE)</f>
        <v>0</v>
      </c>
      <c r="E1218">
        <v>3</v>
      </c>
      <c r="G1218">
        <f t="shared" si="11"/>
        <v>0.1</v>
      </c>
      <c r="H1218" s="6">
        <v>0.8</v>
      </c>
      <c r="I1218">
        <v>1</v>
      </c>
    </row>
    <row r="1219" spans="1:9" x14ac:dyDescent="0.2">
      <c r="A1219" s="2">
        <v>1227</v>
      </c>
      <c r="B1219">
        <v>1227</v>
      </c>
      <c r="C1219">
        <v>127</v>
      </c>
      <c r="D1219">
        <f>VLOOKUP(C1219,Course!$A$1:$C$229, 2, FALSE)</f>
        <v>0</v>
      </c>
      <c r="E1219">
        <v>4</v>
      </c>
      <c r="G1219">
        <f t="shared" si="11"/>
        <v>0.1</v>
      </c>
      <c r="H1219" s="6">
        <v>0.8</v>
      </c>
      <c r="I1219">
        <v>1</v>
      </c>
    </row>
    <row r="1220" spans="1:9" x14ac:dyDescent="0.2">
      <c r="A1220" s="2">
        <v>1228</v>
      </c>
      <c r="B1220">
        <v>1228</v>
      </c>
      <c r="C1220">
        <v>127</v>
      </c>
      <c r="D1220">
        <f>VLOOKUP(C1220,Course!$A$1:$C$229, 2, FALSE)</f>
        <v>0</v>
      </c>
      <c r="E1220">
        <v>5</v>
      </c>
      <c r="G1220">
        <f t="shared" si="11"/>
        <v>0.1</v>
      </c>
      <c r="H1220" s="6">
        <v>0.8</v>
      </c>
      <c r="I1220">
        <v>1</v>
      </c>
    </row>
    <row r="1221" spans="1:9" x14ac:dyDescent="0.2">
      <c r="A1221" s="2">
        <v>1229</v>
      </c>
      <c r="B1221">
        <v>1229</v>
      </c>
      <c r="C1221">
        <v>127</v>
      </c>
      <c r="D1221">
        <f>VLOOKUP(C1221,Course!$A$1:$C$229, 2, FALSE)</f>
        <v>0</v>
      </c>
      <c r="E1221">
        <v>6</v>
      </c>
      <c r="G1221">
        <f t="shared" si="11"/>
        <v>0.1</v>
      </c>
      <c r="H1221" s="6">
        <v>0.8</v>
      </c>
      <c r="I1221">
        <v>1</v>
      </c>
    </row>
    <row r="1222" spans="1:9" x14ac:dyDescent="0.2">
      <c r="A1222" s="2">
        <v>1230</v>
      </c>
      <c r="B1222">
        <v>1230</v>
      </c>
      <c r="C1222">
        <v>127</v>
      </c>
      <c r="D1222">
        <f>VLOOKUP(C1222,Course!$A$1:$C$229, 2, FALSE)</f>
        <v>0</v>
      </c>
      <c r="E1222">
        <v>7</v>
      </c>
      <c r="G1222">
        <f t="shared" si="11"/>
        <v>0.1</v>
      </c>
      <c r="H1222" s="6">
        <v>0.8</v>
      </c>
      <c r="I1222">
        <v>1</v>
      </c>
    </row>
    <row r="1223" spans="1:9" x14ac:dyDescent="0.2">
      <c r="A1223" s="2">
        <v>1231</v>
      </c>
      <c r="B1223">
        <v>1231</v>
      </c>
      <c r="C1223">
        <v>127</v>
      </c>
      <c r="D1223">
        <f>VLOOKUP(C1223,Course!$A$1:$C$229, 2, FALSE)</f>
        <v>0</v>
      </c>
      <c r="E1223">
        <v>8</v>
      </c>
      <c r="G1223">
        <f t="shared" si="11"/>
        <v>0.1</v>
      </c>
      <c r="H1223" s="6">
        <v>0.8</v>
      </c>
      <c r="I1223">
        <v>1</v>
      </c>
    </row>
    <row r="1224" spans="1:9" x14ac:dyDescent="0.2">
      <c r="A1224" s="2">
        <v>1232</v>
      </c>
      <c r="B1224">
        <v>1232</v>
      </c>
      <c r="C1224">
        <v>127</v>
      </c>
      <c r="D1224">
        <f>VLOOKUP(C1224,Course!$A$1:$C$229, 2, FALSE)</f>
        <v>0</v>
      </c>
      <c r="E1224">
        <v>9</v>
      </c>
      <c r="G1224">
        <f t="shared" si="11"/>
        <v>0.1</v>
      </c>
      <c r="H1224" s="6">
        <v>0.8</v>
      </c>
      <c r="I1224">
        <v>1</v>
      </c>
    </row>
    <row r="1225" spans="1:9" x14ac:dyDescent="0.2">
      <c r="A1225" s="2">
        <v>1233</v>
      </c>
      <c r="B1225">
        <v>1233</v>
      </c>
      <c r="C1225">
        <v>127</v>
      </c>
      <c r="D1225">
        <f>VLOOKUP(C1225,Course!$A$1:$C$229, 2, FALSE)</f>
        <v>0</v>
      </c>
      <c r="E1225">
        <v>10</v>
      </c>
      <c r="G1225">
        <f t="shared" si="11"/>
        <v>0.1</v>
      </c>
      <c r="H1225" s="6">
        <v>0.8</v>
      </c>
      <c r="I1225">
        <v>1</v>
      </c>
    </row>
    <row r="1226" spans="1:9" x14ac:dyDescent="0.2">
      <c r="A1226" s="2">
        <v>1234</v>
      </c>
      <c r="B1226">
        <v>959</v>
      </c>
      <c r="C1226">
        <v>131</v>
      </c>
      <c r="D1226">
        <f>VLOOKUP(C1226,Course!$A$1:$C$229, 2, FALSE)</f>
        <v>0</v>
      </c>
      <c r="E1226">
        <v>133</v>
      </c>
      <c r="F1226" t="s">
        <v>1808</v>
      </c>
      <c r="G1226">
        <v>1</v>
      </c>
      <c r="H1226" s="6">
        <v>0.8</v>
      </c>
      <c r="I1226">
        <v>1</v>
      </c>
    </row>
    <row r="1227" spans="1:9" x14ac:dyDescent="0.2">
      <c r="A1227" s="2">
        <v>1235</v>
      </c>
      <c r="B1227">
        <v>960</v>
      </c>
      <c r="C1227">
        <v>131</v>
      </c>
      <c r="D1227">
        <f>VLOOKUP(C1227,Course!$A$1:$C$229, 2, FALSE)</f>
        <v>0</v>
      </c>
      <c r="E1227">
        <v>134</v>
      </c>
      <c r="F1227" t="s">
        <v>1809</v>
      </c>
      <c r="G1227">
        <v>1</v>
      </c>
      <c r="H1227" s="6">
        <v>0.8</v>
      </c>
      <c r="I1227">
        <v>1</v>
      </c>
    </row>
    <row r="1228" spans="1:9" x14ac:dyDescent="0.2">
      <c r="A1228" s="2">
        <v>1236</v>
      </c>
      <c r="B1228">
        <v>961</v>
      </c>
      <c r="C1228">
        <v>131</v>
      </c>
      <c r="D1228">
        <f>VLOOKUP(C1228,Course!$A$1:$C$229, 2, FALSE)</f>
        <v>0</v>
      </c>
      <c r="E1228">
        <v>135</v>
      </c>
      <c r="F1228" t="s">
        <v>1810</v>
      </c>
      <c r="G1228">
        <v>1</v>
      </c>
      <c r="H1228" s="6">
        <v>0.8</v>
      </c>
      <c r="I1228">
        <v>1</v>
      </c>
    </row>
    <row r="1229" spans="1:9" x14ac:dyDescent="0.2">
      <c r="A1229" s="2">
        <v>1237</v>
      </c>
      <c r="B1229">
        <v>962</v>
      </c>
      <c r="C1229">
        <v>131</v>
      </c>
      <c r="D1229">
        <f>VLOOKUP(C1229,Course!$A$1:$C$229, 2, FALSE)</f>
        <v>0</v>
      </c>
      <c r="E1229">
        <v>136</v>
      </c>
      <c r="F1229" t="s">
        <v>1811</v>
      </c>
      <c r="G1229">
        <v>1</v>
      </c>
      <c r="H1229" s="6">
        <v>0.8</v>
      </c>
      <c r="I1229">
        <v>1</v>
      </c>
    </row>
    <row r="1230" spans="1:9" x14ac:dyDescent="0.2">
      <c r="A1230" s="2">
        <v>1238</v>
      </c>
      <c r="B1230">
        <v>963</v>
      </c>
      <c r="C1230">
        <v>131</v>
      </c>
      <c r="D1230">
        <f>VLOOKUP(C1230,Course!$A$1:$C$229, 2, FALSE)</f>
        <v>0</v>
      </c>
      <c r="E1230">
        <v>137</v>
      </c>
      <c r="F1230" t="s">
        <v>1812</v>
      </c>
      <c r="G1230">
        <v>1</v>
      </c>
      <c r="H1230" s="6">
        <v>0.8</v>
      </c>
      <c r="I1230">
        <v>1</v>
      </c>
    </row>
    <row r="1231" spans="1:9" x14ac:dyDescent="0.2">
      <c r="A1231" s="2">
        <v>1239</v>
      </c>
      <c r="B1231">
        <v>964</v>
      </c>
      <c r="C1231">
        <v>131</v>
      </c>
      <c r="D1231">
        <f>VLOOKUP(C1231,Course!$A$1:$C$229, 2, FALSE)</f>
        <v>0</v>
      </c>
      <c r="E1231">
        <v>138</v>
      </c>
      <c r="F1231" t="s">
        <v>1813</v>
      </c>
      <c r="G1231">
        <v>1</v>
      </c>
      <c r="H1231" s="6">
        <v>0.8</v>
      </c>
      <c r="I1231">
        <v>1</v>
      </c>
    </row>
    <row r="1232" spans="1:9" x14ac:dyDescent="0.2">
      <c r="A1232" s="2">
        <v>1240</v>
      </c>
      <c r="B1232">
        <v>1212</v>
      </c>
      <c r="C1232">
        <v>131</v>
      </c>
      <c r="D1232">
        <f>VLOOKUP(C1232,Course!$A$1:$C$229, 2, FALSE)</f>
        <v>0</v>
      </c>
      <c r="E1232">
        <v>139</v>
      </c>
      <c r="F1232" t="s">
        <v>1814</v>
      </c>
      <c r="G1232">
        <v>1</v>
      </c>
      <c r="H1232" s="6">
        <v>0.8</v>
      </c>
      <c r="I1232">
        <v>1</v>
      </c>
    </row>
    <row r="1233" spans="1:9" x14ac:dyDescent="0.2">
      <c r="A1233" s="2">
        <v>1241</v>
      </c>
      <c r="B1233">
        <v>1213</v>
      </c>
      <c r="C1233">
        <v>131</v>
      </c>
      <c r="D1233">
        <f>VLOOKUP(C1233,Course!$A$1:$C$229, 2, FALSE)</f>
        <v>0</v>
      </c>
      <c r="E1233">
        <v>140</v>
      </c>
      <c r="F1233" t="s">
        <v>1815</v>
      </c>
      <c r="G1233">
        <v>1</v>
      </c>
      <c r="H1233" s="6">
        <v>0.8</v>
      </c>
      <c r="I1233">
        <v>1</v>
      </c>
    </row>
    <row r="1234" spans="1:9" x14ac:dyDescent="0.2">
      <c r="A1234" s="2">
        <v>1242</v>
      </c>
      <c r="B1234">
        <v>1214</v>
      </c>
      <c r="C1234">
        <v>131</v>
      </c>
      <c r="D1234">
        <f>VLOOKUP(C1234,Course!$A$1:$C$229, 2, FALSE)</f>
        <v>0</v>
      </c>
      <c r="E1234">
        <v>141</v>
      </c>
      <c r="F1234" t="s">
        <v>1816</v>
      </c>
      <c r="G1234">
        <v>1</v>
      </c>
      <c r="H1234" s="6">
        <v>0.8</v>
      </c>
      <c r="I1234">
        <v>1</v>
      </c>
    </row>
    <row r="1235" spans="1:9" x14ac:dyDescent="0.2">
      <c r="A1235" s="2">
        <v>1243</v>
      </c>
      <c r="B1235">
        <v>1215</v>
      </c>
      <c r="C1235">
        <v>131</v>
      </c>
      <c r="D1235">
        <f>VLOOKUP(C1235,Course!$A$1:$C$229, 2, FALSE)</f>
        <v>0</v>
      </c>
      <c r="E1235">
        <v>142</v>
      </c>
      <c r="F1235" t="s">
        <v>1817</v>
      </c>
      <c r="G1235">
        <v>1</v>
      </c>
      <c r="H1235" s="6">
        <v>0.8</v>
      </c>
      <c r="I1235">
        <v>1</v>
      </c>
    </row>
    <row r="1236" spans="1:9" x14ac:dyDescent="0.2">
      <c r="A1236" s="2">
        <v>1244</v>
      </c>
      <c r="B1236">
        <v>1216</v>
      </c>
      <c r="C1236">
        <v>131</v>
      </c>
      <c r="D1236">
        <f>VLOOKUP(C1236,Course!$A$1:$C$229, 2, FALSE)</f>
        <v>0</v>
      </c>
      <c r="E1236">
        <v>143</v>
      </c>
      <c r="F1236" t="s">
        <v>1818</v>
      </c>
      <c r="G1236">
        <v>1</v>
      </c>
      <c r="H1236" s="6">
        <v>0.8</v>
      </c>
      <c r="I1236">
        <v>1</v>
      </c>
    </row>
    <row r="1237" spans="1:9" x14ac:dyDescent="0.2">
      <c r="A1237" s="2">
        <v>1245</v>
      </c>
      <c r="B1237">
        <v>1217</v>
      </c>
      <c r="C1237">
        <v>131</v>
      </c>
      <c r="D1237">
        <f>VLOOKUP(C1237,Course!$A$1:$C$229, 2, FALSE)</f>
        <v>0</v>
      </c>
      <c r="E1237">
        <v>144</v>
      </c>
      <c r="F1237" t="s">
        <v>1819</v>
      </c>
      <c r="G1237">
        <v>1</v>
      </c>
      <c r="H1237" s="6">
        <v>0.8</v>
      </c>
      <c r="I1237">
        <v>1</v>
      </c>
    </row>
    <row r="1238" spans="1:9" x14ac:dyDescent="0.2">
      <c r="A1238" s="2">
        <v>1246</v>
      </c>
      <c r="B1238">
        <v>1234</v>
      </c>
      <c r="C1238">
        <v>130</v>
      </c>
      <c r="D1238">
        <f>VLOOKUP(C1238, Course!$A$2:$C$149, 2, FALSE)</f>
        <v>0</v>
      </c>
      <c r="E1238">
        <v>1</v>
      </c>
      <c r="G1238">
        <f t="shared" ref="G1238:G1253" si="12">1/16</f>
        <v>6.25E-2</v>
      </c>
      <c r="H1238" s="6">
        <v>0.8</v>
      </c>
      <c r="I1238">
        <v>1</v>
      </c>
    </row>
    <row r="1239" spans="1:9" x14ac:dyDescent="0.2">
      <c r="A1239" s="2">
        <v>1247</v>
      </c>
      <c r="B1239">
        <v>1235</v>
      </c>
      <c r="C1239">
        <v>130</v>
      </c>
      <c r="D1239">
        <f>VLOOKUP(C1239, Course!$A$2:$C$149, 2, FALSE)</f>
        <v>0</v>
      </c>
      <c r="E1239">
        <v>2</v>
      </c>
      <c r="G1239">
        <f t="shared" si="12"/>
        <v>6.25E-2</v>
      </c>
      <c r="H1239" s="6">
        <v>0.8</v>
      </c>
      <c r="I1239">
        <v>1</v>
      </c>
    </row>
    <row r="1240" spans="1:9" x14ac:dyDescent="0.2">
      <c r="A1240" s="2">
        <v>1248</v>
      </c>
      <c r="B1240">
        <v>1236</v>
      </c>
      <c r="C1240">
        <v>130</v>
      </c>
      <c r="D1240">
        <f>VLOOKUP(C1240, Course!$A$2:$C$149, 2, FALSE)</f>
        <v>0</v>
      </c>
      <c r="E1240">
        <v>3</v>
      </c>
      <c r="G1240">
        <f t="shared" si="12"/>
        <v>6.25E-2</v>
      </c>
      <c r="H1240" s="6">
        <v>0.8</v>
      </c>
      <c r="I1240">
        <v>1</v>
      </c>
    </row>
    <row r="1241" spans="1:9" x14ac:dyDescent="0.2">
      <c r="A1241" s="2">
        <v>1249</v>
      </c>
      <c r="B1241">
        <v>1237</v>
      </c>
      <c r="C1241">
        <v>130</v>
      </c>
      <c r="D1241">
        <f>VLOOKUP(C1241, Course!$A$2:$C$149, 2, FALSE)</f>
        <v>0</v>
      </c>
      <c r="E1241">
        <v>4</v>
      </c>
      <c r="G1241">
        <f t="shared" si="12"/>
        <v>6.25E-2</v>
      </c>
      <c r="H1241" s="6">
        <v>0.8</v>
      </c>
      <c r="I1241">
        <v>1</v>
      </c>
    </row>
    <row r="1242" spans="1:9" x14ac:dyDescent="0.2">
      <c r="A1242" s="2">
        <v>1250</v>
      </c>
      <c r="B1242">
        <v>1238</v>
      </c>
      <c r="C1242">
        <v>130</v>
      </c>
      <c r="D1242">
        <f>VLOOKUP(C1242, Course!$A$2:$C$149, 2, FALSE)</f>
        <v>0</v>
      </c>
      <c r="E1242">
        <v>5</v>
      </c>
      <c r="G1242">
        <f t="shared" si="12"/>
        <v>6.25E-2</v>
      </c>
      <c r="H1242" s="6">
        <v>0.8</v>
      </c>
      <c r="I1242">
        <v>1</v>
      </c>
    </row>
    <row r="1243" spans="1:9" x14ac:dyDescent="0.2">
      <c r="A1243" s="2">
        <v>1251</v>
      </c>
      <c r="B1243">
        <v>1239</v>
      </c>
      <c r="C1243">
        <v>130</v>
      </c>
      <c r="D1243">
        <f>VLOOKUP(C1243, Course!$A$2:$C$149, 2, FALSE)</f>
        <v>0</v>
      </c>
      <c r="E1243">
        <v>6</v>
      </c>
      <c r="G1243">
        <f t="shared" si="12"/>
        <v>6.25E-2</v>
      </c>
      <c r="H1243" s="6">
        <v>0.8</v>
      </c>
      <c r="I1243">
        <v>1</v>
      </c>
    </row>
    <row r="1244" spans="1:9" x14ac:dyDescent="0.2">
      <c r="A1244" s="2">
        <v>1252</v>
      </c>
      <c r="B1244">
        <v>1240</v>
      </c>
      <c r="C1244">
        <v>130</v>
      </c>
      <c r="D1244">
        <f>VLOOKUP(C1244, Course!$A$2:$C$149, 2, FALSE)</f>
        <v>0</v>
      </c>
      <c r="E1244">
        <v>7</v>
      </c>
      <c r="G1244">
        <f t="shared" si="12"/>
        <v>6.25E-2</v>
      </c>
      <c r="H1244" s="6">
        <v>0.8</v>
      </c>
      <c r="I1244">
        <v>1</v>
      </c>
    </row>
    <row r="1245" spans="1:9" x14ac:dyDescent="0.2">
      <c r="A1245" s="2">
        <v>1253</v>
      </c>
      <c r="B1245">
        <v>1241</v>
      </c>
      <c r="C1245">
        <v>130</v>
      </c>
      <c r="D1245">
        <f>VLOOKUP(C1245, Course!$A$2:$C$149, 2, FALSE)</f>
        <v>0</v>
      </c>
      <c r="E1245">
        <v>8</v>
      </c>
      <c r="G1245">
        <f t="shared" si="12"/>
        <v>6.25E-2</v>
      </c>
      <c r="H1245" s="6">
        <v>0.8</v>
      </c>
      <c r="I1245">
        <v>1</v>
      </c>
    </row>
    <row r="1246" spans="1:9" x14ac:dyDescent="0.2">
      <c r="A1246" s="2">
        <v>1254</v>
      </c>
      <c r="B1246">
        <v>1242</v>
      </c>
      <c r="C1246">
        <v>130</v>
      </c>
      <c r="D1246">
        <f>VLOOKUP(C1246, Course!$A$2:$C$149, 2, FALSE)</f>
        <v>0</v>
      </c>
      <c r="E1246">
        <v>9</v>
      </c>
      <c r="G1246">
        <f t="shared" si="12"/>
        <v>6.25E-2</v>
      </c>
      <c r="H1246" s="6">
        <v>0.8</v>
      </c>
      <c r="I1246">
        <v>1</v>
      </c>
    </row>
    <row r="1247" spans="1:9" x14ac:dyDescent="0.2">
      <c r="A1247" s="2">
        <v>1255</v>
      </c>
      <c r="B1247">
        <v>1243</v>
      </c>
      <c r="C1247">
        <v>130</v>
      </c>
      <c r="D1247">
        <f>VLOOKUP(C1247, Course!$A$2:$C$149, 2, FALSE)</f>
        <v>0</v>
      </c>
      <c r="E1247">
        <v>10</v>
      </c>
      <c r="G1247">
        <f t="shared" si="12"/>
        <v>6.25E-2</v>
      </c>
      <c r="H1247" s="6">
        <v>0.8</v>
      </c>
      <c r="I1247">
        <v>1</v>
      </c>
    </row>
    <row r="1248" spans="1:9" x14ac:dyDescent="0.2">
      <c r="A1248" s="2">
        <v>1256</v>
      </c>
      <c r="B1248">
        <v>1244</v>
      </c>
      <c r="C1248">
        <v>130</v>
      </c>
      <c r="D1248">
        <f>VLOOKUP(C1248, Course!$A$2:$C$149, 2, FALSE)</f>
        <v>0</v>
      </c>
      <c r="E1248">
        <v>11</v>
      </c>
      <c r="G1248">
        <f t="shared" si="12"/>
        <v>6.25E-2</v>
      </c>
      <c r="H1248" s="6">
        <v>0.8</v>
      </c>
      <c r="I1248">
        <v>1</v>
      </c>
    </row>
    <row r="1249" spans="1:9" x14ac:dyDescent="0.2">
      <c r="A1249" s="2">
        <v>1257</v>
      </c>
      <c r="B1249">
        <v>1245</v>
      </c>
      <c r="C1249">
        <v>130</v>
      </c>
      <c r="D1249">
        <f>VLOOKUP(C1249, Course!$A$2:$C$149, 2, FALSE)</f>
        <v>0</v>
      </c>
      <c r="E1249">
        <v>12</v>
      </c>
      <c r="G1249">
        <f t="shared" si="12"/>
        <v>6.25E-2</v>
      </c>
      <c r="H1249" s="6">
        <v>0.8</v>
      </c>
      <c r="I1249">
        <v>1</v>
      </c>
    </row>
    <row r="1250" spans="1:9" x14ac:dyDescent="0.2">
      <c r="A1250" s="2">
        <v>1258</v>
      </c>
      <c r="B1250">
        <v>1246</v>
      </c>
      <c r="C1250">
        <v>130</v>
      </c>
      <c r="D1250">
        <f>VLOOKUP(C1250, Course!$A$2:$C$149, 2, FALSE)</f>
        <v>0</v>
      </c>
      <c r="E1250">
        <v>13</v>
      </c>
      <c r="G1250">
        <f t="shared" si="12"/>
        <v>6.25E-2</v>
      </c>
      <c r="H1250" s="6">
        <v>0.8</v>
      </c>
      <c r="I1250">
        <v>1</v>
      </c>
    </row>
    <row r="1251" spans="1:9" x14ac:dyDescent="0.2">
      <c r="A1251" s="2">
        <v>1259</v>
      </c>
      <c r="B1251">
        <v>1247</v>
      </c>
      <c r="C1251">
        <v>130</v>
      </c>
      <c r="D1251">
        <f>VLOOKUP(C1251, Course!$A$2:$C$149, 2, FALSE)</f>
        <v>0</v>
      </c>
      <c r="E1251">
        <v>14</v>
      </c>
      <c r="G1251">
        <f t="shared" si="12"/>
        <v>6.25E-2</v>
      </c>
      <c r="H1251" s="6">
        <v>0.8</v>
      </c>
      <c r="I1251">
        <v>1</v>
      </c>
    </row>
    <row r="1252" spans="1:9" x14ac:dyDescent="0.2">
      <c r="A1252" s="2">
        <v>1260</v>
      </c>
      <c r="B1252">
        <v>1248</v>
      </c>
      <c r="C1252">
        <v>130</v>
      </c>
      <c r="D1252">
        <f>VLOOKUP(C1252, Course!$A$2:$C$149, 2, FALSE)</f>
        <v>0</v>
      </c>
      <c r="E1252">
        <v>15</v>
      </c>
      <c r="G1252">
        <f t="shared" si="12"/>
        <v>6.25E-2</v>
      </c>
      <c r="H1252" s="6">
        <v>0.8</v>
      </c>
      <c r="I1252">
        <v>1</v>
      </c>
    </row>
    <row r="1253" spans="1:9" x14ac:dyDescent="0.2">
      <c r="A1253" s="2">
        <v>1261</v>
      </c>
      <c r="B1253">
        <v>1249</v>
      </c>
      <c r="C1253">
        <v>130</v>
      </c>
      <c r="D1253">
        <f>VLOOKUP(C1253, Course!$A$2:$C$149, 2, FALSE)</f>
        <v>0</v>
      </c>
      <c r="E1253">
        <v>16</v>
      </c>
      <c r="G1253">
        <f t="shared" si="12"/>
        <v>6.25E-2</v>
      </c>
      <c r="H1253" s="6">
        <v>0.8</v>
      </c>
      <c r="I1253">
        <v>1</v>
      </c>
    </row>
    <row r="1254" spans="1:9" x14ac:dyDescent="0.2">
      <c r="A1254" s="2">
        <v>1262</v>
      </c>
      <c r="B1254">
        <v>1268</v>
      </c>
      <c r="C1254">
        <v>147</v>
      </c>
      <c r="D1254">
        <f>VLOOKUP(C1254, Course!$A$2:$C$149, 2, FALSE)</f>
        <v>0</v>
      </c>
      <c r="E1254">
        <v>49</v>
      </c>
      <c r="G1254">
        <f>1/12</f>
        <v>8.3333333333333329E-2</v>
      </c>
      <c r="H1254" s="6">
        <v>0.8</v>
      </c>
      <c r="I1254">
        <v>1</v>
      </c>
    </row>
    <row r="1255" spans="1:9" x14ac:dyDescent="0.2">
      <c r="A1255" s="2">
        <v>1263</v>
      </c>
      <c r="B1255">
        <v>1269</v>
      </c>
      <c r="C1255">
        <v>147</v>
      </c>
      <c r="D1255">
        <f>VLOOKUP(C1255, Course!$A$2:$C$149, 2, FALSE)</f>
        <v>0</v>
      </c>
      <c r="E1255">
        <v>50</v>
      </c>
      <c r="G1255">
        <f t="shared" ref="G1255:G1289" si="13">1/12</f>
        <v>8.3333333333333329E-2</v>
      </c>
      <c r="H1255" s="6">
        <v>0.8</v>
      </c>
      <c r="I1255">
        <v>1</v>
      </c>
    </row>
    <row r="1256" spans="1:9" x14ac:dyDescent="0.2">
      <c r="A1256" s="2">
        <v>1264</v>
      </c>
      <c r="B1256">
        <v>1270</v>
      </c>
      <c r="C1256">
        <v>147</v>
      </c>
      <c r="D1256">
        <f>VLOOKUP(C1256, Course!$A$2:$C$149, 2, FALSE)</f>
        <v>0</v>
      </c>
      <c r="E1256">
        <v>51</v>
      </c>
      <c r="G1256">
        <f t="shared" si="13"/>
        <v>8.3333333333333329E-2</v>
      </c>
      <c r="H1256" s="6">
        <v>0.8</v>
      </c>
      <c r="I1256">
        <v>1</v>
      </c>
    </row>
    <row r="1257" spans="1:9" x14ac:dyDescent="0.2">
      <c r="A1257" s="2">
        <v>1265</v>
      </c>
      <c r="B1257">
        <v>1271</v>
      </c>
      <c r="C1257">
        <v>147</v>
      </c>
      <c r="D1257">
        <f>VLOOKUP(C1257, Course!$A$2:$C$149, 2, FALSE)</f>
        <v>0</v>
      </c>
      <c r="E1257">
        <v>52</v>
      </c>
      <c r="G1257">
        <f t="shared" si="13"/>
        <v>8.3333333333333329E-2</v>
      </c>
      <c r="H1257" s="6">
        <v>0.8</v>
      </c>
      <c r="I1257">
        <v>1</v>
      </c>
    </row>
    <row r="1258" spans="1:9" x14ac:dyDescent="0.2">
      <c r="A1258" s="2">
        <v>1266</v>
      </c>
      <c r="B1258">
        <v>1272</v>
      </c>
      <c r="C1258">
        <v>147</v>
      </c>
      <c r="D1258">
        <f>VLOOKUP(C1258, Course!$A$2:$C$149, 2, FALSE)</f>
        <v>0</v>
      </c>
      <c r="E1258">
        <v>53</v>
      </c>
      <c r="G1258">
        <f t="shared" si="13"/>
        <v>8.3333333333333329E-2</v>
      </c>
      <c r="H1258" s="6">
        <v>0.8</v>
      </c>
      <c r="I1258">
        <v>1</v>
      </c>
    </row>
    <row r="1259" spans="1:9" x14ac:dyDescent="0.2">
      <c r="A1259" s="2">
        <v>1267</v>
      </c>
      <c r="B1259">
        <v>1273</v>
      </c>
      <c r="C1259">
        <v>147</v>
      </c>
      <c r="D1259">
        <f>VLOOKUP(C1259, Course!$A$2:$C$149, 2, FALSE)</f>
        <v>0</v>
      </c>
      <c r="E1259">
        <v>54</v>
      </c>
      <c r="G1259">
        <f t="shared" si="13"/>
        <v>8.3333333333333329E-2</v>
      </c>
      <c r="H1259" s="6">
        <v>0.8</v>
      </c>
      <c r="I1259">
        <v>1</v>
      </c>
    </row>
    <row r="1260" spans="1:9" x14ac:dyDescent="0.2">
      <c r="A1260" s="2">
        <v>1268</v>
      </c>
      <c r="B1260">
        <v>1274</v>
      </c>
      <c r="C1260">
        <v>147</v>
      </c>
      <c r="D1260">
        <f>VLOOKUP(C1260, Course!$A$2:$C$149, 2, FALSE)</f>
        <v>0</v>
      </c>
      <c r="E1260">
        <v>55</v>
      </c>
      <c r="G1260">
        <f t="shared" si="13"/>
        <v>8.3333333333333329E-2</v>
      </c>
      <c r="H1260" s="6">
        <v>0.8</v>
      </c>
      <c r="I1260">
        <v>1</v>
      </c>
    </row>
    <row r="1261" spans="1:9" x14ac:dyDescent="0.2">
      <c r="A1261" s="2">
        <v>1269</v>
      </c>
      <c r="B1261">
        <v>1275</v>
      </c>
      <c r="C1261">
        <v>147</v>
      </c>
      <c r="D1261">
        <f>VLOOKUP(C1261, Course!$A$2:$C$149, 2, FALSE)</f>
        <v>0</v>
      </c>
      <c r="E1261">
        <v>56</v>
      </c>
      <c r="G1261">
        <f t="shared" si="13"/>
        <v>8.3333333333333329E-2</v>
      </c>
      <c r="H1261" s="6">
        <v>0.8</v>
      </c>
      <c r="I1261">
        <v>1</v>
      </c>
    </row>
    <row r="1262" spans="1:9" x14ac:dyDescent="0.2">
      <c r="A1262" s="2">
        <v>1270</v>
      </c>
      <c r="B1262">
        <v>1276</v>
      </c>
      <c r="C1262">
        <v>147</v>
      </c>
      <c r="D1262">
        <f>VLOOKUP(C1262, Course!$A$2:$C$149, 2, FALSE)</f>
        <v>0</v>
      </c>
      <c r="E1262">
        <v>57</v>
      </c>
      <c r="G1262">
        <f t="shared" si="13"/>
        <v>8.3333333333333329E-2</v>
      </c>
      <c r="H1262" s="6">
        <v>0.8</v>
      </c>
      <c r="I1262">
        <v>1</v>
      </c>
    </row>
    <row r="1263" spans="1:9" x14ac:dyDescent="0.2">
      <c r="A1263" s="2">
        <v>1271</v>
      </c>
      <c r="B1263">
        <v>1277</v>
      </c>
      <c r="C1263">
        <v>147</v>
      </c>
      <c r="D1263">
        <f>VLOOKUP(C1263, Course!$A$2:$C$149, 2, FALSE)</f>
        <v>0</v>
      </c>
      <c r="E1263">
        <v>58</v>
      </c>
      <c r="G1263">
        <f t="shared" si="13"/>
        <v>8.3333333333333329E-2</v>
      </c>
      <c r="H1263" s="6">
        <v>0.8</v>
      </c>
      <c r="I1263">
        <v>1</v>
      </c>
    </row>
    <row r="1264" spans="1:9" x14ac:dyDescent="0.2">
      <c r="A1264" s="2">
        <v>1272</v>
      </c>
      <c r="B1264">
        <v>1278</v>
      </c>
      <c r="C1264">
        <v>147</v>
      </c>
      <c r="D1264">
        <f>VLOOKUP(C1264, Course!$A$2:$C$149, 2, FALSE)</f>
        <v>0</v>
      </c>
      <c r="E1264">
        <v>59</v>
      </c>
      <c r="G1264">
        <f t="shared" si="13"/>
        <v>8.3333333333333329E-2</v>
      </c>
      <c r="H1264" s="6">
        <v>0.8</v>
      </c>
      <c r="I1264">
        <v>1</v>
      </c>
    </row>
    <row r="1265" spans="1:9" x14ac:dyDescent="0.2">
      <c r="A1265" s="2">
        <v>1273</v>
      </c>
      <c r="B1265">
        <v>1279</v>
      </c>
      <c r="C1265">
        <v>147</v>
      </c>
      <c r="D1265">
        <f>VLOOKUP(C1265, Course!$A$2:$C$149, 2, FALSE)</f>
        <v>0</v>
      </c>
      <c r="E1265">
        <v>60</v>
      </c>
      <c r="G1265">
        <f t="shared" si="13"/>
        <v>8.3333333333333329E-2</v>
      </c>
      <c r="H1265" s="6">
        <v>0.8</v>
      </c>
      <c r="I1265">
        <v>1</v>
      </c>
    </row>
    <row r="1266" spans="1:9" x14ac:dyDescent="0.2">
      <c r="A1266" s="2">
        <v>1274</v>
      </c>
      <c r="B1266">
        <v>1280</v>
      </c>
      <c r="C1266">
        <v>148</v>
      </c>
      <c r="D1266">
        <f>VLOOKUP(C1266, Course!$A$2:$C$150, 2, FALSE)</f>
        <v>0</v>
      </c>
      <c r="E1266">
        <v>109</v>
      </c>
      <c r="G1266">
        <f t="shared" si="13"/>
        <v>8.3333333333333329E-2</v>
      </c>
      <c r="H1266" s="6">
        <v>0.8</v>
      </c>
      <c r="I1266">
        <v>1</v>
      </c>
    </row>
    <row r="1267" spans="1:9" x14ac:dyDescent="0.2">
      <c r="A1267" s="2">
        <v>1275</v>
      </c>
      <c r="B1267">
        <v>1281</v>
      </c>
      <c r="C1267">
        <v>148</v>
      </c>
      <c r="D1267">
        <f>VLOOKUP(C1267, Course!$A$2:$C$150, 2, FALSE)</f>
        <v>0</v>
      </c>
      <c r="E1267">
        <v>110</v>
      </c>
      <c r="G1267">
        <f t="shared" si="13"/>
        <v>8.3333333333333329E-2</v>
      </c>
      <c r="H1267" s="6">
        <v>0.8</v>
      </c>
      <c r="I1267">
        <v>1</v>
      </c>
    </row>
    <row r="1268" spans="1:9" x14ac:dyDescent="0.2">
      <c r="A1268" s="2">
        <v>1276</v>
      </c>
      <c r="B1268">
        <v>1282</v>
      </c>
      <c r="C1268">
        <v>148</v>
      </c>
      <c r="D1268">
        <f>VLOOKUP(C1268, Course!$A$2:$C$150, 2, FALSE)</f>
        <v>0</v>
      </c>
      <c r="E1268">
        <v>111</v>
      </c>
      <c r="G1268">
        <f t="shared" si="13"/>
        <v>8.3333333333333329E-2</v>
      </c>
      <c r="H1268" s="6">
        <v>0.8</v>
      </c>
      <c r="I1268">
        <v>1</v>
      </c>
    </row>
    <row r="1269" spans="1:9" x14ac:dyDescent="0.2">
      <c r="A1269" s="2">
        <v>1277</v>
      </c>
      <c r="B1269">
        <v>1283</v>
      </c>
      <c r="C1269">
        <v>148</v>
      </c>
      <c r="D1269">
        <f>VLOOKUP(C1269, Course!$A$2:$C$150, 2, FALSE)</f>
        <v>0</v>
      </c>
      <c r="E1269">
        <v>112</v>
      </c>
      <c r="G1269">
        <f t="shared" si="13"/>
        <v>8.3333333333333329E-2</v>
      </c>
      <c r="H1269" s="6">
        <v>0.8</v>
      </c>
      <c r="I1269">
        <v>1</v>
      </c>
    </row>
    <row r="1270" spans="1:9" x14ac:dyDescent="0.2">
      <c r="A1270" s="2">
        <v>1278</v>
      </c>
      <c r="B1270">
        <v>1284</v>
      </c>
      <c r="C1270">
        <v>148</v>
      </c>
      <c r="D1270">
        <f>VLOOKUP(C1270, Course!$A$2:$C$150, 2, FALSE)</f>
        <v>0</v>
      </c>
      <c r="E1270">
        <v>113</v>
      </c>
      <c r="G1270">
        <f t="shared" si="13"/>
        <v>8.3333333333333329E-2</v>
      </c>
      <c r="H1270" s="6">
        <v>0.8</v>
      </c>
      <c r="I1270">
        <v>1</v>
      </c>
    </row>
    <row r="1271" spans="1:9" x14ac:dyDescent="0.2">
      <c r="A1271" s="2">
        <v>1279</v>
      </c>
      <c r="B1271">
        <v>1285</v>
      </c>
      <c r="C1271">
        <v>148</v>
      </c>
      <c r="D1271">
        <f>VLOOKUP(C1271, Course!$A$2:$C$150, 2, FALSE)</f>
        <v>0</v>
      </c>
      <c r="E1271">
        <v>114</v>
      </c>
      <c r="G1271">
        <f t="shared" si="13"/>
        <v>8.3333333333333329E-2</v>
      </c>
      <c r="H1271" s="6">
        <v>0.8</v>
      </c>
      <c r="I1271">
        <v>1</v>
      </c>
    </row>
    <row r="1272" spans="1:9" x14ac:dyDescent="0.2">
      <c r="A1272" s="2">
        <v>1280</v>
      </c>
      <c r="B1272">
        <v>1286</v>
      </c>
      <c r="C1272">
        <v>148</v>
      </c>
      <c r="D1272">
        <f>VLOOKUP(C1272, Course!$A$2:$C$150, 2, FALSE)</f>
        <v>0</v>
      </c>
      <c r="E1272">
        <v>115</v>
      </c>
      <c r="G1272">
        <f t="shared" si="13"/>
        <v>8.3333333333333329E-2</v>
      </c>
      <c r="H1272" s="6">
        <v>0.8</v>
      </c>
      <c r="I1272">
        <v>1</v>
      </c>
    </row>
    <row r="1273" spans="1:9" x14ac:dyDescent="0.2">
      <c r="A1273" s="2">
        <v>1281</v>
      </c>
      <c r="B1273">
        <v>1287</v>
      </c>
      <c r="C1273">
        <v>148</v>
      </c>
      <c r="D1273">
        <f>VLOOKUP(C1273, Course!$A$2:$C$150, 2, FALSE)</f>
        <v>0</v>
      </c>
      <c r="E1273">
        <v>116</v>
      </c>
      <c r="G1273">
        <f t="shared" si="13"/>
        <v>8.3333333333333329E-2</v>
      </c>
      <c r="H1273" s="6">
        <v>0.8</v>
      </c>
      <c r="I1273">
        <v>1</v>
      </c>
    </row>
    <row r="1274" spans="1:9" x14ac:dyDescent="0.2">
      <c r="A1274" s="2">
        <v>1282</v>
      </c>
      <c r="B1274">
        <v>1288</v>
      </c>
      <c r="C1274">
        <v>148</v>
      </c>
      <c r="D1274">
        <f>VLOOKUP(C1274, Course!$A$2:$C$150, 2, FALSE)</f>
        <v>0</v>
      </c>
      <c r="E1274">
        <v>117</v>
      </c>
      <c r="G1274">
        <f t="shared" si="13"/>
        <v>8.3333333333333329E-2</v>
      </c>
      <c r="H1274" s="6">
        <v>0.8</v>
      </c>
      <c r="I1274">
        <v>1</v>
      </c>
    </row>
    <row r="1275" spans="1:9" x14ac:dyDescent="0.2">
      <c r="A1275" s="2">
        <v>1283</v>
      </c>
      <c r="B1275">
        <v>1289</v>
      </c>
      <c r="C1275">
        <v>148</v>
      </c>
      <c r="D1275">
        <f>VLOOKUP(C1275, Course!$A$2:$C$150, 2, FALSE)</f>
        <v>0</v>
      </c>
      <c r="E1275">
        <v>118</v>
      </c>
      <c r="G1275">
        <f t="shared" si="13"/>
        <v>8.3333333333333329E-2</v>
      </c>
      <c r="H1275" s="6">
        <v>0.8</v>
      </c>
      <c r="I1275">
        <v>1</v>
      </c>
    </row>
    <row r="1276" spans="1:9" x14ac:dyDescent="0.2">
      <c r="A1276" s="2">
        <v>1284</v>
      </c>
      <c r="B1276">
        <v>1290</v>
      </c>
      <c r="C1276">
        <v>148</v>
      </c>
      <c r="D1276">
        <f>VLOOKUP(C1276, Course!$A$2:$C$150, 2, FALSE)</f>
        <v>0</v>
      </c>
      <c r="E1276">
        <v>119</v>
      </c>
      <c r="G1276">
        <f t="shared" si="13"/>
        <v>8.3333333333333329E-2</v>
      </c>
      <c r="H1276" s="6">
        <v>0.8</v>
      </c>
      <c r="I1276">
        <v>1</v>
      </c>
    </row>
    <row r="1277" spans="1:9" x14ac:dyDescent="0.2">
      <c r="A1277" s="2">
        <v>1285</v>
      </c>
      <c r="B1277">
        <v>1291</v>
      </c>
      <c r="C1277">
        <v>148</v>
      </c>
      <c r="D1277">
        <f>VLOOKUP(C1277, Course!$A$2:$C$150, 2, FALSE)</f>
        <v>0</v>
      </c>
      <c r="E1277">
        <v>120</v>
      </c>
      <c r="G1277">
        <f t="shared" si="13"/>
        <v>8.3333333333333329E-2</v>
      </c>
      <c r="H1277" s="6">
        <v>0.8</v>
      </c>
      <c r="I1277">
        <v>1</v>
      </c>
    </row>
    <row r="1278" spans="1:9" x14ac:dyDescent="0.2">
      <c r="A1278" s="2">
        <v>1286</v>
      </c>
      <c r="B1278">
        <v>1292</v>
      </c>
      <c r="C1278">
        <v>149</v>
      </c>
      <c r="D1278">
        <f>VLOOKUP(C1278, Course!$A$2:$C$150, 2, FALSE)</f>
        <v>0</v>
      </c>
      <c r="E1278">
        <v>13</v>
      </c>
      <c r="G1278">
        <f t="shared" si="13"/>
        <v>8.3333333333333329E-2</v>
      </c>
      <c r="H1278" s="6">
        <v>0.8</v>
      </c>
      <c r="I1278">
        <v>1</v>
      </c>
    </row>
    <row r="1279" spans="1:9" x14ac:dyDescent="0.2">
      <c r="A1279" s="2">
        <v>1287</v>
      </c>
      <c r="B1279">
        <v>1293</v>
      </c>
      <c r="C1279">
        <v>149</v>
      </c>
      <c r="D1279">
        <f>VLOOKUP(C1279, Course!$A$2:$C$150, 2, FALSE)</f>
        <v>0</v>
      </c>
      <c r="E1279">
        <v>14</v>
      </c>
      <c r="G1279">
        <f t="shared" si="13"/>
        <v>8.3333333333333329E-2</v>
      </c>
      <c r="H1279" s="6">
        <v>0.8</v>
      </c>
      <c r="I1279">
        <v>1</v>
      </c>
    </row>
    <row r="1280" spans="1:9" x14ac:dyDescent="0.2">
      <c r="A1280" s="2">
        <v>1288</v>
      </c>
      <c r="B1280">
        <v>1294</v>
      </c>
      <c r="C1280">
        <v>149</v>
      </c>
      <c r="D1280">
        <f>VLOOKUP(C1280, Course!$A$2:$C$150, 2, FALSE)</f>
        <v>0</v>
      </c>
      <c r="E1280">
        <v>15</v>
      </c>
      <c r="G1280">
        <f t="shared" si="13"/>
        <v>8.3333333333333329E-2</v>
      </c>
      <c r="H1280" s="6">
        <v>0.8</v>
      </c>
      <c r="I1280">
        <v>1</v>
      </c>
    </row>
    <row r="1281" spans="1:9" x14ac:dyDescent="0.2">
      <c r="A1281" s="2">
        <v>1289</v>
      </c>
      <c r="B1281">
        <v>1295</v>
      </c>
      <c r="C1281">
        <v>149</v>
      </c>
      <c r="D1281">
        <f>VLOOKUP(C1281, Course!$A$2:$C$150, 2, FALSE)</f>
        <v>0</v>
      </c>
      <c r="E1281">
        <v>16</v>
      </c>
      <c r="G1281">
        <f t="shared" si="13"/>
        <v>8.3333333333333329E-2</v>
      </c>
      <c r="H1281" s="6">
        <v>0.8</v>
      </c>
      <c r="I1281">
        <v>1</v>
      </c>
    </row>
    <row r="1282" spans="1:9" x14ac:dyDescent="0.2">
      <c r="A1282" s="2">
        <v>1290</v>
      </c>
      <c r="B1282">
        <v>1296</v>
      </c>
      <c r="C1282">
        <v>149</v>
      </c>
      <c r="D1282">
        <f>VLOOKUP(C1282, Course!$A$2:$C$150, 2, FALSE)</f>
        <v>0</v>
      </c>
      <c r="E1282">
        <v>17</v>
      </c>
      <c r="G1282">
        <f t="shared" si="13"/>
        <v>8.3333333333333329E-2</v>
      </c>
      <c r="H1282" s="6">
        <v>0.8</v>
      </c>
      <c r="I1282">
        <v>1</v>
      </c>
    </row>
    <row r="1283" spans="1:9" x14ac:dyDescent="0.2">
      <c r="A1283" s="2">
        <v>1291</v>
      </c>
      <c r="B1283">
        <v>1297</v>
      </c>
      <c r="C1283">
        <v>149</v>
      </c>
      <c r="D1283">
        <f>VLOOKUP(C1283, Course!$A$2:$C$150, 2, FALSE)</f>
        <v>0</v>
      </c>
      <c r="E1283">
        <v>18</v>
      </c>
      <c r="G1283">
        <f t="shared" si="13"/>
        <v>8.3333333333333329E-2</v>
      </c>
      <c r="H1283" s="6">
        <v>0.8</v>
      </c>
      <c r="I1283">
        <v>1</v>
      </c>
    </row>
    <row r="1284" spans="1:9" x14ac:dyDescent="0.2">
      <c r="A1284" s="2">
        <v>1292</v>
      </c>
      <c r="B1284">
        <v>1298</v>
      </c>
      <c r="C1284">
        <v>149</v>
      </c>
      <c r="D1284">
        <f>VLOOKUP(C1284, Course!$A$2:$C$150, 2, FALSE)</f>
        <v>0</v>
      </c>
      <c r="E1284">
        <v>19</v>
      </c>
      <c r="G1284">
        <f t="shared" si="13"/>
        <v>8.3333333333333329E-2</v>
      </c>
      <c r="H1284" s="6">
        <v>0.8</v>
      </c>
      <c r="I1284">
        <v>1</v>
      </c>
    </row>
    <row r="1285" spans="1:9" x14ac:dyDescent="0.2">
      <c r="A1285" s="2">
        <v>1293</v>
      </c>
      <c r="B1285">
        <v>1299</v>
      </c>
      <c r="C1285">
        <v>149</v>
      </c>
      <c r="D1285">
        <f>VLOOKUP(C1285, Course!$A$2:$C$150, 2, FALSE)</f>
        <v>0</v>
      </c>
      <c r="E1285">
        <v>20</v>
      </c>
      <c r="G1285">
        <f t="shared" si="13"/>
        <v>8.3333333333333329E-2</v>
      </c>
      <c r="H1285" s="6">
        <v>0.8</v>
      </c>
      <c r="I1285">
        <v>1</v>
      </c>
    </row>
    <row r="1286" spans="1:9" x14ac:dyDescent="0.2">
      <c r="A1286" s="2">
        <v>1294</v>
      </c>
      <c r="B1286">
        <v>1300</v>
      </c>
      <c r="C1286">
        <v>149</v>
      </c>
      <c r="D1286">
        <f>VLOOKUP(C1286, Course!$A$2:$C$150, 2, FALSE)</f>
        <v>0</v>
      </c>
      <c r="E1286">
        <v>21</v>
      </c>
      <c r="G1286">
        <f t="shared" si="13"/>
        <v>8.3333333333333329E-2</v>
      </c>
      <c r="H1286" s="6">
        <v>0.8</v>
      </c>
      <c r="I1286">
        <v>1</v>
      </c>
    </row>
    <row r="1287" spans="1:9" x14ac:dyDescent="0.2">
      <c r="A1287" s="2">
        <v>1295</v>
      </c>
      <c r="B1287">
        <v>1301</v>
      </c>
      <c r="C1287">
        <v>149</v>
      </c>
      <c r="D1287">
        <f>VLOOKUP(C1287, Course!$A$2:$C$150, 2, FALSE)</f>
        <v>0</v>
      </c>
      <c r="E1287">
        <v>22</v>
      </c>
      <c r="G1287">
        <f t="shared" si="13"/>
        <v>8.3333333333333329E-2</v>
      </c>
      <c r="H1287" s="6">
        <v>0.8</v>
      </c>
      <c r="I1287">
        <v>1</v>
      </c>
    </row>
    <row r="1288" spans="1:9" x14ac:dyDescent="0.2">
      <c r="A1288" s="2">
        <v>1296</v>
      </c>
      <c r="B1288">
        <v>1302</v>
      </c>
      <c r="C1288">
        <v>149</v>
      </c>
      <c r="D1288">
        <f>VLOOKUP(C1288, Course!$A$2:$C$150, 2, FALSE)</f>
        <v>0</v>
      </c>
      <c r="E1288">
        <v>23</v>
      </c>
      <c r="G1288">
        <f t="shared" si="13"/>
        <v>8.3333333333333329E-2</v>
      </c>
      <c r="H1288" s="6">
        <v>0.8</v>
      </c>
      <c r="I1288">
        <v>1</v>
      </c>
    </row>
    <row r="1289" spans="1:9" x14ac:dyDescent="0.2">
      <c r="A1289" s="2">
        <v>1297</v>
      </c>
      <c r="B1289">
        <v>1303</v>
      </c>
      <c r="C1289">
        <v>149</v>
      </c>
      <c r="D1289">
        <f>VLOOKUP(C1289, Course!$A$2:$C$150, 2, FALSE)</f>
        <v>0</v>
      </c>
      <c r="E1289">
        <v>24</v>
      </c>
      <c r="G1289">
        <f t="shared" si="13"/>
        <v>8.3333333333333329E-2</v>
      </c>
      <c r="H1289" s="6">
        <v>0.8</v>
      </c>
      <c r="I1289">
        <v>1</v>
      </c>
    </row>
    <row r="1290" spans="1:9" x14ac:dyDescent="0.2">
      <c r="A1290" s="2">
        <v>1308</v>
      </c>
    </row>
  </sheetData>
  <autoFilter ref="A1:I1290" xr:uid="{00000000-0009-0000-0000-00000A000000}"/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1:N1306"/>
  <sheetViews>
    <sheetView zoomScale="175" zoomScaleNormal="100" workbookViewId="0">
      <pane xSplit="7" ySplit="1" topLeftCell="H1283" activePane="bottomRight" state="frozen"/>
      <selection pane="topRight" activeCell="D1" sqref="D1"/>
      <selection pane="bottomLeft" activeCell="A2" sqref="A2"/>
      <selection pane="bottomRight" activeCell="E1307" sqref="E1307"/>
    </sheetView>
  </sheetViews>
  <sheetFormatPr baseColWidth="10" defaultColWidth="8.83203125" defaultRowHeight="15" x14ac:dyDescent="0.2"/>
  <cols>
    <col min="1" max="1" width="5.33203125" bestFit="1" customWidth="1"/>
    <col min="2" max="2" width="10.5" bestFit="1" customWidth="1"/>
    <col min="3" max="3" width="9.83203125" bestFit="1" customWidth="1"/>
    <col min="4" max="4" width="16.5" bestFit="1" customWidth="1"/>
    <col min="5" max="5" width="11.5" customWidth="1"/>
    <col min="6" max="6" width="30.5" bestFit="1" customWidth="1"/>
    <col min="7" max="7" width="12.6640625" bestFit="1" customWidth="1"/>
    <col min="8" max="8" width="9.1640625" bestFit="1" customWidth="1"/>
    <col min="9" max="10" width="13.83203125" customWidth="1"/>
    <col min="11" max="11" width="7.33203125" bestFit="1" customWidth="1"/>
    <col min="12" max="12" width="17.6640625" bestFit="1" customWidth="1"/>
    <col min="13" max="13" width="11.1640625" bestFit="1" customWidth="1"/>
    <col min="14" max="14" width="51.83203125" customWidth="1"/>
  </cols>
  <sheetData>
    <row r="1" spans="1:13" s="3" customFormat="1" x14ac:dyDescent="0.2">
      <c r="A1" s="3" t="s">
        <v>0</v>
      </c>
      <c r="B1" s="3" t="s">
        <v>435</v>
      </c>
      <c r="C1" s="3" t="s">
        <v>437</v>
      </c>
      <c r="D1" s="3" t="s">
        <v>1576</v>
      </c>
      <c r="E1" s="18" t="s">
        <v>1577</v>
      </c>
      <c r="F1" s="3" t="s">
        <v>1845</v>
      </c>
      <c r="G1" s="3" t="s">
        <v>1578</v>
      </c>
      <c r="H1" s="22" t="s">
        <v>1579</v>
      </c>
      <c r="I1" s="22" t="s">
        <v>1580</v>
      </c>
      <c r="J1" s="22" t="s">
        <v>1677</v>
      </c>
      <c r="K1" s="3" t="s">
        <v>91</v>
      </c>
      <c r="L1" s="3" t="s">
        <v>1849</v>
      </c>
      <c r="M1" s="3" t="s">
        <v>182</v>
      </c>
    </row>
    <row r="2" spans="1:13" x14ac:dyDescent="0.2">
      <c r="A2">
        <v>1</v>
      </c>
      <c r="B2">
        <v>1</v>
      </c>
      <c r="C2">
        <v>2</v>
      </c>
      <c r="D2" t="s">
        <v>220</v>
      </c>
      <c r="E2" t="str">
        <f>UPPER(LEFT(G2,2)) &amp; RIGHT("00" &amp; C2, 3) &amp; D2 &amp; RIGHT("0" &amp; H2, 2) &amp; K2</f>
        <v>12002RR03PT</v>
      </c>
      <c r="F2">
        <f>VLOOKUP(B2,Course!$A$2:$R$329,2,FALSE)</f>
        <v>0</v>
      </c>
      <c r="G2">
        <f>VLOOKUP(B2, Course!$A$2:$L$150, 8, FALSE)</f>
        <v>12</v>
      </c>
      <c r="H2">
        <v>3</v>
      </c>
      <c r="I2">
        <v>1</v>
      </c>
      <c r="K2" t="s">
        <v>1581</v>
      </c>
      <c r="L2" t="str">
        <f>VLOOKUP(B2, Course!$A$1:$O$133, 14, FALSE)</f>
        <v>RR</v>
      </c>
      <c r="M2">
        <v>1</v>
      </c>
    </row>
    <row r="3" spans="1:13" x14ac:dyDescent="0.2">
      <c r="A3">
        <v>2</v>
      </c>
      <c r="B3">
        <v>1</v>
      </c>
      <c r="C3">
        <v>3</v>
      </c>
      <c r="D3" t="s">
        <v>220</v>
      </c>
      <c r="E3" t="str">
        <f t="shared" ref="E3:E65" si="0">UPPER(LEFT(G3,2)) &amp; RIGHT("0" &amp; C3, 2) &amp; D3 &amp; RIGHT("0" &amp; H3, 2) &amp; K3</f>
        <v>1203RR03PT</v>
      </c>
      <c r="F3">
        <f>VLOOKUP(B3,Course!$A$2:$R$329,2,FALSE)</f>
        <v>0</v>
      </c>
      <c r="G3">
        <f>VLOOKUP(B3, Course!$A$2:$L$150, 8, FALSE)</f>
        <v>12</v>
      </c>
      <c r="H3">
        <v>3</v>
      </c>
      <c r="I3">
        <v>1</v>
      </c>
      <c r="K3" t="s">
        <v>1581</v>
      </c>
      <c r="L3" t="str">
        <f>VLOOKUP(B3, Course!$A$1:$O$133, 14, FALSE)</f>
        <v>RR</v>
      </c>
      <c r="M3">
        <v>1</v>
      </c>
    </row>
    <row r="4" spans="1:13" x14ac:dyDescent="0.2">
      <c r="A4">
        <v>3</v>
      </c>
      <c r="B4">
        <v>1</v>
      </c>
      <c r="C4">
        <v>4</v>
      </c>
      <c r="D4" t="s">
        <v>220</v>
      </c>
      <c r="E4" t="str">
        <f t="shared" si="0"/>
        <v>1204RR03PT</v>
      </c>
      <c r="F4">
        <f>VLOOKUP(B4,Course!$A$2:$R$329,2,FALSE)</f>
        <v>0</v>
      </c>
      <c r="G4">
        <f>VLOOKUP(B4, Course!$A$2:$L$150, 8, FALSE)</f>
        <v>12</v>
      </c>
      <c r="H4">
        <v>3</v>
      </c>
      <c r="I4">
        <v>1</v>
      </c>
      <c r="K4" t="s">
        <v>1581</v>
      </c>
      <c r="L4" t="str">
        <f>VLOOKUP(B4, Course!$A$1:$O$133, 14, FALSE)</f>
        <v>RR</v>
      </c>
      <c r="M4">
        <v>1</v>
      </c>
    </row>
    <row r="5" spans="1:13" x14ac:dyDescent="0.2">
      <c r="A5">
        <v>4</v>
      </c>
      <c r="B5">
        <v>1</v>
      </c>
      <c r="C5">
        <v>5</v>
      </c>
      <c r="D5" t="s">
        <v>220</v>
      </c>
      <c r="E5" t="str">
        <f t="shared" si="0"/>
        <v>1205RR03PT</v>
      </c>
      <c r="F5">
        <f>VLOOKUP(B5,Course!$A$2:$R$329,2,FALSE)</f>
        <v>0</v>
      </c>
      <c r="G5">
        <f>VLOOKUP(B5, Course!$A$2:$L$150, 8, FALSE)</f>
        <v>12</v>
      </c>
      <c r="H5">
        <v>3</v>
      </c>
      <c r="I5">
        <v>1</v>
      </c>
      <c r="K5" t="s">
        <v>1581</v>
      </c>
      <c r="L5" t="str">
        <f>VLOOKUP(B5, Course!$A$1:$O$133, 14, FALSE)</f>
        <v>RR</v>
      </c>
      <c r="M5">
        <v>1</v>
      </c>
    </row>
    <row r="6" spans="1:13" x14ac:dyDescent="0.2">
      <c r="A6">
        <v>5</v>
      </c>
      <c r="B6">
        <v>1</v>
      </c>
      <c r="C6">
        <v>6</v>
      </c>
      <c r="D6" t="s">
        <v>220</v>
      </c>
      <c r="E6" t="str">
        <f t="shared" si="0"/>
        <v>1206RR03PT</v>
      </c>
      <c r="F6">
        <f>VLOOKUP(B6,Course!$A$2:$R$329,2,FALSE)</f>
        <v>0</v>
      </c>
      <c r="G6">
        <f>VLOOKUP(B6, Course!$A$2:$L$150, 8, FALSE)</f>
        <v>12</v>
      </c>
      <c r="H6">
        <v>3</v>
      </c>
      <c r="I6">
        <v>1</v>
      </c>
      <c r="K6" t="s">
        <v>1581</v>
      </c>
      <c r="L6" t="str">
        <f>VLOOKUP(B6, Course!$A$1:$O$133, 14, FALSE)</f>
        <v>RR</v>
      </c>
      <c r="M6">
        <v>1</v>
      </c>
    </row>
    <row r="7" spans="1:13" x14ac:dyDescent="0.2">
      <c r="A7">
        <v>6</v>
      </c>
      <c r="B7">
        <v>1</v>
      </c>
      <c r="C7">
        <v>7</v>
      </c>
      <c r="D7" t="s">
        <v>220</v>
      </c>
      <c r="E7" t="str">
        <f t="shared" si="0"/>
        <v>1207RR03PT</v>
      </c>
      <c r="F7">
        <f>VLOOKUP(B7,Course!$A$2:$R$329,2,FALSE)</f>
        <v>0</v>
      </c>
      <c r="G7">
        <f>VLOOKUP(B7, Course!$A$2:$L$150, 8, FALSE)</f>
        <v>12</v>
      </c>
      <c r="H7">
        <v>3</v>
      </c>
      <c r="I7">
        <v>1</v>
      </c>
      <c r="K7" t="s">
        <v>1581</v>
      </c>
      <c r="L7" t="str">
        <f>VLOOKUP(B7, Course!$A$1:$O$133, 14, FALSE)</f>
        <v>RR</v>
      </c>
      <c r="M7">
        <v>1</v>
      </c>
    </row>
    <row r="8" spans="1:13" x14ac:dyDescent="0.2">
      <c r="A8">
        <v>7</v>
      </c>
      <c r="B8">
        <v>1</v>
      </c>
      <c r="C8">
        <v>8</v>
      </c>
      <c r="D8" t="s">
        <v>220</v>
      </c>
      <c r="E8" t="str">
        <f t="shared" si="0"/>
        <v>1208RR03PT</v>
      </c>
      <c r="F8">
        <f>VLOOKUP(B8,Course!$A$2:$R$329,2,FALSE)</f>
        <v>0</v>
      </c>
      <c r="G8">
        <f>VLOOKUP(B8, Course!$A$2:$L$150, 8, FALSE)</f>
        <v>12</v>
      </c>
      <c r="H8">
        <v>3</v>
      </c>
      <c r="I8">
        <v>1</v>
      </c>
      <c r="K8" t="s">
        <v>1581</v>
      </c>
      <c r="L8" t="str">
        <f>VLOOKUP(B8, Course!$A$1:$O$133, 14, FALSE)</f>
        <v>RR</v>
      </c>
      <c r="M8">
        <v>1</v>
      </c>
    </row>
    <row r="9" spans="1:13" x14ac:dyDescent="0.2">
      <c r="A9">
        <v>8</v>
      </c>
      <c r="B9">
        <v>1</v>
      </c>
      <c r="C9">
        <v>9</v>
      </c>
      <c r="D9" t="s">
        <v>220</v>
      </c>
      <c r="E9" t="str">
        <f t="shared" si="0"/>
        <v>1209RR03PT</v>
      </c>
      <c r="F9">
        <f>VLOOKUP(B9,Course!$A$2:$R$329,2,FALSE)</f>
        <v>0</v>
      </c>
      <c r="G9">
        <f>VLOOKUP(B9, Course!$A$2:$L$150, 8, FALSE)</f>
        <v>12</v>
      </c>
      <c r="H9">
        <v>3</v>
      </c>
      <c r="I9">
        <v>1</v>
      </c>
      <c r="K9" t="s">
        <v>1581</v>
      </c>
      <c r="L9" t="str">
        <f>VLOOKUP(B9, Course!$A$1:$O$133, 14, FALSE)</f>
        <v>RR</v>
      </c>
      <c r="M9">
        <v>1</v>
      </c>
    </row>
    <row r="10" spans="1:13" x14ac:dyDescent="0.2">
      <c r="A10">
        <v>9</v>
      </c>
      <c r="B10">
        <v>1</v>
      </c>
      <c r="C10">
        <v>10</v>
      </c>
      <c r="D10" t="s">
        <v>220</v>
      </c>
      <c r="E10" t="str">
        <f t="shared" si="0"/>
        <v>1210RR03PT</v>
      </c>
      <c r="F10">
        <f>VLOOKUP(B10,Course!$A$2:$R$329,2,FALSE)</f>
        <v>0</v>
      </c>
      <c r="G10">
        <f>VLOOKUP(B10, Course!$A$2:$L$150, 8, FALSE)</f>
        <v>12</v>
      </c>
      <c r="H10">
        <v>3</v>
      </c>
      <c r="I10">
        <v>1</v>
      </c>
      <c r="K10" t="s">
        <v>1581</v>
      </c>
      <c r="L10" t="str">
        <f>VLOOKUP(B10, Course!$A$1:$O$133, 14, FALSE)</f>
        <v>RR</v>
      </c>
      <c r="M10">
        <v>1</v>
      </c>
    </row>
    <row r="11" spans="1:13" x14ac:dyDescent="0.2">
      <c r="A11">
        <v>10</v>
      </c>
      <c r="B11">
        <v>1</v>
      </c>
      <c r="C11">
        <v>11</v>
      </c>
      <c r="D11" t="s">
        <v>220</v>
      </c>
      <c r="E11" t="str">
        <f t="shared" si="0"/>
        <v>1211RR03PT</v>
      </c>
      <c r="F11">
        <f>VLOOKUP(B11,Course!$A$2:$R$329,2,FALSE)</f>
        <v>0</v>
      </c>
      <c r="G11">
        <f>VLOOKUP(B11, Course!$A$2:$L$150, 8, FALSE)</f>
        <v>12</v>
      </c>
      <c r="H11">
        <v>3</v>
      </c>
      <c r="I11">
        <v>3</v>
      </c>
      <c r="K11" t="s">
        <v>1581</v>
      </c>
      <c r="L11" t="str">
        <f>VLOOKUP(B11, Course!$A$1:$O$133, 14, FALSE)</f>
        <v>RR</v>
      </c>
      <c r="M11">
        <v>1</v>
      </c>
    </row>
    <row r="12" spans="1:13" x14ac:dyDescent="0.2">
      <c r="A12">
        <v>11</v>
      </c>
      <c r="B12">
        <v>1</v>
      </c>
      <c r="C12">
        <v>12</v>
      </c>
      <c r="D12" t="s">
        <v>220</v>
      </c>
      <c r="E12" t="str">
        <f t="shared" si="0"/>
        <v>1212RR03PT</v>
      </c>
      <c r="F12">
        <f>VLOOKUP(B12,Course!$A$2:$R$329,2,FALSE)</f>
        <v>0</v>
      </c>
      <c r="G12">
        <f>VLOOKUP(B12, Course!$A$2:$L$150, 8, FALSE)</f>
        <v>12</v>
      </c>
      <c r="H12">
        <v>3</v>
      </c>
      <c r="I12">
        <v>2</v>
      </c>
      <c r="K12" t="s">
        <v>1581</v>
      </c>
      <c r="L12" t="str">
        <f>VLOOKUP(B12, Course!$A$1:$O$133, 14, FALSE)</f>
        <v>RR</v>
      </c>
      <c r="M12">
        <v>1</v>
      </c>
    </row>
    <row r="13" spans="1:13" x14ac:dyDescent="0.2">
      <c r="A13">
        <v>12</v>
      </c>
      <c r="B13">
        <v>2</v>
      </c>
      <c r="C13">
        <v>1</v>
      </c>
      <c r="D13" t="s">
        <v>141</v>
      </c>
      <c r="E13" t="str">
        <f t="shared" si="0"/>
        <v>1201MA03PT</v>
      </c>
      <c r="F13">
        <f>VLOOKUP(B13,Course!$A$2:$R$329,2,FALSE)</f>
        <v>0</v>
      </c>
      <c r="G13">
        <f>VLOOKUP(B13, Course!$A$2:$L$150, 8, FALSE)</f>
        <v>12</v>
      </c>
      <c r="H13">
        <v>3</v>
      </c>
      <c r="I13">
        <v>1</v>
      </c>
      <c r="K13" t="s">
        <v>1581</v>
      </c>
      <c r="L13" t="str">
        <f>VLOOKUP(B13, Course!$A$1:$O$133, 14, FALSE)</f>
        <v>MA</v>
      </c>
      <c r="M13">
        <v>1</v>
      </c>
    </row>
    <row r="14" spans="1:13" x14ac:dyDescent="0.2">
      <c r="A14">
        <v>13</v>
      </c>
      <c r="B14">
        <v>2</v>
      </c>
      <c r="C14">
        <v>2</v>
      </c>
      <c r="D14" t="s">
        <v>141</v>
      </c>
      <c r="E14" t="str">
        <f t="shared" si="0"/>
        <v>1202MA03PT</v>
      </c>
      <c r="F14">
        <f>VLOOKUP(B14,Course!$A$2:$R$329,2,FALSE)</f>
        <v>0</v>
      </c>
      <c r="G14">
        <f>VLOOKUP(B14, Course!$A$2:$L$150, 8, FALSE)</f>
        <v>12</v>
      </c>
      <c r="H14">
        <v>3</v>
      </c>
      <c r="I14">
        <v>2</v>
      </c>
      <c r="K14" t="s">
        <v>1581</v>
      </c>
      <c r="L14" t="str">
        <f>VLOOKUP(B14, Course!$A$1:$O$133, 14, FALSE)</f>
        <v>MA</v>
      </c>
      <c r="M14">
        <v>1</v>
      </c>
    </row>
    <row r="15" spans="1:13" x14ac:dyDescent="0.2">
      <c r="A15">
        <v>14</v>
      </c>
      <c r="B15">
        <v>2</v>
      </c>
      <c r="C15">
        <v>3</v>
      </c>
      <c r="D15" t="s">
        <v>141</v>
      </c>
      <c r="E15" t="str">
        <f t="shared" si="0"/>
        <v>1203MA03PT</v>
      </c>
      <c r="F15">
        <f>VLOOKUP(B15,Course!$A$2:$R$329,2,FALSE)</f>
        <v>0</v>
      </c>
      <c r="G15">
        <f>VLOOKUP(B15, Course!$A$2:$L$150, 8, FALSE)</f>
        <v>12</v>
      </c>
      <c r="H15">
        <v>3</v>
      </c>
      <c r="I15">
        <v>2</v>
      </c>
      <c r="K15" t="s">
        <v>1581</v>
      </c>
      <c r="L15" t="str">
        <f>VLOOKUP(B15, Course!$A$1:$O$133, 14, FALSE)</f>
        <v>MA</v>
      </c>
      <c r="M15">
        <v>1</v>
      </c>
    </row>
    <row r="16" spans="1:13" x14ac:dyDescent="0.2">
      <c r="A16">
        <v>15</v>
      </c>
      <c r="B16">
        <v>2</v>
      </c>
      <c r="C16">
        <v>4</v>
      </c>
      <c r="D16" t="s">
        <v>141</v>
      </c>
      <c r="E16" t="str">
        <f t="shared" si="0"/>
        <v>1204MA03PT</v>
      </c>
      <c r="F16">
        <f>VLOOKUP(B16,Course!$A$2:$R$329,2,FALSE)</f>
        <v>0</v>
      </c>
      <c r="G16">
        <f>VLOOKUP(B16, Course!$A$2:$L$150, 8, FALSE)</f>
        <v>12</v>
      </c>
      <c r="H16">
        <v>3</v>
      </c>
      <c r="I16">
        <v>2</v>
      </c>
      <c r="K16" t="s">
        <v>1581</v>
      </c>
      <c r="L16" t="str">
        <f>VLOOKUP(B16, Course!$A$1:$O$133, 14, FALSE)</f>
        <v>MA</v>
      </c>
      <c r="M16">
        <v>1</v>
      </c>
    </row>
    <row r="17" spans="1:14" x14ac:dyDescent="0.2">
      <c r="A17">
        <v>16</v>
      </c>
      <c r="B17">
        <v>2</v>
      </c>
      <c r="C17">
        <v>5</v>
      </c>
      <c r="D17" t="s">
        <v>141</v>
      </c>
      <c r="E17" t="str">
        <f t="shared" si="0"/>
        <v>1205MA03PT</v>
      </c>
      <c r="F17">
        <f>VLOOKUP(B17,Course!$A$2:$R$329,2,FALSE)</f>
        <v>0</v>
      </c>
      <c r="G17">
        <f>VLOOKUP(B17, Course!$A$2:$L$150, 8, FALSE)</f>
        <v>12</v>
      </c>
      <c r="H17">
        <v>3</v>
      </c>
      <c r="I17">
        <v>2</v>
      </c>
      <c r="K17" t="s">
        <v>1581</v>
      </c>
      <c r="L17" t="str">
        <f>VLOOKUP(B17, Course!$A$1:$O$133, 14, FALSE)</f>
        <v>MA</v>
      </c>
      <c r="M17">
        <v>1</v>
      </c>
    </row>
    <row r="18" spans="1:14" x14ac:dyDescent="0.2">
      <c r="A18">
        <v>17</v>
      </c>
      <c r="B18">
        <v>2</v>
      </c>
      <c r="C18">
        <v>6</v>
      </c>
      <c r="D18" t="s">
        <v>141</v>
      </c>
      <c r="E18" t="str">
        <f t="shared" si="0"/>
        <v>1206MA03PT</v>
      </c>
      <c r="F18">
        <f>VLOOKUP(B18,Course!$A$2:$R$329,2,FALSE)</f>
        <v>0</v>
      </c>
      <c r="G18">
        <f>VLOOKUP(B18, Course!$A$2:$L$150, 8, FALSE)</f>
        <v>12</v>
      </c>
      <c r="H18">
        <v>3</v>
      </c>
      <c r="I18">
        <v>2</v>
      </c>
      <c r="K18" t="s">
        <v>1581</v>
      </c>
      <c r="L18" t="str">
        <f>VLOOKUP(B18, Course!$A$1:$O$133, 14, FALSE)</f>
        <v>MA</v>
      </c>
      <c r="M18">
        <v>1</v>
      </c>
    </row>
    <row r="19" spans="1:14" x14ac:dyDescent="0.2">
      <c r="A19">
        <v>18</v>
      </c>
      <c r="B19">
        <v>2</v>
      </c>
      <c r="C19">
        <v>7</v>
      </c>
      <c r="D19" t="s">
        <v>141</v>
      </c>
      <c r="E19" t="str">
        <f t="shared" si="0"/>
        <v>1207MA03PT</v>
      </c>
      <c r="F19">
        <f>VLOOKUP(B19,Course!$A$2:$R$329,2,FALSE)</f>
        <v>0</v>
      </c>
      <c r="G19">
        <f>VLOOKUP(B19, Course!$A$2:$L$150, 8, FALSE)</f>
        <v>12</v>
      </c>
      <c r="H19">
        <v>3</v>
      </c>
      <c r="I19">
        <v>2</v>
      </c>
      <c r="K19" t="s">
        <v>1581</v>
      </c>
      <c r="L19" t="str">
        <f>VLOOKUP(B19, Course!$A$1:$O$133, 14, FALSE)</f>
        <v>MA</v>
      </c>
      <c r="M19">
        <v>1</v>
      </c>
    </row>
    <row r="20" spans="1:14" x14ac:dyDescent="0.2">
      <c r="A20">
        <v>19</v>
      </c>
      <c r="B20">
        <v>2</v>
      </c>
      <c r="C20">
        <v>8</v>
      </c>
      <c r="D20" t="s">
        <v>141</v>
      </c>
      <c r="E20" t="str">
        <f t="shared" si="0"/>
        <v>1208MA03PT</v>
      </c>
      <c r="F20">
        <f>VLOOKUP(B20,Course!$A$2:$R$329,2,FALSE)</f>
        <v>0</v>
      </c>
      <c r="G20">
        <f>VLOOKUP(B20, Course!$A$2:$L$150, 8, FALSE)</f>
        <v>12</v>
      </c>
      <c r="H20">
        <v>3</v>
      </c>
      <c r="I20">
        <v>2</v>
      </c>
      <c r="K20" t="s">
        <v>1581</v>
      </c>
      <c r="L20" t="str">
        <f>VLOOKUP(B20, Course!$A$1:$O$133, 14, FALSE)</f>
        <v>MA</v>
      </c>
      <c r="M20">
        <v>1</v>
      </c>
    </row>
    <row r="21" spans="1:14" x14ac:dyDescent="0.2">
      <c r="A21">
        <v>20</v>
      </c>
      <c r="B21">
        <v>2</v>
      </c>
      <c r="C21">
        <v>9</v>
      </c>
      <c r="D21" t="s">
        <v>141</v>
      </c>
      <c r="E21" t="str">
        <f t="shared" si="0"/>
        <v>1209MA03PT</v>
      </c>
      <c r="F21">
        <f>VLOOKUP(B21,Course!$A$2:$R$329,2,FALSE)</f>
        <v>0</v>
      </c>
      <c r="G21">
        <f>VLOOKUP(B21, Course!$A$2:$L$150, 8, FALSE)</f>
        <v>12</v>
      </c>
      <c r="H21">
        <v>3</v>
      </c>
      <c r="I21">
        <v>2</v>
      </c>
      <c r="K21" t="s">
        <v>1581</v>
      </c>
      <c r="L21" t="str">
        <f>VLOOKUP(B21, Course!$A$1:$O$133, 14, FALSE)</f>
        <v>MA</v>
      </c>
      <c r="M21">
        <v>1</v>
      </c>
    </row>
    <row r="22" spans="1:14" x14ac:dyDescent="0.2">
      <c r="A22">
        <v>21</v>
      </c>
      <c r="B22">
        <v>2</v>
      </c>
      <c r="C22">
        <v>10</v>
      </c>
      <c r="D22" t="s">
        <v>141</v>
      </c>
      <c r="E22" t="str">
        <f t="shared" si="0"/>
        <v>1210MA03PT</v>
      </c>
      <c r="F22">
        <f>VLOOKUP(B22,Course!$A$2:$R$329,2,FALSE)</f>
        <v>0</v>
      </c>
      <c r="G22">
        <f>VLOOKUP(B22, Course!$A$2:$L$150, 8, FALSE)</f>
        <v>12</v>
      </c>
      <c r="H22">
        <v>3</v>
      </c>
      <c r="I22">
        <v>2</v>
      </c>
      <c r="K22" t="s">
        <v>1581</v>
      </c>
      <c r="L22" t="str">
        <f>VLOOKUP(B22, Course!$A$1:$O$133, 14, FALSE)</f>
        <v>MA</v>
      </c>
      <c r="M22">
        <v>1</v>
      </c>
    </row>
    <row r="23" spans="1:14" x14ac:dyDescent="0.2">
      <c r="A23">
        <v>22</v>
      </c>
      <c r="B23">
        <v>2</v>
      </c>
      <c r="C23">
        <v>11</v>
      </c>
      <c r="D23" t="s">
        <v>141</v>
      </c>
      <c r="E23" t="str">
        <f t="shared" si="0"/>
        <v>1211MA03PT</v>
      </c>
      <c r="F23">
        <f>VLOOKUP(B23,Course!$A$2:$R$329,2,FALSE)</f>
        <v>0</v>
      </c>
      <c r="G23">
        <f>VLOOKUP(B23, Course!$A$2:$L$150, 8, FALSE)</f>
        <v>12</v>
      </c>
      <c r="H23">
        <v>3</v>
      </c>
      <c r="I23">
        <v>2</v>
      </c>
      <c r="K23" t="s">
        <v>1581</v>
      </c>
      <c r="L23" t="str">
        <f>VLOOKUP(B23, Course!$A$1:$O$133, 14, FALSE)</f>
        <v>MA</v>
      </c>
      <c r="M23">
        <v>1</v>
      </c>
    </row>
    <row r="24" spans="1:14" x14ac:dyDescent="0.2">
      <c r="A24">
        <v>23</v>
      </c>
      <c r="B24">
        <v>2</v>
      </c>
      <c r="C24">
        <v>12</v>
      </c>
      <c r="D24" t="s">
        <v>141</v>
      </c>
      <c r="E24" t="str">
        <f t="shared" si="0"/>
        <v>1212MA03PT</v>
      </c>
      <c r="F24">
        <f>VLOOKUP(B24,Course!$A$2:$R$329,2,FALSE)</f>
        <v>0</v>
      </c>
      <c r="G24">
        <f>VLOOKUP(B24, Course!$A$2:$L$150, 8, FALSE)</f>
        <v>12</v>
      </c>
      <c r="H24">
        <v>3</v>
      </c>
      <c r="I24">
        <v>2</v>
      </c>
      <c r="K24" t="s">
        <v>1581</v>
      </c>
      <c r="L24" t="str">
        <f>VLOOKUP(B24, Course!$A$1:$O$133, 14, FALSE)</f>
        <v>MA</v>
      </c>
      <c r="M24">
        <v>1</v>
      </c>
      <c r="N24" s="8"/>
    </row>
    <row r="25" spans="1:14" x14ac:dyDescent="0.2">
      <c r="A25">
        <v>24</v>
      </c>
      <c r="B25">
        <v>3</v>
      </c>
      <c r="C25">
        <v>1</v>
      </c>
      <c r="D25" t="s">
        <v>224</v>
      </c>
      <c r="E25" t="str">
        <f t="shared" si="0"/>
        <v>1201EN03PT</v>
      </c>
      <c r="F25">
        <f>VLOOKUP(B25,Course!$A$2:$R$329,2,FALSE)</f>
        <v>0</v>
      </c>
      <c r="G25">
        <f>VLOOKUP(B25, Course!$A$2:$L$150, 8, FALSE)</f>
        <v>12</v>
      </c>
      <c r="H25">
        <v>3</v>
      </c>
      <c r="I25">
        <v>3</v>
      </c>
      <c r="K25" t="s">
        <v>1581</v>
      </c>
      <c r="L25" t="str">
        <f>VLOOKUP(B25, Course!$A$1:$O$133, 14, FALSE)</f>
        <v>EN</v>
      </c>
      <c r="M25">
        <v>1</v>
      </c>
    </row>
    <row r="26" spans="1:14" x14ac:dyDescent="0.2">
      <c r="A26">
        <v>25</v>
      </c>
      <c r="B26">
        <v>3</v>
      </c>
      <c r="C26">
        <v>2</v>
      </c>
      <c r="D26" t="s">
        <v>224</v>
      </c>
      <c r="E26" t="str">
        <f t="shared" si="0"/>
        <v>1202EN03PT</v>
      </c>
      <c r="F26">
        <f>VLOOKUP(B26,Course!$A$2:$R$329,2,FALSE)</f>
        <v>0</v>
      </c>
      <c r="G26">
        <f>VLOOKUP(B26, Course!$A$2:$L$150, 8, FALSE)</f>
        <v>12</v>
      </c>
      <c r="H26">
        <v>3</v>
      </c>
      <c r="I26">
        <v>2</v>
      </c>
      <c r="K26" t="s">
        <v>1581</v>
      </c>
      <c r="L26" t="str">
        <f>VLOOKUP(B26, Course!$A$1:$O$133, 14, FALSE)</f>
        <v>EN</v>
      </c>
      <c r="M26">
        <v>1</v>
      </c>
    </row>
    <row r="27" spans="1:14" x14ac:dyDescent="0.2">
      <c r="A27">
        <v>26</v>
      </c>
      <c r="B27">
        <v>3</v>
      </c>
      <c r="C27">
        <v>3</v>
      </c>
      <c r="D27" t="s">
        <v>224</v>
      </c>
      <c r="E27" t="str">
        <f t="shared" si="0"/>
        <v>1203EN03PT</v>
      </c>
      <c r="F27">
        <f>VLOOKUP(B27,Course!$A$2:$R$329,2,FALSE)</f>
        <v>0</v>
      </c>
      <c r="G27">
        <f>VLOOKUP(B27, Course!$A$2:$L$150, 8, FALSE)</f>
        <v>12</v>
      </c>
      <c r="H27">
        <v>3</v>
      </c>
      <c r="I27">
        <v>2</v>
      </c>
      <c r="K27" t="s">
        <v>1581</v>
      </c>
      <c r="L27" t="str">
        <f>VLOOKUP(B27, Course!$A$1:$O$133, 14, FALSE)</f>
        <v>EN</v>
      </c>
      <c r="M27">
        <v>1</v>
      </c>
    </row>
    <row r="28" spans="1:14" x14ac:dyDescent="0.2">
      <c r="A28">
        <v>27</v>
      </c>
      <c r="B28">
        <v>3</v>
      </c>
      <c r="C28">
        <v>4</v>
      </c>
      <c r="D28" t="s">
        <v>224</v>
      </c>
      <c r="E28" t="str">
        <f t="shared" si="0"/>
        <v>1204EN03PT</v>
      </c>
      <c r="F28">
        <f>VLOOKUP(B28,Course!$A$2:$R$329,2,FALSE)</f>
        <v>0</v>
      </c>
      <c r="G28">
        <f>VLOOKUP(B28, Course!$A$2:$L$150, 8, FALSE)</f>
        <v>12</v>
      </c>
      <c r="H28">
        <v>3</v>
      </c>
      <c r="I28">
        <v>2</v>
      </c>
      <c r="K28" t="s">
        <v>1581</v>
      </c>
      <c r="L28" t="str">
        <f>VLOOKUP(B28, Course!$A$1:$O$133, 14, FALSE)</f>
        <v>EN</v>
      </c>
      <c r="M28">
        <v>1</v>
      </c>
    </row>
    <row r="29" spans="1:14" x14ac:dyDescent="0.2">
      <c r="A29">
        <v>28</v>
      </c>
      <c r="B29">
        <v>3</v>
      </c>
      <c r="C29">
        <v>5</v>
      </c>
      <c r="D29" t="s">
        <v>224</v>
      </c>
      <c r="E29" t="str">
        <f t="shared" si="0"/>
        <v>1205EN03PT</v>
      </c>
      <c r="F29">
        <f>VLOOKUP(B29,Course!$A$2:$R$329,2,FALSE)</f>
        <v>0</v>
      </c>
      <c r="G29">
        <f>VLOOKUP(B29, Course!$A$2:$L$150, 8, FALSE)</f>
        <v>12</v>
      </c>
      <c r="H29">
        <v>3</v>
      </c>
      <c r="I29">
        <v>2</v>
      </c>
      <c r="K29" t="s">
        <v>1581</v>
      </c>
      <c r="L29" t="str">
        <f>VLOOKUP(B29, Course!$A$1:$O$133, 14, FALSE)</f>
        <v>EN</v>
      </c>
      <c r="M29">
        <v>1</v>
      </c>
    </row>
    <row r="30" spans="1:14" x14ac:dyDescent="0.2">
      <c r="A30">
        <v>29</v>
      </c>
      <c r="B30">
        <v>3</v>
      </c>
      <c r="C30">
        <v>6</v>
      </c>
      <c r="D30" t="s">
        <v>224</v>
      </c>
      <c r="E30" t="str">
        <f t="shared" si="0"/>
        <v>1206EN03PT</v>
      </c>
      <c r="F30">
        <f>VLOOKUP(B30,Course!$A$2:$R$329,2,FALSE)</f>
        <v>0</v>
      </c>
      <c r="G30">
        <f>VLOOKUP(B30, Course!$A$2:$L$150, 8, FALSE)</f>
        <v>12</v>
      </c>
      <c r="H30">
        <v>3</v>
      </c>
      <c r="I30">
        <v>2</v>
      </c>
      <c r="K30" t="s">
        <v>1581</v>
      </c>
      <c r="L30" t="str">
        <f>VLOOKUP(B30, Course!$A$1:$O$133, 14, FALSE)</f>
        <v>EN</v>
      </c>
      <c r="M30">
        <v>1</v>
      </c>
    </row>
    <row r="31" spans="1:14" x14ac:dyDescent="0.2">
      <c r="A31">
        <v>30</v>
      </c>
      <c r="B31">
        <v>3</v>
      </c>
      <c r="C31">
        <v>7</v>
      </c>
      <c r="D31" t="s">
        <v>224</v>
      </c>
      <c r="E31" t="str">
        <f t="shared" si="0"/>
        <v>1207EN03PT</v>
      </c>
      <c r="F31">
        <f>VLOOKUP(B31,Course!$A$2:$R$329,2,FALSE)</f>
        <v>0</v>
      </c>
      <c r="G31">
        <f>VLOOKUP(B31, Course!$A$2:$L$150, 8, FALSE)</f>
        <v>12</v>
      </c>
      <c r="H31">
        <v>3</v>
      </c>
      <c r="I31">
        <v>2</v>
      </c>
      <c r="K31" t="s">
        <v>1581</v>
      </c>
      <c r="L31" t="str">
        <f>VLOOKUP(B31, Course!$A$1:$O$133, 14, FALSE)</f>
        <v>EN</v>
      </c>
      <c r="M31">
        <v>1</v>
      </c>
    </row>
    <row r="32" spans="1:14" x14ac:dyDescent="0.2">
      <c r="A32">
        <v>31</v>
      </c>
      <c r="B32">
        <v>3</v>
      </c>
      <c r="C32">
        <v>8</v>
      </c>
      <c r="D32" t="s">
        <v>224</v>
      </c>
      <c r="E32" t="str">
        <f t="shared" si="0"/>
        <v>1208EN03PT</v>
      </c>
      <c r="F32">
        <f>VLOOKUP(B32,Course!$A$2:$R$329,2,FALSE)</f>
        <v>0</v>
      </c>
      <c r="G32">
        <f>VLOOKUP(B32, Course!$A$2:$L$150, 8, FALSE)</f>
        <v>12</v>
      </c>
      <c r="H32">
        <v>3</v>
      </c>
      <c r="I32">
        <v>2</v>
      </c>
      <c r="K32" t="s">
        <v>1581</v>
      </c>
      <c r="L32" t="str">
        <f>VLOOKUP(B32, Course!$A$1:$O$133, 14, FALSE)</f>
        <v>EN</v>
      </c>
      <c r="M32">
        <v>1</v>
      </c>
    </row>
    <row r="33" spans="1:13" x14ac:dyDescent="0.2">
      <c r="A33">
        <v>32</v>
      </c>
      <c r="B33">
        <v>3</v>
      </c>
      <c r="C33">
        <v>9</v>
      </c>
      <c r="D33" t="s">
        <v>224</v>
      </c>
      <c r="E33" t="str">
        <f t="shared" si="0"/>
        <v>1209EN03PT</v>
      </c>
      <c r="F33">
        <f>VLOOKUP(B33,Course!$A$2:$R$329,2,FALSE)</f>
        <v>0</v>
      </c>
      <c r="G33">
        <f>VLOOKUP(B33, Course!$A$2:$L$150, 8, FALSE)</f>
        <v>12</v>
      </c>
      <c r="H33">
        <v>3</v>
      </c>
      <c r="I33">
        <v>2</v>
      </c>
      <c r="K33" t="s">
        <v>1581</v>
      </c>
      <c r="L33" t="str">
        <f>VLOOKUP(B33, Course!$A$1:$O$133, 14, FALSE)</f>
        <v>EN</v>
      </c>
      <c r="M33">
        <v>1</v>
      </c>
    </row>
    <row r="34" spans="1:13" x14ac:dyDescent="0.2">
      <c r="A34">
        <v>33</v>
      </c>
      <c r="B34">
        <v>3</v>
      </c>
      <c r="C34">
        <v>10</v>
      </c>
      <c r="D34" t="s">
        <v>224</v>
      </c>
      <c r="E34" t="str">
        <f t="shared" si="0"/>
        <v>1210EN03PT</v>
      </c>
      <c r="F34">
        <f>VLOOKUP(B34,Course!$A$2:$R$329,2,FALSE)</f>
        <v>0</v>
      </c>
      <c r="G34">
        <f>VLOOKUP(B34, Course!$A$2:$L$150, 8, FALSE)</f>
        <v>12</v>
      </c>
      <c r="H34">
        <v>3</v>
      </c>
      <c r="I34">
        <v>2</v>
      </c>
      <c r="K34" t="s">
        <v>1581</v>
      </c>
      <c r="L34" t="str">
        <f>VLOOKUP(B34, Course!$A$1:$O$133, 14, FALSE)</f>
        <v>EN</v>
      </c>
      <c r="M34">
        <v>1</v>
      </c>
    </row>
    <row r="35" spans="1:13" x14ac:dyDescent="0.2">
      <c r="A35">
        <v>34</v>
      </c>
      <c r="B35">
        <v>3</v>
      </c>
      <c r="C35">
        <v>11</v>
      </c>
      <c r="D35" t="s">
        <v>224</v>
      </c>
      <c r="E35" t="str">
        <f t="shared" si="0"/>
        <v>1211EN03PT</v>
      </c>
      <c r="F35">
        <f>VLOOKUP(B35,Course!$A$2:$R$329,2,FALSE)</f>
        <v>0</v>
      </c>
      <c r="G35">
        <f>VLOOKUP(B35, Course!$A$2:$L$150, 8, FALSE)</f>
        <v>12</v>
      </c>
      <c r="H35">
        <v>3</v>
      </c>
      <c r="I35">
        <v>2</v>
      </c>
      <c r="K35" t="s">
        <v>1581</v>
      </c>
      <c r="L35" t="str">
        <f>VLOOKUP(B35, Course!$A$1:$O$133, 14, FALSE)</f>
        <v>EN</v>
      </c>
      <c r="M35">
        <v>1</v>
      </c>
    </row>
    <row r="36" spans="1:13" x14ac:dyDescent="0.2">
      <c r="A36">
        <v>35</v>
      </c>
      <c r="B36">
        <v>3</v>
      </c>
      <c r="C36">
        <v>12</v>
      </c>
      <c r="D36" t="s">
        <v>224</v>
      </c>
      <c r="E36" t="str">
        <f t="shared" si="0"/>
        <v>1212EN03PT</v>
      </c>
      <c r="F36">
        <f>VLOOKUP(B36,Course!$A$2:$R$329,2,FALSE)</f>
        <v>0</v>
      </c>
      <c r="G36">
        <f>VLOOKUP(B36, Course!$A$2:$L$150, 8, FALSE)</f>
        <v>12</v>
      </c>
      <c r="H36">
        <v>3</v>
      </c>
      <c r="I36">
        <v>2</v>
      </c>
      <c r="K36" t="s">
        <v>1581</v>
      </c>
      <c r="L36" t="str">
        <f>VLOOKUP(B36, Course!$A$1:$O$133, 14, FALSE)</f>
        <v>EN</v>
      </c>
      <c r="M36">
        <v>1</v>
      </c>
    </row>
    <row r="37" spans="1:13" x14ac:dyDescent="0.2">
      <c r="A37">
        <v>36</v>
      </c>
      <c r="B37">
        <v>4</v>
      </c>
      <c r="C37">
        <v>1</v>
      </c>
      <c r="D37" t="s">
        <v>147</v>
      </c>
      <c r="E37" t="str">
        <f t="shared" si="0"/>
        <v>1201WB03PT</v>
      </c>
      <c r="F37">
        <f>VLOOKUP(B37,Course!$A$2:$R$329,2,FALSE)</f>
        <v>0</v>
      </c>
      <c r="G37">
        <f>VLOOKUP(B37, Course!$A$2:$L$150, 8, FALSE)</f>
        <v>12</v>
      </c>
      <c r="H37">
        <v>3</v>
      </c>
      <c r="I37">
        <v>3</v>
      </c>
      <c r="K37" t="s">
        <v>1581</v>
      </c>
      <c r="L37" t="str">
        <f>VLOOKUP(B37, Course!$A$1:$O$133, 14, FALSE)</f>
        <v>WB</v>
      </c>
      <c r="M37">
        <v>1</v>
      </c>
    </row>
    <row r="38" spans="1:13" x14ac:dyDescent="0.2">
      <c r="A38">
        <v>37</v>
      </c>
      <c r="B38">
        <v>4</v>
      </c>
      <c r="C38">
        <v>2</v>
      </c>
      <c r="D38" t="s">
        <v>147</v>
      </c>
      <c r="E38" t="str">
        <f t="shared" si="0"/>
        <v>1202WB03PT</v>
      </c>
      <c r="F38">
        <f>VLOOKUP(B38,Course!$A$2:$R$329,2,FALSE)</f>
        <v>0</v>
      </c>
      <c r="G38">
        <f>VLOOKUP(B38, Course!$A$2:$L$150, 8, FALSE)</f>
        <v>12</v>
      </c>
      <c r="H38">
        <v>3</v>
      </c>
      <c r="I38">
        <v>2</v>
      </c>
      <c r="K38" t="s">
        <v>1581</v>
      </c>
      <c r="L38" t="str">
        <f>VLOOKUP(B38, Course!$A$1:$O$133, 14, FALSE)</f>
        <v>WB</v>
      </c>
      <c r="M38">
        <v>1</v>
      </c>
    </row>
    <row r="39" spans="1:13" x14ac:dyDescent="0.2">
      <c r="A39">
        <v>38</v>
      </c>
      <c r="B39">
        <v>4</v>
      </c>
      <c r="C39">
        <v>3</v>
      </c>
      <c r="D39" t="s">
        <v>147</v>
      </c>
      <c r="E39" t="str">
        <f t="shared" si="0"/>
        <v>1203WB03PT</v>
      </c>
      <c r="F39">
        <f>VLOOKUP(B39,Course!$A$2:$R$329,2,FALSE)</f>
        <v>0</v>
      </c>
      <c r="G39">
        <f>VLOOKUP(B39, Course!$A$2:$L$150, 8, FALSE)</f>
        <v>12</v>
      </c>
      <c r="H39">
        <v>3</v>
      </c>
      <c r="I39">
        <v>2</v>
      </c>
      <c r="K39" t="s">
        <v>1581</v>
      </c>
      <c r="L39" t="str">
        <f>VLOOKUP(B39, Course!$A$1:$O$133, 14, FALSE)</f>
        <v>WB</v>
      </c>
      <c r="M39">
        <v>1</v>
      </c>
    </row>
    <row r="40" spans="1:13" x14ac:dyDescent="0.2">
      <c r="A40">
        <v>39</v>
      </c>
      <c r="B40">
        <v>4</v>
      </c>
      <c r="C40">
        <v>4</v>
      </c>
      <c r="D40" t="s">
        <v>147</v>
      </c>
      <c r="E40" t="str">
        <f t="shared" si="0"/>
        <v>1204WB03PT</v>
      </c>
      <c r="F40">
        <f>VLOOKUP(B40,Course!$A$2:$R$329,2,FALSE)</f>
        <v>0</v>
      </c>
      <c r="G40">
        <f>VLOOKUP(B40, Course!$A$2:$L$150, 8, FALSE)</f>
        <v>12</v>
      </c>
      <c r="H40">
        <v>3</v>
      </c>
      <c r="I40">
        <v>2</v>
      </c>
      <c r="K40" t="s">
        <v>1581</v>
      </c>
      <c r="L40" t="str">
        <f>VLOOKUP(B40, Course!$A$1:$O$133, 14, FALSE)</f>
        <v>WB</v>
      </c>
      <c r="M40">
        <v>1</v>
      </c>
    </row>
    <row r="41" spans="1:13" x14ac:dyDescent="0.2">
      <c r="A41">
        <v>40</v>
      </c>
      <c r="B41">
        <v>4</v>
      </c>
      <c r="C41">
        <v>5</v>
      </c>
      <c r="D41" t="s">
        <v>147</v>
      </c>
      <c r="E41" t="str">
        <f t="shared" si="0"/>
        <v>1205WB03PT</v>
      </c>
      <c r="F41">
        <f>VLOOKUP(B41,Course!$A$2:$R$329,2,FALSE)</f>
        <v>0</v>
      </c>
      <c r="G41">
        <f>VLOOKUP(B41, Course!$A$2:$L$150, 8, FALSE)</f>
        <v>12</v>
      </c>
      <c r="H41">
        <v>3</v>
      </c>
      <c r="I41">
        <v>2</v>
      </c>
      <c r="K41" t="s">
        <v>1581</v>
      </c>
      <c r="L41" t="str">
        <f>VLOOKUP(B41, Course!$A$1:$O$133, 14, FALSE)</f>
        <v>WB</v>
      </c>
      <c r="M41">
        <v>1</v>
      </c>
    </row>
    <row r="42" spans="1:13" x14ac:dyDescent="0.2">
      <c r="A42">
        <v>41</v>
      </c>
      <c r="B42">
        <v>4</v>
      </c>
      <c r="C42">
        <v>6</v>
      </c>
      <c r="D42" t="s">
        <v>147</v>
      </c>
      <c r="E42" t="str">
        <f t="shared" si="0"/>
        <v>1206WB03PT</v>
      </c>
      <c r="F42">
        <f>VLOOKUP(B42,Course!$A$2:$R$329,2,FALSE)</f>
        <v>0</v>
      </c>
      <c r="G42">
        <f>VLOOKUP(B42, Course!$A$2:$L$150, 8, FALSE)</f>
        <v>12</v>
      </c>
      <c r="H42">
        <v>3</v>
      </c>
      <c r="I42">
        <v>2</v>
      </c>
      <c r="K42" t="s">
        <v>1581</v>
      </c>
      <c r="L42" t="str">
        <f>VLOOKUP(B42, Course!$A$1:$O$133, 14, FALSE)</f>
        <v>WB</v>
      </c>
      <c r="M42">
        <v>1</v>
      </c>
    </row>
    <row r="43" spans="1:13" x14ac:dyDescent="0.2">
      <c r="A43">
        <v>42</v>
      </c>
      <c r="B43">
        <v>4</v>
      </c>
      <c r="C43">
        <v>7</v>
      </c>
      <c r="D43" t="s">
        <v>147</v>
      </c>
      <c r="E43" t="str">
        <f t="shared" si="0"/>
        <v>1207WB03PT</v>
      </c>
      <c r="F43">
        <f>VLOOKUP(B43,Course!$A$2:$R$329,2,FALSE)</f>
        <v>0</v>
      </c>
      <c r="G43">
        <f>VLOOKUP(B43, Course!$A$2:$L$150, 8, FALSE)</f>
        <v>12</v>
      </c>
      <c r="H43">
        <v>3</v>
      </c>
      <c r="I43">
        <v>2</v>
      </c>
      <c r="K43" t="s">
        <v>1581</v>
      </c>
      <c r="L43" t="str">
        <f>VLOOKUP(B43, Course!$A$1:$O$133, 14, FALSE)</f>
        <v>WB</v>
      </c>
      <c r="M43">
        <v>1</v>
      </c>
    </row>
    <row r="44" spans="1:13" x14ac:dyDescent="0.2">
      <c r="A44">
        <v>43</v>
      </c>
      <c r="B44">
        <v>4</v>
      </c>
      <c r="C44">
        <v>8</v>
      </c>
      <c r="D44" t="s">
        <v>147</v>
      </c>
      <c r="E44" t="str">
        <f t="shared" si="0"/>
        <v>1208WB03PT</v>
      </c>
      <c r="F44">
        <f>VLOOKUP(B44,Course!$A$2:$R$329,2,FALSE)</f>
        <v>0</v>
      </c>
      <c r="G44">
        <f>VLOOKUP(B44, Course!$A$2:$L$150, 8, FALSE)</f>
        <v>12</v>
      </c>
      <c r="H44">
        <v>3</v>
      </c>
      <c r="I44">
        <v>2</v>
      </c>
      <c r="K44" t="s">
        <v>1581</v>
      </c>
      <c r="L44" t="str">
        <f>VLOOKUP(B44, Course!$A$1:$O$133, 14, FALSE)</f>
        <v>WB</v>
      </c>
      <c r="M44">
        <v>1</v>
      </c>
    </row>
    <row r="45" spans="1:13" x14ac:dyDescent="0.2">
      <c r="A45">
        <v>44</v>
      </c>
      <c r="B45">
        <v>4</v>
      </c>
      <c r="C45">
        <v>9</v>
      </c>
      <c r="D45" t="s">
        <v>147</v>
      </c>
      <c r="E45" t="str">
        <f t="shared" si="0"/>
        <v>1209WB03PT</v>
      </c>
      <c r="F45">
        <f>VLOOKUP(B45,Course!$A$2:$R$329,2,FALSE)</f>
        <v>0</v>
      </c>
      <c r="G45">
        <f>VLOOKUP(B45, Course!$A$2:$L$150, 8, FALSE)</f>
        <v>12</v>
      </c>
      <c r="H45">
        <v>3</v>
      </c>
      <c r="I45">
        <v>2</v>
      </c>
      <c r="K45" t="s">
        <v>1581</v>
      </c>
      <c r="L45" t="str">
        <f>VLOOKUP(B45, Course!$A$1:$O$133, 14, FALSE)</f>
        <v>WB</v>
      </c>
      <c r="M45">
        <v>1</v>
      </c>
    </row>
    <row r="46" spans="1:13" x14ac:dyDescent="0.2">
      <c r="A46">
        <v>45</v>
      </c>
      <c r="B46">
        <v>4</v>
      </c>
      <c r="C46">
        <v>10</v>
      </c>
      <c r="D46" t="s">
        <v>147</v>
      </c>
      <c r="E46" t="str">
        <f t="shared" si="0"/>
        <v>1210WB03PT</v>
      </c>
      <c r="F46">
        <f>VLOOKUP(B46,Course!$A$2:$R$329,2,FALSE)</f>
        <v>0</v>
      </c>
      <c r="G46">
        <f>VLOOKUP(B46, Course!$A$2:$L$150, 8, FALSE)</f>
        <v>12</v>
      </c>
      <c r="H46">
        <v>3</v>
      </c>
      <c r="I46">
        <v>2</v>
      </c>
      <c r="K46" t="s">
        <v>1581</v>
      </c>
      <c r="L46" t="str">
        <f>VLOOKUP(B46, Course!$A$1:$O$133, 14, FALSE)</f>
        <v>WB</v>
      </c>
      <c r="M46">
        <v>1</v>
      </c>
    </row>
    <row r="47" spans="1:13" x14ac:dyDescent="0.2">
      <c r="A47">
        <v>46</v>
      </c>
      <c r="B47">
        <v>4</v>
      </c>
      <c r="C47">
        <v>11</v>
      </c>
      <c r="D47" t="s">
        <v>147</v>
      </c>
      <c r="E47" t="str">
        <f t="shared" si="0"/>
        <v>1211WB03PT</v>
      </c>
      <c r="F47">
        <f>VLOOKUP(B47,Course!$A$2:$R$329,2,FALSE)</f>
        <v>0</v>
      </c>
      <c r="G47">
        <f>VLOOKUP(B47, Course!$A$2:$L$150, 8, FALSE)</f>
        <v>12</v>
      </c>
      <c r="H47">
        <v>3</v>
      </c>
      <c r="I47">
        <v>2</v>
      </c>
      <c r="K47" t="s">
        <v>1581</v>
      </c>
      <c r="L47" t="str">
        <f>VLOOKUP(B47, Course!$A$1:$O$133, 14, FALSE)</f>
        <v>WB</v>
      </c>
      <c r="M47">
        <v>1</v>
      </c>
    </row>
    <row r="48" spans="1:13" x14ac:dyDescent="0.2">
      <c r="A48">
        <v>47</v>
      </c>
      <c r="B48">
        <v>4</v>
      </c>
      <c r="C48">
        <v>12</v>
      </c>
      <c r="D48" t="s">
        <v>147</v>
      </c>
      <c r="E48" t="str">
        <f t="shared" si="0"/>
        <v>1212WB03PT</v>
      </c>
      <c r="F48">
        <f>VLOOKUP(B48,Course!$A$2:$R$329,2,FALSE)</f>
        <v>0</v>
      </c>
      <c r="G48">
        <f>VLOOKUP(B48, Course!$A$2:$L$150, 8, FALSE)</f>
        <v>12</v>
      </c>
      <c r="H48">
        <v>3</v>
      </c>
      <c r="I48">
        <v>2</v>
      </c>
      <c r="K48" t="s">
        <v>1581</v>
      </c>
      <c r="L48" t="str">
        <f>VLOOKUP(B48, Course!$A$1:$O$133, 14, FALSE)</f>
        <v>WB</v>
      </c>
      <c r="M48">
        <v>1</v>
      </c>
    </row>
    <row r="49" spans="1:13" x14ac:dyDescent="0.2">
      <c r="A49">
        <v>48</v>
      </c>
      <c r="B49">
        <v>5</v>
      </c>
      <c r="C49">
        <v>1</v>
      </c>
      <c r="D49" t="s">
        <v>227</v>
      </c>
      <c r="E49" t="str">
        <f t="shared" si="0"/>
        <v>1201LC03PT</v>
      </c>
      <c r="F49">
        <f>VLOOKUP(B49,Course!$A$2:$R$329,2,FALSE)</f>
        <v>0</v>
      </c>
      <c r="G49">
        <f>VLOOKUP(B49, Course!$A$2:$L$150, 8, FALSE)</f>
        <v>12</v>
      </c>
      <c r="H49">
        <v>3</v>
      </c>
      <c r="I49">
        <v>2</v>
      </c>
      <c r="K49" t="s">
        <v>1581</v>
      </c>
      <c r="L49" t="str">
        <f>VLOOKUP(B49, Course!$A$1:$O$133, 14, FALSE)</f>
        <v>LC</v>
      </c>
      <c r="M49">
        <v>1</v>
      </c>
    </row>
    <row r="50" spans="1:13" x14ac:dyDescent="0.2">
      <c r="A50">
        <v>49</v>
      </c>
      <c r="B50">
        <v>5</v>
      </c>
      <c r="C50">
        <v>2</v>
      </c>
      <c r="D50" t="s">
        <v>227</v>
      </c>
      <c r="E50" t="str">
        <f t="shared" si="0"/>
        <v>1202LC03PT</v>
      </c>
      <c r="F50">
        <f>VLOOKUP(B50,Course!$A$2:$R$329,2,FALSE)</f>
        <v>0</v>
      </c>
      <c r="G50">
        <f>VLOOKUP(B50, Course!$A$2:$L$150, 8, FALSE)</f>
        <v>12</v>
      </c>
      <c r="H50">
        <v>3</v>
      </c>
      <c r="I50">
        <v>2</v>
      </c>
      <c r="K50" t="s">
        <v>1581</v>
      </c>
      <c r="L50" t="str">
        <f>VLOOKUP(B50, Course!$A$1:$O$133, 14, FALSE)</f>
        <v>LC</v>
      </c>
      <c r="M50">
        <v>1</v>
      </c>
    </row>
    <row r="51" spans="1:13" x14ac:dyDescent="0.2">
      <c r="A51">
        <v>50</v>
      </c>
      <c r="B51">
        <v>5</v>
      </c>
      <c r="C51">
        <v>3</v>
      </c>
      <c r="D51" t="s">
        <v>227</v>
      </c>
      <c r="E51" t="str">
        <f t="shared" si="0"/>
        <v>1203LC03PT</v>
      </c>
      <c r="F51">
        <f>VLOOKUP(B51,Course!$A$2:$R$329,2,FALSE)</f>
        <v>0</v>
      </c>
      <c r="G51">
        <f>VLOOKUP(B51, Course!$A$2:$L$150, 8, FALSE)</f>
        <v>12</v>
      </c>
      <c r="H51">
        <v>3</v>
      </c>
      <c r="I51">
        <v>2</v>
      </c>
      <c r="K51" t="s">
        <v>1581</v>
      </c>
      <c r="L51" t="str">
        <f>VLOOKUP(B51, Course!$A$1:$O$133, 14, FALSE)</f>
        <v>LC</v>
      </c>
      <c r="M51">
        <v>1</v>
      </c>
    </row>
    <row r="52" spans="1:13" x14ac:dyDescent="0.2">
      <c r="A52">
        <v>51</v>
      </c>
      <c r="B52">
        <v>5</v>
      </c>
      <c r="C52">
        <v>4</v>
      </c>
      <c r="D52" t="s">
        <v>227</v>
      </c>
      <c r="E52" t="str">
        <f t="shared" si="0"/>
        <v>1204LC03PT</v>
      </c>
      <c r="F52">
        <f>VLOOKUP(B52,Course!$A$2:$R$329,2,FALSE)</f>
        <v>0</v>
      </c>
      <c r="G52">
        <f>VLOOKUP(B52, Course!$A$2:$L$150, 8, FALSE)</f>
        <v>12</v>
      </c>
      <c r="H52">
        <v>3</v>
      </c>
      <c r="I52">
        <v>2</v>
      </c>
      <c r="K52" t="s">
        <v>1581</v>
      </c>
      <c r="L52" t="str">
        <f>VLOOKUP(B52, Course!$A$1:$O$133, 14, FALSE)</f>
        <v>LC</v>
      </c>
      <c r="M52">
        <v>1</v>
      </c>
    </row>
    <row r="53" spans="1:13" x14ac:dyDescent="0.2">
      <c r="A53">
        <v>52</v>
      </c>
      <c r="B53">
        <v>5</v>
      </c>
      <c r="C53">
        <v>5</v>
      </c>
      <c r="D53" t="s">
        <v>227</v>
      </c>
      <c r="E53" t="str">
        <f t="shared" si="0"/>
        <v>1205LC03PT</v>
      </c>
      <c r="F53">
        <f>VLOOKUP(B53,Course!$A$2:$R$329,2,FALSE)</f>
        <v>0</v>
      </c>
      <c r="G53">
        <f>VLOOKUP(B53, Course!$A$2:$L$150, 8, FALSE)</f>
        <v>12</v>
      </c>
      <c r="H53">
        <v>3</v>
      </c>
      <c r="I53">
        <v>2</v>
      </c>
      <c r="K53" t="s">
        <v>1581</v>
      </c>
      <c r="L53" t="str">
        <f>VLOOKUP(B53, Course!$A$1:$O$133, 14, FALSE)</f>
        <v>LC</v>
      </c>
      <c r="M53">
        <v>1</v>
      </c>
    </row>
    <row r="54" spans="1:13" x14ac:dyDescent="0.2">
      <c r="A54">
        <v>53</v>
      </c>
      <c r="B54">
        <v>5</v>
      </c>
      <c r="C54">
        <v>6</v>
      </c>
      <c r="D54" t="s">
        <v>227</v>
      </c>
      <c r="E54" t="str">
        <f t="shared" si="0"/>
        <v>1206LC03PT</v>
      </c>
      <c r="F54">
        <f>VLOOKUP(B54,Course!$A$2:$R$329,2,FALSE)</f>
        <v>0</v>
      </c>
      <c r="G54">
        <f>VLOOKUP(B54, Course!$A$2:$L$150, 8, FALSE)</f>
        <v>12</v>
      </c>
      <c r="H54">
        <v>3</v>
      </c>
      <c r="I54">
        <v>2</v>
      </c>
      <c r="K54" t="s">
        <v>1581</v>
      </c>
      <c r="L54" t="str">
        <f>VLOOKUP(B54, Course!$A$1:$O$133, 14, FALSE)</f>
        <v>LC</v>
      </c>
      <c r="M54">
        <v>1</v>
      </c>
    </row>
    <row r="55" spans="1:13" x14ac:dyDescent="0.2">
      <c r="A55">
        <v>54</v>
      </c>
      <c r="B55">
        <v>5</v>
      </c>
      <c r="C55">
        <v>7</v>
      </c>
      <c r="D55" t="s">
        <v>227</v>
      </c>
      <c r="E55" t="str">
        <f t="shared" si="0"/>
        <v>1207LC03PT</v>
      </c>
      <c r="F55">
        <f>VLOOKUP(B55,Course!$A$2:$R$329,2,FALSE)</f>
        <v>0</v>
      </c>
      <c r="G55">
        <f>VLOOKUP(B55, Course!$A$2:$L$150, 8, FALSE)</f>
        <v>12</v>
      </c>
      <c r="H55">
        <v>3</v>
      </c>
      <c r="I55">
        <v>2</v>
      </c>
      <c r="K55" t="s">
        <v>1581</v>
      </c>
      <c r="L55" t="str">
        <f>VLOOKUP(B55, Course!$A$1:$O$133, 14, FALSE)</f>
        <v>LC</v>
      </c>
      <c r="M55">
        <v>1</v>
      </c>
    </row>
    <row r="56" spans="1:13" x14ac:dyDescent="0.2">
      <c r="A56">
        <v>55</v>
      </c>
      <c r="B56">
        <v>5</v>
      </c>
      <c r="C56">
        <v>8</v>
      </c>
      <c r="D56" t="s">
        <v>227</v>
      </c>
      <c r="E56" t="str">
        <f t="shared" si="0"/>
        <v>1208LC03PT</v>
      </c>
      <c r="F56">
        <f>VLOOKUP(B56,Course!$A$2:$R$329,2,FALSE)</f>
        <v>0</v>
      </c>
      <c r="G56">
        <f>VLOOKUP(B56, Course!$A$2:$L$150, 8, FALSE)</f>
        <v>12</v>
      </c>
      <c r="H56">
        <v>3</v>
      </c>
      <c r="I56">
        <v>2</v>
      </c>
      <c r="K56" t="s">
        <v>1581</v>
      </c>
      <c r="L56" t="str">
        <f>VLOOKUP(B56, Course!$A$1:$O$133, 14, FALSE)</f>
        <v>LC</v>
      </c>
      <c r="M56">
        <v>1</v>
      </c>
    </row>
    <row r="57" spans="1:13" x14ac:dyDescent="0.2">
      <c r="A57">
        <v>56</v>
      </c>
      <c r="B57">
        <v>5</v>
      </c>
      <c r="C57">
        <v>9</v>
      </c>
      <c r="D57" t="s">
        <v>227</v>
      </c>
      <c r="E57" t="str">
        <f t="shared" si="0"/>
        <v>1209LC03PT</v>
      </c>
      <c r="F57">
        <f>VLOOKUP(B57,Course!$A$2:$R$329,2,FALSE)</f>
        <v>0</v>
      </c>
      <c r="G57">
        <f>VLOOKUP(B57, Course!$A$2:$L$150, 8, FALSE)</f>
        <v>12</v>
      </c>
      <c r="H57">
        <v>3</v>
      </c>
      <c r="I57">
        <v>2</v>
      </c>
      <c r="K57" t="s">
        <v>1581</v>
      </c>
      <c r="L57" t="str">
        <f>VLOOKUP(B57, Course!$A$1:$O$133, 14, FALSE)</f>
        <v>LC</v>
      </c>
      <c r="M57">
        <v>1</v>
      </c>
    </row>
    <row r="58" spans="1:13" x14ac:dyDescent="0.2">
      <c r="A58">
        <v>57</v>
      </c>
      <c r="B58">
        <v>5</v>
      </c>
      <c r="C58">
        <v>10</v>
      </c>
      <c r="D58" t="s">
        <v>227</v>
      </c>
      <c r="E58" t="str">
        <f t="shared" si="0"/>
        <v>1210LC03PT</v>
      </c>
      <c r="F58">
        <f>VLOOKUP(B58,Course!$A$2:$R$329,2,FALSE)</f>
        <v>0</v>
      </c>
      <c r="G58">
        <f>VLOOKUP(B58, Course!$A$2:$L$150, 8, FALSE)</f>
        <v>12</v>
      </c>
      <c r="H58">
        <v>3</v>
      </c>
      <c r="I58">
        <v>2</v>
      </c>
      <c r="K58" t="s">
        <v>1581</v>
      </c>
      <c r="L58" t="str">
        <f>VLOOKUP(B58, Course!$A$1:$O$133, 14, FALSE)</f>
        <v>LC</v>
      </c>
      <c r="M58">
        <v>1</v>
      </c>
    </row>
    <row r="59" spans="1:13" x14ac:dyDescent="0.2">
      <c r="A59">
        <v>58</v>
      </c>
      <c r="B59">
        <v>5</v>
      </c>
      <c r="C59">
        <v>11</v>
      </c>
      <c r="D59" t="s">
        <v>227</v>
      </c>
      <c r="E59" t="str">
        <f t="shared" si="0"/>
        <v>1211LC03PT</v>
      </c>
      <c r="F59">
        <f>VLOOKUP(B59,Course!$A$2:$R$329,2,FALSE)</f>
        <v>0</v>
      </c>
      <c r="G59">
        <f>VLOOKUP(B59, Course!$A$2:$L$150, 8, FALSE)</f>
        <v>12</v>
      </c>
      <c r="H59">
        <v>3</v>
      </c>
      <c r="I59">
        <v>2</v>
      </c>
      <c r="K59" t="s">
        <v>1581</v>
      </c>
      <c r="L59" t="str">
        <f>VLOOKUP(B59, Course!$A$1:$O$133, 14, FALSE)</f>
        <v>LC</v>
      </c>
      <c r="M59">
        <v>1</v>
      </c>
    </row>
    <row r="60" spans="1:13" x14ac:dyDescent="0.2">
      <c r="A60">
        <v>59</v>
      </c>
      <c r="B60">
        <v>5</v>
      </c>
      <c r="C60">
        <v>12</v>
      </c>
      <c r="D60" t="s">
        <v>227</v>
      </c>
      <c r="E60" t="str">
        <f t="shared" si="0"/>
        <v>1212LC03PT</v>
      </c>
      <c r="F60">
        <f>VLOOKUP(B60,Course!$A$2:$R$329,2,FALSE)</f>
        <v>0</v>
      </c>
      <c r="G60">
        <f>VLOOKUP(B60, Course!$A$2:$L$150, 8, FALSE)</f>
        <v>12</v>
      </c>
      <c r="H60">
        <v>3</v>
      </c>
      <c r="I60">
        <v>2</v>
      </c>
      <c r="K60" t="s">
        <v>1581</v>
      </c>
      <c r="L60" t="str">
        <f>VLOOKUP(B60, Course!$A$1:$O$133, 14, FALSE)</f>
        <v>LC</v>
      </c>
      <c r="M60">
        <v>1</v>
      </c>
    </row>
    <row r="61" spans="1:13" x14ac:dyDescent="0.2">
      <c r="A61">
        <v>60</v>
      </c>
      <c r="B61">
        <v>6</v>
      </c>
      <c r="C61">
        <v>1</v>
      </c>
      <c r="D61" t="s">
        <v>153</v>
      </c>
      <c r="E61" t="str">
        <f t="shared" si="0"/>
        <v>1201SC03PT</v>
      </c>
      <c r="F61">
        <f>VLOOKUP(B61,Course!$A$2:$R$329,2,FALSE)</f>
        <v>0</v>
      </c>
      <c r="G61">
        <f>VLOOKUP(B61, Course!$A$2:$L$150, 8, FALSE)</f>
        <v>12</v>
      </c>
      <c r="H61">
        <v>3</v>
      </c>
      <c r="I61">
        <v>2</v>
      </c>
      <c r="K61" t="s">
        <v>1581</v>
      </c>
      <c r="L61" t="str">
        <f>VLOOKUP(B61, Course!$A$1:$O$133, 14, FALSE)</f>
        <v>SC</v>
      </c>
      <c r="M61">
        <v>1</v>
      </c>
    </row>
    <row r="62" spans="1:13" x14ac:dyDescent="0.2">
      <c r="A62">
        <v>61</v>
      </c>
      <c r="B62">
        <v>6</v>
      </c>
      <c r="C62">
        <v>2</v>
      </c>
      <c r="D62" t="s">
        <v>153</v>
      </c>
      <c r="E62" t="str">
        <f t="shared" si="0"/>
        <v>1202SC03PT</v>
      </c>
      <c r="F62">
        <f>VLOOKUP(B62,Course!$A$2:$R$329,2,FALSE)</f>
        <v>0</v>
      </c>
      <c r="G62">
        <f>VLOOKUP(B62, Course!$A$2:$L$150, 8, FALSE)</f>
        <v>12</v>
      </c>
      <c r="H62">
        <v>3</v>
      </c>
      <c r="I62">
        <v>2</v>
      </c>
      <c r="K62" t="s">
        <v>1581</v>
      </c>
      <c r="L62" t="str">
        <f>VLOOKUP(B62, Course!$A$1:$O$133, 14, FALSE)</f>
        <v>SC</v>
      </c>
      <c r="M62">
        <v>1</v>
      </c>
    </row>
    <row r="63" spans="1:13" x14ac:dyDescent="0.2">
      <c r="A63">
        <v>62</v>
      </c>
      <c r="B63">
        <v>6</v>
      </c>
      <c r="C63">
        <v>3</v>
      </c>
      <c r="D63" t="s">
        <v>153</v>
      </c>
      <c r="E63" t="str">
        <f t="shared" si="0"/>
        <v>1203SC03PT</v>
      </c>
      <c r="F63">
        <f>VLOOKUP(B63,Course!$A$2:$R$329,2,FALSE)</f>
        <v>0</v>
      </c>
      <c r="G63">
        <f>VLOOKUP(B63, Course!$A$2:$L$150, 8, FALSE)</f>
        <v>12</v>
      </c>
      <c r="H63">
        <v>3</v>
      </c>
      <c r="I63">
        <v>2</v>
      </c>
      <c r="K63" t="s">
        <v>1581</v>
      </c>
      <c r="L63" t="str">
        <f>VLOOKUP(B63, Course!$A$1:$O$133, 14, FALSE)</f>
        <v>SC</v>
      </c>
      <c r="M63">
        <v>1</v>
      </c>
    </row>
    <row r="64" spans="1:13" x14ac:dyDescent="0.2">
      <c r="A64">
        <v>63</v>
      </c>
      <c r="B64">
        <v>6</v>
      </c>
      <c r="C64">
        <v>4</v>
      </c>
      <c r="D64" t="s">
        <v>153</v>
      </c>
      <c r="E64" t="str">
        <f t="shared" si="0"/>
        <v>1204SC03PT</v>
      </c>
      <c r="F64">
        <f>VLOOKUP(B64,Course!$A$2:$R$329,2,FALSE)</f>
        <v>0</v>
      </c>
      <c r="G64">
        <f>VLOOKUP(B64, Course!$A$2:$L$150, 8, FALSE)</f>
        <v>12</v>
      </c>
      <c r="H64">
        <v>3</v>
      </c>
      <c r="I64">
        <v>2</v>
      </c>
      <c r="K64" t="s">
        <v>1581</v>
      </c>
      <c r="L64" t="str">
        <f>VLOOKUP(B64, Course!$A$1:$O$133, 14, FALSE)</f>
        <v>SC</v>
      </c>
      <c r="M64">
        <v>1</v>
      </c>
    </row>
    <row r="65" spans="1:13" x14ac:dyDescent="0.2">
      <c r="A65">
        <v>64</v>
      </c>
      <c r="B65">
        <v>6</v>
      </c>
      <c r="C65">
        <v>5</v>
      </c>
      <c r="D65" t="s">
        <v>153</v>
      </c>
      <c r="E65" t="str">
        <f t="shared" si="0"/>
        <v>1205SC03PT</v>
      </c>
      <c r="F65">
        <f>VLOOKUP(B65,Course!$A$2:$R$329,2,FALSE)</f>
        <v>0</v>
      </c>
      <c r="G65">
        <f>VLOOKUP(B65, Course!$A$2:$L$150, 8, FALSE)</f>
        <v>12</v>
      </c>
      <c r="H65">
        <v>3</v>
      </c>
      <c r="I65">
        <v>2</v>
      </c>
      <c r="K65" t="s">
        <v>1581</v>
      </c>
      <c r="L65" t="str">
        <f>VLOOKUP(B65, Course!$A$1:$O$133, 14, FALSE)</f>
        <v>SC</v>
      </c>
      <c r="M65">
        <v>1</v>
      </c>
    </row>
    <row r="66" spans="1:13" x14ac:dyDescent="0.2">
      <c r="A66">
        <v>65</v>
      </c>
      <c r="B66">
        <v>6</v>
      </c>
      <c r="C66">
        <v>6</v>
      </c>
      <c r="D66" t="s">
        <v>153</v>
      </c>
      <c r="E66" t="str">
        <f t="shared" ref="E66:E129" si="1">UPPER(LEFT(G66,2)) &amp; RIGHT("0" &amp; C66, 2) &amp; D66 &amp; RIGHT("0" &amp; H66, 2) &amp; K66</f>
        <v>1206SC03PT</v>
      </c>
      <c r="F66">
        <f>VLOOKUP(B66,Course!$A$2:$R$329,2,FALSE)</f>
        <v>0</v>
      </c>
      <c r="G66">
        <f>VLOOKUP(B66, Course!$A$2:$L$150, 8, FALSE)</f>
        <v>12</v>
      </c>
      <c r="H66">
        <v>3</v>
      </c>
      <c r="I66">
        <v>2</v>
      </c>
      <c r="K66" t="s">
        <v>1581</v>
      </c>
      <c r="L66" t="str">
        <f>VLOOKUP(B66, Course!$A$1:$O$133, 14, FALSE)</f>
        <v>SC</v>
      </c>
      <c r="M66">
        <v>1</v>
      </c>
    </row>
    <row r="67" spans="1:13" x14ac:dyDescent="0.2">
      <c r="A67">
        <v>66</v>
      </c>
      <c r="B67">
        <v>6</v>
      </c>
      <c r="C67">
        <v>7</v>
      </c>
      <c r="D67" t="s">
        <v>153</v>
      </c>
      <c r="E67" t="str">
        <f t="shared" si="1"/>
        <v>1207SC03PT</v>
      </c>
      <c r="F67">
        <f>VLOOKUP(B67,Course!$A$2:$R$329,2,FALSE)</f>
        <v>0</v>
      </c>
      <c r="G67">
        <f>VLOOKUP(B67, Course!$A$2:$L$150, 8, FALSE)</f>
        <v>12</v>
      </c>
      <c r="H67">
        <v>3</v>
      </c>
      <c r="I67">
        <v>2</v>
      </c>
      <c r="K67" t="s">
        <v>1581</v>
      </c>
      <c r="L67" t="str">
        <f>VLOOKUP(B67, Course!$A$1:$O$133, 14, FALSE)</f>
        <v>SC</v>
      </c>
      <c r="M67">
        <v>1</v>
      </c>
    </row>
    <row r="68" spans="1:13" x14ac:dyDescent="0.2">
      <c r="A68">
        <v>67</v>
      </c>
      <c r="B68">
        <v>6</v>
      </c>
      <c r="C68">
        <v>8</v>
      </c>
      <c r="D68" t="s">
        <v>153</v>
      </c>
      <c r="E68" t="str">
        <f t="shared" si="1"/>
        <v>1208SC03PT</v>
      </c>
      <c r="F68">
        <f>VLOOKUP(B68,Course!$A$2:$R$329,2,FALSE)</f>
        <v>0</v>
      </c>
      <c r="G68">
        <f>VLOOKUP(B68, Course!$A$2:$L$150, 8, FALSE)</f>
        <v>12</v>
      </c>
      <c r="H68">
        <v>3</v>
      </c>
      <c r="I68">
        <v>2</v>
      </c>
      <c r="K68" t="s">
        <v>1581</v>
      </c>
      <c r="L68" t="str">
        <f>VLOOKUP(B68, Course!$A$1:$O$133, 14, FALSE)</f>
        <v>SC</v>
      </c>
      <c r="M68">
        <v>1</v>
      </c>
    </row>
    <row r="69" spans="1:13" x14ac:dyDescent="0.2">
      <c r="A69">
        <v>68</v>
      </c>
      <c r="B69">
        <v>6</v>
      </c>
      <c r="C69">
        <v>9</v>
      </c>
      <c r="D69" t="s">
        <v>153</v>
      </c>
      <c r="E69" t="str">
        <f t="shared" si="1"/>
        <v>1209SC03PT</v>
      </c>
      <c r="F69">
        <f>VLOOKUP(B69,Course!$A$2:$R$329,2,FALSE)</f>
        <v>0</v>
      </c>
      <c r="G69">
        <f>VLOOKUP(B69, Course!$A$2:$L$150, 8, FALSE)</f>
        <v>12</v>
      </c>
      <c r="H69">
        <v>3</v>
      </c>
      <c r="I69">
        <v>2</v>
      </c>
      <c r="K69" t="s">
        <v>1581</v>
      </c>
      <c r="L69" t="str">
        <f>VLOOKUP(B69, Course!$A$1:$O$133, 14, FALSE)</f>
        <v>SC</v>
      </c>
      <c r="M69">
        <v>1</v>
      </c>
    </row>
    <row r="70" spans="1:13" x14ac:dyDescent="0.2">
      <c r="A70">
        <v>69</v>
      </c>
      <c r="B70">
        <v>6</v>
      </c>
      <c r="C70">
        <v>10</v>
      </c>
      <c r="D70" t="s">
        <v>153</v>
      </c>
      <c r="E70" t="str">
        <f t="shared" si="1"/>
        <v>1210SC03PT</v>
      </c>
      <c r="F70">
        <f>VLOOKUP(B70,Course!$A$2:$R$329,2,FALSE)</f>
        <v>0</v>
      </c>
      <c r="G70">
        <f>VLOOKUP(B70, Course!$A$2:$L$150, 8, FALSE)</f>
        <v>12</v>
      </c>
      <c r="H70">
        <v>3</v>
      </c>
      <c r="I70">
        <v>2</v>
      </c>
      <c r="K70" t="s">
        <v>1581</v>
      </c>
      <c r="L70" t="str">
        <f>VLOOKUP(B70, Course!$A$1:$O$133, 14, FALSE)</f>
        <v>SC</v>
      </c>
      <c r="M70">
        <v>1</v>
      </c>
    </row>
    <row r="71" spans="1:13" x14ac:dyDescent="0.2">
      <c r="A71">
        <v>70</v>
      </c>
      <c r="B71">
        <v>6</v>
      </c>
      <c r="C71">
        <v>11</v>
      </c>
      <c r="D71" t="s">
        <v>153</v>
      </c>
      <c r="E71" t="str">
        <f t="shared" si="1"/>
        <v>1211SC03PT</v>
      </c>
      <c r="F71">
        <f>VLOOKUP(B71,Course!$A$2:$R$329,2,FALSE)</f>
        <v>0</v>
      </c>
      <c r="G71">
        <f>VLOOKUP(B71, Course!$A$2:$L$150, 8, FALSE)</f>
        <v>12</v>
      </c>
      <c r="H71">
        <v>3</v>
      </c>
      <c r="I71">
        <v>2</v>
      </c>
      <c r="K71" t="s">
        <v>1581</v>
      </c>
      <c r="L71" t="str">
        <f>VLOOKUP(B71, Course!$A$1:$O$133, 14, FALSE)</f>
        <v>SC</v>
      </c>
      <c r="M71">
        <v>1</v>
      </c>
    </row>
    <row r="72" spans="1:13" x14ac:dyDescent="0.2">
      <c r="A72">
        <v>71</v>
      </c>
      <c r="B72">
        <v>6</v>
      </c>
      <c r="C72">
        <v>12</v>
      </c>
      <c r="D72" t="s">
        <v>153</v>
      </c>
      <c r="E72" t="str">
        <f t="shared" si="1"/>
        <v>1212SC03PT</v>
      </c>
      <c r="F72">
        <f>VLOOKUP(B72,Course!$A$2:$R$329,2,FALSE)</f>
        <v>0</v>
      </c>
      <c r="G72">
        <f>VLOOKUP(B72, Course!$A$2:$L$150, 8, FALSE)</f>
        <v>12</v>
      </c>
      <c r="H72">
        <v>3</v>
      </c>
      <c r="I72">
        <v>2</v>
      </c>
      <c r="K72" t="s">
        <v>1581</v>
      </c>
      <c r="L72" t="str">
        <f>VLOOKUP(B72, Course!$A$1:$O$133, 14, FALSE)</f>
        <v>SC</v>
      </c>
      <c r="M72">
        <v>1</v>
      </c>
    </row>
    <row r="73" spans="1:13" x14ac:dyDescent="0.2">
      <c r="A73">
        <v>72</v>
      </c>
      <c r="B73">
        <v>7</v>
      </c>
      <c r="C73">
        <v>1</v>
      </c>
      <c r="D73" t="s">
        <v>156</v>
      </c>
      <c r="E73" t="str">
        <f t="shared" si="1"/>
        <v>1201SS03PT</v>
      </c>
      <c r="F73">
        <f>VLOOKUP(B73,Course!$A$2:$R$329,2,FALSE)</f>
        <v>0</v>
      </c>
      <c r="G73">
        <f>VLOOKUP(B73, Course!$A$2:$L$150, 8, FALSE)</f>
        <v>12</v>
      </c>
      <c r="H73">
        <v>3</v>
      </c>
      <c r="I73">
        <v>2</v>
      </c>
      <c r="K73" t="s">
        <v>1581</v>
      </c>
      <c r="L73" t="str">
        <f>VLOOKUP(B73, Course!$A$1:$O$133, 14, FALSE)</f>
        <v>SS</v>
      </c>
      <c r="M73">
        <v>1</v>
      </c>
    </row>
    <row r="74" spans="1:13" x14ac:dyDescent="0.2">
      <c r="A74">
        <v>73</v>
      </c>
      <c r="B74">
        <v>7</v>
      </c>
      <c r="C74">
        <v>2</v>
      </c>
      <c r="D74" t="s">
        <v>156</v>
      </c>
      <c r="E74" t="str">
        <f t="shared" si="1"/>
        <v>1202SS03PT</v>
      </c>
      <c r="F74">
        <f>VLOOKUP(B74,Course!$A$2:$R$329,2,FALSE)</f>
        <v>0</v>
      </c>
      <c r="G74">
        <f>VLOOKUP(B74, Course!$A$2:$L$150, 8, FALSE)</f>
        <v>12</v>
      </c>
      <c r="H74">
        <v>3</v>
      </c>
      <c r="I74">
        <v>2</v>
      </c>
      <c r="K74" t="s">
        <v>1581</v>
      </c>
      <c r="L74" t="str">
        <f>VLOOKUP(B74, Course!$A$1:$O$133, 14, FALSE)</f>
        <v>SS</v>
      </c>
      <c r="M74">
        <v>1</v>
      </c>
    </row>
    <row r="75" spans="1:13" x14ac:dyDescent="0.2">
      <c r="A75">
        <v>74</v>
      </c>
      <c r="B75">
        <v>7</v>
      </c>
      <c r="C75">
        <v>3</v>
      </c>
      <c r="D75" t="s">
        <v>156</v>
      </c>
      <c r="E75" t="str">
        <f t="shared" si="1"/>
        <v>1203SS03PT</v>
      </c>
      <c r="F75">
        <f>VLOOKUP(B75,Course!$A$2:$R$329,2,FALSE)</f>
        <v>0</v>
      </c>
      <c r="G75">
        <f>VLOOKUP(B75, Course!$A$2:$L$150, 8, FALSE)</f>
        <v>12</v>
      </c>
      <c r="H75">
        <v>3</v>
      </c>
      <c r="I75">
        <v>2</v>
      </c>
      <c r="K75" t="s">
        <v>1581</v>
      </c>
      <c r="L75" t="str">
        <f>VLOOKUP(B75, Course!$A$1:$O$133, 14, FALSE)</f>
        <v>SS</v>
      </c>
      <c r="M75">
        <v>1</v>
      </c>
    </row>
    <row r="76" spans="1:13" x14ac:dyDescent="0.2">
      <c r="A76">
        <v>75</v>
      </c>
      <c r="B76">
        <v>7</v>
      </c>
      <c r="C76">
        <v>4</v>
      </c>
      <c r="D76" t="s">
        <v>156</v>
      </c>
      <c r="E76" t="str">
        <f t="shared" si="1"/>
        <v>1204SS03PT</v>
      </c>
      <c r="F76">
        <f>VLOOKUP(B76,Course!$A$2:$R$329,2,FALSE)</f>
        <v>0</v>
      </c>
      <c r="G76">
        <f>VLOOKUP(B76, Course!$A$2:$L$150, 8, FALSE)</f>
        <v>12</v>
      </c>
      <c r="H76">
        <v>3</v>
      </c>
      <c r="I76">
        <v>2</v>
      </c>
      <c r="K76" t="s">
        <v>1581</v>
      </c>
      <c r="L76" t="str">
        <f>VLOOKUP(B76, Course!$A$1:$O$133, 14, FALSE)</f>
        <v>SS</v>
      </c>
      <c r="M76">
        <v>1</v>
      </c>
    </row>
    <row r="77" spans="1:13" x14ac:dyDescent="0.2">
      <c r="A77">
        <v>76</v>
      </c>
      <c r="B77">
        <v>7</v>
      </c>
      <c r="C77">
        <v>5</v>
      </c>
      <c r="D77" t="s">
        <v>156</v>
      </c>
      <c r="E77" t="str">
        <f t="shared" si="1"/>
        <v>1205SS03PT</v>
      </c>
      <c r="F77">
        <f>VLOOKUP(B77,Course!$A$2:$R$329,2,FALSE)</f>
        <v>0</v>
      </c>
      <c r="G77">
        <f>VLOOKUP(B77, Course!$A$2:$L$150, 8, FALSE)</f>
        <v>12</v>
      </c>
      <c r="H77">
        <v>3</v>
      </c>
      <c r="I77">
        <v>2</v>
      </c>
      <c r="K77" t="s">
        <v>1581</v>
      </c>
      <c r="L77" t="str">
        <f>VLOOKUP(B77, Course!$A$1:$O$133, 14, FALSE)</f>
        <v>SS</v>
      </c>
      <c r="M77">
        <v>1</v>
      </c>
    </row>
    <row r="78" spans="1:13" x14ac:dyDescent="0.2">
      <c r="A78">
        <v>77</v>
      </c>
      <c r="B78">
        <v>7</v>
      </c>
      <c r="C78">
        <v>6</v>
      </c>
      <c r="D78" t="s">
        <v>156</v>
      </c>
      <c r="E78" t="str">
        <f t="shared" si="1"/>
        <v>1206SS03PT</v>
      </c>
      <c r="F78">
        <f>VLOOKUP(B78,Course!$A$2:$R$329,2,FALSE)</f>
        <v>0</v>
      </c>
      <c r="G78">
        <f>VLOOKUP(B78, Course!$A$2:$L$150, 8, FALSE)</f>
        <v>12</v>
      </c>
      <c r="H78">
        <v>3</v>
      </c>
      <c r="I78">
        <v>2</v>
      </c>
      <c r="K78" t="s">
        <v>1581</v>
      </c>
      <c r="L78" t="str">
        <f>VLOOKUP(B78, Course!$A$1:$O$133, 14, FALSE)</f>
        <v>SS</v>
      </c>
      <c r="M78">
        <v>1</v>
      </c>
    </row>
    <row r="79" spans="1:13" x14ac:dyDescent="0.2">
      <c r="A79">
        <v>78</v>
      </c>
      <c r="B79">
        <v>7</v>
      </c>
      <c r="C79">
        <v>7</v>
      </c>
      <c r="D79" t="s">
        <v>156</v>
      </c>
      <c r="E79" t="str">
        <f t="shared" si="1"/>
        <v>1207SS03PT</v>
      </c>
      <c r="F79">
        <f>VLOOKUP(B79,Course!$A$2:$R$329,2,FALSE)</f>
        <v>0</v>
      </c>
      <c r="G79">
        <f>VLOOKUP(B79, Course!$A$2:$L$150, 8, FALSE)</f>
        <v>12</v>
      </c>
      <c r="H79">
        <v>3</v>
      </c>
      <c r="I79">
        <v>2</v>
      </c>
      <c r="K79" t="s">
        <v>1581</v>
      </c>
      <c r="L79" t="str">
        <f>VLOOKUP(B79, Course!$A$1:$O$133, 14, FALSE)</f>
        <v>SS</v>
      </c>
      <c r="M79">
        <v>1</v>
      </c>
    </row>
    <row r="80" spans="1:13" x14ac:dyDescent="0.2">
      <c r="A80">
        <v>79</v>
      </c>
      <c r="B80">
        <v>7</v>
      </c>
      <c r="C80">
        <v>8</v>
      </c>
      <c r="D80" t="s">
        <v>156</v>
      </c>
      <c r="E80" t="str">
        <f t="shared" si="1"/>
        <v>1208SS03PT</v>
      </c>
      <c r="F80">
        <f>VLOOKUP(B80,Course!$A$2:$R$329,2,FALSE)</f>
        <v>0</v>
      </c>
      <c r="G80">
        <f>VLOOKUP(B80, Course!$A$2:$L$150, 8, FALSE)</f>
        <v>12</v>
      </c>
      <c r="H80">
        <v>3</v>
      </c>
      <c r="I80">
        <v>2</v>
      </c>
      <c r="K80" t="s">
        <v>1581</v>
      </c>
      <c r="L80" t="str">
        <f>VLOOKUP(B80, Course!$A$1:$O$133, 14, FALSE)</f>
        <v>SS</v>
      </c>
      <c r="M80">
        <v>1</v>
      </c>
    </row>
    <row r="81" spans="1:13" x14ac:dyDescent="0.2">
      <c r="A81">
        <v>80</v>
      </c>
      <c r="B81">
        <v>7</v>
      </c>
      <c r="C81">
        <v>9</v>
      </c>
      <c r="D81" t="s">
        <v>156</v>
      </c>
      <c r="E81" t="str">
        <f t="shared" si="1"/>
        <v>1209SS03PT</v>
      </c>
      <c r="F81">
        <f>VLOOKUP(B81,Course!$A$2:$R$329,2,FALSE)</f>
        <v>0</v>
      </c>
      <c r="G81">
        <f>VLOOKUP(B81, Course!$A$2:$L$150, 8, FALSE)</f>
        <v>12</v>
      </c>
      <c r="H81">
        <v>3</v>
      </c>
      <c r="I81">
        <v>2</v>
      </c>
      <c r="K81" t="s">
        <v>1581</v>
      </c>
      <c r="L81" t="str">
        <f>VLOOKUP(B81, Course!$A$1:$O$133, 14, FALSE)</f>
        <v>SS</v>
      </c>
      <c r="M81">
        <v>1</v>
      </c>
    </row>
    <row r="82" spans="1:13" x14ac:dyDescent="0.2">
      <c r="A82">
        <v>81</v>
      </c>
      <c r="B82">
        <v>7</v>
      </c>
      <c r="C82">
        <v>10</v>
      </c>
      <c r="D82" t="s">
        <v>156</v>
      </c>
      <c r="E82" t="str">
        <f t="shared" si="1"/>
        <v>1210SS03PT</v>
      </c>
      <c r="F82">
        <f>VLOOKUP(B82,Course!$A$2:$R$329,2,FALSE)</f>
        <v>0</v>
      </c>
      <c r="G82">
        <f>VLOOKUP(B82, Course!$A$2:$L$150, 8, FALSE)</f>
        <v>12</v>
      </c>
      <c r="H82">
        <v>3</v>
      </c>
      <c r="I82">
        <v>2</v>
      </c>
      <c r="K82" t="s">
        <v>1581</v>
      </c>
      <c r="L82" t="str">
        <f>VLOOKUP(B82, Course!$A$1:$O$133, 14, FALSE)</f>
        <v>SS</v>
      </c>
      <c r="M82">
        <v>1</v>
      </c>
    </row>
    <row r="83" spans="1:13" x14ac:dyDescent="0.2">
      <c r="A83">
        <v>82</v>
      </c>
      <c r="B83">
        <v>7</v>
      </c>
      <c r="C83">
        <v>11</v>
      </c>
      <c r="D83" t="s">
        <v>156</v>
      </c>
      <c r="E83" t="str">
        <f t="shared" si="1"/>
        <v>1211SS03PT</v>
      </c>
      <c r="F83">
        <f>VLOOKUP(B83,Course!$A$2:$R$329,2,FALSE)</f>
        <v>0</v>
      </c>
      <c r="G83">
        <f>VLOOKUP(B83, Course!$A$2:$L$150, 8, FALSE)</f>
        <v>12</v>
      </c>
      <c r="H83">
        <v>3</v>
      </c>
      <c r="I83">
        <v>2</v>
      </c>
      <c r="K83" t="s">
        <v>1581</v>
      </c>
      <c r="L83" t="str">
        <f>VLOOKUP(B83, Course!$A$1:$O$133, 14, FALSE)</f>
        <v>SS</v>
      </c>
      <c r="M83">
        <v>1</v>
      </c>
    </row>
    <row r="84" spans="1:13" x14ac:dyDescent="0.2">
      <c r="A84">
        <v>83</v>
      </c>
      <c r="B84">
        <v>7</v>
      </c>
      <c r="C84">
        <v>12</v>
      </c>
      <c r="D84" t="s">
        <v>156</v>
      </c>
      <c r="E84" t="str">
        <f t="shared" si="1"/>
        <v>1212SS03PT</v>
      </c>
      <c r="F84">
        <f>VLOOKUP(B84,Course!$A$2:$R$329,2,FALSE)</f>
        <v>0</v>
      </c>
      <c r="G84">
        <f>VLOOKUP(B84, Course!$A$2:$L$150, 8, FALSE)</f>
        <v>12</v>
      </c>
      <c r="H84">
        <v>3</v>
      </c>
      <c r="I84">
        <v>2</v>
      </c>
      <c r="K84" t="s">
        <v>1581</v>
      </c>
      <c r="L84" t="str">
        <f>VLOOKUP(B84, Course!$A$1:$O$133, 14, FALSE)</f>
        <v>SS</v>
      </c>
      <c r="M84">
        <v>1</v>
      </c>
    </row>
    <row r="85" spans="1:13" x14ac:dyDescent="0.2">
      <c r="A85">
        <v>84</v>
      </c>
      <c r="B85">
        <v>8</v>
      </c>
      <c r="C85">
        <v>1</v>
      </c>
      <c r="D85" t="s">
        <v>231</v>
      </c>
      <c r="E85" t="str">
        <f t="shared" si="1"/>
        <v>1201BR03PT</v>
      </c>
      <c r="F85">
        <f>VLOOKUP(B85,Course!$A$2:$R$329,2,FALSE)</f>
        <v>0</v>
      </c>
      <c r="G85">
        <f>VLOOKUP(B85, Course!$A$2:$L$150, 8, FALSE)</f>
        <v>12</v>
      </c>
      <c r="H85">
        <v>3</v>
      </c>
      <c r="I85">
        <v>2</v>
      </c>
      <c r="K85" t="s">
        <v>1581</v>
      </c>
      <c r="L85" t="str">
        <f>VLOOKUP(B85, Course!$A$1:$O$133, 14, FALSE)</f>
        <v>BR</v>
      </c>
      <c r="M85">
        <v>1</v>
      </c>
    </row>
    <row r="86" spans="1:13" x14ac:dyDescent="0.2">
      <c r="A86">
        <v>85</v>
      </c>
      <c r="B86">
        <v>8</v>
      </c>
      <c r="C86">
        <v>2</v>
      </c>
      <c r="D86" t="s">
        <v>231</v>
      </c>
      <c r="E86" t="str">
        <f t="shared" si="1"/>
        <v>1202BR03PT</v>
      </c>
      <c r="F86">
        <f>VLOOKUP(B86,Course!$A$2:$R$329,2,FALSE)</f>
        <v>0</v>
      </c>
      <c r="G86">
        <f>VLOOKUP(B86, Course!$A$2:$L$150, 8, FALSE)</f>
        <v>12</v>
      </c>
      <c r="H86">
        <v>3</v>
      </c>
      <c r="I86">
        <v>2</v>
      </c>
      <c r="K86" t="s">
        <v>1581</v>
      </c>
      <c r="L86" t="str">
        <f>VLOOKUP(B86, Course!$A$1:$O$133, 14, FALSE)</f>
        <v>BR</v>
      </c>
      <c r="M86">
        <v>1</v>
      </c>
    </row>
    <row r="87" spans="1:13" x14ac:dyDescent="0.2">
      <c r="A87">
        <v>86</v>
      </c>
      <c r="B87">
        <v>8</v>
      </c>
      <c r="C87">
        <v>3</v>
      </c>
      <c r="D87" t="s">
        <v>231</v>
      </c>
      <c r="E87" t="str">
        <f t="shared" si="1"/>
        <v>1203BR03PT</v>
      </c>
      <c r="F87">
        <f>VLOOKUP(B87,Course!$A$2:$R$329,2,FALSE)</f>
        <v>0</v>
      </c>
      <c r="G87">
        <f>VLOOKUP(B87, Course!$A$2:$L$150, 8, FALSE)</f>
        <v>12</v>
      </c>
      <c r="H87">
        <v>3</v>
      </c>
      <c r="I87">
        <v>2</v>
      </c>
      <c r="K87" t="s">
        <v>1581</v>
      </c>
      <c r="L87" t="str">
        <f>VLOOKUP(B87, Course!$A$1:$O$133, 14, FALSE)</f>
        <v>BR</v>
      </c>
      <c r="M87">
        <v>1</v>
      </c>
    </row>
    <row r="88" spans="1:13" x14ac:dyDescent="0.2">
      <c r="A88">
        <v>87</v>
      </c>
      <c r="B88">
        <v>8</v>
      </c>
      <c r="C88">
        <v>4</v>
      </c>
      <c r="D88" t="s">
        <v>231</v>
      </c>
      <c r="E88" t="str">
        <f t="shared" si="1"/>
        <v>1204BR03PT</v>
      </c>
      <c r="F88">
        <f>VLOOKUP(B88,Course!$A$2:$R$329,2,FALSE)</f>
        <v>0</v>
      </c>
      <c r="G88">
        <f>VLOOKUP(B88, Course!$A$2:$L$150, 8, FALSE)</f>
        <v>12</v>
      </c>
      <c r="H88">
        <v>3</v>
      </c>
      <c r="I88">
        <v>2</v>
      </c>
      <c r="K88" t="s">
        <v>1581</v>
      </c>
      <c r="L88" t="str">
        <f>VLOOKUP(B88, Course!$A$1:$O$133, 14, FALSE)</f>
        <v>BR</v>
      </c>
      <c r="M88">
        <v>1</v>
      </c>
    </row>
    <row r="89" spans="1:13" x14ac:dyDescent="0.2">
      <c r="A89">
        <v>88</v>
      </c>
      <c r="B89">
        <v>8</v>
      </c>
      <c r="C89">
        <v>5</v>
      </c>
      <c r="D89" t="s">
        <v>231</v>
      </c>
      <c r="E89" t="str">
        <f t="shared" si="1"/>
        <v>1205BR03PT</v>
      </c>
      <c r="F89">
        <f>VLOOKUP(B89,Course!$A$2:$R$329,2,FALSE)</f>
        <v>0</v>
      </c>
      <c r="G89">
        <f>VLOOKUP(B89, Course!$A$2:$L$150, 8, FALSE)</f>
        <v>12</v>
      </c>
      <c r="H89">
        <v>3</v>
      </c>
      <c r="I89">
        <v>2</v>
      </c>
      <c r="K89" t="s">
        <v>1581</v>
      </c>
      <c r="L89" t="str">
        <f>VLOOKUP(B89, Course!$A$1:$O$133, 14, FALSE)</f>
        <v>BR</v>
      </c>
      <c r="M89">
        <v>1</v>
      </c>
    </row>
    <row r="90" spans="1:13" x14ac:dyDescent="0.2">
      <c r="A90">
        <v>89</v>
      </c>
      <c r="B90">
        <v>8</v>
      </c>
      <c r="C90">
        <v>6</v>
      </c>
      <c r="D90" t="s">
        <v>231</v>
      </c>
      <c r="E90" t="str">
        <f t="shared" si="1"/>
        <v>1206BR03PT</v>
      </c>
      <c r="F90">
        <f>VLOOKUP(B90,Course!$A$2:$R$329,2,FALSE)</f>
        <v>0</v>
      </c>
      <c r="G90">
        <f>VLOOKUP(B90, Course!$A$2:$L$150, 8, FALSE)</f>
        <v>12</v>
      </c>
      <c r="H90">
        <v>3</v>
      </c>
      <c r="I90">
        <v>2</v>
      </c>
      <c r="K90" t="s">
        <v>1581</v>
      </c>
      <c r="L90" t="str">
        <f>VLOOKUP(B90, Course!$A$1:$O$133, 14, FALSE)</f>
        <v>BR</v>
      </c>
      <c r="M90">
        <v>1</v>
      </c>
    </row>
    <row r="91" spans="1:13" x14ac:dyDescent="0.2">
      <c r="A91">
        <v>90</v>
      </c>
      <c r="B91">
        <v>8</v>
      </c>
      <c r="C91">
        <v>7</v>
      </c>
      <c r="D91" t="s">
        <v>231</v>
      </c>
      <c r="E91" t="str">
        <f t="shared" si="1"/>
        <v>1207BR03PT</v>
      </c>
      <c r="F91">
        <f>VLOOKUP(B91,Course!$A$2:$R$329,2,FALSE)</f>
        <v>0</v>
      </c>
      <c r="G91">
        <f>VLOOKUP(B91, Course!$A$2:$L$150, 8, FALSE)</f>
        <v>12</v>
      </c>
      <c r="H91">
        <v>3</v>
      </c>
      <c r="I91">
        <v>2</v>
      </c>
      <c r="K91" t="s">
        <v>1581</v>
      </c>
      <c r="L91" t="str">
        <f>VLOOKUP(B91, Course!$A$1:$O$133, 14, FALSE)</f>
        <v>BR</v>
      </c>
      <c r="M91">
        <v>1</v>
      </c>
    </row>
    <row r="92" spans="1:13" x14ac:dyDescent="0.2">
      <c r="A92">
        <v>91</v>
      </c>
      <c r="B92">
        <v>8</v>
      </c>
      <c r="C92">
        <v>8</v>
      </c>
      <c r="D92" t="s">
        <v>231</v>
      </c>
      <c r="E92" t="str">
        <f t="shared" si="1"/>
        <v>1208BR03PT</v>
      </c>
      <c r="F92">
        <f>VLOOKUP(B92,Course!$A$2:$R$329,2,FALSE)</f>
        <v>0</v>
      </c>
      <c r="G92">
        <f>VLOOKUP(B92, Course!$A$2:$L$150, 8, FALSE)</f>
        <v>12</v>
      </c>
      <c r="H92">
        <v>3</v>
      </c>
      <c r="I92">
        <v>2</v>
      </c>
      <c r="K92" t="s">
        <v>1581</v>
      </c>
      <c r="L92" t="str">
        <f>VLOOKUP(B92, Course!$A$1:$O$133, 14, FALSE)</f>
        <v>BR</v>
      </c>
      <c r="M92">
        <v>1</v>
      </c>
    </row>
    <row r="93" spans="1:13" x14ac:dyDescent="0.2">
      <c r="A93">
        <v>92</v>
      </c>
      <c r="B93">
        <v>8</v>
      </c>
      <c r="C93">
        <v>9</v>
      </c>
      <c r="D93" t="s">
        <v>231</v>
      </c>
      <c r="E93" t="str">
        <f t="shared" si="1"/>
        <v>1209BR03PT</v>
      </c>
      <c r="F93">
        <f>VLOOKUP(B93,Course!$A$2:$R$329,2,FALSE)</f>
        <v>0</v>
      </c>
      <c r="G93">
        <f>VLOOKUP(B93, Course!$A$2:$L$150, 8, FALSE)</f>
        <v>12</v>
      </c>
      <c r="H93">
        <v>3</v>
      </c>
      <c r="I93">
        <v>2</v>
      </c>
      <c r="K93" t="s">
        <v>1581</v>
      </c>
      <c r="L93" t="str">
        <f>VLOOKUP(B93, Course!$A$1:$O$133, 14, FALSE)</f>
        <v>BR</v>
      </c>
      <c r="M93">
        <v>1</v>
      </c>
    </row>
    <row r="94" spans="1:13" x14ac:dyDescent="0.2">
      <c r="A94">
        <v>93</v>
      </c>
      <c r="B94">
        <v>8</v>
      </c>
      <c r="C94">
        <v>10</v>
      </c>
      <c r="D94" t="s">
        <v>231</v>
      </c>
      <c r="E94" t="str">
        <f t="shared" si="1"/>
        <v>1210BR03PT</v>
      </c>
      <c r="F94">
        <f>VLOOKUP(B94,Course!$A$2:$R$329,2,FALSE)</f>
        <v>0</v>
      </c>
      <c r="G94">
        <f>VLOOKUP(B94, Course!$A$2:$L$150, 8, FALSE)</f>
        <v>12</v>
      </c>
      <c r="H94">
        <v>3</v>
      </c>
      <c r="I94">
        <v>2</v>
      </c>
      <c r="K94" t="s">
        <v>1581</v>
      </c>
      <c r="L94" t="str">
        <f>VLOOKUP(B94, Course!$A$1:$O$133, 14, FALSE)</f>
        <v>BR</v>
      </c>
      <c r="M94">
        <v>1</v>
      </c>
    </row>
    <row r="95" spans="1:13" x14ac:dyDescent="0.2">
      <c r="A95">
        <v>94</v>
      </c>
      <c r="B95">
        <v>8</v>
      </c>
      <c r="C95">
        <v>11</v>
      </c>
      <c r="D95" t="s">
        <v>231</v>
      </c>
      <c r="E95" t="str">
        <f t="shared" si="1"/>
        <v>1211BR03PT</v>
      </c>
      <c r="F95">
        <f>VLOOKUP(B95,Course!$A$2:$R$329,2,FALSE)</f>
        <v>0</v>
      </c>
      <c r="G95">
        <f>VLOOKUP(B95, Course!$A$2:$L$150, 8, FALSE)</f>
        <v>12</v>
      </c>
      <c r="H95">
        <v>3</v>
      </c>
      <c r="I95">
        <v>2</v>
      </c>
      <c r="K95" t="s">
        <v>1581</v>
      </c>
      <c r="L95" t="str">
        <f>VLOOKUP(B95, Course!$A$1:$O$133, 14, FALSE)</f>
        <v>BR</v>
      </c>
      <c r="M95">
        <v>1</v>
      </c>
    </row>
    <row r="96" spans="1:13" x14ac:dyDescent="0.2">
      <c r="A96">
        <v>95</v>
      </c>
      <c r="B96">
        <v>8</v>
      </c>
      <c r="C96">
        <v>12</v>
      </c>
      <c r="D96" t="s">
        <v>231</v>
      </c>
      <c r="E96" t="str">
        <f t="shared" si="1"/>
        <v>1212BR03PT</v>
      </c>
      <c r="F96">
        <f>VLOOKUP(B96,Course!$A$2:$R$329,2,FALSE)</f>
        <v>0</v>
      </c>
      <c r="G96">
        <f>VLOOKUP(B96, Course!$A$2:$L$150, 8, FALSE)</f>
        <v>12</v>
      </c>
      <c r="H96">
        <v>3</v>
      </c>
      <c r="I96">
        <v>2</v>
      </c>
      <c r="K96" t="s">
        <v>1581</v>
      </c>
      <c r="L96" t="str">
        <f>VLOOKUP(B96, Course!$A$1:$O$133, 14, FALSE)</f>
        <v>BR</v>
      </c>
      <c r="M96">
        <v>1</v>
      </c>
    </row>
    <row r="97" spans="1:13" x14ac:dyDescent="0.2">
      <c r="A97">
        <v>96</v>
      </c>
      <c r="B97">
        <v>9</v>
      </c>
      <c r="C97">
        <v>13</v>
      </c>
      <c r="D97" t="s">
        <v>141</v>
      </c>
      <c r="E97" t="str">
        <f t="shared" si="1"/>
        <v>1213MA03PT</v>
      </c>
      <c r="F97">
        <f>VLOOKUP(B97,Course!$A$2:$R$329,2,FALSE)</f>
        <v>0</v>
      </c>
      <c r="G97">
        <f>VLOOKUP(B97, Course!$A$2:$L$150, 8, FALSE)</f>
        <v>12</v>
      </c>
      <c r="H97">
        <v>3</v>
      </c>
      <c r="I97">
        <v>2</v>
      </c>
      <c r="K97" t="s">
        <v>1581</v>
      </c>
      <c r="L97" t="str">
        <f>VLOOKUP(B97, Course!$A$1:$O$133, 14, FALSE)</f>
        <v>MA</v>
      </c>
      <c r="M97">
        <v>1</v>
      </c>
    </row>
    <row r="98" spans="1:13" x14ac:dyDescent="0.2">
      <c r="A98">
        <v>97</v>
      </c>
      <c r="B98">
        <v>9</v>
      </c>
      <c r="C98">
        <v>14</v>
      </c>
      <c r="D98" t="s">
        <v>141</v>
      </c>
      <c r="E98" t="str">
        <f t="shared" si="1"/>
        <v>1214MA03PT</v>
      </c>
      <c r="F98">
        <f>VLOOKUP(B98,Course!$A$2:$R$329,2,FALSE)</f>
        <v>0</v>
      </c>
      <c r="G98">
        <f>VLOOKUP(B98, Course!$A$2:$L$150, 8, FALSE)</f>
        <v>12</v>
      </c>
      <c r="H98">
        <v>3</v>
      </c>
      <c r="I98">
        <v>1</v>
      </c>
      <c r="K98" t="s">
        <v>1581</v>
      </c>
      <c r="L98" t="str">
        <f>VLOOKUP(B98, Course!$A$1:$O$133, 14, FALSE)</f>
        <v>MA</v>
      </c>
      <c r="M98">
        <v>1</v>
      </c>
    </row>
    <row r="99" spans="1:13" x14ac:dyDescent="0.2">
      <c r="A99">
        <v>98</v>
      </c>
      <c r="B99">
        <v>9</v>
      </c>
      <c r="C99">
        <v>15</v>
      </c>
      <c r="D99" t="s">
        <v>141</v>
      </c>
      <c r="E99" t="str">
        <f t="shared" si="1"/>
        <v>1215MA03PT</v>
      </c>
      <c r="F99">
        <f>VLOOKUP(B99,Course!$A$2:$R$329,2,FALSE)</f>
        <v>0</v>
      </c>
      <c r="G99">
        <f>VLOOKUP(B99, Course!$A$2:$L$150, 8, FALSE)</f>
        <v>12</v>
      </c>
      <c r="H99">
        <v>3</v>
      </c>
      <c r="I99">
        <v>1</v>
      </c>
      <c r="K99" t="s">
        <v>1581</v>
      </c>
      <c r="L99" t="str">
        <f>VLOOKUP(B99, Course!$A$1:$O$133, 14, FALSE)</f>
        <v>MA</v>
      </c>
      <c r="M99">
        <v>1</v>
      </c>
    </row>
    <row r="100" spans="1:13" x14ac:dyDescent="0.2">
      <c r="A100">
        <v>99</v>
      </c>
      <c r="B100">
        <v>9</v>
      </c>
      <c r="C100">
        <v>16</v>
      </c>
      <c r="D100" t="s">
        <v>141</v>
      </c>
      <c r="E100" t="str">
        <f t="shared" si="1"/>
        <v>1216MA03PT</v>
      </c>
      <c r="F100">
        <f>VLOOKUP(B100,Course!$A$2:$R$329,2,FALSE)</f>
        <v>0</v>
      </c>
      <c r="G100">
        <f>VLOOKUP(B100, Course!$A$2:$L$150, 8, FALSE)</f>
        <v>12</v>
      </c>
      <c r="H100">
        <v>3</v>
      </c>
      <c r="I100">
        <v>1</v>
      </c>
      <c r="K100" t="s">
        <v>1581</v>
      </c>
      <c r="L100" t="str">
        <f>VLOOKUP(B100, Course!$A$1:$O$133, 14, FALSE)</f>
        <v>MA</v>
      </c>
      <c r="M100">
        <v>1</v>
      </c>
    </row>
    <row r="101" spans="1:13" x14ac:dyDescent="0.2">
      <c r="A101">
        <v>100</v>
      </c>
      <c r="B101">
        <v>9</v>
      </c>
      <c r="C101">
        <v>17</v>
      </c>
      <c r="D101" t="s">
        <v>141</v>
      </c>
      <c r="E101" t="str">
        <f t="shared" si="1"/>
        <v>1217MA03PT</v>
      </c>
      <c r="F101">
        <f>VLOOKUP(B101,Course!$A$2:$R$329,2,FALSE)</f>
        <v>0</v>
      </c>
      <c r="G101">
        <f>VLOOKUP(B101, Course!$A$2:$L$150, 8, FALSE)</f>
        <v>12</v>
      </c>
      <c r="H101">
        <v>3</v>
      </c>
      <c r="I101">
        <v>1</v>
      </c>
      <c r="K101" t="s">
        <v>1581</v>
      </c>
      <c r="L101" t="str">
        <f>VLOOKUP(B101, Course!$A$1:$O$133, 14, FALSE)</f>
        <v>MA</v>
      </c>
      <c r="M101">
        <v>1</v>
      </c>
    </row>
    <row r="102" spans="1:13" x14ac:dyDescent="0.2">
      <c r="A102">
        <v>101</v>
      </c>
      <c r="B102">
        <v>9</v>
      </c>
      <c r="C102">
        <v>18</v>
      </c>
      <c r="D102" t="s">
        <v>141</v>
      </c>
      <c r="E102" t="str">
        <f t="shared" si="1"/>
        <v>1218MA03PT</v>
      </c>
      <c r="F102">
        <f>VLOOKUP(B102,Course!$A$2:$R$329,2,FALSE)</f>
        <v>0</v>
      </c>
      <c r="G102">
        <f>VLOOKUP(B102, Course!$A$2:$L$150, 8, FALSE)</f>
        <v>12</v>
      </c>
      <c r="H102">
        <v>3</v>
      </c>
      <c r="I102">
        <v>1</v>
      </c>
      <c r="K102" t="s">
        <v>1581</v>
      </c>
      <c r="L102" t="str">
        <f>VLOOKUP(B102, Course!$A$1:$O$133, 14, FALSE)</f>
        <v>MA</v>
      </c>
      <c r="M102">
        <v>1</v>
      </c>
    </row>
    <row r="103" spans="1:13" x14ac:dyDescent="0.2">
      <c r="A103">
        <v>102</v>
      </c>
      <c r="B103">
        <v>9</v>
      </c>
      <c r="C103">
        <v>19</v>
      </c>
      <c r="D103" t="s">
        <v>141</v>
      </c>
      <c r="E103" t="str">
        <f t="shared" si="1"/>
        <v>1219MA03PT</v>
      </c>
      <c r="F103">
        <f>VLOOKUP(B103,Course!$A$2:$R$329,2,FALSE)</f>
        <v>0</v>
      </c>
      <c r="G103">
        <f>VLOOKUP(B103, Course!$A$2:$L$150, 8, FALSE)</f>
        <v>12</v>
      </c>
      <c r="H103">
        <v>3</v>
      </c>
      <c r="I103">
        <v>1</v>
      </c>
      <c r="K103" t="s">
        <v>1581</v>
      </c>
      <c r="L103" t="str">
        <f>VLOOKUP(B103, Course!$A$1:$O$133, 14, FALSE)</f>
        <v>MA</v>
      </c>
      <c r="M103">
        <v>1</v>
      </c>
    </row>
    <row r="104" spans="1:13" x14ac:dyDescent="0.2">
      <c r="A104">
        <v>103</v>
      </c>
      <c r="B104">
        <v>9</v>
      </c>
      <c r="C104">
        <v>20</v>
      </c>
      <c r="D104" t="s">
        <v>141</v>
      </c>
      <c r="E104" t="str">
        <f t="shared" si="1"/>
        <v>1220MA03PT</v>
      </c>
      <c r="F104">
        <f>VLOOKUP(B104,Course!$A$2:$R$329,2,FALSE)</f>
        <v>0</v>
      </c>
      <c r="G104">
        <f>VLOOKUP(B104, Course!$A$2:$L$150, 8, FALSE)</f>
        <v>12</v>
      </c>
      <c r="H104">
        <v>3</v>
      </c>
      <c r="I104">
        <v>1</v>
      </c>
      <c r="K104" t="s">
        <v>1581</v>
      </c>
      <c r="L104" t="str">
        <f>VLOOKUP(B104, Course!$A$1:$O$133, 14, FALSE)</f>
        <v>MA</v>
      </c>
      <c r="M104">
        <v>1</v>
      </c>
    </row>
    <row r="105" spans="1:13" x14ac:dyDescent="0.2">
      <c r="A105">
        <v>104</v>
      </c>
      <c r="B105">
        <v>9</v>
      </c>
      <c r="C105">
        <v>21</v>
      </c>
      <c r="D105" t="s">
        <v>141</v>
      </c>
      <c r="E105" t="str">
        <f t="shared" si="1"/>
        <v>1221MA03PT</v>
      </c>
      <c r="F105">
        <f>VLOOKUP(B105,Course!$A$2:$R$329,2,FALSE)</f>
        <v>0</v>
      </c>
      <c r="G105">
        <f>VLOOKUP(B105, Course!$A$2:$L$150, 8, FALSE)</f>
        <v>12</v>
      </c>
      <c r="H105">
        <v>3</v>
      </c>
      <c r="I105">
        <v>1</v>
      </c>
      <c r="K105" t="s">
        <v>1581</v>
      </c>
      <c r="L105" t="str">
        <f>VLOOKUP(B105, Course!$A$1:$O$133, 14, FALSE)</f>
        <v>MA</v>
      </c>
      <c r="M105">
        <v>1</v>
      </c>
    </row>
    <row r="106" spans="1:13" x14ac:dyDescent="0.2">
      <c r="A106">
        <v>105</v>
      </c>
      <c r="B106">
        <v>9</v>
      </c>
      <c r="C106">
        <v>22</v>
      </c>
      <c r="D106" t="s">
        <v>141</v>
      </c>
      <c r="E106" t="str">
        <f t="shared" si="1"/>
        <v>1222MA03PT</v>
      </c>
      <c r="F106">
        <f>VLOOKUP(B106,Course!$A$2:$R$329,2,FALSE)</f>
        <v>0</v>
      </c>
      <c r="G106">
        <f>VLOOKUP(B106, Course!$A$2:$L$150, 8, FALSE)</f>
        <v>12</v>
      </c>
      <c r="H106">
        <v>3</v>
      </c>
      <c r="I106">
        <v>1</v>
      </c>
      <c r="K106" t="s">
        <v>1581</v>
      </c>
      <c r="L106" t="str">
        <f>VLOOKUP(B106, Course!$A$1:$O$133, 14, FALSE)</f>
        <v>MA</v>
      </c>
      <c r="M106">
        <v>1</v>
      </c>
    </row>
    <row r="107" spans="1:13" x14ac:dyDescent="0.2">
      <c r="A107">
        <v>106</v>
      </c>
      <c r="B107">
        <v>9</v>
      </c>
      <c r="C107">
        <v>23</v>
      </c>
      <c r="D107" t="s">
        <v>141</v>
      </c>
      <c r="E107" t="str">
        <f t="shared" si="1"/>
        <v>1223MA03PT</v>
      </c>
      <c r="F107">
        <f>VLOOKUP(B107,Course!$A$2:$R$329,2,FALSE)</f>
        <v>0</v>
      </c>
      <c r="G107">
        <f>VLOOKUP(B107, Course!$A$2:$L$150, 8, FALSE)</f>
        <v>12</v>
      </c>
      <c r="H107">
        <v>3</v>
      </c>
      <c r="I107">
        <v>1</v>
      </c>
      <c r="K107" t="s">
        <v>1581</v>
      </c>
      <c r="L107" t="str">
        <f>VLOOKUP(B107, Course!$A$1:$O$133, 14, FALSE)</f>
        <v>MA</v>
      </c>
      <c r="M107">
        <v>1</v>
      </c>
    </row>
    <row r="108" spans="1:13" x14ac:dyDescent="0.2">
      <c r="A108">
        <v>107</v>
      </c>
      <c r="B108">
        <v>9</v>
      </c>
      <c r="C108">
        <v>24</v>
      </c>
      <c r="D108" t="s">
        <v>141</v>
      </c>
      <c r="E108" t="str">
        <f t="shared" si="1"/>
        <v>1224MA03PT</v>
      </c>
      <c r="F108">
        <f>VLOOKUP(B108,Course!$A$2:$R$329,2,FALSE)</f>
        <v>0</v>
      </c>
      <c r="G108">
        <f>VLOOKUP(B108, Course!$A$2:$L$150, 8, FALSE)</f>
        <v>12</v>
      </c>
      <c r="H108">
        <v>3</v>
      </c>
      <c r="I108">
        <v>1</v>
      </c>
      <c r="K108" t="s">
        <v>1581</v>
      </c>
      <c r="L108" t="str">
        <f>VLOOKUP(B108, Course!$A$1:$O$133, 14, FALSE)</f>
        <v>MA</v>
      </c>
      <c r="M108">
        <v>1</v>
      </c>
    </row>
    <row r="109" spans="1:13" x14ac:dyDescent="0.2">
      <c r="A109">
        <v>108</v>
      </c>
      <c r="B109">
        <v>10</v>
      </c>
      <c r="C109">
        <v>13</v>
      </c>
      <c r="D109" t="s">
        <v>224</v>
      </c>
      <c r="E109" t="str">
        <f t="shared" si="1"/>
        <v>1213EN03PT</v>
      </c>
      <c r="F109">
        <f>VLOOKUP(B109,Course!$A$2:$R$329,2,FALSE)</f>
        <v>0</v>
      </c>
      <c r="G109">
        <f>VLOOKUP(B109, Course!$A$2:$L$150, 8, FALSE)</f>
        <v>12</v>
      </c>
      <c r="H109">
        <v>3</v>
      </c>
      <c r="I109">
        <v>1</v>
      </c>
      <c r="K109" t="s">
        <v>1581</v>
      </c>
      <c r="L109" t="str">
        <f>VLOOKUP(B109, Course!$A$1:$O$133, 14, FALSE)</f>
        <v>EN</v>
      </c>
      <c r="M109">
        <v>1</v>
      </c>
    </row>
    <row r="110" spans="1:13" x14ac:dyDescent="0.2">
      <c r="A110">
        <v>109</v>
      </c>
      <c r="B110">
        <v>10</v>
      </c>
      <c r="C110">
        <v>14</v>
      </c>
      <c r="D110" t="s">
        <v>224</v>
      </c>
      <c r="E110" t="str">
        <f t="shared" si="1"/>
        <v>1214EN03PT</v>
      </c>
      <c r="F110">
        <f>VLOOKUP(B110,Course!$A$2:$R$329,2,FALSE)</f>
        <v>0</v>
      </c>
      <c r="G110">
        <f>VLOOKUP(B110, Course!$A$2:$L$150, 8, FALSE)</f>
        <v>12</v>
      </c>
      <c r="H110">
        <v>3</v>
      </c>
      <c r="I110">
        <v>1</v>
      </c>
      <c r="K110" t="s">
        <v>1581</v>
      </c>
      <c r="L110" t="str">
        <f>VLOOKUP(B110, Course!$A$1:$O$133, 14, FALSE)</f>
        <v>EN</v>
      </c>
      <c r="M110">
        <v>1</v>
      </c>
    </row>
    <row r="111" spans="1:13" x14ac:dyDescent="0.2">
      <c r="A111">
        <v>110</v>
      </c>
      <c r="B111">
        <v>10</v>
      </c>
      <c r="C111">
        <v>15</v>
      </c>
      <c r="D111" t="s">
        <v>224</v>
      </c>
      <c r="E111" t="str">
        <f t="shared" si="1"/>
        <v>1215EN03PT</v>
      </c>
      <c r="F111">
        <f>VLOOKUP(B111,Course!$A$2:$R$329,2,FALSE)</f>
        <v>0</v>
      </c>
      <c r="G111">
        <f>VLOOKUP(B111, Course!$A$2:$L$150, 8, FALSE)</f>
        <v>12</v>
      </c>
      <c r="H111">
        <v>3</v>
      </c>
      <c r="I111">
        <v>1</v>
      </c>
      <c r="K111" t="s">
        <v>1581</v>
      </c>
      <c r="L111" t="str">
        <f>VLOOKUP(B111, Course!$A$1:$O$133, 14, FALSE)</f>
        <v>EN</v>
      </c>
      <c r="M111">
        <v>1</v>
      </c>
    </row>
    <row r="112" spans="1:13" x14ac:dyDescent="0.2">
      <c r="A112">
        <v>111</v>
      </c>
      <c r="B112">
        <v>10</v>
      </c>
      <c r="C112">
        <v>16</v>
      </c>
      <c r="D112" t="s">
        <v>224</v>
      </c>
      <c r="E112" t="str">
        <f t="shared" si="1"/>
        <v>1216EN03PT</v>
      </c>
      <c r="F112">
        <f>VLOOKUP(B112,Course!$A$2:$R$329,2,FALSE)</f>
        <v>0</v>
      </c>
      <c r="G112">
        <f>VLOOKUP(B112, Course!$A$2:$L$150, 8, FALSE)</f>
        <v>12</v>
      </c>
      <c r="H112">
        <v>3</v>
      </c>
      <c r="I112">
        <v>1</v>
      </c>
      <c r="K112" t="s">
        <v>1581</v>
      </c>
      <c r="L112" t="str">
        <f>VLOOKUP(B112, Course!$A$1:$O$133, 14, FALSE)</f>
        <v>EN</v>
      </c>
      <c r="M112">
        <v>1</v>
      </c>
    </row>
    <row r="113" spans="1:13" x14ac:dyDescent="0.2">
      <c r="A113">
        <v>112</v>
      </c>
      <c r="B113">
        <v>10</v>
      </c>
      <c r="C113">
        <v>17</v>
      </c>
      <c r="D113" t="s">
        <v>224</v>
      </c>
      <c r="E113" t="str">
        <f t="shared" si="1"/>
        <v>1217EN03PT</v>
      </c>
      <c r="F113">
        <f>VLOOKUP(B113,Course!$A$2:$R$329,2,FALSE)</f>
        <v>0</v>
      </c>
      <c r="G113">
        <f>VLOOKUP(B113, Course!$A$2:$L$150, 8, FALSE)</f>
        <v>12</v>
      </c>
      <c r="H113">
        <v>3</v>
      </c>
      <c r="I113">
        <v>1</v>
      </c>
      <c r="K113" t="s">
        <v>1581</v>
      </c>
      <c r="L113" t="str">
        <f>VLOOKUP(B113, Course!$A$1:$O$133, 14, FALSE)</f>
        <v>EN</v>
      </c>
      <c r="M113">
        <v>1</v>
      </c>
    </row>
    <row r="114" spans="1:13" x14ac:dyDescent="0.2">
      <c r="A114">
        <v>113</v>
      </c>
      <c r="B114">
        <v>10</v>
      </c>
      <c r="C114">
        <v>18</v>
      </c>
      <c r="D114" t="s">
        <v>224</v>
      </c>
      <c r="E114" t="str">
        <f t="shared" si="1"/>
        <v>1218EN03PT</v>
      </c>
      <c r="F114">
        <f>VLOOKUP(B114,Course!$A$2:$R$329,2,FALSE)</f>
        <v>0</v>
      </c>
      <c r="G114">
        <f>VLOOKUP(B114, Course!$A$2:$L$150, 8, FALSE)</f>
        <v>12</v>
      </c>
      <c r="H114">
        <v>3</v>
      </c>
      <c r="I114">
        <v>1</v>
      </c>
      <c r="K114" t="s">
        <v>1581</v>
      </c>
      <c r="L114" t="str">
        <f>VLOOKUP(B114, Course!$A$1:$O$133, 14, FALSE)</f>
        <v>EN</v>
      </c>
      <c r="M114">
        <v>1</v>
      </c>
    </row>
    <row r="115" spans="1:13" x14ac:dyDescent="0.2">
      <c r="A115">
        <v>114</v>
      </c>
      <c r="B115">
        <v>10</v>
      </c>
      <c r="C115">
        <v>19</v>
      </c>
      <c r="D115" t="s">
        <v>224</v>
      </c>
      <c r="E115" t="str">
        <f t="shared" si="1"/>
        <v>1219EN03PT</v>
      </c>
      <c r="F115">
        <f>VLOOKUP(B115,Course!$A$2:$R$329,2,FALSE)</f>
        <v>0</v>
      </c>
      <c r="G115">
        <f>VLOOKUP(B115, Course!$A$2:$L$150, 8, FALSE)</f>
        <v>12</v>
      </c>
      <c r="H115">
        <v>3</v>
      </c>
      <c r="I115">
        <v>1</v>
      </c>
      <c r="K115" t="s">
        <v>1581</v>
      </c>
      <c r="L115" t="str">
        <f>VLOOKUP(B115, Course!$A$1:$O$133, 14, FALSE)</f>
        <v>EN</v>
      </c>
      <c r="M115">
        <v>1</v>
      </c>
    </row>
    <row r="116" spans="1:13" x14ac:dyDescent="0.2">
      <c r="A116">
        <v>115</v>
      </c>
      <c r="B116">
        <v>10</v>
      </c>
      <c r="C116">
        <v>20</v>
      </c>
      <c r="D116" t="s">
        <v>224</v>
      </c>
      <c r="E116" t="str">
        <f t="shared" si="1"/>
        <v>1220EN03PT</v>
      </c>
      <c r="F116">
        <f>VLOOKUP(B116,Course!$A$2:$R$329,2,FALSE)</f>
        <v>0</v>
      </c>
      <c r="G116">
        <f>VLOOKUP(B116, Course!$A$2:$L$150, 8, FALSE)</f>
        <v>12</v>
      </c>
      <c r="H116">
        <v>3</v>
      </c>
      <c r="I116">
        <v>1</v>
      </c>
      <c r="K116" t="s">
        <v>1581</v>
      </c>
      <c r="L116" t="str">
        <f>VLOOKUP(B116, Course!$A$1:$O$133, 14, FALSE)</f>
        <v>EN</v>
      </c>
      <c r="M116">
        <v>1</v>
      </c>
    </row>
    <row r="117" spans="1:13" x14ac:dyDescent="0.2">
      <c r="A117">
        <v>116</v>
      </c>
      <c r="B117">
        <v>10</v>
      </c>
      <c r="C117">
        <v>21</v>
      </c>
      <c r="D117" t="s">
        <v>224</v>
      </c>
      <c r="E117" t="str">
        <f t="shared" si="1"/>
        <v>1221EN03PT</v>
      </c>
      <c r="F117">
        <f>VLOOKUP(B117,Course!$A$2:$R$329,2,FALSE)</f>
        <v>0</v>
      </c>
      <c r="G117">
        <f>VLOOKUP(B117, Course!$A$2:$L$150, 8, FALSE)</f>
        <v>12</v>
      </c>
      <c r="H117">
        <v>3</v>
      </c>
      <c r="I117">
        <v>1</v>
      </c>
      <c r="K117" t="s">
        <v>1581</v>
      </c>
      <c r="L117" t="str">
        <f>VLOOKUP(B117, Course!$A$1:$O$133, 14, FALSE)</f>
        <v>EN</v>
      </c>
      <c r="M117">
        <v>1</v>
      </c>
    </row>
    <row r="118" spans="1:13" x14ac:dyDescent="0.2">
      <c r="A118">
        <v>117</v>
      </c>
      <c r="B118">
        <v>10</v>
      </c>
      <c r="C118">
        <v>22</v>
      </c>
      <c r="D118" t="s">
        <v>224</v>
      </c>
      <c r="E118" t="str">
        <f t="shared" si="1"/>
        <v>1222EN03PT</v>
      </c>
      <c r="F118">
        <f>VLOOKUP(B118,Course!$A$2:$R$329,2,FALSE)</f>
        <v>0</v>
      </c>
      <c r="G118">
        <f>VLOOKUP(B118, Course!$A$2:$L$150, 8, FALSE)</f>
        <v>12</v>
      </c>
      <c r="H118">
        <v>3</v>
      </c>
      <c r="I118">
        <v>1</v>
      </c>
      <c r="K118" t="s">
        <v>1581</v>
      </c>
      <c r="L118" t="str">
        <f>VLOOKUP(B118, Course!$A$1:$O$133, 14, FALSE)</f>
        <v>EN</v>
      </c>
      <c r="M118">
        <v>1</v>
      </c>
    </row>
    <row r="119" spans="1:13" x14ac:dyDescent="0.2">
      <c r="A119">
        <v>118</v>
      </c>
      <c r="B119">
        <v>10</v>
      </c>
      <c r="C119">
        <v>23</v>
      </c>
      <c r="D119" t="s">
        <v>224</v>
      </c>
      <c r="E119" t="str">
        <f t="shared" si="1"/>
        <v>1223EN03PT</v>
      </c>
      <c r="F119">
        <f>VLOOKUP(B119,Course!$A$2:$R$329,2,FALSE)</f>
        <v>0</v>
      </c>
      <c r="G119">
        <f>VLOOKUP(B119, Course!$A$2:$L$150, 8, FALSE)</f>
        <v>12</v>
      </c>
      <c r="H119">
        <v>3</v>
      </c>
      <c r="I119">
        <v>1</v>
      </c>
      <c r="K119" t="s">
        <v>1581</v>
      </c>
      <c r="L119" t="str">
        <f>VLOOKUP(B119, Course!$A$1:$O$133, 14, FALSE)</f>
        <v>EN</v>
      </c>
      <c r="M119">
        <v>1</v>
      </c>
    </row>
    <row r="120" spans="1:13" x14ac:dyDescent="0.2">
      <c r="A120">
        <v>119</v>
      </c>
      <c r="B120">
        <v>10</v>
      </c>
      <c r="C120">
        <v>24</v>
      </c>
      <c r="D120" t="s">
        <v>224</v>
      </c>
      <c r="E120" t="str">
        <f t="shared" si="1"/>
        <v>1224EN03PT</v>
      </c>
      <c r="F120">
        <f>VLOOKUP(B120,Course!$A$2:$R$329,2,FALSE)</f>
        <v>0</v>
      </c>
      <c r="G120">
        <f>VLOOKUP(B120, Course!$A$2:$L$150, 8, FALSE)</f>
        <v>12</v>
      </c>
      <c r="H120">
        <v>3</v>
      </c>
      <c r="I120">
        <v>1</v>
      </c>
      <c r="K120" t="s">
        <v>1581</v>
      </c>
      <c r="L120" t="str">
        <f>VLOOKUP(B120, Course!$A$1:$O$133, 14, FALSE)</f>
        <v>EN</v>
      </c>
      <c r="M120">
        <v>1</v>
      </c>
    </row>
    <row r="121" spans="1:13" x14ac:dyDescent="0.2">
      <c r="A121">
        <v>120</v>
      </c>
      <c r="B121">
        <v>11</v>
      </c>
      <c r="C121">
        <v>13</v>
      </c>
      <c r="D121" t="s">
        <v>147</v>
      </c>
      <c r="E121" t="str">
        <f t="shared" si="1"/>
        <v>1213WB03PT</v>
      </c>
      <c r="F121">
        <f>VLOOKUP(B121,Course!$A$2:$R$329,2,FALSE)</f>
        <v>0</v>
      </c>
      <c r="G121">
        <f>VLOOKUP(B121, Course!$A$2:$L$150, 8, FALSE)</f>
        <v>12</v>
      </c>
      <c r="H121">
        <v>3</v>
      </c>
      <c r="I121">
        <v>1</v>
      </c>
      <c r="K121" t="s">
        <v>1581</v>
      </c>
      <c r="L121" t="str">
        <f>VLOOKUP(B121, Course!$A$1:$O$133, 14, FALSE)</f>
        <v>WB</v>
      </c>
      <c r="M121">
        <v>1</v>
      </c>
    </row>
    <row r="122" spans="1:13" x14ac:dyDescent="0.2">
      <c r="A122">
        <v>121</v>
      </c>
      <c r="B122">
        <v>11</v>
      </c>
      <c r="C122">
        <v>14</v>
      </c>
      <c r="D122" t="s">
        <v>147</v>
      </c>
      <c r="E122" t="str">
        <f t="shared" si="1"/>
        <v>1214WB03PT</v>
      </c>
      <c r="F122">
        <f>VLOOKUP(B122,Course!$A$2:$R$329,2,FALSE)</f>
        <v>0</v>
      </c>
      <c r="G122">
        <f>VLOOKUP(B122, Course!$A$2:$L$150, 8, FALSE)</f>
        <v>12</v>
      </c>
      <c r="H122">
        <v>3</v>
      </c>
      <c r="I122">
        <v>1</v>
      </c>
      <c r="K122" t="s">
        <v>1581</v>
      </c>
      <c r="L122" t="str">
        <f>VLOOKUP(B122, Course!$A$1:$O$133, 14, FALSE)</f>
        <v>WB</v>
      </c>
      <c r="M122">
        <v>1</v>
      </c>
    </row>
    <row r="123" spans="1:13" x14ac:dyDescent="0.2">
      <c r="A123">
        <v>122</v>
      </c>
      <c r="B123">
        <v>11</v>
      </c>
      <c r="C123">
        <v>15</v>
      </c>
      <c r="D123" t="s">
        <v>147</v>
      </c>
      <c r="E123" t="str">
        <f t="shared" si="1"/>
        <v>1215WB03PT</v>
      </c>
      <c r="F123">
        <f>VLOOKUP(B123,Course!$A$2:$R$329,2,FALSE)</f>
        <v>0</v>
      </c>
      <c r="G123">
        <f>VLOOKUP(B123, Course!$A$2:$L$150, 8, FALSE)</f>
        <v>12</v>
      </c>
      <c r="H123">
        <v>3</v>
      </c>
      <c r="I123">
        <v>1</v>
      </c>
      <c r="K123" t="s">
        <v>1581</v>
      </c>
      <c r="L123" t="str">
        <f>VLOOKUP(B123, Course!$A$1:$O$133, 14, FALSE)</f>
        <v>WB</v>
      </c>
      <c r="M123">
        <v>1</v>
      </c>
    </row>
    <row r="124" spans="1:13" x14ac:dyDescent="0.2">
      <c r="A124">
        <v>123</v>
      </c>
      <c r="B124">
        <v>11</v>
      </c>
      <c r="C124">
        <v>16</v>
      </c>
      <c r="D124" t="s">
        <v>147</v>
      </c>
      <c r="E124" t="str">
        <f t="shared" si="1"/>
        <v>1216WB03PT</v>
      </c>
      <c r="F124">
        <f>VLOOKUP(B124,Course!$A$2:$R$329,2,FALSE)</f>
        <v>0</v>
      </c>
      <c r="G124">
        <f>VLOOKUP(B124, Course!$A$2:$L$150, 8, FALSE)</f>
        <v>12</v>
      </c>
      <c r="H124">
        <v>3</v>
      </c>
      <c r="I124">
        <v>1</v>
      </c>
      <c r="K124" t="s">
        <v>1581</v>
      </c>
      <c r="L124" t="str">
        <f>VLOOKUP(B124, Course!$A$1:$O$133, 14, FALSE)</f>
        <v>WB</v>
      </c>
      <c r="M124">
        <v>1</v>
      </c>
    </row>
    <row r="125" spans="1:13" x14ac:dyDescent="0.2">
      <c r="A125">
        <v>124</v>
      </c>
      <c r="B125">
        <v>11</v>
      </c>
      <c r="C125">
        <v>17</v>
      </c>
      <c r="D125" t="s">
        <v>147</v>
      </c>
      <c r="E125" t="str">
        <f t="shared" si="1"/>
        <v>1217WB03PT</v>
      </c>
      <c r="F125">
        <f>VLOOKUP(B125,Course!$A$2:$R$329,2,FALSE)</f>
        <v>0</v>
      </c>
      <c r="G125">
        <f>VLOOKUP(B125, Course!$A$2:$L$150, 8, FALSE)</f>
        <v>12</v>
      </c>
      <c r="H125">
        <v>3</v>
      </c>
      <c r="I125">
        <v>1</v>
      </c>
      <c r="K125" t="s">
        <v>1581</v>
      </c>
      <c r="L125" t="str">
        <f>VLOOKUP(B125, Course!$A$1:$O$133, 14, FALSE)</f>
        <v>WB</v>
      </c>
      <c r="M125">
        <v>1</v>
      </c>
    </row>
    <row r="126" spans="1:13" x14ac:dyDescent="0.2">
      <c r="A126">
        <v>125</v>
      </c>
      <c r="B126">
        <v>11</v>
      </c>
      <c r="C126">
        <v>18</v>
      </c>
      <c r="D126" t="s">
        <v>147</v>
      </c>
      <c r="E126" t="str">
        <f t="shared" si="1"/>
        <v>1218WB03PT</v>
      </c>
      <c r="F126">
        <f>VLOOKUP(B126,Course!$A$2:$R$329,2,FALSE)</f>
        <v>0</v>
      </c>
      <c r="G126">
        <f>VLOOKUP(B126, Course!$A$2:$L$150, 8, FALSE)</f>
        <v>12</v>
      </c>
      <c r="H126">
        <v>3</v>
      </c>
      <c r="I126">
        <v>1</v>
      </c>
      <c r="K126" t="s">
        <v>1581</v>
      </c>
      <c r="L126" t="str">
        <f>VLOOKUP(B126, Course!$A$1:$O$133, 14, FALSE)</f>
        <v>WB</v>
      </c>
      <c r="M126">
        <v>1</v>
      </c>
    </row>
    <row r="127" spans="1:13" x14ac:dyDescent="0.2">
      <c r="A127">
        <v>126</v>
      </c>
      <c r="B127">
        <v>11</v>
      </c>
      <c r="C127">
        <v>19</v>
      </c>
      <c r="D127" t="s">
        <v>147</v>
      </c>
      <c r="E127" t="str">
        <f t="shared" si="1"/>
        <v>1219WB03PT</v>
      </c>
      <c r="F127">
        <f>VLOOKUP(B127,Course!$A$2:$R$329,2,FALSE)</f>
        <v>0</v>
      </c>
      <c r="G127">
        <f>VLOOKUP(B127, Course!$A$2:$L$150, 8, FALSE)</f>
        <v>12</v>
      </c>
      <c r="H127">
        <v>3</v>
      </c>
      <c r="I127">
        <v>1</v>
      </c>
      <c r="K127" t="s">
        <v>1581</v>
      </c>
      <c r="L127" t="str">
        <f>VLOOKUP(B127, Course!$A$1:$O$133, 14, FALSE)</f>
        <v>WB</v>
      </c>
      <c r="M127">
        <v>1</v>
      </c>
    </row>
    <row r="128" spans="1:13" x14ac:dyDescent="0.2">
      <c r="A128">
        <v>127</v>
      </c>
      <c r="B128">
        <v>11</v>
      </c>
      <c r="C128">
        <v>20</v>
      </c>
      <c r="D128" t="s">
        <v>147</v>
      </c>
      <c r="E128" t="str">
        <f t="shared" si="1"/>
        <v>1220WB03PT</v>
      </c>
      <c r="F128">
        <f>VLOOKUP(B128,Course!$A$2:$R$329,2,FALSE)</f>
        <v>0</v>
      </c>
      <c r="G128">
        <f>VLOOKUP(B128, Course!$A$2:$L$150, 8, FALSE)</f>
        <v>12</v>
      </c>
      <c r="H128">
        <v>3</v>
      </c>
      <c r="I128">
        <v>1</v>
      </c>
      <c r="K128" t="s">
        <v>1581</v>
      </c>
      <c r="L128" t="str">
        <f>VLOOKUP(B128, Course!$A$1:$O$133, 14, FALSE)</f>
        <v>WB</v>
      </c>
      <c r="M128">
        <v>1</v>
      </c>
    </row>
    <row r="129" spans="1:13" x14ac:dyDescent="0.2">
      <c r="A129">
        <v>128</v>
      </c>
      <c r="B129">
        <v>11</v>
      </c>
      <c r="C129">
        <v>21</v>
      </c>
      <c r="D129" t="s">
        <v>147</v>
      </c>
      <c r="E129" t="str">
        <f t="shared" si="1"/>
        <v>1221WB03PT</v>
      </c>
      <c r="F129">
        <f>VLOOKUP(B129,Course!$A$2:$R$329,2,FALSE)</f>
        <v>0</v>
      </c>
      <c r="G129">
        <f>VLOOKUP(B129, Course!$A$2:$L$150, 8, FALSE)</f>
        <v>12</v>
      </c>
      <c r="H129">
        <v>3</v>
      </c>
      <c r="I129">
        <v>1</v>
      </c>
      <c r="K129" t="s">
        <v>1581</v>
      </c>
      <c r="L129" t="str">
        <f>VLOOKUP(B129, Course!$A$1:$O$133, 14, FALSE)</f>
        <v>WB</v>
      </c>
      <c r="M129">
        <v>1</v>
      </c>
    </row>
    <row r="130" spans="1:13" x14ac:dyDescent="0.2">
      <c r="A130">
        <v>129</v>
      </c>
      <c r="B130">
        <v>11</v>
      </c>
      <c r="C130">
        <v>22</v>
      </c>
      <c r="D130" t="s">
        <v>147</v>
      </c>
      <c r="E130" t="str">
        <f t="shared" ref="E130:E193" si="2">UPPER(LEFT(G130,2)) &amp; RIGHT("0" &amp; C130, 2) &amp; D130 &amp; RIGHT("0" &amp; H130, 2) &amp; K130</f>
        <v>1222WB03PT</v>
      </c>
      <c r="F130">
        <f>VLOOKUP(B130,Course!$A$2:$R$329,2,FALSE)</f>
        <v>0</v>
      </c>
      <c r="G130">
        <f>VLOOKUP(B130, Course!$A$2:$L$150, 8, FALSE)</f>
        <v>12</v>
      </c>
      <c r="H130">
        <v>3</v>
      </c>
      <c r="I130">
        <v>1</v>
      </c>
      <c r="K130" t="s">
        <v>1581</v>
      </c>
      <c r="L130" t="str">
        <f>VLOOKUP(B130, Course!$A$1:$O$133, 14, FALSE)</f>
        <v>WB</v>
      </c>
      <c r="M130">
        <v>1</v>
      </c>
    </row>
    <row r="131" spans="1:13" x14ac:dyDescent="0.2">
      <c r="A131">
        <v>130</v>
      </c>
      <c r="B131">
        <v>11</v>
      </c>
      <c r="C131">
        <v>23</v>
      </c>
      <c r="D131" t="s">
        <v>147</v>
      </c>
      <c r="E131" t="str">
        <f t="shared" si="2"/>
        <v>1223WB03PT</v>
      </c>
      <c r="F131">
        <f>VLOOKUP(B131,Course!$A$2:$R$329,2,FALSE)</f>
        <v>0</v>
      </c>
      <c r="G131">
        <f>VLOOKUP(B131, Course!$A$2:$L$150, 8, FALSE)</f>
        <v>12</v>
      </c>
      <c r="H131">
        <v>3</v>
      </c>
      <c r="I131">
        <v>1</v>
      </c>
      <c r="K131" t="s">
        <v>1581</v>
      </c>
      <c r="L131" t="str">
        <f>VLOOKUP(B131, Course!$A$1:$O$133, 14, FALSE)</f>
        <v>WB</v>
      </c>
      <c r="M131">
        <v>1</v>
      </c>
    </row>
    <row r="132" spans="1:13" x14ac:dyDescent="0.2">
      <c r="A132">
        <v>131</v>
      </c>
      <c r="B132">
        <v>11</v>
      </c>
      <c r="C132">
        <v>24</v>
      </c>
      <c r="D132" t="s">
        <v>147</v>
      </c>
      <c r="E132" t="str">
        <f t="shared" si="2"/>
        <v>1224WB03PT</v>
      </c>
      <c r="F132">
        <f>VLOOKUP(B132,Course!$A$2:$R$329,2,FALSE)</f>
        <v>0</v>
      </c>
      <c r="G132">
        <f>VLOOKUP(B132, Course!$A$2:$L$150, 8, FALSE)</f>
        <v>12</v>
      </c>
      <c r="H132">
        <v>3</v>
      </c>
      <c r="I132">
        <v>1</v>
      </c>
      <c r="K132" t="s">
        <v>1581</v>
      </c>
      <c r="L132" t="str">
        <f>VLOOKUP(B132, Course!$A$1:$O$133, 14, FALSE)</f>
        <v>WB</v>
      </c>
      <c r="M132">
        <v>1</v>
      </c>
    </row>
    <row r="133" spans="1:13" x14ac:dyDescent="0.2">
      <c r="A133">
        <v>132</v>
      </c>
      <c r="B133">
        <v>12</v>
      </c>
      <c r="C133">
        <v>13</v>
      </c>
      <c r="D133" t="s">
        <v>227</v>
      </c>
      <c r="E133" t="str">
        <f t="shared" si="2"/>
        <v>1213LC03PT</v>
      </c>
      <c r="F133">
        <f>VLOOKUP(B133,Course!$A$2:$R$329,2,FALSE)</f>
        <v>0</v>
      </c>
      <c r="G133">
        <f>VLOOKUP(B133, Course!$A$2:$L$150, 8, FALSE)</f>
        <v>12</v>
      </c>
      <c r="H133">
        <v>3</v>
      </c>
      <c r="I133">
        <v>1</v>
      </c>
      <c r="K133" t="s">
        <v>1581</v>
      </c>
      <c r="L133" t="str">
        <f>VLOOKUP(B133, Course!$A$1:$O$133, 14, FALSE)</f>
        <v>LC</v>
      </c>
      <c r="M133">
        <v>1</v>
      </c>
    </row>
    <row r="134" spans="1:13" x14ac:dyDescent="0.2">
      <c r="A134">
        <v>133</v>
      </c>
      <c r="B134">
        <v>12</v>
      </c>
      <c r="C134">
        <v>14</v>
      </c>
      <c r="D134" t="s">
        <v>227</v>
      </c>
      <c r="E134" t="str">
        <f t="shared" si="2"/>
        <v>1214LC03PT</v>
      </c>
      <c r="F134">
        <f>VLOOKUP(B134,Course!$A$2:$R$329,2,FALSE)</f>
        <v>0</v>
      </c>
      <c r="G134">
        <f>VLOOKUP(B134, Course!$A$2:$L$150, 8, FALSE)</f>
        <v>12</v>
      </c>
      <c r="H134">
        <v>3</v>
      </c>
      <c r="I134">
        <v>1</v>
      </c>
      <c r="K134" t="s">
        <v>1581</v>
      </c>
      <c r="L134" t="str">
        <f>VLOOKUP(B134, Course!$A$1:$O$133, 14, FALSE)</f>
        <v>LC</v>
      </c>
      <c r="M134">
        <v>1</v>
      </c>
    </row>
    <row r="135" spans="1:13" x14ac:dyDescent="0.2">
      <c r="A135">
        <v>134</v>
      </c>
      <c r="B135">
        <v>12</v>
      </c>
      <c r="C135">
        <v>15</v>
      </c>
      <c r="D135" t="s">
        <v>227</v>
      </c>
      <c r="E135" t="str">
        <f t="shared" si="2"/>
        <v>1215LC03PT</v>
      </c>
      <c r="F135">
        <f>VLOOKUP(B135,Course!$A$2:$R$329,2,FALSE)</f>
        <v>0</v>
      </c>
      <c r="G135">
        <f>VLOOKUP(B135, Course!$A$2:$L$150, 8, FALSE)</f>
        <v>12</v>
      </c>
      <c r="H135">
        <v>3</v>
      </c>
      <c r="I135">
        <v>1</v>
      </c>
      <c r="K135" t="s">
        <v>1581</v>
      </c>
      <c r="L135" t="str">
        <f>VLOOKUP(B135, Course!$A$1:$O$133, 14, FALSE)</f>
        <v>LC</v>
      </c>
      <c r="M135">
        <v>1</v>
      </c>
    </row>
    <row r="136" spans="1:13" x14ac:dyDescent="0.2">
      <c r="A136">
        <v>135</v>
      </c>
      <c r="B136">
        <v>12</v>
      </c>
      <c r="C136">
        <v>16</v>
      </c>
      <c r="D136" t="s">
        <v>227</v>
      </c>
      <c r="E136" t="str">
        <f t="shared" si="2"/>
        <v>1216LC03PT</v>
      </c>
      <c r="F136">
        <f>VLOOKUP(B136,Course!$A$2:$R$329,2,FALSE)</f>
        <v>0</v>
      </c>
      <c r="G136">
        <f>VLOOKUP(B136, Course!$A$2:$L$150, 8, FALSE)</f>
        <v>12</v>
      </c>
      <c r="H136">
        <v>3</v>
      </c>
      <c r="I136">
        <v>1</v>
      </c>
      <c r="K136" t="s">
        <v>1581</v>
      </c>
      <c r="L136" t="str">
        <f>VLOOKUP(B136, Course!$A$1:$O$133, 14, FALSE)</f>
        <v>LC</v>
      </c>
      <c r="M136">
        <v>1</v>
      </c>
    </row>
    <row r="137" spans="1:13" x14ac:dyDescent="0.2">
      <c r="A137">
        <v>136</v>
      </c>
      <c r="B137">
        <v>12</v>
      </c>
      <c r="C137">
        <v>17</v>
      </c>
      <c r="D137" t="s">
        <v>227</v>
      </c>
      <c r="E137" t="str">
        <f t="shared" si="2"/>
        <v>1217LC03PT</v>
      </c>
      <c r="F137">
        <f>VLOOKUP(B137,Course!$A$2:$R$329,2,FALSE)</f>
        <v>0</v>
      </c>
      <c r="G137">
        <f>VLOOKUP(B137, Course!$A$2:$L$150, 8, FALSE)</f>
        <v>12</v>
      </c>
      <c r="H137">
        <v>3</v>
      </c>
      <c r="I137">
        <v>1</v>
      </c>
      <c r="K137" t="s">
        <v>1581</v>
      </c>
      <c r="L137" t="str">
        <f>VLOOKUP(B137, Course!$A$1:$O$133, 14, FALSE)</f>
        <v>LC</v>
      </c>
      <c r="M137">
        <v>1</v>
      </c>
    </row>
    <row r="138" spans="1:13" x14ac:dyDescent="0.2">
      <c r="A138">
        <v>137</v>
      </c>
      <c r="B138">
        <v>12</v>
      </c>
      <c r="C138">
        <v>18</v>
      </c>
      <c r="D138" t="s">
        <v>227</v>
      </c>
      <c r="E138" t="str">
        <f t="shared" si="2"/>
        <v>1218LC03PT</v>
      </c>
      <c r="F138">
        <f>VLOOKUP(B138,Course!$A$2:$R$329,2,FALSE)</f>
        <v>0</v>
      </c>
      <c r="G138">
        <f>VLOOKUP(B138, Course!$A$2:$L$150, 8, FALSE)</f>
        <v>12</v>
      </c>
      <c r="H138">
        <v>3</v>
      </c>
      <c r="I138">
        <v>1</v>
      </c>
      <c r="K138" t="s">
        <v>1581</v>
      </c>
      <c r="L138" t="str">
        <f>VLOOKUP(B138, Course!$A$1:$O$133, 14, FALSE)</f>
        <v>LC</v>
      </c>
      <c r="M138">
        <v>1</v>
      </c>
    </row>
    <row r="139" spans="1:13" x14ac:dyDescent="0.2">
      <c r="A139">
        <v>138</v>
      </c>
      <c r="B139">
        <v>12</v>
      </c>
      <c r="C139">
        <v>19</v>
      </c>
      <c r="D139" t="s">
        <v>227</v>
      </c>
      <c r="E139" t="str">
        <f t="shared" si="2"/>
        <v>1219LC03PT</v>
      </c>
      <c r="F139">
        <f>VLOOKUP(B139,Course!$A$2:$R$329,2,FALSE)</f>
        <v>0</v>
      </c>
      <c r="G139">
        <f>VLOOKUP(B139, Course!$A$2:$L$150, 8, FALSE)</f>
        <v>12</v>
      </c>
      <c r="H139">
        <v>3</v>
      </c>
      <c r="I139">
        <v>1</v>
      </c>
      <c r="K139" t="s">
        <v>1581</v>
      </c>
      <c r="L139" t="str">
        <f>VLOOKUP(B139, Course!$A$1:$O$133, 14, FALSE)</f>
        <v>LC</v>
      </c>
      <c r="M139">
        <v>1</v>
      </c>
    </row>
    <row r="140" spans="1:13" x14ac:dyDescent="0.2">
      <c r="A140">
        <v>139</v>
      </c>
      <c r="B140">
        <v>12</v>
      </c>
      <c r="C140">
        <v>20</v>
      </c>
      <c r="D140" t="s">
        <v>227</v>
      </c>
      <c r="E140" t="str">
        <f t="shared" si="2"/>
        <v>1220LC03PT</v>
      </c>
      <c r="F140">
        <f>VLOOKUP(B140,Course!$A$2:$R$329,2,FALSE)</f>
        <v>0</v>
      </c>
      <c r="G140">
        <f>VLOOKUP(B140, Course!$A$2:$L$150, 8, FALSE)</f>
        <v>12</v>
      </c>
      <c r="H140">
        <v>3</v>
      </c>
      <c r="I140">
        <v>1</v>
      </c>
      <c r="K140" t="s">
        <v>1581</v>
      </c>
      <c r="L140" t="str">
        <f>VLOOKUP(B140, Course!$A$1:$O$133, 14, FALSE)</f>
        <v>LC</v>
      </c>
      <c r="M140">
        <v>1</v>
      </c>
    </row>
    <row r="141" spans="1:13" x14ac:dyDescent="0.2">
      <c r="A141">
        <v>140</v>
      </c>
      <c r="B141">
        <v>12</v>
      </c>
      <c r="C141">
        <v>21</v>
      </c>
      <c r="D141" t="s">
        <v>227</v>
      </c>
      <c r="E141" t="str">
        <f t="shared" si="2"/>
        <v>1221LC03PT</v>
      </c>
      <c r="F141">
        <f>VLOOKUP(B141,Course!$A$2:$R$329,2,FALSE)</f>
        <v>0</v>
      </c>
      <c r="G141">
        <f>VLOOKUP(B141, Course!$A$2:$L$150, 8, FALSE)</f>
        <v>12</v>
      </c>
      <c r="H141">
        <v>3</v>
      </c>
      <c r="I141">
        <v>1</v>
      </c>
      <c r="K141" t="s">
        <v>1581</v>
      </c>
      <c r="L141" t="str">
        <f>VLOOKUP(B141, Course!$A$1:$O$133, 14, FALSE)</f>
        <v>LC</v>
      </c>
      <c r="M141">
        <v>1</v>
      </c>
    </row>
    <row r="142" spans="1:13" x14ac:dyDescent="0.2">
      <c r="A142">
        <v>141</v>
      </c>
      <c r="B142">
        <v>12</v>
      </c>
      <c r="C142">
        <v>22</v>
      </c>
      <c r="D142" t="s">
        <v>227</v>
      </c>
      <c r="E142" t="str">
        <f t="shared" si="2"/>
        <v>1222LC03PT</v>
      </c>
      <c r="F142">
        <f>VLOOKUP(B142,Course!$A$2:$R$329,2,FALSE)</f>
        <v>0</v>
      </c>
      <c r="G142">
        <f>VLOOKUP(B142, Course!$A$2:$L$150, 8, FALSE)</f>
        <v>12</v>
      </c>
      <c r="H142">
        <v>3</v>
      </c>
      <c r="I142">
        <v>1</v>
      </c>
      <c r="K142" t="s">
        <v>1581</v>
      </c>
      <c r="L142" t="str">
        <f>VLOOKUP(B142, Course!$A$1:$O$133, 14, FALSE)</f>
        <v>LC</v>
      </c>
      <c r="M142">
        <v>1</v>
      </c>
    </row>
    <row r="143" spans="1:13" x14ac:dyDescent="0.2">
      <c r="A143">
        <v>142</v>
      </c>
      <c r="B143">
        <v>12</v>
      </c>
      <c r="C143">
        <v>23</v>
      </c>
      <c r="D143" t="s">
        <v>227</v>
      </c>
      <c r="E143" t="str">
        <f t="shared" si="2"/>
        <v>1223LC03PT</v>
      </c>
      <c r="F143">
        <f>VLOOKUP(B143,Course!$A$2:$R$329,2,FALSE)</f>
        <v>0</v>
      </c>
      <c r="G143">
        <f>VLOOKUP(B143, Course!$A$2:$L$150, 8, FALSE)</f>
        <v>12</v>
      </c>
      <c r="H143">
        <v>3</v>
      </c>
      <c r="I143">
        <v>1</v>
      </c>
      <c r="K143" t="s">
        <v>1581</v>
      </c>
      <c r="L143" t="str">
        <f>VLOOKUP(B143, Course!$A$1:$O$133, 14, FALSE)</f>
        <v>LC</v>
      </c>
      <c r="M143">
        <v>1</v>
      </c>
    </row>
    <row r="144" spans="1:13" x14ac:dyDescent="0.2">
      <c r="A144">
        <v>143</v>
      </c>
      <c r="B144">
        <v>12</v>
      </c>
      <c r="C144">
        <v>24</v>
      </c>
      <c r="D144" t="s">
        <v>227</v>
      </c>
      <c r="E144" t="str">
        <f t="shared" si="2"/>
        <v>1224LC03PT</v>
      </c>
      <c r="F144">
        <f>VLOOKUP(B144,Course!$A$2:$R$329,2,FALSE)</f>
        <v>0</v>
      </c>
      <c r="G144">
        <f>VLOOKUP(B144, Course!$A$2:$L$150, 8, FALSE)</f>
        <v>12</v>
      </c>
      <c r="H144">
        <v>3</v>
      </c>
      <c r="I144">
        <v>1</v>
      </c>
      <c r="K144" t="s">
        <v>1581</v>
      </c>
      <c r="L144" t="str">
        <f>VLOOKUP(B144, Course!$A$1:$O$133, 14, FALSE)</f>
        <v>LC</v>
      </c>
      <c r="M144">
        <v>1</v>
      </c>
    </row>
    <row r="145" spans="1:13" x14ac:dyDescent="0.2">
      <c r="A145">
        <v>144</v>
      </c>
      <c r="B145">
        <v>13</v>
      </c>
      <c r="C145">
        <v>13</v>
      </c>
      <c r="D145" t="s">
        <v>153</v>
      </c>
      <c r="E145" t="str">
        <f t="shared" si="2"/>
        <v>1213SC03PT</v>
      </c>
      <c r="F145">
        <f>VLOOKUP(B145,Course!$A$2:$R$329,2,FALSE)</f>
        <v>0</v>
      </c>
      <c r="G145">
        <f>VLOOKUP(B145, Course!$A$2:$L$150, 8, FALSE)</f>
        <v>12</v>
      </c>
      <c r="H145">
        <v>3</v>
      </c>
      <c r="I145">
        <v>1</v>
      </c>
      <c r="K145" t="s">
        <v>1581</v>
      </c>
      <c r="L145" t="str">
        <f>VLOOKUP(B145, Course!$A$1:$O$133, 14, FALSE)</f>
        <v>SC</v>
      </c>
      <c r="M145">
        <v>1</v>
      </c>
    </row>
    <row r="146" spans="1:13" x14ac:dyDescent="0.2">
      <c r="A146">
        <v>145</v>
      </c>
      <c r="B146">
        <v>13</v>
      </c>
      <c r="C146">
        <v>14</v>
      </c>
      <c r="D146" t="s">
        <v>153</v>
      </c>
      <c r="E146" t="str">
        <f t="shared" si="2"/>
        <v>1214SC03PT</v>
      </c>
      <c r="F146">
        <f>VLOOKUP(B146,Course!$A$2:$R$329,2,FALSE)</f>
        <v>0</v>
      </c>
      <c r="G146">
        <f>VLOOKUP(B146, Course!$A$2:$L$150, 8, FALSE)</f>
        <v>12</v>
      </c>
      <c r="H146">
        <v>3</v>
      </c>
      <c r="I146">
        <v>1</v>
      </c>
      <c r="K146" t="s">
        <v>1581</v>
      </c>
      <c r="L146" t="str">
        <f>VLOOKUP(B146, Course!$A$1:$O$133, 14, FALSE)</f>
        <v>SC</v>
      </c>
      <c r="M146">
        <v>1</v>
      </c>
    </row>
    <row r="147" spans="1:13" x14ac:dyDescent="0.2">
      <c r="A147">
        <v>146</v>
      </c>
      <c r="B147">
        <v>13</v>
      </c>
      <c r="C147">
        <v>15</v>
      </c>
      <c r="D147" t="s">
        <v>153</v>
      </c>
      <c r="E147" t="str">
        <f t="shared" si="2"/>
        <v>1215SC03PT</v>
      </c>
      <c r="F147">
        <f>VLOOKUP(B147,Course!$A$2:$R$329,2,FALSE)</f>
        <v>0</v>
      </c>
      <c r="G147">
        <f>VLOOKUP(B147, Course!$A$2:$L$150, 8, FALSE)</f>
        <v>12</v>
      </c>
      <c r="H147">
        <v>3</v>
      </c>
      <c r="I147">
        <v>1</v>
      </c>
      <c r="K147" t="s">
        <v>1581</v>
      </c>
      <c r="L147" t="str">
        <f>VLOOKUP(B147, Course!$A$1:$O$133, 14, FALSE)</f>
        <v>SC</v>
      </c>
      <c r="M147">
        <v>1</v>
      </c>
    </row>
    <row r="148" spans="1:13" x14ac:dyDescent="0.2">
      <c r="A148">
        <v>147</v>
      </c>
      <c r="B148">
        <v>13</v>
      </c>
      <c r="C148">
        <v>16</v>
      </c>
      <c r="D148" t="s">
        <v>153</v>
      </c>
      <c r="E148" t="str">
        <f t="shared" si="2"/>
        <v>1216SC03PT</v>
      </c>
      <c r="F148">
        <f>VLOOKUP(B148,Course!$A$2:$R$329,2,FALSE)</f>
        <v>0</v>
      </c>
      <c r="G148">
        <f>VLOOKUP(B148, Course!$A$2:$L$150, 8, FALSE)</f>
        <v>12</v>
      </c>
      <c r="H148">
        <v>3</v>
      </c>
      <c r="I148">
        <v>1</v>
      </c>
      <c r="K148" t="s">
        <v>1581</v>
      </c>
      <c r="L148" t="str">
        <f>VLOOKUP(B148, Course!$A$1:$O$133, 14, FALSE)</f>
        <v>SC</v>
      </c>
      <c r="M148">
        <v>1</v>
      </c>
    </row>
    <row r="149" spans="1:13" x14ac:dyDescent="0.2">
      <c r="A149">
        <v>148</v>
      </c>
      <c r="B149">
        <v>13</v>
      </c>
      <c r="C149">
        <v>17</v>
      </c>
      <c r="D149" t="s">
        <v>153</v>
      </c>
      <c r="E149" t="str">
        <f t="shared" si="2"/>
        <v>1217SC03PT</v>
      </c>
      <c r="F149">
        <f>VLOOKUP(B149,Course!$A$2:$R$329,2,FALSE)</f>
        <v>0</v>
      </c>
      <c r="G149">
        <f>VLOOKUP(B149, Course!$A$2:$L$150, 8, FALSE)</f>
        <v>12</v>
      </c>
      <c r="H149">
        <v>3</v>
      </c>
      <c r="I149">
        <v>1</v>
      </c>
      <c r="K149" t="s">
        <v>1581</v>
      </c>
      <c r="L149" t="str">
        <f>VLOOKUP(B149, Course!$A$1:$O$133, 14, FALSE)</f>
        <v>SC</v>
      </c>
      <c r="M149">
        <v>1</v>
      </c>
    </row>
    <row r="150" spans="1:13" x14ac:dyDescent="0.2">
      <c r="A150">
        <v>149</v>
      </c>
      <c r="B150">
        <v>13</v>
      </c>
      <c r="C150">
        <v>18</v>
      </c>
      <c r="D150" t="s">
        <v>153</v>
      </c>
      <c r="E150" t="str">
        <f t="shared" si="2"/>
        <v>1218SC03PT</v>
      </c>
      <c r="F150">
        <f>VLOOKUP(B150,Course!$A$2:$R$329,2,FALSE)</f>
        <v>0</v>
      </c>
      <c r="G150">
        <f>VLOOKUP(B150, Course!$A$2:$L$150, 8, FALSE)</f>
        <v>12</v>
      </c>
      <c r="H150">
        <v>3</v>
      </c>
      <c r="I150">
        <v>1</v>
      </c>
      <c r="K150" t="s">
        <v>1581</v>
      </c>
      <c r="L150" t="str">
        <f>VLOOKUP(B150, Course!$A$1:$O$133, 14, FALSE)</f>
        <v>SC</v>
      </c>
      <c r="M150">
        <v>1</v>
      </c>
    </row>
    <row r="151" spans="1:13" x14ac:dyDescent="0.2">
      <c r="A151">
        <v>150</v>
      </c>
      <c r="B151">
        <v>13</v>
      </c>
      <c r="C151">
        <v>19</v>
      </c>
      <c r="D151" t="s">
        <v>153</v>
      </c>
      <c r="E151" t="str">
        <f t="shared" si="2"/>
        <v>1219SC03PT</v>
      </c>
      <c r="F151">
        <f>VLOOKUP(B151,Course!$A$2:$R$329,2,FALSE)</f>
        <v>0</v>
      </c>
      <c r="G151">
        <f>VLOOKUP(B151, Course!$A$2:$L$150, 8, FALSE)</f>
        <v>12</v>
      </c>
      <c r="H151">
        <v>3</v>
      </c>
      <c r="I151">
        <v>2</v>
      </c>
      <c r="K151" t="s">
        <v>1581</v>
      </c>
      <c r="L151" t="str">
        <f>VLOOKUP(B151, Course!$A$1:$O$133, 14, FALSE)</f>
        <v>SC</v>
      </c>
      <c r="M151">
        <v>1</v>
      </c>
    </row>
    <row r="152" spans="1:13" x14ac:dyDescent="0.2">
      <c r="A152">
        <v>151</v>
      </c>
      <c r="B152">
        <v>13</v>
      </c>
      <c r="C152">
        <v>20</v>
      </c>
      <c r="D152" t="s">
        <v>153</v>
      </c>
      <c r="E152" t="str">
        <f t="shared" si="2"/>
        <v>1220SC03PT</v>
      </c>
      <c r="F152">
        <f>VLOOKUP(B152,Course!$A$2:$R$329,2,FALSE)</f>
        <v>0</v>
      </c>
      <c r="G152">
        <f>VLOOKUP(B152, Course!$A$2:$L$150, 8, FALSE)</f>
        <v>12</v>
      </c>
      <c r="H152">
        <v>3</v>
      </c>
      <c r="I152">
        <v>1</v>
      </c>
      <c r="K152" t="s">
        <v>1581</v>
      </c>
      <c r="L152" t="str">
        <f>VLOOKUP(B152, Course!$A$1:$O$133, 14, FALSE)</f>
        <v>SC</v>
      </c>
      <c r="M152">
        <v>1</v>
      </c>
    </row>
    <row r="153" spans="1:13" x14ac:dyDescent="0.2">
      <c r="A153">
        <v>152</v>
      </c>
      <c r="B153">
        <v>13</v>
      </c>
      <c r="C153">
        <v>21</v>
      </c>
      <c r="D153" t="s">
        <v>153</v>
      </c>
      <c r="E153" t="str">
        <f t="shared" si="2"/>
        <v>1221SC03PT</v>
      </c>
      <c r="F153">
        <f>VLOOKUP(B153,Course!$A$2:$R$329,2,FALSE)</f>
        <v>0</v>
      </c>
      <c r="G153">
        <f>VLOOKUP(B153, Course!$A$2:$L$150, 8, FALSE)</f>
        <v>12</v>
      </c>
      <c r="H153">
        <v>3</v>
      </c>
      <c r="I153">
        <v>1</v>
      </c>
      <c r="K153" t="s">
        <v>1581</v>
      </c>
      <c r="L153" t="str">
        <f>VLOOKUP(B153, Course!$A$1:$O$133, 14, FALSE)</f>
        <v>SC</v>
      </c>
      <c r="M153">
        <v>1</v>
      </c>
    </row>
    <row r="154" spans="1:13" x14ac:dyDescent="0.2">
      <c r="A154">
        <v>153</v>
      </c>
      <c r="B154">
        <v>13</v>
      </c>
      <c r="C154">
        <v>22</v>
      </c>
      <c r="D154" t="s">
        <v>153</v>
      </c>
      <c r="E154" t="str">
        <f t="shared" si="2"/>
        <v>1222SC03PT</v>
      </c>
      <c r="F154">
        <f>VLOOKUP(B154,Course!$A$2:$R$329,2,FALSE)</f>
        <v>0</v>
      </c>
      <c r="G154">
        <f>VLOOKUP(B154, Course!$A$2:$L$150, 8, FALSE)</f>
        <v>12</v>
      </c>
      <c r="H154">
        <v>3</v>
      </c>
      <c r="I154">
        <v>1</v>
      </c>
      <c r="K154" t="s">
        <v>1581</v>
      </c>
      <c r="L154" t="str">
        <f>VLOOKUP(B154, Course!$A$1:$O$133, 14, FALSE)</f>
        <v>SC</v>
      </c>
      <c r="M154">
        <v>1</v>
      </c>
    </row>
    <row r="155" spans="1:13" x14ac:dyDescent="0.2">
      <c r="A155">
        <v>154</v>
      </c>
      <c r="B155">
        <v>13</v>
      </c>
      <c r="C155">
        <v>23</v>
      </c>
      <c r="D155" t="s">
        <v>153</v>
      </c>
      <c r="E155" t="str">
        <f t="shared" si="2"/>
        <v>1223SC03PT</v>
      </c>
      <c r="F155">
        <f>VLOOKUP(B155,Course!$A$2:$R$329,2,FALSE)</f>
        <v>0</v>
      </c>
      <c r="G155">
        <f>VLOOKUP(B155, Course!$A$2:$L$150, 8, FALSE)</f>
        <v>12</v>
      </c>
      <c r="H155">
        <v>3</v>
      </c>
      <c r="I155">
        <v>1</v>
      </c>
      <c r="K155" t="s">
        <v>1581</v>
      </c>
      <c r="L155" t="str">
        <f>VLOOKUP(B155, Course!$A$1:$O$133, 14, FALSE)</f>
        <v>SC</v>
      </c>
      <c r="M155">
        <v>1</v>
      </c>
    </row>
    <row r="156" spans="1:13" x14ac:dyDescent="0.2">
      <c r="A156">
        <v>155</v>
      </c>
      <c r="B156">
        <v>13</v>
      </c>
      <c r="C156">
        <v>24</v>
      </c>
      <c r="D156" t="s">
        <v>153</v>
      </c>
      <c r="E156" t="str">
        <f t="shared" si="2"/>
        <v>1224SC03PT</v>
      </c>
      <c r="F156">
        <f>VLOOKUP(B156,Course!$A$2:$R$329,2,FALSE)</f>
        <v>0</v>
      </c>
      <c r="G156">
        <f>VLOOKUP(B156, Course!$A$2:$L$150, 8, FALSE)</f>
        <v>12</v>
      </c>
      <c r="H156">
        <v>3</v>
      </c>
      <c r="I156">
        <v>1</v>
      </c>
      <c r="K156" t="s">
        <v>1581</v>
      </c>
      <c r="L156" t="str">
        <f>VLOOKUP(B156, Course!$A$1:$O$133, 14, FALSE)</f>
        <v>SC</v>
      </c>
      <c r="M156">
        <v>1</v>
      </c>
    </row>
    <row r="157" spans="1:13" x14ac:dyDescent="0.2">
      <c r="A157">
        <v>156</v>
      </c>
      <c r="B157">
        <v>14</v>
      </c>
      <c r="C157">
        <v>13</v>
      </c>
      <c r="D157" t="s">
        <v>156</v>
      </c>
      <c r="E157" t="str">
        <f t="shared" si="2"/>
        <v>1213SS03PT</v>
      </c>
      <c r="F157">
        <f>VLOOKUP(B157,Course!$A$2:$R$329,2,FALSE)</f>
        <v>0</v>
      </c>
      <c r="G157">
        <f>VLOOKUP(B157, Course!$A$2:$L$150, 8, FALSE)</f>
        <v>12</v>
      </c>
      <c r="H157">
        <v>3</v>
      </c>
      <c r="I157">
        <v>1</v>
      </c>
      <c r="K157" t="s">
        <v>1581</v>
      </c>
      <c r="L157" t="str">
        <f>VLOOKUP(B157, Course!$A$1:$O$133, 14, FALSE)</f>
        <v>SS</v>
      </c>
      <c r="M157">
        <v>1</v>
      </c>
    </row>
    <row r="158" spans="1:13" x14ac:dyDescent="0.2">
      <c r="A158">
        <v>157</v>
      </c>
      <c r="B158">
        <v>14</v>
      </c>
      <c r="C158">
        <v>14</v>
      </c>
      <c r="D158" t="s">
        <v>156</v>
      </c>
      <c r="E158" t="str">
        <f t="shared" si="2"/>
        <v>1214SS03PT</v>
      </c>
      <c r="F158">
        <f>VLOOKUP(B158,Course!$A$2:$R$329,2,FALSE)</f>
        <v>0</v>
      </c>
      <c r="G158">
        <f>VLOOKUP(B158, Course!$A$2:$L$150, 8, FALSE)</f>
        <v>12</v>
      </c>
      <c r="H158">
        <v>3</v>
      </c>
      <c r="I158">
        <v>1</v>
      </c>
      <c r="K158" t="s">
        <v>1581</v>
      </c>
      <c r="L158" t="str">
        <f>VLOOKUP(B158, Course!$A$1:$O$133, 14, FALSE)</f>
        <v>SS</v>
      </c>
      <c r="M158">
        <v>1</v>
      </c>
    </row>
    <row r="159" spans="1:13" x14ac:dyDescent="0.2">
      <c r="A159">
        <v>158</v>
      </c>
      <c r="B159">
        <v>14</v>
      </c>
      <c r="C159">
        <v>15</v>
      </c>
      <c r="D159" t="s">
        <v>156</v>
      </c>
      <c r="E159" t="str">
        <f t="shared" si="2"/>
        <v>1215SS03PT</v>
      </c>
      <c r="F159">
        <f>VLOOKUP(B159,Course!$A$2:$R$329,2,FALSE)</f>
        <v>0</v>
      </c>
      <c r="G159">
        <f>VLOOKUP(B159, Course!$A$2:$L$150, 8, FALSE)</f>
        <v>12</v>
      </c>
      <c r="H159">
        <v>3</v>
      </c>
      <c r="I159">
        <v>1</v>
      </c>
      <c r="K159" t="s">
        <v>1581</v>
      </c>
      <c r="L159" t="str">
        <f>VLOOKUP(B159, Course!$A$1:$O$133, 14, FALSE)</f>
        <v>SS</v>
      </c>
      <c r="M159">
        <v>1</v>
      </c>
    </row>
    <row r="160" spans="1:13" x14ac:dyDescent="0.2">
      <c r="A160">
        <v>159</v>
      </c>
      <c r="B160">
        <v>14</v>
      </c>
      <c r="C160">
        <v>16</v>
      </c>
      <c r="D160" t="s">
        <v>156</v>
      </c>
      <c r="E160" t="str">
        <f t="shared" si="2"/>
        <v>1216SS03PT</v>
      </c>
      <c r="F160">
        <f>VLOOKUP(B160,Course!$A$2:$R$329,2,FALSE)</f>
        <v>0</v>
      </c>
      <c r="G160">
        <f>VLOOKUP(B160, Course!$A$2:$L$150, 8, FALSE)</f>
        <v>12</v>
      </c>
      <c r="H160">
        <v>3</v>
      </c>
      <c r="I160">
        <v>1</v>
      </c>
      <c r="K160" t="s">
        <v>1581</v>
      </c>
      <c r="L160" t="str">
        <f>VLOOKUP(B160, Course!$A$1:$O$133, 14, FALSE)</f>
        <v>SS</v>
      </c>
      <c r="M160">
        <v>1</v>
      </c>
    </row>
    <row r="161" spans="1:13" x14ac:dyDescent="0.2">
      <c r="A161">
        <v>160</v>
      </c>
      <c r="B161">
        <v>14</v>
      </c>
      <c r="C161">
        <v>17</v>
      </c>
      <c r="D161" t="s">
        <v>156</v>
      </c>
      <c r="E161" t="str">
        <f t="shared" si="2"/>
        <v>1217SS03PT</v>
      </c>
      <c r="F161">
        <f>VLOOKUP(B161,Course!$A$2:$R$329,2,FALSE)</f>
        <v>0</v>
      </c>
      <c r="G161">
        <f>VLOOKUP(B161, Course!$A$2:$L$150, 8, FALSE)</f>
        <v>12</v>
      </c>
      <c r="H161">
        <v>3</v>
      </c>
      <c r="I161">
        <v>1</v>
      </c>
      <c r="K161" t="s">
        <v>1581</v>
      </c>
      <c r="L161" t="str">
        <f>VLOOKUP(B161, Course!$A$1:$O$133, 14, FALSE)</f>
        <v>SS</v>
      </c>
      <c r="M161">
        <v>1</v>
      </c>
    </row>
    <row r="162" spans="1:13" x14ac:dyDescent="0.2">
      <c r="A162">
        <v>161</v>
      </c>
      <c r="B162">
        <v>14</v>
      </c>
      <c r="C162">
        <v>18</v>
      </c>
      <c r="D162" t="s">
        <v>156</v>
      </c>
      <c r="E162" t="str">
        <f t="shared" si="2"/>
        <v>1218SS03PT</v>
      </c>
      <c r="F162">
        <f>VLOOKUP(B162,Course!$A$2:$R$329,2,FALSE)</f>
        <v>0</v>
      </c>
      <c r="G162">
        <f>VLOOKUP(B162, Course!$A$2:$L$150, 8, FALSE)</f>
        <v>12</v>
      </c>
      <c r="H162">
        <v>3</v>
      </c>
      <c r="I162">
        <v>1</v>
      </c>
      <c r="K162" t="s">
        <v>1581</v>
      </c>
      <c r="L162" t="str">
        <f>VLOOKUP(B162, Course!$A$1:$O$133, 14, FALSE)</f>
        <v>SS</v>
      </c>
      <c r="M162">
        <v>1</v>
      </c>
    </row>
    <row r="163" spans="1:13" x14ac:dyDescent="0.2">
      <c r="A163">
        <v>162</v>
      </c>
      <c r="B163">
        <v>14</v>
      </c>
      <c r="C163">
        <v>19</v>
      </c>
      <c r="D163" t="s">
        <v>156</v>
      </c>
      <c r="E163" t="str">
        <f t="shared" si="2"/>
        <v>1219SS03PT</v>
      </c>
      <c r="F163">
        <f>VLOOKUP(B163,Course!$A$2:$R$329,2,FALSE)</f>
        <v>0</v>
      </c>
      <c r="G163">
        <f>VLOOKUP(B163, Course!$A$2:$L$150, 8, FALSE)</f>
        <v>12</v>
      </c>
      <c r="H163">
        <v>3</v>
      </c>
      <c r="I163">
        <v>2</v>
      </c>
      <c r="K163" t="s">
        <v>1581</v>
      </c>
      <c r="L163" t="str">
        <f>VLOOKUP(B163, Course!$A$1:$O$133, 14, FALSE)</f>
        <v>SS</v>
      </c>
      <c r="M163">
        <v>1</v>
      </c>
    </row>
    <row r="164" spans="1:13" x14ac:dyDescent="0.2">
      <c r="A164">
        <v>163</v>
      </c>
      <c r="B164">
        <v>14</v>
      </c>
      <c r="C164">
        <v>20</v>
      </c>
      <c r="D164" t="s">
        <v>156</v>
      </c>
      <c r="E164" t="str">
        <f t="shared" si="2"/>
        <v>1220SS03PT</v>
      </c>
      <c r="F164">
        <f>VLOOKUP(B164,Course!$A$2:$R$329,2,FALSE)</f>
        <v>0</v>
      </c>
      <c r="G164">
        <f>VLOOKUP(B164, Course!$A$2:$L$150, 8, FALSE)</f>
        <v>12</v>
      </c>
      <c r="H164">
        <v>3</v>
      </c>
      <c r="I164">
        <v>1</v>
      </c>
      <c r="K164" t="s">
        <v>1581</v>
      </c>
      <c r="L164" t="str">
        <f>VLOOKUP(B164, Course!$A$1:$O$133, 14, FALSE)</f>
        <v>SS</v>
      </c>
      <c r="M164">
        <v>1</v>
      </c>
    </row>
    <row r="165" spans="1:13" x14ac:dyDescent="0.2">
      <c r="A165">
        <v>164</v>
      </c>
      <c r="B165">
        <v>14</v>
      </c>
      <c r="C165">
        <v>21</v>
      </c>
      <c r="D165" t="s">
        <v>156</v>
      </c>
      <c r="E165" t="str">
        <f t="shared" si="2"/>
        <v>1221SS03PT</v>
      </c>
      <c r="F165">
        <f>VLOOKUP(B165,Course!$A$2:$R$329,2,FALSE)</f>
        <v>0</v>
      </c>
      <c r="G165">
        <f>VLOOKUP(B165, Course!$A$2:$L$150, 8, FALSE)</f>
        <v>12</v>
      </c>
      <c r="H165">
        <v>3</v>
      </c>
      <c r="I165">
        <v>1</v>
      </c>
      <c r="K165" t="s">
        <v>1581</v>
      </c>
      <c r="L165" t="str">
        <f>VLOOKUP(B165, Course!$A$1:$O$133, 14, FALSE)</f>
        <v>SS</v>
      </c>
      <c r="M165">
        <v>1</v>
      </c>
    </row>
    <row r="166" spans="1:13" x14ac:dyDescent="0.2">
      <c r="A166">
        <v>165</v>
      </c>
      <c r="B166">
        <v>14</v>
      </c>
      <c r="C166">
        <v>22</v>
      </c>
      <c r="D166" t="s">
        <v>156</v>
      </c>
      <c r="E166" t="str">
        <f t="shared" si="2"/>
        <v>1222SS03PT</v>
      </c>
      <c r="F166">
        <f>VLOOKUP(B166,Course!$A$2:$R$329,2,FALSE)</f>
        <v>0</v>
      </c>
      <c r="G166">
        <f>VLOOKUP(B166, Course!$A$2:$L$150, 8, FALSE)</f>
        <v>12</v>
      </c>
      <c r="H166">
        <v>3</v>
      </c>
      <c r="I166">
        <v>1</v>
      </c>
      <c r="K166" t="s">
        <v>1581</v>
      </c>
      <c r="L166" t="str">
        <f>VLOOKUP(B166, Course!$A$1:$O$133, 14, FALSE)</f>
        <v>SS</v>
      </c>
      <c r="M166">
        <v>1</v>
      </c>
    </row>
    <row r="167" spans="1:13" x14ac:dyDescent="0.2">
      <c r="A167">
        <v>166</v>
      </c>
      <c r="B167">
        <v>14</v>
      </c>
      <c r="C167">
        <v>23</v>
      </c>
      <c r="D167" t="s">
        <v>156</v>
      </c>
      <c r="E167" t="str">
        <f t="shared" si="2"/>
        <v>1223SS03PT</v>
      </c>
      <c r="F167">
        <f>VLOOKUP(B167,Course!$A$2:$R$329,2,FALSE)</f>
        <v>0</v>
      </c>
      <c r="G167">
        <f>VLOOKUP(B167, Course!$A$2:$L$150, 8, FALSE)</f>
        <v>12</v>
      </c>
      <c r="H167">
        <v>3</v>
      </c>
      <c r="I167">
        <v>1</v>
      </c>
      <c r="K167" t="s">
        <v>1581</v>
      </c>
      <c r="L167" t="str">
        <f>VLOOKUP(B167, Course!$A$1:$O$133, 14, FALSE)</f>
        <v>SS</v>
      </c>
      <c r="M167">
        <v>1</v>
      </c>
    </row>
    <row r="168" spans="1:13" x14ac:dyDescent="0.2">
      <c r="A168">
        <v>167</v>
      </c>
      <c r="B168">
        <v>14</v>
      </c>
      <c r="C168">
        <v>24</v>
      </c>
      <c r="D168" t="s">
        <v>156</v>
      </c>
      <c r="E168" t="str">
        <f t="shared" si="2"/>
        <v>1224SS03PT</v>
      </c>
      <c r="F168">
        <f>VLOOKUP(B168,Course!$A$2:$R$329,2,FALSE)</f>
        <v>0</v>
      </c>
      <c r="G168">
        <f>VLOOKUP(B168, Course!$A$2:$L$150, 8, FALSE)</f>
        <v>12</v>
      </c>
      <c r="H168">
        <v>3</v>
      </c>
      <c r="I168">
        <v>1</v>
      </c>
      <c r="K168" t="s">
        <v>1581</v>
      </c>
      <c r="L168" t="str">
        <f>VLOOKUP(B168, Course!$A$1:$O$133, 14, FALSE)</f>
        <v>SS</v>
      </c>
      <c r="M168">
        <v>1</v>
      </c>
    </row>
    <row r="169" spans="1:13" x14ac:dyDescent="0.2">
      <c r="A169">
        <v>168</v>
      </c>
      <c r="B169">
        <v>15</v>
      </c>
      <c r="C169">
        <v>13</v>
      </c>
      <c r="D169" t="s">
        <v>231</v>
      </c>
      <c r="E169" t="str">
        <f t="shared" si="2"/>
        <v>1213BR03PT</v>
      </c>
      <c r="F169">
        <f>VLOOKUP(B169,Course!$A$2:$R$329,2,FALSE)</f>
        <v>0</v>
      </c>
      <c r="G169">
        <f>VLOOKUP(B169, Course!$A$2:$L$150, 8, FALSE)</f>
        <v>12</v>
      </c>
      <c r="H169">
        <v>3</v>
      </c>
      <c r="I169">
        <v>1</v>
      </c>
      <c r="K169" t="s">
        <v>1581</v>
      </c>
      <c r="L169" t="str">
        <f>VLOOKUP(B169, Course!$A$1:$O$133, 14, FALSE)</f>
        <v>BR</v>
      </c>
      <c r="M169">
        <v>1</v>
      </c>
    </row>
    <row r="170" spans="1:13" x14ac:dyDescent="0.2">
      <c r="A170">
        <v>169</v>
      </c>
      <c r="B170">
        <v>15</v>
      </c>
      <c r="C170">
        <v>14</v>
      </c>
      <c r="D170" t="s">
        <v>231</v>
      </c>
      <c r="E170" t="str">
        <f t="shared" si="2"/>
        <v>1214BR03PT</v>
      </c>
      <c r="F170">
        <f>VLOOKUP(B170,Course!$A$2:$R$329,2,FALSE)</f>
        <v>0</v>
      </c>
      <c r="G170">
        <f>VLOOKUP(B170, Course!$A$2:$L$150, 8, FALSE)</f>
        <v>12</v>
      </c>
      <c r="H170">
        <v>3</v>
      </c>
      <c r="I170">
        <v>1</v>
      </c>
      <c r="K170" t="s">
        <v>1581</v>
      </c>
      <c r="L170" t="str">
        <f>VLOOKUP(B170, Course!$A$1:$O$133, 14, FALSE)</f>
        <v>BR</v>
      </c>
      <c r="M170">
        <v>1</v>
      </c>
    </row>
    <row r="171" spans="1:13" x14ac:dyDescent="0.2">
      <c r="A171">
        <v>170</v>
      </c>
      <c r="B171">
        <v>15</v>
      </c>
      <c r="C171">
        <v>15</v>
      </c>
      <c r="D171" t="s">
        <v>231</v>
      </c>
      <c r="E171" t="str">
        <f t="shared" si="2"/>
        <v>1215BR03PT</v>
      </c>
      <c r="F171">
        <f>VLOOKUP(B171,Course!$A$2:$R$329,2,FALSE)</f>
        <v>0</v>
      </c>
      <c r="G171">
        <f>VLOOKUP(B171, Course!$A$2:$L$150, 8, FALSE)</f>
        <v>12</v>
      </c>
      <c r="H171">
        <v>3</v>
      </c>
      <c r="I171">
        <v>1</v>
      </c>
      <c r="K171" t="s">
        <v>1581</v>
      </c>
      <c r="L171" t="str">
        <f>VLOOKUP(B171, Course!$A$1:$O$133, 14, FALSE)</f>
        <v>BR</v>
      </c>
      <c r="M171">
        <v>1</v>
      </c>
    </row>
    <row r="172" spans="1:13" x14ac:dyDescent="0.2">
      <c r="A172">
        <v>171</v>
      </c>
      <c r="B172">
        <v>15</v>
      </c>
      <c r="C172">
        <v>16</v>
      </c>
      <c r="D172" t="s">
        <v>231</v>
      </c>
      <c r="E172" t="str">
        <f t="shared" si="2"/>
        <v>1216BR03PT</v>
      </c>
      <c r="F172">
        <f>VLOOKUP(B172,Course!$A$2:$R$329,2,FALSE)</f>
        <v>0</v>
      </c>
      <c r="G172">
        <f>VLOOKUP(B172, Course!$A$2:$L$150, 8, FALSE)</f>
        <v>12</v>
      </c>
      <c r="H172">
        <v>3</v>
      </c>
      <c r="I172">
        <v>1</v>
      </c>
      <c r="K172" t="s">
        <v>1581</v>
      </c>
      <c r="L172" t="str">
        <f>VLOOKUP(B172, Course!$A$1:$O$133, 14, FALSE)</f>
        <v>BR</v>
      </c>
      <c r="M172">
        <v>1</v>
      </c>
    </row>
    <row r="173" spans="1:13" x14ac:dyDescent="0.2">
      <c r="A173">
        <v>172</v>
      </c>
      <c r="B173">
        <v>15</v>
      </c>
      <c r="C173">
        <v>17</v>
      </c>
      <c r="D173" t="s">
        <v>231</v>
      </c>
      <c r="E173" t="str">
        <f t="shared" si="2"/>
        <v>1217BR03PT</v>
      </c>
      <c r="F173">
        <f>VLOOKUP(B173,Course!$A$2:$R$329,2,FALSE)</f>
        <v>0</v>
      </c>
      <c r="G173">
        <f>VLOOKUP(B173, Course!$A$2:$L$150, 8, FALSE)</f>
        <v>12</v>
      </c>
      <c r="H173">
        <v>3</v>
      </c>
      <c r="I173">
        <v>1</v>
      </c>
      <c r="K173" t="s">
        <v>1581</v>
      </c>
      <c r="L173" t="str">
        <f>VLOOKUP(B173, Course!$A$1:$O$133, 14, FALSE)</f>
        <v>BR</v>
      </c>
      <c r="M173">
        <v>1</v>
      </c>
    </row>
    <row r="174" spans="1:13" x14ac:dyDescent="0.2">
      <c r="A174">
        <v>173</v>
      </c>
      <c r="B174">
        <v>15</v>
      </c>
      <c r="C174">
        <v>18</v>
      </c>
      <c r="D174" t="s">
        <v>231</v>
      </c>
      <c r="E174" t="str">
        <f t="shared" si="2"/>
        <v>1218BR03PT</v>
      </c>
      <c r="F174">
        <f>VLOOKUP(B174,Course!$A$2:$R$329,2,FALSE)</f>
        <v>0</v>
      </c>
      <c r="G174">
        <f>VLOOKUP(B174, Course!$A$2:$L$150, 8, FALSE)</f>
        <v>12</v>
      </c>
      <c r="H174">
        <v>3</v>
      </c>
      <c r="I174">
        <v>1</v>
      </c>
      <c r="K174" t="s">
        <v>1581</v>
      </c>
      <c r="L174" t="str">
        <f>VLOOKUP(B174, Course!$A$1:$O$133, 14, FALSE)</f>
        <v>BR</v>
      </c>
      <c r="M174">
        <v>1</v>
      </c>
    </row>
    <row r="175" spans="1:13" x14ac:dyDescent="0.2">
      <c r="A175">
        <v>174</v>
      </c>
      <c r="B175">
        <v>15</v>
      </c>
      <c r="C175">
        <v>19</v>
      </c>
      <c r="D175" t="s">
        <v>231</v>
      </c>
      <c r="E175" t="str">
        <f t="shared" si="2"/>
        <v>1219BR03PT</v>
      </c>
      <c r="F175">
        <f>VLOOKUP(B175,Course!$A$2:$R$329,2,FALSE)</f>
        <v>0</v>
      </c>
      <c r="G175">
        <f>VLOOKUP(B175, Course!$A$2:$L$150, 8, FALSE)</f>
        <v>12</v>
      </c>
      <c r="H175">
        <v>3</v>
      </c>
      <c r="I175">
        <v>1</v>
      </c>
      <c r="K175" t="s">
        <v>1581</v>
      </c>
      <c r="L175" t="str">
        <f>VLOOKUP(B175, Course!$A$1:$O$133, 14, FALSE)</f>
        <v>BR</v>
      </c>
      <c r="M175">
        <v>1</v>
      </c>
    </row>
    <row r="176" spans="1:13" x14ac:dyDescent="0.2">
      <c r="A176">
        <v>175</v>
      </c>
      <c r="B176">
        <v>15</v>
      </c>
      <c r="C176">
        <v>20</v>
      </c>
      <c r="D176" t="s">
        <v>231</v>
      </c>
      <c r="E176" t="str">
        <f t="shared" si="2"/>
        <v>1220BR03PT</v>
      </c>
      <c r="F176">
        <f>VLOOKUP(B176,Course!$A$2:$R$329,2,FALSE)</f>
        <v>0</v>
      </c>
      <c r="G176">
        <f>VLOOKUP(B176, Course!$A$2:$L$150, 8, FALSE)</f>
        <v>12</v>
      </c>
      <c r="H176">
        <v>3</v>
      </c>
      <c r="I176">
        <v>1</v>
      </c>
      <c r="K176" t="s">
        <v>1581</v>
      </c>
      <c r="L176" t="str">
        <f>VLOOKUP(B176, Course!$A$1:$O$133, 14, FALSE)</f>
        <v>BR</v>
      </c>
      <c r="M176">
        <v>1</v>
      </c>
    </row>
    <row r="177" spans="1:13" x14ac:dyDescent="0.2">
      <c r="A177">
        <v>176</v>
      </c>
      <c r="B177">
        <v>15</v>
      </c>
      <c r="C177">
        <v>21</v>
      </c>
      <c r="D177" t="s">
        <v>231</v>
      </c>
      <c r="E177" t="str">
        <f t="shared" si="2"/>
        <v>1221BR03PT</v>
      </c>
      <c r="F177">
        <f>VLOOKUP(B177,Course!$A$2:$R$329,2,FALSE)</f>
        <v>0</v>
      </c>
      <c r="G177">
        <f>VLOOKUP(B177, Course!$A$2:$L$150, 8, FALSE)</f>
        <v>12</v>
      </c>
      <c r="H177">
        <v>3</v>
      </c>
      <c r="I177">
        <v>1</v>
      </c>
      <c r="K177" t="s">
        <v>1581</v>
      </c>
      <c r="L177" t="str">
        <f>VLOOKUP(B177, Course!$A$1:$O$133, 14, FALSE)</f>
        <v>BR</v>
      </c>
      <c r="M177">
        <v>1</v>
      </c>
    </row>
    <row r="178" spans="1:13" x14ac:dyDescent="0.2">
      <c r="A178">
        <v>177</v>
      </c>
      <c r="B178">
        <v>15</v>
      </c>
      <c r="C178">
        <v>22</v>
      </c>
      <c r="D178" t="s">
        <v>231</v>
      </c>
      <c r="E178" t="str">
        <f t="shared" si="2"/>
        <v>1222BR03PT</v>
      </c>
      <c r="F178">
        <f>VLOOKUP(B178,Course!$A$2:$R$329,2,FALSE)</f>
        <v>0</v>
      </c>
      <c r="G178">
        <f>VLOOKUP(B178, Course!$A$2:$L$150, 8, FALSE)</f>
        <v>12</v>
      </c>
      <c r="H178">
        <v>3</v>
      </c>
      <c r="I178">
        <v>1</v>
      </c>
      <c r="K178" t="s">
        <v>1581</v>
      </c>
      <c r="L178" t="str">
        <f>VLOOKUP(B178, Course!$A$1:$O$133, 14, FALSE)</f>
        <v>BR</v>
      </c>
      <c r="M178">
        <v>1</v>
      </c>
    </row>
    <row r="179" spans="1:13" x14ac:dyDescent="0.2">
      <c r="A179">
        <v>178</v>
      </c>
      <c r="B179">
        <v>15</v>
      </c>
      <c r="C179">
        <v>23</v>
      </c>
      <c r="D179" t="s">
        <v>231</v>
      </c>
      <c r="E179" t="str">
        <f t="shared" si="2"/>
        <v>1223BR03PT</v>
      </c>
      <c r="F179">
        <f>VLOOKUP(B179,Course!$A$2:$R$329,2,FALSE)</f>
        <v>0</v>
      </c>
      <c r="G179">
        <f>VLOOKUP(B179, Course!$A$2:$L$150, 8, FALSE)</f>
        <v>12</v>
      </c>
      <c r="H179">
        <v>3</v>
      </c>
      <c r="I179">
        <v>1</v>
      </c>
      <c r="K179" t="s">
        <v>1581</v>
      </c>
      <c r="L179" t="str">
        <f>VLOOKUP(B179, Course!$A$1:$O$133, 14, FALSE)</f>
        <v>BR</v>
      </c>
      <c r="M179">
        <v>1</v>
      </c>
    </row>
    <row r="180" spans="1:13" x14ac:dyDescent="0.2">
      <c r="A180">
        <v>179</v>
      </c>
      <c r="B180">
        <v>15</v>
      </c>
      <c r="C180">
        <v>24</v>
      </c>
      <c r="D180" t="s">
        <v>231</v>
      </c>
      <c r="E180" t="str">
        <f t="shared" si="2"/>
        <v>1224BR03PT</v>
      </c>
      <c r="F180">
        <f>VLOOKUP(B180,Course!$A$2:$R$329,2,FALSE)</f>
        <v>0</v>
      </c>
      <c r="G180">
        <f>VLOOKUP(B180, Course!$A$2:$L$150, 8, FALSE)</f>
        <v>12</v>
      </c>
      <c r="H180">
        <v>3</v>
      </c>
      <c r="I180">
        <v>1</v>
      </c>
      <c r="K180" t="s">
        <v>1581</v>
      </c>
      <c r="L180" t="str">
        <f>VLOOKUP(B180, Course!$A$1:$O$133, 14, FALSE)</f>
        <v>BR</v>
      </c>
      <c r="M180">
        <v>1</v>
      </c>
    </row>
    <row r="181" spans="1:13" x14ac:dyDescent="0.2">
      <c r="A181">
        <v>180</v>
      </c>
      <c r="B181">
        <v>16</v>
      </c>
      <c r="C181">
        <v>25</v>
      </c>
      <c r="D181" t="s">
        <v>141</v>
      </c>
      <c r="E181" t="str">
        <f t="shared" si="2"/>
        <v>1225MA03PT</v>
      </c>
      <c r="F181">
        <f>VLOOKUP(B181,Course!$A$2:$R$329,2,FALSE)</f>
        <v>0</v>
      </c>
      <c r="G181">
        <f>VLOOKUP(B181, Course!$A$2:$L$150, 8, FALSE)</f>
        <v>12</v>
      </c>
      <c r="H181">
        <v>3</v>
      </c>
      <c r="I181">
        <v>1</v>
      </c>
      <c r="K181" t="s">
        <v>1581</v>
      </c>
      <c r="L181" t="str">
        <f>VLOOKUP(B181, Course!$A$1:$O$133, 14, FALSE)</f>
        <v>MA</v>
      </c>
      <c r="M181">
        <v>1</v>
      </c>
    </row>
    <row r="182" spans="1:13" x14ac:dyDescent="0.2">
      <c r="A182">
        <v>181</v>
      </c>
      <c r="B182">
        <v>16</v>
      </c>
      <c r="C182">
        <v>26</v>
      </c>
      <c r="D182" t="s">
        <v>141</v>
      </c>
      <c r="E182" t="str">
        <f t="shared" si="2"/>
        <v>1226MA03PT</v>
      </c>
      <c r="F182">
        <f>VLOOKUP(B182,Course!$A$2:$R$329,2,FALSE)</f>
        <v>0</v>
      </c>
      <c r="G182">
        <f>VLOOKUP(B182, Course!$A$2:$L$150, 8, FALSE)</f>
        <v>12</v>
      </c>
      <c r="H182">
        <v>3</v>
      </c>
      <c r="I182">
        <v>1</v>
      </c>
      <c r="K182" t="s">
        <v>1581</v>
      </c>
      <c r="L182" t="str">
        <f>VLOOKUP(B182, Course!$A$1:$O$133, 14, FALSE)</f>
        <v>MA</v>
      </c>
      <c r="M182">
        <v>1</v>
      </c>
    </row>
    <row r="183" spans="1:13" x14ac:dyDescent="0.2">
      <c r="A183">
        <v>182</v>
      </c>
      <c r="B183">
        <v>16</v>
      </c>
      <c r="C183">
        <v>27</v>
      </c>
      <c r="D183" t="s">
        <v>141</v>
      </c>
      <c r="E183" t="str">
        <f t="shared" si="2"/>
        <v>1227MA03PT</v>
      </c>
      <c r="F183">
        <f>VLOOKUP(B183,Course!$A$2:$R$329,2,FALSE)</f>
        <v>0</v>
      </c>
      <c r="G183">
        <f>VLOOKUP(B183, Course!$A$2:$L$150, 8, FALSE)</f>
        <v>12</v>
      </c>
      <c r="H183">
        <v>3</v>
      </c>
      <c r="I183">
        <v>1</v>
      </c>
      <c r="K183" t="s">
        <v>1581</v>
      </c>
      <c r="L183" t="str">
        <f>VLOOKUP(B183, Course!$A$1:$O$133, 14, FALSE)</f>
        <v>MA</v>
      </c>
      <c r="M183">
        <v>1</v>
      </c>
    </row>
    <row r="184" spans="1:13" x14ac:dyDescent="0.2">
      <c r="A184">
        <v>183</v>
      </c>
      <c r="B184">
        <v>16</v>
      </c>
      <c r="C184">
        <v>28</v>
      </c>
      <c r="D184" t="s">
        <v>141</v>
      </c>
      <c r="E184" t="str">
        <f t="shared" si="2"/>
        <v>1228MA03PT</v>
      </c>
      <c r="F184">
        <f>VLOOKUP(B184,Course!$A$2:$R$329,2,FALSE)</f>
        <v>0</v>
      </c>
      <c r="G184">
        <f>VLOOKUP(B184, Course!$A$2:$L$150, 8, FALSE)</f>
        <v>12</v>
      </c>
      <c r="H184">
        <v>3</v>
      </c>
      <c r="I184">
        <v>1</v>
      </c>
      <c r="K184" t="s">
        <v>1581</v>
      </c>
      <c r="L184" t="str">
        <f>VLOOKUP(B184, Course!$A$1:$O$133, 14, FALSE)</f>
        <v>MA</v>
      </c>
      <c r="M184">
        <v>1</v>
      </c>
    </row>
    <row r="185" spans="1:13" x14ac:dyDescent="0.2">
      <c r="A185">
        <v>184</v>
      </c>
      <c r="B185">
        <v>16</v>
      </c>
      <c r="C185">
        <v>29</v>
      </c>
      <c r="D185" t="s">
        <v>141</v>
      </c>
      <c r="E185" t="str">
        <f t="shared" si="2"/>
        <v>1229MA03PT</v>
      </c>
      <c r="F185">
        <f>VLOOKUP(B185,Course!$A$2:$R$329,2,FALSE)</f>
        <v>0</v>
      </c>
      <c r="G185">
        <f>VLOOKUP(B185, Course!$A$2:$L$150, 8, FALSE)</f>
        <v>12</v>
      </c>
      <c r="H185">
        <v>3</v>
      </c>
      <c r="I185">
        <v>1</v>
      </c>
      <c r="K185" t="s">
        <v>1581</v>
      </c>
      <c r="L185" t="str">
        <f>VLOOKUP(B185, Course!$A$1:$O$133, 14, FALSE)</f>
        <v>MA</v>
      </c>
      <c r="M185">
        <v>1</v>
      </c>
    </row>
    <row r="186" spans="1:13" x14ac:dyDescent="0.2">
      <c r="A186">
        <v>185</v>
      </c>
      <c r="B186">
        <v>16</v>
      </c>
      <c r="C186">
        <v>30</v>
      </c>
      <c r="D186" t="s">
        <v>141</v>
      </c>
      <c r="E186" t="str">
        <f t="shared" si="2"/>
        <v>1230MA03PT</v>
      </c>
      <c r="F186">
        <f>VLOOKUP(B186,Course!$A$2:$R$329,2,FALSE)</f>
        <v>0</v>
      </c>
      <c r="G186">
        <f>VLOOKUP(B186, Course!$A$2:$L$150, 8, FALSE)</f>
        <v>12</v>
      </c>
      <c r="H186">
        <v>3</v>
      </c>
      <c r="I186">
        <v>1</v>
      </c>
      <c r="K186" t="s">
        <v>1581</v>
      </c>
      <c r="L186" t="str">
        <f>VLOOKUP(B186, Course!$A$1:$O$133, 14, FALSE)</f>
        <v>MA</v>
      </c>
      <c r="M186">
        <v>1</v>
      </c>
    </row>
    <row r="187" spans="1:13" x14ac:dyDescent="0.2">
      <c r="A187">
        <v>186</v>
      </c>
      <c r="B187">
        <v>16</v>
      </c>
      <c r="C187">
        <v>31</v>
      </c>
      <c r="D187" t="s">
        <v>141</v>
      </c>
      <c r="E187" t="str">
        <f t="shared" si="2"/>
        <v>1231MA03PT</v>
      </c>
      <c r="F187">
        <f>VLOOKUP(B187,Course!$A$2:$R$329,2,FALSE)</f>
        <v>0</v>
      </c>
      <c r="G187">
        <f>VLOOKUP(B187, Course!$A$2:$L$150, 8, FALSE)</f>
        <v>12</v>
      </c>
      <c r="H187">
        <v>3</v>
      </c>
      <c r="I187">
        <v>1</v>
      </c>
      <c r="K187" t="s">
        <v>1581</v>
      </c>
      <c r="L187" t="str">
        <f>VLOOKUP(B187, Course!$A$1:$O$133, 14, FALSE)</f>
        <v>MA</v>
      </c>
      <c r="M187">
        <v>1</v>
      </c>
    </row>
    <row r="188" spans="1:13" x14ac:dyDescent="0.2">
      <c r="A188">
        <v>187</v>
      </c>
      <c r="B188">
        <v>16</v>
      </c>
      <c r="C188">
        <v>32</v>
      </c>
      <c r="D188" t="s">
        <v>141</v>
      </c>
      <c r="E188" t="str">
        <f t="shared" si="2"/>
        <v>1232MA03PT</v>
      </c>
      <c r="F188">
        <f>VLOOKUP(B188,Course!$A$2:$R$329,2,FALSE)</f>
        <v>0</v>
      </c>
      <c r="G188">
        <f>VLOOKUP(B188, Course!$A$2:$L$150, 8, FALSE)</f>
        <v>12</v>
      </c>
      <c r="H188">
        <v>3</v>
      </c>
      <c r="I188">
        <v>1</v>
      </c>
      <c r="K188" t="s">
        <v>1581</v>
      </c>
      <c r="L188" t="str">
        <f>VLOOKUP(B188, Course!$A$1:$O$133, 14, FALSE)</f>
        <v>MA</v>
      </c>
      <c r="M188">
        <v>1</v>
      </c>
    </row>
    <row r="189" spans="1:13" x14ac:dyDescent="0.2">
      <c r="A189">
        <v>188</v>
      </c>
      <c r="B189">
        <v>16</v>
      </c>
      <c r="C189">
        <v>33</v>
      </c>
      <c r="D189" t="s">
        <v>141</v>
      </c>
      <c r="E189" t="str">
        <f t="shared" si="2"/>
        <v>1233MA03PT</v>
      </c>
      <c r="F189">
        <f>VLOOKUP(B189,Course!$A$2:$R$329,2,FALSE)</f>
        <v>0</v>
      </c>
      <c r="G189">
        <f>VLOOKUP(B189, Course!$A$2:$L$150, 8, FALSE)</f>
        <v>12</v>
      </c>
      <c r="H189">
        <v>3</v>
      </c>
      <c r="I189">
        <v>1</v>
      </c>
      <c r="K189" t="s">
        <v>1581</v>
      </c>
      <c r="L189" t="str">
        <f>VLOOKUP(B189, Course!$A$1:$O$133, 14, FALSE)</f>
        <v>MA</v>
      </c>
      <c r="M189">
        <v>1</v>
      </c>
    </row>
    <row r="190" spans="1:13" x14ac:dyDescent="0.2">
      <c r="A190">
        <v>189</v>
      </c>
      <c r="B190">
        <v>16</v>
      </c>
      <c r="C190">
        <v>34</v>
      </c>
      <c r="D190" t="s">
        <v>141</v>
      </c>
      <c r="E190" t="str">
        <f t="shared" si="2"/>
        <v>1234MA03PT</v>
      </c>
      <c r="F190">
        <f>VLOOKUP(B190,Course!$A$2:$R$329,2,FALSE)</f>
        <v>0</v>
      </c>
      <c r="G190">
        <f>VLOOKUP(B190, Course!$A$2:$L$150, 8, FALSE)</f>
        <v>12</v>
      </c>
      <c r="H190">
        <v>3</v>
      </c>
      <c r="I190">
        <v>1</v>
      </c>
      <c r="K190" t="s">
        <v>1581</v>
      </c>
      <c r="L190" t="str">
        <f>VLOOKUP(B190, Course!$A$1:$O$133, 14, FALSE)</f>
        <v>MA</v>
      </c>
      <c r="M190">
        <v>1</v>
      </c>
    </row>
    <row r="191" spans="1:13" x14ac:dyDescent="0.2">
      <c r="A191">
        <v>190</v>
      </c>
      <c r="B191">
        <v>16</v>
      </c>
      <c r="C191">
        <v>35</v>
      </c>
      <c r="D191" t="s">
        <v>141</v>
      </c>
      <c r="E191" t="str">
        <f t="shared" si="2"/>
        <v>1235MA03PT</v>
      </c>
      <c r="F191">
        <f>VLOOKUP(B191,Course!$A$2:$R$329,2,FALSE)</f>
        <v>0</v>
      </c>
      <c r="G191">
        <f>VLOOKUP(B191, Course!$A$2:$L$150, 8, FALSE)</f>
        <v>12</v>
      </c>
      <c r="H191">
        <v>3</v>
      </c>
      <c r="I191">
        <v>1</v>
      </c>
      <c r="K191" t="s">
        <v>1581</v>
      </c>
      <c r="L191" t="str">
        <f>VLOOKUP(B191, Course!$A$1:$O$133, 14, FALSE)</f>
        <v>MA</v>
      </c>
      <c r="M191">
        <v>1</v>
      </c>
    </row>
    <row r="192" spans="1:13" x14ac:dyDescent="0.2">
      <c r="A192">
        <v>191</v>
      </c>
      <c r="B192">
        <v>16</v>
      </c>
      <c r="C192">
        <v>36</v>
      </c>
      <c r="D192" t="s">
        <v>141</v>
      </c>
      <c r="E192" t="str">
        <f t="shared" si="2"/>
        <v>1236MA03PT</v>
      </c>
      <c r="F192">
        <f>VLOOKUP(B192,Course!$A$2:$R$329,2,FALSE)</f>
        <v>0</v>
      </c>
      <c r="G192">
        <f>VLOOKUP(B192, Course!$A$2:$L$150, 8, FALSE)</f>
        <v>12</v>
      </c>
      <c r="H192">
        <v>3</v>
      </c>
      <c r="I192">
        <v>1</v>
      </c>
      <c r="K192" t="s">
        <v>1581</v>
      </c>
      <c r="L192" t="str">
        <f>VLOOKUP(B192, Course!$A$1:$O$133, 14, FALSE)</f>
        <v>MA</v>
      </c>
      <c r="M192">
        <v>1</v>
      </c>
    </row>
    <row r="193" spans="1:13" x14ac:dyDescent="0.2">
      <c r="A193">
        <v>192</v>
      </c>
      <c r="B193">
        <v>17</v>
      </c>
      <c r="C193">
        <v>25</v>
      </c>
      <c r="D193" t="s">
        <v>224</v>
      </c>
      <c r="E193" t="str">
        <f t="shared" si="2"/>
        <v>1225EN03PT</v>
      </c>
      <c r="F193">
        <f>VLOOKUP(B193,Course!$A$2:$R$329,2,FALSE)</f>
        <v>0</v>
      </c>
      <c r="G193">
        <f>VLOOKUP(B193, Course!$A$2:$L$150, 8, FALSE)</f>
        <v>12</v>
      </c>
      <c r="H193">
        <v>3</v>
      </c>
      <c r="I193">
        <v>1</v>
      </c>
      <c r="K193" t="s">
        <v>1581</v>
      </c>
      <c r="L193" t="str">
        <f>VLOOKUP(B193, Course!$A$1:$O$133, 14, FALSE)</f>
        <v>EN</v>
      </c>
      <c r="M193">
        <v>1</v>
      </c>
    </row>
    <row r="194" spans="1:13" x14ac:dyDescent="0.2">
      <c r="A194">
        <v>193</v>
      </c>
      <c r="B194">
        <v>17</v>
      </c>
      <c r="C194">
        <v>26</v>
      </c>
      <c r="D194" t="s">
        <v>224</v>
      </c>
      <c r="E194" t="str">
        <f t="shared" ref="E194:E257" si="3">UPPER(LEFT(G194,2)) &amp; RIGHT("0" &amp; C194, 2) &amp; D194 &amp; RIGHT("0" &amp; H194, 2) &amp; K194</f>
        <v>1226EN03PT</v>
      </c>
      <c r="F194">
        <f>VLOOKUP(B194,Course!$A$2:$R$329,2,FALSE)</f>
        <v>0</v>
      </c>
      <c r="G194">
        <f>VLOOKUP(B194, Course!$A$2:$L$150, 8, FALSE)</f>
        <v>12</v>
      </c>
      <c r="H194">
        <v>3</v>
      </c>
      <c r="I194">
        <v>1</v>
      </c>
      <c r="K194" t="s">
        <v>1581</v>
      </c>
      <c r="L194" t="str">
        <f>VLOOKUP(B194, Course!$A$1:$O$133, 14, FALSE)</f>
        <v>EN</v>
      </c>
      <c r="M194">
        <v>1</v>
      </c>
    </row>
    <row r="195" spans="1:13" x14ac:dyDescent="0.2">
      <c r="A195">
        <v>194</v>
      </c>
      <c r="B195">
        <v>17</v>
      </c>
      <c r="C195">
        <v>27</v>
      </c>
      <c r="D195" t="s">
        <v>224</v>
      </c>
      <c r="E195" t="str">
        <f t="shared" si="3"/>
        <v>1227EN03PT</v>
      </c>
      <c r="F195">
        <f>VLOOKUP(B195,Course!$A$2:$R$329,2,FALSE)</f>
        <v>0</v>
      </c>
      <c r="G195">
        <f>VLOOKUP(B195, Course!$A$2:$L$150, 8, FALSE)</f>
        <v>12</v>
      </c>
      <c r="H195">
        <v>3</v>
      </c>
      <c r="I195">
        <v>1</v>
      </c>
      <c r="K195" t="s">
        <v>1581</v>
      </c>
      <c r="L195" t="str">
        <f>VLOOKUP(B195, Course!$A$1:$O$133, 14, FALSE)</f>
        <v>EN</v>
      </c>
      <c r="M195">
        <v>1</v>
      </c>
    </row>
    <row r="196" spans="1:13" x14ac:dyDescent="0.2">
      <c r="A196">
        <v>195</v>
      </c>
      <c r="B196">
        <v>17</v>
      </c>
      <c r="C196">
        <v>28</v>
      </c>
      <c r="D196" t="s">
        <v>224</v>
      </c>
      <c r="E196" t="str">
        <f t="shared" si="3"/>
        <v>1228EN03PT</v>
      </c>
      <c r="F196">
        <f>VLOOKUP(B196,Course!$A$2:$R$329,2,FALSE)</f>
        <v>0</v>
      </c>
      <c r="G196">
        <f>VLOOKUP(B196, Course!$A$2:$L$150, 8, FALSE)</f>
        <v>12</v>
      </c>
      <c r="H196">
        <v>3</v>
      </c>
      <c r="I196">
        <v>1</v>
      </c>
      <c r="K196" t="s">
        <v>1581</v>
      </c>
      <c r="L196" t="str">
        <f>VLOOKUP(B196, Course!$A$1:$O$133, 14, FALSE)</f>
        <v>EN</v>
      </c>
      <c r="M196">
        <v>1</v>
      </c>
    </row>
    <row r="197" spans="1:13" x14ac:dyDescent="0.2">
      <c r="A197">
        <v>196</v>
      </c>
      <c r="B197">
        <v>17</v>
      </c>
      <c r="C197">
        <v>29</v>
      </c>
      <c r="D197" t="s">
        <v>224</v>
      </c>
      <c r="E197" t="str">
        <f t="shared" si="3"/>
        <v>1229EN03PT</v>
      </c>
      <c r="F197">
        <f>VLOOKUP(B197,Course!$A$2:$R$329,2,FALSE)</f>
        <v>0</v>
      </c>
      <c r="G197">
        <f>VLOOKUP(B197, Course!$A$2:$L$150, 8, FALSE)</f>
        <v>12</v>
      </c>
      <c r="H197">
        <v>3</v>
      </c>
      <c r="I197">
        <v>1</v>
      </c>
      <c r="K197" t="s">
        <v>1581</v>
      </c>
      <c r="L197" t="str">
        <f>VLOOKUP(B197, Course!$A$1:$O$133, 14, FALSE)</f>
        <v>EN</v>
      </c>
      <c r="M197">
        <v>1</v>
      </c>
    </row>
    <row r="198" spans="1:13" x14ac:dyDescent="0.2">
      <c r="A198">
        <v>197</v>
      </c>
      <c r="B198">
        <v>17</v>
      </c>
      <c r="C198">
        <v>30</v>
      </c>
      <c r="D198" t="s">
        <v>224</v>
      </c>
      <c r="E198" t="str">
        <f t="shared" si="3"/>
        <v>1230EN03PT</v>
      </c>
      <c r="F198">
        <f>VLOOKUP(B198,Course!$A$2:$R$329,2,FALSE)</f>
        <v>0</v>
      </c>
      <c r="G198">
        <f>VLOOKUP(B198, Course!$A$2:$L$150, 8, FALSE)</f>
        <v>12</v>
      </c>
      <c r="H198">
        <v>3</v>
      </c>
      <c r="I198">
        <v>1</v>
      </c>
      <c r="K198" t="s">
        <v>1581</v>
      </c>
      <c r="L198" t="str">
        <f>VLOOKUP(B198, Course!$A$1:$O$133, 14, FALSE)</f>
        <v>EN</v>
      </c>
      <c r="M198">
        <v>1</v>
      </c>
    </row>
    <row r="199" spans="1:13" x14ac:dyDescent="0.2">
      <c r="A199">
        <v>198</v>
      </c>
      <c r="B199">
        <v>17</v>
      </c>
      <c r="C199">
        <v>31</v>
      </c>
      <c r="D199" t="s">
        <v>224</v>
      </c>
      <c r="E199" t="str">
        <f t="shared" si="3"/>
        <v>1231EN03PT</v>
      </c>
      <c r="F199">
        <f>VLOOKUP(B199,Course!$A$2:$R$329,2,FALSE)</f>
        <v>0</v>
      </c>
      <c r="G199">
        <f>VLOOKUP(B199, Course!$A$2:$L$150, 8, FALSE)</f>
        <v>12</v>
      </c>
      <c r="H199">
        <v>3</v>
      </c>
      <c r="I199">
        <v>1</v>
      </c>
      <c r="K199" t="s">
        <v>1581</v>
      </c>
      <c r="L199" t="str">
        <f>VLOOKUP(B199, Course!$A$1:$O$133, 14, FALSE)</f>
        <v>EN</v>
      </c>
      <c r="M199">
        <v>1</v>
      </c>
    </row>
    <row r="200" spans="1:13" x14ac:dyDescent="0.2">
      <c r="A200">
        <v>199</v>
      </c>
      <c r="B200">
        <v>17</v>
      </c>
      <c r="C200">
        <v>32</v>
      </c>
      <c r="D200" t="s">
        <v>224</v>
      </c>
      <c r="E200" t="str">
        <f t="shared" si="3"/>
        <v>1232EN03PT</v>
      </c>
      <c r="F200">
        <f>VLOOKUP(B200,Course!$A$2:$R$329,2,FALSE)</f>
        <v>0</v>
      </c>
      <c r="G200">
        <f>VLOOKUP(B200, Course!$A$2:$L$150, 8, FALSE)</f>
        <v>12</v>
      </c>
      <c r="H200">
        <v>3</v>
      </c>
      <c r="I200">
        <v>1</v>
      </c>
      <c r="K200" t="s">
        <v>1581</v>
      </c>
      <c r="L200" t="str">
        <f>VLOOKUP(B200, Course!$A$1:$O$133, 14, FALSE)</f>
        <v>EN</v>
      </c>
      <c r="M200">
        <v>1</v>
      </c>
    </row>
    <row r="201" spans="1:13" x14ac:dyDescent="0.2">
      <c r="A201">
        <v>200</v>
      </c>
      <c r="B201">
        <v>17</v>
      </c>
      <c r="C201">
        <v>33</v>
      </c>
      <c r="D201" t="s">
        <v>224</v>
      </c>
      <c r="E201" t="str">
        <f t="shared" si="3"/>
        <v>1233EN03PT</v>
      </c>
      <c r="F201">
        <f>VLOOKUP(B201,Course!$A$2:$R$329,2,FALSE)</f>
        <v>0</v>
      </c>
      <c r="G201">
        <f>VLOOKUP(B201, Course!$A$2:$L$150, 8, FALSE)</f>
        <v>12</v>
      </c>
      <c r="H201">
        <v>3</v>
      </c>
      <c r="I201">
        <v>1</v>
      </c>
      <c r="K201" t="s">
        <v>1581</v>
      </c>
      <c r="L201" t="str">
        <f>VLOOKUP(B201, Course!$A$1:$O$133, 14, FALSE)</f>
        <v>EN</v>
      </c>
      <c r="M201">
        <v>1</v>
      </c>
    </row>
    <row r="202" spans="1:13" x14ac:dyDescent="0.2">
      <c r="A202">
        <v>201</v>
      </c>
      <c r="B202">
        <v>17</v>
      </c>
      <c r="C202">
        <v>34</v>
      </c>
      <c r="D202" t="s">
        <v>224</v>
      </c>
      <c r="E202" t="str">
        <f t="shared" si="3"/>
        <v>1234EN03PT</v>
      </c>
      <c r="F202">
        <f>VLOOKUP(B202,Course!$A$2:$R$329,2,FALSE)</f>
        <v>0</v>
      </c>
      <c r="G202">
        <f>VLOOKUP(B202, Course!$A$2:$L$150, 8, FALSE)</f>
        <v>12</v>
      </c>
      <c r="H202">
        <v>3</v>
      </c>
      <c r="I202">
        <v>1</v>
      </c>
      <c r="K202" t="s">
        <v>1581</v>
      </c>
      <c r="L202" t="str">
        <f>VLOOKUP(B202, Course!$A$1:$O$133, 14, FALSE)</f>
        <v>EN</v>
      </c>
      <c r="M202">
        <v>1</v>
      </c>
    </row>
    <row r="203" spans="1:13" x14ac:dyDescent="0.2">
      <c r="A203">
        <v>202</v>
      </c>
      <c r="B203">
        <v>17</v>
      </c>
      <c r="C203">
        <v>35</v>
      </c>
      <c r="D203" t="s">
        <v>224</v>
      </c>
      <c r="E203" t="str">
        <f t="shared" si="3"/>
        <v>1235EN03PT</v>
      </c>
      <c r="F203">
        <f>VLOOKUP(B203,Course!$A$2:$R$329,2,FALSE)</f>
        <v>0</v>
      </c>
      <c r="G203">
        <f>VLOOKUP(B203, Course!$A$2:$L$150, 8, FALSE)</f>
        <v>12</v>
      </c>
      <c r="H203">
        <v>3</v>
      </c>
      <c r="I203">
        <v>1</v>
      </c>
      <c r="K203" t="s">
        <v>1581</v>
      </c>
      <c r="L203" t="str">
        <f>VLOOKUP(B203, Course!$A$1:$O$133, 14, FALSE)</f>
        <v>EN</v>
      </c>
      <c r="M203">
        <v>1</v>
      </c>
    </row>
    <row r="204" spans="1:13" x14ac:dyDescent="0.2">
      <c r="A204">
        <v>203</v>
      </c>
      <c r="B204">
        <v>17</v>
      </c>
      <c r="C204">
        <v>36</v>
      </c>
      <c r="D204" t="s">
        <v>224</v>
      </c>
      <c r="E204" t="str">
        <f t="shared" si="3"/>
        <v>1236EN03PT</v>
      </c>
      <c r="F204">
        <f>VLOOKUP(B204,Course!$A$2:$R$329,2,FALSE)</f>
        <v>0</v>
      </c>
      <c r="G204">
        <f>VLOOKUP(B204, Course!$A$2:$L$150, 8, FALSE)</f>
        <v>12</v>
      </c>
      <c r="H204">
        <v>3</v>
      </c>
      <c r="I204">
        <v>1</v>
      </c>
      <c r="K204" t="s">
        <v>1581</v>
      </c>
      <c r="L204" t="str">
        <f>VLOOKUP(B204, Course!$A$1:$O$133, 14, FALSE)</f>
        <v>EN</v>
      </c>
      <c r="M204">
        <v>1</v>
      </c>
    </row>
    <row r="205" spans="1:13" x14ac:dyDescent="0.2">
      <c r="A205">
        <v>204</v>
      </c>
      <c r="B205">
        <v>18</v>
      </c>
      <c r="C205">
        <v>25</v>
      </c>
      <c r="D205" t="s">
        <v>147</v>
      </c>
      <c r="E205" t="str">
        <f t="shared" si="3"/>
        <v>1225WB03PT</v>
      </c>
      <c r="F205">
        <f>VLOOKUP(B205,Course!$A$2:$R$329,2,FALSE)</f>
        <v>0</v>
      </c>
      <c r="G205">
        <f>VLOOKUP(B205, Course!$A$2:$L$150, 8, FALSE)</f>
        <v>12</v>
      </c>
      <c r="H205">
        <v>3</v>
      </c>
      <c r="I205">
        <v>1</v>
      </c>
      <c r="K205" t="s">
        <v>1581</v>
      </c>
      <c r="L205" t="str">
        <f>VLOOKUP(B205, Course!$A$1:$O$133, 14, FALSE)</f>
        <v>WB</v>
      </c>
      <c r="M205">
        <v>1</v>
      </c>
    </row>
    <row r="206" spans="1:13" x14ac:dyDescent="0.2">
      <c r="A206">
        <v>205</v>
      </c>
      <c r="B206">
        <v>18</v>
      </c>
      <c r="C206">
        <v>26</v>
      </c>
      <c r="D206" t="s">
        <v>147</v>
      </c>
      <c r="E206" t="str">
        <f t="shared" si="3"/>
        <v>1226WB03PT</v>
      </c>
      <c r="F206">
        <f>VLOOKUP(B206,Course!$A$2:$R$329,2,FALSE)</f>
        <v>0</v>
      </c>
      <c r="G206">
        <f>VLOOKUP(B206, Course!$A$2:$L$150, 8, FALSE)</f>
        <v>12</v>
      </c>
      <c r="H206">
        <v>3</v>
      </c>
      <c r="I206">
        <v>1</v>
      </c>
      <c r="K206" t="s">
        <v>1581</v>
      </c>
      <c r="L206" t="str">
        <f>VLOOKUP(B206, Course!$A$1:$O$133, 14, FALSE)</f>
        <v>WB</v>
      </c>
      <c r="M206">
        <v>1</v>
      </c>
    </row>
    <row r="207" spans="1:13" x14ac:dyDescent="0.2">
      <c r="A207">
        <v>206</v>
      </c>
      <c r="B207">
        <v>18</v>
      </c>
      <c r="C207">
        <v>27</v>
      </c>
      <c r="D207" t="s">
        <v>147</v>
      </c>
      <c r="E207" t="str">
        <f t="shared" si="3"/>
        <v>1227WB03PT</v>
      </c>
      <c r="F207">
        <f>VLOOKUP(B207,Course!$A$2:$R$329,2,FALSE)</f>
        <v>0</v>
      </c>
      <c r="G207">
        <f>VLOOKUP(B207, Course!$A$2:$L$150, 8, FALSE)</f>
        <v>12</v>
      </c>
      <c r="H207">
        <v>3</v>
      </c>
      <c r="I207">
        <v>1</v>
      </c>
      <c r="K207" t="s">
        <v>1581</v>
      </c>
      <c r="L207" t="str">
        <f>VLOOKUP(B207, Course!$A$1:$O$133, 14, FALSE)</f>
        <v>WB</v>
      </c>
      <c r="M207">
        <v>1</v>
      </c>
    </row>
    <row r="208" spans="1:13" x14ac:dyDescent="0.2">
      <c r="A208">
        <v>207</v>
      </c>
      <c r="B208">
        <v>18</v>
      </c>
      <c r="C208">
        <v>28</v>
      </c>
      <c r="D208" t="s">
        <v>147</v>
      </c>
      <c r="E208" t="str">
        <f t="shared" si="3"/>
        <v>1228WB03PT</v>
      </c>
      <c r="F208">
        <f>VLOOKUP(B208,Course!$A$2:$R$329,2,FALSE)</f>
        <v>0</v>
      </c>
      <c r="G208">
        <f>VLOOKUP(B208, Course!$A$2:$L$150, 8, FALSE)</f>
        <v>12</v>
      </c>
      <c r="H208">
        <v>3</v>
      </c>
      <c r="I208">
        <v>1</v>
      </c>
      <c r="K208" t="s">
        <v>1581</v>
      </c>
      <c r="L208" t="str">
        <f>VLOOKUP(B208, Course!$A$1:$O$133, 14, FALSE)</f>
        <v>WB</v>
      </c>
      <c r="M208">
        <v>1</v>
      </c>
    </row>
    <row r="209" spans="1:13" x14ac:dyDescent="0.2">
      <c r="A209">
        <v>208</v>
      </c>
      <c r="B209">
        <v>18</v>
      </c>
      <c r="C209">
        <v>29</v>
      </c>
      <c r="D209" t="s">
        <v>147</v>
      </c>
      <c r="E209" t="str">
        <f t="shared" si="3"/>
        <v>1229WB03PT</v>
      </c>
      <c r="F209">
        <f>VLOOKUP(B209,Course!$A$2:$R$329,2,FALSE)</f>
        <v>0</v>
      </c>
      <c r="G209">
        <f>VLOOKUP(B209, Course!$A$2:$L$150, 8, FALSE)</f>
        <v>12</v>
      </c>
      <c r="H209">
        <v>3</v>
      </c>
      <c r="I209">
        <v>1</v>
      </c>
      <c r="K209" t="s">
        <v>1581</v>
      </c>
      <c r="L209" t="str">
        <f>VLOOKUP(B209, Course!$A$1:$O$133, 14, FALSE)</f>
        <v>WB</v>
      </c>
      <c r="M209">
        <v>1</v>
      </c>
    </row>
    <row r="210" spans="1:13" x14ac:dyDescent="0.2">
      <c r="A210">
        <v>209</v>
      </c>
      <c r="B210">
        <v>18</v>
      </c>
      <c r="C210">
        <v>30</v>
      </c>
      <c r="D210" t="s">
        <v>147</v>
      </c>
      <c r="E210" t="str">
        <f t="shared" si="3"/>
        <v>1230WB03PT</v>
      </c>
      <c r="F210">
        <f>VLOOKUP(B210,Course!$A$2:$R$329,2,FALSE)</f>
        <v>0</v>
      </c>
      <c r="G210">
        <f>VLOOKUP(B210, Course!$A$2:$L$150, 8, FALSE)</f>
        <v>12</v>
      </c>
      <c r="H210">
        <v>3</v>
      </c>
      <c r="I210">
        <v>1</v>
      </c>
      <c r="K210" t="s">
        <v>1581</v>
      </c>
      <c r="L210" t="str">
        <f>VLOOKUP(B210, Course!$A$1:$O$133, 14, FALSE)</f>
        <v>WB</v>
      </c>
      <c r="M210">
        <v>1</v>
      </c>
    </row>
    <row r="211" spans="1:13" x14ac:dyDescent="0.2">
      <c r="A211">
        <v>210</v>
      </c>
      <c r="B211">
        <v>18</v>
      </c>
      <c r="C211">
        <v>31</v>
      </c>
      <c r="D211" t="s">
        <v>147</v>
      </c>
      <c r="E211" t="str">
        <f t="shared" si="3"/>
        <v>1231WB03PT</v>
      </c>
      <c r="F211">
        <f>VLOOKUP(B211,Course!$A$2:$R$329,2,FALSE)</f>
        <v>0</v>
      </c>
      <c r="G211">
        <f>VLOOKUP(B211, Course!$A$2:$L$150, 8, FALSE)</f>
        <v>12</v>
      </c>
      <c r="H211">
        <v>3</v>
      </c>
      <c r="I211">
        <v>1</v>
      </c>
      <c r="K211" t="s">
        <v>1581</v>
      </c>
      <c r="L211" t="str">
        <f>VLOOKUP(B211, Course!$A$1:$O$133, 14, FALSE)</f>
        <v>WB</v>
      </c>
      <c r="M211">
        <v>1</v>
      </c>
    </row>
    <row r="212" spans="1:13" x14ac:dyDescent="0.2">
      <c r="A212">
        <v>211</v>
      </c>
      <c r="B212">
        <v>18</v>
      </c>
      <c r="C212">
        <v>32</v>
      </c>
      <c r="D212" t="s">
        <v>147</v>
      </c>
      <c r="E212" t="str">
        <f t="shared" si="3"/>
        <v>1232WB03PT</v>
      </c>
      <c r="F212">
        <f>VLOOKUP(B212,Course!$A$2:$R$329,2,FALSE)</f>
        <v>0</v>
      </c>
      <c r="G212">
        <f>VLOOKUP(B212, Course!$A$2:$L$150, 8, FALSE)</f>
        <v>12</v>
      </c>
      <c r="H212">
        <v>3</v>
      </c>
      <c r="I212">
        <v>1</v>
      </c>
      <c r="K212" t="s">
        <v>1581</v>
      </c>
      <c r="L212" t="str">
        <f>VLOOKUP(B212, Course!$A$1:$O$133, 14, FALSE)</f>
        <v>WB</v>
      </c>
      <c r="M212">
        <v>1</v>
      </c>
    </row>
    <row r="213" spans="1:13" x14ac:dyDescent="0.2">
      <c r="A213">
        <v>212</v>
      </c>
      <c r="B213">
        <v>18</v>
      </c>
      <c r="C213">
        <v>33</v>
      </c>
      <c r="D213" t="s">
        <v>147</v>
      </c>
      <c r="E213" t="str">
        <f t="shared" si="3"/>
        <v>1233WB03PT</v>
      </c>
      <c r="F213">
        <f>VLOOKUP(B213,Course!$A$2:$R$329,2,FALSE)</f>
        <v>0</v>
      </c>
      <c r="G213">
        <f>VLOOKUP(B213, Course!$A$2:$L$150, 8, FALSE)</f>
        <v>12</v>
      </c>
      <c r="H213">
        <v>3</v>
      </c>
      <c r="I213">
        <v>1</v>
      </c>
      <c r="K213" t="s">
        <v>1581</v>
      </c>
      <c r="L213" t="str">
        <f>VLOOKUP(B213, Course!$A$1:$O$133, 14, FALSE)</f>
        <v>WB</v>
      </c>
      <c r="M213">
        <v>1</v>
      </c>
    </row>
    <row r="214" spans="1:13" x14ac:dyDescent="0.2">
      <c r="A214">
        <v>213</v>
      </c>
      <c r="B214">
        <v>18</v>
      </c>
      <c r="C214">
        <v>34</v>
      </c>
      <c r="D214" t="s">
        <v>147</v>
      </c>
      <c r="E214" t="str">
        <f t="shared" si="3"/>
        <v>1234WB03PT</v>
      </c>
      <c r="F214">
        <f>VLOOKUP(B214,Course!$A$2:$R$329,2,FALSE)</f>
        <v>0</v>
      </c>
      <c r="G214">
        <f>VLOOKUP(B214, Course!$A$2:$L$150, 8, FALSE)</f>
        <v>12</v>
      </c>
      <c r="H214">
        <v>3</v>
      </c>
      <c r="I214">
        <v>1</v>
      </c>
      <c r="K214" t="s">
        <v>1581</v>
      </c>
      <c r="L214" t="str">
        <f>VLOOKUP(B214, Course!$A$1:$O$133, 14, FALSE)</f>
        <v>WB</v>
      </c>
      <c r="M214">
        <v>1</v>
      </c>
    </row>
    <row r="215" spans="1:13" x14ac:dyDescent="0.2">
      <c r="A215">
        <v>214</v>
      </c>
      <c r="B215">
        <v>18</v>
      </c>
      <c r="C215">
        <v>35</v>
      </c>
      <c r="D215" t="s">
        <v>147</v>
      </c>
      <c r="E215" t="str">
        <f t="shared" si="3"/>
        <v>1235WB03PT</v>
      </c>
      <c r="F215">
        <f>VLOOKUP(B215,Course!$A$2:$R$329,2,FALSE)</f>
        <v>0</v>
      </c>
      <c r="G215">
        <f>VLOOKUP(B215, Course!$A$2:$L$150, 8, FALSE)</f>
        <v>12</v>
      </c>
      <c r="H215">
        <v>3</v>
      </c>
      <c r="I215">
        <v>1</v>
      </c>
      <c r="K215" t="s">
        <v>1581</v>
      </c>
      <c r="L215" t="str">
        <f>VLOOKUP(B215, Course!$A$1:$O$133, 14, FALSE)</f>
        <v>WB</v>
      </c>
      <c r="M215">
        <v>1</v>
      </c>
    </row>
    <row r="216" spans="1:13" x14ac:dyDescent="0.2">
      <c r="A216">
        <v>215</v>
      </c>
      <c r="B216">
        <v>18</v>
      </c>
      <c r="C216">
        <v>36</v>
      </c>
      <c r="D216" t="s">
        <v>147</v>
      </c>
      <c r="E216" t="str">
        <f t="shared" si="3"/>
        <v>1236WB03PT</v>
      </c>
      <c r="F216">
        <f>VLOOKUP(B216,Course!$A$2:$R$329,2,FALSE)</f>
        <v>0</v>
      </c>
      <c r="G216">
        <f>VLOOKUP(B216, Course!$A$2:$L$150, 8, FALSE)</f>
        <v>12</v>
      </c>
      <c r="H216">
        <v>3</v>
      </c>
      <c r="I216">
        <v>1</v>
      </c>
      <c r="K216" t="s">
        <v>1581</v>
      </c>
      <c r="L216" t="str">
        <f>VLOOKUP(B216, Course!$A$1:$O$133, 14, FALSE)</f>
        <v>WB</v>
      </c>
      <c r="M216">
        <v>1</v>
      </c>
    </row>
    <row r="217" spans="1:13" x14ac:dyDescent="0.2">
      <c r="A217">
        <v>216</v>
      </c>
      <c r="B217">
        <v>19</v>
      </c>
      <c r="C217">
        <v>25</v>
      </c>
      <c r="D217" t="s">
        <v>227</v>
      </c>
      <c r="E217" t="str">
        <f t="shared" si="3"/>
        <v>1225LC03PT</v>
      </c>
      <c r="F217">
        <f>VLOOKUP(B217,Course!$A$2:$R$329,2,FALSE)</f>
        <v>0</v>
      </c>
      <c r="G217">
        <f>VLOOKUP(B217, Course!$A$2:$L$150, 8, FALSE)</f>
        <v>12</v>
      </c>
      <c r="H217">
        <v>3</v>
      </c>
      <c r="I217">
        <v>1</v>
      </c>
      <c r="K217" t="s">
        <v>1581</v>
      </c>
      <c r="L217" t="str">
        <f>VLOOKUP(B217, Course!$A$1:$O$133, 14, FALSE)</f>
        <v>LC</v>
      </c>
      <c r="M217">
        <v>1</v>
      </c>
    </row>
    <row r="218" spans="1:13" x14ac:dyDescent="0.2">
      <c r="A218">
        <v>217</v>
      </c>
      <c r="B218">
        <v>19</v>
      </c>
      <c r="C218">
        <v>26</v>
      </c>
      <c r="D218" t="s">
        <v>227</v>
      </c>
      <c r="E218" t="str">
        <f t="shared" si="3"/>
        <v>1226LC03PT</v>
      </c>
      <c r="F218">
        <f>VLOOKUP(B218,Course!$A$2:$R$329,2,FALSE)</f>
        <v>0</v>
      </c>
      <c r="G218">
        <f>VLOOKUP(B218, Course!$A$2:$L$150, 8, FALSE)</f>
        <v>12</v>
      </c>
      <c r="H218">
        <v>3</v>
      </c>
      <c r="I218">
        <v>1</v>
      </c>
      <c r="K218" t="s">
        <v>1581</v>
      </c>
      <c r="L218" t="str">
        <f>VLOOKUP(B218, Course!$A$1:$O$133, 14, FALSE)</f>
        <v>LC</v>
      </c>
      <c r="M218">
        <v>1</v>
      </c>
    </row>
    <row r="219" spans="1:13" x14ac:dyDescent="0.2">
      <c r="A219">
        <v>218</v>
      </c>
      <c r="B219">
        <v>19</v>
      </c>
      <c r="C219">
        <v>27</v>
      </c>
      <c r="D219" t="s">
        <v>227</v>
      </c>
      <c r="E219" t="str">
        <f t="shared" si="3"/>
        <v>1227LC03PT</v>
      </c>
      <c r="F219">
        <f>VLOOKUP(B219,Course!$A$2:$R$329,2,FALSE)</f>
        <v>0</v>
      </c>
      <c r="G219">
        <f>VLOOKUP(B219, Course!$A$2:$L$150, 8, FALSE)</f>
        <v>12</v>
      </c>
      <c r="H219">
        <v>3</v>
      </c>
      <c r="I219">
        <v>1</v>
      </c>
      <c r="K219" t="s">
        <v>1581</v>
      </c>
      <c r="L219" t="str">
        <f>VLOOKUP(B219, Course!$A$1:$O$133, 14, FALSE)</f>
        <v>LC</v>
      </c>
      <c r="M219">
        <v>1</v>
      </c>
    </row>
    <row r="220" spans="1:13" x14ac:dyDescent="0.2">
      <c r="A220">
        <v>219</v>
      </c>
      <c r="B220">
        <v>19</v>
      </c>
      <c r="C220">
        <v>28</v>
      </c>
      <c r="D220" t="s">
        <v>227</v>
      </c>
      <c r="E220" t="str">
        <f t="shared" si="3"/>
        <v>1228LC03PT</v>
      </c>
      <c r="F220">
        <f>VLOOKUP(B220,Course!$A$2:$R$329,2,FALSE)</f>
        <v>0</v>
      </c>
      <c r="G220">
        <f>VLOOKUP(B220, Course!$A$2:$L$150, 8, FALSE)</f>
        <v>12</v>
      </c>
      <c r="H220">
        <v>3</v>
      </c>
      <c r="I220">
        <v>1</v>
      </c>
      <c r="K220" t="s">
        <v>1581</v>
      </c>
      <c r="L220" t="str">
        <f>VLOOKUP(B220, Course!$A$1:$O$133, 14, FALSE)</f>
        <v>LC</v>
      </c>
      <c r="M220">
        <v>1</v>
      </c>
    </row>
    <row r="221" spans="1:13" x14ac:dyDescent="0.2">
      <c r="A221">
        <v>220</v>
      </c>
      <c r="B221">
        <v>19</v>
      </c>
      <c r="C221">
        <v>29</v>
      </c>
      <c r="D221" t="s">
        <v>227</v>
      </c>
      <c r="E221" t="str">
        <f t="shared" si="3"/>
        <v>1229LC03PT</v>
      </c>
      <c r="F221">
        <f>VLOOKUP(B221,Course!$A$2:$R$329,2,FALSE)</f>
        <v>0</v>
      </c>
      <c r="G221">
        <f>VLOOKUP(B221, Course!$A$2:$L$150, 8, FALSE)</f>
        <v>12</v>
      </c>
      <c r="H221">
        <v>3</v>
      </c>
      <c r="I221">
        <v>1</v>
      </c>
      <c r="K221" t="s">
        <v>1581</v>
      </c>
      <c r="L221" t="str">
        <f>VLOOKUP(B221, Course!$A$1:$O$133, 14, FALSE)</f>
        <v>LC</v>
      </c>
      <c r="M221">
        <v>1</v>
      </c>
    </row>
    <row r="222" spans="1:13" x14ac:dyDescent="0.2">
      <c r="A222">
        <v>221</v>
      </c>
      <c r="B222">
        <v>19</v>
      </c>
      <c r="C222">
        <v>30</v>
      </c>
      <c r="D222" t="s">
        <v>227</v>
      </c>
      <c r="E222" t="str">
        <f t="shared" si="3"/>
        <v>1230LC03PT</v>
      </c>
      <c r="F222">
        <f>VLOOKUP(B222,Course!$A$2:$R$329,2,FALSE)</f>
        <v>0</v>
      </c>
      <c r="G222">
        <f>VLOOKUP(B222, Course!$A$2:$L$150, 8, FALSE)</f>
        <v>12</v>
      </c>
      <c r="H222">
        <v>3</v>
      </c>
      <c r="I222">
        <v>1</v>
      </c>
      <c r="K222" t="s">
        <v>1581</v>
      </c>
      <c r="L222" t="str">
        <f>VLOOKUP(B222, Course!$A$1:$O$133, 14, FALSE)</f>
        <v>LC</v>
      </c>
      <c r="M222">
        <v>1</v>
      </c>
    </row>
    <row r="223" spans="1:13" x14ac:dyDescent="0.2">
      <c r="A223">
        <v>222</v>
      </c>
      <c r="B223">
        <v>19</v>
      </c>
      <c r="C223">
        <v>31</v>
      </c>
      <c r="D223" t="s">
        <v>227</v>
      </c>
      <c r="E223" t="str">
        <f t="shared" si="3"/>
        <v>1231LC03PT</v>
      </c>
      <c r="F223">
        <f>VLOOKUP(B223,Course!$A$2:$R$329,2,FALSE)</f>
        <v>0</v>
      </c>
      <c r="G223">
        <f>VLOOKUP(B223, Course!$A$2:$L$150, 8, FALSE)</f>
        <v>12</v>
      </c>
      <c r="H223">
        <v>3</v>
      </c>
      <c r="I223">
        <v>1</v>
      </c>
      <c r="K223" t="s">
        <v>1581</v>
      </c>
      <c r="L223" t="str">
        <f>VLOOKUP(B223, Course!$A$1:$O$133, 14, FALSE)</f>
        <v>LC</v>
      </c>
      <c r="M223">
        <v>1</v>
      </c>
    </row>
    <row r="224" spans="1:13" x14ac:dyDescent="0.2">
      <c r="A224">
        <v>223</v>
      </c>
      <c r="B224">
        <v>19</v>
      </c>
      <c r="C224">
        <v>32</v>
      </c>
      <c r="D224" t="s">
        <v>227</v>
      </c>
      <c r="E224" t="str">
        <f t="shared" si="3"/>
        <v>1232LC03PT</v>
      </c>
      <c r="F224">
        <f>VLOOKUP(B224,Course!$A$2:$R$329,2,FALSE)</f>
        <v>0</v>
      </c>
      <c r="G224">
        <f>VLOOKUP(B224, Course!$A$2:$L$150, 8, FALSE)</f>
        <v>12</v>
      </c>
      <c r="H224">
        <v>3</v>
      </c>
      <c r="I224">
        <v>2</v>
      </c>
      <c r="K224" t="s">
        <v>1581</v>
      </c>
      <c r="L224" t="str">
        <f>VLOOKUP(B224, Course!$A$1:$O$133, 14, FALSE)</f>
        <v>LC</v>
      </c>
      <c r="M224">
        <v>1</v>
      </c>
    </row>
    <row r="225" spans="1:13" x14ac:dyDescent="0.2">
      <c r="A225">
        <v>224</v>
      </c>
      <c r="B225">
        <v>19</v>
      </c>
      <c r="C225">
        <v>33</v>
      </c>
      <c r="D225" t="s">
        <v>227</v>
      </c>
      <c r="E225" t="str">
        <f t="shared" si="3"/>
        <v>1233LC03PT</v>
      </c>
      <c r="F225">
        <f>VLOOKUP(B225,Course!$A$2:$R$329,2,FALSE)</f>
        <v>0</v>
      </c>
      <c r="G225">
        <f>VLOOKUP(B225, Course!$A$2:$L$150, 8, FALSE)</f>
        <v>12</v>
      </c>
      <c r="H225">
        <v>3</v>
      </c>
      <c r="I225">
        <v>1</v>
      </c>
      <c r="K225" t="s">
        <v>1581</v>
      </c>
      <c r="L225" t="str">
        <f>VLOOKUP(B225, Course!$A$1:$O$133, 14, FALSE)</f>
        <v>LC</v>
      </c>
      <c r="M225">
        <v>1</v>
      </c>
    </row>
    <row r="226" spans="1:13" x14ac:dyDescent="0.2">
      <c r="A226">
        <v>225</v>
      </c>
      <c r="B226">
        <v>19</v>
      </c>
      <c r="C226">
        <v>34</v>
      </c>
      <c r="D226" t="s">
        <v>227</v>
      </c>
      <c r="E226" t="str">
        <f t="shared" si="3"/>
        <v>1234LC03PT</v>
      </c>
      <c r="F226">
        <f>VLOOKUP(B226,Course!$A$2:$R$329,2,FALSE)</f>
        <v>0</v>
      </c>
      <c r="G226">
        <f>VLOOKUP(B226, Course!$A$2:$L$150, 8, FALSE)</f>
        <v>12</v>
      </c>
      <c r="H226">
        <v>3</v>
      </c>
      <c r="I226">
        <v>1</v>
      </c>
      <c r="K226" t="s">
        <v>1581</v>
      </c>
      <c r="L226" t="str">
        <f>VLOOKUP(B226, Course!$A$1:$O$133, 14, FALSE)</f>
        <v>LC</v>
      </c>
      <c r="M226">
        <v>1</v>
      </c>
    </row>
    <row r="227" spans="1:13" x14ac:dyDescent="0.2">
      <c r="A227">
        <v>226</v>
      </c>
      <c r="B227">
        <v>19</v>
      </c>
      <c r="C227">
        <v>35</v>
      </c>
      <c r="D227" t="s">
        <v>227</v>
      </c>
      <c r="E227" t="str">
        <f t="shared" si="3"/>
        <v>1235LC03PT</v>
      </c>
      <c r="F227">
        <f>VLOOKUP(B227,Course!$A$2:$R$329,2,FALSE)</f>
        <v>0</v>
      </c>
      <c r="G227">
        <f>VLOOKUP(B227, Course!$A$2:$L$150, 8, FALSE)</f>
        <v>12</v>
      </c>
      <c r="H227">
        <v>3</v>
      </c>
      <c r="I227">
        <v>1</v>
      </c>
      <c r="K227" t="s">
        <v>1581</v>
      </c>
      <c r="L227" t="str">
        <f>VLOOKUP(B227, Course!$A$1:$O$133, 14, FALSE)</f>
        <v>LC</v>
      </c>
      <c r="M227">
        <v>1</v>
      </c>
    </row>
    <row r="228" spans="1:13" x14ac:dyDescent="0.2">
      <c r="A228">
        <v>227</v>
      </c>
      <c r="B228">
        <v>19</v>
      </c>
      <c r="C228">
        <v>36</v>
      </c>
      <c r="D228" t="s">
        <v>227</v>
      </c>
      <c r="E228" t="str">
        <f t="shared" si="3"/>
        <v>1236LC03PT</v>
      </c>
      <c r="F228">
        <f>VLOOKUP(B228,Course!$A$2:$R$329,2,FALSE)</f>
        <v>0</v>
      </c>
      <c r="G228">
        <f>VLOOKUP(B228, Course!$A$2:$L$150, 8, FALSE)</f>
        <v>12</v>
      </c>
      <c r="H228">
        <v>3</v>
      </c>
      <c r="I228">
        <v>1</v>
      </c>
      <c r="K228" t="s">
        <v>1581</v>
      </c>
      <c r="L228" t="str">
        <f>VLOOKUP(B228, Course!$A$1:$O$133, 14, FALSE)</f>
        <v>LC</v>
      </c>
      <c r="M228">
        <v>1</v>
      </c>
    </row>
    <row r="229" spans="1:13" x14ac:dyDescent="0.2">
      <c r="A229">
        <v>228</v>
      </c>
      <c r="B229">
        <v>20</v>
      </c>
      <c r="C229">
        <v>25</v>
      </c>
      <c r="D229" t="s">
        <v>153</v>
      </c>
      <c r="E229" t="str">
        <f t="shared" si="3"/>
        <v>1225SC03PT</v>
      </c>
      <c r="F229">
        <f>VLOOKUP(B229,Course!$A$2:$R$329,2,FALSE)</f>
        <v>0</v>
      </c>
      <c r="G229">
        <f>VLOOKUP(B229, Course!$A$2:$L$150, 8, FALSE)</f>
        <v>12</v>
      </c>
      <c r="H229">
        <v>3</v>
      </c>
      <c r="I229">
        <v>1</v>
      </c>
      <c r="K229" t="s">
        <v>1581</v>
      </c>
      <c r="L229" t="str">
        <f>VLOOKUP(B229, Course!$A$1:$O$133, 14, FALSE)</f>
        <v>SC</v>
      </c>
      <c r="M229">
        <v>1</v>
      </c>
    </row>
    <row r="230" spans="1:13" x14ac:dyDescent="0.2">
      <c r="A230">
        <v>229</v>
      </c>
      <c r="B230">
        <v>20</v>
      </c>
      <c r="C230">
        <v>26</v>
      </c>
      <c r="D230" t="s">
        <v>153</v>
      </c>
      <c r="E230" t="str">
        <f t="shared" si="3"/>
        <v>1226SC03PT</v>
      </c>
      <c r="F230">
        <f>VLOOKUP(B230,Course!$A$2:$R$329,2,FALSE)</f>
        <v>0</v>
      </c>
      <c r="G230">
        <f>VLOOKUP(B230, Course!$A$2:$L$150, 8, FALSE)</f>
        <v>12</v>
      </c>
      <c r="H230">
        <v>3</v>
      </c>
      <c r="I230">
        <v>1</v>
      </c>
      <c r="K230" t="s">
        <v>1581</v>
      </c>
      <c r="L230" t="str">
        <f>VLOOKUP(B230, Course!$A$1:$O$133, 14, FALSE)</f>
        <v>SC</v>
      </c>
      <c r="M230">
        <v>1</v>
      </c>
    </row>
    <row r="231" spans="1:13" x14ac:dyDescent="0.2">
      <c r="A231">
        <v>230</v>
      </c>
      <c r="B231">
        <v>20</v>
      </c>
      <c r="C231">
        <v>27</v>
      </c>
      <c r="D231" t="s">
        <v>153</v>
      </c>
      <c r="E231" t="str">
        <f t="shared" si="3"/>
        <v>1227SC03PT</v>
      </c>
      <c r="F231">
        <f>VLOOKUP(B231,Course!$A$2:$R$329,2,FALSE)</f>
        <v>0</v>
      </c>
      <c r="G231">
        <f>VLOOKUP(B231, Course!$A$2:$L$150, 8, FALSE)</f>
        <v>12</v>
      </c>
      <c r="H231">
        <v>3</v>
      </c>
      <c r="I231">
        <v>1</v>
      </c>
      <c r="K231" t="s">
        <v>1581</v>
      </c>
      <c r="L231" t="str">
        <f>VLOOKUP(B231, Course!$A$1:$O$133, 14, FALSE)</f>
        <v>SC</v>
      </c>
      <c r="M231">
        <v>1</v>
      </c>
    </row>
    <row r="232" spans="1:13" x14ac:dyDescent="0.2">
      <c r="A232">
        <v>231</v>
      </c>
      <c r="B232">
        <v>20</v>
      </c>
      <c r="C232">
        <v>28</v>
      </c>
      <c r="D232" t="s">
        <v>153</v>
      </c>
      <c r="E232" t="str">
        <f t="shared" si="3"/>
        <v>1228SC03PT</v>
      </c>
      <c r="F232">
        <f>VLOOKUP(B232,Course!$A$2:$R$329,2,FALSE)</f>
        <v>0</v>
      </c>
      <c r="G232">
        <f>VLOOKUP(B232, Course!$A$2:$L$150, 8, FALSE)</f>
        <v>12</v>
      </c>
      <c r="H232">
        <v>3</v>
      </c>
      <c r="I232">
        <v>1</v>
      </c>
      <c r="K232" t="s">
        <v>1581</v>
      </c>
      <c r="L232" t="str">
        <f>VLOOKUP(B232, Course!$A$1:$O$133, 14, FALSE)</f>
        <v>SC</v>
      </c>
      <c r="M232">
        <v>1</v>
      </c>
    </row>
    <row r="233" spans="1:13" x14ac:dyDescent="0.2">
      <c r="A233">
        <v>232</v>
      </c>
      <c r="B233">
        <v>20</v>
      </c>
      <c r="C233">
        <v>29</v>
      </c>
      <c r="D233" t="s">
        <v>153</v>
      </c>
      <c r="E233" t="str">
        <f t="shared" si="3"/>
        <v>1229SC03PT</v>
      </c>
      <c r="F233">
        <f>VLOOKUP(B233,Course!$A$2:$R$329,2,FALSE)</f>
        <v>0</v>
      </c>
      <c r="G233">
        <f>VLOOKUP(B233, Course!$A$2:$L$150, 8, FALSE)</f>
        <v>12</v>
      </c>
      <c r="H233">
        <v>3</v>
      </c>
      <c r="I233">
        <v>1</v>
      </c>
      <c r="K233" t="s">
        <v>1581</v>
      </c>
      <c r="L233" t="str">
        <f>VLOOKUP(B233, Course!$A$1:$O$133, 14, FALSE)</f>
        <v>SC</v>
      </c>
      <c r="M233">
        <v>1</v>
      </c>
    </row>
    <row r="234" spans="1:13" x14ac:dyDescent="0.2">
      <c r="A234">
        <v>233</v>
      </c>
      <c r="B234">
        <v>20</v>
      </c>
      <c r="C234">
        <v>30</v>
      </c>
      <c r="D234" t="s">
        <v>153</v>
      </c>
      <c r="E234" t="str">
        <f t="shared" si="3"/>
        <v>1230SC03PT</v>
      </c>
      <c r="F234">
        <f>VLOOKUP(B234,Course!$A$2:$R$329,2,FALSE)</f>
        <v>0</v>
      </c>
      <c r="G234">
        <f>VLOOKUP(B234, Course!$A$2:$L$150, 8, FALSE)</f>
        <v>12</v>
      </c>
      <c r="H234">
        <v>3</v>
      </c>
      <c r="I234">
        <v>1</v>
      </c>
      <c r="K234" t="s">
        <v>1581</v>
      </c>
      <c r="L234" t="str">
        <f>VLOOKUP(B234, Course!$A$1:$O$133, 14, FALSE)</f>
        <v>SC</v>
      </c>
      <c r="M234">
        <v>1</v>
      </c>
    </row>
    <row r="235" spans="1:13" x14ac:dyDescent="0.2">
      <c r="A235">
        <v>234</v>
      </c>
      <c r="B235">
        <v>20</v>
      </c>
      <c r="C235">
        <v>31</v>
      </c>
      <c r="D235" t="s">
        <v>153</v>
      </c>
      <c r="E235" t="str">
        <f t="shared" si="3"/>
        <v>1231SC03PT</v>
      </c>
      <c r="F235">
        <f>VLOOKUP(B235,Course!$A$2:$R$329,2,FALSE)</f>
        <v>0</v>
      </c>
      <c r="G235">
        <f>VLOOKUP(B235, Course!$A$2:$L$150, 8, FALSE)</f>
        <v>12</v>
      </c>
      <c r="H235">
        <v>3</v>
      </c>
      <c r="I235">
        <v>1</v>
      </c>
      <c r="K235" t="s">
        <v>1581</v>
      </c>
      <c r="L235" t="str">
        <f>VLOOKUP(B235, Course!$A$1:$O$133, 14, FALSE)</f>
        <v>SC</v>
      </c>
      <c r="M235">
        <v>1</v>
      </c>
    </row>
    <row r="236" spans="1:13" x14ac:dyDescent="0.2">
      <c r="A236">
        <v>235</v>
      </c>
      <c r="B236">
        <v>20</v>
      </c>
      <c r="C236">
        <v>32</v>
      </c>
      <c r="D236" t="s">
        <v>153</v>
      </c>
      <c r="E236" t="str">
        <f t="shared" si="3"/>
        <v>1232SC03PT</v>
      </c>
      <c r="F236">
        <f>VLOOKUP(B236,Course!$A$2:$R$329,2,FALSE)</f>
        <v>0</v>
      </c>
      <c r="G236">
        <f>VLOOKUP(B236, Course!$A$2:$L$150, 8, FALSE)</f>
        <v>12</v>
      </c>
      <c r="H236">
        <v>3</v>
      </c>
      <c r="I236">
        <v>1</v>
      </c>
      <c r="K236" t="s">
        <v>1581</v>
      </c>
      <c r="L236" t="str">
        <f>VLOOKUP(B236, Course!$A$1:$O$133, 14, FALSE)</f>
        <v>SC</v>
      </c>
      <c r="M236">
        <v>1</v>
      </c>
    </row>
    <row r="237" spans="1:13" x14ac:dyDescent="0.2">
      <c r="A237">
        <v>236</v>
      </c>
      <c r="B237">
        <v>20</v>
      </c>
      <c r="C237">
        <v>33</v>
      </c>
      <c r="D237" t="s">
        <v>153</v>
      </c>
      <c r="E237" t="str">
        <f t="shared" si="3"/>
        <v>1233SC03PT</v>
      </c>
      <c r="F237">
        <f>VLOOKUP(B237,Course!$A$2:$R$329,2,FALSE)</f>
        <v>0</v>
      </c>
      <c r="G237">
        <f>VLOOKUP(B237, Course!$A$2:$L$150, 8, FALSE)</f>
        <v>12</v>
      </c>
      <c r="H237">
        <v>3</v>
      </c>
      <c r="I237">
        <v>1</v>
      </c>
      <c r="K237" t="s">
        <v>1581</v>
      </c>
      <c r="L237" t="str">
        <f>VLOOKUP(B237, Course!$A$1:$O$133, 14, FALSE)</f>
        <v>SC</v>
      </c>
      <c r="M237">
        <v>1</v>
      </c>
    </row>
    <row r="238" spans="1:13" x14ac:dyDescent="0.2">
      <c r="A238">
        <v>237</v>
      </c>
      <c r="B238">
        <v>20</v>
      </c>
      <c r="C238">
        <v>34</v>
      </c>
      <c r="D238" t="s">
        <v>153</v>
      </c>
      <c r="E238" t="str">
        <f t="shared" si="3"/>
        <v>1234SC03PT</v>
      </c>
      <c r="F238">
        <f>VLOOKUP(B238,Course!$A$2:$R$329,2,FALSE)</f>
        <v>0</v>
      </c>
      <c r="G238">
        <f>VLOOKUP(B238, Course!$A$2:$L$150, 8, FALSE)</f>
        <v>12</v>
      </c>
      <c r="H238">
        <v>3</v>
      </c>
      <c r="I238">
        <v>1</v>
      </c>
      <c r="K238" t="s">
        <v>1581</v>
      </c>
      <c r="L238" t="str">
        <f>VLOOKUP(B238, Course!$A$1:$O$133, 14, FALSE)</f>
        <v>SC</v>
      </c>
      <c r="M238">
        <v>1</v>
      </c>
    </row>
    <row r="239" spans="1:13" x14ac:dyDescent="0.2">
      <c r="A239">
        <v>238</v>
      </c>
      <c r="B239">
        <v>20</v>
      </c>
      <c r="C239">
        <v>35</v>
      </c>
      <c r="D239" t="s">
        <v>153</v>
      </c>
      <c r="E239" t="str">
        <f t="shared" si="3"/>
        <v>1235SC03PT</v>
      </c>
      <c r="F239">
        <f>VLOOKUP(B239,Course!$A$2:$R$329,2,FALSE)</f>
        <v>0</v>
      </c>
      <c r="G239">
        <f>VLOOKUP(B239, Course!$A$2:$L$150, 8, FALSE)</f>
        <v>12</v>
      </c>
      <c r="H239">
        <v>3</v>
      </c>
      <c r="I239">
        <v>1</v>
      </c>
      <c r="K239" t="s">
        <v>1581</v>
      </c>
      <c r="L239" t="str">
        <f>VLOOKUP(B239, Course!$A$1:$O$133, 14, FALSE)</f>
        <v>SC</v>
      </c>
      <c r="M239">
        <v>1</v>
      </c>
    </row>
    <row r="240" spans="1:13" x14ac:dyDescent="0.2">
      <c r="A240">
        <v>239</v>
      </c>
      <c r="B240">
        <v>20</v>
      </c>
      <c r="C240">
        <v>36</v>
      </c>
      <c r="D240" t="s">
        <v>153</v>
      </c>
      <c r="E240" t="str">
        <f t="shared" si="3"/>
        <v>1236SC03PT</v>
      </c>
      <c r="F240">
        <f>VLOOKUP(B240,Course!$A$2:$R$329,2,FALSE)</f>
        <v>0</v>
      </c>
      <c r="G240">
        <f>VLOOKUP(B240, Course!$A$2:$L$150, 8, FALSE)</f>
        <v>12</v>
      </c>
      <c r="H240">
        <v>3</v>
      </c>
      <c r="I240">
        <v>1</v>
      </c>
      <c r="K240" t="s">
        <v>1581</v>
      </c>
      <c r="L240" t="str">
        <f>VLOOKUP(B240, Course!$A$1:$O$133, 14, FALSE)</f>
        <v>SC</v>
      </c>
      <c r="M240">
        <v>1</v>
      </c>
    </row>
    <row r="241" spans="1:13" x14ac:dyDescent="0.2">
      <c r="A241">
        <v>240</v>
      </c>
      <c r="B241">
        <v>21</v>
      </c>
      <c r="C241">
        <v>25</v>
      </c>
      <c r="D241" t="s">
        <v>156</v>
      </c>
      <c r="E241" t="str">
        <f t="shared" si="3"/>
        <v>1225SS03PT</v>
      </c>
      <c r="F241">
        <f>VLOOKUP(B241,Course!$A$2:$R$329,2,FALSE)</f>
        <v>0</v>
      </c>
      <c r="G241">
        <f>VLOOKUP(B241, Course!$A$2:$L$150, 8, FALSE)</f>
        <v>12</v>
      </c>
      <c r="H241">
        <v>3</v>
      </c>
      <c r="I241">
        <v>1</v>
      </c>
      <c r="K241" t="s">
        <v>1581</v>
      </c>
      <c r="L241" t="str">
        <f>VLOOKUP(B241, Course!$A$1:$O$133, 14, FALSE)</f>
        <v>SS</v>
      </c>
      <c r="M241">
        <v>1</v>
      </c>
    </row>
    <row r="242" spans="1:13" x14ac:dyDescent="0.2">
      <c r="A242">
        <v>241</v>
      </c>
      <c r="B242">
        <v>21</v>
      </c>
      <c r="C242">
        <v>26</v>
      </c>
      <c r="D242" t="s">
        <v>156</v>
      </c>
      <c r="E242" t="str">
        <f t="shared" si="3"/>
        <v>1226SS03PT</v>
      </c>
      <c r="F242">
        <f>VLOOKUP(B242,Course!$A$2:$R$329,2,FALSE)</f>
        <v>0</v>
      </c>
      <c r="G242">
        <f>VLOOKUP(B242, Course!$A$2:$L$150, 8, FALSE)</f>
        <v>12</v>
      </c>
      <c r="H242">
        <v>3</v>
      </c>
      <c r="I242">
        <v>1</v>
      </c>
      <c r="K242" t="s">
        <v>1581</v>
      </c>
      <c r="L242" t="str">
        <f>VLOOKUP(B242, Course!$A$1:$O$133, 14, FALSE)</f>
        <v>SS</v>
      </c>
      <c r="M242">
        <v>1</v>
      </c>
    </row>
    <row r="243" spans="1:13" x14ac:dyDescent="0.2">
      <c r="A243">
        <v>242</v>
      </c>
      <c r="B243">
        <v>21</v>
      </c>
      <c r="C243">
        <v>27</v>
      </c>
      <c r="D243" t="s">
        <v>156</v>
      </c>
      <c r="E243" t="str">
        <f t="shared" si="3"/>
        <v>1227SS03PT</v>
      </c>
      <c r="F243">
        <f>VLOOKUP(B243,Course!$A$2:$R$329,2,FALSE)</f>
        <v>0</v>
      </c>
      <c r="G243">
        <f>VLOOKUP(B243, Course!$A$2:$L$150, 8, FALSE)</f>
        <v>12</v>
      </c>
      <c r="H243">
        <v>3</v>
      </c>
      <c r="I243">
        <v>1</v>
      </c>
      <c r="K243" t="s">
        <v>1581</v>
      </c>
      <c r="L243" t="str">
        <f>VLOOKUP(B243, Course!$A$1:$O$133, 14, FALSE)</f>
        <v>SS</v>
      </c>
      <c r="M243">
        <v>1</v>
      </c>
    </row>
    <row r="244" spans="1:13" x14ac:dyDescent="0.2">
      <c r="A244">
        <v>243</v>
      </c>
      <c r="B244">
        <v>21</v>
      </c>
      <c r="C244">
        <v>28</v>
      </c>
      <c r="D244" t="s">
        <v>156</v>
      </c>
      <c r="E244" t="str">
        <f t="shared" si="3"/>
        <v>1228SS03PT</v>
      </c>
      <c r="F244">
        <f>VLOOKUP(B244,Course!$A$2:$R$329,2,FALSE)</f>
        <v>0</v>
      </c>
      <c r="G244">
        <f>VLOOKUP(B244, Course!$A$2:$L$150, 8, FALSE)</f>
        <v>12</v>
      </c>
      <c r="H244">
        <v>3</v>
      </c>
      <c r="I244">
        <v>1</v>
      </c>
      <c r="K244" t="s">
        <v>1581</v>
      </c>
      <c r="L244" t="str">
        <f>VLOOKUP(B244, Course!$A$1:$O$133, 14, FALSE)</f>
        <v>SS</v>
      </c>
      <c r="M244">
        <v>1</v>
      </c>
    </row>
    <row r="245" spans="1:13" x14ac:dyDescent="0.2">
      <c r="A245">
        <v>244</v>
      </c>
      <c r="B245">
        <v>21</v>
      </c>
      <c r="C245">
        <v>29</v>
      </c>
      <c r="D245" t="s">
        <v>156</v>
      </c>
      <c r="E245" t="str">
        <f t="shared" si="3"/>
        <v>1229SS03PT</v>
      </c>
      <c r="F245">
        <f>VLOOKUP(B245,Course!$A$2:$R$329,2,FALSE)</f>
        <v>0</v>
      </c>
      <c r="G245">
        <f>VLOOKUP(B245, Course!$A$2:$L$150, 8, FALSE)</f>
        <v>12</v>
      </c>
      <c r="H245">
        <v>3</v>
      </c>
      <c r="I245">
        <v>1</v>
      </c>
      <c r="K245" t="s">
        <v>1581</v>
      </c>
      <c r="L245" t="str">
        <f>VLOOKUP(B245, Course!$A$1:$O$133, 14, FALSE)</f>
        <v>SS</v>
      </c>
      <c r="M245">
        <v>1</v>
      </c>
    </row>
    <row r="246" spans="1:13" x14ac:dyDescent="0.2">
      <c r="A246">
        <v>245</v>
      </c>
      <c r="B246">
        <v>21</v>
      </c>
      <c r="C246">
        <v>30</v>
      </c>
      <c r="D246" t="s">
        <v>156</v>
      </c>
      <c r="E246" t="str">
        <f t="shared" si="3"/>
        <v>1230SS03PT</v>
      </c>
      <c r="F246">
        <f>VLOOKUP(B246,Course!$A$2:$R$329,2,FALSE)</f>
        <v>0</v>
      </c>
      <c r="G246">
        <f>VLOOKUP(B246, Course!$A$2:$L$150, 8, FALSE)</f>
        <v>12</v>
      </c>
      <c r="H246">
        <v>3</v>
      </c>
      <c r="I246">
        <v>1</v>
      </c>
      <c r="K246" t="s">
        <v>1581</v>
      </c>
      <c r="L246" t="str">
        <f>VLOOKUP(B246, Course!$A$1:$O$133, 14, FALSE)</f>
        <v>SS</v>
      </c>
      <c r="M246">
        <v>1</v>
      </c>
    </row>
    <row r="247" spans="1:13" x14ac:dyDescent="0.2">
      <c r="A247">
        <v>246</v>
      </c>
      <c r="B247">
        <v>21</v>
      </c>
      <c r="C247">
        <v>31</v>
      </c>
      <c r="D247" t="s">
        <v>156</v>
      </c>
      <c r="E247" t="str">
        <f t="shared" si="3"/>
        <v>1231SS03PT</v>
      </c>
      <c r="F247">
        <f>VLOOKUP(B247,Course!$A$2:$R$329,2,FALSE)</f>
        <v>0</v>
      </c>
      <c r="G247">
        <f>VLOOKUP(B247, Course!$A$2:$L$150, 8, FALSE)</f>
        <v>12</v>
      </c>
      <c r="H247">
        <v>3</v>
      </c>
      <c r="I247">
        <v>1</v>
      </c>
      <c r="K247" t="s">
        <v>1581</v>
      </c>
      <c r="L247" t="str">
        <f>VLOOKUP(B247, Course!$A$1:$O$133, 14, FALSE)</f>
        <v>SS</v>
      </c>
      <c r="M247">
        <v>1</v>
      </c>
    </row>
    <row r="248" spans="1:13" x14ac:dyDescent="0.2">
      <c r="A248">
        <v>247</v>
      </c>
      <c r="B248">
        <v>21</v>
      </c>
      <c r="C248">
        <v>32</v>
      </c>
      <c r="D248" t="s">
        <v>156</v>
      </c>
      <c r="E248" t="str">
        <f t="shared" si="3"/>
        <v>1232SS03PT</v>
      </c>
      <c r="F248">
        <f>VLOOKUP(B248,Course!$A$2:$R$329,2,FALSE)</f>
        <v>0</v>
      </c>
      <c r="G248">
        <f>VLOOKUP(B248, Course!$A$2:$L$150, 8, FALSE)</f>
        <v>12</v>
      </c>
      <c r="H248">
        <v>3</v>
      </c>
      <c r="I248">
        <v>1</v>
      </c>
      <c r="K248" t="s">
        <v>1581</v>
      </c>
      <c r="L248" t="str">
        <f>VLOOKUP(B248, Course!$A$1:$O$133, 14, FALSE)</f>
        <v>SS</v>
      </c>
      <c r="M248">
        <v>1</v>
      </c>
    </row>
    <row r="249" spans="1:13" x14ac:dyDescent="0.2">
      <c r="A249">
        <v>248</v>
      </c>
      <c r="B249">
        <v>21</v>
      </c>
      <c r="C249">
        <v>33</v>
      </c>
      <c r="D249" t="s">
        <v>156</v>
      </c>
      <c r="E249" t="str">
        <f t="shared" si="3"/>
        <v>1233SS03PT</v>
      </c>
      <c r="F249">
        <f>VLOOKUP(B249,Course!$A$2:$R$329,2,FALSE)</f>
        <v>0</v>
      </c>
      <c r="G249">
        <f>VLOOKUP(B249, Course!$A$2:$L$150, 8, FALSE)</f>
        <v>12</v>
      </c>
      <c r="H249">
        <v>3</v>
      </c>
      <c r="I249">
        <v>1</v>
      </c>
      <c r="K249" t="s">
        <v>1581</v>
      </c>
      <c r="L249" t="str">
        <f>VLOOKUP(B249, Course!$A$1:$O$133, 14, FALSE)</f>
        <v>SS</v>
      </c>
      <c r="M249">
        <v>1</v>
      </c>
    </row>
    <row r="250" spans="1:13" x14ac:dyDescent="0.2">
      <c r="A250">
        <v>249</v>
      </c>
      <c r="B250">
        <v>21</v>
      </c>
      <c r="C250">
        <v>34</v>
      </c>
      <c r="D250" t="s">
        <v>156</v>
      </c>
      <c r="E250" t="str">
        <f t="shared" si="3"/>
        <v>1234SS03PT</v>
      </c>
      <c r="F250">
        <f>VLOOKUP(B250,Course!$A$2:$R$329,2,FALSE)</f>
        <v>0</v>
      </c>
      <c r="G250">
        <f>VLOOKUP(B250, Course!$A$2:$L$150, 8, FALSE)</f>
        <v>12</v>
      </c>
      <c r="H250">
        <v>3</v>
      </c>
      <c r="I250">
        <v>1</v>
      </c>
      <c r="K250" t="s">
        <v>1581</v>
      </c>
      <c r="L250" t="str">
        <f>VLOOKUP(B250, Course!$A$1:$O$133, 14, FALSE)</f>
        <v>SS</v>
      </c>
      <c r="M250">
        <v>1</v>
      </c>
    </row>
    <row r="251" spans="1:13" x14ac:dyDescent="0.2">
      <c r="A251">
        <v>250</v>
      </c>
      <c r="B251">
        <v>21</v>
      </c>
      <c r="C251">
        <v>35</v>
      </c>
      <c r="D251" t="s">
        <v>156</v>
      </c>
      <c r="E251" t="str">
        <f t="shared" si="3"/>
        <v>1235SS03PT</v>
      </c>
      <c r="F251">
        <f>VLOOKUP(B251,Course!$A$2:$R$329,2,FALSE)</f>
        <v>0</v>
      </c>
      <c r="G251">
        <f>VLOOKUP(B251, Course!$A$2:$L$150, 8, FALSE)</f>
        <v>12</v>
      </c>
      <c r="H251">
        <v>3</v>
      </c>
      <c r="I251">
        <v>1</v>
      </c>
      <c r="K251" t="s">
        <v>1581</v>
      </c>
      <c r="L251" t="str">
        <f>VLOOKUP(B251, Course!$A$1:$O$133, 14, FALSE)</f>
        <v>SS</v>
      </c>
      <c r="M251">
        <v>1</v>
      </c>
    </row>
    <row r="252" spans="1:13" x14ac:dyDescent="0.2">
      <c r="A252">
        <v>251</v>
      </c>
      <c r="B252">
        <v>21</v>
      </c>
      <c r="C252">
        <v>36</v>
      </c>
      <c r="D252" t="s">
        <v>156</v>
      </c>
      <c r="E252" t="str">
        <f t="shared" si="3"/>
        <v>1236SS03PT</v>
      </c>
      <c r="F252">
        <f>VLOOKUP(B252,Course!$A$2:$R$329,2,FALSE)</f>
        <v>0</v>
      </c>
      <c r="G252">
        <f>VLOOKUP(B252, Course!$A$2:$L$150, 8, FALSE)</f>
        <v>12</v>
      </c>
      <c r="H252">
        <v>3</v>
      </c>
      <c r="I252">
        <v>1</v>
      </c>
      <c r="K252" t="s">
        <v>1581</v>
      </c>
      <c r="L252" t="str">
        <f>VLOOKUP(B252, Course!$A$1:$O$133, 14, FALSE)</f>
        <v>SS</v>
      </c>
      <c r="M252">
        <v>1</v>
      </c>
    </row>
    <row r="253" spans="1:13" x14ac:dyDescent="0.2">
      <c r="A253">
        <v>252</v>
      </c>
      <c r="B253">
        <v>22</v>
      </c>
      <c r="C253">
        <v>25</v>
      </c>
      <c r="D253" t="s">
        <v>231</v>
      </c>
      <c r="E253" t="str">
        <f t="shared" si="3"/>
        <v>1225BR03PT</v>
      </c>
      <c r="F253">
        <f>VLOOKUP(B253,Course!$A$2:$R$329,2,FALSE)</f>
        <v>0</v>
      </c>
      <c r="G253">
        <f>VLOOKUP(B253, Course!$A$2:$L$150, 8, FALSE)</f>
        <v>12</v>
      </c>
      <c r="H253">
        <v>3</v>
      </c>
      <c r="I253">
        <v>1</v>
      </c>
      <c r="K253" t="s">
        <v>1581</v>
      </c>
      <c r="L253" t="str">
        <f>VLOOKUP(B253, Course!$A$1:$O$133, 14, FALSE)</f>
        <v>BR</v>
      </c>
      <c r="M253">
        <v>1</v>
      </c>
    </row>
    <row r="254" spans="1:13" x14ac:dyDescent="0.2">
      <c r="A254">
        <v>253</v>
      </c>
      <c r="B254">
        <v>22</v>
      </c>
      <c r="C254">
        <v>26</v>
      </c>
      <c r="D254" t="s">
        <v>231</v>
      </c>
      <c r="E254" t="str">
        <f t="shared" si="3"/>
        <v>1226BR03PT</v>
      </c>
      <c r="F254">
        <f>VLOOKUP(B254,Course!$A$2:$R$329,2,FALSE)</f>
        <v>0</v>
      </c>
      <c r="G254">
        <f>VLOOKUP(B254, Course!$A$2:$L$150, 8, FALSE)</f>
        <v>12</v>
      </c>
      <c r="H254">
        <v>3</v>
      </c>
      <c r="I254">
        <v>1</v>
      </c>
      <c r="K254" t="s">
        <v>1581</v>
      </c>
      <c r="L254" t="str">
        <f>VLOOKUP(B254, Course!$A$1:$O$133, 14, FALSE)</f>
        <v>BR</v>
      </c>
      <c r="M254">
        <v>1</v>
      </c>
    </row>
    <row r="255" spans="1:13" x14ac:dyDescent="0.2">
      <c r="A255">
        <v>254</v>
      </c>
      <c r="B255">
        <v>22</v>
      </c>
      <c r="C255">
        <v>27</v>
      </c>
      <c r="D255" t="s">
        <v>231</v>
      </c>
      <c r="E255" t="str">
        <f t="shared" si="3"/>
        <v>1227BR03PT</v>
      </c>
      <c r="F255">
        <f>VLOOKUP(B255,Course!$A$2:$R$329,2,FALSE)</f>
        <v>0</v>
      </c>
      <c r="G255">
        <f>VLOOKUP(B255, Course!$A$2:$L$150, 8, FALSE)</f>
        <v>12</v>
      </c>
      <c r="H255">
        <v>3</v>
      </c>
      <c r="I255">
        <v>1</v>
      </c>
      <c r="K255" t="s">
        <v>1581</v>
      </c>
      <c r="L255" t="str">
        <f>VLOOKUP(B255, Course!$A$1:$O$133, 14, FALSE)</f>
        <v>BR</v>
      </c>
      <c r="M255">
        <v>1</v>
      </c>
    </row>
    <row r="256" spans="1:13" x14ac:dyDescent="0.2">
      <c r="A256">
        <v>255</v>
      </c>
      <c r="B256">
        <v>22</v>
      </c>
      <c r="C256">
        <v>28</v>
      </c>
      <c r="D256" t="s">
        <v>231</v>
      </c>
      <c r="E256" t="str">
        <f t="shared" si="3"/>
        <v>1228BR03PT</v>
      </c>
      <c r="F256">
        <f>VLOOKUP(B256,Course!$A$2:$R$329,2,FALSE)</f>
        <v>0</v>
      </c>
      <c r="G256">
        <f>VLOOKUP(B256, Course!$A$2:$L$150, 8, FALSE)</f>
        <v>12</v>
      </c>
      <c r="H256">
        <v>3</v>
      </c>
      <c r="I256">
        <v>1</v>
      </c>
      <c r="K256" t="s">
        <v>1581</v>
      </c>
      <c r="L256" t="str">
        <f>VLOOKUP(B256, Course!$A$1:$O$133, 14, FALSE)</f>
        <v>BR</v>
      </c>
      <c r="M256">
        <v>1</v>
      </c>
    </row>
    <row r="257" spans="1:13" x14ac:dyDescent="0.2">
      <c r="A257">
        <v>256</v>
      </c>
      <c r="B257">
        <v>22</v>
      </c>
      <c r="C257">
        <v>29</v>
      </c>
      <c r="D257" t="s">
        <v>231</v>
      </c>
      <c r="E257" t="str">
        <f t="shared" si="3"/>
        <v>1229BR03PT</v>
      </c>
      <c r="F257">
        <f>VLOOKUP(B257,Course!$A$2:$R$329,2,FALSE)</f>
        <v>0</v>
      </c>
      <c r="G257">
        <f>VLOOKUP(B257, Course!$A$2:$L$150, 8, FALSE)</f>
        <v>12</v>
      </c>
      <c r="H257">
        <v>3</v>
      </c>
      <c r="I257">
        <v>1</v>
      </c>
      <c r="K257" t="s">
        <v>1581</v>
      </c>
      <c r="L257" t="str">
        <f>VLOOKUP(B257, Course!$A$1:$O$133, 14, FALSE)</f>
        <v>BR</v>
      </c>
      <c r="M257">
        <v>1</v>
      </c>
    </row>
    <row r="258" spans="1:13" x14ac:dyDescent="0.2">
      <c r="A258">
        <v>257</v>
      </c>
      <c r="B258">
        <v>22</v>
      </c>
      <c r="C258">
        <v>30</v>
      </c>
      <c r="D258" t="s">
        <v>231</v>
      </c>
      <c r="E258" t="str">
        <f t="shared" ref="E258:E321" si="4">UPPER(LEFT(G258,2)) &amp; RIGHT("0" &amp; C258, 2) &amp; D258 &amp; RIGHT("0" &amp; H258, 2) &amp; K258</f>
        <v>1230BR03PT</v>
      </c>
      <c r="F258">
        <f>VLOOKUP(B258,Course!$A$2:$R$329,2,FALSE)</f>
        <v>0</v>
      </c>
      <c r="G258">
        <f>VLOOKUP(B258, Course!$A$2:$L$150, 8, FALSE)</f>
        <v>12</v>
      </c>
      <c r="H258">
        <v>3</v>
      </c>
      <c r="I258">
        <v>1</v>
      </c>
      <c r="K258" t="s">
        <v>1581</v>
      </c>
      <c r="L258" t="str">
        <f>VLOOKUP(B258, Course!$A$1:$O$133, 14, FALSE)</f>
        <v>BR</v>
      </c>
      <c r="M258">
        <v>1</v>
      </c>
    </row>
    <row r="259" spans="1:13" x14ac:dyDescent="0.2">
      <c r="A259">
        <v>258</v>
      </c>
      <c r="B259">
        <v>22</v>
      </c>
      <c r="C259">
        <v>31</v>
      </c>
      <c r="D259" t="s">
        <v>231</v>
      </c>
      <c r="E259" t="str">
        <f t="shared" si="4"/>
        <v>1231BR03PT</v>
      </c>
      <c r="F259">
        <f>VLOOKUP(B259,Course!$A$2:$R$329,2,FALSE)</f>
        <v>0</v>
      </c>
      <c r="G259">
        <f>VLOOKUP(B259, Course!$A$2:$L$150, 8, FALSE)</f>
        <v>12</v>
      </c>
      <c r="H259">
        <v>3</v>
      </c>
      <c r="I259">
        <v>1</v>
      </c>
      <c r="K259" t="s">
        <v>1581</v>
      </c>
      <c r="L259" t="str">
        <f>VLOOKUP(B259, Course!$A$1:$O$133, 14, FALSE)</f>
        <v>BR</v>
      </c>
      <c r="M259">
        <v>1</v>
      </c>
    </row>
    <row r="260" spans="1:13" x14ac:dyDescent="0.2">
      <c r="A260">
        <v>259</v>
      </c>
      <c r="B260">
        <v>22</v>
      </c>
      <c r="C260">
        <v>32</v>
      </c>
      <c r="D260" t="s">
        <v>231</v>
      </c>
      <c r="E260" t="str">
        <f t="shared" si="4"/>
        <v>1232BR03PT</v>
      </c>
      <c r="F260">
        <f>VLOOKUP(B260,Course!$A$2:$R$329,2,FALSE)</f>
        <v>0</v>
      </c>
      <c r="G260">
        <f>VLOOKUP(B260, Course!$A$2:$L$150, 8, FALSE)</f>
        <v>12</v>
      </c>
      <c r="H260">
        <v>3</v>
      </c>
      <c r="I260">
        <v>1</v>
      </c>
      <c r="K260" t="s">
        <v>1581</v>
      </c>
      <c r="L260" t="str">
        <f>VLOOKUP(B260, Course!$A$1:$O$133, 14, FALSE)</f>
        <v>BR</v>
      </c>
      <c r="M260">
        <v>1</v>
      </c>
    </row>
    <row r="261" spans="1:13" x14ac:dyDescent="0.2">
      <c r="A261">
        <v>260</v>
      </c>
      <c r="B261">
        <v>22</v>
      </c>
      <c r="C261">
        <v>33</v>
      </c>
      <c r="D261" t="s">
        <v>231</v>
      </c>
      <c r="E261" t="str">
        <f t="shared" si="4"/>
        <v>1233BR03PT</v>
      </c>
      <c r="F261">
        <f>VLOOKUP(B261,Course!$A$2:$R$329,2,FALSE)</f>
        <v>0</v>
      </c>
      <c r="G261">
        <f>VLOOKUP(B261, Course!$A$2:$L$150, 8, FALSE)</f>
        <v>12</v>
      </c>
      <c r="H261">
        <v>3</v>
      </c>
      <c r="I261">
        <v>1</v>
      </c>
      <c r="K261" t="s">
        <v>1581</v>
      </c>
      <c r="L261" t="str">
        <f>VLOOKUP(B261, Course!$A$1:$O$133, 14, FALSE)</f>
        <v>BR</v>
      </c>
      <c r="M261">
        <v>1</v>
      </c>
    </row>
    <row r="262" spans="1:13" x14ac:dyDescent="0.2">
      <c r="A262">
        <v>261</v>
      </c>
      <c r="B262">
        <v>22</v>
      </c>
      <c r="C262">
        <v>34</v>
      </c>
      <c r="D262" t="s">
        <v>231</v>
      </c>
      <c r="E262" t="str">
        <f t="shared" si="4"/>
        <v>1234BR03PT</v>
      </c>
      <c r="F262">
        <f>VLOOKUP(B262,Course!$A$2:$R$329,2,FALSE)</f>
        <v>0</v>
      </c>
      <c r="G262">
        <f>VLOOKUP(B262, Course!$A$2:$L$150, 8, FALSE)</f>
        <v>12</v>
      </c>
      <c r="H262">
        <v>3</v>
      </c>
      <c r="I262">
        <v>1</v>
      </c>
      <c r="K262" t="s">
        <v>1581</v>
      </c>
      <c r="L262" t="str">
        <f>VLOOKUP(B262, Course!$A$1:$O$133, 14, FALSE)</f>
        <v>BR</v>
      </c>
      <c r="M262">
        <v>1</v>
      </c>
    </row>
    <row r="263" spans="1:13" x14ac:dyDescent="0.2">
      <c r="A263">
        <v>262</v>
      </c>
      <c r="B263">
        <v>22</v>
      </c>
      <c r="C263">
        <v>35</v>
      </c>
      <c r="D263" t="s">
        <v>231</v>
      </c>
      <c r="E263" t="str">
        <f t="shared" si="4"/>
        <v>1235BR03PT</v>
      </c>
      <c r="F263">
        <f>VLOOKUP(B263,Course!$A$2:$R$329,2,FALSE)</f>
        <v>0</v>
      </c>
      <c r="G263">
        <f>VLOOKUP(B263, Course!$A$2:$L$150, 8, FALSE)</f>
        <v>12</v>
      </c>
      <c r="H263">
        <v>3</v>
      </c>
      <c r="I263">
        <v>1</v>
      </c>
      <c r="K263" t="s">
        <v>1581</v>
      </c>
      <c r="L263" t="str">
        <f>VLOOKUP(B263, Course!$A$1:$O$133, 14, FALSE)</f>
        <v>BR</v>
      </c>
      <c r="M263">
        <v>1</v>
      </c>
    </row>
    <row r="264" spans="1:13" x14ac:dyDescent="0.2">
      <c r="A264">
        <v>263</v>
      </c>
      <c r="B264">
        <v>22</v>
      </c>
      <c r="C264">
        <v>36</v>
      </c>
      <c r="D264" t="s">
        <v>231</v>
      </c>
      <c r="E264" t="str">
        <f t="shared" si="4"/>
        <v>1236BR03PT</v>
      </c>
      <c r="F264">
        <f>VLOOKUP(B264,Course!$A$2:$R$329,2,FALSE)</f>
        <v>0</v>
      </c>
      <c r="G264">
        <f>VLOOKUP(B264, Course!$A$2:$L$150, 8, FALSE)</f>
        <v>12</v>
      </c>
      <c r="H264">
        <v>3</v>
      </c>
      <c r="I264">
        <v>1</v>
      </c>
      <c r="K264" t="s">
        <v>1581</v>
      </c>
      <c r="L264" t="str">
        <f>VLOOKUP(B264, Course!$A$1:$O$133, 14, FALSE)</f>
        <v>BR</v>
      </c>
      <c r="M264">
        <v>1</v>
      </c>
    </row>
    <row r="265" spans="1:13" x14ac:dyDescent="0.2">
      <c r="A265">
        <v>264</v>
      </c>
      <c r="B265">
        <v>23</v>
      </c>
      <c r="C265">
        <v>37</v>
      </c>
      <c r="D265" t="s">
        <v>141</v>
      </c>
      <c r="E265" t="str">
        <f t="shared" si="4"/>
        <v>1237MA03PT</v>
      </c>
      <c r="F265">
        <f>VLOOKUP(B265,Course!$A$2:$R$329,2,FALSE)</f>
        <v>0</v>
      </c>
      <c r="G265">
        <f>VLOOKUP(B265, Course!$A$2:$L$150, 8, FALSE)</f>
        <v>12</v>
      </c>
      <c r="H265">
        <v>3</v>
      </c>
      <c r="I265">
        <v>1</v>
      </c>
      <c r="K265" t="s">
        <v>1581</v>
      </c>
      <c r="L265" t="str">
        <f>VLOOKUP(B265, Course!$A$1:$O$133, 14, FALSE)</f>
        <v>MA</v>
      </c>
      <c r="M265">
        <v>1</v>
      </c>
    </row>
    <row r="266" spans="1:13" x14ac:dyDescent="0.2">
      <c r="A266">
        <v>265</v>
      </c>
      <c r="B266">
        <v>23</v>
      </c>
      <c r="C266">
        <v>38</v>
      </c>
      <c r="D266" t="s">
        <v>141</v>
      </c>
      <c r="E266" t="str">
        <f t="shared" si="4"/>
        <v>1238MA03PT</v>
      </c>
      <c r="F266">
        <f>VLOOKUP(B266,Course!$A$2:$R$329,2,FALSE)</f>
        <v>0</v>
      </c>
      <c r="G266">
        <f>VLOOKUP(B266, Course!$A$2:$L$150, 8, FALSE)</f>
        <v>12</v>
      </c>
      <c r="H266">
        <v>3</v>
      </c>
      <c r="I266">
        <v>1</v>
      </c>
      <c r="K266" t="s">
        <v>1581</v>
      </c>
      <c r="L266" t="str">
        <f>VLOOKUP(B266, Course!$A$1:$O$133, 14, FALSE)</f>
        <v>MA</v>
      </c>
      <c r="M266">
        <v>1</v>
      </c>
    </row>
    <row r="267" spans="1:13" x14ac:dyDescent="0.2">
      <c r="A267">
        <v>266</v>
      </c>
      <c r="B267">
        <v>23</v>
      </c>
      <c r="C267">
        <v>39</v>
      </c>
      <c r="D267" t="s">
        <v>141</v>
      </c>
      <c r="E267" t="str">
        <f t="shared" si="4"/>
        <v>1239MA03PT</v>
      </c>
      <c r="F267">
        <f>VLOOKUP(B267,Course!$A$2:$R$329,2,FALSE)</f>
        <v>0</v>
      </c>
      <c r="G267">
        <f>VLOOKUP(B267, Course!$A$2:$L$150, 8, FALSE)</f>
        <v>12</v>
      </c>
      <c r="H267">
        <v>3</v>
      </c>
      <c r="I267">
        <v>1</v>
      </c>
      <c r="K267" t="s">
        <v>1581</v>
      </c>
      <c r="L267" t="str">
        <f>VLOOKUP(B267, Course!$A$1:$O$133, 14, FALSE)</f>
        <v>MA</v>
      </c>
      <c r="M267">
        <v>1</v>
      </c>
    </row>
    <row r="268" spans="1:13" x14ac:dyDescent="0.2">
      <c r="A268">
        <v>267</v>
      </c>
      <c r="B268">
        <v>23</v>
      </c>
      <c r="C268">
        <v>40</v>
      </c>
      <c r="D268" t="s">
        <v>141</v>
      </c>
      <c r="E268" t="str">
        <f t="shared" si="4"/>
        <v>1240MA03PT</v>
      </c>
      <c r="F268">
        <f>VLOOKUP(B268,Course!$A$2:$R$329,2,FALSE)</f>
        <v>0</v>
      </c>
      <c r="G268">
        <f>VLOOKUP(B268, Course!$A$2:$L$150, 8, FALSE)</f>
        <v>12</v>
      </c>
      <c r="H268">
        <v>3</v>
      </c>
      <c r="I268">
        <v>1</v>
      </c>
      <c r="K268" t="s">
        <v>1581</v>
      </c>
      <c r="L268" t="str">
        <f>VLOOKUP(B268, Course!$A$1:$O$133, 14, FALSE)</f>
        <v>MA</v>
      </c>
      <c r="M268">
        <v>1</v>
      </c>
    </row>
    <row r="269" spans="1:13" x14ac:dyDescent="0.2">
      <c r="A269">
        <v>268</v>
      </c>
      <c r="B269">
        <v>23</v>
      </c>
      <c r="C269">
        <v>41</v>
      </c>
      <c r="D269" t="s">
        <v>141</v>
      </c>
      <c r="E269" t="str">
        <f t="shared" si="4"/>
        <v>1241MA03PT</v>
      </c>
      <c r="F269">
        <f>VLOOKUP(B269,Course!$A$2:$R$329,2,FALSE)</f>
        <v>0</v>
      </c>
      <c r="G269">
        <f>VLOOKUP(B269, Course!$A$2:$L$150, 8, FALSE)</f>
        <v>12</v>
      </c>
      <c r="H269">
        <v>3</v>
      </c>
      <c r="I269">
        <v>1</v>
      </c>
      <c r="K269" t="s">
        <v>1581</v>
      </c>
      <c r="L269" t="str">
        <f>VLOOKUP(B269, Course!$A$1:$O$133, 14, FALSE)</f>
        <v>MA</v>
      </c>
      <c r="M269">
        <v>1</v>
      </c>
    </row>
    <row r="270" spans="1:13" x14ac:dyDescent="0.2">
      <c r="A270">
        <v>269</v>
      </c>
      <c r="B270">
        <v>23</v>
      </c>
      <c r="C270">
        <v>42</v>
      </c>
      <c r="D270" t="s">
        <v>141</v>
      </c>
      <c r="E270" t="str">
        <f t="shared" si="4"/>
        <v>1242MA03PT</v>
      </c>
      <c r="F270">
        <f>VLOOKUP(B270,Course!$A$2:$R$329,2,FALSE)</f>
        <v>0</v>
      </c>
      <c r="G270">
        <f>VLOOKUP(B270, Course!$A$2:$L$150, 8, FALSE)</f>
        <v>12</v>
      </c>
      <c r="H270">
        <v>3</v>
      </c>
      <c r="I270">
        <v>1</v>
      </c>
      <c r="K270" t="s">
        <v>1581</v>
      </c>
      <c r="L270" t="str">
        <f>VLOOKUP(B270, Course!$A$1:$O$133, 14, FALSE)</f>
        <v>MA</v>
      </c>
      <c r="M270">
        <v>1</v>
      </c>
    </row>
    <row r="271" spans="1:13" x14ac:dyDescent="0.2">
      <c r="A271">
        <v>270</v>
      </c>
      <c r="B271">
        <v>23</v>
      </c>
      <c r="C271">
        <v>43</v>
      </c>
      <c r="D271" t="s">
        <v>141</v>
      </c>
      <c r="E271" t="str">
        <f t="shared" si="4"/>
        <v>1243MA03PT</v>
      </c>
      <c r="F271">
        <f>VLOOKUP(B271,Course!$A$2:$R$329,2,FALSE)</f>
        <v>0</v>
      </c>
      <c r="G271">
        <f>VLOOKUP(B271, Course!$A$2:$L$150, 8, FALSE)</f>
        <v>12</v>
      </c>
      <c r="H271">
        <v>3</v>
      </c>
      <c r="I271">
        <v>1</v>
      </c>
      <c r="K271" t="s">
        <v>1581</v>
      </c>
      <c r="L271" t="str">
        <f>VLOOKUP(B271, Course!$A$1:$O$133, 14, FALSE)</f>
        <v>MA</v>
      </c>
      <c r="M271">
        <v>1</v>
      </c>
    </row>
    <row r="272" spans="1:13" x14ac:dyDescent="0.2">
      <c r="A272">
        <v>271</v>
      </c>
      <c r="B272">
        <v>23</v>
      </c>
      <c r="C272">
        <v>44</v>
      </c>
      <c r="D272" t="s">
        <v>141</v>
      </c>
      <c r="E272" t="str">
        <f t="shared" si="4"/>
        <v>1244MA03PT</v>
      </c>
      <c r="F272">
        <f>VLOOKUP(B272,Course!$A$2:$R$329,2,FALSE)</f>
        <v>0</v>
      </c>
      <c r="G272">
        <f>VLOOKUP(B272, Course!$A$2:$L$150, 8, FALSE)</f>
        <v>12</v>
      </c>
      <c r="H272">
        <v>3</v>
      </c>
      <c r="I272">
        <v>1</v>
      </c>
      <c r="K272" t="s">
        <v>1581</v>
      </c>
      <c r="L272" t="str">
        <f>VLOOKUP(B272, Course!$A$1:$O$133, 14, FALSE)</f>
        <v>MA</v>
      </c>
      <c r="M272">
        <v>1</v>
      </c>
    </row>
    <row r="273" spans="1:13" x14ac:dyDescent="0.2">
      <c r="A273">
        <v>272</v>
      </c>
      <c r="B273">
        <v>23</v>
      </c>
      <c r="C273">
        <v>45</v>
      </c>
      <c r="D273" t="s">
        <v>141</v>
      </c>
      <c r="E273" t="str">
        <f t="shared" si="4"/>
        <v>1245MA03PT</v>
      </c>
      <c r="F273">
        <f>VLOOKUP(B273,Course!$A$2:$R$329,2,FALSE)</f>
        <v>0</v>
      </c>
      <c r="G273">
        <f>VLOOKUP(B273, Course!$A$2:$L$150, 8, FALSE)</f>
        <v>12</v>
      </c>
      <c r="H273">
        <v>3</v>
      </c>
      <c r="I273">
        <v>1</v>
      </c>
      <c r="K273" t="s">
        <v>1581</v>
      </c>
      <c r="L273" t="str">
        <f>VLOOKUP(B273, Course!$A$1:$O$133, 14, FALSE)</f>
        <v>MA</v>
      </c>
      <c r="M273">
        <v>1</v>
      </c>
    </row>
    <row r="274" spans="1:13" x14ac:dyDescent="0.2">
      <c r="A274">
        <v>273</v>
      </c>
      <c r="B274">
        <v>23</v>
      </c>
      <c r="C274">
        <v>46</v>
      </c>
      <c r="D274" t="s">
        <v>141</v>
      </c>
      <c r="E274" t="str">
        <f t="shared" si="4"/>
        <v>1246MA03PT</v>
      </c>
      <c r="F274">
        <f>VLOOKUP(B274,Course!$A$2:$R$329,2,FALSE)</f>
        <v>0</v>
      </c>
      <c r="G274">
        <f>VLOOKUP(B274, Course!$A$2:$L$150, 8, FALSE)</f>
        <v>12</v>
      </c>
      <c r="H274">
        <v>3</v>
      </c>
      <c r="I274">
        <v>1</v>
      </c>
      <c r="K274" t="s">
        <v>1581</v>
      </c>
      <c r="L274" t="str">
        <f>VLOOKUP(B274, Course!$A$1:$O$133, 14, FALSE)</f>
        <v>MA</v>
      </c>
      <c r="M274">
        <v>1</v>
      </c>
    </row>
    <row r="275" spans="1:13" x14ac:dyDescent="0.2">
      <c r="A275">
        <v>274</v>
      </c>
      <c r="B275">
        <v>23</v>
      </c>
      <c r="C275">
        <v>47</v>
      </c>
      <c r="D275" t="s">
        <v>141</v>
      </c>
      <c r="E275" t="str">
        <f t="shared" si="4"/>
        <v>1247MA03PT</v>
      </c>
      <c r="F275">
        <f>VLOOKUP(B275,Course!$A$2:$R$329,2,FALSE)</f>
        <v>0</v>
      </c>
      <c r="G275">
        <f>VLOOKUP(B275, Course!$A$2:$L$150, 8, FALSE)</f>
        <v>12</v>
      </c>
      <c r="H275">
        <v>3</v>
      </c>
      <c r="I275">
        <v>1</v>
      </c>
      <c r="K275" t="s">
        <v>1581</v>
      </c>
      <c r="L275" t="str">
        <f>VLOOKUP(B275, Course!$A$1:$O$133, 14, FALSE)</f>
        <v>MA</v>
      </c>
      <c r="M275">
        <v>1</v>
      </c>
    </row>
    <row r="276" spans="1:13" x14ac:dyDescent="0.2">
      <c r="A276">
        <v>275</v>
      </c>
      <c r="B276">
        <v>23</v>
      </c>
      <c r="C276">
        <v>48</v>
      </c>
      <c r="D276" t="s">
        <v>141</v>
      </c>
      <c r="E276" t="str">
        <f t="shared" si="4"/>
        <v>1248MA03PT</v>
      </c>
      <c r="F276">
        <f>VLOOKUP(B276,Course!$A$2:$R$329,2,FALSE)</f>
        <v>0</v>
      </c>
      <c r="G276">
        <f>VLOOKUP(B276, Course!$A$2:$L$150, 8, FALSE)</f>
        <v>12</v>
      </c>
      <c r="H276">
        <v>3</v>
      </c>
      <c r="I276">
        <v>1</v>
      </c>
      <c r="K276" t="s">
        <v>1581</v>
      </c>
      <c r="L276" t="str">
        <f>VLOOKUP(B276, Course!$A$1:$O$133, 14, FALSE)</f>
        <v>MA</v>
      </c>
      <c r="M276">
        <v>1</v>
      </c>
    </row>
    <row r="277" spans="1:13" x14ac:dyDescent="0.2">
      <c r="A277">
        <v>276</v>
      </c>
      <c r="B277">
        <v>24</v>
      </c>
      <c r="C277">
        <v>37</v>
      </c>
      <c r="D277" t="s">
        <v>224</v>
      </c>
      <c r="E277" t="str">
        <f t="shared" si="4"/>
        <v>1237EN03PT</v>
      </c>
      <c r="F277">
        <f>VLOOKUP(B277,Course!$A$2:$R$329,2,FALSE)</f>
        <v>0</v>
      </c>
      <c r="G277">
        <f>VLOOKUP(B277, Course!$A$2:$L$150, 8, FALSE)</f>
        <v>12</v>
      </c>
      <c r="H277">
        <v>3</v>
      </c>
      <c r="I277">
        <v>1</v>
      </c>
      <c r="K277" t="s">
        <v>1581</v>
      </c>
      <c r="L277" t="str">
        <f>VLOOKUP(B277, Course!$A$1:$O$133, 14, FALSE)</f>
        <v>EN</v>
      </c>
      <c r="M277">
        <v>1</v>
      </c>
    </row>
    <row r="278" spans="1:13" x14ac:dyDescent="0.2">
      <c r="A278">
        <v>277</v>
      </c>
      <c r="B278">
        <v>24</v>
      </c>
      <c r="C278">
        <v>38</v>
      </c>
      <c r="D278" t="s">
        <v>224</v>
      </c>
      <c r="E278" t="str">
        <f t="shared" si="4"/>
        <v>1238EN03PT</v>
      </c>
      <c r="F278">
        <f>VLOOKUP(B278,Course!$A$2:$R$329,2,FALSE)</f>
        <v>0</v>
      </c>
      <c r="G278">
        <f>VLOOKUP(B278, Course!$A$2:$L$150, 8, FALSE)</f>
        <v>12</v>
      </c>
      <c r="H278">
        <v>3</v>
      </c>
      <c r="I278">
        <v>1</v>
      </c>
      <c r="K278" t="s">
        <v>1581</v>
      </c>
      <c r="L278" t="str">
        <f>VLOOKUP(B278, Course!$A$1:$O$133, 14, FALSE)</f>
        <v>EN</v>
      </c>
      <c r="M278">
        <v>1</v>
      </c>
    </row>
    <row r="279" spans="1:13" x14ac:dyDescent="0.2">
      <c r="A279">
        <v>278</v>
      </c>
      <c r="B279">
        <v>24</v>
      </c>
      <c r="C279">
        <v>39</v>
      </c>
      <c r="D279" t="s">
        <v>224</v>
      </c>
      <c r="E279" t="str">
        <f t="shared" si="4"/>
        <v>1239EN03PT</v>
      </c>
      <c r="F279">
        <f>VLOOKUP(B279,Course!$A$2:$R$329,2,FALSE)</f>
        <v>0</v>
      </c>
      <c r="G279">
        <f>VLOOKUP(B279, Course!$A$2:$L$150, 8, FALSE)</f>
        <v>12</v>
      </c>
      <c r="H279">
        <v>3</v>
      </c>
      <c r="I279">
        <v>1</v>
      </c>
      <c r="K279" t="s">
        <v>1581</v>
      </c>
      <c r="L279" t="str">
        <f>VLOOKUP(B279, Course!$A$1:$O$133, 14, FALSE)</f>
        <v>EN</v>
      </c>
      <c r="M279">
        <v>1</v>
      </c>
    </row>
    <row r="280" spans="1:13" x14ac:dyDescent="0.2">
      <c r="A280">
        <v>279</v>
      </c>
      <c r="B280">
        <v>24</v>
      </c>
      <c r="C280">
        <v>40</v>
      </c>
      <c r="D280" t="s">
        <v>224</v>
      </c>
      <c r="E280" t="str">
        <f t="shared" si="4"/>
        <v>1240EN03PT</v>
      </c>
      <c r="F280">
        <f>VLOOKUP(B280,Course!$A$2:$R$329,2,FALSE)</f>
        <v>0</v>
      </c>
      <c r="G280">
        <f>VLOOKUP(B280, Course!$A$2:$L$150, 8, FALSE)</f>
        <v>12</v>
      </c>
      <c r="H280">
        <v>3</v>
      </c>
      <c r="I280">
        <v>1</v>
      </c>
      <c r="K280" t="s">
        <v>1581</v>
      </c>
      <c r="L280" t="str">
        <f>VLOOKUP(B280, Course!$A$1:$O$133, 14, FALSE)</f>
        <v>EN</v>
      </c>
      <c r="M280">
        <v>1</v>
      </c>
    </row>
    <row r="281" spans="1:13" x14ac:dyDescent="0.2">
      <c r="A281">
        <v>280</v>
      </c>
      <c r="B281">
        <v>24</v>
      </c>
      <c r="C281">
        <v>41</v>
      </c>
      <c r="D281" t="s">
        <v>224</v>
      </c>
      <c r="E281" t="str">
        <f t="shared" si="4"/>
        <v>1241EN03PT</v>
      </c>
      <c r="F281">
        <f>VLOOKUP(B281,Course!$A$2:$R$329,2,FALSE)</f>
        <v>0</v>
      </c>
      <c r="G281">
        <f>VLOOKUP(B281, Course!$A$2:$L$150, 8, FALSE)</f>
        <v>12</v>
      </c>
      <c r="H281">
        <v>3</v>
      </c>
      <c r="I281">
        <v>1</v>
      </c>
      <c r="K281" t="s">
        <v>1581</v>
      </c>
      <c r="L281" t="str">
        <f>VLOOKUP(B281, Course!$A$1:$O$133, 14, FALSE)</f>
        <v>EN</v>
      </c>
      <c r="M281">
        <v>1</v>
      </c>
    </row>
    <row r="282" spans="1:13" x14ac:dyDescent="0.2">
      <c r="A282">
        <v>281</v>
      </c>
      <c r="B282">
        <v>24</v>
      </c>
      <c r="C282">
        <v>42</v>
      </c>
      <c r="D282" t="s">
        <v>224</v>
      </c>
      <c r="E282" t="str">
        <f t="shared" si="4"/>
        <v>1242EN03PT</v>
      </c>
      <c r="F282">
        <f>VLOOKUP(B282,Course!$A$2:$R$329,2,FALSE)</f>
        <v>0</v>
      </c>
      <c r="G282">
        <f>VLOOKUP(B282, Course!$A$2:$L$150, 8, FALSE)</f>
        <v>12</v>
      </c>
      <c r="H282">
        <v>3</v>
      </c>
      <c r="I282">
        <v>1</v>
      </c>
      <c r="K282" t="s">
        <v>1581</v>
      </c>
      <c r="L282" t="str">
        <f>VLOOKUP(B282, Course!$A$1:$O$133, 14, FALSE)</f>
        <v>EN</v>
      </c>
      <c r="M282">
        <v>1</v>
      </c>
    </row>
    <row r="283" spans="1:13" x14ac:dyDescent="0.2">
      <c r="A283">
        <v>282</v>
      </c>
      <c r="B283">
        <v>24</v>
      </c>
      <c r="C283">
        <v>43</v>
      </c>
      <c r="D283" t="s">
        <v>224</v>
      </c>
      <c r="E283" t="str">
        <f t="shared" si="4"/>
        <v>1243EN03PT</v>
      </c>
      <c r="F283">
        <f>VLOOKUP(B283,Course!$A$2:$R$329,2,FALSE)</f>
        <v>0</v>
      </c>
      <c r="G283">
        <f>VLOOKUP(B283, Course!$A$2:$L$150, 8, FALSE)</f>
        <v>12</v>
      </c>
      <c r="H283">
        <v>3</v>
      </c>
      <c r="I283">
        <v>1</v>
      </c>
      <c r="K283" t="s">
        <v>1581</v>
      </c>
      <c r="L283" t="str">
        <f>VLOOKUP(B283, Course!$A$1:$O$133, 14, FALSE)</f>
        <v>EN</v>
      </c>
      <c r="M283">
        <v>1</v>
      </c>
    </row>
    <row r="284" spans="1:13" x14ac:dyDescent="0.2">
      <c r="A284">
        <v>283</v>
      </c>
      <c r="B284">
        <v>24</v>
      </c>
      <c r="C284">
        <v>44</v>
      </c>
      <c r="D284" t="s">
        <v>224</v>
      </c>
      <c r="E284" t="str">
        <f t="shared" si="4"/>
        <v>1244EN03PT</v>
      </c>
      <c r="F284">
        <f>VLOOKUP(B284,Course!$A$2:$R$329,2,FALSE)</f>
        <v>0</v>
      </c>
      <c r="G284">
        <f>VLOOKUP(B284, Course!$A$2:$L$150, 8, FALSE)</f>
        <v>12</v>
      </c>
      <c r="H284">
        <v>3</v>
      </c>
      <c r="I284">
        <v>1</v>
      </c>
      <c r="K284" t="s">
        <v>1581</v>
      </c>
      <c r="L284" t="str">
        <f>VLOOKUP(B284, Course!$A$1:$O$133, 14, FALSE)</f>
        <v>EN</v>
      </c>
      <c r="M284">
        <v>1</v>
      </c>
    </row>
    <row r="285" spans="1:13" x14ac:dyDescent="0.2">
      <c r="A285">
        <v>284</v>
      </c>
      <c r="B285">
        <v>24</v>
      </c>
      <c r="C285">
        <v>45</v>
      </c>
      <c r="D285" t="s">
        <v>224</v>
      </c>
      <c r="E285" t="str">
        <f t="shared" si="4"/>
        <v>1245EN03PT</v>
      </c>
      <c r="F285">
        <f>VLOOKUP(B285,Course!$A$2:$R$329,2,FALSE)</f>
        <v>0</v>
      </c>
      <c r="G285">
        <f>VLOOKUP(B285, Course!$A$2:$L$150, 8, FALSE)</f>
        <v>12</v>
      </c>
      <c r="H285">
        <v>3</v>
      </c>
      <c r="I285">
        <v>1</v>
      </c>
      <c r="K285" t="s">
        <v>1581</v>
      </c>
      <c r="L285" t="str">
        <f>VLOOKUP(B285, Course!$A$1:$O$133, 14, FALSE)</f>
        <v>EN</v>
      </c>
      <c r="M285">
        <v>1</v>
      </c>
    </row>
    <row r="286" spans="1:13" x14ac:dyDescent="0.2">
      <c r="A286">
        <v>285</v>
      </c>
      <c r="B286">
        <v>24</v>
      </c>
      <c r="C286">
        <v>46</v>
      </c>
      <c r="D286" t="s">
        <v>224</v>
      </c>
      <c r="E286" t="str">
        <f t="shared" si="4"/>
        <v>1246EN03PT</v>
      </c>
      <c r="F286">
        <f>VLOOKUP(B286,Course!$A$2:$R$329,2,FALSE)</f>
        <v>0</v>
      </c>
      <c r="G286">
        <f>VLOOKUP(B286, Course!$A$2:$L$150, 8, FALSE)</f>
        <v>12</v>
      </c>
      <c r="H286">
        <v>3</v>
      </c>
      <c r="I286">
        <v>1</v>
      </c>
      <c r="K286" t="s">
        <v>1581</v>
      </c>
      <c r="L286" t="str">
        <f>VLOOKUP(B286, Course!$A$1:$O$133, 14, FALSE)</f>
        <v>EN</v>
      </c>
      <c r="M286">
        <v>1</v>
      </c>
    </row>
    <row r="287" spans="1:13" x14ac:dyDescent="0.2">
      <c r="A287">
        <v>286</v>
      </c>
      <c r="B287">
        <v>24</v>
      </c>
      <c r="C287">
        <v>47</v>
      </c>
      <c r="D287" t="s">
        <v>224</v>
      </c>
      <c r="E287" t="str">
        <f t="shared" si="4"/>
        <v>1247EN03PT</v>
      </c>
      <c r="F287">
        <f>VLOOKUP(B287,Course!$A$2:$R$329,2,FALSE)</f>
        <v>0</v>
      </c>
      <c r="G287">
        <f>VLOOKUP(B287, Course!$A$2:$L$150, 8, FALSE)</f>
        <v>12</v>
      </c>
      <c r="H287">
        <v>3</v>
      </c>
      <c r="I287">
        <v>1</v>
      </c>
      <c r="K287" t="s">
        <v>1581</v>
      </c>
      <c r="L287" t="str">
        <f>VLOOKUP(B287, Course!$A$1:$O$133, 14, FALSE)</f>
        <v>EN</v>
      </c>
      <c r="M287">
        <v>1</v>
      </c>
    </row>
    <row r="288" spans="1:13" x14ac:dyDescent="0.2">
      <c r="A288">
        <v>287</v>
      </c>
      <c r="B288">
        <v>24</v>
      </c>
      <c r="C288">
        <v>48</v>
      </c>
      <c r="D288" t="s">
        <v>224</v>
      </c>
      <c r="E288" t="str">
        <f t="shared" si="4"/>
        <v>1248EN03PT</v>
      </c>
      <c r="F288">
        <f>VLOOKUP(B288,Course!$A$2:$R$329,2,FALSE)</f>
        <v>0</v>
      </c>
      <c r="G288">
        <f>VLOOKUP(B288, Course!$A$2:$L$150, 8, FALSE)</f>
        <v>12</v>
      </c>
      <c r="H288">
        <v>3</v>
      </c>
      <c r="I288">
        <v>1</v>
      </c>
      <c r="K288" t="s">
        <v>1581</v>
      </c>
      <c r="L288" t="str">
        <f>VLOOKUP(B288, Course!$A$1:$O$133, 14, FALSE)</f>
        <v>EN</v>
      </c>
      <c r="M288">
        <v>1</v>
      </c>
    </row>
    <row r="289" spans="1:13" x14ac:dyDescent="0.2">
      <c r="A289">
        <v>288</v>
      </c>
      <c r="B289">
        <v>25</v>
      </c>
      <c r="C289">
        <v>37</v>
      </c>
      <c r="D289" t="s">
        <v>147</v>
      </c>
      <c r="E289" t="str">
        <f t="shared" si="4"/>
        <v>1237WB03PT</v>
      </c>
      <c r="F289">
        <f>VLOOKUP(B289,Course!$A$2:$R$329,2,FALSE)</f>
        <v>0</v>
      </c>
      <c r="G289">
        <f>VLOOKUP(B289, Course!$A$2:$L$150, 8, FALSE)</f>
        <v>12</v>
      </c>
      <c r="H289">
        <v>3</v>
      </c>
      <c r="I289">
        <v>1</v>
      </c>
      <c r="K289" t="s">
        <v>1581</v>
      </c>
      <c r="L289" t="str">
        <f>VLOOKUP(B289, Course!$A$1:$O$133, 14, FALSE)</f>
        <v>WB</v>
      </c>
      <c r="M289">
        <v>1</v>
      </c>
    </row>
    <row r="290" spans="1:13" x14ac:dyDescent="0.2">
      <c r="A290">
        <v>289</v>
      </c>
      <c r="B290">
        <v>25</v>
      </c>
      <c r="C290">
        <v>38</v>
      </c>
      <c r="D290" t="s">
        <v>147</v>
      </c>
      <c r="E290" t="str">
        <f t="shared" si="4"/>
        <v>1238WB03PT</v>
      </c>
      <c r="F290">
        <f>VLOOKUP(B290,Course!$A$2:$R$329,2,FALSE)</f>
        <v>0</v>
      </c>
      <c r="G290">
        <f>VLOOKUP(B290, Course!$A$2:$L$150, 8, FALSE)</f>
        <v>12</v>
      </c>
      <c r="H290">
        <v>3</v>
      </c>
      <c r="I290">
        <v>1</v>
      </c>
      <c r="K290" t="s">
        <v>1581</v>
      </c>
      <c r="L290" t="str">
        <f>VLOOKUP(B290, Course!$A$1:$O$133, 14, FALSE)</f>
        <v>WB</v>
      </c>
      <c r="M290">
        <v>1</v>
      </c>
    </row>
    <row r="291" spans="1:13" x14ac:dyDescent="0.2">
      <c r="A291">
        <v>290</v>
      </c>
      <c r="B291">
        <v>25</v>
      </c>
      <c r="C291">
        <v>39</v>
      </c>
      <c r="D291" t="s">
        <v>147</v>
      </c>
      <c r="E291" t="str">
        <f t="shared" si="4"/>
        <v>1239WB03PT</v>
      </c>
      <c r="F291">
        <f>VLOOKUP(B291,Course!$A$2:$R$329,2,FALSE)</f>
        <v>0</v>
      </c>
      <c r="G291">
        <f>VLOOKUP(B291, Course!$A$2:$L$150, 8, FALSE)</f>
        <v>12</v>
      </c>
      <c r="H291">
        <v>3</v>
      </c>
      <c r="I291">
        <v>1</v>
      </c>
      <c r="K291" t="s">
        <v>1581</v>
      </c>
      <c r="L291" t="str">
        <f>VLOOKUP(B291, Course!$A$1:$O$133, 14, FALSE)</f>
        <v>WB</v>
      </c>
      <c r="M291">
        <v>1</v>
      </c>
    </row>
    <row r="292" spans="1:13" x14ac:dyDescent="0.2">
      <c r="A292">
        <v>291</v>
      </c>
      <c r="B292">
        <v>25</v>
      </c>
      <c r="C292">
        <v>40</v>
      </c>
      <c r="D292" t="s">
        <v>147</v>
      </c>
      <c r="E292" t="str">
        <f t="shared" si="4"/>
        <v>1240WB03PT</v>
      </c>
      <c r="F292">
        <f>VLOOKUP(B292,Course!$A$2:$R$329,2,FALSE)</f>
        <v>0</v>
      </c>
      <c r="G292">
        <f>VLOOKUP(B292, Course!$A$2:$L$150, 8, FALSE)</f>
        <v>12</v>
      </c>
      <c r="H292">
        <v>3</v>
      </c>
      <c r="I292">
        <v>1</v>
      </c>
      <c r="K292" t="s">
        <v>1581</v>
      </c>
      <c r="L292" t="str">
        <f>VLOOKUP(B292, Course!$A$1:$O$133, 14, FALSE)</f>
        <v>WB</v>
      </c>
      <c r="M292">
        <v>1</v>
      </c>
    </row>
    <row r="293" spans="1:13" x14ac:dyDescent="0.2">
      <c r="A293">
        <v>292</v>
      </c>
      <c r="B293">
        <v>25</v>
      </c>
      <c r="C293">
        <v>41</v>
      </c>
      <c r="D293" t="s">
        <v>147</v>
      </c>
      <c r="E293" t="str">
        <f t="shared" si="4"/>
        <v>1241WB03PT</v>
      </c>
      <c r="F293">
        <f>VLOOKUP(B293,Course!$A$2:$R$329,2,FALSE)</f>
        <v>0</v>
      </c>
      <c r="G293">
        <f>VLOOKUP(B293, Course!$A$2:$L$150, 8, FALSE)</f>
        <v>12</v>
      </c>
      <c r="H293">
        <v>3</v>
      </c>
      <c r="I293">
        <v>1</v>
      </c>
      <c r="K293" t="s">
        <v>1581</v>
      </c>
      <c r="L293" t="str">
        <f>VLOOKUP(B293, Course!$A$1:$O$133, 14, FALSE)</f>
        <v>WB</v>
      </c>
      <c r="M293">
        <v>1</v>
      </c>
    </row>
    <row r="294" spans="1:13" x14ac:dyDescent="0.2">
      <c r="A294">
        <v>293</v>
      </c>
      <c r="B294">
        <v>25</v>
      </c>
      <c r="C294">
        <v>42</v>
      </c>
      <c r="D294" t="s">
        <v>147</v>
      </c>
      <c r="E294" t="str">
        <f t="shared" si="4"/>
        <v>1242WB03PT</v>
      </c>
      <c r="F294">
        <f>VLOOKUP(B294,Course!$A$2:$R$329,2,FALSE)</f>
        <v>0</v>
      </c>
      <c r="G294">
        <f>VLOOKUP(B294, Course!$A$2:$L$150, 8, FALSE)</f>
        <v>12</v>
      </c>
      <c r="H294">
        <v>3</v>
      </c>
      <c r="I294">
        <v>1</v>
      </c>
      <c r="K294" t="s">
        <v>1581</v>
      </c>
      <c r="L294" t="str">
        <f>VLOOKUP(B294, Course!$A$1:$O$133, 14, FALSE)</f>
        <v>WB</v>
      </c>
      <c r="M294">
        <v>1</v>
      </c>
    </row>
    <row r="295" spans="1:13" x14ac:dyDescent="0.2">
      <c r="A295">
        <v>294</v>
      </c>
      <c r="B295">
        <v>25</v>
      </c>
      <c r="C295">
        <v>43</v>
      </c>
      <c r="D295" t="s">
        <v>147</v>
      </c>
      <c r="E295" t="str">
        <f t="shared" si="4"/>
        <v>1243WB03PT</v>
      </c>
      <c r="F295">
        <f>VLOOKUP(B295,Course!$A$2:$R$329,2,FALSE)</f>
        <v>0</v>
      </c>
      <c r="G295">
        <f>VLOOKUP(B295, Course!$A$2:$L$150, 8, FALSE)</f>
        <v>12</v>
      </c>
      <c r="H295">
        <v>3</v>
      </c>
      <c r="I295">
        <v>1</v>
      </c>
      <c r="K295" t="s">
        <v>1581</v>
      </c>
      <c r="L295" t="str">
        <f>VLOOKUP(B295, Course!$A$1:$O$133, 14, FALSE)</f>
        <v>WB</v>
      </c>
      <c r="M295">
        <v>1</v>
      </c>
    </row>
    <row r="296" spans="1:13" x14ac:dyDescent="0.2">
      <c r="A296">
        <v>295</v>
      </c>
      <c r="B296">
        <v>25</v>
      </c>
      <c r="C296">
        <v>44</v>
      </c>
      <c r="D296" t="s">
        <v>147</v>
      </c>
      <c r="E296" t="str">
        <f t="shared" si="4"/>
        <v>1244WB03PT</v>
      </c>
      <c r="F296">
        <f>VLOOKUP(B296,Course!$A$2:$R$329,2,FALSE)</f>
        <v>0</v>
      </c>
      <c r="G296">
        <f>VLOOKUP(B296, Course!$A$2:$L$150, 8, FALSE)</f>
        <v>12</v>
      </c>
      <c r="H296">
        <v>3</v>
      </c>
      <c r="I296">
        <v>1</v>
      </c>
      <c r="K296" t="s">
        <v>1581</v>
      </c>
      <c r="L296" t="str">
        <f>VLOOKUP(B296, Course!$A$1:$O$133, 14, FALSE)</f>
        <v>WB</v>
      </c>
      <c r="M296">
        <v>1</v>
      </c>
    </row>
    <row r="297" spans="1:13" x14ac:dyDescent="0.2">
      <c r="A297">
        <v>296</v>
      </c>
      <c r="B297">
        <v>25</v>
      </c>
      <c r="C297">
        <v>45</v>
      </c>
      <c r="D297" t="s">
        <v>147</v>
      </c>
      <c r="E297" t="str">
        <f t="shared" si="4"/>
        <v>1245WB03PT</v>
      </c>
      <c r="F297">
        <f>VLOOKUP(B297,Course!$A$2:$R$329,2,FALSE)</f>
        <v>0</v>
      </c>
      <c r="G297">
        <f>VLOOKUP(B297, Course!$A$2:$L$150, 8, FALSE)</f>
        <v>12</v>
      </c>
      <c r="H297">
        <v>3</v>
      </c>
      <c r="I297">
        <v>1</v>
      </c>
      <c r="K297" t="s">
        <v>1581</v>
      </c>
      <c r="L297" t="str">
        <f>VLOOKUP(B297, Course!$A$1:$O$133, 14, FALSE)</f>
        <v>WB</v>
      </c>
      <c r="M297">
        <v>1</v>
      </c>
    </row>
    <row r="298" spans="1:13" x14ac:dyDescent="0.2">
      <c r="A298">
        <v>297</v>
      </c>
      <c r="B298">
        <v>25</v>
      </c>
      <c r="C298">
        <v>46</v>
      </c>
      <c r="D298" t="s">
        <v>147</v>
      </c>
      <c r="E298" t="str">
        <f t="shared" si="4"/>
        <v>1246WB03PT</v>
      </c>
      <c r="F298">
        <f>VLOOKUP(B298,Course!$A$2:$R$329,2,FALSE)</f>
        <v>0</v>
      </c>
      <c r="G298">
        <f>VLOOKUP(B298, Course!$A$2:$L$150, 8, FALSE)</f>
        <v>12</v>
      </c>
      <c r="H298">
        <v>3</v>
      </c>
      <c r="I298">
        <v>1</v>
      </c>
      <c r="K298" t="s">
        <v>1581</v>
      </c>
      <c r="L298" t="str">
        <f>VLOOKUP(B298, Course!$A$1:$O$133, 14, FALSE)</f>
        <v>WB</v>
      </c>
      <c r="M298">
        <v>1</v>
      </c>
    </row>
    <row r="299" spans="1:13" x14ac:dyDescent="0.2">
      <c r="A299">
        <v>298</v>
      </c>
      <c r="B299">
        <v>25</v>
      </c>
      <c r="C299">
        <v>47</v>
      </c>
      <c r="D299" t="s">
        <v>147</v>
      </c>
      <c r="E299" t="str">
        <f t="shared" si="4"/>
        <v>1247WB03PT</v>
      </c>
      <c r="F299">
        <f>VLOOKUP(B299,Course!$A$2:$R$329,2,FALSE)</f>
        <v>0</v>
      </c>
      <c r="G299">
        <f>VLOOKUP(B299, Course!$A$2:$L$150, 8, FALSE)</f>
        <v>12</v>
      </c>
      <c r="H299">
        <v>3</v>
      </c>
      <c r="I299">
        <v>1</v>
      </c>
      <c r="K299" t="s">
        <v>1581</v>
      </c>
      <c r="L299" t="str">
        <f>VLOOKUP(B299, Course!$A$1:$O$133, 14, FALSE)</f>
        <v>WB</v>
      </c>
      <c r="M299">
        <v>1</v>
      </c>
    </row>
    <row r="300" spans="1:13" x14ac:dyDescent="0.2">
      <c r="A300">
        <v>299</v>
      </c>
      <c r="B300">
        <v>25</v>
      </c>
      <c r="C300">
        <v>48</v>
      </c>
      <c r="D300" t="s">
        <v>147</v>
      </c>
      <c r="E300" t="str">
        <f t="shared" si="4"/>
        <v>1248WB03PT</v>
      </c>
      <c r="F300">
        <f>VLOOKUP(B300,Course!$A$2:$R$329,2,FALSE)</f>
        <v>0</v>
      </c>
      <c r="G300">
        <f>VLOOKUP(B300, Course!$A$2:$L$150, 8, FALSE)</f>
        <v>12</v>
      </c>
      <c r="H300">
        <v>3</v>
      </c>
      <c r="I300">
        <v>1</v>
      </c>
      <c r="K300" t="s">
        <v>1581</v>
      </c>
      <c r="L300" t="str">
        <f>VLOOKUP(B300, Course!$A$1:$O$133, 14, FALSE)</f>
        <v>WB</v>
      </c>
      <c r="M300">
        <v>1</v>
      </c>
    </row>
    <row r="301" spans="1:13" x14ac:dyDescent="0.2">
      <c r="A301">
        <v>300</v>
      </c>
      <c r="B301">
        <v>26</v>
      </c>
      <c r="C301">
        <v>37</v>
      </c>
      <c r="D301" t="s">
        <v>227</v>
      </c>
      <c r="E301" t="str">
        <f t="shared" si="4"/>
        <v>1237LC03PT</v>
      </c>
      <c r="F301">
        <f>VLOOKUP(B301,Course!$A$2:$R$329,2,FALSE)</f>
        <v>0</v>
      </c>
      <c r="G301">
        <f>VLOOKUP(B301, Course!$A$2:$L$150, 8, FALSE)</f>
        <v>12</v>
      </c>
      <c r="H301">
        <v>3</v>
      </c>
      <c r="I301">
        <v>1</v>
      </c>
      <c r="K301" t="s">
        <v>1581</v>
      </c>
      <c r="L301" t="str">
        <f>VLOOKUP(B301, Course!$A$1:$O$133, 14, FALSE)</f>
        <v>LC</v>
      </c>
      <c r="M301">
        <v>1</v>
      </c>
    </row>
    <row r="302" spans="1:13" x14ac:dyDescent="0.2">
      <c r="A302">
        <v>301</v>
      </c>
      <c r="B302">
        <v>26</v>
      </c>
      <c r="C302">
        <v>38</v>
      </c>
      <c r="D302" t="s">
        <v>227</v>
      </c>
      <c r="E302" t="str">
        <f t="shared" si="4"/>
        <v>1238LC03PT</v>
      </c>
      <c r="F302">
        <f>VLOOKUP(B302,Course!$A$2:$R$329,2,FALSE)</f>
        <v>0</v>
      </c>
      <c r="G302">
        <f>VLOOKUP(B302, Course!$A$2:$L$150, 8, FALSE)</f>
        <v>12</v>
      </c>
      <c r="H302">
        <v>3</v>
      </c>
      <c r="I302">
        <v>1</v>
      </c>
      <c r="K302" t="s">
        <v>1581</v>
      </c>
      <c r="L302" t="str">
        <f>VLOOKUP(B302, Course!$A$1:$O$133, 14, FALSE)</f>
        <v>LC</v>
      </c>
      <c r="M302">
        <v>1</v>
      </c>
    </row>
    <row r="303" spans="1:13" x14ac:dyDescent="0.2">
      <c r="A303">
        <v>302</v>
      </c>
      <c r="B303">
        <v>26</v>
      </c>
      <c r="C303">
        <v>39</v>
      </c>
      <c r="D303" t="s">
        <v>227</v>
      </c>
      <c r="E303" t="str">
        <f t="shared" si="4"/>
        <v>1239LC03PT</v>
      </c>
      <c r="F303">
        <f>VLOOKUP(B303,Course!$A$2:$R$329,2,FALSE)</f>
        <v>0</v>
      </c>
      <c r="G303">
        <f>VLOOKUP(B303, Course!$A$2:$L$150, 8, FALSE)</f>
        <v>12</v>
      </c>
      <c r="H303">
        <v>3</v>
      </c>
      <c r="I303">
        <v>1</v>
      </c>
      <c r="K303" t="s">
        <v>1581</v>
      </c>
      <c r="L303" t="str">
        <f>VLOOKUP(B303, Course!$A$1:$O$133, 14, FALSE)</f>
        <v>LC</v>
      </c>
      <c r="M303">
        <v>1</v>
      </c>
    </row>
    <row r="304" spans="1:13" x14ac:dyDescent="0.2">
      <c r="A304">
        <v>303</v>
      </c>
      <c r="B304">
        <v>26</v>
      </c>
      <c r="C304">
        <v>40</v>
      </c>
      <c r="D304" t="s">
        <v>227</v>
      </c>
      <c r="E304" t="str">
        <f t="shared" si="4"/>
        <v>1240LC03PT</v>
      </c>
      <c r="F304">
        <f>VLOOKUP(B304,Course!$A$2:$R$329,2,FALSE)</f>
        <v>0</v>
      </c>
      <c r="G304">
        <f>VLOOKUP(B304, Course!$A$2:$L$150, 8, FALSE)</f>
        <v>12</v>
      </c>
      <c r="H304">
        <v>3</v>
      </c>
      <c r="I304">
        <v>1</v>
      </c>
      <c r="K304" t="s">
        <v>1581</v>
      </c>
      <c r="L304" t="str">
        <f>VLOOKUP(B304, Course!$A$1:$O$133, 14, FALSE)</f>
        <v>LC</v>
      </c>
      <c r="M304">
        <v>1</v>
      </c>
    </row>
    <row r="305" spans="1:13" x14ac:dyDescent="0.2">
      <c r="A305">
        <v>304</v>
      </c>
      <c r="B305">
        <v>26</v>
      </c>
      <c r="C305">
        <v>41</v>
      </c>
      <c r="D305" t="s">
        <v>227</v>
      </c>
      <c r="E305" t="str">
        <f t="shared" si="4"/>
        <v>1241LC03PT</v>
      </c>
      <c r="F305">
        <f>VLOOKUP(B305,Course!$A$2:$R$329,2,FALSE)</f>
        <v>0</v>
      </c>
      <c r="G305">
        <f>VLOOKUP(B305, Course!$A$2:$L$150, 8, FALSE)</f>
        <v>12</v>
      </c>
      <c r="H305">
        <v>3</v>
      </c>
      <c r="I305">
        <v>1</v>
      </c>
      <c r="K305" t="s">
        <v>1581</v>
      </c>
      <c r="L305" t="str">
        <f>VLOOKUP(B305, Course!$A$1:$O$133, 14, FALSE)</f>
        <v>LC</v>
      </c>
      <c r="M305">
        <v>1</v>
      </c>
    </row>
    <row r="306" spans="1:13" x14ac:dyDescent="0.2">
      <c r="A306">
        <v>305</v>
      </c>
      <c r="B306">
        <v>26</v>
      </c>
      <c r="C306">
        <v>42</v>
      </c>
      <c r="D306" t="s">
        <v>227</v>
      </c>
      <c r="E306" t="str">
        <f t="shared" si="4"/>
        <v>1242LC03PT</v>
      </c>
      <c r="F306">
        <f>VLOOKUP(B306,Course!$A$2:$R$329,2,FALSE)</f>
        <v>0</v>
      </c>
      <c r="G306">
        <f>VLOOKUP(B306, Course!$A$2:$L$150, 8, FALSE)</f>
        <v>12</v>
      </c>
      <c r="H306">
        <v>3</v>
      </c>
      <c r="I306">
        <v>1</v>
      </c>
      <c r="K306" t="s">
        <v>1581</v>
      </c>
      <c r="L306" t="str">
        <f>VLOOKUP(B306, Course!$A$1:$O$133, 14, FALSE)</f>
        <v>LC</v>
      </c>
      <c r="M306">
        <v>1</v>
      </c>
    </row>
    <row r="307" spans="1:13" x14ac:dyDescent="0.2">
      <c r="A307">
        <v>306</v>
      </c>
      <c r="B307">
        <v>26</v>
      </c>
      <c r="C307">
        <v>43</v>
      </c>
      <c r="D307" t="s">
        <v>227</v>
      </c>
      <c r="E307" t="str">
        <f t="shared" si="4"/>
        <v>1243LC03PT</v>
      </c>
      <c r="F307">
        <f>VLOOKUP(B307,Course!$A$2:$R$329,2,FALSE)</f>
        <v>0</v>
      </c>
      <c r="G307">
        <f>VLOOKUP(B307, Course!$A$2:$L$150, 8, FALSE)</f>
        <v>12</v>
      </c>
      <c r="H307">
        <v>3</v>
      </c>
      <c r="I307">
        <v>1</v>
      </c>
      <c r="K307" t="s">
        <v>1581</v>
      </c>
      <c r="L307" t="str">
        <f>VLOOKUP(B307, Course!$A$1:$O$133, 14, FALSE)</f>
        <v>LC</v>
      </c>
      <c r="M307">
        <v>1</v>
      </c>
    </row>
    <row r="308" spans="1:13" x14ac:dyDescent="0.2">
      <c r="A308">
        <v>307</v>
      </c>
      <c r="B308">
        <v>26</v>
      </c>
      <c r="C308">
        <v>44</v>
      </c>
      <c r="D308" t="s">
        <v>227</v>
      </c>
      <c r="E308" t="str">
        <f t="shared" si="4"/>
        <v>1244LC03PT</v>
      </c>
      <c r="F308">
        <f>VLOOKUP(B308,Course!$A$2:$R$329,2,FALSE)</f>
        <v>0</v>
      </c>
      <c r="G308">
        <f>VLOOKUP(B308, Course!$A$2:$L$150, 8, FALSE)</f>
        <v>12</v>
      </c>
      <c r="H308">
        <v>3</v>
      </c>
      <c r="I308">
        <v>1</v>
      </c>
      <c r="K308" t="s">
        <v>1581</v>
      </c>
      <c r="L308" t="str">
        <f>VLOOKUP(B308, Course!$A$1:$O$133, 14, FALSE)</f>
        <v>LC</v>
      </c>
      <c r="M308">
        <v>1</v>
      </c>
    </row>
    <row r="309" spans="1:13" x14ac:dyDescent="0.2">
      <c r="A309">
        <v>308</v>
      </c>
      <c r="B309">
        <v>26</v>
      </c>
      <c r="C309">
        <v>45</v>
      </c>
      <c r="D309" t="s">
        <v>227</v>
      </c>
      <c r="E309" t="str">
        <f t="shared" si="4"/>
        <v>1245LC03PT</v>
      </c>
      <c r="F309">
        <f>VLOOKUP(B309,Course!$A$2:$R$329,2,FALSE)</f>
        <v>0</v>
      </c>
      <c r="G309">
        <f>VLOOKUP(B309, Course!$A$2:$L$150, 8, FALSE)</f>
        <v>12</v>
      </c>
      <c r="H309">
        <v>3</v>
      </c>
      <c r="I309">
        <v>1</v>
      </c>
      <c r="K309" t="s">
        <v>1581</v>
      </c>
      <c r="L309" t="str">
        <f>VLOOKUP(B309, Course!$A$1:$O$133, 14, FALSE)</f>
        <v>LC</v>
      </c>
      <c r="M309">
        <v>1</v>
      </c>
    </row>
    <row r="310" spans="1:13" x14ac:dyDescent="0.2">
      <c r="A310">
        <v>309</v>
      </c>
      <c r="B310">
        <v>26</v>
      </c>
      <c r="C310">
        <v>46</v>
      </c>
      <c r="D310" t="s">
        <v>227</v>
      </c>
      <c r="E310" t="str">
        <f t="shared" si="4"/>
        <v>1246LC03PT</v>
      </c>
      <c r="F310">
        <f>VLOOKUP(B310,Course!$A$2:$R$329,2,FALSE)</f>
        <v>0</v>
      </c>
      <c r="G310">
        <f>VLOOKUP(B310, Course!$A$2:$L$150, 8, FALSE)</f>
        <v>12</v>
      </c>
      <c r="H310">
        <v>3</v>
      </c>
      <c r="I310">
        <v>1</v>
      </c>
      <c r="K310" t="s">
        <v>1581</v>
      </c>
      <c r="L310" t="str">
        <f>VLOOKUP(B310, Course!$A$1:$O$133, 14, FALSE)</f>
        <v>LC</v>
      </c>
      <c r="M310">
        <v>1</v>
      </c>
    </row>
    <row r="311" spans="1:13" x14ac:dyDescent="0.2">
      <c r="A311">
        <v>310</v>
      </c>
      <c r="B311">
        <v>26</v>
      </c>
      <c r="C311">
        <v>47</v>
      </c>
      <c r="D311" t="s">
        <v>227</v>
      </c>
      <c r="E311" t="str">
        <f t="shared" si="4"/>
        <v>1247LC03PT</v>
      </c>
      <c r="F311">
        <f>VLOOKUP(B311,Course!$A$2:$R$329,2,FALSE)</f>
        <v>0</v>
      </c>
      <c r="G311">
        <f>VLOOKUP(B311, Course!$A$2:$L$150, 8, FALSE)</f>
        <v>12</v>
      </c>
      <c r="H311">
        <v>3</v>
      </c>
      <c r="I311">
        <v>1</v>
      </c>
      <c r="K311" t="s">
        <v>1581</v>
      </c>
      <c r="L311" t="str">
        <f>VLOOKUP(B311, Course!$A$1:$O$133, 14, FALSE)</f>
        <v>LC</v>
      </c>
      <c r="M311">
        <v>1</v>
      </c>
    </row>
    <row r="312" spans="1:13" x14ac:dyDescent="0.2">
      <c r="A312">
        <v>311</v>
      </c>
      <c r="B312">
        <v>26</v>
      </c>
      <c r="C312">
        <v>48</v>
      </c>
      <c r="D312" t="s">
        <v>227</v>
      </c>
      <c r="E312" t="str">
        <f t="shared" si="4"/>
        <v>1248LC03PT</v>
      </c>
      <c r="F312">
        <f>VLOOKUP(B312,Course!$A$2:$R$329,2,FALSE)</f>
        <v>0</v>
      </c>
      <c r="G312">
        <f>VLOOKUP(B312, Course!$A$2:$L$150, 8, FALSE)</f>
        <v>12</v>
      </c>
      <c r="H312">
        <v>3</v>
      </c>
      <c r="I312">
        <v>1</v>
      </c>
      <c r="K312" t="s">
        <v>1581</v>
      </c>
      <c r="L312" t="str">
        <f>VLOOKUP(B312, Course!$A$1:$O$133, 14, FALSE)</f>
        <v>LC</v>
      </c>
      <c r="M312">
        <v>1</v>
      </c>
    </row>
    <row r="313" spans="1:13" x14ac:dyDescent="0.2">
      <c r="A313">
        <v>312</v>
      </c>
      <c r="B313">
        <v>27</v>
      </c>
      <c r="C313">
        <v>37</v>
      </c>
      <c r="D313" t="s">
        <v>153</v>
      </c>
      <c r="E313" t="str">
        <f t="shared" si="4"/>
        <v>1237SC03PT</v>
      </c>
      <c r="F313">
        <f>VLOOKUP(B313,Course!$A$2:$R$329,2,FALSE)</f>
        <v>0</v>
      </c>
      <c r="G313">
        <f>VLOOKUP(B313, Course!$A$2:$L$150, 8, FALSE)</f>
        <v>12</v>
      </c>
      <c r="H313">
        <v>3</v>
      </c>
      <c r="I313">
        <v>1</v>
      </c>
      <c r="K313" t="s">
        <v>1581</v>
      </c>
      <c r="L313" t="str">
        <f>VLOOKUP(B313, Course!$A$1:$O$133, 14, FALSE)</f>
        <v>SC</v>
      </c>
      <c r="M313">
        <v>1</v>
      </c>
    </row>
    <row r="314" spans="1:13" x14ac:dyDescent="0.2">
      <c r="A314">
        <v>313</v>
      </c>
      <c r="B314">
        <v>27</v>
      </c>
      <c r="C314">
        <v>38</v>
      </c>
      <c r="D314" t="s">
        <v>153</v>
      </c>
      <c r="E314" t="str">
        <f t="shared" si="4"/>
        <v>1238SC03PT</v>
      </c>
      <c r="F314">
        <f>VLOOKUP(B314,Course!$A$2:$R$329,2,FALSE)</f>
        <v>0</v>
      </c>
      <c r="G314">
        <f>VLOOKUP(B314, Course!$A$2:$L$150, 8, FALSE)</f>
        <v>12</v>
      </c>
      <c r="H314">
        <v>3</v>
      </c>
      <c r="I314">
        <v>1</v>
      </c>
      <c r="K314" t="s">
        <v>1581</v>
      </c>
      <c r="L314" t="str">
        <f>VLOOKUP(B314, Course!$A$1:$O$133, 14, FALSE)</f>
        <v>SC</v>
      </c>
      <c r="M314">
        <v>1</v>
      </c>
    </row>
    <row r="315" spans="1:13" x14ac:dyDescent="0.2">
      <c r="A315">
        <v>314</v>
      </c>
      <c r="B315">
        <v>27</v>
      </c>
      <c r="C315">
        <v>39</v>
      </c>
      <c r="D315" t="s">
        <v>153</v>
      </c>
      <c r="E315" t="str">
        <f t="shared" si="4"/>
        <v>1239SC03PT</v>
      </c>
      <c r="F315">
        <f>VLOOKUP(B315,Course!$A$2:$R$329,2,FALSE)</f>
        <v>0</v>
      </c>
      <c r="G315">
        <f>VLOOKUP(B315, Course!$A$2:$L$150, 8, FALSE)</f>
        <v>12</v>
      </c>
      <c r="H315">
        <v>3</v>
      </c>
      <c r="I315">
        <v>1</v>
      </c>
      <c r="K315" t="s">
        <v>1581</v>
      </c>
      <c r="L315" t="str">
        <f>VLOOKUP(B315, Course!$A$1:$O$133, 14, FALSE)</f>
        <v>SC</v>
      </c>
      <c r="M315">
        <v>1</v>
      </c>
    </row>
    <row r="316" spans="1:13" x14ac:dyDescent="0.2">
      <c r="A316">
        <v>315</v>
      </c>
      <c r="B316">
        <v>27</v>
      </c>
      <c r="C316">
        <v>40</v>
      </c>
      <c r="D316" t="s">
        <v>153</v>
      </c>
      <c r="E316" t="str">
        <f t="shared" si="4"/>
        <v>1240SC03PT</v>
      </c>
      <c r="F316">
        <f>VLOOKUP(B316,Course!$A$2:$R$329,2,FALSE)</f>
        <v>0</v>
      </c>
      <c r="G316">
        <f>VLOOKUP(B316, Course!$A$2:$L$150, 8, FALSE)</f>
        <v>12</v>
      </c>
      <c r="H316">
        <v>3</v>
      </c>
      <c r="I316">
        <v>1</v>
      </c>
      <c r="K316" t="s">
        <v>1581</v>
      </c>
      <c r="L316" t="str">
        <f>VLOOKUP(B316, Course!$A$1:$O$133, 14, FALSE)</f>
        <v>SC</v>
      </c>
      <c r="M316">
        <v>1</v>
      </c>
    </row>
    <row r="317" spans="1:13" x14ac:dyDescent="0.2">
      <c r="A317">
        <v>316</v>
      </c>
      <c r="B317">
        <v>27</v>
      </c>
      <c r="C317">
        <v>41</v>
      </c>
      <c r="D317" t="s">
        <v>153</v>
      </c>
      <c r="E317" t="str">
        <f t="shared" si="4"/>
        <v>1241SC03PT</v>
      </c>
      <c r="F317">
        <f>VLOOKUP(B317,Course!$A$2:$R$329,2,FALSE)</f>
        <v>0</v>
      </c>
      <c r="G317">
        <f>VLOOKUP(B317, Course!$A$2:$L$150, 8, FALSE)</f>
        <v>12</v>
      </c>
      <c r="H317">
        <v>3</v>
      </c>
      <c r="I317">
        <v>1</v>
      </c>
      <c r="K317" t="s">
        <v>1581</v>
      </c>
      <c r="L317" t="str">
        <f>VLOOKUP(B317, Course!$A$1:$O$133, 14, FALSE)</f>
        <v>SC</v>
      </c>
      <c r="M317">
        <v>1</v>
      </c>
    </row>
    <row r="318" spans="1:13" x14ac:dyDescent="0.2">
      <c r="A318">
        <v>317</v>
      </c>
      <c r="B318">
        <v>27</v>
      </c>
      <c r="C318">
        <v>42</v>
      </c>
      <c r="D318" t="s">
        <v>153</v>
      </c>
      <c r="E318" t="str">
        <f t="shared" si="4"/>
        <v>1242SC03PT</v>
      </c>
      <c r="F318">
        <f>VLOOKUP(B318,Course!$A$2:$R$329,2,FALSE)</f>
        <v>0</v>
      </c>
      <c r="G318">
        <f>VLOOKUP(B318, Course!$A$2:$L$150, 8, FALSE)</f>
        <v>12</v>
      </c>
      <c r="H318">
        <v>3</v>
      </c>
      <c r="I318">
        <v>1</v>
      </c>
      <c r="K318" t="s">
        <v>1581</v>
      </c>
      <c r="L318" t="str">
        <f>VLOOKUP(B318, Course!$A$1:$O$133, 14, FALSE)</f>
        <v>SC</v>
      </c>
      <c r="M318">
        <v>1</v>
      </c>
    </row>
    <row r="319" spans="1:13" x14ac:dyDescent="0.2">
      <c r="A319">
        <v>318</v>
      </c>
      <c r="B319">
        <v>27</v>
      </c>
      <c r="C319">
        <v>43</v>
      </c>
      <c r="D319" t="s">
        <v>153</v>
      </c>
      <c r="E319" t="str">
        <f t="shared" si="4"/>
        <v>1243SC03PT</v>
      </c>
      <c r="F319">
        <f>VLOOKUP(B319,Course!$A$2:$R$329,2,FALSE)</f>
        <v>0</v>
      </c>
      <c r="G319">
        <f>VLOOKUP(B319, Course!$A$2:$L$150, 8, FALSE)</f>
        <v>12</v>
      </c>
      <c r="H319">
        <v>3</v>
      </c>
      <c r="I319">
        <v>1</v>
      </c>
      <c r="K319" t="s">
        <v>1581</v>
      </c>
      <c r="L319" t="str">
        <f>VLOOKUP(B319, Course!$A$1:$O$133, 14, FALSE)</f>
        <v>SC</v>
      </c>
      <c r="M319">
        <v>1</v>
      </c>
    </row>
    <row r="320" spans="1:13" x14ac:dyDescent="0.2">
      <c r="A320">
        <v>319</v>
      </c>
      <c r="B320">
        <v>27</v>
      </c>
      <c r="C320">
        <v>44</v>
      </c>
      <c r="D320" t="s">
        <v>153</v>
      </c>
      <c r="E320" t="str">
        <f t="shared" si="4"/>
        <v>1244SC03PT</v>
      </c>
      <c r="F320">
        <f>VLOOKUP(B320,Course!$A$2:$R$329,2,FALSE)</f>
        <v>0</v>
      </c>
      <c r="G320">
        <f>VLOOKUP(B320, Course!$A$2:$L$150, 8, FALSE)</f>
        <v>12</v>
      </c>
      <c r="H320">
        <v>3</v>
      </c>
      <c r="I320">
        <v>1</v>
      </c>
      <c r="K320" t="s">
        <v>1581</v>
      </c>
      <c r="L320" t="str">
        <f>VLOOKUP(B320, Course!$A$1:$O$133, 14, FALSE)</f>
        <v>SC</v>
      </c>
      <c r="M320">
        <v>1</v>
      </c>
    </row>
    <row r="321" spans="1:13" x14ac:dyDescent="0.2">
      <c r="A321">
        <v>320</v>
      </c>
      <c r="B321">
        <v>27</v>
      </c>
      <c r="C321">
        <v>45</v>
      </c>
      <c r="D321" t="s">
        <v>153</v>
      </c>
      <c r="E321" t="str">
        <f t="shared" si="4"/>
        <v>1245SC03PT</v>
      </c>
      <c r="F321">
        <f>VLOOKUP(B321,Course!$A$2:$R$329,2,FALSE)</f>
        <v>0</v>
      </c>
      <c r="G321">
        <f>VLOOKUP(B321, Course!$A$2:$L$150, 8, FALSE)</f>
        <v>12</v>
      </c>
      <c r="H321">
        <v>3</v>
      </c>
      <c r="I321">
        <v>1</v>
      </c>
      <c r="K321" t="s">
        <v>1581</v>
      </c>
      <c r="L321" t="str">
        <f>VLOOKUP(B321, Course!$A$1:$O$133, 14, FALSE)</f>
        <v>SC</v>
      </c>
      <c r="M321">
        <v>1</v>
      </c>
    </row>
    <row r="322" spans="1:13" x14ac:dyDescent="0.2">
      <c r="A322">
        <v>321</v>
      </c>
      <c r="B322">
        <v>27</v>
      </c>
      <c r="C322">
        <v>46</v>
      </c>
      <c r="D322" t="s">
        <v>153</v>
      </c>
      <c r="E322" t="str">
        <f t="shared" ref="E322:E385" si="5">UPPER(LEFT(G322,2)) &amp; RIGHT("0" &amp; C322, 2) &amp; D322 &amp; RIGHT("0" &amp; H322, 2) &amp; K322</f>
        <v>1246SC03PT</v>
      </c>
      <c r="F322">
        <f>VLOOKUP(B322,Course!$A$2:$R$329,2,FALSE)</f>
        <v>0</v>
      </c>
      <c r="G322">
        <f>VLOOKUP(B322, Course!$A$2:$L$150, 8, FALSE)</f>
        <v>12</v>
      </c>
      <c r="H322">
        <v>3</v>
      </c>
      <c r="I322">
        <v>1</v>
      </c>
      <c r="K322" t="s">
        <v>1581</v>
      </c>
      <c r="L322" t="str">
        <f>VLOOKUP(B322, Course!$A$1:$O$133, 14, FALSE)</f>
        <v>SC</v>
      </c>
      <c r="M322">
        <v>1</v>
      </c>
    </row>
    <row r="323" spans="1:13" x14ac:dyDescent="0.2">
      <c r="A323">
        <v>322</v>
      </c>
      <c r="B323">
        <v>27</v>
      </c>
      <c r="C323">
        <v>47</v>
      </c>
      <c r="D323" t="s">
        <v>153</v>
      </c>
      <c r="E323" t="str">
        <f t="shared" si="5"/>
        <v>1247SC03PT</v>
      </c>
      <c r="F323">
        <f>VLOOKUP(B323,Course!$A$2:$R$329,2,FALSE)</f>
        <v>0</v>
      </c>
      <c r="G323">
        <f>VLOOKUP(B323, Course!$A$2:$L$150, 8, FALSE)</f>
        <v>12</v>
      </c>
      <c r="H323">
        <v>3</v>
      </c>
      <c r="I323">
        <v>1</v>
      </c>
      <c r="K323" t="s">
        <v>1581</v>
      </c>
      <c r="L323" t="str">
        <f>VLOOKUP(B323, Course!$A$1:$O$133, 14, FALSE)</f>
        <v>SC</v>
      </c>
      <c r="M323">
        <v>1</v>
      </c>
    </row>
    <row r="324" spans="1:13" x14ac:dyDescent="0.2">
      <c r="A324">
        <v>323</v>
      </c>
      <c r="B324">
        <v>27</v>
      </c>
      <c r="C324">
        <v>48</v>
      </c>
      <c r="D324" t="s">
        <v>153</v>
      </c>
      <c r="E324" t="str">
        <f t="shared" si="5"/>
        <v>1248SC03PT</v>
      </c>
      <c r="F324">
        <f>VLOOKUP(B324,Course!$A$2:$R$329,2,FALSE)</f>
        <v>0</v>
      </c>
      <c r="G324">
        <f>VLOOKUP(B324, Course!$A$2:$L$150, 8, FALSE)</f>
        <v>12</v>
      </c>
      <c r="H324">
        <v>3</v>
      </c>
      <c r="I324">
        <v>1</v>
      </c>
      <c r="K324" t="s">
        <v>1581</v>
      </c>
      <c r="L324" t="str">
        <f>VLOOKUP(B324, Course!$A$1:$O$133, 14, FALSE)</f>
        <v>SC</v>
      </c>
      <c r="M324">
        <v>1</v>
      </c>
    </row>
    <row r="325" spans="1:13" x14ac:dyDescent="0.2">
      <c r="A325">
        <v>324</v>
      </c>
      <c r="B325">
        <v>28</v>
      </c>
      <c r="C325">
        <v>37</v>
      </c>
      <c r="D325" t="s">
        <v>156</v>
      </c>
      <c r="E325" t="str">
        <f t="shared" si="5"/>
        <v>1237SS03PT</v>
      </c>
      <c r="F325">
        <f>VLOOKUP(B325,Course!$A$2:$R$329,2,FALSE)</f>
        <v>0</v>
      </c>
      <c r="G325">
        <f>VLOOKUP(B325, Course!$A$2:$L$150, 8, FALSE)</f>
        <v>12</v>
      </c>
      <c r="H325">
        <v>3</v>
      </c>
      <c r="I325">
        <v>1</v>
      </c>
      <c r="K325" t="s">
        <v>1581</v>
      </c>
      <c r="L325" t="str">
        <f>VLOOKUP(B325, Course!$A$1:$O$133, 14, FALSE)</f>
        <v>SS</v>
      </c>
      <c r="M325">
        <v>1</v>
      </c>
    </row>
    <row r="326" spans="1:13" x14ac:dyDescent="0.2">
      <c r="A326">
        <v>325</v>
      </c>
      <c r="B326">
        <v>28</v>
      </c>
      <c r="C326">
        <v>38</v>
      </c>
      <c r="D326" t="s">
        <v>156</v>
      </c>
      <c r="E326" t="str">
        <f t="shared" si="5"/>
        <v>1238SS03PT</v>
      </c>
      <c r="F326">
        <f>VLOOKUP(B326,Course!$A$2:$R$329,2,FALSE)</f>
        <v>0</v>
      </c>
      <c r="G326">
        <f>VLOOKUP(B326, Course!$A$2:$L$150, 8, FALSE)</f>
        <v>12</v>
      </c>
      <c r="H326">
        <v>3</v>
      </c>
      <c r="I326">
        <v>1</v>
      </c>
      <c r="K326" t="s">
        <v>1581</v>
      </c>
      <c r="L326" t="str">
        <f>VLOOKUP(B326, Course!$A$1:$O$133, 14, FALSE)</f>
        <v>SS</v>
      </c>
      <c r="M326">
        <v>1</v>
      </c>
    </row>
    <row r="327" spans="1:13" x14ac:dyDescent="0.2">
      <c r="A327">
        <v>326</v>
      </c>
      <c r="B327">
        <v>28</v>
      </c>
      <c r="C327">
        <v>39</v>
      </c>
      <c r="D327" t="s">
        <v>156</v>
      </c>
      <c r="E327" t="str">
        <f t="shared" si="5"/>
        <v>1239SS03PT</v>
      </c>
      <c r="F327">
        <f>VLOOKUP(B327,Course!$A$2:$R$329,2,FALSE)</f>
        <v>0</v>
      </c>
      <c r="G327">
        <f>VLOOKUP(B327, Course!$A$2:$L$150, 8, FALSE)</f>
        <v>12</v>
      </c>
      <c r="H327">
        <v>3</v>
      </c>
      <c r="I327">
        <v>1</v>
      </c>
      <c r="K327" t="s">
        <v>1581</v>
      </c>
      <c r="L327" t="str">
        <f>VLOOKUP(B327, Course!$A$1:$O$133, 14, FALSE)</f>
        <v>SS</v>
      </c>
      <c r="M327">
        <v>1</v>
      </c>
    </row>
    <row r="328" spans="1:13" x14ac:dyDescent="0.2">
      <c r="A328">
        <v>327</v>
      </c>
      <c r="B328">
        <v>28</v>
      </c>
      <c r="C328">
        <v>40</v>
      </c>
      <c r="D328" t="s">
        <v>156</v>
      </c>
      <c r="E328" t="str">
        <f t="shared" si="5"/>
        <v>1240SS03PT</v>
      </c>
      <c r="F328">
        <f>VLOOKUP(B328,Course!$A$2:$R$329,2,FALSE)</f>
        <v>0</v>
      </c>
      <c r="G328">
        <f>VLOOKUP(B328, Course!$A$2:$L$150, 8, FALSE)</f>
        <v>12</v>
      </c>
      <c r="H328">
        <v>3</v>
      </c>
      <c r="I328">
        <v>1</v>
      </c>
      <c r="K328" t="s">
        <v>1581</v>
      </c>
      <c r="L328" t="str">
        <f>VLOOKUP(B328, Course!$A$1:$O$133, 14, FALSE)</f>
        <v>SS</v>
      </c>
      <c r="M328">
        <v>1</v>
      </c>
    </row>
    <row r="329" spans="1:13" x14ac:dyDescent="0.2">
      <c r="A329">
        <v>328</v>
      </c>
      <c r="B329">
        <v>28</v>
      </c>
      <c r="C329">
        <v>41</v>
      </c>
      <c r="D329" t="s">
        <v>156</v>
      </c>
      <c r="E329" t="str">
        <f t="shared" si="5"/>
        <v>1241SS03PT</v>
      </c>
      <c r="F329">
        <f>VLOOKUP(B329,Course!$A$2:$R$329,2,FALSE)</f>
        <v>0</v>
      </c>
      <c r="G329">
        <f>VLOOKUP(B329, Course!$A$2:$L$150, 8, FALSE)</f>
        <v>12</v>
      </c>
      <c r="H329">
        <v>3</v>
      </c>
      <c r="I329">
        <v>1</v>
      </c>
      <c r="K329" t="s">
        <v>1581</v>
      </c>
      <c r="L329" t="str">
        <f>VLOOKUP(B329, Course!$A$1:$O$133, 14, FALSE)</f>
        <v>SS</v>
      </c>
      <c r="M329">
        <v>1</v>
      </c>
    </row>
    <row r="330" spans="1:13" x14ac:dyDescent="0.2">
      <c r="A330">
        <v>329</v>
      </c>
      <c r="B330">
        <v>28</v>
      </c>
      <c r="C330">
        <v>42</v>
      </c>
      <c r="D330" t="s">
        <v>156</v>
      </c>
      <c r="E330" t="str">
        <f t="shared" si="5"/>
        <v>1242SS03PT</v>
      </c>
      <c r="F330">
        <f>VLOOKUP(B330,Course!$A$2:$R$329,2,FALSE)</f>
        <v>0</v>
      </c>
      <c r="G330">
        <f>VLOOKUP(B330, Course!$A$2:$L$150, 8, FALSE)</f>
        <v>12</v>
      </c>
      <c r="H330">
        <v>3</v>
      </c>
      <c r="I330">
        <v>1</v>
      </c>
      <c r="K330" t="s">
        <v>1581</v>
      </c>
      <c r="L330" t="str">
        <f>VLOOKUP(B330, Course!$A$1:$O$133, 14, FALSE)</f>
        <v>SS</v>
      </c>
      <c r="M330">
        <v>1</v>
      </c>
    </row>
    <row r="331" spans="1:13" x14ac:dyDescent="0.2">
      <c r="A331">
        <v>330</v>
      </c>
      <c r="B331">
        <v>28</v>
      </c>
      <c r="C331">
        <v>43</v>
      </c>
      <c r="D331" t="s">
        <v>156</v>
      </c>
      <c r="E331" t="str">
        <f t="shared" si="5"/>
        <v>1243SS03PT</v>
      </c>
      <c r="F331">
        <f>VLOOKUP(B331,Course!$A$2:$R$329,2,FALSE)</f>
        <v>0</v>
      </c>
      <c r="G331">
        <f>VLOOKUP(B331, Course!$A$2:$L$150, 8, FALSE)</f>
        <v>12</v>
      </c>
      <c r="H331">
        <v>3</v>
      </c>
      <c r="I331">
        <v>1</v>
      </c>
      <c r="K331" t="s">
        <v>1581</v>
      </c>
      <c r="L331" t="str">
        <f>VLOOKUP(B331, Course!$A$1:$O$133, 14, FALSE)</f>
        <v>SS</v>
      </c>
      <c r="M331">
        <v>1</v>
      </c>
    </row>
    <row r="332" spans="1:13" x14ac:dyDescent="0.2">
      <c r="A332">
        <v>331</v>
      </c>
      <c r="B332">
        <v>28</v>
      </c>
      <c r="C332">
        <v>44</v>
      </c>
      <c r="D332" t="s">
        <v>156</v>
      </c>
      <c r="E332" t="str">
        <f t="shared" si="5"/>
        <v>1244SS03PT</v>
      </c>
      <c r="F332">
        <f>VLOOKUP(B332,Course!$A$2:$R$329,2,FALSE)</f>
        <v>0</v>
      </c>
      <c r="G332">
        <f>VLOOKUP(B332, Course!$A$2:$L$150, 8, FALSE)</f>
        <v>12</v>
      </c>
      <c r="H332">
        <v>3</v>
      </c>
      <c r="I332">
        <v>1</v>
      </c>
      <c r="K332" t="s">
        <v>1581</v>
      </c>
      <c r="L332" t="str">
        <f>VLOOKUP(B332, Course!$A$1:$O$133, 14, FALSE)</f>
        <v>SS</v>
      </c>
      <c r="M332">
        <v>1</v>
      </c>
    </row>
    <row r="333" spans="1:13" x14ac:dyDescent="0.2">
      <c r="A333">
        <v>332</v>
      </c>
      <c r="B333">
        <v>28</v>
      </c>
      <c r="C333">
        <v>45</v>
      </c>
      <c r="D333" t="s">
        <v>156</v>
      </c>
      <c r="E333" t="str">
        <f t="shared" si="5"/>
        <v>1245SS03PT</v>
      </c>
      <c r="F333">
        <f>VLOOKUP(B333,Course!$A$2:$R$329,2,FALSE)</f>
        <v>0</v>
      </c>
      <c r="G333">
        <f>VLOOKUP(B333, Course!$A$2:$L$150, 8, FALSE)</f>
        <v>12</v>
      </c>
      <c r="H333">
        <v>3</v>
      </c>
      <c r="I333">
        <v>1</v>
      </c>
      <c r="K333" t="s">
        <v>1581</v>
      </c>
      <c r="L333" t="str">
        <f>VLOOKUP(B333, Course!$A$1:$O$133, 14, FALSE)</f>
        <v>SS</v>
      </c>
      <c r="M333">
        <v>1</v>
      </c>
    </row>
    <row r="334" spans="1:13" x14ac:dyDescent="0.2">
      <c r="A334">
        <v>333</v>
      </c>
      <c r="B334">
        <v>28</v>
      </c>
      <c r="C334">
        <v>46</v>
      </c>
      <c r="D334" t="s">
        <v>156</v>
      </c>
      <c r="E334" t="str">
        <f t="shared" si="5"/>
        <v>1246SS03PT</v>
      </c>
      <c r="F334">
        <f>VLOOKUP(B334,Course!$A$2:$R$329,2,FALSE)</f>
        <v>0</v>
      </c>
      <c r="G334">
        <f>VLOOKUP(B334, Course!$A$2:$L$150, 8, FALSE)</f>
        <v>12</v>
      </c>
      <c r="H334">
        <v>3</v>
      </c>
      <c r="I334">
        <v>1</v>
      </c>
      <c r="K334" t="s">
        <v>1581</v>
      </c>
      <c r="L334" t="str">
        <f>VLOOKUP(B334, Course!$A$1:$O$133, 14, FALSE)</f>
        <v>SS</v>
      </c>
      <c r="M334">
        <v>1</v>
      </c>
    </row>
    <row r="335" spans="1:13" x14ac:dyDescent="0.2">
      <c r="A335">
        <v>334</v>
      </c>
      <c r="B335">
        <v>28</v>
      </c>
      <c r="C335">
        <v>47</v>
      </c>
      <c r="D335" t="s">
        <v>156</v>
      </c>
      <c r="E335" t="str">
        <f t="shared" si="5"/>
        <v>1247SS03PT</v>
      </c>
      <c r="F335">
        <f>VLOOKUP(B335,Course!$A$2:$R$329,2,FALSE)</f>
        <v>0</v>
      </c>
      <c r="G335">
        <f>VLOOKUP(B335, Course!$A$2:$L$150, 8, FALSE)</f>
        <v>12</v>
      </c>
      <c r="H335">
        <v>3</v>
      </c>
      <c r="I335">
        <v>1</v>
      </c>
      <c r="K335" t="s">
        <v>1581</v>
      </c>
      <c r="L335" t="str">
        <f>VLOOKUP(B335, Course!$A$1:$O$133, 14, FALSE)</f>
        <v>SS</v>
      </c>
      <c r="M335">
        <v>1</v>
      </c>
    </row>
    <row r="336" spans="1:13" x14ac:dyDescent="0.2">
      <c r="A336">
        <v>335</v>
      </c>
      <c r="B336">
        <v>28</v>
      </c>
      <c r="C336">
        <v>48</v>
      </c>
      <c r="D336" t="s">
        <v>156</v>
      </c>
      <c r="E336" t="str">
        <f t="shared" si="5"/>
        <v>1248SS03PT</v>
      </c>
      <c r="F336">
        <f>VLOOKUP(B336,Course!$A$2:$R$329,2,FALSE)</f>
        <v>0</v>
      </c>
      <c r="G336">
        <f>VLOOKUP(B336, Course!$A$2:$L$150, 8, FALSE)</f>
        <v>12</v>
      </c>
      <c r="H336">
        <v>3</v>
      </c>
      <c r="I336">
        <v>1</v>
      </c>
      <c r="K336" t="s">
        <v>1581</v>
      </c>
      <c r="L336" t="str">
        <f>VLOOKUP(B336, Course!$A$1:$O$133, 14, FALSE)</f>
        <v>SS</v>
      </c>
      <c r="M336">
        <v>1</v>
      </c>
    </row>
    <row r="337" spans="1:13" x14ac:dyDescent="0.2">
      <c r="A337">
        <v>336</v>
      </c>
      <c r="B337">
        <v>29</v>
      </c>
      <c r="C337">
        <v>37</v>
      </c>
      <c r="D337" t="s">
        <v>231</v>
      </c>
      <c r="E337" t="str">
        <f t="shared" si="5"/>
        <v>1237BR03PT</v>
      </c>
      <c r="F337">
        <f>VLOOKUP(B337,Course!$A$2:$R$329,2,FALSE)</f>
        <v>0</v>
      </c>
      <c r="G337">
        <f>VLOOKUP(B337, Course!$A$2:$L$150, 8, FALSE)</f>
        <v>12</v>
      </c>
      <c r="H337">
        <v>3</v>
      </c>
      <c r="I337">
        <v>1</v>
      </c>
      <c r="K337" t="s">
        <v>1581</v>
      </c>
      <c r="L337" t="str">
        <f>VLOOKUP(B337, Course!$A$1:$O$133, 14, FALSE)</f>
        <v>BR</v>
      </c>
      <c r="M337">
        <v>1</v>
      </c>
    </row>
    <row r="338" spans="1:13" x14ac:dyDescent="0.2">
      <c r="A338">
        <v>337</v>
      </c>
      <c r="B338">
        <v>29</v>
      </c>
      <c r="C338">
        <v>38</v>
      </c>
      <c r="D338" t="s">
        <v>231</v>
      </c>
      <c r="E338" t="str">
        <f t="shared" si="5"/>
        <v>1238BR03PT</v>
      </c>
      <c r="F338">
        <f>VLOOKUP(B338,Course!$A$2:$R$329,2,FALSE)</f>
        <v>0</v>
      </c>
      <c r="G338">
        <f>VLOOKUP(B338, Course!$A$2:$L$150, 8, FALSE)</f>
        <v>12</v>
      </c>
      <c r="H338">
        <v>3</v>
      </c>
      <c r="I338">
        <v>1</v>
      </c>
      <c r="K338" t="s">
        <v>1581</v>
      </c>
      <c r="L338" t="str">
        <f>VLOOKUP(B338, Course!$A$1:$O$133, 14, FALSE)</f>
        <v>BR</v>
      </c>
      <c r="M338">
        <v>1</v>
      </c>
    </row>
    <row r="339" spans="1:13" x14ac:dyDescent="0.2">
      <c r="A339">
        <v>338</v>
      </c>
      <c r="B339">
        <v>29</v>
      </c>
      <c r="C339">
        <v>39</v>
      </c>
      <c r="D339" t="s">
        <v>231</v>
      </c>
      <c r="E339" t="str">
        <f t="shared" si="5"/>
        <v>1239BR03PT</v>
      </c>
      <c r="F339">
        <f>VLOOKUP(B339,Course!$A$2:$R$329,2,FALSE)</f>
        <v>0</v>
      </c>
      <c r="G339">
        <f>VLOOKUP(B339, Course!$A$2:$L$150, 8, FALSE)</f>
        <v>12</v>
      </c>
      <c r="H339">
        <v>3</v>
      </c>
      <c r="I339">
        <v>1</v>
      </c>
      <c r="K339" t="s">
        <v>1581</v>
      </c>
      <c r="L339" t="str">
        <f>VLOOKUP(B339, Course!$A$1:$O$133, 14, FALSE)</f>
        <v>BR</v>
      </c>
      <c r="M339">
        <v>1</v>
      </c>
    </row>
    <row r="340" spans="1:13" x14ac:dyDescent="0.2">
      <c r="A340">
        <v>339</v>
      </c>
      <c r="B340">
        <v>29</v>
      </c>
      <c r="C340">
        <v>40</v>
      </c>
      <c r="D340" t="s">
        <v>231</v>
      </c>
      <c r="E340" t="str">
        <f t="shared" si="5"/>
        <v>1240BR03PT</v>
      </c>
      <c r="F340">
        <f>VLOOKUP(B340,Course!$A$2:$R$329,2,FALSE)</f>
        <v>0</v>
      </c>
      <c r="G340">
        <f>VLOOKUP(B340, Course!$A$2:$L$150, 8, FALSE)</f>
        <v>12</v>
      </c>
      <c r="H340">
        <v>3</v>
      </c>
      <c r="I340">
        <v>1</v>
      </c>
      <c r="K340" t="s">
        <v>1581</v>
      </c>
      <c r="L340" t="str">
        <f>VLOOKUP(B340, Course!$A$1:$O$133, 14, FALSE)</f>
        <v>BR</v>
      </c>
      <c r="M340">
        <v>1</v>
      </c>
    </row>
    <row r="341" spans="1:13" x14ac:dyDescent="0.2">
      <c r="A341">
        <v>340</v>
      </c>
      <c r="B341">
        <v>29</v>
      </c>
      <c r="C341">
        <v>41</v>
      </c>
      <c r="D341" t="s">
        <v>231</v>
      </c>
      <c r="E341" t="str">
        <f t="shared" si="5"/>
        <v>1241BR03PT</v>
      </c>
      <c r="F341">
        <f>VLOOKUP(B341,Course!$A$2:$R$329,2,FALSE)</f>
        <v>0</v>
      </c>
      <c r="G341">
        <f>VLOOKUP(B341, Course!$A$2:$L$150, 8, FALSE)</f>
        <v>12</v>
      </c>
      <c r="H341">
        <v>3</v>
      </c>
      <c r="I341">
        <v>1</v>
      </c>
      <c r="K341" t="s">
        <v>1581</v>
      </c>
      <c r="L341" t="str">
        <f>VLOOKUP(B341, Course!$A$1:$O$133, 14, FALSE)</f>
        <v>BR</v>
      </c>
      <c r="M341">
        <v>1</v>
      </c>
    </row>
    <row r="342" spans="1:13" x14ac:dyDescent="0.2">
      <c r="A342">
        <v>341</v>
      </c>
      <c r="B342">
        <v>29</v>
      </c>
      <c r="C342">
        <v>42</v>
      </c>
      <c r="D342" t="s">
        <v>231</v>
      </c>
      <c r="E342" t="str">
        <f t="shared" si="5"/>
        <v>1242BR03PT</v>
      </c>
      <c r="F342">
        <f>VLOOKUP(B342,Course!$A$2:$R$329,2,FALSE)</f>
        <v>0</v>
      </c>
      <c r="G342">
        <f>VLOOKUP(B342, Course!$A$2:$L$150, 8, FALSE)</f>
        <v>12</v>
      </c>
      <c r="H342">
        <v>3</v>
      </c>
      <c r="I342">
        <v>1</v>
      </c>
      <c r="K342" t="s">
        <v>1581</v>
      </c>
      <c r="L342" t="str">
        <f>VLOOKUP(B342, Course!$A$1:$O$133, 14, FALSE)</f>
        <v>BR</v>
      </c>
      <c r="M342">
        <v>1</v>
      </c>
    </row>
    <row r="343" spans="1:13" x14ac:dyDescent="0.2">
      <c r="A343">
        <v>342</v>
      </c>
      <c r="B343">
        <v>29</v>
      </c>
      <c r="C343">
        <v>43</v>
      </c>
      <c r="D343" t="s">
        <v>231</v>
      </c>
      <c r="E343" t="str">
        <f t="shared" si="5"/>
        <v>1243BR03PT</v>
      </c>
      <c r="F343">
        <f>VLOOKUP(B343,Course!$A$2:$R$329,2,FALSE)</f>
        <v>0</v>
      </c>
      <c r="G343">
        <f>VLOOKUP(B343, Course!$A$2:$L$150, 8, FALSE)</f>
        <v>12</v>
      </c>
      <c r="H343">
        <v>3</v>
      </c>
      <c r="I343">
        <v>1</v>
      </c>
      <c r="K343" t="s">
        <v>1581</v>
      </c>
      <c r="L343" t="str">
        <f>VLOOKUP(B343, Course!$A$1:$O$133, 14, FALSE)</f>
        <v>BR</v>
      </c>
      <c r="M343">
        <v>1</v>
      </c>
    </row>
    <row r="344" spans="1:13" x14ac:dyDescent="0.2">
      <c r="A344">
        <v>343</v>
      </c>
      <c r="B344">
        <v>29</v>
      </c>
      <c r="C344">
        <v>44</v>
      </c>
      <c r="D344" t="s">
        <v>231</v>
      </c>
      <c r="E344" t="str">
        <f t="shared" si="5"/>
        <v>1244BR03PT</v>
      </c>
      <c r="F344">
        <f>VLOOKUP(B344,Course!$A$2:$R$329,2,FALSE)</f>
        <v>0</v>
      </c>
      <c r="G344">
        <f>VLOOKUP(B344, Course!$A$2:$L$150, 8, FALSE)</f>
        <v>12</v>
      </c>
      <c r="H344">
        <v>3</v>
      </c>
      <c r="I344">
        <v>1</v>
      </c>
      <c r="K344" t="s">
        <v>1581</v>
      </c>
      <c r="L344" t="str">
        <f>VLOOKUP(B344, Course!$A$1:$O$133, 14, FALSE)</f>
        <v>BR</v>
      </c>
      <c r="M344">
        <v>1</v>
      </c>
    </row>
    <row r="345" spans="1:13" x14ac:dyDescent="0.2">
      <c r="A345">
        <v>344</v>
      </c>
      <c r="B345">
        <v>29</v>
      </c>
      <c r="C345">
        <v>45</v>
      </c>
      <c r="D345" t="s">
        <v>231</v>
      </c>
      <c r="E345" t="str">
        <f t="shared" si="5"/>
        <v>1245BR03PT</v>
      </c>
      <c r="F345">
        <f>VLOOKUP(B345,Course!$A$2:$R$329,2,FALSE)</f>
        <v>0</v>
      </c>
      <c r="G345">
        <f>VLOOKUP(B345, Course!$A$2:$L$150, 8, FALSE)</f>
        <v>12</v>
      </c>
      <c r="H345">
        <v>3</v>
      </c>
      <c r="I345">
        <v>1</v>
      </c>
      <c r="K345" t="s">
        <v>1581</v>
      </c>
      <c r="L345" t="str">
        <f>VLOOKUP(B345, Course!$A$1:$O$133, 14, FALSE)</f>
        <v>BR</v>
      </c>
      <c r="M345">
        <v>1</v>
      </c>
    </row>
    <row r="346" spans="1:13" x14ac:dyDescent="0.2">
      <c r="A346">
        <v>345</v>
      </c>
      <c r="B346">
        <v>29</v>
      </c>
      <c r="C346">
        <v>46</v>
      </c>
      <c r="D346" t="s">
        <v>231</v>
      </c>
      <c r="E346" t="str">
        <f t="shared" si="5"/>
        <v>1246BR03PT</v>
      </c>
      <c r="F346">
        <f>VLOOKUP(B346,Course!$A$2:$R$329,2,FALSE)</f>
        <v>0</v>
      </c>
      <c r="G346">
        <f>VLOOKUP(B346, Course!$A$2:$L$150, 8, FALSE)</f>
        <v>12</v>
      </c>
      <c r="H346">
        <v>3</v>
      </c>
      <c r="I346">
        <v>1</v>
      </c>
      <c r="K346" t="s">
        <v>1581</v>
      </c>
      <c r="L346" t="str">
        <f>VLOOKUP(B346, Course!$A$1:$O$133, 14, FALSE)</f>
        <v>BR</v>
      </c>
      <c r="M346">
        <v>1</v>
      </c>
    </row>
    <row r="347" spans="1:13" x14ac:dyDescent="0.2">
      <c r="A347">
        <v>346</v>
      </c>
      <c r="B347">
        <v>29</v>
      </c>
      <c r="C347">
        <v>47</v>
      </c>
      <c r="D347" t="s">
        <v>231</v>
      </c>
      <c r="E347" t="str">
        <f t="shared" si="5"/>
        <v>1247BR03PT</v>
      </c>
      <c r="F347">
        <f>VLOOKUP(B347,Course!$A$2:$R$329,2,FALSE)</f>
        <v>0</v>
      </c>
      <c r="G347">
        <f>VLOOKUP(B347, Course!$A$2:$L$150, 8, FALSE)</f>
        <v>12</v>
      </c>
      <c r="H347">
        <v>3</v>
      </c>
      <c r="I347">
        <v>1</v>
      </c>
      <c r="K347" t="s">
        <v>1581</v>
      </c>
      <c r="L347" t="str">
        <f>VLOOKUP(B347, Course!$A$1:$O$133, 14, FALSE)</f>
        <v>BR</v>
      </c>
      <c r="M347">
        <v>1</v>
      </c>
    </row>
    <row r="348" spans="1:13" x14ac:dyDescent="0.2">
      <c r="A348">
        <v>347</v>
      </c>
      <c r="B348">
        <v>29</v>
      </c>
      <c r="C348">
        <v>48</v>
      </c>
      <c r="D348" t="s">
        <v>231</v>
      </c>
      <c r="E348" t="str">
        <f t="shared" si="5"/>
        <v>1248BR03PT</v>
      </c>
      <c r="F348">
        <f>VLOOKUP(B348,Course!$A$2:$R$329,2,FALSE)</f>
        <v>0</v>
      </c>
      <c r="G348">
        <f>VLOOKUP(B348, Course!$A$2:$L$150, 8, FALSE)</f>
        <v>12</v>
      </c>
      <c r="H348">
        <v>3</v>
      </c>
      <c r="I348">
        <v>1</v>
      </c>
      <c r="K348" t="s">
        <v>1581</v>
      </c>
      <c r="L348" t="str">
        <f>VLOOKUP(B348, Course!$A$1:$O$133, 14, FALSE)</f>
        <v>BR</v>
      </c>
      <c r="M348">
        <v>1</v>
      </c>
    </row>
    <row r="349" spans="1:13" x14ac:dyDescent="0.2">
      <c r="A349">
        <v>348</v>
      </c>
      <c r="B349">
        <v>30</v>
      </c>
      <c r="C349">
        <v>49</v>
      </c>
      <c r="D349" t="s">
        <v>141</v>
      </c>
      <c r="E349" t="str">
        <f t="shared" si="5"/>
        <v>1249MA03PT</v>
      </c>
      <c r="F349">
        <f>VLOOKUP(B349,Course!$A$2:$R$329,2,FALSE)</f>
        <v>0</v>
      </c>
      <c r="G349">
        <f>VLOOKUP(B349, Course!$A$2:$L$150, 8, FALSE)</f>
        <v>12</v>
      </c>
      <c r="H349">
        <v>3</v>
      </c>
      <c r="I349">
        <v>1</v>
      </c>
      <c r="K349" t="s">
        <v>1581</v>
      </c>
      <c r="L349" t="str">
        <f>VLOOKUP(B349, Course!$A$1:$O$133, 14, FALSE)</f>
        <v>MA</v>
      </c>
      <c r="M349">
        <v>1</v>
      </c>
    </row>
    <row r="350" spans="1:13" x14ac:dyDescent="0.2">
      <c r="A350">
        <v>349</v>
      </c>
      <c r="B350">
        <v>30</v>
      </c>
      <c r="C350">
        <v>50</v>
      </c>
      <c r="D350" t="s">
        <v>141</v>
      </c>
      <c r="E350" t="str">
        <f t="shared" si="5"/>
        <v>1250MA03PT</v>
      </c>
      <c r="F350">
        <f>VLOOKUP(B350,Course!$A$2:$R$329,2,FALSE)</f>
        <v>0</v>
      </c>
      <c r="G350">
        <f>VLOOKUP(B350, Course!$A$2:$L$150, 8, FALSE)</f>
        <v>12</v>
      </c>
      <c r="H350">
        <v>3</v>
      </c>
      <c r="I350">
        <v>1</v>
      </c>
      <c r="K350" t="s">
        <v>1581</v>
      </c>
      <c r="L350" t="str">
        <f>VLOOKUP(B350, Course!$A$1:$O$133, 14, FALSE)</f>
        <v>MA</v>
      </c>
      <c r="M350">
        <v>1</v>
      </c>
    </row>
    <row r="351" spans="1:13" x14ac:dyDescent="0.2">
      <c r="A351">
        <v>350</v>
      </c>
      <c r="B351">
        <v>30</v>
      </c>
      <c r="C351">
        <v>51</v>
      </c>
      <c r="D351" t="s">
        <v>141</v>
      </c>
      <c r="E351" t="str">
        <f t="shared" si="5"/>
        <v>1251MA03PT</v>
      </c>
      <c r="F351">
        <f>VLOOKUP(B351,Course!$A$2:$R$329,2,FALSE)</f>
        <v>0</v>
      </c>
      <c r="G351">
        <f>VLOOKUP(B351, Course!$A$2:$L$150, 8, FALSE)</f>
        <v>12</v>
      </c>
      <c r="H351">
        <v>3</v>
      </c>
      <c r="I351">
        <v>1</v>
      </c>
      <c r="K351" t="s">
        <v>1581</v>
      </c>
      <c r="L351" t="str">
        <f>VLOOKUP(B351, Course!$A$1:$O$133, 14, FALSE)</f>
        <v>MA</v>
      </c>
      <c r="M351">
        <v>1</v>
      </c>
    </row>
    <row r="352" spans="1:13" x14ac:dyDescent="0.2">
      <c r="A352">
        <v>351</v>
      </c>
      <c r="B352">
        <v>30</v>
      </c>
      <c r="C352">
        <v>52</v>
      </c>
      <c r="D352" t="s">
        <v>141</v>
      </c>
      <c r="E352" t="str">
        <f t="shared" si="5"/>
        <v>1252MA03PT</v>
      </c>
      <c r="F352">
        <f>VLOOKUP(B352,Course!$A$2:$R$329,2,FALSE)</f>
        <v>0</v>
      </c>
      <c r="G352">
        <f>VLOOKUP(B352, Course!$A$2:$L$150, 8, FALSE)</f>
        <v>12</v>
      </c>
      <c r="H352">
        <v>3</v>
      </c>
      <c r="I352">
        <v>1</v>
      </c>
      <c r="K352" t="s">
        <v>1581</v>
      </c>
      <c r="L352" t="str">
        <f>VLOOKUP(B352, Course!$A$1:$O$133, 14, FALSE)</f>
        <v>MA</v>
      </c>
      <c r="M352">
        <v>1</v>
      </c>
    </row>
    <row r="353" spans="1:13" x14ac:dyDescent="0.2">
      <c r="A353">
        <v>352</v>
      </c>
      <c r="B353">
        <v>30</v>
      </c>
      <c r="C353">
        <v>53</v>
      </c>
      <c r="D353" t="s">
        <v>141</v>
      </c>
      <c r="E353" t="str">
        <f t="shared" si="5"/>
        <v>1253MA03PT</v>
      </c>
      <c r="F353">
        <f>VLOOKUP(B353,Course!$A$2:$R$329,2,FALSE)</f>
        <v>0</v>
      </c>
      <c r="G353">
        <f>VLOOKUP(B353, Course!$A$2:$L$150, 8, FALSE)</f>
        <v>12</v>
      </c>
      <c r="H353">
        <v>3</v>
      </c>
      <c r="I353">
        <v>1</v>
      </c>
      <c r="K353" t="s">
        <v>1581</v>
      </c>
      <c r="L353" t="str">
        <f>VLOOKUP(B353, Course!$A$1:$O$133, 14, FALSE)</f>
        <v>MA</v>
      </c>
      <c r="M353">
        <v>1</v>
      </c>
    </row>
    <row r="354" spans="1:13" x14ac:dyDescent="0.2">
      <c r="A354">
        <v>353</v>
      </c>
      <c r="B354">
        <v>30</v>
      </c>
      <c r="C354">
        <v>54</v>
      </c>
      <c r="D354" t="s">
        <v>141</v>
      </c>
      <c r="E354" t="str">
        <f t="shared" si="5"/>
        <v>1254MA03PT</v>
      </c>
      <c r="F354">
        <f>VLOOKUP(B354,Course!$A$2:$R$329,2,FALSE)</f>
        <v>0</v>
      </c>
      <c r="G354">
        <f>VLOOKUP(B354, Course!$A$2:$L$150, 8, FALSE)</f>
        <v>12</v>
      </c>
      <c r="H354">
        <v>3</v>
      </c>
      <c r="I354">
        <v>1</v>
      </c>
      <c r="K354" t="s">
        <v>1581</v>
      </c>
      <c r="L354" t="str">
        <f>VLOOKUP(B354, Course!$A$1:$O$133, 14, FALSE)</f>
        <v>MA</v>
      </c>
      <c r="M354">
        <v>1</v>
      </c>
    </row>
    <row r="355" spans="1:13" x14ac:dyDescent="0.2">
      <c r="A355">
        <v>354</v>
      </c>
      <c r="B355">
        <v>30</v>
      </c>
      <c r="C355">
        <v>55</v>
      </c>
      <c r="D355" t="s">
        <v>141</v>
      </c>
      <c r="E355" t="str">
        <f t="shared" si="5"/>
        <v>1255MA03PT</v>
      </c>
      <c r="F355">
        <f>VLOOKUP(B355,Course!$A$2:$R$329,2,FALSE)</f>
        <v>0</v>
      </c>
      <c r="G355">
        <f>VLOOKUP(B355, Course!$A$2:$L$150, 8, FALSE)</f>
        <v>12</v>
      </c>
      <c r="H355">
        <v>3</v>
      </c>
      <c r="I355">
        <v>1</v>
      </c>
      <c r="K355" t="s">
        <v>1581</v>
      </c>
      <c r="L355" t="str">
        <f>VLOOKUP(B355, Course!$A$1:$O$133, 14, FALSE)</f>
        <v>MA</v>
      </c>
      <c r="M355">
        <v>1</v>
      </c>
    </row>
    <row r="356" spans="1:13" x14ac:dyDescent="0.2">
      <c r="A356">
        <v>355</v>
      </c>
      <c r="B356">
        <v>30</v>
      </c>
      <c r="C356">
        <v>56</v>
      </c>
      <c r="D356" t="s">
        <v>141</v>
      </c>
      <c r="E356" t="str">
        <f t="shared" si="5"/>
        <v>1256MA03PT</v>
      </c>
      <c r="F356">
        <f>VLOOKUP(B356,Course!$A$2:$R$329,2,FALSE)</f>
        <v>0</v>
      </c>
      <c r="G356">
        <f>VLOOKUP(B356, Course!$A$2:$L$150, 8, FALSE)</f>
        <v>12</v>
      </c>
      <c r="H356">
        <v>3</v>
      </c>
      <c r="I356">
        <v>1</v>
      </c>
      <c r="K356" t="s">
        <v>1581</v>
      </c>
      <c r="L356" t="str">
        <f>VLOOKUP(B356, Course!$A$1:$O$133, 14, FALSE)</f>
        <v>MA</v>
      </c>
      <c r="M356">
        <v>1</v>
      </c>
    </row>
    <row r="357" spans="1:13" x14ac:dyDescent="0.2">
      <c r="A357">
        <v>356</v>
      </c>
      <c r="B357">
        <v>30</v>
      </c>
      <c r="C357">
        <v>57</v>
      </c>
      <c r="D357" t="s">
        <v>141</v>
      </c>
      <c r="E357" t="str">
        <f t="shared" si="5"/>
        <v>1257MA03PT</v>
      </c>
      <c r="F357">
        <f>VLOOKUP(B357,Course!$A$2:$R$329,2,FALSE)</f>
        <v>0</v>
      </c>
      <c r="G357">
        <f>VLOOKUP(B357, Course!$A$2:$L$150, 8, FALSE)</f>
        <v>12</v>
      </c>
      <c r="H357">
        <v>3</v>
      </c>
      <c r="I357">
        <v>1</v>
      </c>
      <c r="K357" t="s">
        <v>1581</v>
      </c>
      <c r="L357" t="str">
        <f>VLOOKUP(B357, Course!$A$1:$O$133, 14, FALSE)</f>
        <v>MA</v>
      </c>
      <c r="M357">
        <v>1</v>
      </c>
    </row>
    <row r="358" spans="1:13" x14ac:dyDescent="0.2">
      <c r="A358">
        <v>357</v>
      </c>
      <c r="B358">
        <v>30</v>
      </c>
      <c r="C358">
        <v>58</v>
      </c>
      <c r="D358" t="s">
        <v>141</v>
      </c>
      <c r="E358" t="str">
        <f t="shared" si="5"/>
        <v>1258MA03PT</v>
      </c>
      <c r="F358">
        <f>VLOOKUP(B358,Course!$A$2:$R$329,2,FALSE)</f>
        <v>0</v>
      </c>
      <c r="G358">
        <f>VLOOKUP(B358, Course!$A$2:$L$150, 8, FALSE)</f>
        <v>12</v>
      </c>
      <c r="H358">
        <v>3</v>
      </c>
      <c r="I358">
        <v>1</v>
      </c>
      <c r="K358" t="s">
        <v>1581</v>
      </c>
      <c r="L358" t="str">
        <f>VLOOKUP(B358, Course!$A$1:$O$133, 14, FALSE)</f>
        <v>MA</v>
      </c>
      <c r="M358">
        <v>1</v>
      </c>
    </row>
    <row r="359" spans="1:13" x14ac:dyDescent="0.2">
      <c r="A359">
        <v>358</v>
      </c>
      <c r="B359">
        <v>30</v>
      </c>
      <c r="C359">
        <v>59</v>
      </c>
      <c r="D359" t="s">
        <v>141</v>
      </c>
      <c r="E359" t="str">
        <f t="shared" si="5"/>
        <v>1259MA03PT</v>
      </c>
      <c r="F359">
        <f>VLOOKUP(B359,Course!$A$2:$R$329,2,FALSE)</f>
        <v>0</v>
      </c>
      <c r="G359">
        <f>VLOOKUP(B359, Course!$A$2:$L$150, 8, FALSE)</f>
        <v>12</v>
      </c>
      <c r="H359">
        <v>3</v>
      </c>
      <c r="I359">
        <v>1</v>
      </c>
      <c r="K359" t="s">
        <v>1581</v>
      </c>
      <c r="L359" t="str">
        <f>VLOOKUP(B359, Course!$A$1:$O$133, 14, FALSE)</f>
        <v>MA</v>
      </c>
      <c r="M359">
        <v>1</v>
      </c>
    </row>
    <row r="360" spans="1:13" x14ac:dyDescent="0.2">
      <c r="A360">
        <v>359</v>
      </c>
      <c r="B360">
        <v>30</v>
      </c>
      <c r="C360">
        <v>60</v>
      </c>
      <c r="D360" t="s">
        <v>141</v>
      </c>
      <c r="E360" t="str">
        <f t="shared" si="5"/>
        <v>1260MA03PT</v>
      </c>
      <c r="F360">
        <f>VLOOKUP(B360,Course!$A$2:$R$329,2,FALSE)</f>
        <v>0</v>
      </c>
      <c r="G360">
        <f>VLOOKUP(B360, Course!$A$2:$L$150, 8, FALSE)</f>
        <v>12</v>
      </c>
      <c r="H360">
        <v>3</v>
      </c>
      <c r="I360">
        <v>1</v>
      </c>
      <c r="K360" t="s">
        <v>1581</v>
      </c>
      <c r="L360" t="str">
        <f>VLOOKUP(B360, Course!$A$1:$O$133, 14, FALSE)</f>
        <v>MA</v>
      </c>
      <c r="M360">
        <v>1</v>
      </c>
    </row>
    <row r="361" spans="1:13" x14ac:dyDescent="0.2">
      <c r="A361">
        <v>360</v>
      </c>
      <c r="B361">
        <v>31</v>
      </c>
      <c r="C361">
        <v>49</v>
      </c>
      <c r="D361" t="s">
        <v>224</v>
      </c>
      <c r="E361" t="str">
        <f t="shared" si="5"/>
        <v>1249EN03PT</v>
      </c>
      <c r="F361">
        <f>VLOOKUP(B361,Course!$A$2:$R$329,2,FALSE)</f>
        <v>0</v>
      </c>
      <c r="G361">
        <f>VLOOKUP(B361, Course!$A$2:$L$150, 8, FALSE)</f>
        <v>12</v>
      </c>
      <c r="H361">
        <v>3</v>
      </c>
      <c r="I361">
        <v>1</v>
      </c>
      <c r="K361" t="s">
        <v>1581</v>
      </c>
      <c r="L361" t="str">
        <f>VLOOKUP(B361, Course!$A$1:$O$133, 14, FALSE)</f>
        <v>EN</v>
      </c>
      <c r="M361">
        <v>1</v>
      </c>
    </row>
    <row r="362" spans="1:13" x14ac:dyDescent="0.2">
      <c r="A362">
        <v>361</v>
      </c>
      <c r="B362">
        <v>31</v>
      </c>
      <c r="C362">
        <v>50</v>
      </c>
      <c r="D362" t="s">
        <v>224</v>
      </c>
      <c r="E362" t="str">
        <f t="shared" si="5"/>
        <v>1250EN03PT</v>
      </c>
      <c r="F362">
        <f>VLOOKUP(B362,Course!$A$2:$R$329,2,FALSE)</f>
        <v>0</v>
      </c>
      <c r="G362">
        <f>VLOOKUP(B362, Course!$A$2:$L$150, 8, FALSE)</f>
        <v>12</v>
      </c>
      <c r="H362">
        <v>3</v>
      </c>
      <c r="I362">
        <v>1</v>
      </c>
      <c r="K362" t="s">
        <v>1581</v>
      </c>
      <c r="L362" t="str">
        <f>VLOOKUP(B362, Course!$A$1:$O$133, 14, FALSE)</f>
        <v>EN</v>
      </c>
      <c r="M362">
        <v>1</v>
      </c>
    </row>
    <row r="363" spans="1:13" x14ac:dyDescent="0.2">
      <c r="A363">
        <v>362</v>
      </c>
      <c r="B363">
        <v>31</v>
      </c>
      <c r="C363">
        <v>51</v>
      </c>
      <c r="D363" t="s">
        <v>224</v>
      </c>
      <c r="E363" t="str">
        <f t="shared" si="5"/>
        <v>1251EN03PT</v>
      </c>
      <c r="F363">
        <f>VLOOKUP(B363,Course!$A$2:$R$329,2,FALSE)</f>
        <v>0</v>
      </c>
      <c r="G363">
        <f>VLOOKUP(B363, Course!$A$2:$L$150, 8, FALSE)</f>
        <v>12</v>
      </c>
      <c r="H363">
        <v>3</v>
      </c>
      <c r="I363">
        <v>1</v>
      </c>
      <c r="K363" t="s">
        <v>1581</v>
      </c>
      <c r="L363" t="str">
        <f>VLOOKUP(B363, Course!$A$1:$O$133, 14, FALSE)</f>
        <v>EN</v>
      </c>
      <c r="M363">
        <v>1</v>
      </c>
    </row>
    <row r="364" spans="1:13" x14ac:dyDescent="0.2">
      <c r="A364">
        <v>363</v>
      </c>
      <c r="B364">
        <v>31</v>
      </c>
      <c r="C364">
        <v>52</v>
      </c>
      <c r="D364" t="s">
        <v>224</v>
      </c>
      <c r="E364" t="str">
        <f t="shared" si="5"/>
        <v>1252EN03PT</v>
      </c>
      <c r="F364">
        <f>VLOOKUP(B364,Course!$A$2:$R$329,2,FALSE)</f>
        <v>0</v>
      </c>
      <c r="G364">
        <f>VLOOKUP(B364, Course!$A$2:$L$150, 8, FALSE)</f>
        <v>12</v>
      </c>
      <c r="H364">
        <v>3</v>
      </c>
      <c r="I364">
        <v>1</v>
      </c>
      <c r="K364" t="s">
        <v>1581</v>
      </c>
      <c r="L364" t="str">
        <f>VLOOKUP(B364, Course!$A$1:$O$133, 14, FALSE)</f>
        <v>EN</v>
      </c>
      <c r="M364">
        <v>1</v>
      </c>
    </row>
    <row r="365" spans="1:13" x14ac:dyDescent="0.2">
      <c r="A365">
        <v>364</v>
      </c>
      <c r="B365">
        <v>31</v>
      </c>
      <c r="C365">
        <v>53</v>
      </c>
      <c r="D365" t="s">
        <v>224</v>
      </c>
      <c r="E365" t="str">
        <f t="shared" si="5"/>
        <v>1253EN03PT</v>
      </c>
      <c r="F365">
        <f>VLOOKUP(B365,Course!$A$2:$R$329,2,FALSE)</f>
        <v>0</v>
      </c>
      <c r="G365">
        <f>VLOOKUP(B365, Course!$A$2:$L$150, 8, FALSE)</f>
        <v>12</v>
      </c>
      <c r="H365">
        <v>3</v>
      </c>
      <c r="I365">
        <v>1</v>
      </c>
      <c r="K365" t="s">
        <v>1581</v>
      </c>
      <c r="L365" t="str">
        <f>VLOOKUP(B365, Course!$A$1:$O$133, 14, FALSE)</f>
        <v>EN</v>
      </c>
      <c r="M365">
        <v>1</v>
      </c>
    </row>
    <row r="366" spans="1:13" x14ac:dyDescent="0.2">
      <c r="A366">
        <v>365</v>
      </c>
      <c r="B366">
        <v>31</v>
      </c>
      <c r="C366">
        <v>54</v>
      </c>
      <c r="D366" t="s">
        <v>224</v>
      </c>
      <c r="E366" t="str">
        <f t="shared" si="5"/>
        <v>1254EN03PT</v>
      </c>
      <c r="F366">
        <f>VLOOKUP(B366,Course!$A$2:$R$329,2,FALSE)</f>
        <v>0</v>
      </c>
      <c r="G366">
        <f>VLOOKUP(B366, Course!$A$2:$L$150, 8, FALSE)</f>
        <v>12</v>
      </c>
      <c r="H366">
        <v>3</v>
      </c>
      <c r="I366">
        <v>1</v>
      </c>
      <c r="K366" t="s">
        <v>1581</v>
      </c>
      <c r="L366" t="str">
        <f>VLOOKUP(B366, Course!$A$1:$O$133, 14, FALSE)</f>
        <v>EN</v>
      </c>
      <c r="M366">
        <v>1</v>
      </c>
    </row>
    <row r="367" spans="1:13" x14ac:dyDescent="0.2">
      <c r="A367">
        <v>366</v>
      </c>
      <c r="B367">
        <v>31</v>
      </c>
      <c r="C367">
        <v>55</v>
      </c>
      <c r="D367" t="s">
        <v>224</v>
      </c>
      <c r="E367" t="str">
        <f t="shared" si="5"/>
        <v>1255EN03PT</v>
      </c>
      <c r="F367">
        <f>VLOOKUP(B367,Course!$A$2:$R$329,2,FALSE)</f>
        <v>0</v>
      </c>
      <c r="G367">
        <f>VLOOKUP(B367, Course!$A$2:$L$150, 8, FALSE)</f>
        <v>12</v>
      </c>
      <c r="H367">
        <v>3</v>
      </c>
      <c r="I367">
        <v>1</v>
      </c>
      <c r="K367" t="s">
        <v>1581</v>
      </c>
      <c r="L367" t="str">
        <f>VLOOKUP(B367, Course!$A$1:$O$133, 14, FALSE)</f>
        <v>EN</v>
      </c>
      <c r="M367">
        <v>1</v>
      </c>
    </row>
    <row r="368" spans="1:13" x14ac:dyDescent="0.2">
      <c r="A368">
        <v>367</v>
      </c>
      <c r="B368">
        <v>31</v>
      </c>
      <c r="C368">
        <v>56</v>
      </c>
      <c r="D368" t="s">
        <v>224</v>
      </c>
      <c r="E368" t="str">
        <f t="shared" si="5"/>
        <v>1256EN03PT</v>
      </c>
      <c r="F368">
        <f>VLOOKUP(B368,Course!$A$2:$R$329,2,FALSE)</f>
        <v>0</v>
      </c>
      <c r="G368">
        <f>VLOOKUP(B368, Course!$A$2:$L$150, 8, FALSE)</f>
        <v>12</v>
      </c>
      <c r="H368">
        <v>3</v>
      </c>
      <c r="I368">
        <v>1</v>
      </c>
      <c r="K368" t="s">
        <v>1581</v>
      </c>
      <c r="L368" t="str">
        <f>VLOOKUP(B368, Course!$A$1:$O$133, 14, FALSE)</f>
        <v>EN</v>
      </c>
      <c r="M368">
        <v>1</v>
      </c>
    </row>
    <row r="369" spans="1:13" x14ac:dyDescent="0.2">
      <c r="A369">
        <v>368</v>
      </c>
      <c r="B369">
        <v>31</v>
      </c>
      <c r="C369">
        <v>57</v>
      </c>
      <c r="D369" t="s">
        <v>224</v>
      </c>
      <c r="E369" t="str">
        <f t="shared" si="5"/>
        <v>1257EN03PT</v>
      </c>
      <c r="F369">
        <f>VLOOKUP(B369,Course!$A$2:$R$329,2,FALSE)</f>
        <v>0</v>
      </c>
      <c r="G369">
        <f>VLOOKUP(B369, Course!$A$2:$L$150, 8, FALSE)</f>
        <v>12</v>
      </c>
      <c r="H369">
        <v>3</v>
      </c>
      <c r="I369">
        <v>1</v>
      </c>
      <c r="K369" t="s">
        <v>1581</v>
      </c>
      <c r="L369" t="str">
        <f>VLOOKUP(B369, Course!$A$1:$O$133, 14, FALSE)</f>
        <v>EN</v>
      </c>
      <c r="M369">
        <v>1</v>
      </c>
    </row>
    <row r="370" spans="1:13" x14ac:dyDescent="0.2">
      <c r="A370">
        <v>369</v>
      </c>
      <c r="B370">
        <v>31</v>
      </c>
      <c r="C370">
        <v>58</v>
      </c>
      <c r="D370" t="s">
        <v>224</v>
      </c>
      <c r="E370" t="str">
        <f t="shared" si="5"/>
        <v>1258EN03PT</v>
      </c>
      <c r="F370">
        <f>VLOOKUP(B370,Course!$A$2:$R$329,2,FALSE)</f>
        <v>0</v>
      </c>
      <c r="G370">
        <f>VLOOKUP(B370, Course!$A$2:$L$150, 8, FALSE)</f>
        <v>12</v>
      </c>
      <c r="H370">
        <v>3</v>
      </c>
      <c r="I370">
        <v>1</v>
      </c>
      <c r="K370" t="s">
        <v>1581</v>
      </c>
      <c r="L370" t="str">
        <f>VLOOKUP(B370, Course!$A$1:$O$133, 14, FALSE)</f>
        <v>EN</v>
      </c>
      <c r="M370">
        <v>1</v>
      </c>
    </row>
    <row r="371" spans="1:13" x14ac:dyDescent="0.2">
      <c r="A371">
        <v>370</v>
      </c>
      <c r="B371">
        <v>31</v>
      </c>
      <c r="C371">
        <v>59</v>
      </c>
      <c r="D371" t="s">
        <v>224</v>
      </c>
      <c r="E371" t="str">
        <f t="shared" si="5"/>
        <v>1259EN03PT</v>
      </c>
      <c r="F371">
        <f>VLOOKUP(B371,Course!$A$2:$R$329,2,FALSE)</f>
        <v>0</v>
      </c>
      <c r="G371">
        <f>VLOOKUP(B371, Course!$A$2:$L$150, 8, FALSE)</f>
        <v>12</v>
      </c>
      <c r="H371">
        <v>3</v>
      </c>
      <c r="I371">
        <v>1</v>
      </c>
      <c r="K371" t="s">
        <v>1581</v>
      </c>
      <c r="L371" t="str">
        <f>VLOOKUP(B371, Course!$A$1:$O$133, 14, FALSE)</f>
        <v>EN</v>
      </c>
      <c r="M371">
        <v>1</v>
      </c>
    </row>
    <row r="372" spans="1:13" x14ac:dyDescent="0.2">
      <c r="A372">
        <v>371</v>
      </c>
      <c r="B372">
        <v>31</v>
      </c>
      <c r="C372">
        <v>60</v>
      </c>
      <c r="D372" t="s">
        <v>224</v>
      </c>
      <c r="E372" t="str">
        <f t="shared" si="5"/>
        <v>1260EN03PT</v>
      </c>
      <c r="F372">
        <f>VLOOKUP(B372,Course!$A$2:$R$329,2,FALSE)</f>
        <v>0</v>
      </c>
      <c r="G372">
        <f>VLOOKUP(B372, Course!$A$2:$L$150, 8, FALSE)</f>
        <v>12</v>
      </c>
      <c r="H372">
        <v>3</v>
      </c>
      <c r="I372">
        <v>1</v>
      </c>
      <c r="K372" t="s">
        <v>1581</v>
      </c>
      <c r="L372" t="str">
        <f>VLOOKUP(B372, Course!$A$1:$O$133, 14, FALSE)</f>
        <v>EN</v>
      </c>
      <c r="M372">
        <v>1</v>
      </c>
    </row>
    <row r="373" spans="1:13" x14ac:dyDescent="0.2">
      <c r="A373">
        <v>372</v>
      </c>
      <c r="B373">
        <v>32</v>
      </c>
      <c r="C373">
        <v>49</v>
      </c>
      <c r="D373" t="s">
        <v>147</v>
      </c>
      <c r="E373" t="str">
        <f t="shared" si="5"/>
        <v>1249WB03PT</v>
      </c>
      <c r="F373">
        <f>VLOOKUP(B373,Course!$A$2:$R$329,2,FALSE)</f>
        <v>0</v>
      </c>
      <c r="G373">
        <f>VLOOKUP(B373, Course!$A$2:$L$150, 8, FALSE)</f>
        <v>12</v>
      </c>
      <c r="H373">
        <v>3</v>
      </c>
      <c r="I373">
        <v>1</v>
      </c>
      <c r="K373" t="s">
        <v>1581</v>
      </c>
      <c r="L373" t="str">
        <f>VLOOKUP(B373, Course!$A$1:$O$133, 14, FALSE)</f>
        <v>WB</v>
      </c>
      <c r="M373">
        <v>1</v>
      </c>
    </row>
    <row r="374" spans="1:13" x14ac:dyDescent="0.2">
      <c r="A374">
        <v>373</v>
      </c>
      <c r="B374">
        <v>32</v>
      </c>
      <c r="C374">
        <v>50</v>
      </c>
      <c r="D374" t="s">
        <v>147</v>
      </c>
      <c r="E374" t="str">
        <f t="shared" si="5"/>
        <v>1250WB03PT</v>
      </c>
      <c r="F374">
        <f>VLOOKUP(B374,Course!$A$2:$R$329,2,FALSE)</f>
        <v>0</v>
      </c>
      <c r="G374">
        <f>VLOOKUP(B374, Course!$A$2:$L$150, 8, FALSE)</f>
        <v>12</v>
      </c>
      <c r="H374">
        <v>3</v>
      </c>
      <c r="I374">
        <v>1</v>
      </c>
      <c r="K374" t="s">
        <v>1581</v>
      </c>
      <c r="L374" t="str">
        <f>VLOOKUP(B374, Course!$A$1:$O$133, 14, FALSE)</f>
        <v>WB</v>
      </c>
      <c r="M374">
        <v>1</v>
      </c>
    </row>
    <row r="375" spans="1:13" x14ac:dyDescent="0.2">
      <c r="A375">
        <v>374</v>
      </c>
      <c r="B375">
        <v>32</v>
      </c>
      <c r="C375">
        <v>51</v>
      </c>
      <c r="D375" t="s">
        <v>147</v>
      </c>
      <c r="E375" t="str">
        <f t="shared" si="5"/>
        <v>1251WB03PT</v>
      </c>
      <c r="F375">
        <f>VLOOKUP(B375,Course!$A$2:$R$329,2,FALSE)</f>
        <v>0</v>
      </c>
      <c r="G375">
        <f>VLOOKUP(B375, Course!$A$2:$L$150, 8, FALSE)</f>
        <v>12</v>
      </c>
      <c r="H375">
        <v>3</v>
      </c>
      <c r="I375">
        <v>1</v>
      </c>
      <c r="K375" t="s">
        <v>1581</v>
      </c>
      <c r="L375" t="str">
        <f>VLOOKUP(B375, Course!$A$1:$O$133, 14, FALSE)</f>
        <v>WB</v>
      </c>
      <c r="M375">
        <v>1</v>
      </c>
    </row>
    <row r="376" spans="1:13" x14ac:dyDescent="0.2">
      <c r="A376">
        <v>375</v>
      </c>
      <c r="B376">
        <v>32</v>
      </c>
      <c r="C376">
        <v>52</v>
      </c>
      <c r="D376" t="s">
        <v>147</v>
      </c>
      <c r="E376" t="str">
        <f t="shared" si="5"/>
        <v>1252WB03PT</v>
      </c>
      <c r="F376">
        <f>VLOOKUP(B376,Course!$A$2:$R$329,2,FALSE)</f>
        <v>0</v>
      </c>
      <c r="G376">
        <f>VLOOKUP(B376, Course!$A$2:$L$150, 8, FALSE)</f>
        <v>12</v>
      </c>
      <c r="H376">
        <v>3</v>
      </c>
      <c r="I376">
        <v>1</v>
      </c>
      <c r="K376" t="s">
        <v>1581</v>
      </c>
      <c r="L376" t="str">
        <f>VLOOKUP(B376, Course!$A$1:$O$133, 14, FALSE)</f>
        <v>WB</v>
      </c>
      <c r="M376">
        <v>1</v>
      </c>
    </row>
    <row r="377" spans="1:13" x14ac:dyDescent="0.2">
      <c r="A377">
        <v>376</v>
      </c>
      <c r="B377">
        <v>32</v>
      </c>
      <c r="C377">
        <v>53</v>
      </c>
      <c r="D377" t="s">
        <v>147</v>
      </c>
      <c r="E377" t="str">
        <f t="shared" si="5"/>
        <v>1253WB03PT</v>
      </c>
      <c r="F377">
        <f>VLOOKUP(B377,Course!$A$2:$R$329,2,FALSE)</f>
        <v>0</v>
      </c>
      <c r="G377">
        <f>VLOOKUP(B377, Course!$A$2:$L$150, 8, FALSE)</f>
        <v>12</v>
      </c>
      <c r="H377">
        <v>3</v>
      </c>
      <c r="I377">
        <v>1</v>
      </c>
      <c r="K377" t="s">
        <v>1581</v>
      </c>
      <c r="L377" t="str">
        <f>VLOOKUP(B377, Course!$A$1:$O$133, 14, FALSE)</f>
        <v>WB</v>
      </c>
      <c r="M377">
        <v>1</v>
      </c>
    </row>
    <row r="378" spans="1:13" x14ac:dyDescent="0.2">
      <c r="A378">
        <v>377</v>
      </c>
      <c r="B378">
        <v>32</v>
      </c>
      <c r="C378">
        <v>54</v>
      </c>
      <c r="D378" t="s">
        <v>147</v>
      </c>
      <c r="E378" t="str">
        <f t="shared" si="5"/>
        <v>1254WB03PT</v>
      </c>
      <c r="F378">
        <f>VLOOKUP(B378,Course!$A$2:$R$329,2,FALSE)</f>
        <v>0</v>
      </c>
      <c r="G378">
        <f>VLOOKUP(B378, Course!$A$2:$L$150, 8, FALSE)</f>
        <v>12</v>
      </c>
      <c r="H378">
        <v>3</v>
      </c>
      <c r="I378">
        <v>1</v>
      </c>
      <c r="K378" t="s">
        <v>1581</v>
      </c>
      <c r="L378" t="str">
        <f>VLOOKUP(B378, Course!$A$1:$O$133, 14, FALSE)</f>
        <v>WB</v>
      </c>
      <c r="M378">
        <v>1</v>
      </c>
    </row>
    <row r="379" spans="1:13" x14ac:dyDescent="0.2">
      <c r="A379">
        <v>378</v>
      </c>
      <c r="B379">
        <v>32</v>
      </c>
      <c r="C379">
        <v>55</v>
      </c>
      <c r="D379" t="s">
        <v>147</v>
      </c>
      <c r="E379" t="str">
        <f t="shared" si="5"/>
        <v>1255WB03PT</v>
      </c>
      <c r="F379">
        <f>VLOOKUP(B379,Course!$A$2:$R$329,2,FALSE)</f>
        <v>0</v>
      </c>
      <c r="G379">
        <f>VLOOKUP(B379, Course!$A$2:$L$150, 8, FALSE)</f>
        <v>12</v>
      </c>
      <c r="H379">
        <v>3</v>
      </c>
      <c r="I379">
        <v>1</v>
      </c>
      <c r="K379" t="s">
        <v>1581</v>
      </c>
      <c r="L379" t="str">
        <f>VLOOKUP(B379, Course!$A$1:$O$133, 14, FALSE)</f>
        <v>WB</v>
      </c>
      <c r="M379">
        <v>1</v>
      </c>
    </row>
    <row r="380" spans="1:13" x14ac:dyDescent="0.2">
      <c r="A380">
        <v>379</v>
      </c>
      <c r="B380">
        <v>32</v>
      </c>
      <c r="C380">
        <v>56</v>
      </c>
      <c r="D380" t="s">
        <v>147</v>
      </c>
      <c r="E380" t="str">
        <f t="shared" si="5"/>
        <v>1256WB03PT</v>
      </c>
      <c r="F380">
        <f>VLOOKUP(B380,Course!$A$2:$R$329,2,FALSE)</f>
        <v>0</v>
      </c>
      <c r="G380">
        <f>VLOOKUP(B380, Course!$A$2:$L$150, 8, FALSE)</f>
        <v>12</v>
      </c>
      <c r="H380">
        <v>3</v>
      </c>
      <c r="I380">
        <v>1</v>
      </c>
      <c r="K380" t="s">
        <v>1581</v>
      </c>
      <c r="L380" t="str">
        <f>VLOOKUP(B380, Course!$A$1:$O$133, 14, FALSE)</f>
        <v>WB</v>
      </c>
      <c r="M380">
        <v>1</v>
      </c>
    </row>
    <row r="381" spans="1:13" x14ac:dyDescent="0.2">
      <c r="A381">
        <v>380</v>
      </c>
      <c r="B381">
        <v>32</v>
      </c>
      <c r="C381">
        <v>57</v>
      </c>
      <c r="D381" t="s">
        <v>147</v>
      </c>
      <c r="E381" t="str">
        <f t="shared" si="5"/>
        <v>1257WB03PT</v>
      </c>
      <c r="F381">
        <f>VLOOKUP(B381,Course!$A$2:$R$329,2,FALSE)</f>
        <v>0</v>
      </c>
      <c r="G381">
        <f>VLOOKUP(B381, Course!$A$2:$L$150, 8, FALSE)</f>
        <v>12</v>
      </c>
      <c r="H381">
        <v>3</v>
      </c>
      <c r="I381">
        <v>1</v>
      </c>
      <c r="K381" t="s">
        <v>1581</v>
      </c>
      <c r="L381" t="str">
        <f>VLOOKUP(B381, Course!$A$1:$O$133, 14, FALSE)</f>
        <v>WB</v>
      </c>
      <c r="M381">
        <v>1</v>
      </c>
    </row>
    <row r="382" spans="1:13" x14ac:dyDescent="0.2">
      <c r="A382">
        <v>381</v>
      </c>
      <c r="B382">
        <v>32</v>
      </c>
      <c r="C382">
        <v>58</v>
      </c>
      <c r="D382" t="s">
        <v>147</v>
      </c>
      <c r="E382" t="str">
        <f t="shared" si="5"/>
        <v>1258WB03PT</v>
      </c>
      <c r="F382">
        <f>VLOOKUP(B382,Course!$A$2:$R$329,2,FALSE)</f>
        <v>0</v>
      </c>
      <c r="G382">
        <f>VLOOKUP(B382, Course!$A$2:$L$150, 8, FALSE)</f>
        <v>12</v>
      </c>
      <c r="H382">
        <v>3</v>
      </c>
      <c r="I382">
        <v>1</v>
      </c>
      <c r="K382" t="s">
        <v>1581</v>
      </c>
      <c r="L382" t="str">
        <f>VLOOKUP(B382, Course!$A$1:$O$133, 14, FALSE)</f>
        <v>WB</v>
      </c>
      <c r="M382">
        <v>1</v>
      </c>
    </row>
    <row r="383" spans="1:13" x14ac:dyDescent="0.2">
      <c r="A383">
        <v>382</v>
      </c>
      <c r="B383">
        <v>32</v>
      </c>
      <c r="C383">
        <v>59</v>
      </c>
      <c r="D383" t="s">
        <v>147</v>
      </c>
      <c r="E383" t="str">
        <f t="shared" si="5"/>
        <v>1259WB03PT</v>
      </c>
      <c r="F383">
        <f>VLOOKUP(B383,Course!$A$2:$R$329,2,FALSE)</f>
        <v>0</v>
      </c>
      <c r="G383">
        <f>VLOOKUP(B383, Course!$A$2:$L$150, 8, FALSE)</f>
        <v>12</v>
      </c>
      <c r="H383">
        <v>3</v>
      </c>
      <c r="I383">
        <v>1</v>
      </c>
      <c r="K383" t="s">
        <v>1581</v>
      </c>
      <c r="L383" t="str">
        <f>VLOOKUP(B383, Course!$A$1:$O$133, 14, FALSE)</f>
        <v>WB</v>
      </c>
      <c r="M383">
        <v>1</v>
      </c>
    </row>
    <row r="384" spans="1:13" x14ac:dyDescent="0.2">
      <c r="A384">
        <v>383</v>
      </c>
      <c r="B384">
        <v>32</v>
      </c>
      <c r="C384">
        <v>60</v>
      </c>
      <c r="D384" t="s">
        <v>147</v>
      </c>
      <c r="E384" t="str">
        <f t="shared" si="5"/>
        <v>1260WB03PT</v>
      </c>
      <c r="F384">
        <f>VLOOKUP(B384,Course!$A$2:$R$329,2,FALSE)</f>
        <v>0</v>
      </c>
      <c r="G384">
        <f>VLOOKUP(B384, Course!$A$2:$L$150, 8, FALSE)</f>
        <v>12</v>
      </c>
      <c r="H384">
        <v>3</v>
      </c>
      <c r="I384">
        <v>1</v>
      </c>
      <c r="K384" t="s">
        <v>1581</v>
      </c>
      <c r="L384" t="str">
        <f>VLOOKUP(B384, Course!$A$1:$O$133, 14, FALSE)</f>
        <v>WB</v>
      </c>
      <c r="M384">
        <v>1</v>
      </c>
    </row>
    <row r="385" spans="1:13" x14ac:dyDescent="0.2">
      <c r="A385">
        <v>384</v>
      </c>
      <c r="B385">
        <v>33</v>
      </c>
      <c r="C385">
        <v>49</v>
      </c>
      <c r="D385" t="s">
        <v>227</v>
      </c>
      <c r="E385" t="str">
        <f t="shared" si="5"/>
        <v>1249LC03PT</v>
      </c>
      <c r="F385">
        <f>VLOOKUP(B385,Course!$A$2:$R$329,2,FALSE)</f>
        <v>0</v>
      </c>
      <c r="G385">
        <f>VLOOKUP(B385, Course!$A$2:$L$150, 8, FALSE)</f>
        <v>12</v>
      </c>
      <c r="H385">
        <v>3</v>
      </c>
      <c r="I385">
        <v>1</v>
      </c>
      <c r="K385" t="s">
        <v>1581</v>
      </c>
      <c r="L385" t="str">
        <f>VLOOKUP(B385, Course!$A$1:$O$133, 14, FALSE)</f>
        <v>LC</v>
      </c>
      <c r="M385">
        <v>1</v>
      </c>
    </row>
    <row r="386" spans="1:13" x14ac:dyDescent="0.2">
      <c r="A386">
        <v>385</v>
      </c>
      <c r="B386">
        <v>33</v>
      </c>
      <c r="C386">
        <v>50</v>
      </c>
      <c r="D386" t="s">
        <v>227</v>
      </c>
      <c r="E386" t="str">
        <f t="shared" ref="E386:E449" si="6">UPPER(LEFT(G386,2)) &amp; RIGHT("0" &amp; C386, 2) &amp; D386 &amp; RIGHT("0" &amp; H386, 2) &amp; K386</f>
        <v>1250LC03PT</v>
      </c>
      <c r="F386">
        <f>VLOOKUP(B386,Course!$A$2:$R$329,2,FALSE)</f>
        <v>0</v>
      </c>
      <c r="G386">
        <f>VLOOKUP(B386, Course!$A$2:$L$150, 8, FALSE)</f>
        <v>12</v>
      </c>
      <c r="H386">
        <v>3</v>
      </c>
      <c r="I386">
        <v>1</v>
      </c>
      <c r="K386" t="s">
        <v>1581</v>
      </c>
      <c r="L386" t="str">
        <f>VLOOKUP(B386, Course!$A$1:$O$133, 14, FALSE)</f>
        <v>LC</v>
      </c>
      <c r="M386">
        <v>1</v>
      </c>
    </row>
    <row r="387" spans="1:13" x14ac:dyDescent="0.2">
      <c r="A387">
        <v>386</v>
      </c>
      <c r="B387">
        <v>33</v>
      </c>
      <c r="C387">
        <v>51</v>
      </c>
      <c r="D387" t="s">
        <v>227</v>
      </c>
      <c r="E387" t="str">
        <f t="shared" si="6"/>
        <v>1251LC03PT</v>
      </c>
      <c r="F387">
        <f>VLOOKUP(B387,Course!$A$2:$R$329,2,FALSE)</f>
        <v>0</v>
      </c>
      <c r="G387">
        <f>VLOOKUP(B387, Course!$A$2:$L$150, 8, FALSE)</f>
        <v>12</v>
      </c>
      <c r="H387">
        <v>3</v>
      </c>
      <c r="I387">
        <v>1</v>
      </c>
      <c r="K387" t="s">
        <v>1581</v>
      </c>
      <c r="L387" t="str">
        <f>VLOOKUP(B387, Course!$A$1:$O$133, 14, FALSE)</f>
        <v>LC</v>
      </c>
      <c r="M387">
        <v>1</v>
      </c>
    </row>
    <row r="388" spans="1:13" x14ac:dyDescent="0.2">
      <c r="A388">
        <v>387</v>
      </c>
      <c r="B388">
        <v>33</v>
      </c>
      <c r="C388">
        <v>52</v>
      </c>
      <c r="D388" t="s">
        <v>227</v>
      </c>
      <c r="E388" t="str">
        <f t="shared" si="6"/>
        <v>1252LC03PT</v>
      </c>
      <c r="F388">
        <f>VLOOKUP(B388,Course!$A$2:$R$329,2,FALSE)</f>
        <v>0</v>
      </c>
      <c r="G388">
        <f>VLOOKUP(B388, Course!$A$2:$L$150, 8, FALSE)</f>
        <v>12</v>
      </c>
      <c r="H388">
        <v>3</v>
      </c>
      <c r="I388">
        <v>1</v>
      </c>
      <c r="K388" t="s">
        <v>1581</v>
      </c>
      <c r="L388" t="str">
        <f>VLOOKUP(B388, Course!$A$1:$O$133, 14, FALSE)</f>
        <v>LC</v>
      </c>
      <c r="M388">
        <v>1</v>
      </c>
    </row>
    <row r="389" spans="1:13" x14ac:dyDescent="0.2">
      <c r="A389">
        <v>388</v>
      </c>
      <c r="B389">
        <v>33</v>
      </c>
      <c r="C389">
        <v>53</v>
      </c>
      <c r="D389" t="s">
        <v>227</v>
      </c>
      <c r="E389" t="str">
        <f t="shared" si="6"/>
        <v>1253LC03PT</v>
      </c>
      <c r="F389">
        <f>VLOOKUP(B389,Course!$A$2:$R$329,2,FALSE)</f>
        <v>0</v>
      </c>
      <c r="G389">
        <f>VLOOKUP(B389, Course!$A$2:$L$150, 8, FALSE)</f>
        <v>12</v>
      </c>
      <c r="H389">
        <v>3</v>
      </c>
      <c r="I389">
        <v>1</v>
      </c>
      <c r="K389" t="s">
        <v>1581</v>
      </c>
      <c r="L389" t="str">
        <f>VLOOKUP(B389, Course!$A$1:$O$133, 14, FALSE)</f>
        <v>LC</v>
      </c>
      <c r="M389">
        <v>1</v>
      </c>
    </row>
    <row r="390" spans="1:13" x14ac:dyDescent="0.2">
      <c r="A390">
        <v>389</v>
      </c>
      <c r="B390">
        <v>33</v>
      </c>
      <c r="C390">
        <v>54</v>
      </c>
      <c r="D390" t="s">
        <v>227</v>
      </c>
      <c r="E390" t="str">
        <f t="shared" si="6"/>
        <v>1254LC03PT</v>
      </c>
      <c r="F390">
        <f>VLOOKUP(B390,Course!$A$2:$R$329,2,FALSE)</f>
        <v>0</v>
      </c>
      <c r="G390">
        <f>VLOOKUP(B390, Course!$A$2:$L$150, 8, FALSE)</f>
        <v>12</v>
      </c>
      <c r="H390">
        <v>3</v>
      </c>
      <c r="I390">
        <v>1</v>
      </c>
      <c r="K390" t="s">
        <v>1581</v>
      </c>
      <c r="L390" t="str">
        <f>VLOOKUP(B390, Course!$A$1:$O$133, 14, FALSE)</f>
        <v>LC</v>
      </c>
      <c r="M390">
        <v>1</v>
      </c>
    </row>
    <row r="391" spans="1:13" x14ac:dyDescent="0.2">
      <c r="A391">
        <v>390</v>
      </c>
      <c r="B391">
        <v>33</v>
      </c>
      <c r="C391">
        <v>55</v>
      </c>
      <c r="D391" t="s">
        <v>227</v>
      </c>
      <c r="E391" t="str">
        <f t="shared" si="6"/>
        <v>1255LC03PT</v>
      </c>
      <c r="F391">
        <f>VLOOKUP(B391,Course!$A$2:$R$329,2,FALSE)</f>
        <v>0</v>
      </c>
      <c r="G391">
        <f>VLOOKUP(B391, Course!$A$2:$L$150, 8, FALSE)</f>
        <v>12</v>
      </c>
      <c r="H391">
        <v>3</v>
      </c>
      <c r="I391">
        <v>1</v>
      </c>
      <c r="K391" t="s">
        <v>1581</v>
      </c>
      <c r="L391" t="str">
        <f>VLOOKUP(B391, Course!$A$1:$O$133, 14, FALSE)</f>
        <v>LC</v>
      </c>
      <c r="M391">
        <v>1</v>
      </c>
    </row>
    <row r="392" spans="1:13" x14ac:dyDescent="0.2">
      <c r="A392">
        <v>391</v>
      </c>
      <c r="B392">
        <v>33</v>
      </c>
      <c r="C392">
        <v>56</v>
      </c>
      <c r="D392" t="s">
        <v>227</v>
      </c>
      <c r="E392" t="str">
        <f t="shared" si="6"/>
        <v>1256LC03PT</v>
      </c>
      <c r="F392">
        <f>VLOOKUP(B392,Course!$A$2:$R$329,2,FALSE)</f>
        <v>0</v>
      </c>
      <c r="G392">
        <f>VLOOKUP(B392, Course!$A$2:$L$150, 8, FALSE)</f>
        <v>12</v>
      </c>
      <c r="H392">
        <v>3</v>
      </c>
      <c r="I392">
        <v>1</v>
      </c>
      <c r="K392" t="s">
        <v>1581</v>
      </c>
      <c r="L392" t="str">
        <f>VLOOKUP(B392, Course!$A$1:$O$133, 14, FALSE)</f>
        <v>LC</v>
      </c>
      <c r="M392">
        <v>1</v>
      </c>
    </row>
    <row r="393" spans="1:13" x14ac:dyDescent="0.2">
      <c r="A393">
        <v>392</v>
      </c>
      <c r="B393">
        <v>33</v>
      </c>
      <c r="C393">
        <v>57</v>
      </c>
      <c r="D393" t="s">
        <v>227</v>
      </c>
      <c r="E393" t="str">
        <f t="shared" si="6"/>
        <v>1257LC03PT</v>
      </c>
      <c r="F393">
        <f>VLOOKUP(B393,Course!$A$2:$R$329,2,FALSE)</f>
        <v>0</v>
      </c>
      <c r="G393">
        <f>VLOOKUP(B393, Course!$A$2:$L$150, 8, FALSE)</f>
        <v>12</v>
      </c>
      <c r="H393">
        <v>3</v>
      </c>
      <c r="I393">
        <v>1</v>
      </c>
      <c r="K393" t="s">
        <v>1581</v>
      </c>
      <c r="L393" t="str">
        <f>VLOOKUP(B393, Course!$A$1:$O$133, 14, FALSE)</f>
        <v>LC</v>
      </c>
      <c r="M393">
        <v>1</v>
      </c>
    </row>
    <row r="394" spans="1:13" x14ac:dyDescent="0.2">
      <c r="A394">
        <v>393</v>
      </c>
      <c r="B394">
        <v>33</v>
      </c>
      <c r="C394">
        <v>58</v>
      </c>
      <c r="D394" t="s">
        <v>227</v>
      </c>
      <c r="E394" t="str">
        <f t="shared" si="6"/>
        <v>1258LC03PT</v>
      </c>
      <c r="F394">
        <f>VLOOKUP(B394,Course!$A$2:$R$329,2,FALSE)</f>
        <v>0</v>
      </c>
      <c r="G394">
        <f>VLOOKUP(B394, Course!$A$2:$L$150, 8, FALSE)</f>
        <v>12</v>
      </c>
      <c r="H394">
        <v>3</v>
      </c>
      <c r="I394">
        <v>1</v>
      </c>
      <c r="K394" t="s">
        <v>1581</v>
      </c>
      <c r="L394" t="str">
        <f>VLOOKUP(B394, Course!$A$1:$O$133, 14, FALSE)</f>
        <v>LC</v>
      </c>
      <c r="M394">
        <v>1</v>
      </c>
    </row>
    <row r="395" spans="1:13" x14ac:dyDescent="0.2">
      <c r="A395">
        <v>394</v>
      </c>
      <c r="B395">
        <v>33</v>
      </c>
      <c r="C395">
        <v>59</v>
      </c>
      <c r="D395" t="s">
        <v>227</v>
      </c>
      <c r="E395" t="str">
        <f t="shared" si="6"/>
        <v>1259LC03PT</v>
      </c>
      <c r="F395">
        <f>VLOOKUP(B395,Course!$A$2:$R$329,2,FALSE)</f>
        <v>0</v>
      </c>
      <c r="G395">
        <f>VLOOKUP(B395, Course!$A$2:$L$150, 8, FALSE)</f>
        <v>12</v>
      </c>
      <c r="H395">
        <v>3</v>
      </c>
      <c r="I395">
        <v>1</v>
      </c>
      <c r="K395" t="s">
        <v>1581</v>
      </c>
      <c r="L395" t="str">
        <f>VLOOKUP(B395, Course!$A$1:$O$133, 14, FALSE)</f>
        <v>LC</v>
      </c>
      <c r="M395">
        <v>1</v>
      </c>
    </row>
    <row r="396" spans="1:13" x14ac:dyDescent="0.2">
      <c r="A396">
        <v>395</v>
      </c>
      <c r="B396">
        <v>33</v>
      </c>
      <c r="C396">
        <v>60</v>
      </c>
      <c r="D396" t="s">
        <v>227</v>
      </c>
      <c r="E396" t="str">
        <f t="shared" si="6"/>
        <v>1260LC03PT</v>
      </c>
      <c r="F396">
        <f>VLOOKUP(B396,Course!$A$2:$R$329,2,FALSE)</f>
        <v>0</v>
      </c>
      <c r="G396">
        <f>VLOOKUP(B396, Course!$A$2:$L$150, 8, FALSE)</f>
        <v>12</v>
      </c>
      <c r="H396">
        <v>3</v>
      </c>
      <c r="I396">
        <v>1</v>
      </c>
      <c r="K396" t="s">
        <v>1581</v>
      </c>
      <c r="L396" t="str">
        <f>VLOOKUP(B396, Course!$A$1:$O$133, 14, FALSE)</f>
        <v>LC</v>
      </c>
      <c r="M396">
        <v>1</v>
      </c>
    </row>
    <row r="397" spans="1:13" x14ac:dyDescent="0.2">
      <c r="A397">
        <v>396</v>
      </c>
      <c r="B397">
        <v>34</v>
      </c>
      <c r="C397">
        <v>49</v>
      </c>
      <c r="D397" t="s">
        <v>153</v>
      </c>
      <c r="E397" t="str">
        <f t="shared" si="6"/>
        <v>1249SC03PT</v>
      </c>
      <c r="F397">
        <f>VLOOKUP(B397,Course!$A$2:$R$329,2,FALSE)</f>
        <v>0</v>
      </c>
      <c r="G397">
        <f>VLOOKUP(B397, Course!$A$2:$L$150, 8, FALSE)</f>
        <v>12</v>
      </c>
      <c r="H397">
        <v>3</v>
      </c>
      <c r="I397">
        <v>1</v>
      </c>
      <c r="K397" t="s">
        <v>1581</v>
      </c>
      <c r="L397" t="str">
        <f>VLOOKUP(B397, Course!$A$1:$O$133, 14, FALSE)</f>
        <v>SC</v>
      </c>
      <c r="M397">
        <v>1</v>
      </c>
    </row>
    <row r="398" spans="1:13" x14ac:dyDescent="0.2">
      <c r="A398">
        <v>397</v>
      </c>
      <c r="B398">
        <v>34</v>
      </c>
      <c r="C398">
        <v>50</v>
      </c>
      <c r="D398" t="s">
        <v>153</v>
      </c>
      <c r="E398" t="str">
        <f t="shared" si="6"/>
        <v>1250SC03PT</v>
      </c>
      <c r="F398">
        <f>VLOOKUP(B398,Course!$A$2:$R$329,2,FALSE)</f>
        <v>0</v>
      </c>
      <c r="G398">
        <f>VLOOKUP(B398, Course!$A$2:$L$150, 8, FALSE)</f>
        <v>12</v>
      </c>
      <c r="H398">
        <v>3</v>
      </c>
      <c r="I398">
        <v>1</v>
      </c>
      <c r="K398" t="s">
        <v>1581</v>
      </c>
      <c r="L398" t="str">
        <f>VLOOKUP(B398, Course!$A$1:$O$133, 14, FALSE)</f>
        <v>SC</v>
      </c>
      <c r="M398">
        <v>1</v>
      </c>
    </row>
    <row r="399" spans="1:13" x14ac:dyDescent="0.2">
      <c r="A399">
        <v>398</v>
      </c>
      <c r="B399">
        <v>34</v>
      </c>
      <c r="C399">
        <v>51</v>
      </c>
      <c r="D399" t="s">
        <v>153</v>
      </c>
      <c r="E399" t="str">
        <f t="shared" si="6"/>
        <v>1251SC03PT</v>
      </c>
      <c r="F399">
        <f>VLOOKUP(B399,Course!$A$2:$R$329,2,FALSE)</f>
        <v>0</v>
      </c>
      <c r="G399">
        <f>VLOOKUP(B399, Course!$A$2:$L$150, 8, FALSE)</f>
        <v>12</v>
      </c>
      <c r="H399">
        <v>3</v>
      </c>
      <c r="I399">
        <v>1</v>
      </c>
      <c r="K399" t="s">
        <v>1581</v>
      </c>
      <c r="L399" t="str">
        <f>VLOOKUP(B399, Course!$A$1:$O$133, 14, FALSE)</f>
        <v>SC</v>
      </c>
      <c r="M399">
        <v>1</v>
      </c>
    </row>
    <row r="400" spans="1:13" x14ac:dyDescent="0.2">
      <c r="A400">
        <v>399</v>
      </c>
      <c r="B400">
        <v>34</v>
      </c>
      <c r="C400">
        <v>52</v>
      </c>
      <c r="D400" t="s">
        <v>153</v>
      </c>
      <c r="E400" t="str">
        <f t="shared" si="6"/>
        <v>1252SC03PT</v>
      </c>
      <c r="F400">
        <f>VLOOKUP(B400,Course!$A$2:$R$329,2,FALSE)</f>
        <v>0</v>
      </c>
      <c r="G400">
        <f>VLOOKUP(B400, Course!$A$2:$L$150, 8, FALSE)</f>
        <v>12</v>
      </c>
      <c r="H400">
        <v>3</v>
      </c>
      <c r="I400">
        <v>1</v>
      </c>
      <c r="K400" t="s">
        <v>1581</v>
      </c>
      <c r="L400" t="str">
        <f>VLOOKUP(B400, Course!$A$1:$O$133, 14, FALSE)</f>
        <v>SC</v>
      </c>
      <c r="M400">
        <v>1</v>
      </c>
    </row>
    <row r="401" spans="1:13" x14ac:dyDescent="0.2">
      <c r="A401">
        <v>400</v>
      </c>
      <c r="B401">
        <v>34</v>
      </c>
      <c r="C401">
        <v>53</v>
      </c>
      <c r="D401" t="s">
        <v>153</v>
      </c>
      <c r="E401" t="str">
        <f t="shared" si="6"/>
        <v>1253SC03PT</v>
      </c>
      <c r="F401">
        <f>VLOOKUP(B401,Course!$A$2:$R$329,2,FALSE)</f>
        <v>0</v>
      </c>
      <c r="G401">
        <f>VLOOKUP(B401, Course!$A$2:$L$150, 8, FALSE)</f>
        <v>12</v>
      </c>
      <c r="H401">
        <v>3</v>
      </c>
      <c r="I401">
        <v>1</v>
      </c>
      <c r="K401" t="s">
        <v>1581</v>
      </c>
      <c r="L401" t="str">
        <f>VLOOKUP(B401, Course!$A$1:$O$133, 14, FALSE)</f>
        <v>SC</v>
      </c>
      <c r="M401">
        <v>1</v>
      </c>
    </row>
    <row r="402" spans="1:13" x14ac:dyDescent="0.2">
      <c r="A402">
        <v>401</v>
      </c>
      <c r="B402">
        <v>34</v>
      </c>
      <c r="C402">
        <v>54</v>
      </c>
      <c r="D402" t="s">
        <v>153</v>
      </c>
      <c r="E402" t="str">
        <f t="shared" si="6"/>
        <v>1254SC03PT</v>
      </c>
      <c r="F402">
        <f>VLOOKUP(B402,Course!$A$2:$R$329,2,FALSE)</f>
        <v>0</v>
      </c>
      <c r="G402">
        <f>VLOOKUP(B402, Course!$A$2:$L$150, 8, FALSE)</f>
        <v>12</v>
      </c>
      <c r="H402">
        <v>3</v>
      </c>
      <c r="I402">
        <v>1</v>
      </c>
      <c r="K402" t="s">
        <v>1581</v>
      </c>
      <c r="L402" t="str">
        <f>VLOOKUP(B402, Course!$A$1:$O$133, 14, FALSE)</f>
        <v>SC</v>
      </c>
      <c r="M402">
        <v>1</v>
      </c>
    </row>
    <row r="403" spans="1:13" x14ac:dyDescent="0.2">
      <c r="A403">
        <v>402</v>
      </c>
      <c r="B403">
        <v>34</v>
      </c>
      <c r="C403">
        <v>55</v>
      </c>
      <c r="D403" t="s">
        <v>153</v>
      </c>
      <c r="E403" t="str">
        <f t="shared" si="6"/>
        <v>1255SC03PT</v>
      </c>
      <c r="F403">
        <f>VLOOKUP(B403,Course!$A$2:$R$329,2,FALSE)</f>
        <v>0</v>
      </c>
      <c r="G403">
        <f>VLOOKUP(B403, Course!$A$2:$L$150, 8, FALSE)</f>
        <v>12</v>
      </c>
      <c r="H403">
        <v>3</v>
      </c>
      <c r="I403">
        <v>1</v>
      </c>
      <c r="K403" t="s">
        <v>1581</v>
      </c>
      <c r="L403" t="str">
        <f>VLOOKUP(B403, Course!$A$1:$O$133, 14, FALSE)</f>
        <v>SC</v>
      </c>
      <c r="M403">
        <v>1</v>
      </c>
    </row>
    <row r="404" spans="1:13" x14ac:dyDescent="0.2">
      <c r="A404">
        <v>403</v>
      </c>
      <c r="B404">
        <v>34</v>
      </c>
      <c r="C404">
        <v>56</v>
      </c>
      <c r="D404" t="s">
        <v>153</v>
      </c>
      <c r="E404" t="str">
        <f t="shared" si="6"/>
        <v>1256SC03PT</v>
      </c>
      <c r="F404">
        <f>VLOOKUP(B404,Course!$A$2:$R$329,2,FALSE)</f>
        <v>0</v>
      </c>
      <c r="G404">
        <f>VLOOKUP(B404, Course!$A$2:$L$150, 8, FALSE)</f>
        <v>12</v>
      </c>
      <c r="H404">
        <v>3</v>
      </c>
      <c r="I404">
        <v>1</v>
      </c>
      <c r="K404" t="s">
        <v>1581</v>
      </c>
      <c r="L404" t="str">
        <f>VLOOKUP(B404, Course!$A$1:$O$133, 14, FALSE)</f>
        <v>SC</v>
      </c>
      <c r="M404">
        <v>1</v>
      </c>
    </row>
    <row r="405" spans="1:13" x14ac:dyDescent="0.2">
      <c r="A405">
        <v>404</v>
      </c>
      <c r="B405">
        <v>34</v>
      </c>
      <c r="C405">
        <v>57</v>
      </c>
      <c r="D405" t="s">
        <v>153</v>
      </c>
      <c r="E405" t="str">
        <f t="shared" si="6"/>
        <v>1257SC03PT</v>
      </c>
      <c r="F405">
        <f>VLOOKUP(B405,Course!$A$2:$R$329,2,FALSE)</f>
        <v>0</v>
      </c>
      <c r="G405">
        <f>VLOOKUP(B405, Course!$A$2:$L$150, 8, FALSE)</f>
        <v>12</v>
      </c>
      <c r="H405">
        <v>3</v>
      </c>
      <c r="I405">
        <v>1</v>
      </c>
      <c r="K405" t="s">
        <v>1581</v>
      </c>
      <c r="L405" t="str">
        <f>VLOOKUP(B405, Course!$A$1:$O$133, 14, FALSE)</f>
        <v>SC</v>
      </c>
      <c r="M405">
        <v>1</v>
      </c>
    </row>
    <row r="406" spans="1:13" x14ac:dyDescent="0.2">
      <c r="A406">
        <v>405</v>
      </c>
      <c r="B406">
        <v>34</v>
      </c>
      <c r="C406">
        <v>58</v>
      </c>
      <c r="D406" t="s">
        <v>153</v>
      </c>
      <c r="E406" t="str">
        <f t="shared" si="6"/>
        <v>1258SC03PT</v>
      </c>
      <c r="F406">
        <f>VLOOKUP(B406,Course!$A$2:$R$329,2,FALSE)</f>
        <v>0</v>
      </c>
      <c r="G406">
        <f>VLOOKUP(B406, Course!$A$2:$L$150, 8, FALSE)</f>
        <v>12</v>
      </c>
      <c r="H406">
        <v>3</v>
      </c>
      <c r="I406">
        <v>1</v>
      </c>
      <c r="K406" t="s">
        <v>1581</v>
      </c>
      <c r="L406" t="str">
        <f>VLOOKUP(B406, Course!$A$1:$O$133, 14, FALSE)</f>
        <v>SC</v>
      </c>
      <c r="M406">
        <v>1</v>
      </c>
    </row>
    <row r="407" spans="1:13" x14ac:dyDescent="0.2">
      <c r="A407">
        <v>406</v>
      </c>
      <c r="B407">
        <v>34</v>
      </c>
      <c r="C407">
        <v>59</v>
      </c>
      <c r="D407" t="s">
        <v>153</v>
      </c>
      <c r="E407" t="str">
        <f t="shared" si="6"/>
        <v>1259SC03PT</v>
      </c>
      <c r="F407">
        <f>VLOOKUP(B407,Course!$A$2:$R$329,2,FALSE)</f>
        <v>0</v>
      </c>
      <c r="G407">
        <f>VLOOKUP(B407, Course!$A$2:$L$150, 8, FALSE)</f>
        <v>12</v>
      </c>
      <c r="H407">
        <v>3</v>
      </c>
      <c r="I407">
        <v>1</v>
      </c>
      <c r="K407" t="s">
        <v>1581</v>
      </c>
      <c r="L407" t="str">
        <f>VLOOKUP(B407, Course!$A$1:$O$133, 14, FALSE)</f>
        <v>SC</v>
      </c>
      <c r="M407">
        <v>1</v>
      </c>
    </row>
    <row r="408" spans="1:13" x14ac:dyDescent="0.2">
      <c r="A408">
        <v>407</v>
      </c>
      <c r="B408">
        <v>34</v>
      </c>
      <c r="C408">
        <v>60</v>
      </c>
      <c r="D408" t="s">
        <v>153</v>
      </c>
      <c r="E408" t="str">
        <f t="shared" si="6"/>
        <v>1260SC03PT</v>
      </c>
      <c r="F408">
        <f>VLOOKUP(B408,Course!$A$2:$R$329,2,FALSE)</f>
        <v>0</v>
      </c>
      <c r="G408">
        <f>VLOOKUP(B408, Course!$A$2:$L$150, 8, FALSE)</f>
        <v>12</v>
      </c>
      <c r="H408">
        <v>3</v>
      </c>
      <c r="I408">
        <v>1</v>
      </c>
      <c r="K408" t="s">
        <v>1581</v>
      </c>
      <c r="L408" t="str">
        <f>VLOOKUP(B408, Course!$A$1:$O$133, 14, FALSE)</f>
        <v>SC</v>
      </c>
      <c r="M408">
        <v>1</v>
      </c>
    </row>
    <row r="409" spans="1:13" x14ac:dyDescent="0.2">
      <c r="A409">
        <v>408</v>
      </c>
      <c r="B409">
        <v>35</v>
      </c>
      <c r="C409">
        <v>49</v>
      </c>
      <c r="D409" t="s">
        <v>156</v>
      </c>
      <c r="E409" t="str">
        <f t="shared" si="6"/>
        <v>1249SS03PT</v>
      </c>
      <c r="F409">
        <f>VLOOKUP(B409,Course!$A$2:$R$329,2,FALSE)</f>
        <v>0</v>
      </c>
      <c r="G409">
        <f>VLOOKUP(B409, Course!$A$2:$L$150, 8, FALSE)</f>
        <v>12</v>
      </c>
      <c r="H409">
        <v>3</v>
      </c>
      <c r="I409">
        <v>1</v>
      </c>
      <c r="K409" t="s">
        <v>1581</v>
      </c>
      <c r="L409" t="str">
        <f>VLOOKUP(B409, Course!$A$1:$O$133, 14, FALSE)</f>
        <v>SS</v>
      </c>
      <c r="M409">
        <v>1</v>
      </c>
    </row>
    <row r="410" spans="1:13" x14ac:dyDescent="0.2">
      <c r="A410">
        <v>409</v>
      </c>
      <c r="B410">
        <v>35</v>
      </c>
      <c r="C410">
        <v>50</v>
      </c>
      <c r="D410" t="s">
        <v>156</v>
      </c>
      <c r="E410" t="str">
        <f t="shared" si="6"/>
        <v>1250SS03PT</v>
      </c>
      <c r="F410">
        <f>VLOOKUP(B410,Course!$A$2:$R$329,2,FALSE)</f>
        <v>0</v>
      </c>
      <c r="G410">
        <f>VLOOKUP(B410, Course!$A$2:$L$150, 8, FALSE)</f>
        <v>12</v>
      </c>
      <c r="H410">
        <v>3</v>
      </c>
      <c r="I410">
        <v>1</v>
      </c>
      <c r="K410" t="s">
        <v>1581</v>
      </c>
      <c r="L410" t="str">
        <f>VLOOKUP(B410, Course!$A$1:$O$133, 14, FALSE)</f>
        <v>SS</v>
      </c>
      <c r="M410">
        <v>1</v>
      </c>
    </row>
    <row r="411" spans="1:13" x14ac:dyDescent="0.2">
      <c r="A411">
        <v>410</v>
      </c>
      <c r="B411">
        <v>35</v>
      </c>
      <c r="C411">
        <v>51</v>
      </c>
      <c r="D411" t="s">
        <v>156</v>
      </c>
      <c r="E411" t="str">
        <f t="shared" si="6"/>
        <v>1251SS03PT</v>
      </c>
      <c r="F411">
        <f>VLOOKUP(B411,Course!$A$2:$R$329,2,FALSE)</f>
        <v>0</v>
      </c>
      <c r="G411">
        <f>VLOOKUP(B411, Course!$A$2:$L$150, 8, FALSE)</f>
        <v>12</v>
      </c>
      <c r="H411">
        <v>3</v>
      </c>
      <c r="I411">
        <v>1</v>
      </c>
      <c r="K411" t="s">
        <v>1581</v>
      </c>
      <c r="L411" t="str">
        <f>VLOOKUP(B411, Course!$A$1:$O$133, 14, FALSE)</f>
        <v>SS</v>
      </c>
      <c r="M411">
        <v>1</v>
      </c>
    </row>
    <row r="412" spans="1:13" x14ac:dyDescent="0.2">
      <c r="A412">
        <v>411</v>
      </c>
      <c r="B412">
        <v>35</v>
      </c>
      <c r="C412">
        <v>52</v>
      </c>
      <c r="D412" t="s">
        <v>156</v>
      </c>
      <c r="E412" t="str">
        <f t="shared" si="6"/>
        <v>1252SS03PT</v>
      </c>
      <c r="F412">
        <f>VLOOKUP(B412,Course!$A$2:$R$329,2,FALSE)</f>
        <v>0</v>
      </c>
      <c r="G412">
        <f>VLOOKUP(B412, Course!$A$2:$L$150, 8, FALSE)</f>
        <v>12</v>
      </c>
      <c r="H412">
        <v>3</v>
      </c>
      <c r="I412">
        <v>1</v>
      </c>
      <c r="K412" t="s">
        <v>1581</v>
      </c>
      <c r="L412" t="str">
        <f>VLOOKUP(B412, Course!$A$1:$O$133, 14, FALSE)</f>
        <v>SS</v>
      </c>
      <c r="M412">
        <v>1</v>
      </c>
    </row>
    <row r="413" spans="1:13" x14ac:dyDescent="0.2">
      <c r="A413">
        <v>412</v>
      </c>
      <c r="B413">
        <v>35</v>
      </c>
      <c r="C413">
        <v>53</v>
      </c>
      <c r="D413" t="s">
        <v>156</v>
      </c>
      <c r="E413" t="str">
        <f t="shared" si="6"/>
        <v>1253SS03PT</v>
      </c>
      <c r="F413">
        <f>VLOOKUP(B413,Course!$A$2:$R$329,2,FALSE)</f>
        <v>0</v>
      </c>
      <c r="G413">
        <f>VLOOKUP(B413, Course!$A$2:$L$150, 8, FALSE)</f>
        <v>12</v>
      </c>
      <c r="H413">
        <v>3</v>
      </c>
      <c r="I413">
        <v>1</v>
      </c>
      <c r="K413" t="s">
        <v>1581</v>
      </c>
      <c r="L413" t="str">
        <f>VLOOKUP(B413, Course!$A$1:$O$133, 14, FALSE)</f>
        <v>SS</v>
      </c>
      <c r="M413">
        <v>1</v>
      </c>
    </row>
    <row r="414" spans="1:13" x14ac:dyDescent="0.2">
      <c r="A414">
        <v>413</v>
      </c>
      <c r="B414">
        <v>35</v>
      </c>
      <c r="C414">
        <v>54</v>
      </c>
      <c r="D414" t="s">
        <v>156</v>
      </c>
      <c r="E414" t="str">
        <f t="shared" si="6"/>
        <v>1254SS03PT</v>
      </c>
      <c r="F414">
        <f>VLOOKUP(B414,Course!$A$2:$R$329,2,FALSE)</f>
        <v>0</v>
      </c>
      <c r="G414">
        <f>VLOOKUP(B414, Course!$A$2:$L$150, 8, FALSE)</f>
        <v>12</v>
      </c>
      <c r="H414">
        <v>3</v>
      </c>
      <c r="I414">
        <v>1</v>
      </c>
      <c r="K414" t="s">
        <v>1581</v>
      </c>
      <c r="L414" t="str">
        <f>VLOOKUP(B414, Course!$A$1:$O$133, 14, FALSE)</f>
        <v>SS</v>
      </c>
      <c r="M414">
        <v>1</v>
      </c>
    </row>
    <row r="415" spans="1:13" x14ac:dyDescent="0.2">
      <c r="A415">
        <v>414</v>
      </c>
      <c r="B415">
        <v>35</v>
      </c>
      <c r="C415">
        <v>55</v>
      </c>
      <c r="D415" t="s">
        <v>156</v>
      </c>
      <c r="E415" t="str">
        <f t="shared" si="6"/>
        <v>1255SS03PT</v>
      </c>
      <c r="F415">
        <f>VLOOKUP(B415,Course!$A$2:$R$329,2,FALSE)</f>
        <v>0</v>
      </c>
      <c r="G415">
        <f>VLOOKUP(B415, Course!$A$2:$L$150, 8, FALSE)</f>
        <v>12</v>
      </c>
      <c r="H415">
        <v>3</v>
      </c>
      <c r="I415">
        <v>1</v>
      </c>
      <c r="K415" t="s">
        <v>1581</v>
      </c>
      <c r="L415" t="str">
        <f>VLOOKUP(B415, Course!$A$1:$O$133, 14, FALSE)</f>
        <v>SS</v>
      </c>
      <c r="M415">
        <v>1</v>
      </c>
    </row>
    <row r="416" spans="1:13" x14ac:dyDescent="0.2">
      <c r="A416">
        <v>415</v>
      </c>
      <c r="B416">
        <v>35</v>
      </c>
      <c r="C416">
        <v>56</v>
      </c>
      <c r="D416" t="s">
        <v>156</v>
      </c>
      <c r="E416" t="str">
        <f t="shared" si="6"/>
        <v>1256SS03PT</v>
      </c>
      <c r="F416">
        <f>VLOOKUP(B416,Course!$A$2:$R$329,2,FALSE)</f>
        <v>0</v>
      </c>
      <c r="G416">
        <f>VLOOKUP(B416, Course!$A$2:$L$150, 8, FALSE)</f>
        <v>12</v>
      </c>
      <c r="H416">
        <v>3</v>
      </c>
      <c r="I416">
        <v>1</v>
      </c>
      <c r="K416" t="s">
        <v>1581</v>
      </c>
      <c r="L416" t="str">
        <f>VLOOKUP(B416, Course!$A$1:$O$133, 14, FALSE)</f>
        <v>SS</v>
      </c>
      <c r="M416">
        <v>1</v>
      </c>
    </row>
    <row r="417" spans="1:13" x14ac:dyDescent="0.2">
      <c r="A417">
        <v>416</v>
      </c>
      <c r="B417">
        <v>35</v>
      </c>
      <c r="C417">
        <v>57</v>
      </c>
      <c r="D417" t="s">
        <v>156</v>
      </c>
      <c r="E417" t="str">
        <f t="shared" si="6"/>
        <v>1257SS03PT</v>
      </c>
      <c r="F417">
        <f>VLOOKUP(B417,Course!$A$2:$R$329,2,FALSE)</f>
        <v>0</v>
      </c>
      <c r="G417">
        <f>VLOOKUP(B417, Course!$A$2:$L$150, 8, FALSE)</f>
        <v>12</v>
      </c>
      <c r="H417">
        <v>3</v>
      </c>
      <c r="I417">
        <v>1</v>
      </c>
      <c r="K417" t="s">
        <v>1581</v>
      </c>
      <c r="L417" t="str">
        <f>VLOOKUP(B417, Course!$A$1:$O$133, 14, FALSE)</f>
        <v>SS</v>
      </c>
      <c r="M417">
        <v>1</v>
      </c>
    </row>
    <row r="418" spans="1:13" x14ac:dyDescent="0.2">
      <c r="A418">
        <v>417</v>
      </c>
      <c r="B418">
        <v>35</v>
      </c>
      <c r="C418">
        <v>58</v>
      </c>
      <c r="D418" t="s">
        <v>156</v>
      </c>
      <c r="E418" t="str">
        <f t="shared" si="6"/>
        <v>1258SS03PT</v>
      </c>
      <c r="F418">
        <f>VLOOKUP(B418,Course!$A$2:$R$329,2,FALSE)</f>
        <v>0</v>
      </c>
      <c r="G418">
        <f>VLOOKUP(B418, Course!$A$2:$L$150, 8, FALSE)</f>
        <v>12</v>
      </c>
      <c r="H418">
        <v>3</v>
      </c>
      <c r="I418">
        <v>1</v>
      </c>
      <c r="K418" t="s">
        <v>1581</v>
      </c>
      <c r="L418" t="str">
        <f>VLOOKUP(B418, Course!$A$1:$O$133, 14, FALSE)</f>
        <v>SS</v>
      </c>
      <c r="M418">
        <v>1</v>
      </c>
    </row>
    <row r="419" spans="1:13" x14ac:dyDescent="0.2">
      <c r="A419">
        <v>418</v>
      </c>
      <c r="B419">
        <v>35</v>
      </c>
      <c r="C419">
        <v>59</v>
      </c>
      <c r="D419" t="s">
        <v>156</v>
      </c>
      <c r="E419" t="str">
        <f t="shared" si="6"/>
        <v>1259SS03PT</v>
      </c>
      <c r="F419">
        <f>VLOOKUP(B419,Course!$A$2:$R$329,2,FALSE)</f>
        <v>0</v>
      </c>
      <c r="G419">
        <f>VLOOKUP(B419, Course!$A$2:$L$150, 8, FALSE)</f>
        <v>12</v>
      </c>
      <c r="H419">
        <v>3</v>
      </c>
      <c r="I419">
        <v>1</v>
      </c>
      <c r="K419" t="s">
        <v>1581</v>
      </c>
      <c r="L419" t="str">
        <f>VLOOKUP(B419, Course!$A$1:$O$133, 14, FALSE)</f>
        <v>SS</v>
      </c>
      <c r="M419">
        <v>1</v>
      </c>
    </row>
    <row r="420" spans="1:13" x14ac:dyDescent="0.2">
      <c r="A420">
        <v>419</v>
      </c>
      <c r="B420">
        <v>35</v>
      </c>
      <c r="C420">
        <v>60</v>
      </c>
      <c r="D420" t="s">
        <v>156</v>
      </c>
      <c r="E420" t="str">
        <f t="shared" si="6"/>
        <v>1260SS03PT</v>
      </c>
      <c r="F420">
        <f>VLOOKUP(B420,Course!$A$2:$R$329,2,FALSE)</f>
        <v>0</v>
      </c>
      <c r="G420">
        <f>VLOOKUP(B420, Course!$A$2:$L$150, 8, FALSE)</f>
        <v>12</v>
      </c>
      <c r="H420">
        <v>3</v>
      </c>
      <c r="I420">
        <v>1</v>
      </c>
      <c r="K420" t="s">
        <v>1581</v>
      </c>
      <c r="L420" t="str">
        <f>VLOOKUP(B420, Course!$A$1:$O$133, 14, FALSE)</f>
        <v>SS</v>
      </c>
      <c r="M420">
        <v>1</v>
      </c>
    </row>
    <row r="421" spans="1:13" x14ac:dyDescent="0.2">
      <c r="A421">
        <v>420</v>
      </c>
      <c r="B421">
        <v>36</v>
      </c>
      <c r="C421">
        <v>49</v>
      </c>
      <c r="D421" t="s">
        <v>231</v>
      </c>
      <c r="E421" t="str">
        <f t="shared" si="6"/>
        <v>1249BR03PT</v>
      </c>
      <c r="F421">
        <f>VLOOKUP(B421,Course!$A$2:$R$329,2,FALSE)</f>
        <v>0</v>
      </c>
      <c r="G421">
        <f>VLOOKUP(B421, Course!$A$2:$L$150, 8, FALSE)</f>
        <v>12</v>
      </c>
      <c r="H421">
        <v>3</v>
      </c>
      <c r="I421">
        <v>1</v>
      </c>
      <c r="K421" t="s">
        <v>1581</v>
      </c>
      <c r="L421" t="str">
        <f>VLOOKUP(B421, Course!$A$1:$O$133, 14, FALSE)</f>
        <v>BR</v>
      </c>
      <c r="M421">
        <v>1</v>
      </c>
    </row>
    <row r="422" spans="1:13" x14ac:dyDescent="0.2">
      <c r="A422">
        <v>421</v>
      </c>
      <c r="B422">
        <v>36</v>
      </c>
      <c r="C422">
        <v>50</v>
      </c>
      <c r="D422" t="s">
        <v>231</v>
      </c>
      <c r="E422" t="str">
        <f t="shared" si="6"/>
        <v>1250BR03PT</v>
      </c>
      <c r="F422">
        <f>VLOOKUP(B422,Course!$A$2:$R$329,2,FALSE)</f>
        <v>0</v>
      </c>
      <c r="G422">
        <f>VLOOKUP(B422, Course!$A$2:$L$150, 8, FALSE)</f>
        <v>12</v>
      </c>
      <c r="H422">
        <v>3</v>
      </c>
      <c r="I422">
        <v>1</v>
      </c>
      <c r="K422" t="s">
        <v>1581</v>
      </c>
      <c r="L422" t="str">
        <f>VLOOKUP(B422, Course!$A$1:$O$133, 14, FALSE)</f>
        <v>BR</v>
      </c>
      <c r="M422">
        <v>1</v>
      </c>
    </row>
    <row r="423" spans="1:13" x14ac:dyDescent="0.2">
      <c r="A423">
        <v>422</v>
      </c>
      <c r="B423">
        <v>36</v>
      </c>
      <c r="C423">
        <v>51</v>
      </c>
      <c r="D423" t="s">
        <v>231</v>
      </c>
      <c r="E423" t="str">
        <f t="shared" si="6"/>
        <v>1251BR03PT</v>
      </c>
      <c r="F423">
        <f>VLOOKUP(B423,Course!$A$2:$R$329,2,FALSE)</f>
        <v>0</v>
      </c>
      <c r="G423">
        <f>VLOOKUP(B423, Course!$A$2:$L$150, 8, FALSE)</f>
        <v>12</v>
      </c>
      <c r="H423">
        <v>3</v>
      </c>
      <c r="I423">
        <v>1</v>
      </c>
      <c r="K423" t="s">
        <v>1581</v>
      </c>
      <c r="L423" t="str">
        <f>VLOOKUP(B423, Course!$A$1:$O$133, 14, FALSE)</f>
        <v>BR</v>
      </c>
      <c r="M423">
        <v>1</v>
      </c>
    </row>
    <row r="424" spans="1:13" x14ac:dyDescent="0.2">
      <c r="A424">
        <v>423</v>
      </c>
      <c r="B424">
        <v>36</v>
      </c>
      <c r="C424">
        <v>52</v>
      </c>
      <c r="D424" t="s">
        <v>231</v>
      </c>
      <c r="E424" t="str">
        <f t="shared" si="6"/>
        <v>1252BR03PT</v>
      </c>
      <c r="F424">
        <f>VLOOKUP(B424,Course!$A$2:$R$329,2,FALSE)</f>
        <v>0</v>
      </c>
      <c r="G424">
        <f>VLOOKUP(B424, Course!$A$2:$L$150, 8, FALSE)</f>
        <v>12</v>
      </c>
      <c r="H424">
        <v>3</v>
      </c>
      <c r="I424">
        <v>1</v>
      </c>
      <c r="K424" t="s">
        <v>1581</v>
      </c>
      <c r="L424" t="str">
        <f>VLOOKUP(B424, Course!$A$1:$O$133, 14, FALSE)</f>
        <v>BR</v>
      </c>
      <c r="M424">
        <v>1</v>
      </c>
    </row>
    <row r="425" spans="1:13" x14ac:dyDescent="0.2">
      <c r="A425">
        <v>424</v>
      </c>
      <c r="B425">
        <v>36</v>
      </c>
      <c r="C425">
        <v>53</v>
      </c>
      <c r="D425" t="s">
        <v>231</v>
      </c>
      <c r="E425" t="str">
        <f t="shared" si="6"/>
        <v>1253BR03PT</v>
      </c>
      <c r="F425">
        <f>VLOOKUP(B425,Course!$A$2:$R$329,2,FALSE)</f>
        <v>0</v>
      </c>
      <c r="G425">
        <f>VLOOKUP(B425, Course!$A$2:$L$150, 8, FALSE)</f>
        <v>12</v>
      </c>
      <c r="H425">
        <v>3</v>
      </c>
      <c r="I425">
        <v>1</v>
      </c>
      <c r="K425" t="s">
        <v>1581</v>
      </c>
      <c r="L425" t="str">
        <f>VLOOKUP(B425, Course!$A$1:$O$133, 14, FALSE)</f>
        <v>BR</v>
      </c>
      <c r="M425">
        <v>1</v>
      </c>
    </row>
    <row r="426" spans="1:13" x14ac:dyDescent="0.2">
      <c r="A426">
        <v>425</v>
      </c>
      <c r="B426">
        <v>36</v>
      </c>
      <c r="C426">
        <v>54</v>
      </c>
      <c r="D426" t="s">
        <v>231</v>
      </c>
      <c r="E426" t="str">
        <f t="shared" si="6"/>
        <v>1254BR03PT</v>
      </c>
      <c r="F426">
        <f>VLOOKUP(B426,Course!$A$2:$R$329,2,FALSE)</f>
        <v>0</v>
      </c>
      <c r="G426">
        <f>VLOOKUP(B426, Course!$A$2:$L$150, 8, FALSE)</f>
        <v>12</v>
      </c>
      <c r="H426">
        <v>3</v>
      </c>
      <c r="I426">
        <v>1</v>
      </c>
      <c r="K426" t="s">
        <v>1581</v>
      </c>
      <c r="L426" t="str">
        <f>VLOOKUP(B426, Course!$A$1:$O$133, 14, FALSE)</f>
        <v>BR</v>
      </c>
      <c r="M426">
        <v>1</v>
      </c>
    </row>
    <row r="427" spans="1:13" x14ac:dyDescent="0.2">
      <c r="A427">
        <v>426</v>
      </c>
      <c r="B427">
        <v>36</v>
      </c>
      <c r="C427">
        <v>55</v>
      </c>
      <c r="D427" t="s">
        <v>231</v>
      </c>
      <c r="E427" t="str">
        <f t="shared" si="6"/>
        <v>1255BR03PT</v>
      </c>
      <c r="F427">
        <f>VLOOKUP(B427,Course!$A$2:$R$329,2,FALSE)</f>
        <v>0</v>
      </c>
      <c r="G427">
        <f>VLOOKUP(B427, Course!$A$2:$L$150, 8, FALSE)</f>
        <v>12</v>
      </c>
      <c r="H427">
        <v>3</v>
      </c>
      <c r="I427">
        <v>1</v>
      </c>
      <c r="K427" t="s">
        <v>1581</v>
      </c>
      <c r="L427" t="str">
        <f>VLOOKUP(B427, Course!$A$1:$O$133, 14, FALSE)</f>
        <v>BR</v>
      </c>
      <c r="M427">
        <v>1</v>
      </c>
    </row>
    <row r="428" spans="1:13" x14ac:dyDescent="0.2">
      <c r="A428">
        <v>427</v>
      </c>
      <c r="B428">
        <v>36</v>
      </c>
      <c r="C428">
        <v>56</v>
      </c>
      <c r="D428" t="s">
        <v>231</v>
      </c>
      <c r="E428" t="str">
        <f t="shared" si="6"/>
        <v>1256BR03PT</v>
      </c>
      <c r="F428">
        <f>VLOOKUP(B428,Course!$A$2:$R$329,2,FALSE)</f>
        <v>0</v>
      </c>
      <c r="G428">
        <f>VLOOKUP(B428, Course!$A$2:$L$150, 8, FALSE)</f>
        <v>12</v>
      </c>
      <c r="H428">
        <v>3</v>
      </c>
      <c r="I428">
        <v>1</v>
      </c>
      <c r="K428" t="s">
        <v>1581</v>
      </c>
      <c r="L428" t="str">
        <f>VLOOKUP(B428, Course!$A$1:$O$133, 14, FALSE)</f>
        <v>BR</v>
      </c>
      <c r="M428">
        <v>1</v>
      </c>
    </row>
    <row r="429" spans="1:13" x14ac:dyDescent="0.2">
      <c r="A429">
        <v>428</v>
      </c>
      <c r="B429">
        <v>36</v>
      </c>
      <c r="C429">
        <v>57</v>
      </c>
      <c r="D429" t="s">
        <v>231</v>
      </c>
      <c r="E429" t="str">
        <f t="shared" si="6"/>
        <v>1257BR03PT</v>
      </c>
      <c r="F429">
        <f>VLOOKUP(B429,Course!$A$2:$R$329,2,FALSE)</f>
        <v>0</v>
      </c>
      <c r="G429">
        <f>VLOOKUP(B429, Course!$A$2:$L$150, 8, FALSE)</f>
        <v>12</v>
      </c>
      <c r="H429">
        <v>3</v>
      </c>
      <c r="I429">
        <v>1</v>
      </c>
      <c r="K429" t="s">
        <v>1581</v>
      </c>
      <c r="L429" t="str">
        <f>VLOOKUP(B429, Course!$A$1:$O$133, 14, FALSE)</f>
        <v>BR</v>
      </c>
      <c r="M429">
        <v>1</v>
      </c>
    </row>
    <row r="430" spans="1:13" x14ac:dyDescent="0.2">
      <c r="A430">
        <v>429</v>
      </c>
      <c r="B430">
        <v>36</v>
      </c>
      <c r="C430">
        <v>58</v>
      </c>
      <c r="D430" t="s">
        <v>231</v>
      </c>
      <c r="E430" t="str">
        <f t="shared" si="6"/>
        <v>1258BR03PT</v>
      </c>
      <c r="F430">
        <f>VLOOKUP(B430,Course!$A$2:$R$329,2,FALSE)</f>
        <v>0</v>
      </c>
      <c r="G430">
        <f>VLOOKUP(B430, Course!$A$2:$L$150, 8, FALSE)</f>
        <v>12</v>
      </c>
      <c r="H430">
        <v>3</v>
      </c>
      <c r="I430">
        <v>1</v>
      </c>
      <c r="K430" t="s">
        <v>1581</v>
      </c>
      <c r="L430" t="str">
        <f>VLOOKUP(B430, Course!$A$1:$O$133, 14, FALSE)</f>
        <v>BR</v>
      </c>
      <c r="M430">
        <v>1</v>
      </c>
    </row>
    <row r="431" spans="1:13" x14ac:dyDescent="0.2">
      <c r="A431">
        <v>430</v>
      </c>
      <c r="B431">
        <v>36</v>
      </c>
      <c r="C431">
        <v>59</v>
      </c>
      <c r="D431" t="s">
        <v>231</v>
      </c>
      <c r="E431" t="str">
        <f t="shared" si="6"/>
        <v>1259BR03PT</v>
      </c>
      <c r="F431">
        <f>VLOOKUP(B431,Course!$A$2:$R$329,2,FALSE)</f>
        <v>0</v>
      </c>
      <c r="G431">
        <f>VLOOKUP(B431, Course!$A$2:$L$150, 8, FALSE)</f>
        <v>12</v>
      </c>
      <c r="H431">
        <v>3</v>
      </c>
      <c r="I431">
        <v>1</v>
      </c>
      <c r="K431" t="s">
        <v>1581</v>
      </c>
      <c r="L431" t="str">
        <f>VLOOKUP(B431, Course!$A$1:$O$133, 14, FALSE)</f>
        <v>BR</v>
      </c>
      <c r="M431">
        <v>1</v>
      </c>
    </row>
    <row r="432" spans="1:13" x14ac:dyDescent="0.2">
      <c r="A432">
        <v>431</v>
      </c>
      <c r="B432">
        <v>36</v>
      </c>
      <c r="C432">
        <v>60</v>
      </c>
      <c r="D432" t="s">
        <v>231</v>
      </c>
      <c r="E432" t="str">
        <f t="shared" si="6"/>
        <v>1260BR03PT</v>
      </c>
      <c r="F432">
        <f>VLOOKUP(B432,Course!$A$2:$R$329,2,FALSE)</f>
        <v>0</v>
      </c>
      <c r="G432">
        <f>VLOOKUP(B432, Course!$A$2:$L$150, 8, FALSE)</f>
        <v>12</v>
      </c>
      <c r="H432">
        <v>3</v>
      </c>
      <c r="I432">
        <v>1</v>
      </c>
      <c r="K432" t="s">
        <v>1581</v>
      </c>
      <c r="L432" t="str">
        <f>VLOOKUP(B432, Course!$A$1:$O$133, 14, FALSE)</f>
        <v>BR</v>
      </c>
      <c r="M432">
        <v>1</v>
      </c>
    </row>
    <row r="433" spans="1:13" x14ac:dyDescent="0.2">
      <c r="A433">
        <v>432</v>
      </c>
      <c r="B433">
        <v>37</v>
      </c>
      <c r="C433">
        <v>61</v>
      </c>
      <c r="D433" t="s">
        <v>141</v>
      </c>
      <c r="E433" t="str">
        <f t="shared" si="6"/>
        <v>1261MA03PT</v>
      </c>
      <c r="F433">
        <f>VLOOKUP(B433,Course!$A$2:$R$329,2,FALSE)</f>
        <v>0</v>
      </c>
      <c r="G433">
        <f>VLOOKUP(B433, Course!$A$2:$L$150, 8, FALSE)</f>
        <v>12</v>
      </c>
      <c r="H433">
        <v>3</v>
      </c>
      <c r="I433">
        <v>1</v>
      </c>
      <c r="K433" t="s">
        <v>1581</v>
      </c>
      <c r="L433" t="str">
        <f>VLOOKUP(B433, Course!$A$1:$O$133, 14, FALSE)</f>
        <v>MA</v>
      </c>
      <c r="M433">
        <v>1</v>
      </c>
    </row>
    <row r="434" spans="1:13" x14ac:dyDescent="0.2">
      <c r="A434">
        <v>433</v>
      </c>
      <c r="B434">
        <v>37</v>
      </c>
      <c r="C434">
        <v>62</v>
      </c>
      <c r="D434" t="s">
        <v>141</v>
      </c>
      <c r="E434" t="str">
        <f t="shared" si="6"/>
        <v>1262MA03PT</v>
      </c>
      <c r="F434">
        <f>VLOOKUP(B434,Course!$A$2:$R$329,2,FALSE)</f>
        <v>0</v>
      </c>
      <c r="G434">
        <f>VLOOKUP(B434, Course!$A$2:$L$150, 8, FALSE)</f>
        <v>12</v>
      </c>
      <c r="H434">
        <v>3</v>
      </c>
      <c r="I434">
        <v>1</v>
      </c>
      <c r="K434" t="s">
        <v>1581</v>
      </c>
      <c r="L434" t="str">
        <f>VLOOKUP(B434, Course!$A$1:$O$133, 14, FALSE)</f>
        <v>MA</v>
      </c>
      <c r="M434">
        <v>1</v>
      </c>
    </row>
    <row r="435" spans="1:13" x14ac:dyDescent="0.2">
      <c r="A435">
        <v>434</v>
      </c>
      <c r="B435">
        <v>37</v>
      </c>
      <c r="C435">
        <v>63</v>
      </c>
      <c r="D435" t="s">
        <v>141</v>
      </c>
      <c r="E435" t="str">
        <f t="shared" si="6"/>
        <v>1263MA03PT</v>
      </c>
      <c r="F435">
        <f>VLOOKUP(B435,Course!$A$2:$R$329,2,FALSE)</f>
        <v>0</v>
      </c>
      <c r="G435">
        <f>VLOOKUP(B435, Course!$A$2:$L$150, 8, FALSE)</f>
        <v>12</v>
      </c>
      <c r="H435">
        <v>3</v>
      </c>
      <c r="I435">
        <v>1</v>
      </c>
      <c r="K435" t="s">
        <v>1581</v>
      </c>
      <c r="L435" t="str">
        <f>VLOOKUP(B435, Course!$A$1:$O$133, 14, FALSE)</f>
        <v>MA</v>
      </c>
      <c r="M435">
        <v>1</v>
      </c>
    </row>
    <row r="436" spans="1:13" x14ac:dyDescent="0.2">
      <c r="A436">
        <v>435</v>
      </c>
      <c r="B436">
        <v>37</v>
      </c>
      <c r="C436">
        <v>64</v>
      </c>
      <c r="D436" t="s">
        <v>141</v>
      </c>
      <c r="E436" t="str">
        <f t="shared" si="6"/>
        <v>1264MA03PT</v>
      </c>
      <c r="F436">
        <f>VLOOKUP(B436,Course!$A$2:$R$329,2,FALSE)</f>
        <v>0</v>
      </c>
      <c r="G436">
        <f>VLOOKUP(B436, Course!$A$2:$L$150, 8, FALSE)</f>
        <v>12</v>
      </c>
      <c r="H436">
        <v>3</v>
      </c>
      <c r="I436">
        <v>1</v>
      </c>
      <c r="K436" t="s">
        <v>1581</v>
      </c>
      <c r="L436" t="str">
        <f>VLOOKUP(B436, Course!$A$1:$O$133, 14, FALSE)</f>
        <v>MA</v>
      </c>
      <c r="M436">
        <v>1</v>
      </c>
    </row>
    <row r="437" spans="1:13" x14ac:dyDescent="0.2">
      <c r="A437">
        <v>436</v>
      </c>
      <c r="B437">
        <v>37</v>
      </c>
      <c r="C437">
        <v>65</v>
      </c>
      <c r="D437" t="s">
        <v>141</v>
      </c>
      <c r="E437" t="str">
        <f t="shared" si="6"/>
        <v>1265MA03PT</v>
      </c>
      <c r="F437">
        <f>VLOOKUP(B437,Course!$A$2:$R$329,2,FALSE)</f>
        <v>0</v>
      </c>
      <c r="G437">
        <f>VLOOKUP(B437, Course!$A$2:$L$150, 8, FALSE)</f>
        <v>12</v>
      </c>
      <c r="H437">
        <v>3</v>
      </c>
      <c r="I437">
        <v>1</v>
      </c>
      <c r="K437" t="s">
        <v>1581</v>
      </c>
      <c r="L437" t="str">
        <f>VLOOKUP(B437, Course!$A$1:$O$133, 14, FALSE)</f>
        <v>MA</v>
      </c>
      <c r="M437">
        <v>1</v>
      </c>
    </row>
    <row r="438" spans="1:13" x14ac:dyDescent="0.2">
      <c r="A438">
        <v>437</v>
      </c>
      <c r="B438">
        <v>37</v>
      </c>
      <c r="C438">
        <v>66</v>
      </c>
      <c r="D438" t="s">
        <v>141</v>
      </c>
      <c r="E438" t="str">
        <f t="shared" si="6"/>
        <v>1266MA03PT</v>
      </c>
      <c r="F438">
        <f>VLOOKUP(B438,Course!$A$2:$R$329,2,FALSE)</f>
        <v>0</v>
      </c>
      <c r="G438">
        <f>VLOOKUP(B438, Course!$A$2:$L$150, 8, FALSE)</f>
        <v>12</v>
      </c>
      <c r="H438">
        <v>3</v>
      </c>
      <c r="I438">
        <v>1</v>
      </c>
      <c r="K438" t="s">
        <v>1581</v>
      </c>
      <c r="L438" t="str">
        <f>VLOOKUP(B438, Course!$A$1:$O$133, 14, FALSE)</f>
        <v>MA</v>
      </c>
      <c r="M438">
        <v>1</v>
      </c>
    </row>
    <row r="439" spans="1:13" x14ac:dyDescent="0.2">
      <c r="A439">
        <v>438</v>
      </c>
      <c r="B439">
        <v>37</v>
      </c>
      <c r="C439">
        <v>67</v>
      </c>
      <c r="D439" t="s">
        <v>141</v>
      </c>
      <c r="E439" t="str">
        <f t="shared" si="6"/>
        <v>1267MA03PT</v>
      </c>
      <c r="F439">
        <f>VLOOKUP(B439,Course!$A$2:$R$329,2,FALSE)</f>
        <v>0</v>
      </c>
      <c r="G439">
        <f>VLOOKUP(B439, Course!$A$2:$L$150, 8, FALSE)</f>
        <v>12</v>
      </c>
      <c r="H439">
        <v>3</v>
      </c>
      <c r="I439">
        <v>1</v>
      </c>
      <c r="K439" t="s">
        <v>1581</v>
      </c>
      <c r="L439" t="str">
        <f>VLOOKUP(B439, Course!$A$1:$O$133, 14, FALSE)</f>
        <v>MA</v>
      </c>
      <c r="M439">
        <v>1</v>
      </c>
    </row>
    <row r="440" spans="1:13" x14ac:dyDescent="0.2">
      <c r="A440">
        <v>439</v>
      </c>
      <c r="B440">
        <v>37</v>
      </c>
      <c r="C440">
        <v>68</v>
      </c>
      <c r="D440" t="s">
        <v>141</v>
      </c>
      <c r="E440" t="str">
        <f t="shared" si="6"/>
        <v>1268MA03PT</v>
      </c>
      <c r="F440">
        <f>VLOOKUP(B440,Course!$A$2:$R$329,2,FALSE)</f>
        <v>0</v>
      </c>
      <c r="G440">
        <f>VLOOKUP(B440, Course!$A$2:$L$150, 8, FALSE)</f>
        <v>12</v>
      </c>
      <c r="H440">
        <v>3</v>
      </c>
      <c r="I440">
        <v>1</v>
      </c>
      <c r="K440" t="s">
        <v>1581</v>
      </c>
      <c r="L440" t="str">
        <f>VLOOKUP(B440, Course!$A$1:$O$133, 14, FALSE)</f>
        <v>MA</v>
      </c>
      <c r="M440">
        <v>1</v>
      </c>
    </row>
    <row r="441" spans="1:13" x14ac:dyDescent="0.2">
      <c r="A441">
        <v>440</v>
      </c>
      <c r="B441">
        <v>37</v>
      </c>
      <c r="C441">
        <v>69</v>
      </c>
      <c r="D441" t="s">
        <v>141</v>
      </c>
      <c r="E441" t="str">
        <f t="shared" si="6"/>
        <v>1269MA03PT</v>
      </c>
      <c r="F441">
        <f>VLOOKUP(B441,Course!$A$2:$R$329,2,FALSE)</f>
        <v>0</v>
      </c>
      <c r="G441">
        <f>VLOOKUP(B441, Course!$A$2:$L$150, 8, FALSE)</f>
        <v>12</v>
      </c>
      <c r="H441">
        <v>3</v>
      </c>
      <c r="I441">
        <v>1</v>
      </c>
      <c r="K441" t="s">
        <v>1581</v>
      </c>
      <c r="L441" t="str">
        <f>VLOOKUP(B441, Course!$A$1:$O$133, 14, FALSE)</f>
        <v>MA</v>
      </c>
      <c r="M441">
        <v>1</v>
      </c>
    </row>
    <row r="442" spans="1:13" x14ac:dyDescent="0.2">
      <c r="A442">
        <v>441</v>
      </c>
      <c r="B442">
        <v>37</v>
      </c>
      <c r="C442">
        <v>70</v>
      </c>
      <c r="D442" t="s">
        <v>141</v>
      </c>
      <c r="E442" t="str">
        <f t="shared" si="6"/>
        <v>1270MA03PT</v>
      </c>
      <c r="F442">
        <f>VLOOKUP(B442,Course!$A$2:$R$329,2,FALSE)</f>
        <v>0</v>
      </c>
      <c r="G442">
        <f>VLOOKUP(B442, Course!$A$2:$L$150, 8, FALSE)</f>
        <v>12</v>
      </c>
      <c r="H442">
        <v>3</v>
      </c>
      <c r="I442">
        <v>1</v>
      </c>
      <c r="K442" t="s">
        <v>1581</v>
      </c>
      <c r="L442" t="str">
        <f>VLOOKUP(B442, Course!$A$1:$O$133, 14, FALSE)</f>
        <v>MA</v>
      </c>
      <c r="M442">
        <v>1</v>
      </c>
    </row>
    <row r="443" spans="1:13" x14ac:dyDescent="0.2">
      <c r="A443">
        <v>442</v>
      </c>
      <c r="B443">
        <v>37</v>
      </c>
      <c r="C443">
        <v>71</v>
      </c>
      <c r="D443" t="s">
        <v>141</v>
      </c>
      <c r="E443" t="str">
        <f t="shared" si="6"/>
        <v>1271MA03PT</v>
      </c>
      <c r="F443">
        <f>VLOOKUP(B443,Course!$A$2:$R$329,2,FALSE)</f>
        <v>0</v>
      </c>
      <c r="G443">
        <f>VLOOKUP(B443, Course!$A$2:$L$150, 8, FALSE)</f>
        <v>12</v>
      </c>
      <c r="H443">
        <v>3</v>
      </c>
      <c r="I443">
        <v>1</v>
      </c>
      <c r="K443" t="s">
        <v>1581</v>
      </c>
      <c r="L443" t="str">
        <f>VLOOKUP(B443, Course!$A$1:$O$133, 14, FALSE)</f>
        <v>MA</v>
      </c>
      <c r="M443">
        <v>1</v>
      </c>
    </row>
    <row r="444" spans="1:13" x14ac:dyDescent="0.2">
      <c r="A444">
        <v>443</v>
      </c>
      <c r="B444">
        <v>37</v>
      </c>
      <c r="C444">
        <v>72</v>
      </c>
      <c r="D444" t="s">
        <v>141</v>
      </c>
      <c r="E444" t="str">
        <f t="shared" si="6"/>
        <v>1272MA03PT</v>
      </c>
      <c r="F444">
        <f>VLOOKUP(B444,Course!$A$2:$R$329,2,FALSE)</f>
        <v>0</v>
      </c>
      <c r="G444">
        <f>VLOOKUP(B444, Course!$A$2:$L$150, 8, FALSE)</f>
        <v>12</v>
      </c>
      <c r="H444">
        <v>3</v>
      </c>
      <c r="I444">
        <v>1</v>
      </c>
      <c r="K444" t="s">
        <v>1581</v>
      </c>
      <c r="L444" t="str">
        <f>VLOOKUP(B444, Course!$A$1:$O$133, 14, FALSE)</f>
        <v>MA</v>
      </c>
      <c r="M444">
        <v>1</v>
      </c>
    </row>
    <row r="445" spans="1:13" x14ac:dyDescent="0.2">
      <c r="A445">
        <v>444</v>
      </c>
      <c r="B445">
        <v>38</v>
      </c>
      <c r="C445">
        <v>61</v>
      </c>
      <c r="D445" t="s">
        <v>224</v>
      </c>
      <c r="E445" t="str">
        <f t="shared" si="6"/>
        <v>1261EN03PT</v>
      </c>
      <c r="F445">
        <f>VLOOKUP(B445,Course!$A$2:$R$329,2,FALSE)</f>
        <v>0</v>
      </c>
      <c r="G445">
        <f>VLOOKUP(B445, Course!$A$2:$L$150, 8, FALSE)</f>
        <v>12</v>
      </c>
      <c r="H445">
        <v>3</v>
      </c>
      <c r="I445">
        <v>1</v>
      </c>
      <c r="K445" t="s">
        <v>1581</v>
      </c>
      <c r="L445" t="str">
        <f>VLOOKUP(B445, Course!$A$1:$O$133, 14, FALSE)</f>
        <v>EN</v>
      </c>
      <c r="M445">
        <v>1</v>
      </c>
    </row>
    <row r="446" spans="1:13" x14ac:dyDescent="0.2">
      <c r="A446">
        <v>445</v>
      </c>
      <c r="B446">
        <v>38</v>
      </c>
      <c r="C446">
        <v>62</v>
      </c>
      <c r="D446" t="s">
        <v>224</v>
      </c>
      <c r="E446" t="str">
        <f t="shared" si="6"/>
        <v>1262EN03PT</v>
      </c>
      <c r="F446">
        <f>VLOOKUP(B446,Course!$A$2:$R$329,2,FALSE)</f>
        <v>0</v>
      </c>
      <c r="G446">
        <f>VLOOKUP(B446, Course!$A$2:$L$150, 8, FALSE)</f>
        <v>12</v>
      </c>
      <c r="H446">
        <v>3</v>
      </c>
      <c r="I446">
        <v>1</v>
      </c>
      <c r="K446" t="s">
        <v>1581</v>
      </c>
      <c r="L446" t="str">
        <f>VLOOKUP(B446, Course!$A$1:$O$133, 14, FALSE)</f>
        <v>EN</v>
      </c>
      <c r="M446">
        <v>1</v>
      </c>
    </row>
    <row r="447" spans="1:13" x14ac:dyDescent="0.2">
      <c r="A447">
        <v>446</v>
      </c>
      <c r="B447">
        <v>38</v>
      </c>
      <c r="C447">
        <v>63</v>
      </c>
      <c r="D447" t="s">
        <v>224</v>
      </c>
      <c r="E447" t="str">
        <f t="shared" si="6"/>
        <v>1263EN03PT</v>
      </c>
      <c r="F447">
        <f>VLOOKUP(B447,Course!$A$2:$R$329,2,FALSE)</f>
        <v>0</v>
      </c>
      <c r="G447">
        <f>VLOOKUP(B447, Course!$A$2:$L$150, 8, FALSE)</f>
        <v>12</v>
      </c>
      <c r="H447">
        <v>3</v>
      </c>
      <c r="I447">
        <v>1</v>
      </c>
      <c r="K447" t="s">
        <v>1581</v>
      </c>
      <c r="L447" t="str">
        <f>VLOOKUP(B447, Course!$A$1:$O$133, 14, FALSE)</f>
        <v>EN</v>
      </c>
      <c r="M447">
        <v>1</v>
      </c>
    </row>
    <row r="448" spans="1:13" x14ac:dyDescent="0.2">
      <c r="A448">
        <v>447</v>
      </c>
      <c r="B448">
        <v>38</v>
      </c>
      <c r="C448">
        <v>64</v>
      </c>
      <c r="D448" t="s">
        <v>224</v>
      </c>
      <c r="E448" t="str">
        <f t="shared" si="6"/>
        <v>1264EN03PT</v>
      </c>
      <c r="F448">
        <f>VLOOKUP(B448,Course!$A$2:$R$329,2,FALSE)</f>
        <v>0</v>
      </c>
      <c r="G448">
        <f>VLOOKUP(B448, Course!$A$2:$L$150, 8, FALSE)</f>
        <v>12</v>
      </c>
      <c r="H448">
        <v>3</v>
      </c>
      <c r="I448">
        <v>1</v>
      </c>
      <c r="K448" t="s">
        <v>1581</v>
      </c>
      <c r="L448" t="str">
        <f>VLOOKUP(B448, Course!$A$1:$O$133, 14, FALSE)</f>
        <v>EN</v>
      </c>
      <c r="M448">
        <v>1</v>
      </c>
    </row>
    <row r="449" spans="1:13" x14ac:dyDescent="0.2">
      <c r="A449">
        <v>448</v>
      </c>
      <c r="B449">
        <v>38</v>
      </c>
      <c r="C449">
        <v>65</v>
      </c>
      <c r="D449" t="s">
        <v>224</v>
      </c>
      <c r="E449" t="str">
        <f t="shared" si="6"/>
        <v>1265EN03PT</v>
      </c>
      <c r="F449">
        <f>VLOOKUP(B449,Course!$A$2:$R$329,2,FALSE)</f>
        <v>0</v>
      </c>
      <c r="G449">
        <f>VLOOKUP(B449, Course!$A$2:$L$150, 8, FALSE)</f>
        <v>12</v>
      </c>
      <c r="H449">
        <v>3</v>
      </c>
      <c r="I449">
        <v>1</v>
      </c>
      <c r="K449" t="s">
        <v>1581</v>
      </c>
      <c r="L449" t="str">
        <f>VLOOKUP(B449, Course!$A$1:$O$133, 14, FALSE)</f>
        <v>EN</v>
      </c>
      <c r="M449">
        <v>1</v>
      </c>
    </row>
    <row r="450" spans="1:13" x14ac:dyDescent="0.2">
      <c r="A450">
        <v>449</v>
      </c>
      <c r="B450">
        <v>38</v>
      </c>
      <c r="C450">
        <v>66</v>
      </c>
      <c r="D450" t="s">
        <v>224</v>
      </c>
      <c r="E450" t="str">
        <f t="shared" ref="E450:E513" si="7">UPPER(LEFT(G450,2)) &amp; RIGHT("0" &amp; C450, 2) &amp; D450 &amp; RIGHT("0" &amp; H450, 2) &amp; K450</f>
        <v>1266EN03PT</v>
      </c>
      <c r="F450">
        <f>VLOOKUP(B450,Course!$A$2:$R$329,2,FALSE)</f>
        <v>0</v>
      </c>
      <c r="G450">
        <f>VLOOKUP(B450, Course!$A$2:$L$150, 8, FALSE)</f>
        <v>12</v>
      </c>
      <c r="H450">
        <v>3</v>
      </c>
      <c r="I450">
        <v>1</v>
      </c>
      <c r="K450" t="s">
        <v>1581</v>
      </c>
      <c r="L450" t="str">
        <f>VLOOKUP(B450, Course!$A$1:$O$133, 14, FALSE)</f>
        <v>EN</v>
      </c>
      <c r="M450">
        <v>1</v>
      </c>
    </row>
    <row r="451" spans="1:13" x14ac:dyDescent="0.2">
      <c r="A451">
        <v>450</v>
      </c>
      <c r="B451">
        <v>38</v>
      </c>
      <c r="C451">
        <v>67</v>
      </c>
      <c r="D451" t="s">
        <v>224</v>
      </c>
      <c r="E451" t="str">
        <f t="shared" si="7"/>
        <v>1267EN03PT</v>
      </c>
      <c r="F451">
        <f>VLOOKUP(B451,Course!$A$2:$R$329,2,FALSE)</f>
        <v>0</v>
      </c>
      <c r="G451">
        <f>VLOOKUP(B451, Course!$A$2:$L$150, 8, FALSE)</f>
        <v>12</v>
      </c>
      <c r="H451">
        <v>3</v>
      </c>
      <c r="I451">
        <v>1</v>
      </c>
      <c r="K451" t="s">
        <v>1581</v>
      </c>
      <c r="L451" t="str">
        <f>VLOOKUP(B451, Course!$A$1:$O$133, 14, FALSE)</f>
        <v>EN</v>
      </c>
      <c r="M451">
        <v>1</v>
      </c>
    </row>
    <row r="452" spans="1:13" x14ac:dyDescent="0.2">
      <c r="A452">
        <v>451</v>
      </c>
      <c r="B452">
        <v>38</v>
      </c>
      <c r="C452">
        <v>68</v>
      </c>
      <c r="D452" t="s">
        <v>224</v>
      </c>
      <c r="E452" t="str">
        <f t="shared" si="7"/>
        <v>1268EN03PT</v>
      </c>
      <c r="F452">
        <f>VLOOKUP(B452,Course!$A$2:$R$329,2,FALSE)</f>
        <v>0</v>
      </c>
      <c r="G452">
        <f>VLOOKUP(B452, Course!$A$2:$L$150, 8, FALSE)</f>
        <v>12</v>
      </c>
      <c r="H452">
        <v>3</v>
      </c>
      <c r="I452">
        <v>1</v>
      </c>
      <c r="K452" t="s">
        <v>1581</v>
      </c>
      <c r="L452" t="str">
        <f>VLOOKUP(B452, Course!$A$1:$O$133, 14, FALSE)</f>
        <v>EN</v>
      </c>
      <c r="M452">
        <v>1</v>
      </c>
    </row>
    <row r="453" spans="1:13" x14ac:dyDescent="0.2">
      <c r="A453">
        <v>452</v>
      </c>
      <c r="B453">
        <v>38</v>
      </c>
      <c r="C453">
        <v>69</v>
      </c>
      <c r="D453" t="s">
        <v>224</v>
      </c>
      <c r="E453" t="str">
        <f t="shared" si="7"/>
        <v>1269EN03PT</v>
      </c>
      <c r="F453">
        <f>VLOOKUP(B453,Course!$A$2:$R$329,2,FALSE)</f>
        <v>0</v>
      </c>
      <c r="G453">
        <f>VLOOKUP(B453, Course!$A$2:$L$150, 8, FALSE)</f>
        <v>12</v>
      </c>
      <c r="H453">
        <v>3</v>
      </c>
      <c r="I453">
        <v>1</v>
      </c>
      <c r="K453" t="s">
        <v>1581</v>
      </c>
      <c r="L453" t="str">
        <f>VLOOKUP(B453, Course!$A$1:$O$133, 14, FALSE)</f>
        <v>EN</v>
      </c>
      <c r="M453">
        <v>1</v>
      </c>
    </row>
    <row r="454" spans="1:13" x14ac:dyDescent="0.2">
      <c r="A454">
        <v>453</v>
      </c>
      <c r="B454">
        <v>38</v>
      </c>
      <c r="C454">
        <v>70</v>
      </c>
      <c r="D454" t="s">
        <v>224</v>
      </c>
      <c r="E454" t="str">
        <f t="shared" si="7"/>
        <v>1270EN03PT</v>
      </c>
      <c r="F454">
        <f>VLOOKUP(B454,Course!$A$2:$R$329,2,FALSE)</f>
        <v>0</v>
      </c>
      <c r="G454">
        <f>VLOOKUP(B454, Course!$A$2:$L$150, 8, FALSE)</f>
        <v>12</v>
      </c>
      <c r="H454">
        <v>3</v>
      </c>
      <c r="I454">
        <v>1</v>
      </c>
      <c r="K454" t="s">
        <v>1581</v>
      </c>
      <c r="L454" t="str">
        <f>VLOOKUP(B454, Course!$A$1:$O$133, 14, FALSE)</f>
        <v>EN</v>
      </c>
      <c r="M454">
        <v>1</v>
      </c>
    </row>
    <row r="455" spans="1:13" x14ac:dyDescent="0.2">
      <c r="A455">
        <v>454</v>
      </c>
      <c r="B455">
        <v>38</v>
      </c>
      <c r="C455">
        <v>71</v>
      </c>
      <c r="D455" t="s">
        <v>224</v>
      </c>
      <c r="E455" t="str">
        <f t="shared" si="7"/>
        <v>1271EN03PT</v>
      </c>
      <c r="F455">
        <f>VLOOKUP(B455,Course!$A$2:$R$329,2,FALSE)</f>
        <v>0</v>
      </c>
      <c r="G455">
        <f>VLOOKUP(B455, Course!$A$2:$L$150, 8, FALSE)</f>
        <v>12</v>
      </c>
      <c r="H455">
        <v>3</v>
      </c>
      <c r="I455">
        <v>1</v>
      </c>
      <c r="K455" t="s">
        <v>1581</v>
      </c>
      <c r="L455" t="str">
        <f>VLOOKUP(B455, Course!$A$1:$O$133, 14, FALSE)</f>
        <v>EN</v>
      </c>
      <c r="M455">
        <v>1</v>
      </c>
    </row>
    <row r="456" spans="1:13" x14ac:dyDescent="0.2">
      <c r="A456">
        <v>455</v>
      </c>
      <c r="B456">
        <v>38</v>
      </c>
      <c r="C456">
        <v>72</v>
      </c>
      <c r="D456" t="s">
        <v>224</v>
      </c>
      <c r="E456" t="str">
        <f t="shared" si="7"/>
        <v>1272EN03PT</v>
      </c>
      <c r="F456">
        <f>VLOOKUP(B456,Course!$A$2:$R$329,2,FALSE)</f>
        <v>0</v>
      </c>
      <c r="G456">
        <f>VLOOKUP(B456, Course!$A$2:$L$150, 8, FALSE)</f>
        <v>12</v>
      </c>
      <c r="H456">
        <v>3</v>
      </c>
      <c r="I456">
        <v>1</v>
      </c>
      <c r="K456" t="s">
        <v>1581</v>
      </c>
      <c r="L456" t="str">
        <f>VLOOKUP(B456, Course!$A$1:$O$133, 14, FALSE)</f>
        <v>EN</v>
      </c>
      <c r="M456">
        <v>1</v>
      </c>
    </row>
    <row r="457" spans="1:13" x14ac:dyDescent="0.2">
      <c r="A457">
        <v>456</v>
      </c>
      <c r="B457">
        <v>39</v>
      </c>
      <c r="C457">
        <v>61</v>
      </c>
      <c r="D457" t="s">
        <v>147</v>
      </c>
      <c r="E457" t="str">
        <f t="shared" si="7"/>
        <v>1261WB03PT</v>
      </c>
      <c r="F457">
        <f>VLOOKUP(B457,Course!$A$2:$R$329,2,FALSE)</f>
        <v>0</v>
      </c>
      <c r="G457">
        <f>VLOOKUP(B457, Course!$A$2:$L$150, 8, FALSE)</f>
        <v>12</v>
      </c>
      <c r="H457">
        <v>3</v>
      </c>
      <c r="I457">
        <v>1</v>
      </c>
      <c r="K457" t="s">
        <v>1581</v>
      </c>
      <c r="L457" t="str">
        <f>VLOOKUP(B457, Course!$A$1:$O$133, 14, FALSE)</f>
        <v>WB</v>
      </c>
      <c r="M457">
        <v>1</v>
      </c>
    </row>
    <row r="458" spans="1:13" x14ac:dyDescent="0.2">
      <c r="A458">
        <v>457</v>
      </c>
      <c r="B458">
        <v>39</v>
      </c>
      <c r="C458">
        <v>62</v>
      </c>
      <c r="D458" t="s">
        <v>147</v>
      </c>
      <c r="E458" t="str">
        <f t="shared" si="7"/>
        <v>1262WB03PT</v>
      </c>
      <c r="F458">
        <f>VLOOKUP(B458,Course!$A$2:$R$329,2,FALSE)</f>
        <v>0</v>
      </c>
      <c r="G458">
        <f>VLOOKUP(B458, Course!$A$2:$L$150, 8, FALSE)</f>
        <v>12</v>
      </c>
      <c r="H458">
        <v>3</v>
      </c>
      <c r="I458">
        <v>1</v>
      </c>
      <c r="K458" t="s">
        <v>1581</v>
      </c>
      <c r="L458" t="str">
        <f>VLOOKUP(B458, Course!$A$1:$O$133, 14, FALSE)</f>
        <v>WB</v>
      </c>
      <c r="M458">
        <v>1</v>
      </c>
    </row>
    <row r="459" spans="1:13" x14ac:dyDescent="0.2">
      <c r="A459">
        <v>458</v>
      </c>
      <c r="B459">
        <v>39</v>
      </c>
      <c r="C459">
        <v>63</v>
      </c>
      <c r="D459" t="s">
        <v>147</v>
      </c>
      <c r="E459" t="str">
        <f t="shared" si="7"/>
        <v>1263WB03PT</v>
      </c>
      <c r="F459">
        <f>VLOOKUP(B459,Course!$A$2:$R$329,2,FALSE)</f>
        <v>0</v>
      </c>
      <c r="G459">
        <f>VLOOKUP(B459, Course!$A$2:$L$150, 8, FALSE)</f>
        <v>12</v>
      </c>
      <c r="H459">
        <v>3</v>
      </c>
      <c r="I459">
        <v>1</v>
      </c>
      <c r="K459" t="s">
        <v>1581</v>
      </c>
      <c r="L459" t="str">
        <f>VLOOKUP(B459, Course!$A$1:$O$133, 14, FALSE)</f>
        <v>WB</v>
      </c>
      <c r="M459">
        <v>1</v>
      </c>
    </row>
    <row r="460" spans="1:13" x14ac:dyDescent="0.2">
      <c r="A460">
        <v>459</v>
      </c>
      <c r="B460">
        <v>39</v>
      </c>
      <c r="C460">
        <v>64</v>
      </c>
      <c r="D460" t="s">
        <v>147</v>
      </c>
      <c r="E460" t="str">
        <f t="shared" si="7"/>
        <v>1264WB03PT</v>
      </c>
      <c r="F460">
        <f>VLOOKUP(B460,Course!$A$2:$R$329,2,FALSE)</f>
        <v>0</v>
      </c>
      <c r="G460">
        <f>VLOOKUP(B460, Course!$A$2:$L$150, 8, FALSE)</f>
        <v>12</v>
      </c>
      <c r="H460">
        <v>3</v>
      </c>
      <c r="I460">
        <v>1</v>
      </c>
      <c r="K460" t="s">
        <v>1581</v>
      </c>
      <c r="L460" t="str">
        <f>VLOOKUP(B460, Course!$A$1:$O$133, 14, FALSE)</f>
        <v>WB</v>
      </c>
      <c r="M460">
        <v>1</v>
      </c>
    </row>
    <row r="461" spans="1:13" x14ac:dyDescent="0.2">
      <c r="A461">
        <v>460</v>
      </c>
      <c r="B461">
        <v>39</v>
      </c>
      <c r="C461">
        <v>65</v>
      </c>
      <c r="D461" t="s">
        <v>147</v>
      </c>
      <c r="E461" t="str">
        <f t="shared" si="7"/>
        <v>1265WB03PT</v>
      </c>
      <c r="F461">
        <f>VLOOKUP(B461,Course!$A$2:$R$329,2,FALSE)</f>
        <v>0</v>
      </c>
      <c r="G461">
        <f>VLOOKUP(B461, Course!$A$2:$L$150, 8, FALSE)</f>
        <v>12</v>
      </c>
      <c r="H461">
        <v>3</v>
      </c>
      <c r="I461">
        <v>1</v>
      </c>
      <c r="K461" t="s">
        <v>1581</v>
      </c>
      <c r="L461" t="str">
        <f>VLOOKUP(B461, Course!$A$1:$O$133, 14, FALSE)</f>
        <v>WB</v>
      </c>
      <c r="M461">
        <v>1</v>
      </c>
    </row>
    <row r="462" spans="1:13" x14ac:dyDescent="0.2">
      <c r="A462">
        <v>461</v>
      </c>
      <c r="B462">
        <v>39</v>
      </c>
      <c r="C462">
        <v>66</v>
      </c>
      <c r="D462" t="s">
        <v>147</v>
      </c>
      <c r="E462" t="str">
        <f t="shared" si="7"/>
        <v>1266WB03PT</v>
      </c>
      <c r="F462">
        <f>VLOOKUP(B462,Course!$A$2:$R$329,2,FALSE)</f>
        <v>0</v>
      </c>
      <c r="G462">
        <f>VLOOKUP(B462, Course!$A$2:$L$150, 8, FALSE)</f>
        <v>12</v>
      </c>
      <c r="H462">
        <v>3</v>
      </c>
      <c r="I462">
        <v>1</v>
      </c>
      <c r="K462" t="s">
        <v>1581</v>
      </c>
      <c r="L462" t="str">
        <f>VLOOKUP(B462, Course!$A$1:$O$133, 14, FALSE)</f>
        <v>WB</v>
      </c>
      <c r="M462">
        <v>1</v>
      </c>
    </row>
    <row r="463" spans="1:13" x14ac:dyDescent="0.2">
      <c r="A463">
        <v>462</v>
      </c>
      <c r="B463">
        <v>39</v>
      </c>
      <c r="C463">
        <v>67</v>
      </c>
      <c r="D463" t="s">
        <v>147</v>
      </c>
      <c r="E463" t="str">
        <f t="shared" si="7"/>
        <v>1267WB03PT</v>
      </c>
      <c r="F463">
        <f>VLOOKUP(B463,Course!$A$2:$R$329,2,FALSE)</f>
        <v>0</v>
      </c>
      <c r="G463">
        <f>VLOOKUP(B463, Course!$A$2:$L$150, 8, FALSE)</f>
        <v>12</v>
      </c>
      <c r="H463">
        <v>3</v>
      </c>
      <c r="I463">
        <v>1</v>
      </c>
      <c r="K463" t="s">
        <v>1581</v>
      </c>
      <c r="L463" t="str">
        <f>VLOOKUP(B463, Course!$A$1:$O$133, 14, FALSE)</f>
        <v>WB</v>
      </c>
      <c r="M463">
        <v>1</v>
      </c>
    </row>
    <row r="464" spans="1:13" x14ac:dyDescent="0.2">
      <c r="A464">
        <v>463</v>
      </c>
      <c r="B464">
        <v>39</v>
      </c>
      <c r="C464">
        <v>68</v>
      </c>
      <c r="D464" t="s">
        <v>147</v>
      </c>
      <c r="E464" t="str">
        <f t="shared" si="7"/>
        <v>1268WB03PT</v>
      </c>
      <c r="F464">
        <f>VLOOKUP(B464,Course!$A$2:$R$329,2,FALSE)</f>
        <v>0</v>
      </c>
      <c r="G464">
        <f>VLOOKUP(B464, Course!$A$2:$L$150, 8, FALSE)</f>
        <v>12</v>
      </c>
      <c r="H464">
        <v>3</v>
      </c>
      <c r="I464">
        <v>1</v>
      </c>
      <c r="K464" t="s">
        <v>1581</v>
      </c>
      <c r="L464" t="str">
        <f>VLOOKUP(B464, Course!$A$1:$O$133, 14, FALSE)</f>
        <v>WB</v>
      </c>
      <c r="M464">
        <v>1</v>
      </c>
    </row>
    <row r="465" spans="1:13" x14ac:dyDescent="0.2">
      <c r="A465">
        <v>464</v>
      </c>
      <c r="B465">
        <v>39</v>
      </c>
      <c r="C465">
        <v>69</v>
      </c>
      <c r="D465" t="s">
        <v>147</v>
      </c>
      <c r="E465" t="str">
        <f t="shared" si="7"/>
        <v>1269WB03PT</v>
      </c>
      <c r="F465">
        <f>VLOOKUP(B465,Course!$A$2:$R$329,2,FALSE)</f>
        <v>0</v>
      </c>
      <c r="G465">
        <f>VLOOKUP(B465, Course!$A$2:$L$150, 8, FALSE)</f>
        <v>12</v>
      </c>
      <c r="H465">
        <v>3</v>
      </c>
      <c r="I465">
        <v>1</v>
      </c>
      <c r="K465" t="s">
        <v>1581</v>
      </c>
      <c r="L465" t="str">
        <f>VLOOKUP(B465, Course!$A$1:$O$133, 14, FALSE)</f>
        <v>WB</v>
      </c>
      <c r="M465">
        <v>1</v>
      </c>
    </row>
    <row r="466" spans="1:13" x14ac:dyDescent="0.2">
      <c r="A466">
        <v>465</v>
      </c>
      <c r="B466">
        <v>39</v>
      </c>
      <c r="C466">
        <v>70</v>
      </c>
      <c r="D466" t="s">
        <v>147</v>
      </c>
      <c r="E466" t="str">
        <f t="shared" si="7"/>
        <v>1270WB03PT</v>
      </c>
      <c r="F466">
        <f>VLOOKUP(B466,Course!$A$2:$R$329,2,FALSE)</f>
        <v>0</v>
      </c>
      <c r="G466">
        <f>VLOOKUP(B466, Course!$A$2:$L$150, 8, FALSE)</f>
        <v>12</v>
      </c>
      <c r="H466">
        <v>3</v>
      </c>
      <c r="I466">
        <v>1</v>
      </c>
      <c r="K466" t="s">
        <v>1581</v>
      </c>
      <c r="L466" t="str">
        <f>VLOOKUP(B466, Course!$A$1:$O$133, 14, FALSE)</f>
        <v>WB</v>
      </c>
      <c r="M466">
        <v>1</v>
      </c>
    </row>
    <row r="467" spans="1:13" x14ac:dyDescent="0.2">
      <c r="A467">
        <v>466</v>
      </c>
      <c r="B467">
        <v>39</v>
      </c>
      <c r="C467">
        <v>71</v>
      </c>
      <c r="D467" t="s">
        <v>147</v>
      </c>
      <c r="E467" t="str">
        <f t="shared" si="7"/>
        <v>1271WB03PT</v>
      </c>
      <c r="F467">
        <f>VLOOKUP(B467,Course!$A$2:$R$329,2,FALSE)</f>
        <v>0</v>
      </c>
      <c r="G467">
        <f>VLOOKUP(B467, Course!$A$2:$L$150, 8, FALSE)</f>
        <v>12</v>
      </c>
      <c r="H467">
        <v>3</v>
      </c>
      <c r="I467">
        <v>1</v>
      </c>
      <c r="K467" t="s">
        <v>1581</v>
      </c>
      <c r="L467" t="str">
        <f>VLOOKUP(B467, Course!$A$1:$O$133, 14, FALSE)</f>
        <v>WB</v>
      </c>
      <c r="M467">
        <v>1</v>
      </c>
    </row>
    <row r="468" spans="1:13" x14ac:dyDescent="0.2">
      <c r="A468">
        <v>467</v>
      </c>
      <c r="B468">
        <v>39</v>
      </c>
      <c r="C468">
        <v>72</v>
      </c>
      <c r="D468" t="s">
        <v>147</v>
      </c>
      <c r="E468" t="str">
        <f t="shared" si="7"/>
        <v>1272WB03PT</v>
      </c>
      <c r="F468">
        <f>VLOOKUP(B468,Course!$A$2:$R$329,2,FALSE)</f>
        <v>0</v>
      </c>
      <c r="G468">
        <f>VLOOKUP(B468, Course!$A$2:$L$150, 8, FALSE)</f>
        <v>12</v>
      </c>
      <c r="H468">
        <v>3</v>
      </c>
      <c r="I468">
        <v>1</v>
      </c>
      <c r="K468" t="s">
        <v>1581</v>
      </c>
      <c r="L468" t="str">
        <f>VLOOKUP(B468, Course!$A$1:$O$133, 14, FALSE)</f>
        <v>WB</v>
      </c>
      <c r="M468">
        <v>1</v>
      </c>
    </row>
    <row r="469" spans="1:13" x14ac:dyDescent="0.2">
      <c r="A469">
        <v>468</v>
      </c>
      <c r="B469">
        <v>40</v>
      </c>
      <c r="C469">
        <v>61</v>
      </c>
      <c r="D469" t="s">
        <v>227</v>
      </c>
      <c r="E469" t="str">
        <f t="shared" si="7"/>
        <v>1261LC03PT</v>
      </c>
      <c r="F469">
        <f>VLOOKUP(B469,Course!$A$2:$R$329,2,FALSE)</f>
        <v>0</v>
      </c>
      <c r="G469">
        <f>VLOOKUP(B469, Course!$A$2:$L$150, 8, FALSE)</f>
        <v>12</v>
      </c>
      <c r="H469">
        <v>3</v>
      </c>
      <c r="I469">
        <v>1</v>
      </c>
      <c r="K469" t="s">
        <v>1581</v>
      </c>
      <c r="L469" t="str">
        <f>VLOOKUP(B469, Course!$A$1:$O$133, 14, FALSE)</f>
        <v>LC</v>
      </c>
      <c r="M469">
        <v>1</v>
      </c>
    </row>
    <row r="470" spans="1:13" x14ac:dyDescent="0.2">
      <c r="A470">
        <v>469</v>
      </c>
      <c r="B470">
        <v>40</v>
      </c>
      <c r="C470">
        <v>62</v>
      </c>
      <c r="D470" t="s">
        <v>227</v>
      </c>
      <c r="E470" t="str">
        <f t="shared" si="7"/>
        <v>1262LC03PT</v>
      </c>
      <c r="F470">
        <f>VLOOKUP(B470,Course!$A$2:$R$329,2,FALSE)</f>
        <v>0</v>
      </c>
      <c r="G470">
        <f>VLOOKUP(B470, Course!$A$2:$L$150, 8, FALSE)</f>
        <v>12</v>
      </c>
      <c r="H470">
        <v>3</v>
      </c>
      <c r="I470">
        <v>1</v>
      </c>
      <c r="K470" t="s">
        <v>1581</v>
      </c>
      <c r="L470" t="str">
        <f>VLOOKUP(B470, Course!$A$1:$O$133, 14, FALSE)</f>
        <v>LC</v>
      </c>
      <c r="M470">
        <v>1</v>
      </c>
    </row>
    <row r="471" spans="1:13" x14ac:dyDescent="0.2">
      <c r="A471">
        <v>470</v>
      </c>
      <c r="B471">
        <v>40</v>
      </c>
      <c r="C471">
        <v>63</v>
      </c>
      <c r="D471" t="s">
        <v>227</v>
      </c>
      <c r="E471" t="str">
        <f t="shared" si="7"/>
        <v>1263LC03PT</v>
      </c>
      <c r="F471">
        <f>VLOOKUP(B471,Course!$A$2:$R$329,2,FALSE)</f>
        <v>0</v>
      </c>
      <c r="G471">
        <f>VLOOKUP(B471, Course!$A$2:$L$150, 8, FALSE)</f>
        <v>12</v>
      </c>
      <c r="H471">
        <v>3</v>
      </c>
      <c r="I471">
        <v>1</v>
      </c>
      <c r="K471" t="s">
        <v>1581</v>
      </c>
      <c r="L471" t="str">
        <f>VLOOKUP(B471, Course!$A$1:$O$133, 14, FALSE)</f>
        <v>LC</v>
      </c>
      <c r="M471">
        <v>1</v>
      </c>
    </row>
    <row r="472" spans="1:13" x14ac:dyDescent="0.2">
      <c r="A472">
        <v>471</v>
      </c>
      <c r="B472">
        <v>40</v>
      </c>
      <c r="C472">
        <v>64</v>
      </c>
      <c r="D472" t="s">
        <v>227</v>
      </c>
      <c r="E472" t="str">
        <f t="shared" si="7"/>
        <v>1264LC03PT</v>
      </c>
      <c r="F472">
        <f>VLOOKUP(B472,Course!$A$2:$R$329,2,FALSE)</f>
        <v>0</v>
      </c>
      <c r="G472">
        <f>VLOOKUP(B472, Course!$A$2:$L$150, 8, FALSE)</f>
        <v>12</v>
      </c>
      <c r="H472">
        <v>3</v>
      </c>
      <c r="I472">
        <v>1</v>
      </c>
      <c r="K472" t="s">
        <v>1581</v>
      </c>
      <c r="L472" t="str">
        <f>VLOOKUP(B472, Course!$A$1:$O$133, 14, FALSE)</f>
        <v>LC</v>
      </c>
      <c r="M472">
        <v>1</v>
      </c>
    </row>
    <row r="473" spans="1:13" x14ac:dyDescent="0.2">
      <c r="A473">
        <v>472</v>
      </c>
      <c r="B473">
        <v>40</v>
      </c>
      <c r="C473">
        <v>65</v>
      </c>
      <c r="D473" t="s">
        <v>227</v>
      </c>
      <c r="E473" t="str">
        <f t="shared" si="7"/>
        <v>1265LC03PT</v>
      </c>
      <c r="F473">
        <f>VLOOKUP(B473,Course!$A$2:$R$329,2,FALSE)</f>
        <v>0</v>
      </c>
      <c r="G473">
        <f>VLOOKUP(B473, Course!$A$2:$L$150, 8, FALSE)</f>
        <v>12</v>
      </c>
      <c r="H473">
        <v>3</v>
      </c>
      <c r="I473">
        <v>1</v>
      </c>
      <c r="K473" t="s">
        <v>1581</v>
      </c>
      <c r="L473" t="str">
        <f>VLOOKUP(B473, Course!$A$1:$O$133, 14, FALSE)</f>
        <v>LC</v>
      </c>
      <c r="M473">
        <v>1</v>
      </c>
    </row>
    <row r="474" spans="1:13" x14ac:dyDescent="0.2">
      <c r="A474">
        <v>473</v>
      </c>
      <c r="B474">
        <v>40</v>
      </c>
      <c r="C474">
        <v>66</v>
      </c>
      <c r="D474" t="s">
        <v>227</v>
      </c>
      <c r="E474" t="str">
        <f t="shared" si="7"/>
        <v>1266LC03PT</v>
      </c>
      <c r="F474">
        <f>VLOOKUP(B474,Course!$A$2:$R$329,2,FALSE)</f>
        <v>0</v>
      </c>
      <c r="G474">
        <f>VLOOKUP(B474, Course!$A$2:$L$150, 8, FALSE)</f>
        <v>12</v>
      </c>
      <c r="H474">
        <v>3</v>
      </c>
      <c r="I474">
        <v>1</v>
      </c>
      <c r="K474" t="s">
        <v>1581</v>
      </c>
      <c r="L474" t="str">
        <f>VLOOKUP(B474, Course!$A$1:$O$133, 14, FALSE)</f>
        <v>LC</v>
      </c>
      <c r="M474">
        <v>1</v>
      </c>
    </row>
    <row r="475" spans="1:13" x14ac:dyDescent="0.2">
      <c r="A475">
        <v>474</v>
      </c>
      <c r="B475">
        <v>40</v>
      </c>
      <c r="C475">
        <v>67</v>
      </c>
      <c r="D475" t="s">
        <v>227</v>
      </c>
      <c r="E475" t="str">
        <f t="shared" si="7"/>
        <v>1267LC03PT</v>
      </c>
      <c r="F475">
        <f>VLOOKUP(B475,Course!$A$2:$R$329,2,FALSE)</f>
        <v>0</v>
      </c>
      <c r="G475">
        <f>VLOOKUP(B475, Course!$A$2:$L$150, 8, FALSE)</f>
        <v>12</v>
      </c>
      <c r="H475">
        <v>3</v>
      </c>
      <c r="I475">
        <v>1</v>
      </c>
      <c r="K475" t="s">
        <v>1581</v>
      </c>
      <c r="L475" t="str">
        <f>VLOOKUP(B475, Course!$A$1:$O$133, 14, FALSE)</f>
        <v>LC</v>
      </c>
      <c r="M475">
        <v>1</v>
      </c>
    </row>
    <row r="476" spans="1:13" x14ac:dyDescent="0.2">
      <c r="A476">
        <v>475</v>
      </c>
      <c r="B476">
        <v>40</v>
      </c>
      <c r="C476">
        <v>68</v>
      </c>
      <c r="D476" t="s">
        <v>227</v>
      </c>
      <c r="E476" t="str">
        <f t="shared" si="7"/>
        <v>1268LC03PT</v>
      </c>
      <c r="F476">
        <f>VLOOKUP(B476,Course!$A$2:$R$329,2,FALSE)</f>
        <v>0</v>
      </c>
      <c r="G476">
        <f>VLOOKUP(B476, Course!$A$2:$L$150, 8, FALSE)</f>
        <v>12</v>
      </c>
      <c r="H476">
        <v>3</v>
      </c>
      <c r="I476">
        <v>1</v>
      </c>
      <c r="K476" t="s">
        <v>1581</v>
      </c>
      <c r="L476" t="str">
        <f>VLOOKUP(B476, Course!$A$1:$O$133, 14, FALSE)</f>
        <v>LC</v>
      </c>
      <c r="M476">
        <v>1</v>
      </c>
    </row>
    <row r="477" spans="1:13" x14ac:dyDescent="0.2">
      <c r="A477">
        <v>476</v>
      </c>
      <c r="B477">
        <v>40</v>
      </c>
      <c r="C477">
        <v>69</v>
      </c>
      <c r="D477" t="s">
        <v>227</v>
      </c>
      <c r="E477" t="str">
        <f t="shared" si="7"/>
        <v>1269LC03PT</v>
      </c>
      <c r="F477">
        <f>VLOOKUP(B477,Course!$A$2:$R$329,2,FALSE)</f>
        <v>0</v>
      </c>
      <c r="G477">
        <f>VLOOKUP(B477, Course!$A$2:$L$150, 8, FALSE)</f>
        <v>12</v>
      </c>
      <c r="H477">
        <v>3</v>
      </c>
      <c r="I477">
        <v>1</v>
      </c>
      <c r="K477" t="s">
        <v>1581</v>
      </c>
      <c r="L477" t="str">
        <f>VLOOKUP(B477, Course!$A$1:$O$133, 14, FALSE)</f>
        <v>LC</v>
      </c>
      <c r="M477">
        <v>1</v>
      </c>
    </row>
    <row r="478" spans="1:13" x14ac:dyDescent="0.2">
      <c r="A478">
        <v>477</v>
      </c>
      <c r="B478">
        <v>40</v>
      </c>
      <c r="C478">
        <v>70</v>
      </c>
      <c r="D478" t="s">
        <v>227</v>
      </c>
      <c r="E478" t="str">
        <f t="shared" si="7"/>
        <v>1270LC03PT</v>
      </c>
      <c r="F478">
        <f>VLOOKUP(B478,Course!$A$2:$R$329,2,FALSE)</f>
        <v>0</v>
      </c>
      <c r="G478">
        <f>VLOOKUP(B478, Course!$A$2:$L$150, 8, FALSE)</f>
        <v>12</v>
      </c>
      <c r="H478">
        <v>3</v>
      </c>
      <c r="I478">
        <v>1</v>
      </c>
      <c r="K478" t="s">
        <v>1581</v>
      </c>
      <c r="L478" t="str">
        <f>VLOOKUP(B478, Course!$A$1:$O$133, 14, FALSE)</f>
        <v>LC</v>
      </c>
      <c r="M478">
        <v>1</v>
      </c>
    </row>
    <row r="479" spans="1:13" x14ac:dyDescent="0.2">
      <c r="A479">
        <v>478</v>
      </c>
      <c r="B479">
        <v>40</v>
      </c>
      <c r="C479">
        <v>71</v>
      </c>
      <c r="D479" t="s">
        <v>227</v>
      </c>
      <c r="E479" t="str">
        <f t="shared" si="7"/>
        <v>1271LC03PT</v>
      </c>
      <c r="F479">
        <f>VLOOKUP(B479,Course!$A$2:$R$329,2,FALSE)</f>
        <v>0</v>
      </c>
      <c r="G479">
        <f>VLOOKUP(B479, Course!$A$2:$L$150, 8, FALSE)</f>
        <v>12</v>
      </c>
      <c r="H479">
        <v>3</v>
      </c>
      <c r="I479">
        <v>1</v>
      </c>
      <c r="K479" t="s">
        <v>1581</v>
      </c>
      <c r="L479" t="str">
        <f>VLOOKUP(B479, Course!$A$1:$O$133, 14, FALSE)</f>
        <v>LC</v>
      </c>
      <c r="M479">
        <v>1</v>
      </c>
    </row>
    <row r="480" spans="1:13" x14ac:dyDescent="0.2">
      <c r="A480">
        <v>479</v>
      </c>
      <c r="B480">
        <v>40</v>
      </c>
      <c r="C480">
        <v>72</v>
      </c>
      <c r="D480" t="s">
        <v>227</v>
      </c>
      <c r="E480" t="str">
        <f t="shared" si="7"/>
        <v>1272LC03PT</v>
      </c>
      <c r="F480">
        <f>VLOOKUP(B480,Course!$A$2:$R$329,2,FALSE)</f>
        <v>0</v>
      </c>
      <c r="G480">
        <f>VLOOKUP(B480, Course!$A$2:$L$150, 8, FALSE)</f>
        <v>12</v>
      </c>
      <c r="H480">
        <v>3</v>
      </c>
      <c r="I480">
        <v>1</v>
      </c>
      <c r="K480" t="s">
        <v>1581</v>
      </c>
      <c r="L480" t="str">
        <f>VLOOKUP(B480, Course!$A$1:$O$133, 14, FALSE)</f>
        <v>LC</v>
      </c>
      <c r="M480">
        <v>1</v>
      </c>
    </row>
    <row r="481" spans="1:13" x14ac:dyDescent="0.2">
      <c r="A481">
        <v>480</v>
      </c>
      <c r="B481">
        <v>41</v>
      </c>
      <c r="C481">
        <v>61</v>
      </c>
      <c r="D481" t="s">
        <v>153</v>
      </c>
      <c r="E481" t="str">
        <f t="shared" si="7"/>
        <v>1261SC03PT</v>
      </c>
      <c r="F481">
        <f>VLOOKUP(B481,Course!$A$2:$R$329,2,FALSE)</f>
        <v>0</v>
      </c>
      <c r="G481">
        <f>VLOOKUP(B481, Course!$A$2:$L$150, 8, FALSE)</f>
        <v>12</v>
      </c>
      <c r="H481">
        <v>3</v>
      </c>
      <c r="I481">
        <v>1</v>
      </c>
      <c r="K481" t="s">
        <v>1581</v>
      </c>
      <c r="L481" t="str">
        <f>VLOOKUP(B481, Course!$A$1:$O$133, 14, FALSE)</f>
        <v>SC</v>
      </c>
      <c r="M481">
        <v>1</v>
      </c>
    </row>
    <row r="482" spans="1:13" x14ac:dyDescent="0.2">
      <c r="A482">
        <v>481</v>
      </c>
      <c r="B482">
        <v>41</v>
      </c>
      <c r="C482">
        <v>62</v>
      </c>
      <c r="D482" t="s">
        <v>153</v>
      </c>
      <c r="E482" t="str">
        <f t="shared" si="7"/>
        <v>1262SC03PT</v>
      </c>
      <c r="F482">
        <f>VLOOKUP(B482,Course!$A$2:$R$329,2,FALSE)</f>
        <v>0</v>
      </c>
      <c r="G482">
        <f>VLOOKUP(B482, Course!$A$2:$L$150, 8, FALSE)</f>
        <v>12</v>
      </c>
      <c r="H482">
        <v>3</v>
      </c>
      <c r="I482">
        <v>1</v>
      </c>
      <c r="K482" t="s">
        <v>1581</v>
      </c>
      <c r="L482" t="str">
        <f>VLOOKUP(B482, Course!$A$1:$O$133, 14, FALSE)</f>
        <v>SC</v>
      </c>
      <c r="M482">
        <v>1</v>
      </c>
    </row>
    <row r="483" spans="1:13" x14ac:dyDescent="0.2">
      <c r="A483">
        <v>482</v>
      </c>
      <c r="B483">
        <v>41</v>
      </c>
      <c r="C483">
        <v>63</v>
      </c>
      <c r="D483" t="s">
        <v>153</v>
      </c>
      <c r="E483" t="str">
        <f t="shared" si="7"/>
        <v>1263SC03PT</v>
      </c>
      <c r="F483">
        <f>VLOOKUP(B483,Course!$A$2:$R$329,2,FALSE)</f>
        <v>0</v>
      </c>
      <c r="G483">
        <f>VLOOKUP(B483, Course!$A$2:$L$150, 8, FALSE)</f>
        <v>12</v>
      </c>
      <c r="H483">
        <v>3</v>
      </c>
      <c r="I483">
        <v>1</v>
      </c>
      <c r="K483" t="s">
        <v>1581</v>
      </c>
      <c r="L483" t="str">
        <f>VLOOKUP(B483, Course!$A$1:$O$133, 14, FALSE)</f>
        <v>SC</v>
      </c>
      <c r="M483">
        <v>1</v>
      </c>
    </row>
    <row r="484" spans="1:13" x14ac:dyDescent="0.2">
      <c r="A484">
        <v>483</v>
      </c>
      <c r="B484">
        <v>41</v>
      </c>
      <c r="C484">
        <v>64</v>
      </c>
      <c r="D484" t="s">
        <v>153</v>
      </c>
      <c r="E484" t="str">
        <f t="shared" si="7"/>
        <v>1264SC03PT</v>
      </c>
      <c r="F484">
        <f>VLOOKUP(B484,Course!$A$2:$R$329,2,FALSE)</f>
        <v>0</v>
      </c>
      <c r="G484">
        <f>VLOOKUP(B484, Course!$A$2:$L$150, 8, FALSE)</f>
        <v>12</v>
      </c>
      <c r="H484">
        <v>3</v>
      </c>
      <c r="I484">
        <v>1</v>
      </c>
      <c r="K484" t="s">
        <v>1581</v>
      </c>
      <c r="L484" t="str">
        <f>VLOOKUP(B484, Course!$A$1:$O$133, 14, FALSE)</f>
        <v>SC</v>
      </c>
      <c r="M484">
        <v>1</v>
      </c>
    </row>
    <row r="485" spans="1:13" x14ac:dyDescent="0.2">
      <c r="A485">
        <v>484</v>
      </c>
      <c r="B485">
        <v>41</v>
      </c>
      <c r="C485">
        <v>65</v>
      </c>
      <c r="D485" t="s">
        <v>153</v>
      </c>
      <c r="E485" t="str">
        <f t="shared" si="7"/>
        <v>1265SC03PT</v>
      </c>
      <c r="F485">
        <f>VLOOKUP(B485,Course!$A$2:$R$329,2,FALSE)</f>
        <v>0</v>
      </c>
      <c r="G485">
        <f>VLOOKUP(B485, Course!$A$2:$L$150, 8, FALSE)</f>
        <v>12</v>
      </c>
      <c r="H485">
        <v>3</v>
      </c>
      <c r="I485">
        <v>1</v>
      </c>
      <c r="K485" t="s">
        <v>1581</v>
      </c>
      <c r="L485" t="str">
        <f>VLOOKUP(B485, Course!$A$1:$O$133, 14, FALSE)</f>
        <v>SC</v>
      </c>
      <c r="M485">
        <v>1</v>
      </c>
    </row>
    <row r="486" spans="1:13" x14ac:dyDescent="0.2">
      <c r="A486">
        <v>485</v>
      </c>
      <c r="B486">
        <v>41</v>
      </c>
      <c r="C486">
        <v>66</v>
      </c>
      <c r="D486" t="s">
        <v>153</v>
      </c>
      <c r="E486" t="str">
        <f t="shared" si="7"/>
        <v>1266SC03PT</v>
      </c>
      <c r="F486">
        <f>VLOOKUP(B486,Course!$A$2:$R$329,2,FALSE)</f>
        <v>0</v>
      </c>
      <c r="G486">
        <f>VLOOKUP(B486, Course!$A$2:$L$150, 8, FALSE)</f>
        <v>12</v>
      </c>
      <c r="H486">
        <v>3</v>
      </c>
      <c r="I486">
        <v>1</v>
      </c>
      <c r="K486" t="s">
        <v>1581</v>
      </c>
      <c r="L486" t="str">
        <f>VLOOKUP(B486, Course!$A$1:$O$133, 14, FALSE)</f>
        <v>SC</v>
      </c>
      <c r="M486">
        <v>1</v>
      </c>
    </row>
    <row r="487" spans="1:13" x14ac:dyDescent="0.2">
      <c r="A487">
        <v>486</v>
      </c>
      <c r="B487">
        <v>41</v>
      </c>
      <c r="C487">
        <v>67</v>
      </c>
      <c r="D487" t="s">
        <v>153</v>
      </c>
      <c r="E487" t="str">
        <f t="shared" si="7"/>
        <v>1267SC03PT</v>
      </c>
      <c r="F487">
        <f>VLOOKUP(B487,Course!$A$2:$R$329,2,FALSE)</f>
        <v>0</v>
      </c>
      <c r="G487">
        <f>VLOOKUP(B487, Course!$A$2:$L$150, 8, FALSE)</f>
        <v>12</v>
      </c>
      <c r="H487">
        <v>3</v>
      </c>
      <c r="I487">
        <v>1</v>
      </c>
      <c r="K487" t="s">
        <v>1581</v>
      </c>
      <c r="L487" t="str">
        <f>VLOOKUP(B487, Course!$A$1:$O$133, 14, FALSE)</f>
        <v>SC</v>
      </c>
      <c r="M487">
        <v>1</v>
      </c>
    </row>
    <row r="488" spans="1:13" x14ac:dyDescent="0.2">
      <c r="A488">
        <v>487</v>
      </c>
      <c r="B488">
        <v>41</v>
      </c>
      <c r="C488">
        <v>68</v>
      </c>
      <c r="D488" t="s">
        <v>153</v>
      </c>
      <c r="E488" t="str">
        <f t="shared" si="7"/>
        <v>1268SC03PT</v>
      </c>
      <c r="F488">
        <f>VLOOKUP(B488,Course!$A$2:$R$329,2,FALSE)</f>
        <v>0</v>
      </c>
      <c r="G488">
        <f>VLOOKUP(B488, Course!$A$2:$L$150, 8, FALSE)</f>
        <v>12</v>
      </c>
      <c r="H488">
        <v>3</v>
      </c>
      <c r="I488">
        <v>1</v>
      </c>
      <c r="K488" t="s">
        <v>1581</v>
      </c>
      <c r="L488" t="str">
        <f>VLOOKUP(B488, Course!$A$1:$O$133, 14, FALSE)</f>
        <v>SC</v>
      </c>
      <c r="M488">
        <v>1</v>
      </c>
    </row>
    <row r="489" spans="1:13" x14ac:dyDescent="0.2">
      <c r="A489">
        <v>488</v>
      </c>
      <c r="B489">
        <v>41</v>
      </c>
      <c r="C489">
        <v>69</v>
      </c>
      <c r="D489" t="s">
        <v>153</v>
      </c>
      <c r="E489" t="str">
        <f t="shared" si="7"/>
        <v>1269SC03PT</v>
      </c>
      <c r="F489">
        <f>VLOOKUP(B489,Course!$A$2:$R$329,2,FALSE)</f>
        <v>0</v>
      </c>
      <c r="G489">
        <f>VLOOKUP(B489, Course!$A$2:$L$150, 8, FALSE)</f>
        <v>12</v>
      </c>
      <c r="H489">
        <v>3</v>
      </c>
      <c r="I489">
        <v>1</v>
      </c>
      <c r="K489" t="s">
        <v>1581</v>
      </c>
      <c r="L489" t="str">
        <f>VLOOKUP(B489, Course!$A$1:$O$133, 14, FALSE)</f>
        <v>SC</v>
      </c>
      <c r="M489">
        <v>1</v>
      </c>
    </row>
    <row r="490" spans="1:13" x14ac:dyDescent="0.2">
      <c r="A490">
        <v>489</v>
      </c>
      <c r="B490">
        <v>41</v>
      </c>
      <c r="C490">
        <v>70</v>
      </c>
      <c r="D490" t="s">
        <v>153</v>
      </c>
      <c r="E490" t="str">
        <f t="shared" si="7"/>
        <v>1270SC03PT</v>
      </c>
      <c r="F490">
        <f>VLOOKUP(B490,Course!$A$2:$R$329,2,FALSE)</f>
        <v>0</v>
      </c>
      <c r="G490">
        <f>VLOOKUP(B490, Course!$A$2:$L$150, 8, FALSE)</f>
        <v>12</v>
      </c>
      <c r="H490">
        <v>3</v>
      </c>
      <c r="I490">
        <v>1</v>
      </c>
      <c r="K490" t="s">
        <v>1581</v>
      </c>
      <c r="L490" t="str">
        <f>VLOOKUP(B490, Course!$A$1:$O$133, 14, FALSE)</f>
        <v>SC</v>
      </c>
      <c r="M490">
        <v>1</v>
      </c>
    </row>
    <row r="491" spans="1:13" x14ac:dyDescent="0.2">
      <c r="A491">
        <v>490</v>
      </c>
      <c r="B491">
        <v>41</v>
      </c>
      <c r="C491">
        <v>71</v>
      </c>
      <c r="D491" t="s">
        <v>153</v>
      </c>
      <c r="E491" t="str">
        <f t="shared" si="7"/>
        <v>1271SC03PT</v>
      </c>
      <c r="F491">
        <f>VLOOKUP(B491,Course!$A$2:$R$329,2,FALSE)</f>
        <v>0</v>
      </c>
      <c r="G491">
        <f>VLOOKUP(B491, Course!$A$2:$L$150, 8, FALSE)</f>
        <v>12</v>
      </c>
      <c r="H491">
        <v>3</v>
      </c>
      <c r="I491">
        <v>1</v>
      </c>
      <c r="K491" t="s">
        <v>1581</v>
      </c>
      <c r="L491" t="str">
        <f>VLOOKUP(B491, Course!$A$1:$O$133, 14, FALSE)</f>
        <v>SC</v>
      </c>
      <c r="M491">
        <v>1</v>
      </c>
    </row>
    <row r="492" spans="1:13" x14ac:dyDescent="0.2">
      <c r="A492">
        <v>491</v>
      </c>
      <c r="B492">
        <v>41</v>
      </c>
      <c r="C492">
        <v>72</v>
      </c>
      <c r="D492" t="s">
        <v>153</v>
      </c>
      <c r="E492" t="str">
        <f t="shared" si="7"/>
        <v>1272SC03PT</v>
      </c>
      <c r="F492">
        <f>VLOOKUP(B492,Course!$A$2:$R$329,2,FALSE)</f>
        <v>0</v>
      </c>
      <c r="G492">
        <f>VLOOKUP(B492, Course!$A$2:$L$150, 8, FALSE)</f>
        <v>12</v>
      </c>
      <c r="H492">
        <v>3</v>
      </c>
      <c r="I492">
        <v>1</v>
      </c>
      <c r="K492" t="s">
        <v>1581</v>
      </c>
      <c r="L492" t="str">
        <f>VLOOKUP(B492, Course!$A$1:$O$133, 14, FALSE)</f>
        <v>SC</v>
      </c>
      <c r="M492">
        <v>1</v>
      </c>
    </row>
    <row r="493" spans="1:13" x14ac:dyDescent="0.2">
      <c r="A493">
        <v>492</v>
      </c>
      <c r="B493">
        <v>42</v>
      </c>
      <c r="C493">
        <v>61</v>
      </c>
      <c r="D493" t="s">
        <v>156</v>
      </c>
      <c r="E493" t="str">
        <f t="shared" si="7"/>
        <v>1261SS03PT</v>
      </c>
      <c r="F493">
        <f>VLOOKUP(B493,Course!$A$2:$R$329,2,FALSE)</f>
        <v>0</v>
      </c>
      <c r="G493">
        <f>VLOOKUP(B493, Course!$A$2:$L$150, 8, FALSE)</f>
        <v>12</v>
      </c>
      <c r="H493">
        <v>3</v>
      </c>
      <c r="I493">
        <v>1</v>
      </c>
      <c r="K493" t="s">
        <v>1581</v>
      </c>
      <c r="L493" t="str">
        <f>VLOOKUP(B493, Course!$A$1:$O$133, 14, FALSE)</f>
        <v>SS</v>
      </c>
      <c r="M493">
        <v>1</v>
      </c>
    </row>
    <row r="494" spans="1:13" x14ac:dyDescent="0.2">
      <c r="A494">
        <v>493</v>
      </c>
      <c r="B494">
        <v>42</v>
      </c>
      <c r="C494">
        <v>62</v>
      </c>
      <c r="D494" t="s">
        <v>156</v>
      </c>
      <c r="E494" t="str">
        <f t="shared" si="7"/>
        <v>1262SS03PT</v>
      </c>
      <c r="F494">
        <f>VLOOKUP(B494,Course!$A$2:$R$329,2,FALSE)</f>
        <v>0</v>
      </c>
      <c r="G494">
        <f>VLOOKUP(B494, Course!$A$2:$L$150, 8, FALSE)</f>
        <v>12</v>
      </c>
      <c r="H494">
        <v>3</v>
      </c>
      <c r="I494">
        <v>1</v>
      </c>
      <c r="K494" t="s">
        <v>1581</v>
      </c>
      <c r="L494" t="str">
        <f>VLOOKUP(B494, Course!$A$1:$O$133, 14, FALSE)</f>
        <v>SS</v>
      </c>
      <c r="M494">
        <v>1</v>
      </c>
    </row>
    <row r="495" spans="1:13" x14ac:dyDescent="0.2">
      <c r="A495">
        <v>494</v>
      </c>
      <c r="B495">
        <v>42</v>
      </c>
      <c r="C495">
        <v>63</v>
      </c>
      <c r="D495" t="s">
        <v>156</v>
      </c>
      <c r="E495" t="str">
        <f t="shared" si="7"/>
        <v>1263SS03PT</v>
      </c>
      <c r="F495">
        <f>VLOOKUP(B495,Course!$A$2:$R$329,2,FALSE)</f>
        <v>0</v>
      </c>
      <c r="G495">
        <f>VLOOKUP(B495, Course!$A$2:$L$150, 8, FALSE)</f>
        <v>12</v>
      </c>
      <c r="H495">
        <v>3</v>
      </c>
      <c r="I495">
        <v>1</v>
      </c>
      <c r="K495" t="s">
        <v>1581</v>
      </c>
      <c r="L495" t="str">
        <f>VLOOKUP(B495, Course!$A$1:$O$133, 14, FALSE)</f>
        <v>SS</v>
      </c>
      <c r="M495">
        <v>1</v>
      </c>
    </row>
    <row r="496" spans="1:13" x14ac:dyDescent="0.2">
      <c r="A496">
        <v>495</v>
      </c>
      <c r="B496">
        <v>42</v>
      </c>
      <c r="C496">
        <v>64</v>
      </c>
      <c r="D496" t="s">
        <v>156</v>
      </c>
      <c r="E496" t="str">
        <f t="shared" si="7"/>
        <v>1264SS03PT</v>
      </c>
      <c r="F496">
        <f>VLOOKUP(B496,Course!$A$2:$R$329,2,FALSE)</f>
        <v>0</v>
      </c>
      <c r="G496">
        <f>VLOOKUP(B496, Course!$A$2:$L$150, 8, FALSE)</f>
        <v>12</v>
      </c>
      <c r="H496">
        <v>3</v>
      </c>
      <c r="I496">
        <v>1</v>
      </c>
      <c r="K496" t="s">
        <v>1581</v>
      </c>
      <c r="L496" t="str">
        <f>VLOOKUP(B496, Course!$A$1:$O$133, 14, FALSE)</f>
        <v>SS</v>
      </c>
      <c r="M496">
        <v>1</v>
      </c>
    </row>
    <row r="497" spans="1:13" x14ac:dyDescent="0.2">
      <c r="A497">
        <v>496</v>
      </c>
      <c r="B497">
        <v>42</v>
      </c>
      <c r="C497">
        <v>65</v>
      </c>
      <c r="D497" t="s">
        <v>156</v>
      </c>
      <c r="E497" t="str">
        <f t="shared" si="7"/>
        <v>1265SS03PT</v>
      </c>
      <c r="F497">
        <f>VLOOKUP(B497,Course!$A$2:$R$329,2,FALSE)</f>
        <v>0</v>
      </c>
      <c r="G497">
        <f>VLOOKUP(B497, Course!$A$2:$L$150, 8, FALSE)</f>
        <v>12</v>
      </c>
      <c r="H497">
        <v>3</v>
      </c>
      <c r="I497">
        <v>1</v>
      </c>
      <c r="K497" t="s">
        <v>1581</v>
      </c>
      <c r="L497" t="str">
        <f>VLOOKUP(B497, Course!$A$1:$O$133, 14, FALSE)</f>
        <v>SS</v>
      </c>
      <c r="M497">
        <v>1</v>
      </c>
    </row>
    <row r="498" spans="1:13" x14ac:dyDescent="0.2">
      <c r="A498">
        <v>497</v>
      </c>
      <c r="B498">
        <v>42</v>
      </c>
      <c r="C498">
        <v>66</v>
      </c>
      <c r="D498" t="s">
        <v>156</v>
      </c>
      <c r="E498" t="str">
        <f t="shared" si="7"/>
        <v>1266SS03PT</v>
      </c>
      <c r="F498">
        <f>VLOOKUP(B498,Course!$A$2:$R$329,2,FALSE)</f>
        <v>0</v>
      </c>
      <c r="G498">
        <f>VLOOKUP(B498, Course!$A$2:$L$150, 8, FALSE)</f>
        <v>12</v>
      </c>
      <c r="H498">
        <v>3</v>
      </c>
      <c r="I498">
        <v>1</v>
      </c>
      <c r="K498" t="s">
        <v>1581</v>
      </c>
      <c r="L498" t="str">
        <f>VLOOKUP(B498, Course!$A$1:$O$133, 14, FALSE)</f>
        <v>SS</v>
      </c>
      <c r="M498">
        <v>1</v>
      </c>
    </row>
    <row r="499" spans="1:13" x14ac:dyDescent="0.2">
      <c r="A499">
        <v>498</v>
      </c>
      <c r="B499">
        <v>42</v>
      </c>
      <c r="C499">
        <v>67</v>
      </c>
      <c r="D499" t="s">
        <v>156</v>
      </c>
      <c r="E499" t="str">
        <f t="shared" si="7"/>
        <v>1267SS03PT</v>
      </c>
      <c r="F499">
        <f>VLOOKUP(B499,Course!$A$2:$R$329,2,FALSE)</f>
        <v>0</v>
      </c>
      <c r="G499">
        <f>VLOOKUP(B499, Course!$A$2:$L$150, 8, FALSE)</f>
        <v>12</v>
      </c>
      <c r="H499">
        <v>3</v>
      </c>
      <c r="I499">
        <v>1</v>
      </c>
      <c r="K499" t="s">
        <v>1581</v>
      </c>
      <c r="L499" t="str">
        <f>VLOOKUP(B499, Course!$A$1:$O$133, 14, FALSE)</f>
        <v>SS</v>
      </c>
      <c r="M499">
        <v>1</v>
      </c>
    </row>
    <row r="500" spans="1:13" x14ac:dyDescent="0.2">
      <c r="A500">
        <v>499</v>
      </c>
      <c r="B500">
        <v>42</v>
      </c>
      <c r="C500">
        <v>68</v>
      </c>
      <c r="D500" t="s">
        <v>156</v>
      </c>
      <c r="E500" t="str">
        <f t="shared" si="7"/>
        <v>1268SS03PT</v>
      </c>
      <c r="F500">
        <f>VLOOKUP(B500,Course!$A$2:$R$329,2,FALSE)</f>
        <v>0</v>
      </c>
      <c r="G500">
        <f>VLOOKUP(B500, Course!$A$2:$L$150, 8, FALSE)</f>
        <v>12</v>
      </c>
      <c r="H500">
        <v>3</v>
      </c>
      <c r="I500">
        <v>1</v>
      </c>
      <c r="K500" t="s">
        <v>1581</v>
      </c>
      <c r="L500" t="str">
        <f>VLOOKUP(B500, Course!$A$1:$O$133, 14, FALSE)</f>
        <v>SS</v>
      </c>
      <c r="M500">
        <v>1</v>
      </c>
    </row>
    <row r="501" spans="1:13" x14ac:dyDescent="0.2">
      <c r="A501">
        <v>500</v>
      </c>
      <c r="B501">
        <v>42</v>
      </c>
      <c r="C501">
        <v>69</v>
      </c>
      <c r="D501" t="s">
        <v>156</v>
      </c>
      <c r="E501" t="str">
        <f t="shared" si="7"/>
        <v>1269SS03PT</v>
      </c>
      <c r="F501">
        <f>VLOOKUP(B501,Course!$A$2:$R$329,2,FALSE)</f>
        <v>0</v>
      </c>
      <c r="G501">
        <f>VLOOKUP(B501, Course!$A$2:$L$150, 8, FALSE)</f>
        <v>12</v>
      </c>
      <c r="H501">
        <v>3</v>
      </c>
      <c r="I501">
        <v>1</v>
      </c>
      <c r="K501" t="s">
        <v>1581</v>
      </c>
      <c r="L501" t="str">
        <f>VLOOKUP(B501, Course!$A$1:$O$133, 14, FALSE)</f>
        <v>SS</v>
      </c>
      <c r="M501">
        <v>1</v>
      </c>
    </row>
    <row r="502" spans="1:13" x14ac:dyDescent="0.2">
      <c r="A502">
        <v>501</v>
      </c>
      <c r="B502">
        <v>42</v>
      </c>
      <c r="C502">
        <v>70</v>
      </c>
      <c r="D502" t="s">
        <v>156</v>
      </c>
      <c r="E502" t="str">
        <f t="shared" si="7"/>
        <v>1270SS03PT</v>
      </c>
      <c r="F502">
        <f>VLOOKUP(B502,Course!$A$2:$R$329,2,FALSE)</f>
        <v>0</v>
      </c>
      <c r="G502">
        <f>VLOOKUP(B502, Course!$A$2:$L$150, 8, FALSE)</f>
        <v>12</v>
      </c>
      <c r="H502">
        <v>3</v>
      </c>
      <c r="I502">
        <v>1</v>
      </c>
      <c r="K502" t="s">
        <v>1581</v>
      </c>
      <c r="L502" t="str">
        <f>VLOOKUP(B502, Course!$A$1:$O$133, 14, FALSE)</f>
        <v>SS</v>
      </c>
      <c r="M502">
        <v>1</v>
      </c>
    </row>
    <row r="503" spans="1:13" x14ac:dyDescent="0.2">
      <c r="A503">
        <v>502</v>
      </c>
      <c r="B503">
        <v>42</v>
      </c>
      <c r="C503">
        <v>71</v>
      </c>
      <c r="D503" t="s">
        <v>156</v>
      </c>
      <c r="E503" t="str">
        <f t="shared" si="7"/>
        <v>1271SS03PT</v>
      </c>
      <c r="F503">
        <f>VLOOKUP(B503,Course!$A$2:$R$329,2,FALSE)</f>
        <v>0</v>
      </c>
      <c r="G503">
        <f>VLOOKUP(B503, Course!$A$2:$L$150, 8, FALSE)</f>
        <v>12</v>
      </c>
      <c r="H503">
        <v>3</v>
      </c>
      <c r="I503">
        <v>1</v>
      </c>
      <c r="K503" t="s">
        <v>1581</v>
      </c>
      <c r="L503" t="str">
        <f>VLOOKUP(B503, Course!$A$1:$O$133, 14, FALSE)</f>
        <v>SS</v>
      </c>
      <c r="M503">
        <v>1</v>
      </c>
    </row>
    <row r="504" spans="1:13" x14ac:dyDescent="0.2">
      <c r="A504">
        <v>503</v>
      </c>
      <c r="B504">
        <v>42</v>
      </c>
      <c r="C504">
        <v>72</v>
      </c>
      <c r="D504" t="s">
        <v>156</v>
      </c>
      <c r="E504" t="str">
        <f t="shared" si="7"/>
        <v>1272SS03PT</v>
      </c>
      <c r="F504">
        <f>VLOOKUP(B504,Course!$A$2:$R$329,2,FALSE)</f>
        <v>0</v>
      </c>
      <c r="G504">
        <f>VLOOKUP(B504, Course!$A$2:$L$150, 8, FALSE)</f>
        <v>12</v>
      </c>
      <c r="H504">
        <v>3</v>
      </c>
      <c r="I504">
        <v>1</v>
      </c>
      <c r="K504" t="s">
        <v>1581</v>
      </c>
      <c r="L504" t="str">
        <f>VLOOKUP(B504, Course!$A$1:$O$133, 14, FALSE)</f>
        <v>SS</v>
      </c>
      <c r="M504">
        <v>1</v>
      </c>
    </row>
    <row r="505" spans="1:13" x14ac:dyDescent="0.2">
      <c r="A505">
        <v>504</v>
      </c>
      <c r="B505">
        <v>43</v>
      </c>
      <c r="C505">
        <v>61</v>
      </c>
      <c r="D505" t="s">
        <v>231</v>
      </c>
      <c r="E505" t="str">
        <f t="shared" si="7"/>
        <v>1261BR03PT</v>
      </c>
      <c r="F505">
        <f>VLOOKUP(B505,Course!$A$2:$R$329,2,FALSE)</f>
        <v>0</v>
      </c>
      <c r="G505">
        <f>VLOOKUP(B505, Course!$A$2:$L$150, 8, FALSE)</f>
        <v>12</v>
      </c>
      <c r="H505">
        <v>3</v>
      </c>
      <c r="I505">
        <v>1</v>
      </c>
      <c r="K505" t="s">
        <v>1581</v>
      </c>
      <c r="L505" t="str">
        <f>VLOOKUP(B505, Course!$A$1:$O$133, 14, FALSE)</f>
        <v>BR</v>
      </c>
      <c r="M505">
        <v>1</v>
      </c>
    </row>
    <row r="506" spans="1:13" x14ac:dyDescent="0.2">
      <c r="A506">
        <v>505</v>
      </c>
      <c r="B506">
        <v>43</v>
      </c>
      <c r="C506">
        <v>62</v>
      </c>
      <c r="D506" t="s">
        <v>231</v>
      </c>
      <c r="E506" t="str">
        <f t="shared" si="7"/>
        <v>1262BR03PT</v>
      </c>
      <c r="F506">
        <f>VLOOKUP(B506,Course!$A$2:$R$329,2,FALSE)</f>
        <v>0</v>
      </c>
      <c r="G506">
        <f>VLOOKUP(B506, Course!$A$2:$L$150, 8, FALSE)</f>
        <v>12</v>
      </c>
      <c r="H506">
        <v>3</v>
      </c>
      <c r="I506">
        <v>1</v>
      </c>
      <c r="K506" t="s">
        <v>1581</v>
      </c>
      <c r="L506" t="str">
        <f>VLOOKUP(B506, Course!$A$1:$O$133, 14, FALSE)</f>
        <v>BR</v>
      </c>
      <c r="M506">
        <v>1</v>
      </c>
    </row>
    <row r="507" spans="1:13" x14ac:dyDescent="0.2">
      <c r="A507">
        <v>506</v>
      </c>
      <c r="B507">
        <v>43</v>
      </c>
      <c r="C507">
        <v>63</v>
      </c>
      <c r="D507" t="s">
        <v>231</v>
      </c>
      <c r="E507" t="str">
        <f t="shared" si="7"/>
        <v>1263BR03PT</v>
      </c>
      <c r="F507">
        <f>VLOOKUP(B507,Course!$A$2:$R$329,2,FALSE)</f>
        <v>0</v>
      </c>
      <c r="G507">
        <f>VLOOKUP(B507, Course!$A$2:$L$150, 8, FALSE)</f>
        <v>12</v>
      </c>
      <c r="H507">
        <v>3</v>
      </c>
      <c r="I507">
        <v>1</v>
      </c>
      <c r="K507" t="s">
        <v>1581</v>
      </c>
      <c r="L507" t="str">
        <f>VLOOKUP(B507, Course!$A$1:$O$133, 14, FALSE)</f>
        <v>BR</v>
      </c>
      <c r="M507">
        <v>1</v>
      </c>
    </row>
    <row r="508" spans="1:13" x14ac:dyDescent="0.2">
      <c r="A508">
        <v>507</v>
      </c>
      <c r="B508">
        <v>43</v>
      </c>
      <c r="C508">
        <v>64</v>
      </c>
      <c r="D508" t="s">
        <v>231</v>
      </c>
      <c r="E508" t="str">
        <f t="shared" si="7"/>
        <v>1264BR03PT</v>
      </c>
      <c r="F508">
        <f>VLOOKUP(B508,Course!$A$2:$R$329,2,FALSE)</f>
        <v>0</v>
      </c>
      <c r="G508">
        <f>VLOOKUP(B508, Course!$A$2:$L$150, 8, FALSE)</f>
        <v>12</v>
      </c>
      <c r="H508">
        <v>3</v>
      </c>
      <c r="I508">
        <v>1</v>
      </c>
      <c r="K508" t="s">
        <v>1581</v>
      </c>
      <c r="L508" t="str">
        <f>VLOOKUP(B508, Course!$A$1:$O$133, 14, FALSE)</f>
        <v>BR</v>
      </c>
      <c r="M508">
        <v>1</v>
      </c>
    </row>
    <row r="509" spans="1:13" x14ac:dyDescent="0.2">
      <c r="A509">
        <v>508</v>
      </c>
      <c r="B509">
        <v>43</v>
      </c>
      <c r="C509">
        <v>65</v>
      </c>
      <c r="D509" t="s">
        <v>231</v>
      </c>
      <c r="E509" t="str">
        <f t="shared" si="7"/>
        <v>1265BR03PT</v>
      </c>
      <c r="F509">
        <f>VLOOKUP(B509,Course!$A$2:$R$329,2,FALSE)</f>
        <v>0</v>
      </c>
      <c r="G509">
        <f>VLOOKUP(B509, Course!$A$2:$L$150, 8, FALSE)</f>
        <v>12</v>
      </c>
      <c r="H509">
        <v>3</v>
      </c>
      <c r="I509">
        <v>1</v>
      </c>
      <c r="K509" t="s">
        <v>1581</v>
      </c>
      <c r="L509" t="str">
        <f>VLOOKUP(B509, Course!$A$1:$O$133, 14, FALSE)</f>
        <v>BR</v>
      </c>
      <c r="M509">
        <v>1</v>
      </c>
    </row>
    <row r="510" spans="1:13" x14ac:dyDescent="0.2">
      <c r="A510">
        <v>509</v>
      </c>
      <c r="B510">
        <v>43</v>
      </c>
      <c r="C510">
        <v>66</v>
      </c>
      <c r="D510" t="s">
        <v>231</v>
      </c>
      <c r="E510" t="str">
        <f t="shared" si="7"/>
        <v>1266BR03PT</v>
      </c>
      <c r="F510">
        <f>VLOOKUP(B510,Course!$A$2:$R$329,2,FALSE)</f>
        <v>0</v>
      </c>
      <c r="G510">
        <f>VLOOKUP(B510, Course!$A$2:$L$150, 8, FALSE)</f>
        <v>12</v>
      </c>
      <c r="H510">
        <v>3</v>
      </c>
      <c r="I510">
        <v>1</v>
      </c>
      <c r="K510" t="s">
        <v>1581</v>
      </c>
      <c r="L510" t="str">
        <f>VLOOKUP(B510, Course!$A$1:$O$133, 14, FALSE)</f>
        <v>BR</v>
      </c>
      <c r="M510">
        <v>1</v>
      </c>
    </row>
    <row r="511" spans="1:13" x14ac:dyDescent="0.2">
      <c r="A511">
        <v>510</v>
      </c>
      <c r="B511">
        <v>43</v>
      </c>
      <c r="C511">
        <v>67</v>
      </c>
      <c r="D511" t="s">
        <v>231</v>
      </c>
      <c r="E511" t="str">
        <f t="shared" si="7"/>
        <v>1267BR03PT</v>
      </c>
      <c r="F511">
        <f>VLOOKUP(B511,Course!$A$2:$R$329,2,FALSE)</f>
        <v>0</v>
      </c>
      <c r="G511">
        <f>VLOOKUP(B511, Course!$A$2:$L$150, 8, FALSE)</f>
        <v>12</v>
      </c>
      <c r="H511">
        <v>3</v>
      </c>
      <c r="I511">
        <v>1</v>
      </c>
      <c r="K511" t="s">
        <v>1581</v>
      </c>
      <c r="L511" t="str">
        <f>VLOOKUP(B511, Course!$A$1:$O$133, 14, FALSE)</f>
        <v>BR</v>
      </c>
      <c r="M511">
        <v>1</v>
      </c>
    </row>
    <row r="512" spans="1:13" x14ac:dyDescent="0.2">
      <c r="A512">
        <v>511</v>
      </c>
      <c r="B512">
        <v>43</v>
      </c>
      <c r="C512">
        <v>68</v>
      </c>
      <c r="D512" t="s">
        <v>231</v>
      </c>
      <c r="E512" t="str">
        <f t="shared" si="7"/>
        <v>1268BR03PT</v>
      </c>
      <c r="F512">
        <f>VLOOKUP(B512,Course!$A$2:$R$329,2,FALSE)</f>
        <v>0</v>
      </c>
      <c r="G512">
        <f>VLOOKUP(B512, Course!$A$2:$L$150, 8, FALSE)</f>
        <v>12</v>
      </c>
      <c r="H512">
        <v>3</v>
      </c>
      <c r="I512">
        <v>1</v>
      </c>
      <c r="K512" t="s">
        <v>1581</v>
      </c>
      <c r="L512" t="str">
        <f>VLOOKUP(B512, Course!$A$1:$O$133, 14, FALSE)</f>
        <v>BR</v>
      </c>
      <c r="M512">
        <v>1</v>
      </c>
    </row>
    <row r="513" spans="1:13" x14ac:dyDescent="0.2">
      <c r="A513">
        <v>512</v>
      </c>
      <c r="B513">
        <v>43</v>
      </c>
      <c r="C513">
        <v>69</v>
      </c>
      <c r="D513" t="s">
        <v>231</v>
      </c>
      <c r="E513" t="str">
        <f t="shared" si="7"/>
        <v>1269BR03PT</v>
      </c>
      <c r="F513">
        <f>VLOOKUP(B513,Course!$A$2:$R$329,2,FALSE)</f>
        <v>0</v>
      </c>
      <c r="G513">
        <f>VLOOKUP(B513, Course!$A$2:$L$150, 8, FALSE)</f>
        <v>12</v>
      </c>
      <c r="H513">
        <v>3</v>
      </c>
      <c r="I513">
        <v>1</v>
      </c>
      <c r="K513" t="s">
        <v>1581</v>
      </c>
      <c r="L513" t="str">
        <f>VLOOKUP(B513, Course!$A$1:$O$133, 14, FALSE)</f>
        <v>BR</v>
      </c>
      <c r="M513">
        <v>1</v>
      </c>
    </row>
    <row r="514" spans="1:13" x14ac:dyDescent="0.2">
      <c r="A514">
        <v>513</v>
      </c>
      <c r="B514">
        <v>43</v>
      </c>
      <c r="C514">
        <v>70</v>
      </c>
      <c r="D514" t="s">
        <v>231</v>
      </c>
      <c r="E514" t="str">
        <f t="shared" ref="E514:E577" si="8">UPPER(LEFT(G514,2)) &amp; RIGHT("0" &amp; C514, 2) &amp; D514 &amp; RIGHT("0" &amp; H514, 2) &amp; K514</f>
        <v>1270BR03PT</v>
      </c>
      <c r="F514">
        <f>VLOOKUP(B514,Course!$A$2:$R$329,2,FALSE)</f>
        <v>0</v>
      </c>
      <c r="G514">
        <f>VLOOKUP(B514, Course!$A$2:$L$150, 8, FALSE)</f>
        <v>12</v>
      </c>
      <c r="H514">
        <v>3</v>
      </c>
      <c r="I514">
        <v>1</v>
      </c>
      <c r="K514" t="s">
        <v>1581</v>
      </c>
      <c r="L514" t="str">
        <f>VLOOKUP(B514, Course!$A$1:$O$133, 14, FALSE)</f>
        <v>BR</v>
      </c>
      <c r="M514">
        <v>1</v>
      </c>
    </row>
    <row r="515" spans="1:13" x14ac:dyDescent="0.2">
      <c r="A515">
        <v>514</v>
      </c>
      <c r="B515">
        <v>43</v>
      </c>
      <c r="C515">
        <v>71</v>
      </c>
      <c r="D515" t="s">
        <v>231</v>
      </c>
      <c r="E515" t="str">
        <f t="shared" si="8"/>
        <v>1271BR03PT</v>
      </c>
      <c r="F515">
        <f>VLOOKUP(B515,Course!$A$2:$R$329,2,FALSE)</f>
        <v>0</v>
      </c>
      <c r="G515">
        <f>VLOOKUP(B515, Course!$A$2:$L$150, 8, FALSE)</f>
        <v>12</v>
      </c>
      <c r="H515">
        <v>3</v>
      </c>
      <c r="I515">
        <v>1</v>
      </c>
      <c r="K515" t="s">
        <v>1581</v>
      </c>
      <c r="L515" t="str">
        <f>VLOOKUP(B515, Course!$A$1:$O$133, 14, FALSE)</f>
        <v>BR</v>
      </c>
      <c r="M515">
        <v>1</v>
      </c>
    </row>
    <row r="516" spans="1:13" x14ac:dyDescent="0.2">
      <c r="A516">
        <v>515</v>
      </c>
      <c r="B516">
        <v>43</v>
      </c>
      <c r="C516">
        <v>72</v>
      </c>
      <c r="D516" t="s">
        <v>231</v>
      </c>
      <c r="E516" t="str">
        <f t="shared" si="8"/>
        <v>1272BR03PT</v>
      </c>
      <c r="F516">
        <f>VLOOKUP(B516,Course!$A$2:$R$329,2,FALSE)</f>
        <v>0</v>
      </c>
      <c r="G516">
        <f>VLOOKUP(B516, Course!$A$2:$L$150, 8, FALSE)</f>
        <v>12</v>
      </c>
      <c r="H516">
        <v>3</v>
      </c>
      <c r="I516">
        <v>1</v>
      </c>
      <c r="K516" t="s">
        <v>1581</v>
      </c>
      <c r="L516" t="str">
        <f>VLOOKUP(B516, Course!$A$1:$O$133, 14, FALSE)</f>
        <v>BR</v>
      </c>
      <c r="M516">
        <v>1</v>
      </c>
    </row>
    <row r="517" spans="1:13" x14ac:dyDescent="0.2">
      <c r="A517">
        <v>516</v>
      </c>
      <c r="B517">
        <v>44</v>
      </c>
      <c r="C517">
        <v>73</v>
      </c>
      <c r="D517" t="s">
        <v>141</v>
      </c>
      <c r="E517" t="str">
        <f t="shared" si="8"/>
        <v>1273MA03PT</v>
      </c>
      <c r="F517">
        <f>VLOOKUP(B517,Course!$A$2:$R$329,2,FALSE)</f>
        <v>0</v>
      </c>
      <c r="G517">
        <f>VLOOKUP(B517, Course!$A$2:$L$150, 8, FALSE)</f>
        <v>12</v>
      </c>
      <c r="H517">
        <v>3</v>
      </c>
      <c r="I517">
        <v>1</v>
      </c>
      <c r="K517" t="s">
        <v>1581</v>
      </c>
      <c r="L517" t="str">
        <f>VLOOKUP(B517, Course!$A$1:$O$133, 14, FALSE)</f>
        <v>MA</v>
      </c>
      <c r="M517">
        <v>1</v>
      </c>
    </row>
    <row r="518" spans="1:13" x14ac:dyDescent="0.2">
      <c r="A518">
        <v>517</v>
      </c>
      <c r="B518">
        <v>44</v>
      </c>
      <c r="C518">
        <v>74</v>
      </c>
      <c r="D518" t="s">
        <v>141</v>
      </c>
      <c r="E518" t="str">
        <f t="shared" si="8"/>
        <v>1274MA03PT</v>
      </c>
      <c r="F518">
        <f>VLOOKUP(B518,Course!$A$2:$R$329,2,FALSE)</f>
        <v>0</v>
      </c>
      <c r="G518">
        <f>VLOOKUP(B518, Course!$A$2:$L$150, 8, FALSE)</f>
        <v>12</v>
      </c>
      <c r="H518">
        <v>3</v>
      </c>
      <c r="I518">
        <v>1</v>
      </c>
      <c r="K518" t="s">
        <v>1581</v>
      </c>
      <c r="L518" t="str">
        <f>VLOOKUP(B518, Course!$A$1:$O$133, 14, FALSE)</f>
        <v>MA</v>
      </c>
      <c r="M518">
        <v>1</v>
      </c>
    </row>
    <row r="519" spans="1:13" x14ac:dyDescent="0.2">
      <c r="A519">
        <v>518</v>
      </c>
      <c r="B519">
        <v>44</v>
      </c>
      <c r="C519">
        <v>75</v>
      </c>
      <c r="D519" t="s">
        <v>141</v>
      </c>
      <c r="E519" t="str">
        <f t="shared" si="8"/>
        <v>1275MA03PT</v>
      </c>
      <c r="F519">
        <f>VLOOKUP(B519,Course!$A$2:$R$329,2,FALSE)</f>
        <v>0</v>
      </c>
      <c r="G519">
        <f>VLOOKUP(B519, Course!$A$2:$L$150, 8, FALSE)</f>
        <v>12</v>
      </c>
      <c r="H519">
        <v>3</v>
      </c>
      <c r="I519">
        <v>1</v>
      </c>
      <c r="K519" t="s">
        <v>1581</v>
      </c>
      <c r="L519" t="str">
        <f>VLOOKUP(B519, Course!$A$1:$O$133, 14, FALSE)</f>
        <v>MA</v>
      </c>
      <c r="M519">
        <v>1</v>
      </c>
    </row>
    <row r="520" spans="1:13" x14ac:dyDescent="0.2">
      <c r="A520">
        <v>519</v>
      </c>
      <c r="B520">
        <v>44</v>
      </c>
      <c r="C520">
        <v>76</v>
      </c>
      <c r="D520" t="s">
        <v>141</v>
      </c>
      <c r="E520" t="str">
        <f t="shared" si="8"/>
        <v>1276MA03PT</v>
      </c>
      <c r="F520">
        <f>VLOOKUP(B520,Course!$A$2:$R$329,2,FALSE)</f>
        <v>0</v>
      </c>
      <c r="G520">
        <f>VLOOKUP(B520, Course!$A$2:$L$150, 8, FALSE)</f>
        <v>12</v>
      </c>
      <c r="H520">
        <v>3</v>
      </c>
      <c r="I520">
        <v>1</v>
      </c>
      <c r="K520" t="s">
        <v>1581</v>
      </c>
      <c r="L520" t="str">
        <f>VLOOKUP(B520, Course!$A$1:$O$133, 14, FALSE)</f>
        <v>MA</v>
      </c>
      <c r="M520">
        <v>1</v>
      </c>
    </row>
    <row r="521" spans="1:13" x14ac:dyDescent="0.2">
      <c r="A521">
        <v>520</v>
      </c>
      <c r="B521">
        <v>44</v>
      </c>
      <c r="C521">
        <v>77</v>
      </c>
      <c r="D521" t="s">
        <v>141</v>
      </c>
      <c r="E521" t="str">
        <f t="shared" si="8"/>
        <v>1277MA03PT</v>
      </c>
      <c r="F521">
        <f>VLOOKUP(B521,Course!$A$2:$R$329,2,FALSE)</f>
        <v>0</v>
      </c>
      <c r="G521">
        <f>VLOOKUP(B521, Course!$A$2:$L$150, 8, FALSE)</f>
        <v>12</v>
      </c>
      <c r="H521">
        <v>3</v>
      </c>
      <c r="I521">
        <v>1</v>
      </c>
      <c r="K521" t="s">
        <v>1581</v>
      </c>
      <c r="L521" t="str">
        <f>VLOOKUP(B521, Course!$A$1:$O$133, 14, FALSE)</f>
        <v>MA</v>
      </c>
      <c r="M521">
        <v>1</v>
      </c>
    </row>
    <row r="522" spans="1:13" x14ac:dyDescent="0.2">
      <c r="A522">
        <v>521</v>
      </c>
      <c r="B522">
        <v>44</v>
      </c>
      <c r="C522">
        <v>78</v>
      </c>
      <c r="D522" t="s">
        <v>141</v>
      </c>
      <c r="E522" t="str">
        <f t="shared" si="8"/>
        <v>1278MA03PT</v>
      </c>
      <c r="F522">
        <f>VLOOKUP(B522,Course!$A$2:$R$329,2,FALSE)</f>
        <v>0</v>
      </c>
      <c r="G522">
        <f>VLOOKUP(B522, Course!$A$2:$L$150, 8, FALSE)</f>
        <v>12</v>
      </c>
      <c r="H522">
        <v>3</v>
      </c>
      <c r="I522">
        <v>1</v>
      </c>
      <c r="K522" t="s">
        <v>1581</v>
      </c>
      <c r="L522" t="str">
        <f>VLOOKUP(B522, Course!$A$1:$O$133, 14, FALSE)</f>
        <v>MA</v>
      </c>
      <c r="M522">
        <v>1</v>
      </c>
    </row>
    <row r="523" spans="1:13" x14ac:dyDescent="0.2">
      <c r="A523">
        <v>522</v>
      </c>
      <c r="B523">
        <v>44</v>
      </c>
      <c r="C523">
        <v>79</v>
      </c>
      <c r="D523" t="s">
        <v>141</v>
      </c>
      <c r="E523" t="str">
        <f t="shared" si="8"/>
        <v>1279MA03PT</v>
      </c>
      <c r="F523">
        <f>VLOOKUP(B523,Course!$A$2:$R$329,2,FALSE)</f>
        <v>0</v>
      </c>
      <c r="G523">
        <f>VLOOKUP(B523, Course!$A$2:$L$150, 8, FALSE)</f>
        <v>12</v>
      </c>
      <c r="H523">
        <v>3</v>
      </c>
      <c r="I523">
        <v>1</v>
      </c>
      <c r="K523" t="s">
        <v>1581</v>
      </c>
      <c r="L523" t="str">
        <f>VLOOKUP(B523, Course!$A$1:$O$133, 14, FALSE)</f>
        <v>MA</v>
      </c>
      <c r="M523">
        <v>1</v>
      </c>
    </row>
    <row r="524" spans="1:13" x14ac:dyDescent="0.2">
      <c r="A524">
        <v>523</v>
      </c>
      <c r="B524">
        <v>44</v>
      </c>
      <c r="C524">
        <v>80</v>
      </c>
      <c r="D524" t="s">
        <v>141</v>
      </c>
      <c r="E524" t="str">
        <f t="shared" si="8"/>
        <v>1280MA03PT</v>
      </c>
      <c r="F524">
        <f>VLOOKUP(B524,Course!$A$2:$R$329,2,FALSE)</f>
        <v>0</v>
      </c>
      <c r="G524">
        <f>VLOOKUP(B524, Course!$A$2:$L$150, 8, FALSE)</f>
        <v>12</v>
      </c>
      <c r="H524">
        <v>3</v>
      </c>
      <c r="I524">
        <v>1</v>
      </c>
      <c r="K524" t="s">
        <v>1581</v>
      </c>
      <c r="L524" t="str">
        <f>VLOOKUP(B524, Course!$A$1:$O$133, 14, FALSE)</f>
        <v>MA</v>
      </c>
      <c r="M524">
        <v>1</v>
      </c>
    </row>
    <row r="525" spans="1:13" x14ac:dyDescent="0.2">
      <c r="A525">
        <v>524</v>
      </c>
      <c r="B525">
        <v>44</v>
      </c>
      <c r="C525">
        <v>81</v>
      </c>
      <c r="D525" t="s">
        <v>141</v>
      </c>
      <c r="E525" t="str">
        <f t="shared" si="8"/>
        <v>1281MA03PT</v>
      </c>
      <c r="F525">
        <f>VLOOKUP(B525,Course!$A$2:$R$329,2,FALSE)</f>
        <v>0</v>
      </c>
      <c r="G525">
        <f>VLOOKUP(B525, Course!$A$2:$L$150, 8, FALSE)</f>
        <v>12</v>
      </c>
      <c r="H525">
        <v>3</v>
      </c>
      <c r="I525">
        <v>1</v>
      </c>
      <c r="K525" t="s">
        <v>1581</v>
      </c>
      <c r="L525" t="str">
        <f>VLOOKUP(B525, Course!$A$1:$O$133, 14, FALSE)</f>
        <v>MA</v>
      </c>
      <c r="M525">
        <v>1</v>
      </c>
    </row>
    <row r="526" spans="1:13" x14ac:dyDescent="0.2">
      <c r="A526">
        <v>525</v>
      </c>
      <c r="B526">
        <v>44</v>
      </c>
      <c r="C526">
        <v>82</v>
      </c>
      <c r="D526" t="s">
        <v>141</v>
      </c>
      <c r="E526" t="str">
        <f t="shared" si="8"/>
        <v>1282MA03PT</v>
      </c>
      <c r="F526">
        <f>VLOOKUP(B526,Course!$A$2:$R$329,2,FALSE)</f>
        <v>0</v>
      </c>
      <c r="G526">
        <f>VLOOKUP(B526, Course!$A$2:$L$150, 8, FALSE)</f>
        <v>12</v>
      </c>
      <c r="H526">
        <v>3</v>
      </c>
      <c r="I526">
        <v>1</v>
      </c>
      <c r="K526" t="s">
        <v>1581</v>
      </c>
      <c r="L526" t="str">
        <f>VLOOKUP(B526, Course!$A$1:$O$133, 14, FALSE)</f>
        <v>MA</v>
      </c>
      <c r="M526">
        <v>1</v>
      </c>
    </row>
    <row r="527" spans="1:13" x14ac:dyDescent="0.2">
      <c r="A527">
        <v>526</v>
      </c>
      <c r="B527">
        <v>44</v>
      </c>
      <c r="C527">
        <v>83</v>
      </c>
      <c r="D527" t="s">
        <v>141</v>
      </c>
      <c r="E527" t="str">
        <f t="shared" si="8"/>
        <v>1283MA03PT</v>
      </c>
      <c r="F527">
        <f>VLOOKUP(B527,Course!$A$2:$R$329,2,FALSE)</f>
        <v>0</v>
      </c>
      <c r="G527">
        <f>VLOOKUP(B527, Course!$A$2:$L$150, 8, FALSE)</f>
        <v>12</v>
      </c>
      <c r="H527">
        <v>3</v>
      </c>
      <c r="I527">
        <v>1</v>
      </c>
      <c r="K527" t="s">
        <v>1581</v>
      </c>
      <c r="L527" t="str">
        <f>VLOOKUP(B527, Course!$A$1:$O$133, 14, FALSE)</f>
        <v>MA</v>
      </c>
      <c r="M527">
        <v>1</v>
      </c>
    </row>
    <row r="528" spans="1:13" x14ac:dyDescent="0.2">
      <c r="A528">
        <v>527</v>
      </c>
      <c r="B528">
        <v>44</v>
      </c>
      <c r="C528">
        <v>84</v>
      </c>
      <c r="D528" t="s">
        <v>141</v>
      </c>
      <c r="E528" t="str">
        <f t="shared" si="8"/>
        <v>1284MA03PT</v>
      </c>
      <c r="F528">
        <f>VLOOKUP(B528,Course!$A$2:$R$329,2,FALSE)</f>
        <v>0</v>
      </c>
      <c r="G528">
        <f>VLOOKUP(B528, Course!$A$2:$L$150, 8, FALSE)</f>
        <v>12</v>
      </c>
      <c r="H528">
        <v>3</v>
      </c>
      <c r="I528">
        <v>1</v>
      </c>
      <c r="K528" t="s">
        <v>1581</v>
      </c>
      <c r="L528" t="str">
        <f>VLOOKUP(B528, Course!$A$1:$O$133, 14, FALSE)</f>
        <v>MA</v>
      </c>
      <c r="M528">
        <v>1</v>
      </c>
    </row>
    <row r="529" spans="1:13" x14ac:dyDescent="0.2">
      <c r="A529">
        <v>528</v>
      </c>
      <c r="B529">
        <v>45</v>
      </c>
      <c r="C529">
        <v>73</v>
      </c>
      <c r="D529" t="s">
        <v>224</v>
      </c>
      <c r="E529" t="str">
        <f t="shared" si="8"/>
        <v>1273EN03PT</v>
      </c>
      <c r="F529">
        <f>VLOOKUP(B529,Course!$A$2:$R$329,2,FALSE)</f>
        <v>0</v>
      </c>
      <c r="G529">
        <f>VLOOKUP(B529, Course!$A$2:$L$150, 8, FALSE)</f>
        <v>12</v>
      </c>
      <c r="H529">
        <v>3</v>
      </c>
      <c r="I529">
        <v>1</v>
      </c>
      <c r="K529" t="s">
        <v>1581</v>
      </c>
      <c r="L529" t="str">
        <f>VLOOKUP(B529, Course!$A$1:$O$133, 14, FALSE)</f>
        <v>EN</v>
      </c>
      <c r="M529">
        <v>1</v>
      </c>
    </row>
    <row r="530" spans="1:13" x14ac:dyDescent="0.2">
      <c r="A530">
        <v>529</v>
      </c>
      <c r="B530">
        <v>45</v>
      </c>
      <c r="C530">
        <v>74</v>
      </c>
      <c r="D530" t="s">
        <v>224</v>
      </c>
      <c r="E530" t="str">
        <f t="shared" si="8"/>
        <v>1274EN03PT</v>
      </c>
      <c r="F530">
        <f>VLOOKUP(B530,Course!$A$2:$R$329,2,FALSE)</f>
        <v>0</v>
      </c>
      <c r="G530">
        <f>VLOOKUP(B530, Course!$A$2:$L$150, 8, FALSE)</f>
        <v>12</v>
      </c>
      <c r="H530">
        <v>3</v>
      </c>
      <c r="I530">
        <v>1</v>
      </c>
      <c r="K530" t="s">
        <v>1581</v>
      </c>
      <c r="L530" t="str">
        <f>VLOOKUP(B530, Course!$A$1:$O$133, 14, FALSE)</f>
        <v>EN</v>
      </c>
      <c r="M530">
        <v>1</v>
      </c>
    </row>
    <row r="531" spans="1:13" x14ac:dyDescent="0.2">
      <c r="A531">
        <v>530</v>
      </c>
      <c r="B531">
        <v>45</v>
      </c>
      <c r="C531">
        <v>75</v>
      </c>
      <c r="D531" t="s">
        <v>224</v>
      </c>
      <c r="E531" t="str">
        <f t="shared" si="8"/>
        <v>1275EN03PT</v>
      </c>
      <c r="F531">
        <f>VLOOKUP(B531,Course!$A$2:$R$329,2,FALSE)</f>
        <v>0</v>
      </c>
      <c r="G531">
        <f>VLOOKUP(B531, Course!$A$2:$L$150, 8, FALSE)</f>
        <v>12</v>
      </c>
      <c r="H531">
        <v>3</v>
      </c>
      <c r="I531">
        <v>1</v>
      </c>
      <c r="K531" t="s">
        <v>1581</v>
      </c>
      <c r="L531" t="str">
        <f>VLOOKUP(B531, Course!$A$1:$O$133, 14, FALSE)</f>
        <v>EN</v>
      </c>
      <c r="M531">
        <v>1</v>
      </c>
    </row>
    <row r="532" spans="1:13" x14ac:dyDescent="0.2">
      <c r="A532">
        <v>531</v>
      </c>
      <c r="B532">
        <v>45</v>
      </c>
      <c r="C532">
        <v>76</v>
      </c>
      <c r="D532" t="s">
        <v>224</v>
      </c>
      <c r="E532" t="str">
        <f t="shared" si="8"/>
        <v>1276EN03PT</v>
      </c>
      <c r="F532">
        <f>VLOOKUP(B532,Course!$A$2:$R$329,2,FALSE)</f>
        <v>0</v>
      </c>
      <c r="G532">
        <f>VLOOKUP(B532, Course!$A$2:$L$150, 8, FALSE)</f>
        <v>12</v>
      </c>
      <c r="H532">
        <v>3</v>
      </c>
      <c r="I532">
        <v>1</v>
      </c>
      <c r="K532" t="s">
        <v>1581</v>
      </c>
      <c r="L532" t="str">
        <f>VLOOKUP(B532, Course!$A$1:$O$133, 14, FALSE)</f>
        <v>EN</v>
      </c>
      <c r="M532">
        <v>1</v>
      </c>
    </row>
    <row r="533" spans="1:13" x14ac:dyDescent="0.2">
      <c r="A533">
        <v>532</v>
      </c>
      <c r="B533">
        <v>45</v>
      </c>
      <c r="C533">
        <v>77</v>
      </c>
      <c r="D533" t="s">
        <v>224</v>
      </c>
      <c r="E533" t="str">
        <f t="shared" si="8"/>
        <v>1277EN03PT</v>
      </c>
      <c r="F533">
        <f>VLOOKUP(B533,Course!$A$2:$R$329,2,FALSE)</f>
        <v>0</v>
      </c>
      <c r="G533">
        <f>VLOOKUP(B533, Course!$A$2:$L$150, 8, FALSE)</f>
        <v>12</v>
      </c>
      <c r="H533">
        <v>3</v>
      </c>
      <c r="I533">
        <v>1</v>
      </c>
      <c r="K533" t="s">
        <v>1581</v>
      </c>
      <c r="L533" t="str">
        <f>VLOOKUP(B533, Course!$A$1:$O$133, 14, FALSE)</f>
        <v>EN</v>
      </c>
      <c r="M533">
        <v>1</v>
      </c>
    </row>
    <row r="534" spans="1:13" x14ac:dyDescent="0.2">
      <c r="A534">
        <v>533</v>
      </c>
      <c r="B534">
        <v>45</v>
      </c>
      <c r="C534">
        <v>78</v>
      </c>
      <c r="D534" t="s">
        <v>224</v>
      </c>
      <c r="E534" t="str">
        <f t="shared" si="8"/>
        <v>1278EN03PT</v>
      </c>
      <c r="F534">
        <f>VLOOKUP(B534,Course!$A$2:$R$329,2,FALSE)</f>
        <v>0</v>
      </c>
      <c r="G534">
        <f>VLOOKUP(B534, Course!$A$2:$L$150, 8, FALSE)</f>
        <v>12</v>
      </c>
      <c r="H534">
        <v>3</v>
      </c>
      <c r="I534">
        <v>1</v>
      </c>
      <c r="K534" t="s">
        <v>1581</v>
      </c>
      <c r="L534" t="str">
        <f>VLOOKUP(B534, Course!$A$1:$O$133, 14, FALSE)</f>
        <v>EN</v>
      </c>
      <c r="M534">
        <v>1</v>
      </c>
    </row>
    <row r="535" spans="1:13" x14ac:dyDescent="0.2">
      <c r="A535">
        <v>534</v>
      </c>
      <c r="B535">
        <v>45</v>
      </c>
      <c r="C535">
        <v>79</v>
      </c>
      <c r="D535" t="s">
        <v>224</v>
      </c>
      <c r="E535" t="str">
        <f t="shared" si="8"/>
        <v>1279EN03PT</v>
      </c>
      <c r="F535">
        <f>VLOOKUP(B535,Course!$A$2:$R$329,2,FALSE)</f>
        <v>0</v>
      </c>
      <c r="G535">
        <f>VLOOKUP(B535, Course!$A$2:$L$150, 8, FALSE)</f>
        <v>12</v>
      </c>
      <c r="H535">
        <v>3</v>
      </c>
      <c r="I535">
        <v>1</v>
      </c>
      <c r="K535" t="s">
        <v>1581</v>
      </c>
      <c r="L535" t="str">
        <f>VLOOKUP(B535, Course!$A$1:$O$133, 14, FALSE)</f>
        <v>EN</v>
      </c>
      <c r="M535">
        <v>1</v>
      </c>
    </row>
    <row r="536" spans="1:13" x14ac:dyDescent="0.2">
      <c r="A536">
        <v>535</v>
      </c>
      <c r="B536">
        <v>45</v>
      </c>
      <c r="C536">
        <v>80</v>
      </c>
      <c r="D536" t="s">
        <v>224</v>
      </c>
      <c r="E536" t="str">
        <f t="shared" si="8"/>
        <v>1280EN03PT</v>
      </c>
      <c r="F536">
        <f>VLOOKUP(B536,Course!$A$2:$R$329,2,FALSE)</f>
        <v>0</v>
      </c>
      <c r="G536">
        <f>VLOOKUP(B536, Course!$A$2:$L$150, 8, FALSE)</f>
        <v>12</v>
      </c>
      <c r="H536">
        <v>3</v>
      </c>
      <c r="I536">
        <v>1</v>
      </c>
      <c r="K536" t="s">
        <v>1581</v>
      </c>
      <c r="L536" t="str">
        <f>VLOOKUP(B536, Course!$A$1:$O$133, 14, FALSE)</f>
        <v>EN</v>
      </c>
      <c r="M536">
        <v>1</v>
      </c>
    </row>
    <row r="537" spans="1:13" x14ac:dyDescent="0.2">
      <c r="A537">
        <v>536</v>
      </c>
      <c r="B537">
        <v>45</v>
      </c>
      <c r="C537">
        <v>81</v>
      </c>
      <c r="D537" t="s">
        <v>224</v>
      </c>
      <c r="E537" t="str">
        <f t="shared" si="8"/>
        <v>1281EN03PT</v>
      </c>
      <c r="F537">
        <f>VLOOKUP(B537,Course!$A$2:$R$329,2,FALSE)</f>
        <v>0</v>
      </c>
      <c r="G537">
        <f>VLOOKUP(B537, Course!$A$2:$L$150, 8, FALSE)</f>
        <v>12</v>
      </c>
      <c r="H537">
        <v>3</v>
      </c>
      <c r="I537">
        <v>1</v>
      </c>
      <c r="K537" t="s">
        <v>1581</v>
      </c>
      <c r="L537" t="str">
        <f>VLOOKUP(B537, Course!$A$1:$O$133, 14, FALSE)</f>
        <v>EN</v>
      </c>
      <c r="M537">
        <v>1</v>
      </c>
    </row>
    <row r="538" spans="1:13" x14ac:dyDescent="0.2">
      <c r="A538">
        <v>537</v>
      </c>
      <c r="B538">
        <v>45</v>
      </c>
      <c r="C538">
        <v>82</v>
      </c>
      <c r="D538" t="s">
        <v>224</v>
      </c>
      <c r="E538" t="str">
        <f t="shared" si="8"/>
        <v>1282EN03PT</v>
      </c>
      <c r="F538">
        <f>VLOOKUP(B538,Course!$A$2:$R$329,2,FALSE)</f>
        <v>0</v>
      </c>
      <c r="G538">
        <f>VLOOKUP(B538, Course!$A$2:$L$150, 8, FALSE)</f>
        <v>12</v>
      </c>
      <c r="H538">
        <v>3</v>
      </c>
      <c r="I538">
        <v>1</v>
      </c>
      <c r="K538" t="s">
        <v>1581</v>
      </c>
      <c r="L538" t="str">
        <f>VLOOKUP(B538, Course!$A$1:$O$133, 14, FALSE)</f>
        <v>EN</v>
      </c>
      <c r="M538">
        <v>1</v>
      </c>
    </row>
    <row r="539" spans="1:13" x14ac:dyDescent="0.2">
      <c r="A539">
        <v>538</v>
      </c>
      <c r="B539">
        <v>45</v>
      </c>
      <c r="C539">
        <v>83</v>
      </c>
      <c r="D539" t="s">
        <v>224</v>
      </c>
      <c r="E539" t="str">
        <f t="shared" si="8"/>
        <v>1283EN03PT</v>
      </c>
      <c r="F539">
        <f>VLOOKUP(B539,Course!$A$2:$R$329,2,FALSE)</f>
        <v>0</v>
      </c>
      <c r="G539">
        <f>VLOOKUP(B539, Course!$A$2:$L$150, 8, FALSE)</f>
        <v>12</v>
      </c>
      <c r="H539">
        <v>3</v>
      </c>
      <c r="I539">
        <v>1</v>
      </c>
      <c r="K539" t="s">
        <v>1581</v>
      </c>
      <c r="L539" t="str">
        <f>VLOOKUP(B539, Course!$A$1:$O$133, 14, FALSE)</f>
        <v>EN</v>
      </c>
      <c r="M539">
        <v>1</v>
      </c>
    </row>
    <row r="540" spans="1:13" x14ac:dyDescent="0.2">
      <c r="A540">
        <v>539</v>
      </c>
      <c r="B540">
        <v>45</v>
      </c>
      <c r="C540">
        <v>84</v>
      </c>
      <c r="D540" t="s">
        <v>224</v>
      </c>
      <c r="E540" t="str">
        <f t="shared" si="8"/>
        <v>1284EN03PT</v>
      </c>
      <c r="F540">
        <f>VLOOKUP(B540,Course!$A$2:$R$329,2,FALSE)</f>
        <v>0</v>
      </c>
      <c r="G540">
        <f>VLOOKUP(B540, Course!$A$2:$L$150, 8, FALSE)</f>
        <v>12</v>
      </c>
      <c r="H540">
        <v>3</v>
      </c>
      <c r="I540">
        <v>1</v>
      </c>
      <c r="K540" t="s">
        <v>1581</v>
      </c>
      <c r="L540" t="str">
        <f>VLOOKUP(B540, Course!$A$1:$O$133, 14, FALSE)</f>
        <v>EN</v>
      </c>
      <c r="M540">
        <v>1</v>
      </c>
    </row>
    <row r="541" spans="1:13" x14ac:dyDescent="0.2">
      <c r="A541">
        <v>540</v>
      </c>
      <c r="B541">
        <v>46</v>
      </c>
      <c r="C541">
        <v>73</v>
      </c>
      <c r="D541" t="s">
        <v>270</v>
      </c>
      <c r="E541" t="str">
        <f t="shared" si="8"/>
        <v>1273BA03PT</v>
      </c>
      <c r="F541">
        <f>VLOOKUP(B541,Course!$A$2:$R$329,2,FALSE)</f>
        <v>0</v>
      </c>
      <c r="G541">
        <f>VLOOKUP(B541, Course!$A$2:$L$150, 8, FALSE)</f>
        <v>12</v>
      </c>
      <c r="H541">
        <v>3</v>
      </c>
      <c r="I541">
        <v>1</v>
      </c>
      <c r="K541" t="s">
        <v>1581</v>
      </c>
      <c r="L541" t="str">
        <f>VLOOKUP(B541, Course!$A$1:$O$133, 14, FALSE)</f>
        <v>BA</v>
      </c>
      <c r="M541">
        <v>1</v>
      </c>
    </row>
    <row r="542" spans="1:13" x14ac:dyDescent="0.2">
      <c r="A542">
        <v>541</v>
      </c>
      <c r="B542">
        <v>46</v>
      </c>
      <c r="C542">
        <v>74</v>
      </c>
      <c r="D542" t="s">
        <v>270</v>
      </c>
      <c r="E542" t="str">
        <f t="shared" si="8"/>
        <v>1274BA03PT</v>
      </c>
      <c r="F542">
        <f>VLOOKUP(B542,Course!$A$2:$R$329,2,FALSE)</f>
        <v>0</v>
      </c>
      <c r="G542">
        <f>VLOOKUP(B542, Course!$A$2:$L$150, 8, FALSE)</f>
        <v>12</v>
      </c>
      <c r="H542">
        <v>3</v>
      </c>
      <c r="I542">
        <v>1</v>
      </c>
      <c r="K542" t="s">
        <v>1581</v>
      </c>
      <c r="L542" t="str">
        <f>VLOOKUP(B542, Course!$A$1:$O$133, 14, FALSE)</f>
        <v>BA</v>
      </c>
      <c r="M542">
        <v>1</v>
      </c>
    </row>
    <row r="543" spans="1:13" x14ac:dyDescent="0.2">
      <c r="A543">
        <v>542</v>
      </c>
      <c r="B543">
        <v>46</v>
      </c>
      <c r="C543">
        <v>75</v>
      </c>
      <c r="D543" t="s">
        <v>270</v>
      </c>
      <c r="E543" t="str">
        <f t="shared" si="8"/>
        <v>1275BA03PT</v>
      </c>
      <c r="F543">
        <f>VLOOKUP(B543,Course!$A$2:$R$329,2,FALSE)</f>
        <v>0</v>
      </c>
      <c r="G543">
        <f>VLOOKUP(B543, Course!$A$2:$L$150, 8, FALSE)</f>
        <v>12</v>
      </c>
      <c r="H543">
        <v>3</v>
      </c>
      <c r="I543">
        <v>1</v>
      </c>
      <c r="K543" t="s">
        <v>1581</v>
      </c>
      <c r="L543" t="str">
        <f>VLOOKUP(B543, Course!$A$1:$O$133, 14, FALSE)</f>
        <v>BA</v>
      </c>
      <c r="M543">
        <v>1</v>
      </c>
    </row>
    <row r="544" spans="1:13" x14ac:dyDescent="0.2">
      <c r="A544">
        <v>543</v>
      </c>
      <c r="B544">
        <v>46</v>
      </c>
      <c r="C544">
        <v>76</v>
      </c>
      <c r="D544" t="s">
        <v>270</v>
      </c>
      <c r="E544" t="str">
        <f t="shared" si="8"/>
        <v>1276BA03PT</v>
      </c>
      <c r="F544">
        <f>VLOOKUP(B544,Course!$A$2:$R$329,2,FALSE)</f>
        <v>0</v>
      </c>
      <c r="G544">
        <f>VLOOKUP(B544, Course!$A$2:$L$150, 8, FALSE)</f>
        <v>12</v>
      </c>
      <c r="H544">
        <v>3</v>
      </c>
      <c r="I544">
        <v>1</v>
      </c>
      <c r="K544" t="s">
        <v>1581</v>
      </c>
      <c r="L544" t="str">
        <f>VLOOKUP(B544, Course!$A$1:$O$133, 14, FALSE)</f>
        <v>BA</v>
      </c>
      <c r="M544">
        <v>1</v>
      </c>
    </row>
    <row r="545" spans="1:13" x14ac:dyDescent="0.2">
      <c r="A545">
        <v>544</v>
      </c>
      <c r="B545">
        <v>46</v>
      </c>
      <c r="C545">
        <v>77</v>
      </c>
      <c r="D545" t="s">
        <v>270</v>
      </c>
      <c r="E545" t="str">
        <f t="shared" si="8"/>
        <v>1277BA03PT</v>
      </c>
      <c r="F545">
        <f>VLOOKUP(B545,Course!$A$2:$R$329,2,FALSE)</f>
        <v>0</v>
      </c>
      <c r="G545">
        <f>VLOOKUP(B545, Course!$A$2:$L$150, 8, FALSE)</f>
        <v>12</v>
      </c>
      <c r="H545">
        <v>3</v>
      </c>
      <c r="I545">
        <v>1</v>
      </c>
      <c r="K545" t="s">
        <v>1581</v>
      </c>
      <c r="L545" t="str">
        <f>VLOOKUP(B545, Course!$A$1:$O$133, 14, FALSE)</f>
        <v>BA</v>
      </c>
      <c r="M545">
        <v>1</v>
      </c>
    </row>
    <row r="546" spans="1:13" x14ac:dyDescent="0.2">
      <c r="A546">
        <v>545</v>
      </c>
      <c r="B546">
        <v>46</v>
      </c>
      <c r="C546">
        <v>78</v>
      </c>
      <c r="D546" t="s">
        <v>270</v>
      </c>
      <c r="E546" t="str">
        <f t="shared" si="8"/>
        <v>1278BA03PT</v>
      </c>
      <c r="F546">
        <f>VLOOKUP(B546,Course!$A$2:$R$329,2,FALSE)</f>
        <v>0</v>
      </c>
      <c r="G546">
        <f>VLOOKUP(B546, Course!$A$2:$L$150, 8, FALSE)</f>
        <v>12</v>
      </c>
      <c r="H546">
        <v>3</v>
      </c>
      <c r="I546">
        <v>1</v>
      </c>
      <c r="K546" t="s">
        <v>1581</v>
      </c>
      <c r="L546" t="str">
        <f>VLOOKUP(B546, Course!$A$1:$O$133, 14, FALSE)</f>
        <v>BA</v>
      </c>
      <c r="M546">
        <v>1</v>
      </c>
    </row>
    <row r="547" spans="1:13" x14ac:dyDescent="0.2">
      <c r="A547">
        <v>546</v>
      </c>
      <c r="B547">
        <v>46</v>
      </c>
      <c r="C547">
        <v>79</v>
      </c>
      <c r="D547" t="s">
        <v>270</v>
      </c>
      <c r="E547" t="str">
        <f t="shared" si="8"/>
        <v>1279BA03PT</v>
      </c>
      <c r="F547">
        <f>VLOOKUP(B547,Course!$A$2:$R$329,2,FALSE)</f>
        <v>0</v>
      </c>
      <c r="G547">
        <f>VLOOKUP(B547, Course!$A$2:$L$150, 8, FALSE)</f>
        <v>12</v>
      </c>
      <c r="H547">
        <v>3</v>
      </c>
      <c r="I547">
        <v>1</v>
      </c>
      <c r="K547" t="s">
        <v>1581</v>
      </c>
      <c r="L547" t="str">
        <f>VLOOKUP(B547, Course!$A$1:$O$133, 14, FALSE)</f>
        <v>BA</v>
      </c>
      <c r="M547">
        <v>1</v>
      </c>
    </row>
    <row r="548" spans="1:13" x14ac:dyDescent="0.2">
      <c r="A548">
        <v>547</v>
      </c>
      <c r="B548">
        <v>46</v>
      </c>
      <c r="C548">
        <v>80</v>
      </c>
      <c r="D548" t="s">
        <v>270</v>
      </c>
      <c r="E548" t="str">
        <f t="shared" si="8"/>
        <v>1280BA03PT</v>
      </c>
      <c r="F548">
        <f>VLOOKUP(B548,Course!$A$2:$R$329,2,FALSE)</f>
        <v>0</v>
      </c>
      <c r="G548">
        <f>VLOOKUP(B548, Course!$A$2:$L$150, 8, FALSE)</f>
        <v>12</v>
      </c>
      <c r="H548">
        <v>3</v>
      </c>
      <c r="I548">
        <v>1</v>
      </c>
      <c r="K548" t="s">
        <v>1581</v>
      </c>
      <c r="L548" t="str">
        <f>VLOOKUP(B548, Course!$A$1:$O$133, 14, FALSE)</f>
        <v>BA</v>
      </c>
      <c r="M548">
        <v>1</v>
      </c>
    </row>
    <row r="549" spans="1:13" x14ac:dyDescent="0.2">
      <c r="A549">
        <v>548</v>
      </c>
      <c r="B549">
        <v>46</v>
      </c>
      <c r="C549">
        <v>81</v>
      </c>
      <c r="D549" t="s">
        <v>270</v>
      </c>
      <c r="E549" t="str">
        <f t="shared" si="8"/>
        <v>1281BA03PT</v>
      </c>
      <c r="F549">
        <f>VLOOKUP(B549,Course!$A$2:$R$329,2,FALSE)</f>
        <v>0</v>
      </c>
      <c r="G549">
        <f>VLOOKUP(B549, Course!$A$2:$L$150, 8, FALSE)</f>
        <v>12</v>
      </c>
      <c r="H549">
        <v>3</v>
      </c>
      <c r="I549">
        <v>1</v>
      </c>
      <c r="K549" t="s">
        <v>1581</v>
      </c>
      <c r="L549" t="str">
        <f>VLOOKUP(B549, Course!$A$1:$O$133, 14, FALSE)</f>
        <v>BA</v>
      </c>
      <c r="M549">
        <v>1</v>
      </c>
    </row>
    <row r="550" spans="1:13" x14ac:dyDescent="0.2">
      <c r="A550">
        <v>549</v>
      </c>
      <c r="B550">
        <v>46</v>
      </c>
      <c r="C550">
        <v>82</v>
      </c>
      <c r="D550" t="s">
        <v>270</v>
      </c>
      <c r="E550" t="str">
        <f t="shared" si="8"/>
        <v>1282BA03PT</v>
      </c>
      <c r="F550">
        <f>VLOOKUP(B550,Course!$A$2:$R$329,2,FALSE)</f>
        <v>0</v>
      </c>
      <c r="G550">
        <f>VLOOKUP(B550, Course!$A$2:$L$150, 8, FALSE)</f>
        <v>12</v>
      </c>
      <c r="H550">
        <v>3</v>
      </c>
      <c r="I550">
        <v>1</v>
      </c>
      <c r="K550" t="s">
        <v>1581</v>
      </c>
      <c r="L550" t="str">
        <f>VLOOKUP(B550, Course!$A$1:$O$133, 14, FALSE)</f>
        <v>BA</v>
      </c>
      <c r="M550">
        <v>1</v>
      </c>
    </row>
    <row r="551" spans="1:13" x14ac:dyDescent="0.2">
      <c r="A551">
        <v>550</v>
      </c>
      <c r="B551">
        <v>46</v>
      </c>
      <c r="C551">
        <v>83</v>
      </c>
      <c r="D551" t="s">
        <v>270</v>
      </c>
      <c r="E551" t="str">
        <f t="shared" si="8"/>
        <v>1283BA03PT</v>
      </c>
      <c r="F551">
        <f>VLOOKUP(B551,Course!$A$2:$R$329,2,FALSE)</f>
        <v>0</v>
      </c>
      <c r="G551">
        <f>VLOOKUP(B551, Course!$A$2:$L$150, 8, FALSE)</f>
        <v>12</v>
      </c>
      <c r="H551">
        <v>3</v>
      </c>
      <c r="I551">
        <v>1</v>
      </c>
      <c r="K551" t="s">
        <v>1581</v>
      </c>
      <c r="L551" t="str">
        <f>VLOOKUP(B551, Course!$A$1:$O$133, 14, FALSE)</f>
        <v>BA</v>
      </c>
      <c r="M551">
        <v>1</v>
      </c>
    </row>
    <row r="552" spans="1:13" x14ac:dyDescent="0.2">
      <c r="A552">
        <v>551</v>
      </c>
      <c r="B552">
        <v>46</v>
      </c>
      <c r="C552">
        <v>84</v>
      </c>
      <c r="D552" t="s">
        <v>270</v>
      </c>
      <c r="E552" t="str">
        <f t="shared" si="8"/>
        <v>1284BA03PT</v>
      </c>
      <c r="F552">
        <f>VLOOKUP(B552,Course!$A$2:$R$329,2,FALSE)</f>
        <v>0</v>
      </c>
      <c r="G552">
        <f>VLOOKUP(B552, Course!$A$2:$L$150, 8, FALSE)</f>
        <v>12</v>
      </c>
      <c r="H552">
        <v>3</v>
      </c>
      <c r="I552">
        <v>1</v>
      </c>
      <c r="K552" t="s">
        <v>1581</v>
      </c>
      <c r="L552" t="str">
        <f>VLOOKUP(B552, Course!$A$1:$O$133, 14, FALSE)</f>
        <v>BA</v>
      </c>
      <c r="M552">
        <v>1</v>
      </c>
    </row>
    <row r="553" spans="1:13" x14ac:dyDescent="0.2">
      <c r="A553">
        <v>552</v>
      </c>
      <c r="B553">
        <v>47</v>
      </c>
      <c r="C553">
        <v>73</v>
      </c>
      <c r="D553" t="s">
        <v>147</v>
      </c>
      <c r="E553" t="str">
        <f t="shared" si="8"/>
        <v>1273WB03PT</v>
      </c>
      <c r="F553">
        <f>VLOOKUP(B553,Course!$A$2:$R$329,2,FALSE)</f>
        <v>0</v>
      </c>
      <c r="G553">
        <f>VLOOKUP(B553, Course!$A$2:$L$150, 8, FALSE)</f>
        <v>12</v>
      </c>
      <c r="H553">
        <v>3</v>
      </c>
      <c r="I553">
        <v>1</v>
      </c>
      <c r="K553" t="s">
        <v>1581</v>
      </c>
      <c r="L553" t="str">
        <f>VLOOKUP(B553, Course!$A$1:$O$133, 14, FALSE)</f>
        <v>WB</v>
      </c>
      <c r="M553">
        <v>1</v>
      </c>
    </row>
    <row r="554" spans="1:13" x14ac:dyDescent="0.2">
      <c r="A554">
        <v>553</v>
      </c>
      <c r="B554">
        <v>47</v>
      </c>
      <c r="C554">
        <v>74</v>
      </c>
      <c r="D554" t="s">
        <v>147</v>
      </c>
      <c r="E554" t="str">
        <f t="shared" si="8"/>
        <v>1274WB03PT</v>
      </c>
      <c r="F554">
        <f>VLOOKUP(B554,Course!$A$2:$R$329,2,FALSE)</f>
        <v>0</v>
      </c>
      <c r="G554">
        <f>VLOOKUP(B554, Course!$A$2:$L$150, 8, FALSE)</f>
        <v>12</v>
      </c>
      <c r="H554">
        <v>3</v>
      </c>
      <c r="I554">
        <v>1</v>
      </c>
      <c r="K554" t="s">
        <v>1581</v>
      </c>
      <c r="L554" t="str">
        <f>VLOOKUP(B554, Course!$A$1:$O$133, 14, FALSE)</f>
        <v>WB</v>
      </c>
      <c r="M554">
        <v>1</v>
      </c>
    </row>
    <row r="555" spans="1:13" x14ac:dyDescent="0.2">
      <c r="A555">
        <v>554</v>
      </c>
      <c r="B555">
        <v>47</v>
      </c>
      <c r="C555">
        <v>75</v>
      </c>
      <c r="D555" t="s">
        <v>147</v>
      </c>
      <c r="E555" t="str">
        <f t="shared" si="8"/>
        <v>1275WB03PT</v>
      </c>
      <c r="F555">
        <f>VLOOKUP(B555,Course!$A$2:$R$329,2,FALSE)</f>
        <v>0</v>
      </c>
      <c r="G555">
        <f>VLOOKUP(B555, Course!$A$2:$L$150, 8, FALSE)</f>
        <v>12</v>
      </c>
      <c r="H555">
        <v>3</v>
      </c>
      <c r="I555">
        <v>1</v>
      </c>
      <c r="K555" t="s">
        <v>1581</v>
      </c>
      <c r="L555" t="str">
        <f>VLOOKUP(B555, Course!$A$1:$O$133, 14, FALSE)</f>
        <v>WB</v>
      </c>
      <c r="M555">
        <v>1</v>
      </c>
    </row>
    <row r="556" spans="1:13" x14ac:dyDescent="0.2">
      <c r="A556">
        <v>555</v>
      </c>
      <c r="B556">
        <v>47</v>
      </c>
      <c r="C556">
        <v>76</v>
      </c>
      <c r="D556" t="s">
        <v>147</v>
      </c>
      <c r="E556" t="str">
        <f t="shared" si="8"/>
        <v>1276WB03PT</v>
      </c>
      <c r="F556">
        <f>VLOOKUP(B556,Course!$A$2:$R$329,2,FALSE)</f>
        <v>0</v>
      </c>
      <c r="G556">
        <f>VLOOKUP(B556, Course!$A$2:$L$150, 8, FALSE)</f>
        <v>12</v>
      </c>
      <c r="H556">
        <v>3</v>
      </c>
      <c r="I556">
        <v>1</v>
      </c>
      <c r="K556" t="s">
        <v>1581</v>
      </c>
      <c r="L556" t="str">
        <f>VLOOKUP(B556, Course!$A$1:$O$133, 14, FALSE)</f>
        <v>WB</v>
      </c>
      <c r="M556">
        <v>1</v>
      </c>
    </row>
    <row r="557" spans="1:13" x14ac:dyDescent="0.2">
      <c r="A557">
        <v>556</v>
      </c>
      <c r="B557">
        <v>47</v>
      </c>
      <c r="C557">
        <v>77</v>
      </c>
      <c r="D557" t="s">
        <v>147</v>
      </c>
      <c r="E557" t="str">
        <f t="shared" si="8"/>
        <v>1277WB03PT</v>
      </c>
      <c r="F557">
        <f>VLOOKUP(B557,Course!$A$2:$R$329,2,FALSE)</f>
        <v>0</v>
      </c>
      <c r="G557">
        <f>VLOOKUP(B557, Course!$A$2:$L$150, 8, FALSE)</f>
        <v>12</v>
      </c>
      <c r="H557">
        <v>3</v>
      </c>
      <c r="I557">
        <v>1</v>
      </c>
      <c r="K557" t="s">
        <v>1581</v>
      </c>
      <c r="L557" t="str">
        <f>VLOOKUP(B557, Course!$A$1:$O$133, 14, FALSE)</f>
        <v>WB</v>
      </c>
      <c r="M557">
        <v>1</v>
      </c>
    </row>
    <row r="558" spans="1:13" x14ac:dyDescent="0.2">
      <c r="A558">
        <v>557</v>
      </c>
      <c r="B558">
        <v>47</v>
      </c>
      <c r="C558">
        <v>78</v>
      </c>
      <c r="D558" t="s">
        <v>147</v>
      </c>
      <c r="E558" t="str">
        <f t="shared" si="8"/>
        <v>1278WB03PT</v>
      </c>
      <c r="F558">
        <f>VLOOKUP(B558,Course!$A$2:$R$329,2,FALSE)</f>
        <v>0</v>
      </c>
      <c r="G558">
        <f>VLOOKUP(B558, Course!$A$2:$L$150, 8, FALSE)</f>
        <v>12</v>
      </c>
      <c r="H558">
        <v>3</v>
      </c>
      <c r="I558">
        <v>1</v>
      </c>
      <c r="K558" t="s">
        <v>1581</v>
      </c>
      <c r="L558" t="str">
        <f>VLOOKUP(B558, Course!$A$1:$O$133, 14, FALSE)</f>
        <v>WB</v>
      </c>
      <c r="M558">
        <v>1</v>
      </c>
    </row>
    <row r="559" spans="1:13" x14ac:dyDescent="0.2">
      <c r="A559">
        <v>558</v>
      </c>
      <c r="B559">
        <v>47</v>
      </c>
      <c r="C559">
        <v>79</v>
      </c>
      <c r="D559" t="s">
        <v>147</v>
      </c>
      <c r="E559" t="str">
        <f t="shared" si="8"/>
        <v>1279WB03PT</v>
      </c>
      <c r="F559">
        <f>VLOOKUP(B559,Course!$A$2:$R$329,2,FALSE)</f>
        <v>0</v>
      </c>
      <c r="G559">
        <f>VLOOKUP(B559, Course!$A$2:$L$150, 8, FALSE)</f>
        <v>12</v>
      </c>
      <c r="H559">
        <v>3</v>
      </c>
      <c r="I559">
        <v>1</v>
      </c>
      <c r="K559" t="s">
        <v>1581</v>
      </c>
      <c r="L559" t="str">
        <f>VLOOKUP(B559, Course!$A$1:$O$133, 14, FALSE)</f>
        <v>WB</v>
      </c>
      <c r="M559">
        <v>1</v>
      </c>
    </row>
    <row r="560" spans="1:13" x14ac:dyDescent="0.2">
      <c r="A560">
        <v>559</v>
      </c>
      <c r="B560">
        <v>47</v>
      </c>
      <c r="C560">
        <v>80</v>
      </c>
      <c r="D560" t="s">
        <v>147</v>
      </c>
      <c r="E560" t="str">
        <f t="shared" si="8"/>
        <v>1280WB03PT</v>
      </c>
      <c r="F560">
        <f>VLOOKUP(B560,Course!$A$2:$R$329,2,FALSE)</f>
        <v>0</v>
      </c>
      <c r="G560">
        <f>VLOOKUP(B560, Course!$A$2:$L$150, 8, FALSE)</f>
        <v>12</v>
      </c>
      <c r="H560">
        <v>3</v>
      </c>
      <c r="I560">
        <v>1</v>
      </c>
      <c r="K560" t="s">
        <v>1581</v>
      </c>
      <c r="L560" t="str">
        <f>VLOOKUP(B560, Course!$A$1:$O$133, 14, FALSE)</f>
        <v>WB</v>
      </c>
      <c r="M560">
        <v>1</v>
      </c>
    </row>
    <row r="561" spans="1:13" x14ac:dyDescent="0.2">
      <c r="A561">
        <v>560</v>
      </c>
      <c r="B561">
        <v>47</v>
      </c>
      <c r="C561">
        <v>81</v>
      </c>
      <c r="D561" t="s">
        <v>147</v>
      </c>
      <c r="E561" t="str">
        <f t="shared" si="8"/>
        <v>1281WB03PT</v>
      </c>
      <c r="F561">
        <f>VLOOKUP(B561,Course!$A$2:$R$329,2,FALSE)</f>
        <v>0</v>
      </c>
      <c r="G561">
        <f>VLOOKUP(B561, Course!$A$2:$L$150, 8, FALSE)</f>
        <v>12</v>
      </c>
      <c r="H561">
        <v>3</v>
      </c>
      <c r="I561">
        <v>1</v>
      </c>
      <c r="K561" t="s">
        <v>1581</v>
      </c>
      <c r="L561" t="str">
        <f>VLOOKUP(B561, Course!$A$1:$O$133, 14, FALSE)</f>
        <v>WB</v>
      </c>
      <c r="M561">
        <v>1</v>
      </c>
    </row>
    <row r="562" spans="1:13" x14ac:dyDescent="0.2">
      <c r="A562">
        <v>561</v>
      </c>
      <c r="B562">
        <v>47</v>
      </c>
      <c r="C562">
        <v>82</v>
      </c>
      <c r="D562" t="s">
        <v>147</v>
      </c>
      <c r="E562" t="str">
        <f t="shared" si="8"/>
        <v>1282WB03PT</v>
      </c>
      <c r="F562">
        <f>VLOOKUP(B562,Course!$A$2:$R$329,2,FALSE)</f>
        <v>0</v>
      </c>
      <c r="G562">
        <f>VLOOKUP(B562, Course!$A$2:$L$150, 8, FALSE)</f>
        <v>12</v>
      </c>
      <c r="H562">
        <v>3</v>
      </c>
      <c r="I562">
        <v>1</v>
      </c>
      <c r="K562" t="s">
        <v>1581</v>
      </c>
      <c r="L562" t="str">
        <f>VLOOKUP(B562, Course!$A$1:$O$133, 14, FALSE)</f>
        <v>WB</v>
      </c>
      <c r="M562">
        <v>1</v>
      </c>
    </row>
    <row r="563" spans="1:13" x14ac:dyDescent="0.2">
      <c r="A563">
        <v>562</v>
      </c>
      <c r="B563">
        <v>47</v>
      </c>
      <c r="C563">
        <v>83</v>
      </c>
      <c r="D563" t="s">
        <v>147</v>
      </c>
      <c r="E563" t="str">
        <f t="shared" si="8"/>
        <v>1283WB03PT</v>
      </c>
      <c r="F563">
        <f>VLOOKUP(B563,Course!$A$2:$R$329,2,FALSE)</f>
        <v>0</v>
      </c>
      <c r="G563">
        <f>VLOOKUP(B563, Course!$A$2:$L$150, 8, FALSE)</f>
        <v>12</v>
      </c>
      <c r="H563">
        <v>3</v>
      </c>
      <c r="I563">
        <v>1</v>
      </c>
      <c r="K563" t="s">
        <v>1581</v>
      </c>
      <c r="L563" t="str">
        <f>VLOOKUP(B563, Course!$A$1:$O$133, 14, FALSE)</f>
        <v>WB</v>
      </c>
      <c r="M563">
        <v>1</v>
      </c>
    </row>
    <row r="564" spans="1:13" x14ac:dyDescent="0.2">
      <c r="A564">
        <v>563</v>
      </c>
      <c r="B564">
        <v>47</v>
      </c>
      <c r="C564">
        <v>84</v>
      </c>
      <c r="D564" t="s">
        <v>147</v>
      </c>
      <c r="E564" t="str">
        <f t="shared" si="8"/>
        <v>1284WB03PT</v>
      </c>
      <c r="F564">
        <f>VLOOKUP(B564,Course!$A$2:$R$329,2,FALSE)</f>
        <v>0</v>
      </c>
      <c r="G564">
        <f>VLOOKUP(B564, Course!$A$2:$L$150, 8, FALSE)</f>
        <v>12</v>
      </c>
      <c r="H564">
        <v>3</v>
      </c>
      <c r="I564">
        <v>1</v>
      </c>
      <c r="K564" t="s">
        <v>1581</v>
      </c>
      <c r="L564" t="str">
        <f>VLOOKUP(B564, Course!$A$1:$O$133, 14, FALSE)</f>
        <v>WB</v>
      </c>
      <c r="M564">
        <v>1</v>
      </c>
    </row>
    <row r="565" spans="1:13" x14ac:dyDescent="0.2">
      <c r="A565">
        <v>564</v>
      </c>
      <c r="B565">
        <v>48</v>
      </c>
      <c r="C565">
        <v>74</v>
      </c>
      <c r="D565" t="s">
        <v>227</v>
      </c>
      <c r="E565" t="str">
        <f t="shared" si="8"/>
        <v>1274LC03PT</v>
      </c>
      <c r="F565">
        <f>VLOOKUP(B565,Course!$A$2:$R$329,2,FALSE)</f>
        <v>0</v>
      </c>
      <c r="G565">
        <f>VLOOKUP(B565, Course!$A$2:$L$150, 8, FALSE)</f>
        <v>12</v>
      </c>
      <c r="H565">
        <v>3</v>
      </c>
      <c r="I565">
        <v>1</v>
      </c>
      <c r="K565" t="s">
        <v>1581</v>
      </c>
      <c r="L565" t="str">
        <f>VLOOKUP(B565, Course!$A$1:$O$133, 14, FALSE)</f>
        <v>LC</v>
      </c>
      <c r="M565">
        <v>1</v>
      </c>
    </row>
    <row r="566" spans="1:13" x14ac:dyDescent="0.2">
      <c r="A566">
        <v>565</v>
      </c>
      <c r="B566">
        <v>48</v>
      </c>
      <c r="C566">
        <v>75</v>
      </c>
      <c r="D566" t="s">
        <v>227</v>
      </c>
      <c r="E566" t="str">
        <f t="shared" si="8"/>
        <v>1275LC03PT</v>
      </c>
      <c r="F566">
        <f>VLOOKUP(B566,Course!$A$2:$R$329,2,FALSE)</f>
        <v>0</v>
      </c>
      <c r="G566">
        <f>VLOOKUP(B566, Course!$A$2:$L$150, 8, FALSE)</f>
        <v>12</v>
      </c>
      <c r="H566">
        <v>3</v>
      </c>
      <c r="I566">
        <v>1</v>
      </c>
      <c r="K566" t="s">
        <v>1581</v>
      </c>
      <c r="L566" t="str">
        <f>VLOOKUP(B566, Course!$A$1:$O$133, 14, FALSE)</f>
        <v>LC</v>
      </c>
      <c r="M566">
        <v>1</v>
      </c>
    </row>
    <row r="567" spans="1:13" x14ac:dyDescent="0.2">
      <c r="A567">
        <v>566</v>
      </c>
      <c r="B567">
        <v>48</v>
      </c>
      <c r="C567">
        <v>76</v>
      </c>
      <c r="D567" t="s">
        <v>227</v>
      </c>
      <c r="E567" t="str">
        <f t="shared" si="8"/>
        <v>1276LC03PT</v>
      </c>
      <c r="F567">
        <f>VLOOKUP(B567,Course!$A$2:$R$329,2,FALSE)</f>
        <v>0</v>
      </c>
      <c r="G567">
        <f>VLOOKUP(B567, Course!$A$2:$L$150, 8, FALSE)</f>
        <v>12</v>
      </c>
      <c r="H567">
        <v>3</v>
      </c>
      <c r="I567">
        <v>1</v>
      </c>
      <c r="K567" t="s">
        <v>1581</v>
      </c>
      <c r="L567" t="str">
        <f>VLOOKUP(B567, Course!$A$1:$O$133, 14, FALSE)</f>
        <v>LC</v>
      </c>
      <c r="M567">
        <v>1</v>
      </c>
    </row>
    <row r="568" spans="1:13" x14ac:dyDescent="0.2">
      <c r="A568">
        <v>567</v>
      </c>
      <c r="B568">
        <v>48</v>
      </c>
      <c r="C568">
        <v>77</v>
      </c>
      <c r="D568" t="s">
        <v>227</v>
      </c>
      <c r="E568" t="str">
        <f t="shared" si="8"/>
        <v>1277LC03PT</v>
      </c>
      <c r="F568">
        <f>VLOOKUP(B568,Course!$A$2:$R$329,2,FALSE)</f>
        <v>0</v>
      </c>
      <c r="G568">
        <f>VLOOKUP(B568, Course!$A$2:$L$150, 8, FALSE)</f>
        <v>12</v>
      </c>
      <c r="H568">
        <v>3</v>
      </c>
      <c r="I568">
        <v>1</v>
      </c>
      <c r="K568" t="s">
        <v>1581</v>
      </c>
      <c r="L568" t="str">
        <f>VLOOKUP(B568, Course!$A$1:$O$133, 14, FALSE)</f>
        <v>LC</v>
      </c>
      <c r="M568">
        <v>1</v>
      </c>
    </row>
    <row r="569" spans="1:13" x14ac:dyDescent="0.2">
      <c r="A569">
        <v>568</v>
      </c>
      <c r="B569">
        <v>48</v>
      </c>
      <c r="C569">
        <v>78</v>
      </c>
      <c r="D569" t="s">
        <v>227</v>
      </c>
      <c r="E569" t="str">
        <f t="shared" si="8"/>
        <v>1278LC03PT</v>
      </c>
      <c r="F569">
        <f>VLOOKUP(B569,Course!$A$2:$R$329,2,FALSE)</f>
        <v>0</v>
      </c>
      <c r="G569">
        <f>VLOOKUP(B569, Course!$A$2:$L$150, 8, FALSE)</f>
        <v>12</v>
      </c>
      <c r="H569">
        <v>3</v>
      </c>
      <c r="I569">
        <v>1</v>
      </c>
      <c r="K569" t="s">
        <v>1581</v>
      </c>
      <c r="L569" t="str">
        <f>VLOOKUP(B569, Course!$A$1:$O$133, 14, FALSE)</f>
        <v>LC</v>
      </c>
      <c r="M569">
        <v>1</v>
      </c>
    </row>
    <row r="570" spans="1:13" x14ac:dyDescent="0.2">
      <c r="A570">
        <v>569</v>
      </c>
      <c r="B570">
        <v>48</v>
      </c>
      <c r="C570">
        <v>79</v>
      </c>
      <c r="D570" t="s">
        <v>227</v>
      </c>
      <c r="E570" t="str">
        <f t="shared" si="8"/>
        <v>1279LC03PT</v>
      </c>
      <c r="F570">
        <f>VLOOKUP(B570,Course!$A$2:$R$329,2,FALSE)</f>
        <v>0</v>
      </c>
      <c r="G570">
        <f>VLOOKUP(B570, Course!$A$2:$L$150, 8, FALSE)</f>
        <v>12</v>
      </c>
      <c r="H570">
        <v>3</v>
      </c>
      <c r="I570">
        <v>1</v>
      </c>
      <c r="K570" t="s">
        <v>1581</v>
      </c>
      <c r="L570" t="str">
        <f>VLOOKUP(B570, Course!$A$1:$O$133, 14, FALSE)</f>
        <v>LC</v>
      </c>
      <c r="M570">
        <v>1</v>
      </c>
    </row>
    <row r="571" spans="1:13" x14ac:dyDescent="0.2">
      <c r="A571">
        <v>570</v>
      </c>
      <c r="B571">
        <v>48</v>
      </c>
      <c r="C571">
        <v>80</v>
      </c>
      <c r="D571" t="s">
        <v>227</v>
      </c>
      <c r="E571" t="str">
        <f t="shared" si="8"/>
        <v>1280LC03PT</v>
      </c>
      <c r="F571">
        <f>VLOOKUP(B571,Course!$A$2:$R$329,2,FALSE)</f>
        <v>0</v>
      </c>
      <c r="G571">
        <f>VLOOKUP(B571, Course!$A$2:$L$150, 8, FALSE)</f>
        <v>12</v>
      </c>
      <c r="H571">
        <v>3</v>
      </c>
      <c r="I571">
        <v>1</v>
      </c>
      <c r="K571" t="s">
        <v>1581</v>
      </c>
      <c r="L571" t="str">
        <f>VLOOKUP(B571, Course!$A$1:$O$133, 14, FALSE)</f>
        <v>LC</v>
      </c>
      <c r="M571">
        <v>1</v>
      </c>
    </row>
    <row r="572" spans="1:13" x14ac:dyDescent="0.2">
      <c r="A572">
        <v>571</v>
      </c>
      <c r="B572">
        <v>48</v>
      </c>
      <c r="C572">
        <v>81</v>
      </c>
      <c r="D572" t="s">
        <v>227</v>
      </c>
      <c r="E572" t="str">
        <f t="shared" si="8"/>
        <v>1281LC03PT</v>
      </c>
      <c r="F572">
        <f>VLOOKUP(B572,Course!$A$2:$R$329,2,FALSE)</f>
        <v>0</v>
      </c>
      <c r="G572">
        <f>VLOOKUP(B572, Course!$A$2:$L$150, 8, FALSE)</f>
        <v>12</v>
      </c>
      <c r="H572">
        <v>3</v>
      </c>
      <c r="I572">
        <v>1</v>
      </c>
      <c r="K572" t="s">
        <v>1581</v>
      </c>
      <c r="L572" t="str">
        <f>VLOOKUP(B572, Course!$A$1:$O$133, 14, FALSE)</f>
        <v>LC</v>
      </c>
      <c r="M572">
        <v>1</v>
      </c>
    </row>
    <row r="573" spans="1:13" x14ac:dyDescent="0.2">
      <c r="A573">
        <v>572</v>
      </c>
      <c r="B573">
        <v>48</v>
      </c>
      <c r="C573">
        <v>82</v>
      </c>
      <c r="D573" t="s">
        <v>227</v>
      </c>
      <c r="E573" t="str">
        <f t="shared" si="8"/>
        <v>1282LC03PT</v>
      </c>
      <c r="F573">
        <f>VLOOKUP(B573,Course!$A$2:$R$329,2,FALSE)</f>
        <v>0</v>
      </c>
      <c r="G573">
        <f>VLOOKUP(B573, Course!$A$2:$L$150, 8, FALSE)</f>
        <v>12</v>
      </c>
      <c r="H573">
        <v>3</v>
      </c>
      <c r="I573">
        <v>1</v>
      </c>
      <c r="K573" t="s">
        <v>1581</v>
      </c>
      <c r="L573" t="str">
        <f>VLOOKUP(B573, Course!$A$1:$O$133, 14, FALSE)</f>
        <v>LC</v>
      </c>
      <c r="M573">
        <v>1</v>
      </c>
    </row>
    <row r="574" spans="1:13" x14ac:dyDescent="0.2">
      <c r="A574">
        <v>573</v>
      </c>
      <c r="B574">
        <v>48</v>
      </c>
      <c r="C574">
        <v>83</v>
      </c>
      <c r="D574" t="s">
        <v>227</v>
      </c>
      <c r="E574" t="str">
        <f t="shared" si="8"/>
        <v>1283LC03PT</v>
      </c>
      <c r="F574">
        <f>VLOOKUP(B574,Course!$A$2:$R$329,2,FALSE)</f>
        <v>0</v>
      </c>
      <c r="G574">
        <f>VLOOKUP(B574, Course!$A$2:$L$150, 8, FALSE)</f>
        <v>12</v>
      </c>
      <c r="H574">
        <v>3</v>
      </c>
      <c r="I574">
        <v>1</v>
      </c>
      <c r="K574" t="s">
        <v>1581</v>
      </c>
      <c r="L574" t="str">
        <f>VLOOKUP(B574, Course!$A$1:$O$133, 14, FALSE)</f>
        <v>LC</v>
      </c>
      <c r="M574">
        <v>1</v>
      </c>
    </row>
    <row r="575" spans="1:13" x14ac:dyDescent="0.2">
      <c r="A575">
        <v>574</v>
      </c>
      <c r="B575">
        <v>48</v>
      </c>
      <c r="C575">
        <v>84</v>
      </c>
      <c r="D575" t="s">
        <v>227</v>
      </c>
      <c r="E575" t="str">
        <f t="shared" si="8"/>
        <v>1284LC03PT</v>
      </c>
      <c r="F575">
        <f>VLOOKUP(B575,Course!$A$2:$R$329,2,FALSE)</f>
        <v>0</v>
      </c>
      <c r="G575">
        <f>VLOOKUP(B575, Course!$A$2:$L$150, 8, FALSE)</f>
        <v>12</v>
      </c>
      <c r="H575">
        <v>3</v>
      </c>
      <c r="I575">
        <v>1</v>
      </c>
      <c r="K575" t="s">
        <v>1581</v>
      </c>
      <c r="L575" t="str">
        <f>VLOOKUP(B575, Course!$A$1:$O$133, 14, FALSE)</f>
        <v>LC</v>
      </c>
      <c r="M575">
        <v>1</v>
      </c>
    </row>
    <row r="576" spans="1:13" x14ac:dyDescent="0.2">
      <c r="A576">
        <v>575</v>
      </c>
      <c r="B576">
        <v>49</v>
      </c>
      <c r="C576">
        <v>73</v>
      </c>
      <c r="D576" t="s">
        <v>153</v>
      </c>
      <c r="E576" t="str">
        <f t="shared" si="8"/>
        <v>1273SC03PT</v>
      </c>
      <c r="F576">
        <f>VLOOKUP(B576,Course!$A$2:$R$329,2,FALSE)</f>
        <v>0</v>
      </c>
      <c r="G576">
        <f>VLOOKUP(B576, Course!$A$2:$L$150, 8, FALSE)</f>
        <v>12</v>
      </c>
      <c r="H576">
        <v>3</v>
      </c>
      <c r="I576">
        <v>1</v>
      </c>
      <c r="K576" t="s">
        <v>1581</v>
      </c>
      <c r="L576" t="str">
        <f>VLOOKUP(B576, Course!$A$1:$O$133, 14, FALSE)</f>
        <v>SC</v>
      </c>
      <c r="M576">
        <v>1</v>
      </c>
    </row>
    <row r="577" spans="1:13" x14ac:dyDescent="0.2">
      <c r="A577">
        <v>576</v>
      </c>
      <c r="B577">
        <v>49</v>
      </c>
      <c r="C577">
        <v>74</v>
      </c>
      <c r="D577" t="s">
        <v>153</v>
      </c>
      <c r="E577" t="str">
        <f t="shared" si="8"/>
        <v>1274SC03PT</v>
      </c>
      <c r="F577">
        <f>VLOOKUP(B577,Course!$A$2:$R$329,2,FALSE)</f>
        <v>0</v>
      </c>
      <c r="G577">
        <f>VLOOKUP(B577, Course!$A$2:$L$150, 8, FALSE)</f>
        <v>12</v>
      </c>
      <c r="H577">
        <v>3</v>
      </c>
      <c r="I577">
        <v>1</v>
      </c>
      <c r="K577" t="s">
        <v>1581</v>
      </c>
      <c r="L577" t="str">
        <f>VLOOKUP(B577, Course!$A$1:$O$133, 14, FALSE)</f>
        <v>SC</v>
      </c>
      <c r="M577">
        <v>1</v>
      </c>
    </row>
    <row r="578" spans="1:13" x14ac:dyDescent="0.2">
      <c r="A578">
        <v>577</v>
      </c>
      <c r="B578">
        <v>49</v>
      </c>
      <c r="C578">
        <v>75</v>
      </c>
      <c r="D578" t="s">
        <v>153</v>
      </c>
      <c r="E578" t="str">
        <f t="shared" ref="E578:E641" si="9">UPPER(LEFT(G578,2)) &amp; RIGHT("0" &amp; C578, 2) &amp; D578 &amp; RIGHT("0" &amp; H578, 2) &amp; K578</f>
        <v>1275SC03PT</v>
      </c>
      <c r="F578">
        <f>VLOOKUP(B578,Course!$A$2:$R$329,2,FALSE)</f>
        <v>0</v>
      </c>
      <c r="G578">
        <f>VLOOKUP(B578, Course!$A$2:$L$150, 8, FALSE)</f>
        <v>12</v>
      </c>
      <c r="H578">
        <v>3</v>
      </c>
      <c r="I578">
        <v>1</v>
      </c>
      <c r="K578" t="s">
        <v>1581</v>
      </c>
      <c r="L578" t="str">
        <f>VLOOKUP(B578, Course!$A$1:$O$133, 14, FALSE)</f>
        <v>SC</v>
      </c>
      <c r="M578">
        <v>1</v>
      </c>
    </row>
    <row r="579" spans="1:13" x14ac:dyDescent="0.2">
      <c r="A579">
        <v>578</v>
      </c>
      <c r="B579">
        <v>49</v>
      </c>
      <c r="C579">
        <v>76</v>
      </c>
      <c r="D579" t="s">
        <v>153</v>
      </c>
      <c r="E579" t="str">
        <f t="shared" si="9"/>
        <v>1276SC03PT</v>
      </c>
      <c r="F579">
        <f>VLOOKUP(B579,Course!$A$2:$R$329,2,FALSE)</f>
        <v>0</v>
      </c>
      <c r="G579">
        <f>VLOOKUP(B579, Course!$A$2:$L$150, 8, FALSE)</f>
        <v>12</v>
      </c>
      <c r="H579">
        <v>3</v>
      </c>
      <c r="I579">
        <v>1</v>
      </c>
      <c r="K579" t="s">
        <v>1581</v>
      </c>
      <c r="L579" t="str">
        <f>VLOOKUP(B579, Course!$A$1:$O$133, 14, FALSE)</f>
        <v>SC</v>
      </c>
      <c r="M579">
        <v>1</v>
      </c>
    </row>
    <row r="580" spans="1:13" x14ac:dyDescent="0.2">
      <c r="A580">
        <v>579</v>
      </c>
      <c r="B580">
        <v>49</v>
      </c>
      <c r="C580">
        <v>77</v>
      </c>
      <c r="D580" t="s">
        <v>153</v>
      </c>
      <c r="E580" t="str">
        <f t="shared" si="9"/>
        <v>1277SC03PT</v>
      </c>
      <c r="F580">
        <f>VLOOKUP(B580,Course!$A$2:$R$329,2,FALSE)</f>
        <v>0</v>
      </c>
      <c r="G580">
        <f>VLOOKUP(B580, Course!$A$2:$L$150, 8, FALSE)</f>
        <v>12</v>
      </c>
      <c r="H580">
        <v>3</v>
      </c>
      <c r="I580">
        <v>1</v>
      </c>
      <c r="K580" t="s">
        <v>1581</v>
      </c>
      <c r="L580" t="str">
        <f>VLOOKUP(B580, Course!$A$1:$O$133, 14, FALSE)</f>
        <v>SC</v>
      </c>
      <c r="M580">
        <v>1</v>
      </c>
    </row>
    <row r="581" spans="1:13" x14ac:dyDescent="0.2">
      <c r="A581">
        <v>580</v>
      </c>
      <c r="B581">
        <v>49</v>
      </c>
      <c r="C581">
        <v>78</v>
      </c>
      <c r="D581" t="s">
        <v>153</v>
      </c>
      <c r="E581" t="str">
        <f t="shared" si="9"/>
        <v>1278SC03PT</v>
      </c>
      <c r="F581">
        <f>VLOOKUP(B581,Course!$A$2:$R$329,2,FALSE)</f>
        <v>0</v>
      </c>
      <c r="G581">
        <f>VLOOKUP(B581, Course!$A$2:$L$150, 8, FALSE)</f>
        <v>12</v>
      </c>
      <c r="H581">
        <v>3</v>
      </c>
      <c r="I581">
        <v>1</v>
      </c>
      <c r="K581" t="s">
        <v>1581</v>
      </c>
      <c r="L581" t="str">
        <f>VLOOKUP(B581, Course!$A$1:$O$133, 14, FALSE)</f>
        <v>SC</v>
      </c>
      <c r="M581">
        <v>1</v>
      </c>
    </row>
    <row r="582" spans="1:13" x14ac:dyDescent="0.2">
      <c r="A582">
        <v>581</v>
      </c>
      <c r="B582">
        <v>49</v>
      </c>
      <c r="C582">
        <v>79</v>
      </c>
      <c r="D582" t="s">
        <v>153</v>
      </c>
      <c r="E582" t="str">
        <f t="shared" si="9"/>
        <v>1279SC03PT</v>
      </c>
      <c r="F582">
        <f>VLOOKUP(B582,Course!$A$2:$R$329,2,FALSE)</f>
        <v>0</v>
      </c>
      <c r="G582">
        <f>VLOOKUP(B582, Course!$A$2:$L$150, 8, FALSE)</f>
        <v>12</v>
      </c>
      <c r="H582">
        <v>3</v>
      </c>
      <c r="I582">
        <v>1</v>
      </c>
      <c r="K582" t="s">
        <v>1581</v>
      </c>
      <c r="L582" t="str">
        <f>VLOOKUP(B582, Course!$A$1:$O$133, 14, FALSE)</f>
        <v>SC</v>
      </c>
      <c r="M582">
        <v>1</v>
      </c>
    </row>
    <row r="583" spans="1:13" x14ac:dyDescent="0.2">
      <c r="A583">
        <v>582</v>
      </c>
      <c r="B583">
        <v>49</v>
      </c>
      <c r="C583">
        <v>80</v>
      </c>
      <c r="D583" t="s">
        <v>153</v>
      </c>
      <c r="E583" t="str">
        <f t="shared" si="9"/>
        <v>1280SC03PT</v>
      </c>
      <c r="F583">
        <f>VLOOKUP(B583,Course!$A$2:$R$329,2,FALSE)</f>
        <v>0</v>
      </c>
      <c r="G583">
        <f>VLOOKUP(B583, Course!$A$2:$L$150, 8, FALSE)</f>
        <v>12</v>
      </c>
      <c r="H583">
        <v>3</v>
      </c>
      <c r="I583">
        <v>1</v>
      </c>
      <c r="K583" t="s">
        <v>1581</v>
      </c>
      <c r="L583" t="str">
        <f>VLOOKUP(B583, Course!$A$1:$O$133, 14, FALSE)</f>
        <v>SC</v>
      </c>
      <c r="M583">
        <v>1</v>
      </c>
    </row>
    <row r="584" spans="1:13" x14ac:dyDescent="0.2">
      <c r="A584">
        <v>583</v>
      </c>
      <c r="B584">
        <v>49</v>
      </c>
      <c r="C584">
        <v>81</v>
      </c>
      <c r="D584" t="s">
        <v>153</v>
      </c>
      <c r="E584" t="str">
        <f t="shared" si="9"/>
        <v>1281SC03PT</v>
      </c>
      <c r="F584">
        <f>VLOOKUP(B584,Course!$A$2:$R$329,2,FALSE)</f>
        <v>0</v>
      </c>
      <c r="G584">
        <f>VLOOKUP(B584, Course!$A$2:$L$150, 8, FALSE)</f>
        <v>12</v>
      </c>
      <c r="H584">
        <v>3</v>
      </c>
      <c r="I584">
        <v>1</v>
      </c>
      <c r="K584" t="s">
        <v>1581</v>
      </c>
      <c r="L584" t="str">
        <f>VLOOKUP(B584, Course!$A$1:$O$133, 14, FALSE)</f>
        <v>SC</v>
      </c>
      <c r="M584">
        <v>1</v>
      </c>
    </row>
    <row r="585" spans="1:13" x14ac:dyDescent="0.2">
      <c r="A585">
        <v>584</v>
      </c>
      <c r="B585">
        <v>49</v>
      </c>
      <c r="C585">
        <v>82</v>
      </c>
      <c r="D585" t="s">
        <v>153</v>
      </c>
      <c r="E585" t="str">
        <f t="shared" si="9"/>
        <v>1282SC03PT</v>
      </c>
      <c r="F585">
        <f>VLOOKUP(B585,Course!$A$2:$R$329,2,FALSE)</f>
        <v>0</v>
      </c>
      <c r="G585">
        <f>VLOOKUP(B585, Course!$A$2:$L$150, 8, FALSE)</f>
        <v>12</v>
      </c>
      <c r="H585">
        <v>3</v>
      </c>
      <c r="I585">
        <v>1</v>
      </c>
      <c r="K585" t="s">
        <v>1581</v>
      </c>
      <c r="L585" t="str">
        <f>VLOOKUP(B585, Course!$A$1:$O$133, 14, FALSE)</f>
        <v>SC</v>
      </c>
      <c r="M585">
        <v>1</v>
      </c>
    </row>
    <row r="586" spans="1:13" x14ac:dyDescent="0.2">
      <c r="A586">
        <v>585</v>
      </c>
      <c r="B586">
        <v>49</v>
      </c>
      <c r="C586">
        <v>83</v>
      </c>
      <c r="D586" t="s">
        <v>153</v>
      </c>
      <c r="E586" t="str">
        <f t="shared" si="9"/>
        <v>1283SC03PT</v>
      </c>
      <c r="F586">
        <f>VLOOKUP(B586,Course!$A$2:$R$329,2,FALSE)</f>
        <v>0</v>
      </c>
      <c r="G586">
        <f>VLOOKUP(B586, Course!$A$2:$L$150, 8, FALSE)</f>
        <v>12</v>
      </c>
      <c r="H586">
        <v>3</v>
      </c>
      <c r="I586">
        <v>1</v>
      </c>
      <c r="K586" t="s">
        <v>1581</v>
      </c>
      <c r="L586" t="str">
        <f>VLOOKUP(B586, Course!$A$1:$O$133, 14, FALSE)</f>
        <v>SC</v>
      </c>
      <c r="M586">
        <v>1</v>
      </c>
    </row>
    <row r="587" spans="1:13" x14ac:dyDescent="0.2">
      <c r="A587">
        <v>586</v>
      </c>
      <c r="B587">
        <v>49</v>
      </c>
      <c r="C587">
        <v>84</v>
      </c>
      <c r="D587" t="s">
        <v>153</v>
      </c>
      <c r="E587" t="str">
        <f t="shared" si="9"/>
        <v>1284SC03PT</v>
      </c>
      <c r="F587">
        <f>VLOOKUP(B587,Course!$A$2:$R$329,2,FALSE)</f>
        <v>0</v>
      </c>
      <c r="G587">
        <f>VLOOKUP(B587, Course!$A$2:$L$150, 8, FALSE)</f>
        <v>12</v>
      </c>
      <c r="H587">
        <v>3</v>
      </c>
      <c r="I587">
        <v>1</v>
      </c>
      <c r="K587" t="s">
        <v>1581</v>
      </c>
      <c r="L587" t="str">
        <f>VLOOKUP(B587, Course!$A$1:$O$133, 14, FALSE)</f>
        <v>SC</v>
      </c>
      <c r="M587">
        <v>1</v>
      </c>
    </row>
    <row r="588" spans="1:13" x14ac:dyDescent="0.2">
      <c r="A588">
        <v>587</v>
      </c>
      <c r="B588">
        <v>50</v>
      </c>
      <c r="C588">
        <v>73</v>
      </c>
      <c r="D588" t="s">
        <v>156</v>
      </c>
      <c r="E588" t="str">
        <f t="shared" si="9"/>
        <v>673SS03PT</v>
      </c>
      <c r="F588">
        <f>VLOOKUP(B588,Course!$A$2:$R$329,2,FALSE)</f>
        <v>0</v>
      </c>
      <c r="G588">
        <f>VLOOKUP(B588, Course!$A$2:$L$150, 8, FALSE)</f>
        <v>6</v>
      </c>
      <c r="H588">
        <v>3</v>
      </c>
      <c r="I588">
        <v>1</v>
      </c>
      <c r="K588" t="s">
        <v>1581</v>
      </c>
      <c r="L588" t="str">
        <f>VLOOKUP(B588, Course!$A$1:$O$133, 14, FALSE)</f>
        <v>SS</v>
      </c>
      <c r="M588">
        <v>1</v>
      </c>
    </row>
    <row r="589" spans="1:13" x14ac:dyDescent="0.2">
      <c r="A589">
        <v>588</v>
      </c>
      <c r="B589">
        <v>50</v>
      </c>
      <c r="C589">
        <v>74</v>
      </c>
      <c r="D589" t="s">
        <v>156</v>
      </c>
      <c r="E589" t="str">
        <f t="shared" si="9"/>
        <v>674SS03PT</v>
      </c>
      <c r="F589">
        <f>VLOOKUP(B589,Course!$A$2:$R$329,2,FALSE)</f>
        <v>0</v>
      </c>
      <c r="G589">
        <f>VLOOKUP(B589, Course!$A$2:$L$150, 8, FALSE)</f>
        <v>6</v>
      </c>
      <c r="H589">
        <v>3</v>
      </c>
      <c r="I589">
        <v>1</v>
      </c>
      <c r="K589" t="s">
        <v>1581</v>
      </c>
      <c r="L589" t="str">
        <f>VLOOKUP(B589, Course!$A$1:$O$133, 14, FALSE)</f>
        <v>SS</v>
      </c>
      <c r="M589">
        <v>1</v>
      </c>
    </row>
    <row r="590" spans="1:13" x14ac:dyDescent="0.2">
      <c r="A590">
        <v>589</v>
      </c>
      <c r="B590">
        <v>50</v>
      </c>
      <c r="C590">
        <v>75</v>
      </c>
      <c r="D590" t="s">
        <v>156</v>
      </c>
      <c r="E590" t="str">
        <f t="shared" si="9"/>
        <v>675SS03PT</v>
      </c>
      <c r="F590">
        <f>VLOOKUP(B590,Course!$A$2:$R$329,2,FALSE)</f>
        <v>0</v>
      </c>
      <c r="G590">
        <f>VLOOKUP(B590, Course!$A$2:$L$150, 8, FALSE)</f>
        <v>6</v>
      </c>
      <c r="H590">
        <v>3</v>
      </c>
      <c r="I590">
        <v>1</v>
      </c>
      <c r="K590" t="s">
        <v>1581</v>
      </c>
      <c r="L590" t="str">
        <f>VLOOKUP(B590, Course!$A$1:$O$133, 14, FALSE)</f>
        <v>SS</v>
      </c>
      <c r="M590">
        <v>1</v>
      </c>
    </row>
    <row r="591" spans="1:13" x14ac:dyDescent="0.2">
      <c r="A591">
        <v>590</v>
      </c>
      <c r="B591">
        <v>50</v>
      </c>
      <c r="C591">
        <v>76</v>
      </c>
      <c r="D591" t="s">
        <v>156</v>
      </c>
      <c r="E591" t="str">
        <f t="shared" si="9"/>
        <v>676SS03PT</v>
      </c>
      <c r="F591">
        <f>VLOOKUP(B591,Course!$A$2:$R$329,2,FALSE)</f>
        <v>0</v>
      </c>
      <c r="G591">
        <f>VLOOKUP(B591, Course!$A$2:$L$150, 8, FALSE)</f>
        <v>6</v>
      </c>
      <c r="H591">
        <v>3</v>
      </c>
      <c r="I591">
        <v>1</v>
      </c>
      <c r="K591" t="s">
        <v>1581</v>
      </c>
      <c r="L591" t="str">
        <f>VLOOKUP(B591, Course!$A$1:$O$133, 14, FALSE)</f>
        <v>SS</v>
      </c>
      <c r="M591">
        <v>1</v>
      </c>
    </row>
    <row r="592" spans="1:13" x14ac:dyDescent="0.2">
      <c r="A592">
        <v>591</v>
      </c>
      <c r="B592">
        <v>50</v>
      </c>
      <c r="C592">
        <v>77</v>
      </c>
      <c r="D592" t="s">
        <v>156</v>
      </c>
      <c r="E592" t="str">
        <f t="shared" si="9"/>
        <v>677SS03PT</v>
      </c>
      <c r="F592">
        <f>VLOOKUP(B592,Course!$A$2:$R$329,2,FALSE)</f>
        <v>0</v>
      </c>
      <c r="G592">
        <f>VLOOKUP(B592, Course!$A$2:$L$150, 8, FALSE)</f>
        <v>6</v>
      </c>
      <c r="H592">
        <v>3</v>
      </c>
      <c r="I592">
        <v>1</v>
      </c>
      <c r="K592" t="s">
        <v>1581</v>
      </c>
      <c r="L592" t="str">
        <f>VLOOKUP(B592, Course!$A$1:$O$133, 14, FALSE)</f>
        <v>SS</v>
      </c>
      <c r="M592">
        <v>1</v>
      </c>
    </row>
    <row r="593" spans="1:13" x14ac:dyDescent="0.2">
      <c r="A593">
        <v>592</v>
      </c>
      <c r="B593">
        <v>50</v>
      </c>
      <c r="C593">
        <v>78</v>
      </c>
      <c r="D593" t="s">
        <v>156</v>
      </c>
      <c r="E593" t="str">
        <f t="shared" si="9"/>
        <v>678SS03PT</v>
      </c>
      <c r="F593">
        <f>VLOOKUP(B593,Course!$A$2:$R$329,2,FALSE)</f>
        <v>0</v>
      </c>
      <c r="G593">
        <f>VLOOKUP(B593, Course!$A$2:$L$150, 8, FALSE)</f>
        <v>6</v>
      </c>
      <c r="H593">
        <v>3</v>
      </c>
      <c r="I593">
        <v>1</v>
      </c>
      <c r="K593" t="s">
        <v>1581</v>
      </c>
      <c r="L593" t="str">
        <f>VLOOKUP(B593, Course!$A$1:$O$133, 14, FALSE)</f>
        <v>SS</v>
      </c>
      <c r="M593">
        <v>1</v>
      </c>
    </row>
    <row r="594" spans="1:13" x14ac:dyDescent="0.2">
      <c r="A594">
        <v>593</v>
      </c>
      <c r="B594">
        <v>51</v>
      </c>
      <c r="C594">
        <v>1</v>
      </c>
      <c r="D594" t="s">
        <v>277</v>
      </c>
      <c r="E594" t="str">
        <f t="shared" si="9"/>
        <v>301SI03PT</v>
      </c>
      <c r="F594">
        <f>VLOOKUP(B594,Course!$A$2:$R$329,2,FALSE)</f>
        <v>0</v>
      </c>
      <c r="G594">
        <f>VLOOKUP(B594, Course!$A$2:$L$150, 8, FALSE)</f>
        <v>3</v>
      </c>
      <c r="H594">
        <v>3</v>
      </c>
      <c r="I594">
        <v>1</v>
      </c>
      <c r="K594" t="s">
        <v>1581</v>
      </c>
      <c r="L594" t="str">
        <f>VLOOKUP(B594, Course!$A$1:$O$133, 14, FALSE)</f>
        <v>SI</v>
      </c>
      <c r="M594">
        <v>1</v>
      </c>
    </row>
    <row r="595" spans="1:13" x14ac:dyDescent="0.2">
      <c r="A595">
        <v>594</v>
      </c>
      <c r="B595">
        <v>51</v>
      </c>
      <c r="C595">
        <v>2</v>
      </c>
      <c r="D595" t="s">
        <v>277</v>
      </c>
      <c r="E595" t="str">
        <f t="shared" si="9"/>
        <v>302SI03PT</v>
      </c>
      <c r="F595">
        <f>VLOOKUP(B595,Course!$A$2:$R$329,2,FALSE)</f>
        <v>0</v>
      </c>
      <c r="G595">
        <f>VLOOKUP(B595, Course!$A$2:$L$150, 8, FALSE)</f>
        <v>3</v>
      </c>
      <c r="H595">
        <v>3</v>
      </c>
      <c r="I595">
        <v>1</v>
      </c>
      <c r="K595" t="s">
        <v>1581</v>
      </c>
      <c r="L595" t="str">
        <f>VLOOKUP(B595, Course!$A$1:$O$133, 14, FALSE)</f>
        <v>SI</v>
      </c>
      <c r="M595">
        <v>1</v>
      </c>
    </row>
    <row r="596" spans="1:13" x14ac:dyDescent="0.2">
      <c r="A596">
        <v>595</v>
      </c>
      <c r="B596">
        <v>51</v>
      </c>
      <c r="C596">
        <v>3</v>
      </c>
      <c r="D596" t="s">
        <v>277</v>
      </c>
      <c r="E596" t="str">
        <f t="shared" si="9"/>
        <v>303SI03PT</v>
      </c>
      <c r="F596">
        <f>VLOOKUP(B596,Course!$A$2:$R$329,2,FALSE)</f>
        <v>0</v>
      </c>
      <c r="G596">
        <f>VLOOKUP(B596, Course!$A$2:$L$150, 8, FALSE)</f>
        <v>3</v>
      </c>
      <c r="H596">
        <v>3</v>
      </c>
      <c r="I596">
        <v>1</v>
      </c>
      <c r="K596" t="s">
        <v>1581</v>
      </c>
      <c r="L596" t="str">
        <f>VLOOKUP(B596, Course!$A$1:$O$133, 14, FALSE)</f>
        <v>SI</v>
      </c>
      <c r="M596">
        <v>1</v>
      </c>
    </row>
    <row r="597" spans="1:13" x14ac:dyDescent="0.2">
      <c r="A597">
        <v>596</v>
      </c>
      <c r="B597">
        <v>52</v>
      </c>
      <c r="C597">
        <v>73</v>
      </c>
      <c r="D597" t="s">
        <v>231</v>
      </c>
      <c r="E597" t="str">
        <f t="shared" si="9"/>
        <v>1273BR03PT</v>
      </c>
      <c r="F597">
        <f>VLOOKUP(B597,Course!$A$2:$R$329,2,FALSE)</f>
        <v>0</v>
      </c>
      <c r="G597">
        <f>VLOOKUP(B597, Course!$A$2:$L$150, 8, FALSE)</f>
        <v>12</v>
      </c>
      <c r="H597">
        <v>3</v>
      </c>
      <c r="I597">
        <v>1</v>
      </c>
      <c r="K597" t="s">
        <v>1581</v>
      </c>
      <c r="L597" t="str">
        <f>VLOOKUP(B597, Course!$A$1:$O$133, 14, FALSE)</f>
        <v>BR</v>
      </c>
      <c r="M597">
        <v>1</v>
      </c>
    </row>
    <row r="598" spans="1:13" x14ac:dyDescent="0.2">
      <c r="A598">
        <v>597</v>
      </c>
      <c r="B598">
        <v>52</v>
      </c>
      <c r="C598">
        <v>74</v>
      </c>
      <c r="D598" t="s">
        <v>231</v>
      </c>
      <c r="E598" t="str">
        <f t="shared" si="9"/>
        <v>1274BR03PT</v>
      </c>
      <c r="F598">
        <f>VLOOKUP(B598,Course!$A$2:$R$329,2,FALSE)</f>
        <v>0</v>
      </c>
      <c r="G598">
        <f>VLOOKUP(B598, Course!$A$2:$L$150, 8, FALSE)</f>
        <v>12</v>
      </c>
      <c r="H598">
        <v>3</v>
      </c>
      <c r="I598">
        <v>1</v>
      </c>
      <c r="K598" t="s">
        <v>1581</v>
      </c>
      <c r="L598" t="str">
        <f>VLOOKUP(B598, Course!$A$1:$O$133, 14, FALSE)</f>
        <v>BR</v>
      </c>
      <c r="M598">
        <v>1</v>
      </c>
    </row>
    <row r="599" spans="1:13" x14ac:dyDescent="0.2">
      <c r="A599">
        <v>598</v>
      </c>
      <c r="B599">
        <v>52</v>
      </c>
      <c r="C599">
        <v>75</v>
      </c>
      <c r="D599" t="s">
        <v>231</v>
      </c>
      <c r="E599" t="str">
        <f t="shared" si="9"/>
        <v>1275BR03PT</v>
      </c>
      <c r="F599">
        <f>VLOOKUP(B599,Course!$A$2:$R$329,2,FALSE)</f>
        <v>0</v>
      </c>
      <c r="G599">
        <f>VLOOKUP(B599, Course!$A$2:$L$150, 8, FALSE)</f>
        <v>12</v>
      </c>
      <c r="H599">
        <v>3</v>
      </c>
      <c r="I599">
        <v>1</v>
      </c>
      <c r="K599" t="s">
        <v>1581</v>
      </c>
      <c r="L599" t="str">
        <f>VLOOKUP(B599, Course!$A$1:$O$133, 14, FALSE)</f>
        <v>BR</v>
      </c>
      <c r="M599">
        <v>1</v>
      </c>
    </row>
    <row r="600" spans="1:13" x14ac:dyDescent="0.2">
      <c r="A600">
        <v>599</v>
      </c>
      <c r="B600">
        <v>52</v>
      </c>
      <c r="C600">
        <v>76</v>
      </c>
      <c r="D600" t="s">
        <v>231</v>
      </c>
      <c r="E600" t="str">
        <f t="shared" si="9"/>
        <v>1276BR03PT</v>
      </c>
      <c r="F600">
        <f>VLOOKUP(B600,Course!$A$2:$R$329,2,FALSE)</f>
        <v>0</v>
      </c>
      <c r="G600">
        <f>VLOOKUP(B600, Course!$A$2:$L$150, 8, FALSE)</f>
        <v>12</v>
      </c>
      <c r="H600">
        <v>3</v>
      </c>
      <c r="I600">
        <v>1</v>
      </c>
      <c r="K600" t="s">
        <v>1581</v>
      </c>
      <c r="L600" t="str">
        <f>VLOOKUP(B600, Course!$A$1:$O$133, 14, FALSE)</f>
        <v>BR</v>
      </c>
      <c r="M600">
        <v>1</v>
      </c>
    </row>
    <row r="601" spans="1:13" x14ac:dyDescent="0.2">
      <c r="A601">
        <v>600</v>
      </c>
      <c r="B601">
        <v>52</v>
      </c>
      <c r="C601">
        <v>77</v>
      </c>
      <c r="D601" t="s">
        <v>231</v>
      </c>
      <c r="E601" t="str">
        <f t="shared" si="9"/>
        <v>1277BR03PT</v>
      </c>
      <c r="F601">
        <f>VLOOKUP(B601,Course!$A$2:$R$329,2,FALSE)</f>
        <v>0</v>
      </c>
      <c r="G601">
        <f>VLOOKUP(B601, Course!$A$2:$L$150, 8, FALSE)</f>
        <v>12</v>
      </c>
      <c r="H601">
        <v>3</v>
      </c>
      <c r="I601">
        <v>1</v>
      </c>
      <c r="K601" t="s">
        <v>1581</v>
      </c>
      <c r="L601" t="str">
        <f>VLOOKUP(B601, Course!$A$1:$O$133, 14, FALSE)</f>
        <v>BR</v>
      </c>
      <c r="M601">
        <v>1</v>
      </c>
    </row>
    <row r="602" spans="1:13" x14ac:dyDescent="0.2">
      <c r="A602">
        <v>601</v>
      </c>
      <c r="B602">
        <v>52</v>
      </c>
      <c r="C602">
        <v>78</v>
      </c>
      <c r="D602" t="s">
        <v>231</v>
      </c>
      <c r="E602" t="str">
        <f t="shared" si="9"/>
        <v>1278BR03PT</v>
      </c>
      <c r="F602">
        <f>VLOOKUP(B602,Course!$A$2:$R$329,2,FALSE)</f>
        <v>0</v>
      </c>
      <c r="G602">
        <f>VLOOKUP(B602, Course!$A$2:$L$150, 8, FALSE)</f>
        <v>12</v>
      </c>
      <c r="H602">
        <v>3</v>
      </c>
      <c r="I602">
        <v>1</v>
      </c>
      <c r="K602" t="s">
        <v>1581</v>
      </c>
      <c r="L602" t="str">
        <f>VLOOKUP(B602, Course!$A$1:$O$133, 14, FALSE)</f>
        <v>BR</v>
      </c>
      <c r="M602">
        <v>1</v>
      </c>
    </row>
    <row r="603" spans="1:13" x14ac:dyDescent="0.2">
      <c r="A603">
        <v>602</v>
      </c>
      <c r="B603">
        <v>52</v>
      </c>
      <c r="C603">
        <v>79</v>
      </c>
      <c r="D603" t="s">
        <v>231</v>
      </c>
      <c r="E603" t="str">
        <f t="shared" si="9"/>
        <v>1279BR03PT</v>
      </c>
      <c r="F603">
        <f>VLOOKUP(B603,Course!$A$2:$R$329,2,FALSE)</f>
        <v>0</v>
      </c>
      <c r="G603">
        <f>VLOOKUP(B603, Course!$A$2:$L$150, 8, FALSE)</f>
        <v>12</v>
      </c>
      <c r="H603">
        <v>3</v>
      </c>
      <c r="I603">
        <v>1</v>
      </c>
      <c r="K603" t="s">
        <v>1581</v>
      </c>
      <c r="L603" t="str">
        <f>VLOOKUP(B603, Course!$A$1:$O$133, 14, FALSE)</f>
        <v>BR</v>
      </c>
      <c r="M603">
        <v>1</v>
      </c>
    </row>
    <row r="604" spans="1:13" x14ac:dyDescent="0.2">
      <c r="A604">
        <v>603</v>
      </c>
      <c r="B604">
        <v>52</v>
      </c>
      <c r="C604">
        <v>80</v>
      </c>
      <c r="D604" t="s">
        <v>231</v>
      </c>
      <c r="E604" t="str">
        <f t="shared" si="9"/>
        <v>1280BR03PT</v>
      </c>
      <c r="F604">
        <f>VLOOKUP(B604,Course!$A$2:$R$329,2,FALSE)</f>
        <v>0</v>
      </c>
      <c r="G604">
        <f>VLOOKUP(B604, Course!$A$2:$L$150, 8, FALSE)</f>
        <v>12</v>
      </c>
      <c r="H604">
        <v>3</v>
      </c>
      <c r="I604">
        <v>1</v>
      </c>
      <c r="K604" t="s">
        <v>1581</v>
      </c>
      <c r="L604" t="str">
        <f>VLOOKUP(B604, Course!$A$1:$O$133, 14, FALSE)</f>
        <v>BR</v>
      </c>
      <c r="M604">
        <v>1</v>
      </c>
    </row>
    <row r="605" spans="1:13" x14ac:dyDescent="0.2">
      <c r="A605">
        <v>604</v>
      </c>
      <c r="B605">
        <v>52</v>
      </c>
      <c r="C605">
        <v>81</v>
      </c>
      <c r="D605" t="s">
        <v>231</v>
      </c>
      <c r="E605" t="str">
        <f t="shared" si="9"/>
        <v>1281BR03PT</v>
      </c>
      <c r="F605">
        <f>VLOOKUP(B605,Course!$A$2:$R$329,2,FALSE)</f>
        <v>0</v>
      </c>
      <c r="G605">
        <f>VLOOKUP(B605, Course!$A$2:$L$150, 8, FALSE)</f>
        <v>12</v>
      </c>
      <c r="H605">
        <v>3</v>
      </c>
      <c r="I605">
        <v>1</v>
      </c>
      <c r="K605" t="s">
        <v>1581</v>
      </c>
      <c r="L605" t="str">
        <f>VLOOKUP(B605, Course!$A$1:$O$133, 14, FALSE)</f>
        <v>BR</v>
      </c>
      <c r="M605">
        <v>1</v>
      </c>
    </row>
    <row r="606" spans="1:13" x14ac:dyDescent="0.2">
      <c r="A606">
        <v>605</v>
      </c>
      <c r="B606">
        <v>52</v>
      </c>
      <c r="C606">
        <v>82</v>
      </c>
      <c r="D606" t="s">
        <v>231</v>
      </c>
      <c r="E606" t="str">
        <f t="shared" si="9"/>
        <v>1282BR03PT</v>
      </c>
      <c r="F606">
        <f>VLOOKUP(B606,Course!$A$2:$R$329,2,FALSE)</f>
        <v>0</v>
      </c>
      <c r="G606">
        <f>VLOOKUP(B606, Course!$A$2:$L$150, 8, FALSE)</f>
        <v>12</v>
      </c>
      <c r="H606">
        <v>3</v>
      </c>
      <c r="I606">
        <v>1</v>
      </c>
      <c r="K606" t="s">
        <v>1581</v>
      </c>
      <c r="L606" t="str">
        <f>VLOOKUP(B606, Course!$A$1:$O$133, 14, FALSE)</f>
        <v>BR</v>
      </c>
      <c r="M606">
        <v>1</v>
      </c>
    </row>
    <row r="607" spans="1:13" x14ac:dyDescent="0.2">
      <c r="A607">
        <v>606</v>
      </c>
      <c r="B607">
        <v>52</v>
      </c>
      <c r="C607">
        <v>83</v>
      </c>
      <c r="D607" t="s">
        <v>231</v>
      </c>
      <c r="E607" t="str">
        <f t="shared" si="9"/>
        <v>1283BR03PT</v>
      </c>
      <c r="F607">
        <f>VLOOKUP(B607,Course!$A$2:$R$329,2,FALSE)</f>
        <v>0</v>
      </c>
      <c r="G607">
        <f>VLOOKUP(B607, Course!$A$2:$L$150, 8, FALSE)</f>
        <v>12</v>
      </c>
      <c r="H607">
        <v>3</v>
      </c>
      <c r="I607">
        <v>1</v>
      </c>
      <c r="K607" t="s">
        <v>1581</v>
      </c>
      <c r="L607" t="str">
        <f>VLOOKUP(B607, Course!$A$1:$O$133, 14, FALSE)</f>
        <v>BR</v>
      </c>
      <c r="M607">
        <v>1</v>
      </c>
    </row>
    <row r="608" spans="1:13" x14ac:dyDescent="0.2">
      <c r="A608">
        <v>607</v>
      </c>
      <c r="B608">
        <v>52</v>
      </c>
      <c r="C608">
        <v>84</v>
      </c>
      <c r="D608" t="s">
        <v>231</v>
      </c>
      <c r="E608" t="str">
        <f t="shared" si="9"/>
        <v>1284BR03PT</v>
      </c>
      <c r="F608">
        <f>VLOOKUP(B608,Course!$A$2:$R$329,2,FALSE)</f>
        <v>0</v>
      </c>
      <c r="G608">
        <f>VLOOKUP(B608, Course!$A$2:$L$150, 8, FALSE)</f>
        <v>12</v>
      </c>
      <c r="H608">
        <v>3</v>
      </c>
      <c r="I608">
        <v>1</v>
      </c>
      <c r="K608" t="s">
        <v>1581</v>
      </c>
      <c r="L608" t="str">
        <f>VLOOKUP(B608, Course!$A$1:$O$133, 14, FALSE)</f>
        <v>BR</v>
      </c>
      <c r="M608">
        <v>1</v>
      </c>
    </row>
    <row r="609" spans="1:13" x14ac:dyDescent="0.2">
      <c r="A609">
        <v>608</v>
      </c>
      <c r="B609">
        <v>53</v>
      </c>
      <c r="C609">
        <v>85</v>
      </c>
      <c r="D609" t="s">
        <v>279</v>
      </c>
      <c r="E609" t="str">
        <f t="shared" si="9"/>
        <v>1285GM03PT</v>
      </c>
      <c r="F609">
        <f>VLOOKUP(B609,Course!$A$2:$R$329,2,FALSE)</f>
        <v>0</v>
      </c>
      <c r="G609">
        <f>VLOOKUP(B609, Course!$A$2:$L$150, 8, FALSE)</f>
        <v>12</v>
      </c>
      <c r="H609">
        <v>3</v>
      </c>
      <c r="I609">
        <v>1</v>
      </c>
      <c r="K609" t="s">
        <v>1581</v>
      </c>
      <c r="L609" t="str">
        <f>VLOOKUP(B609, Course!$A$1:$O$133, 14, FALSE)</f>
        <v>GM</v>
      </c>
      <c r="M609">
        <v>1</v>
      </c>
    </row>
    <row r="610" spans="1:13" x14ac:dyDescent="0.2">
      <c r="A610">
        <v>609</v>
      </c>
      <c r="B610">
        <v>53</v>
      </c>
      <c r="C610">
        <v>86</v>
      </c>
      <c r="D610" t="s">
        <v>279</v>
      </c>
      <c r="E610" t="str">
        <f t="shared" si="9"/>
        <v>1286GM03PT</v>
      </c>
      <c r="F610">
        <f>VLOOKUP(B610,Course!$A$2:$R$329,2,FALSE)</f>
        <v>0</v>
      </c>
      <c r="G610">
        <f>VLOOKUP(B610, Course!$A$2:$L$150, 8, FALSE)</f>
        <v>12</v>
      </c>
      <c r="H610">
        <v>3</v>
      </c>
      <c r="I610">
        <v>1</v>
      </c>
      <c r="K610" t="s">
        <v>1581</v>
      </c>
      <c r="L610" t="str">
        <f>VLOOKUP(B610, Course!$A$1:$O$133, 14, FALSE)</f>
        <v>GM</v>
      </c>
      <c r="M610">
        <v>1</v>
      </c>
    </row>
    <row r="611" spans="1:13" x14ac:dyDescent="0.2">
      <c r="A611">
        <v>610</v>
      </c>
      <c r="B611">
        <v>53</v>
      </c>
      <c r="C611">
        <v>87</v>
      </c>
      <c r="D611" t="s">
        <v>279</v>
      </c>
      <c r="E611" t="str">
        <f t="shared" si="9"/>
        <v>1287GM03PT</v>
      </c>
      <c r="F611">
        <f>VLOOKUP(B611,Course!$A$2:$R$329,2,FALSE)</f>
        <v>0</v>
      </c>
      <c r="G611">
        <f>VLOOKUP(B611, Course!$A$2:$L$150, 8, FALSE)</f>
        <v>12</v>
      </c>
      <c r="H611">
        <v>3</v>
      </c>
      <c r="I611">
        <v>1</v>
      </c>
      <c r="K611" t="s">
        <v>1581</v>
      </c>
      <c r="L611" t="str">
        <f>VLOOKUP(B611, Course!$A$1:$O$133, 14, FALSE)</f>
        <v>GM</v>
      </c>
      <c r="M611">
        <v>1</v>
      </c>
    </row>
    <row r="612" spans="1:13" x14ac:dyDescent="0.2">
      <c r="A612">
        <v>611</v>
      </c>
      <c r="B612">
        <v>53</v>
      </c>
      <c r="C612">
        <v>88</v>
      </c>
      <c r="D612" t="s">
        <v>279</v>
      </c>
      <c r="E612" t="str">
        <f t="shared" si="9"/>
        <v>1288GM03PT</v>
      </c>
      <c r="F612">
        <f>VLOOKUP(B612,Course!$A$2:$R$329,2,FALSE)</f>
        <v>0</v>
      </c>
      <c r="G612">
        <f>VLOOKUP(B612, Course!$A$2:$L$150, 8, FALSE)</f>
        <v>12</v>
      </c>
      <c r="H612">
        <v>3</v>
      </c>
      <c r="I612">
        <v>1</v>
      </c>
      <c r="K612" t="s">
        <v>1581</v>
      </c>
      <c r="L612" t="str">
        <f>VLOOKUP(B612, Course!$A$1:$O$133, 14, FALSE)</f>
        <v>GM</v>
      </c>
      <c r="M612">
        <v>1</v>
      </c>
    </row>
    <row r="613" spans="1:13" x14ac:dyDescent="0.2">
      <c r="A613">
        <v>612</v>
      </c>
      <c r="B613">
        <v>53</v>
      </c>
      <c r="C613">
        <v>89</v>
      </c>
      <c r="D613" t="s">
        <v>279</v>
      </c>
      <c r="E613" t="str">
        <f t="shared" si="9"/>
        <v>1289GM03PT</v>
      </c>
      <c r="F613">
        <f>VLOOKUP(B613,Course!$A$2:$R$329,2,FALSE)</f>
        <v>0</v>
      </c>
      <c r="G613">
        <f>VLOOKUP(B613, Course!$A$2:$L$150, 8, FALSE)</f>
        <v>12</v>
      </c>
      <c r="H613">
        <v>3</v>
      </c>
      <c r="I613">
        <v>1</v>
      </c>
      <c r="K613" t="s">
        <v>1581</v>
      </c>
      <c r="L613" t="str">
        <f>VLOOKUP(B613, Course!$A$1:$O$133, 14, FALSE)</f>
        <v>GM</v>
      </c>
      <c r="M613">
        <v>1</v>
      </c>
    </row>
    <row r="614" spans="1:13" x14ac:dyDescent="0.2">
      <c r="A614">
        <v>613</v>
      </c>
      <c r="B614">
        <v>53</v>
      </c>
      <c r="C614">
        <v>90</v>
      </c>
      <c r="D614" t="s">
        <v>279</v>
      </c>
      <c r="E614" t="str">
        <f t="shared" si="9"/>
        <v>1290GM03PT</v>
      </c>
      <c r="F614">
        <f>VLOOKUP(B614,Course!$A$2:$R$329,2,FALSE)</f>
        <v>0</v>
      </c>
      <c r="G614">
        <f>VLOOKUP(B614, Course!$A$2:$L$150, 8, FALSE)</f>
        <v>12</v>
      </c>
      <c r="H614">
        <v>3</v>
      </c>
      <c r="I614">
        <v>1</v>
      </c>
      <c r="K614" t="s">
        <v>1581</v>
      </c>
      <c r="L614" t="str">
        <f>VLOOKUP(B614, Course!$A$1:$O$133, 14, FALSE)</f>
        <v>GM</v>
      </c>
      <c r="M614">
        <v>1</v>
      </c>
    </row>
    <row r="615" spans="1:13" x14ac:dyDescent="0.2">
      <c r="A615">
        <v>614</v>
      </c>
      <c r="B615">
        <v>53</v>
      </c>
      <c r="C615">
        <v>91</v>
      </c>
      <c r="D615" t="s">
        <v>279</v>
      </c>
      <c r="E615" t="str">
        <f t="shared" si="9"/>
        <v>1291GM03PT</v>
      </c>
      <c r="F615">
        <f>VLOOKUP(B615,Course!$A$2:$R$329,2,FALSE)</f>
        <v>0</v>
      </c>
      <c r="G615">
        <f>VLOOKUP(B615, Course!$A$2:$L$150, 8, FALSE)</f>
        <v>12</v>
      </c>
      <c r="H615">
        <v>3</v>
      </c>
      <c r="I615">
        <v>1</v>
      </c>
      <c r="K615" t="s">
        <v>1581</v>
      </c>
      <c r="L615" t="str">
        <f>VLOOKUP(B615, Course!$A$1:$O$133, 14, FALSE)</f>
        <v>GM</v>
      </c>
      <c r="M615">
        <v>1</v>
      </c>
    </row>
    <row r="616" spans="1:13" x14ac:dyDescent="0.2">
      <c r="A616">
        <v>615</v>
      </c>
      <c r="B616">
        <v>53</v>
      </c>
      <c r="C616">
        <v>92</v>
      </c>
      <c r="D616" t="s">
        <v>279</v>
      </c>
      <c r="E616" t="str">
        <f t="shared" si="9"/>
        <v>1292GM03PT</v>
      </c>
      <c r="F616">
        <f>VLOOKUP(B616,Course!$A$2:$R$329,2,FALSE)</f>
        <v>0</v>
      </c>
      <c r="G616">
        <f>VLOOKUP(B616, Course!$A$2:$L$150, 8, FALSE)</f>
        <v>12</v>
      </c>
      <c r="H616">
        <v>3</v>
      </c>
      <c r="I616">
        <v>1</v>
      </c>
      <c r="K616" t="s">
        <v>1581</v>
      </c>
      <c r="L616" t="str">
        <f>VLOOKUP(B616, Course!$A$1:$O$133, 14, FALSE)</f>
        <v>GM</v>
      </c>
      <c r="M616">
        <v>1</v>
      </c>
    </row>
    <row r="617" spans="1:13" x14ac:dyDescent="0.2">
      <c r="A617">
        <v>616</v>
      </c>
      <c r="B617">
        <v>53</v>
      </c>
      <c r="C617">
        <v>93</v>
      </c>
      <c r="D617" t="s">
        <v>279</v>
      </c>
      <c r="E617" t="str">
        <f t="shared" si="9"/>
        <v>1293GM03PT</v>
      </c>
      <c r="F617">
        <f>VLOOKUP(B617,Course!$A$2:$R$329,2,FALSE)</f>
        <v>0</v>
      </c>
      <c r="G617">
        <f>VLOOKUP(B617, Course!$A$2:$L$150, 8, FALSE)</f>
        <v>12</v>
      </c>
      <c r="H617">
        <v>3</v>
      </c>
      <c r="I617">
        <v>1</v>
      </c>
      <c r="K617" t="s">
        <v>1581</v>
      </c>
      <c r="L617" t="str">
        <f>VLOOKUP(B617, Course!$A$1:$O$133, 14, FALSE)</f>
        <v>GM</v>
      </c>
      <c r="M617">
        <v>1</v>
      </c>
    </row>
    <row r="618" spans="1:13" x14ac:dyDescent="0.2">
      <c r="A618">
        <v>617</v>
      </c>
      <c r="B618">
        <v>53</v>
      </c>
      <c r="C618">
        <v>94</v>
      </c>
      <c r="D618" t="s">
        <v>279</v>
      </c>
      <c r="E618" t="str">
        <f t="shared" si="9"/>
        <v>1294GM03PT</v>
      </c>
      <c r="F618">
        <f>VLOOKUP(B618,Course!$A$2:$R$329,2,FALSE)</f>
        <v>0</v>
      </c>
      <c r="G618">
        <f>VLOOKUP(B618, Course!$A$2:$L$150, 8, FALSE)</f>
        <v>12</v>
      </c>
      <c r="H618">
        <v>3</v>
      </c>
      <c r="I618">
        <v>1</v>
      </c>
      <c r="K618" t="s">
        <v>1581</v>
      </c>
      <c r="L618" t="str">
        <f>VLOOKUP(B618, Course!$A$1:$O$133, 14, FALSE)</f>
        <v>GM</v>
      </c>
      <c r="M618">
        <v>1</v>
      </c>
    </row>
    <row r="619" spans="1:13" x14ac:dyDescent="0.2">
      <c r="A619">
        <v>618</v>
      </c>
      <c r="B619">
        <v>53</v>
      </c>
      <c r="C619">
        <v>95</v>
      </c>
      <c r="D619" t="s">
        <v>279</v>
      </c>
      <c r="E619" t="str">
        <f t="shared" si="9"/>
        <v>1295GM03PT</v>
      </c>
      <c r="F619">
        <f>VLOOKUP(B619,Course!$A$2:$R$329,2,FALSE)</f>
        <v>0</v>
      </c>
      <c r="G619">
        <f>VLOOKUP(B619, Course!$A$2:$L$150, 8, FALSE)</f>
        <v>12</v>
      </c>
      <c r="H619">
        <v>3</v>
      </c>
      <c r="I619">
        <v>1</v>
      </c>
      <c r="K619" t="s">
        <v>1581</v>
      </c>
      <c r="L619" t="str">
        <f>VLOOKUP(B619, Course!$A$1:$O$133, 14, FALSE)</f>
        <v>GM</v>
      </c>
      <c r="M619">
        <v>1</v>
      </c>
    </row>
    <row r="620" spans="1:13" x14ac:dyDescent="0.2">
      <c r="A620">
        <v>619</v>
      </c>
      <c r="B620">
        <v>53</v>
      </c>
      <c r="C620">
        <v>96</v>
      </c>
      <c r="D620" t="s">
        <v>279</v>
      </c>
      <c r="E620" t="str">
        <f t="shared" si="9"/>
        <v>1296GM03PT</v>
      </c>
      <c r="F620">
        <f>VLOOKUP(B620,Course!$A$2:$R$329,2,FALSE)</f>
        <v>0</v>
      </c>
      <c r="G620">
        <f>VLOOKUP(B620, Course!$A$2:$L$150, 8, FALSE)</f>
        <v>12</v>
      </c>
      <c r="H620">
        <v>3</v>
      </c>
      <c r="I620">
        <v>1</v>
      </c>
      <c r="K620" t="s">
        <v>1581</v>
      </c>
      <c r="L620" t="str">
        <f>VLOOKUP(B620, Course!$A$1:$O$133, 14, FALSE)</f>
        <v>GM</v>
      </c>
      <c r="M620">
        <v>1</v>
      </c>
    </row>
    <row r="621" spans="1:13" x14ac:dyDescent="0.2">
      <c r="A621">
        <v>620</v>
      </c>
      <c r="B621">
        <v>54</v>
      </c>
      <c r="C621">
        <v>85</v>
      </c>
      <c r="D621" t="s">
        <v>224</v>
      </c>
      <c r="E621" t="str">
        <f t="shared" si="9"/>
        <v>1285EN03PT</v>
      </c>
      <c r="F621">
        <f>VLOOKUP(B621,Course!$A$2:$R$329,2,FALSE)</f>
        <v>0</v>
      </c>
      <c r="G621">
        <f>VLOOKUP(B621, Course!$A$2:$L$150, 8, FALSE)</f>
        <v>12</v>
      </c>
      <c r="H621">
        <v>3</v>
      </c>
      <c r="I621">
        <v>1</v>
      </c>
      <c r="K621" t="s">
        <v>1581</v>
      </c>
      <c r="L621" t="str">
        <f>VLOOKUP(B621, Course!$A$1:$O$133, 14, FALSE)</f>
        <v>EN</v>
      </c>
      <c r="M621">
        <v>1</v>
      </c>
    </row>
    <row r="622" spans="1:13" x14ac:dyDescent="0.2">
      <c r="A622">
        <v>621</v>
      </c>
      <c r="B622">
        <v>54</v>
      </c>
      <c r="C622">
        <v>86</v>
      </c>
      <c r="D622" t="s">
        <v>224</v>
      </c>
      <c r="E622" t="str">
        <f t="shared" si="9"/>
        <v>1286EN03PT</v>
      </c>
      <c r="F622">
        <f>VLOOKUP(B622,Course!$A$2:$R$329,2,FALSE)</f>
        <v>0</v>
      </c>
      <c r="G622">
        <f>VLOOKUP(B622, Course!$A$2:$L$150, 8, FALSE)</f>
        <v>12</v>
      </c>
      <c r="H622">
        <v>3</v>
      </c>
      <c r="I622">
        <v>1</v>
      </c>
      <c r="K622" t="s">
        <v>1581</v>
      </c>
      <c r="L622" t="str">
        <f>VLOOKUP(B622, Course!$A$1:$O$133, 14, FALSE)</f>
        <v>EN</v>
      </c>
      <c r="M622">
        <v>1</v>
      </c>
    </row>
    <row r="623" spans="1:13" x14ac:dyDescent="0.2">
      <c r="A623">
        <v>622</v>
      </c>
      <c r="B623">
        <v>54</v>
      </c>
      <c r="C623">
        <v>87</v>
      </c>
      <c r="D623" t="s">
        <v>224</v>
      </c>
      <c r="E623" t="str">
        <f t="shared" si="9"/>
        <v>1287EN03PT</v>
      </c>
      <c r="F623">
        <f>VLOOKUP(B623,Course!$A$2:$R$329,2,FALSE)</f>
        <v>0</v>
      </c>
      <c r="G623">
        <f>VLOOKUP(B623, Course!$A$2:$L$150, 8, FALSE)</f>
        <v>12</v>
      </c>
      <c r="H623">
        <v>3</v>
      </c>
      <c r="I623">
        <v>1</v>
      </c>
      <c r="K623" t="s">
        <v>1581</v>
      </c>
      <c r="L623" t="str">
        <f>VLOOKUP(B623, Course!$A$1:$O$133, 14, FALSE)</f>
        <v>EN</v>
      </c>
      <c r="M623">
        <v>1</v>
      </c>
    </row>
    <row r="624" spans="1:13" x14ac:dyDescent="0.2">
      <c r="A624">
        <v>623</v>
      </c>
      <c r="B624">
        <v>54</v>
      </c>
      <c r="C624">
        <v>88</v>
      </c>
      <c r="D624" t="s">
        <v>224</v>
      </c>
      <c r="E624" t="str">
        <f t="shared" si="9"/>
        <v>1288EN03PT</v>
      </c>
      <c r="F624">
        <f>VLOOKUP(B624,Course!$A$2:$R$329,2,FALSE)</f>
        <v>0</v>
      </c>
      <c r="G624">
        <f>VLOOKUP(B624, Course!$A$2:$L$150, 8, FALSE)</f>
        <v>12</v>
      </c>
      <c r="H624">
        <v>3</v>
      </c>
      <c r="I624">
        <v>1</v>
      </c>
      <c r="K624" t="s">
        <v>1581</v>
      </c>
      <c r="L624" t="str">
        <f>VLOOKUP(B624, Course!$A$1:$O$133, 14, FALSE)</f>
        <v>EN</v>
      </c>
      <c r="M624">
        <v>1</v>
      </c>
    </row>
    <row r="625" spans="1:13" x14ac:dyDescent="0.2">
      <c r="A625">
        <v>624</v>
      </c>
      <c r="B625">
        <v>54</v>
      </c>
      <c r="C625">
        <v>89</v>
      </c>
      <c r="D625" t="s">
        <v>224</v>
      </c>
      <c r="E625" t="str">
        <f t="shared" si="9"/>
        <v>1289EN03PT</v>
      </c>
      <c r="F625">
        <f>VLOOKUP(B625,Course!$A$2:$R$329,2,FALSE)</f>
        <v>0</v>
      </c>
      <c r="G625">
        <f>VLOOKUP(B625, Course!$A$2:$L$150, 8, FALSE)</f>
        <v>12</v>
      </c>
      <c r="H625">
        <v>3</v>
      </c>
      <c r="I625">
        <v>1</v>
      </c>
      <c r="K625" t="s">
        <v>1581</v>
      </c>
      <c r="L625" t="str">
        <f>VLOOKUP(B625, Course!$A$1:$O$133, 14, FALSE)</f>
        <v>EN</v>
      </c>
      <c r="M625">
        <v>1</v>
      </c>
    </row>
    <row r="626" spans="1:13" x14ac:dyDescent="0.2">
      <c r="A626">
        <v>625</v>
      </c>
      <c r="B626">
        <v>54</v>
      </c>
      <c r="C626">
        <v>90</v>
      </c>
      <c r="D626" t="s">
        <v>224</v>
      </c>
      <c r="E626" t="str">
        <f t="shared" si="9"/>
        <v>1290EN03PT</v>
      </c>
      <c r="F626">
        <f>VLOOKUP(B626,Course!$A$2:$R$329,2,FALSE)</f>
        <v>0</v>
      </c>
      <c r="G626">
        <f>VLOOKUP(B626, Course!$A$2:$L$150, 8, FALSE)</f>
        <v>12</v>
      </c>
      <c r="H626">
        <v>3</v>
      </c>
      <c r="I626">
        <v>1</v>
      </c>
      <c r="K626" t="s">
        <v>1581</v>
      </c>
      <c r="L626" t="str">
        <f>VLOOKUP(B626, Course!$A$1:$O$133, 14, FALSE)</f>
        <v>EN</v>
      </c>
      <c r="M626">
        <v>1</v>
      </c>
    </row>
    <row r="627" spans="1:13" x14ac:dyDescent="0.2">
      <c r="A627">
        <v>626</v>
      </c>
      <c r="B627">
        <v>54</v>
      </c>
      <c r="C627">
        <v>91</v>
      </c>
      <c r="D627" t="s">
        <v>224</v>
      </c>
      <c r="E627" t="str">
        <f t="shared" si="9"/>
        <v>1291EN03PT</v>
      </c>
      <c r="F627">
        <f>VLOOKUP(B627,Course!$A$2:$R$329,2,FALSE)</f>
        <v>0</v>
      </c>
      <c r="G627">
        <f>VLOOKUP(B627, Course!$A$2:$L$150, 8, FALSE)</f>
        <v>12</v>
      </c>
      <c r="H627">
        <v>3</v>
      </c>
      <c r="I627">
        <v>1</v>
      </c>
      <c r="K627" t="s">
        <v>1581</v>
      </c>
      <c r="L627" t="str">
        <f>VLOOKUP(B627, Course!$A$1:$O$133, 14, FALSE)</f>
        <v>EN</v>
      </c>
      <c r="M627">
        <v>1</v>
      </c>
    </row>
    <row r="628" spans="1:13" x14ac:dyDescent="0.2">
      <c r="A628">
        <v>627</v>
      </c>
      <c r="B628">
        <v>54</v>
      </c>
      <c r="C628">
        <v>92</v>
      </c>
      <c r="D628" t="s">
        <v>224</v>
      </c>
      <c r="E628" t="str">
        <f t="shared" si="9"/>
        <v>1292EN03PT</v>
      </c>
      <c r="F628">
        <f>VLOOKUP(B628,Course!$A$2:$R$329,2,FALSE)</f>
        <v>0</v>
      </c>
      <c r="G628">
        <f>VLOOKUP(B628, Course!$A$2:$L$150, 8, FALSE)</f>
        <v>12</v>
      </c>
      <c r="H628">
        <v>3</v>
      </c>
      <c r="I628">
        <v>1</v>
      </c>
      <c r="K628" t="s">
        <v>1581</v>
      </c>
      <c r="L628" t="str">
        <f>VLOOKUP(B628, Course!$A$1:$O$133, 14, FALSE)</f>
        <v>EN</v>
      </c>
      <c r="M628">
        <v>1</v>
      </c>
    </row>
    <row r="629" spans="1:13" x14ac:dyDescent="0.2">
      <c r="A629">
        <v>628</v>
      </c>
      <c r="B629">
        <v>54</v>
      </c>
      <c r="C629">
        <v>93</v>
      </c>
      <c r="D629" t="s">
        <v>224</v>
      </c>
      <c r="E629" t="str">
        <f t="shared" si="9"/>
        <v>1293EN03PT</v>
      </c>
      <c r="F629">
        <f>VLOOKUP(B629,Course!$A$2:$R$329,2,FALSE)</f>
        <v>0</v>
      </c>
      <c r="G629">
        <f>VLOOKUP(B629, Course!$A$2:$L$150, 8, FALSE)</f>
        <v>12</v>
      </c>
      <c r="H629">
        <v>3</v>
      </c>
      <c r="I629">
        <v>1</v>
      </c>
      <c r="K629" t="s">
        <v>1581</v>
      </c>
      <c r="L629" t="str">
        <f>VLOOKUP(B629, Course!$A$1:$O$133, 14, FALSE)</f>
        <v>EN</v>
      </c>
      <c r="M629">
        <v>1</v>
      </c>
    </row>
    <row r="630" spans="1:13" x14ac:dyDescent="0.2">
      <c r="A630">
        <v>629</v>
      </c>
      <c r="B630">
        <v>54</v>
      </c>
      <c r="C630">
        <v>94</v>
      </c>
      <c r="D630" t="s">
        <v>224</v>
      </c>
      <c r="E630" t="str">
        <f t="shared" si="9"/>
        <v>1294EN03PT</v>
      </c>
      <c r="F630">
        <f>VLOOKUP(B630,Course!$A$2:$R$329,2,FALSE)</f>
        <v>0</v>
      </c>
      <c r="G630">
        <f>VLOOKUP(B630, Course!$A$2:$L$150, 8, FALSE)</f>
        <v>12</v>
      </c>
      <c r="H630">
        <v>3</v>
      </c>
      <c r="I630">
        <v>1</v>
      </c>
      <c r="K630" t="s">
        <v>1581</v>
      </c>
      <c r="L630" t="str">
        <f>VLOOKUP(B630, Course!$A$1:$O$133, 14, FALSE)</f>
        <v>EN</v>
      </c>
      <c r="M630">
        <v>1</v>
      </c>
    </row>
    <row r="631" spans="1:13" x14ac:dyDescent="0.2">
      <c r="A631">
        <v>630</v>
      </c>
      <c r="B631">
        <v>54</v>
      </c>
      <c r="C631">
        <v>95</v>
      </c>
      <c r="D631" t="s">
        <v>224</v>
      </c>
      <c r="E631" t="str">
        <f t="shared" si="9"/>
        <v>1295EN03PT</v>
      </c>
      <c r="F631">
        <f>VLOOKUP(B631,Course!$A$2:$R$329,2,FALSE)</f>
        <v>0</v>
      </c>
      <c r="G631">
        <f>VLOOKUP(B631, Course!$A$2:$L$150, 8, FALSE)</f>
        <v>12</v>
      </c>
      <c r="H631">
        <v>3</v>
      </c>
      <c r="I631">
        <v>1</v>
      </c>
      <c r="K631" t="s">
        <v>1581</v>
      </c>
      <c r="L631" t="str">
        <f>VLOOKUP(B631, Course!$A$1:$O$133, 14, FALSE)</f>
        <v>EN</v>
      </c>
      <c r="M631">
        <v>1</v>
      </c>
    </row>
    <row r="632" spans="1:13" x14ac:dyDescent="0.2">
      <c r="A632">
        <v>631</v>
      </c>
      <c r="B632">
        <v>54</v>
      </c>
      <c r="C632">
        <v>96</v>
      </c>
      <c r="D632" t="s">
        <v>224</v>
      </c>
      <c r="E632" t="str">
        <f t="shared" si="9"/>
        <v>1296EN03PT</v>
      </c>
      <c r="F632">
        <f>VLOOKUP(B632,Course!$A$2:$R$329,2,FALSE)</f>
        <v>0</v>
      </c>
      <c r="G632">
        <f>VLOOKUP(B632, Course!$A$2:$L$150, 8, FALSE)</f>
        <v>12</v>
      </c>
      <c r="H632">
        <v>3</v>
      </c>
      <c r="I632">
        <v>1</v>
      </c>
      <c r="K632" t="s">
        <v>1581</v>
      </c>
      <c r="L632" t="str">
        <f>VLOOKUP(B632, Course!$A$1:$O$133, 14, FALSE)</f>
        <v>EN</v>
      </c>
      <c r="M632">
        <v>1</v>
      </c>
    </row>
    <row r="633" spans="1:13" x14ac:dyDescent="0.2">
      <c r="A633">
        <v>632</v>
      </c>
      <c r="B633">
        <v>55</v>
      </c>
      <c r="C633">
        <v>85</v>
      </c>
      <c r="D633" t="s">
        <v>147</v>
      </c>
      <c r="E633" t="str">
        <f t="shared" si="9"/>
        <v>1285WB03PT</v>
      </c>
      <c r="F633">
        <f>VLOOKUP(B633,Course!$A$2:$R$329,2,FALSE)</f>
        <v>0</v>
      </c>
      <c r="G633">
        <f>VLOOKUP(B633, Course!$A$2:$L$150, 8, FALSE)</f>
        <v>12</v>
      </c>
      <c r="H633">
        <v>3</v>
      </c>
      <c r="I633">
        <v>1</v>
      </c>
      <c r="K633" t="s">
        <v>1581</v>
      </c>
      <c r="L633" t="str">
        <f>VLOOKUP(B633, Course!$A$1:$O$133, 14, FALSE)</f>
        <v>WB</v>
      </c>
      <c r="M633">
        <v>1</v>
      </c>
    </row>
    <row r="634" spans="1:13" x14ac:dyDescent="0.2">
      <c r="A634">
        <v>633</v>
      </c>
      <c r="B634">
        <v>55</v>
      </c>
      <c r="C634">
        <v>86</v>
      </c>
      <c r="D634" t="s">
        <v>147</v>
      </c>
      <c r="E634" t="str">
        <f t="shared" si="9"/>
        <v>1286WB03PT</v>
      </c>
      <c r="F634">
        <f>VLOOKUP(B634,Course!$A$2:$R$329,2,FALSE)</f>
        <v>0</v>
      </c>
      <c r="G634">
        <f>VLOOKUP(B634, Course!$A$2:$L$150, 8, FALSE)</f>
        <v>12</v>
      </c>
      <c r="H634">
        <v>3</v>
      </c>
      <c r="I634">
        <v>1</v>
      </c>
      <c r="K634" t="s">
        <v>1581</v>
      </c>
      <c r="L634" t="str">
        <f>VLOOKUP(B634, Course!$A$1:$O$133, 14, FALSE)</f>
        <v>WB</v>
      </c>
      <c r="M634">
        <v>1</v>
      </c>
    </row>
    <row r="635" spans="1:13" x14ac:dyDescent="0.2">
      <c r="A635">
        <v>634</v>
      </c>
      <c r="B635">
        <v>55</v>
      </c>
      <c r="C635">
        <v>87</v>
      </c>
      <c r="D635" t="s">
        <v>147</v>
      </c>
      <c r="E635" t="str">
        <f t="shared" si="9"/>
        <v>1287WB03PT</v>
      </c>
      <c r="F635">
        <f>VLOOKUP(B635,Course!$A$2:$R$329,2,FALSE)</f>
        <v>0</v>
      </c>
      <c r="G635">
        <f>VLOOKUP(B635, Course!$A$2:$L$150, 8, FALSE)</f>
        <v>12</v>
      </c>
      <c r="H635">
        <v>3</v>
      </c>
      <c r="I635">
        <v>1</v>
      </c>
      <c r="K635" t="s">
        <v>1581</v>
      </c>
      <c r="L635" t="str">
        <f>VLOOKUP(B635, Course!$A$1:$O$133, 14, FALSE)</f>
        <v>WB</v>
      </c>
      <c r="M635">
        <v>1</v>
      </c>
    </row>
    <row r="636" spans="1:13" x14ac:dyDescent="0.2">
      <c r="A636">
        <v>635</v>
      </c>
      <c r="B636">
        <v>55</v>
      </c>
      <c r="C636">
        <v>88</v>
      </c>
      <c r="D636" t="s">
        <v>147</v>
      </c>
      <c r="E636" t="str">
        <f t="shared" si="9"/>
        <v>1288WB03PT</v>
      </c>
      <c r="F636">
        <f>VLOOKUP(B636,Course!$A$2:$R$329,2,FALSE)</f>
        <v>0</v>
      </c>
      <c r="G636">
        <f>VLOOKUP(B636, Course!$A$2:$L$150, 8, FALSE)</f>
        <v>12</v>
      </c>
      <c r="H636">
        <v>3</v>
      </c>
      <c r="I636">
        <v>1</v>
      </c>
      <c r="K636" t="s">
        <v>1581</v>
      </c>
      <c r="L636" t="str">
        <f>VLOOKUP(B636, Course!$A$1:$O$133, 14, FALSE)</f>
        <v>WB</v>
      </c>
      <c r="M636">
        <v>1</v>
      </c>
    </row>
    <row r="637" spans="1:13" x14ac:dyDescent="0.2">
      <c r="A637">
        <v>636</v>
      </c>
      <c r="B637">
        <v>55</v>
      </c>
      <c r="C637">
        <v>89</v>
      </c>
      <c r="D637" t="s">
        <v>147</v>
      </c>
      <c r="E637" t="str">
        <f t="shared" si="9"/>
        <v>1289WB03PT</v>
      </c>
      <c r="F637">
        <f>VLOOKUP(B637,Course!$A$2:$R$329,2,FALSE)</f>
        <v>0</v>
      </c>
      <c r="G637">
        <f>VLOOKUP(B637, Course!$A$2:$L$150, 8, FALSE)</f>
        <v>12</v>
      </c>
      <c r="H637">
        <v>3</v>
      </c>
      <c r="I637">
        <v>1</v>
      </c>
      <c r="K637" t="s">
        <v>1581</v>
      </c>
      <c r="L637" t="str">
        <f>VLOOKUP(B637, Course!$A$1:$O$133, 14, FALSE)</f>
        <v>WB</v>
      </c>
      <c r="M637">
        <v>1</v>
      </c>
    </row>
    <row r="638" spans="1:13" x14ac:dyDescent="0.2">
      <c r="A638">
        <v>637</v>
      </c>
      <c r="B638">
        <v>55</v>
      </c>
      <c r="C638">
        <v>90</v>
      </c>
      <c r="D638" t="s">
        <v>147</v>
      </c>
      <c r="E638" t="str">
        <f t="shared" si="9"/>
        <v>1290WB03PT</v>
      </c>
      <c r="F638">
        <f>VLOOKUP(B638,Course!$A$2:$R$329,2,FALSE)</f>
        <v>0</v>
      </c>
      <c r="G638">
        <f>VLOOKUP(B638, Course!$A$2:$L$150, 8, FALSE)</f>
        <v>12</v>
      </c>
      <c r="H638">
        <v>3</v>
      </c>
      <c r="I638">
        <v>1</v>
      </c>
      <c r="K638" t="s">
        <v>1581</v>
      </c>
      <c r="L638" t="str">
        <f>VLOOKUP(B638, Course!$A$1:$O$133, 14, FALSE)</f>
        <v>WB</v>
      </c>
      <c r="M638">
        <v>1</v>
      </c>
    </row>
    <row r="639" spans="1:13" x14ac:dyDescent="0.2">
      <c r="A639">
        <v>638</v>
      </c>
      <c r="B639">
        <v>55</v>
      </c>
      <c r="C639">
        <v>91</v>
      </c>
      <c r="D639" t="s">
        <v>147</v>
      </c>
      <c r="E639" t="str">
        <f t="shared" si="9"/>
        <v>1291WB03PT</v>
      </c>
      <c r="F639">
        <f>VLOOKUP(B639,Course!$A$2:$R$329,2,FALSE)</f>
        <v>0</v>
      </c>
      <c r="G639">
        <f>VLOOKUP(B639, Course!$A$2:$L$150, 8, FALSE)</f>
        <v>12</v>
      </c>
      <c r="H639">
        <v>3</v>
      </c>
      <c r="I639">
        <v>1</v>
      </c>
      <c r="K639" t="s">
        <v>1581</v>
      </c>
      <c r="L639" t="str">
        <f>VLOOKUP(B639, Course!$A$1:$O$133, 14, FALSE)</f>
        <v>WB</v>
      </c>
      <c r="M639">
        <v>1</v>
      </c>
    </row>
    <row r="640" spans="1:13" x14ac:dyDescent="0.2">
      <c r="A640">
        <v>639</v>
      </c>
      <c r="B640">
        <v>55</v>
      </c>
      <c r="C640">
        <v>92</v>
      </c>
      <c r="D640" t="s">
        <v>147</v>
      </c>
      <c r="E640" t="str">
        <f t="shared" si="9"/>
        <v>1292WB03PT</v>
      </c>
      <c r="F640">
        <f>VLOOKUP(B640,Course!$A$2:$R$329,2,FALSE)</f>
        <v>0</v>
      </c>
      <c r="G640">
        <f>VLOOKUP(B640, Course!$A$2:$L$150, 8, FALSE)</f>
        <v>12</v>
      </c>
      <c r="H640">
        <v>3</v>
      </c>
      <c r="I640">
        <v>1</v>
      </c>
      <c r="K640" t="s">
        <v>1581</v>
      </c>
      <c r="L640" t="str">
        <f>VLOOKUP(B640, Course!$A$1:$O$133, 14, FALSE)</f>
        <v>WB</v>
      </c>
      <c r="M640">
        <v>1</v>
      </c>
    </row>
    <row r="641" spans="1:13" x14ac:dyDescent="0.2">
      <c r="A641">
        <v>640</v>
      </c>
      <c r="B641">
        <v>55</v>
      </c>
      <c r="C641">
        <v>93</v>
      </c>
      <c r="D641" t="s">
        <v>147</v>
      </c>
      <c r="E641" t="str">
        <f t="shared" si="9"/>
        <v>1293WB03PT</v>
      </c>
      <c r="F641">
        <f>VLOOKUP(B641,Course!$A$2:$R$329,2,FALSE)</f>
        <v>0</v>
      </c>
      <c r="G641">
        <f>VLOOKUP(B641, Course!$A$2:$L$150, 8, FALSE)</f>
        <v>12</v>
      </c>
      <c r="H641">
        <v>3</v>
      </c>
      <c r="I641">
        <v>1</v>
      </c>
      <c r="K641" t="s">
        <v>1581</v>
      </c>
      <c r="L641" t="str">
        <f>VLOOKUP(B641, Course!$A$1:$O$133, 14, FALSE)</f>
        <v>WB</v>
      </c>
      <c r="M641">
        <v>1</v>
      </c>
    </row>
    <row r="642" spans="1:13" x14ac:dyDescent="0.2">
      <c r="A642">
        <v>641</v>
      </c>
      <c r="B642">
        <v>55</v>
      </c>
      <c r="C642">
        <v>94</v>
      </c>
      <c r="D642" t="s">
        <v>147</v>
      </c>
      <c r="E642" t="str">
        <f t="shared" ref="E642:E705" si="10">UPPER(LEFT(G642,2)) &amp; RIGHT("0" &amp; C642, 2) &amp; D642 &amp; RIGHT("0" &amp; H642, 2) &amp; K642</f>
        <v>1294WB03PT</v>
      </c>
      <c r="F642">
        <f>VLOOKUP(B642,Course!$A$2:$R$329,2,FALSE)</f>
        <v>0</v>
      </c>
      <c r="G642">
        <f>VLOOKUP(B642, Course!$A$2:$L$150, 8, FALSE)</f>
        <v>12</v>
      </c>
      <c r="H642">
        <v>3</v>
      </c>
      <c r="I642">
        <v>1</v>
      </c>
      <c r="K642" t="s">
        <v>1581</v>
      </c>
      <c r="L642" t="str">
        <f>VLOOKUP(B642, Course!$A$1:$O$133, 14, FALSE)</f>
        <v>WB</v>
      </c>
      <c r="M642">
        <v>1</v>
      </c>
    </row>
    <row r="643" spans="1:13" x14ac:dyDescent="0.2">
      <c r="A643">
        <v>642</v>
      </c>
      <c r="B643">
        <v>55</v>
      </c>
      <c r="C643">
        <v>95</v>
      </c>
      <c r="D643" t="s">
        <v>147</v>
      </c>
      <c r="E643" t="str">
        <f t="shared" si="10"/>
        <v>1295WB03PT</v>
      </c>
      <c r="F643">
        <f>VLOOKUP(B643,Course!$A$2:$R$329,2,FALSE)</f>
        <v>0</v>
      </c>
      <c r="G643">
        <f>VLOOKUP(B643, Course!$A$2:$L$150, 8, FALSE)</f>
        <v>12</v>
      </c>
      <c r="H643">
        <v>3</v>
      </c>
      <c r="I643">
        <v>1</v>
      </c>
      <c r="K643" t="s">
        <v>1581</v>
      </c>
      <c r="L643" t="str">
        <f>VLOOKUP(B643, Course!$A$1:$O$133, 14, FALSE)</f>
        <v>WB</v>
      </c>
      <c r="M643">
        <v>1</v>
      </c>
    </row>
    <row r="644" spans="1:13" x14ac:dyDescent="0.2">
      <c r="A644">
        <v>643</v>
      </c>
      <c r="B644">
        <v>55</v>
      </c>
      <c r="C644">
        <v>96</v>
      </c>
      <c r="D644" t="s">
        <v>147</v>
      </c>
      <c r="E644" t="str">
        <f t="shared" si="10"/>
        <v>1296WB03PT</v>
      </c>
      <c r="F644">
        <f>VLOOKUP(B644,Course!$A$2:$R$329,2,FALSE)</f>
        <v>0</v>
      </c>
      <c r="G644">
        <f>VLOOKUP(B644, Course!$A$2:$L$150, 8, FALSE)</f>
        <v>12</v>
      </c>
      <c r="H644">
        <v>3</v>
      </c>
      <c r="I644">
        <v>1</v>
      </c>
      <c r="K644" t="s">
        <v>1581</v>
      </c>
      <c r="L644" t="str">
        <f>VLOOKUP(B644, Course!$A$1:$O$133, 14, FALSE)</f>
        <v>WB</v>
      </c>
      <c r="M644">
        <v>1</v>
      </c>
    </row>
    <row r="645" spans="1:13" x14ac:dyDescent="0.2">
      <c r="A645">
        <v>644</v>
      </c>
      <c r="B645">
        <v>56</v>
      </c>
      <c r="C645">
        <v>86</v>
      </c>
      <c r="D645" t="s">
        <v>227</v>
      </c>
      <c r="E645" t="str">
        <f t="shared" si="10"/>
        <v>1186LC03PT</v>
      </c>
      <c r="F645">
        <f>VLOOKUP(B645,Course!$A$2:$R$329,2,FALSE)</f>
        <v>0</v>
      </c>
      <c r="G645">
        <f>VLOOKUP(B645, Course!$A$2:$L$150, 8, FALSE)</f>
        <v>11</v>
      </c>
      <c r="H645">
        <v>3</v>
      </c>
      <c r="I645">
        <v>1</v>
      </c>
      <c r="K645" t="s">
        <v>1581</v>
      </c>
      <c r="L645" t="str">
        <f>VLOOKUP(B645, Course!$A$1:$O$133, 14, FALSE)</f>
        <v>LC</v>
      </c>
      <c r="M645">
        <v>1</v>
      </c>
    </row>
    <row r="646" spans="1:13" x14ac:dyDescent="0.2">
      <c r="A646">
        <v>645</v>
      </c>
      <c r="B646">
        <v>56</v>
      </c>
      <c r="C646">
        <v>87</v>
      </c>
      <c r="D646" t="s">
        <v>227</v>
      </c>
      <c r="E646" t="str">
        <f t="shared" si="10"/>
        <v>1187LC03PT</v>
      </c>
      <c r="F646">
        <f>VLOOKUP(B646,Course!$A$2:$R$329,2,FALSE)</f>
        <v>0</v>
      </c>
      <c r="G646">
        <f>VLOOKUP(B646, Course!$A$2:$L$150, 8, FALSE)</f>
        <v>11</v>
      </c>
      <c r="H646">
        <v>3</v>
      </c>
      <c r="I646">
        <v>1</v>
      </c>
      <c r="K646" t="s">
        <v>1581</v>
      </c>
      <c r="L646" t="str">
        <f>VLOOKUP(B646, Course!$A$1:$O$133, 14, FALSE)</f>
        <v>LC</v>
      </c>
      <c r="M646">
        <v>1</v>
      </c>
    </row>
    <row r="647" spans="1:13" x14ac:dyDescent="0.2">
      <c r="A647">
        <v>646</v>
      </c>
      <c r="B647">
        <v>56</v>
      </c>
      <c r="C647">
        <v>88</v>
      </c>
      <c r="D647" t="s">
        <v>227</v>
      </c>
      <c r="E647" t="str">
        <f t="shared" si="10"/>
        <v>1188LC03PT</v>
      </c>
      <c r="F647">
        <f>VLOOKUP(B647,Course!$A$2:$R$329,2,FALSE)</f>
        <v>0</v>
      </c>
      <c r="G647">
        <f>VLOOKUP(B647, Course!$A$2:$L$150, 8, FALSE)</f>
        <v>11</v>
      </c>
      <c r="H647">
        <v>3</v>
      </c>
      <c r="I647">
        <v>1</v>
      </c>
      <c r="K647" t="s">
        <v>1581</v>
      </c>
      <c r="L647" t="str">
        <f>VLOOKUP(B647, Course!$A$1:$O$133, 14, FALSE)</f>
        <v>LC</v>
      </c>
      <c r="M647">
        <v>1</v>
      </c>
    </row>
    <row r="648" spans="1:13" x14ac:dyDescent="0.2">
      <c r="A648">
        <v>647</v>
      </c>
      <c r="B648">
        <v>56</v>
      </c>
      <c r="C648">
        <v>89</v>
      </c>
      <c r="D648" t="s">
        <v>227</v>
      </c>
      <c r="E648" t="str">
        <f t="shared" si="10"/>
        <v>1189LC03PT</v>
      </c>
      <c r="F648">
        <f>VLOOKUP(B648,Course!$A$2:$R$329,2,FALSE)</f>
        <v>0</v>
      </c>
      <c r="G648">
        <f>VLOOKUP(B648, Course!$A$2:$L$150, 8, FALSE)</f>
        <v>11</v>
      </c>
      <c r="H648">
        <v>3</v>
      </c>
      <c r="I648">
        <v>1</v>
      </c>
      <c r="K648" t="s">
        <v>1581</v>
      </c>
      <c r="L648" t="str">
        <f>VLOOKUP(B648, Course!$A$1:$O$133, 14, FALSE)</f>
        <v>LC</v>
      </c>
      <c r="M648">
        <v>1</v>
      </c>
    </row>
    <row r="649" spans="1:13" x14ac:dyDescent="0.2">
      <c r="A649">
        <v>648</v>
      </c>
      <c r="B649">
        <v>56</v>
      </c>
      <c r="C649">
        <v>90</v>
      </c>
      <c r="D649" t="s">
        <v>227</v>
      </c>
      <c r="E649" t="str">
        <f t="shared" si="10"/>
        <v>1190LC03PT</v>
      </c>
      <c r="F649">
        <f>VLOOKUP(B649,Course!$A$2:$R$329,2,FALSE)</f>
        <v>0</v>
      </c>
      <c r="G649">
        <f>VLOOKUP(B649, Course!$A$2:$L$150, 8, FALSE)</f>
        <v>11</v>
      </c>
      <c r="H649">
        <v>3</v>
      </c>
      <c r="I649">
        <v>1</v>
      </c>
      <c r="K649" t="s">
        <v>1581</v>
      </c>
      <c r="L649" t="str">
        <f>VLOOKUP(B649, Course!$A$1:$O$133, 14, FALSE)</f>
        <v>LC</v>
      </c>
      <c r="M649">
        <v>1</v>
      </c>
    </row>
    <row r="650" spans="1:13" x14ac:dyDescent="0.2">
      <c r="A650">
        <v>649</v>
      </c>
      <c r="B650">
        <v>56</v>
      </c>
      <c r="C650">
        <v>91</v>
      </c>
      <c r="D650" t="s">
        <v>227</v>
      </c>
      <c r="E650" t="str">
        <f t="shared" si="10"/>
        <v>1191LC03PT</v>
      </c>
      <c r="F650">
        <f>VLOOKUP(B650,Course!$A$2:$R$329,2,FALSE)</f>
        <v>0</v>
      </c>
      <c r="G650">
        <f>VLOOKUP(B650, Course!$A$2:$L$150, 8, FALSE)</f>
        <v>11</v>
      </c>
      <c r="H650">
        <v>3</v>
      </c>
      <c r="I650">
        <v>1</v>
      </c>
      <c r="K650" t="s">
        <v>1581</v>
      </c>
      <c r="L650" t="str">
        <f>VLOOKUP(B650, Course!$A$1:$O$133, 14, FALSE)</f>
        <v>LC</v>
      </c>
      <c r="M650">
        <v>1</v>
      </c>
    </row>
    <row r="651" spans="1:13" x14ac:dyDescent="0.2">
      <c r="A651">
        <v>650</v>
      </c>
      <c r="B651">
        <v>56</v>
      </c>
      <c r="C651">
        <v>92</v>
      </c>
      <c r="D651" t="s">
        <v>227</v>
      </c>
      <c r="E651" t="str">
        <f t="shared" si="10"/>
        <v>1192LC03PT</v>
      </c>
      <c r="F651">
        <f>VLOOKUP(B651,Course!$A$2:$R$329,2,FALSE)</f>
        <v>0</v>
      </c>
      <c r="G651">
        <f>VLOOKUP(B651, Course!$A$2:$L$150, 8, FALSE)</f>
        <v>11</v>
      </c>
      <c r="H651">
        <v>3</v>
      </c>
      <c r="I651">
        <v>1</v>
      </c>
      <c r="K651" t="s">
        <v>1581</v>
      </c>
      <c r="L651" t="str">
        <f>VLOOKUP(B651, Course!$A$1:$O$133, 14, FALSE)</f>
        <v>LC</v>
      </c>
      <c r="M651">
        <v>1</v>
      </c>
    </row>
    <row r="652" spans="1:13" x14ac:dyDescent="0.2">
      <c r="A652">
        <v>651</v>
      </c>
      <c r="B652">
        <v>56</v>
      </c>
      <c r="C652">
        <v>93</v>
      </c>
      <c r="D652" t="s">
        <v>227</v>
      </c>
      <c r="E652" t="str">
        <f t="shared" si="10"/>
        <v>1193LC03PT</v>
      </c>
      <c r="F652">
        <f>VLOOKUP(B652,Course!$A$2:$R$329,2,FALSE)</f>
        <v>0</v>
      </c>
      <c r="G652">
        <f>VLOOKUP(B652, Course!$A$2:$L$150, 8, FALSE)</f>
        <v>11</v>
      </c>
      <c r="H652">
        <v>3</v>
      </c>
      <c r="I652">
        <v>1</v>
      </c>
      <c r="K652" t="s">
        <v>1581</v>
      </c>
      <c r="L652" t="str">
        <f>VLOOKUP(B652, Course!$A$1:$O$133, 14, FALSE)</f>
        <v>LC</v>
      </c>
      <c r="M652">
        <v>1</v>
      </c>
    </row>
    <row r="653" spans="1:13" x14ac:dyDescent="0.2">
      <c r="A653">
        <v>652</v>
      </c>
      <c r="B653">
        <v>56</v>
      </c>
      <c r="C653">
        <v>94</v>
      </c>
      <c r="D653" t="s">
        <v>227</v>
      </c>
      <c r="E653" t="str">
        <f t="shared" si="10"/>
        <v>1194LC03PT</v>
      </c>
      <c r="F653">
        <f>VLOOKUP(B653,Course!$A$2:$R$329,2,FALSE)</f>
        <v>0</v>
      </c>
      <c r="G653">
        <f>VLOOKUP(B653, Course!$A$2:$L$150, 8, FALSE)</f>
        <v>11</v>
      </c>
      <c r="H653">
        <v>3</v>
      </c>
      <c r="I653">
        <v>1</v>
      </c>
      <c r="K653" t="s">
        <v>1581</v>
      </c>
      <c r="L653" t="str">
        <f>VLOOKUP(B653, Course!$A$1:$O$133, 14, FALSE)</f>
        <v>LC</v>
      </c>
      <c r="M653">
        <v>1</v>
      </c>
    </row>
    <row r="654" spans="1:13" x14ac:dyDescent="0.2">
      <c r="A654">
        <v>653</v>
      </c>
      <c r="B654">
        <v>56</v>
      </c>
      <c r="C654">
        <v>95</v>
      </c>
      <c r="D654" t="s">
        <v>227</v>
      </c>
      <c r="E654" t="str">
        <f t="shared" si="10"/>
        <v>1195LC03PT</v>
      </c>
      <c r="F654">
        <f>VLOOKUP(B654,Course!$A$2:$R$329,2,FALSE)</f>
        <v>0</v>
      </c>
      <c r="G654">
        <f>VLOOKUP(B654, Course!$A$2:$L$150, 8, FALSE)</f>
        <v>11</v>
      </c>
      <c r="H654">
        <v>3</v>
      </c>
      <c r="I654">
        <v>1</v>
      </c>
      <c r="K654" t="s">
        <v>1581</v>
      </c>
      <c r="L654" t="str">
        <f>VLOOKUP(B654, Course!$A$1:$O$133, 14, FALSE)</f>
        <v>LC</v>
      </c>
      <c r="M654">
        <v>1</v>
      </c>
    </row>
    <row r="655" spans="1:13" x14ac:dyDescent="0.2">
      <c r="A655">
        <v>654</v>
      </c>
      <c r="B655">
        <v>56</v>
      </c>
      <c r="C655">
        <v>96</v>
      </c>
      <c r="D655" t="s">
        <v>227</v>
      </c>
      <c r="E655" t="str">
        <f t="shared" si="10"/>
        <v>1196LC03PT</v>
      </c>
      <c r="F655">
        <f>VLOOKUP(B655,Course!$A$2:$R$329,2,FALSE)</f>
        <v>0</v>
      </c>
      <c r="G655">
        <f>VLOOKUP(B655, Course!$A$2:$L$150, 8, FALSE)</f>
        <v>11</v>
      </c>
      <c r="H655">
        <v>3</v>
      </c>
      <c r="I655">
        <v>1</v>
      </c>
      <c r="K655" t="s">
        <v>1581</v>
      </c>
      <c r="L655" t="str">
        <f>VLOOKUP(B655, Course!$A$1:$O$133, 14, FALSE)</f>
        <v>LC</v>
      </c>
      <c r="M655">
        <v>1</v>
      </c>
    </row>
    <row r="656" spans="1:13" x14ac:dyDescent="0.2">
      <c r="A656">
        <v>655</v>
      </c>
      <c r="B656">
        <v>57</v>
      </c>
      <c r="C656">
        <v>85</v>
      </c>
      <c r="D656" t="s">
        <v>283</v>
      </c>
      <c r="E656" t="str">
        <f t="shared" si="10"/>
        <v>1285ES03PT</v>
      </c>
      <c r="F656">
        <f>VLOOKUP(B656,Course!$A$2:$R$329,2,FALSE)</f>
        <v>0</v>
      </c>
      <c r="G656">
        <f>VLOOKUP(B656, Course!$A$2:$L$150, 8, FALSE)</f>
        <v>12</v>
      </c>
      <c r="H656">
        <v>3</v>
      </c>
      <c r="I656">
        <v>1</v>
      </c>
      <c r="K656" t="s">
        <v>1581</v>
      </c>
      <c r="L656" t="str">
        <f>VLOOKUP(B656, Course!$A$1:$O$133, 14, FALSE)</f>
        <v>ES</v>
      </c>
      <c r="M656">
        <v>1</v>
      </c>
    </row>
    <row r="657" spans="1:13" x14ac:dyDescent="0.2">
      <c r="A657">
        <v>656</v>
      </c>
      <c r="B657">
        <v>57</v>
      </c>
      <c r="C657">
        <v>86</v>
      </c>
      <c r="D657" t="s">
        <v>283</v>
      </c>
      <c r="E657" t="str">
        <f t="shared" si="10"/>
        <v>1286ES03PT</v>
      </c>
      <c r="F657">
        <f>VLOOKUP(B657,Course!$A$2:$R$329,2,FALSE)</f>
        <v>0</v>
      </c>
      <c r="G657">
        <f>VLOOKUP(B657, Course!$A$2:$L$150, 8, FALSE)</f>
        <v>12</v>
      </c>
      <c r="H657">
        <v>3</v>
      </c>
      <c r="I657">
        <v>1</v>
      </c>
      <c r="K657" t="s">
        <v>1581</v>
      </c>
      <c r="L657" t="str">
        <f>VLOOKUP(B657, Course!$A$1:$O$133, 14, FALSE)</f>
        <v>ES</v>
      </c>
      <c r="M657">
        <v>1</v>
      </c>
    </row>
    <row r="658" spans="1:13" x14ac:dyDescent="0.2">
      <c r="A658">
        <v>657</v>
      </c>
      <c r="B658">
        <v>57</v>
      </c>
      <c r="C658">
        <v>87</v>
      </c>
      <c r="D658" t="s">
        <v>283</v>
      </c>
      <c r="E658" t="str">
        <f t="shared" si="10"/>
        <v>1287ES03PT</v>
      </c>
      <c r="F658">
        <f>VLOOKUP(B658,Course!$A$2:$R$329,2,FALSE)</f>
        <v>0</v>
      </c>
      <c r="G658">
        <f>VLOOKUP(B658, Course!$A$2:$L$150, 8, FALSE)</f>
        <v>12</v>
      </c>
      <c r="H658">
        <v>3</v>
      </c>
      <c r="I658">
        <v>1</v>
      </c>
      <c r="K658" t="s">
        <v>1581</v>
      </c>
      <c r="L658" t="str">
        <f>VLOOKUP(B658, Course!$A$1:$O$133, 14, FALSE)</f>
        <v>ES</v>
      </c>
      <c r="M658">
        <v>1</v>
      </c>
    </row>
    <row r="659" spans="1:13" x14ac:dyDescent="0.2">
      <c r="A659">
        <v>658</v>
      </c>
      <c r="B659">
        <v>57</v>
      </c>
      <c r="C659">
        <v>88</v>
      </c>
      <c r="D659" t="s">
        <v>283</v>
      </c>
      <c r="E659" t="str">
        <f t="shared" si="10"/>
        <v>1288ES03PT</v>
      </c>
      <c r="F659">
        <f>VLOOKUP(B659,Course!$A$2:$R$329,2,FALSE)</f>
        <v>0</v>
      </c>
      <c r="G659">
        <f>VLOOKUP(B659, Course!$A$2:$L$150, 8, FALSE)</f>
        <v>12</v>
      </c>
      <c r="H659">
        <v>3</v>
      </c>
      <c r="I659">
        <v>1</v>
      </c>
      <c r="K659" t="s">
        <v>1581</v>
      </c>
      <c r="L659" t="str">
        <f>VLOOKUP(B659, Course!$A$1:$O$133, 14, FALSE)</f>
        <v>ES</v>
      </c>
      <c r="M659">
        <v>1</v>
      </c>
    </row>
    <row r="660" spans="1:13" x14ac:dyDescent="0.2">
      <c r="A660">
        <v>659</v>
      </c>
      <c r="B660">
        <v>57</v>
      </c>
      <c r="C660">
        <v>89</v>
      </c>
      <c r="D660" t="s">
        <v>283</v>
      </c>
      <c r="E660" t="str">
        <f t="shared" si="10"/>
        <v>1289ES03PT</v>
      </c>
      <c r="F660">
        <f>VLOOKUP(B660,Course!$A$2:$R$329,2,FALSE)</f>
        <v>0</v>
      </c>
      <c r="G660">
        <f>VLOOKUP(B660, Course!$A$2:$L$150, 8, FALSE)</f>
        <v>12</v>
      </c>
      <c r="H660">
        <v>3</v>
      </c>
      <c r="I660">
        <v>1</v>
      </c>
      <c r="K660" t="s">
        <v>1581</v>
      </c>
      <c r="L660" t="str">
        <f>VLOOKUP(B660, Course!$A$1:$O$133, 14, FALSE)</f>
        <v>ES</v>
      </c>
      <c r="M660">
        <v>1</v>
      </c>
    </row>
    <row r="661" spans="1:13" x14ac:dyDescent="0.2">
      <c r="A661">
        <v>660</v>
      </c>
      <c r="B661">
        <v>57</v>
      </c>
      <c r="C661">
        <v>90</v>
      </c>
      <c r="D661" t="s">
        <v>283</v>
      </c>
      <c r="E661" t="str">
        <f t="shared" si="10"/>
        <v>1290ES03PT</v>
      </c>
      <c r="F661">
        <f>VLOOKUP(B661,Course!$A$2:$R$329,2,FALSE)</f>
        <v>0</v>
      </c>
      <c r="G661">
        <f>VLOOKUP(B661, Course!$A$2:$L$150, 8, FALSE)</f>
        <v>12</v>
      </c>
      <c r="H661">
        <v>3</v>
      </c>
      <c r="I661">
        <v>1</v>
      </c>
      <c r="K661" t="s">
        <v>1581</v>
      </c>
      <c r="L661" t="str">
        <f>VLOOKUP(B661, Course!$A$1:$O$133, 14, FALSE)</f>
        <v>ES</v>
      </c>
      <c r="M661">
        <v>1</v>
      </c>
    </row>
    <row r="662" spans="1:13" x14ac:dyDescent="0.2">
      <c r="A662">
        <v>661</v>
      </c>
      <c r="B662">
        <v>57</v>
      </c>
      <c r="C662">
        <v>91</v>
      </c>
      <c r="D662" t="s">
        <v>283</v>
      </c>
      <c r="E662" t="str">
        <f t="shared" si="10"/>
        <v>1291ES03PT</v>
      </c>
      <c r="F662">
        <f>VLOOKUP(B662,Course!$A$2:$R$329,2,FALSE)</f>
        <v>0</v>
      </c>
      <c r="G662">
        <f>VLOOKUP(B662, Course!$A$2:$L$150, 8, FALSE)</f>
        <v>12</v>
      </c>
      <c r="H662">
        <v>3</v>
      </c>
      <c r="I662">
        <v>1</v>
      </c>
      <c r="K662" t="s">
        <v>1581</v>
      </c>
      <c r="L662" t="str">
        <f>VLOOKUP(B662, Course!$A$1:$O$133, 14, FALSE)</f>
        <v>ES</v>
      </c>
      <c r="M662">
        <v>1</v>
      </c>
    </row>
    <row r="663" spans="1:13" x14ac:dyDescent="0.2">
      <c r="A663">
        <v>662</v>
      </c>
      <c r="B663">
        <v>57</v>
      </c>
      <c r="C663">
        <v>92</v>
      </c>
      <c r="D663" t="s">
        <v>283</v>
      </c>
      <c r="E663" t="str">
        <f t="shared" si="10"/>
        <v>1292ES03PT</v>
      </c>
      <c r="F663">
        <f>VLOOKUP(B663,Course!$A$2:$R$329,2,FALSE)</f>
        <v>0</v>
      </c>
      <c r="G663">
        <f>VLOOKUP(B663, Course!$A$2:$L$150, 8, FALSE)</f>
        <v>12</v>
      </c>
      <c r="H663">
        <v>3</v>
      </c>
      <c r="I663">
        <v>1</v>
      </c>
      <c r="K663" t="s">
        <v>1581</v>
      </c>
      <c r="L663" t="str">
        <f>VLOOKUP(B663, Course!$A$1:$O$133, 14, FALSE)</f>
        <v>ES</v>
      </c>
      <c r="M663">
        <v>1</v>
      </c>
    </row>
    <row r="664" spans="1:13" x14ac:dyDescent="0.2">
      <c r="A664">
        <v>663</v>
      </c>
      <c r="B664">
        <v>57</v>
      </c>
      <c r="C664">
        <v>93</v>
      </c>
      <c r="D664" t="s">
        <v>283</v>
      </c>
      <c r="E664" t="str">
        <f t="shared" si="10"/>
        <v>1293ES03PT</v>
      </c>
      <c r="F664">
        <f>VLOOKUP(B664,Course!$A$2:$R$329,2,FALSE)</f>
        <v>0</v>
      </c>
      <c r="G664">
        <f>VLOOKUP(B664, Course!$A$2:$L$150, 8, FALSE)</f>
        <v>12</v>
      </c>
      <c r="H664">
        <v>3</v>
      </c>
      <c r="I664">
        <v>1</v>
      </c>
      <c r="K664" t="s">
        <v>1581</v>
      </c>
      <c r="L664" t="str">
        <f>VLOOKUP(B664, Course!$A$1:$O$133, 14, FALSE)</f>
        <v>ES</v>
      </c>
      <c r="M664">
        <v>1</v>
      </c>
    </row>
    <row r="665" spans="1:13" x14ac:dyDescent="0.2">
      <c r="A665">
        <v>664</v>
      </c>
      <c r="B665">
        <v>57</v>
      </c>
      <c r="C665">
        <v>94</v>
      </c>
      <c r="D665" t="s">
        <v>283</v>
      </c>
      <c r="E665" t="str">
        <f t="shared" si="10"/>
        <v>1294ES03PT</v>
      </c>
      <c r="F665">
        <f>VLOOKUP(B665,Course!$A$2:$R$329,2,FALSE)</f>
        <v>0</v>
      </c>
      <c r="G665">
        <f>VLOOKUP(B665, Course!$A$2:$L$150, 8, FALSE)</f>
        <v>12</v>
      </c>
      <c r="H665">
        <v>3</v>
      </c>
      <c r="I665">
        <v>1</v>
      </c>
      <c r="K665" t="s">
        <v>1581</v>
      </c>
      <c r="L665" t="str">
        <f>VLOOKUP(B665, Course!$A$1:$O$133, 14, FALSE)</f>
        <v>ES</v>
      </c>
      <c r="M665">
        <v>1</v>
      </c>
    </row>
    <row r="666" spans="1:13" x14ac:dyDescent="0.2">
      <c r="A666">
        <v>665</v>
      </c>
      <c r="B666">
        <v>57</v>
      </c>
      <c r="C666">
        <v>95</v>
      </c>
      <c r="D666" t="s">
        <v>283</v>
      </c>
      <c r="E666" t="str">
        <f t="shared" si="10"/>
        <v>1295ES03PT</v>
      </c>
      <c r="F666">
        <f>VLOOKUP(B666,Course!$A$2:$R$329,2,FALSE)</f>
        <v>0</v>
      </c>
      <c r="G666">
        <f>VLOOKUP(B666, Course!$A$2:$L$150, 8, FALSE)</f>
        <v>12</v>
      </c>
      <c r="H666">
        <v>3</v>
      </c>
      <c r="I666">
        <v>1</v>
      </c>
      <c r="K666" t="s">
        <v>1581</v>
      </c>
      <c r="L666" t="str">
        <f>VLOOKUP(B666, Course!$A$1:$O$133, 14, FALSE)</f>
        <v>ES</v>
      </c>
      <c r="M666">
        <v>1</v>
      </c>
    </row>
    <row r="667" spans="1:13" x14ac:dyDescent="0.2">
      <c r="A667">
        <v>666</v>
      </c>
      <c r="B667">
        <v>57</v>
      </c>
      <c r="C667">
        <v>96</v>
      </c>
      <c r="D667" t="s">
        <v>283</v>
      </c>
      <c r="E667" t="str">
        <f t="shared" si="10"/>
        <v>1296ES03PT</v>
      </c>
      <c r="F667">
        <f>VLOOKUP(B667,Course!$A$2:$R$329,2,FALSE)</f>
        <v>0</v>
      </c>
      <c r="G667">
        <f>VLOOKUP(B667, Course!$A$2:$L$150, 8, FALSE)</f>
        <v>12</v>
      </c>
      <c r="H667">
        <v>3</v>
      </c>
      <c r="I667">
        <v>1</v>
      </c>
      <c r="K667" t="s">
        <v>1581</v>
      </c>
      <c r="L667" t="str">
        <f>VLOOKUP(B667, Course!$A$1:$O$133, 14, FALSE)</f>
        <v>ES</v>
      </c>
      <c r="M667">
        <v>1</v>
      </c>
    </row>
    <row r="668" spans="1:13" x14ac:dyDescent="0.2">
      <c r="A668">
        <v>667</v>
      </c>
      <c r="B668">
        <v>58</v>
      </c>
      <c r="C668">
        <v>85</v>
      </c>
      <c r="D668" t="s">
        <v>285</v>
      </c>
      <c r="E668" t="str">
        <f t="shared" si="10"/>
        <v>1285UK03PT</v>
      </c>
      <c r="F668">
        <f>VLOOKUP(B668,Course!$A$2:$R$329,2,FALSE)</f>
        <v>0</v>
      </c>
      <c r="G668">
        <f>VLOOKUP(B668, Course!$A$2:$L$150, 8, FALSE)</f>
        <v>12</v>
      </c>
      <c r="H668">
        <v>3</v>
      </c>
      <c r="I668">
        <v>1</v>
      </c>
      <c r="K668" t="s">
        <v>1581</v>
      </c>
      <c r="L668" t="str">
        <f>VLOOKUP(B668, Course!$A$1:$O$133, 14, FALSE)</f>
        <v>UK</v>
      </c>
      <c r="M668">
        <v>1</v>
      </c>
    </row>
    <row r="669" spans="1:13" x14ac:dyDescent="0.2">
      <c r="A669">
        <v>668</v>
      </c>
      <c r="B669">
        <v>58</v>
      </c>
      <c r="C669">
        <v>86</v>
      </c>
      <c r="D669" t="s">
        <v>285</v>
      </c>
      <c r="E669" t="str">
        <f t="shared" si="10"/>
        <v>1286UK03PT</v>
      </c>
      <c r="F669">
        <f>VLOOKUP(B669,Course!$A$2:$R$329,2,FALSE)</f>
        <v>0</v>
      </c>
      <c r="G669">
        <f>VLOOKUP(B669, Course!$A$2:$L$150, 8, FALSE)</f>
        <v>12</v>
      </c>
      <c r="H669">
        <v>3</v>
      </c>
      <c r="I669">
        <v>1</v>
      </c>
      <c r="K669" t="s">
        <v>1581</v>
      </c>
      <c r="L669" t="str">
        <f>VLOOKUP(B669, Course!$A$1:$O$133, 14, FALSE)</f>
        <v>UK</v>
      </c>
      <c r="M669">
        <v>1</v>
      </c>
    </row>
    <row r="670" spans="1:13" x14ac:dyDescent="0.2">
      <c r="A670">
        <v>669</v>
      </c>
      <c r="B670">
        <v>58</v>
      </c>
      <c r="C670">
        <v>87</v>
      </c>
      <c r="D670" t="s">
        <v>285</v>
      </c>
      <c r="E670" t="str">
        <f t="shared" si="10"/>
        <v>1287UK03PT</v>
      </c>
      <c r="F670">
        <f>VLOOKUP(B670,Course!$A$2:$R$329,2,FALSE)</f>
        <v>0</v>
      </c>
      <c r="G670">
        <f>VLOOKUP(B670, Course!$A$2:$L$150, 8, FALSE)</f>
        <v>12</v>
      </c>
      <c r="H670">
        <v>3</v>
      </c>
      <c r="I670">
        <v>1</v>
      </c>
      <c r="K670" t="s">
        <v>1581</v>
      </c>
      <c r="L670" t="str">
        <f>VLOOKUP(B670, Course!$A$1:$O$133, 14, FALSE)</f>
        <v>UK</v>
      </c>
      <c r="M670">
        <v>1</v>
      </c>
    </row>
    <row r="671" spans="1:13" x14ac:dyDescent="0.2">
      <c r="A671">
        <v>670</v>
      </c>
      <c r="B671">
        <v>58</v>
      </c>
      <c r="C671">
        <v>88</v>
      </c>
      <c r="D671" t="s">
        <v>285</v>
      </c>
      <c r="E671" t="str">
        <f t="shared" si="10"/>
        <v>1288UK03PT</v>
      </c>
      <c r="F671">
        <f>VLOOKUP(B671,Course!$A$2:$R$329,2,FALSE)</f>
        <v>0</v>
      </c>
      <c r="G671">
        <f>VLOOKUP(B671, Course!$A$2:$L$150, 8, FALSE)</f>
        <v>12</v>
      </c>
      <c r="H671">
        <v>3</v>
      </c>
      <c r="I671">
        <v>1</v>
      </c>
      <c r="K671" t="s">
        <v>1581</v>
      </c>
      <c r="L671" t="str">
        <f>VLOOKUP(B671, Course!$A$1:$O$133, 14, FALSE)</f>
        <v>UK</v>
      </c>
      <c r="M671">
        <v>1</v>
      </c>
    </row>
    <row r="672" spans="1:13" x14ac:dyDescent="0.2">
      <c r="A672">
        <v>671</v>
      </c>
      <c r="B672">
        <v>58</v>
      </c>
      <c r="C672">
        <v>89</v>
      </c>
      <c r="D672" t="s">
        <v>285</v>
      </c>
      <c r="E672" t="str">
        <f t="shared" si="10"/>
        <v>1289UK03PT</v>
      </c>
      <c r="F672">
        <f>VLOOKUP(B672,Course!$A$2:$R$329,2,FALSE)</f>
        <v>0</v>
      </c>
      <c r="G672">
        <f>VLOOKUP(B672, Course!$A$2:$L$150, 8, FALSE)</f>
        <v>12</v>
      </c>
      <c r="H672">
        <v>3</v>
      </c>
      <c r="I672">
        <v>1</v>
      </c>
      <c r="K672" t="s">
        <v>1581</v>
      </c>
      <c r="L672" t="str">
        <f>VLOOKUP(B672, Course!$A$1:$O$133, 14, FALSE)</f>
        <v>UK</v>
      </c>
      <c r="M672">
        <v>1</v>
      </c>
    </row>
    <row r="673" spans="1:13" x14ac:dyDescent="0.2">
      <c r="A673">
        <v>672</v>
      </c>
      <c r="B673">
        <v>58</v>
      </c>
      <c r="C673">
        <v>90</v>
      </c>
      <c r="D673" t="s">
        <v>285</v>
      </c>
      <c r="E673" t="str">
        <f t="shared" si="10"/>
        <v>1290UK03PT</v>
      </c>
      <c r="F673">
        <f>VLOOKUP(B673,Course!$A$2:$R$329,2,FALSE)</f>
        <v>0</v>
      </c>
      <c r="G673">
        <f>VLOOKUP(B673, Course!$A$2:$L$150, 8, FALSE)</f>
        <v>12</v>
      </c>
      <c r="H673">
        <v>3</v>
      </c>
      <c r="I673">
        <v>1</v>
      </c>
      <c r="K673" t="s">
        <v>1581</v>
      </c>
      <c r="L673" t="str">
        <f>VLOOKUP(B673, Course!$A$1:$O$133, 14, FALSE)</f>
        <v>UK</v>
      </c>
      <c r="M673">
        <v>1</v>
      </c>
    </row>
    <row r="674" spans="1:13" x14ac:dyDescent="0.2">
      <c r="A674">
        <v>673</v>
      </c>
      <c r="B674">
        <v>58</v>
      </c>
      <c r="C674">
        <v>91</v>
      </c>
      <c r="D674" t="s">
        <v>285</v>
      </c>
      <c r="E674" t="str">
        <f t="shared" si="10"/>
        <v>1291UK03PT</v>
      </c>
      <c r="F674">
        <f>VLOOKUP(B674,Course!$A$2:$R$329,2,FALSE)</f>
        <v>0</v>
      </c>
      <c r="G674">
        <f>VLOOKUP(B674, Course!$A$2:$L$150, 8, FALSE)</f>
        <v>12</v>
      </c>
      <c r="H674">
        <v>3</v>
      </c>
      <c r="I674">
        <v>1</v>
      </c>
      <c r="K674" t="s">
        <v>1581</v>
      </c>
      <c r="L674" t="str">
        <f>VLOOKUP(B674, Course!$A$1:$O$133, 14, FALSE)</f>
        <v>UK</v>
      </c>
      <c r="M674">
        <v>1</v>
      </c>
    </row>
    <row r="675" spans="1:13" x14ac:dyDescent="0.2">
      <c r="A675">
        <v>674</v>
      </c>
      <c r="B675">
        <v>58</v>
      </c>
      <c r="C675">
        <v>92</v>
      </c>
      <c r="D675" t="s">
        <v>285</v>
      </c>
      <c r="E675" t="str">
        <f t="shared" si="10"/>
        <v>1292UK03PT</v>
      </c>
      <c r="F675">
        <f>VLOOKUP(B675,Course!$A$2:$R$329,2,FALSE)</f>
        <v>0</v>
      </c>
      <c r="G675">
        <f>VLOOKUP(B675, Course!$A$2:$L$150, 8, FALSE)</f>
        <v>12</v>
      </c>
      <c r="H675">
        <v>3</v>
      </c>
      <c r="I675">
        <v>1</v>
      </c>
      <c r="K675" t="s">
        <v>1581</v>
      </c>
      <c r="L675" t="str">
        <f>VLOOKUP(B675, Course!$A$1:$O$133, 14, FALSE)</f>
        <v>UK</v>
      </c>
      <c r="M675">
        <v>1</v>
      </c>
    </row>
    <row r="676" spans="1:13" x14ac:dyDescent="0.2">
      <c r="A676">
        <v>675</v>
      </c>
      <c r="B676">
        <v>58</v>
      </c>
      <c r="C676">
        <v>93</v>
      </c>
      <c r="D676" t="s">
        <v>285</v>
      </c>
      <c r="E676" t="str">
        <f t="shared" si="10"/>
        <v>1293UK03PT</v>
      </c>
      <c r="F676">
        <f>VLOOKUP(B676,Course!$A$2:$R$329,2,FALSE)</f>
        <v>0</v>
      </c>
      <c r="G676">
        <f>VLOOKUP(B676, Course!$A$2:$L$150, 8, FALSE)</f>
        <v>12</v>
      </c>
      <c r="H676">
        <v>3</v>
      </c>
      <c r="I676">
        <v>1</v>
      </c>
      <c r="K676" t="s">
        <v>1581</v>
      </c>
      <c r="L676" t="str">
        <f>VLOOKUP(B676, Course!$A$1:$O$133, 14, FALSE)</f>
        <v>UK</v>
      </c>
      <c r="M676">
        <v>1</v>
      </c>
    </row>
    <row r="677" spans="1:13" x14ac:dyDescent="0.2">
      <c r="A677">
        <v>676</v>
      </c>
      <c r="B677">
        <v>58</v>
      </c>
      <c r="C677">
        <v>94</v>
      </c>
      <c r="D677" t="s">
        <v>285</v>
      </c>
      <c r="E677" t="str">
        <f t="shared" si="10"/>
        <v>1294UK03PT</v>
      </c>
      <c r="F677">
        <f>VLOOKUP(B677,Course!$A$2:$R$329,2,FALSE)</f>
        <v>0</v>
      </c>
      <c r="G677">
        <f>VLOOKUP(B677, Course!$A$2:$L$150, 8, FALSE)</f>
        <v>12</v>
      </c>
      <c r="H677">
        <v>3</v>
      </c>
      <c r="I677">
        <v>1</v>
      </c>
      <c r="K677" t="s">
        <v>1581</v>
      </c>
      <c r="L677" t="str">
        <f>VLOOKUP(B677, Course!$A$1:$O$133, 14, FALSE)</f>
        <v>UK</v>
      </c>
      <c r="M677">
        <v>1</v>
      </c>
    </row>
    <row r="678" spans="1:13" x14ac:dyDescent="0.2">
      <c r="A678">
        <v>677</v>
      </c>
      <c r="B678">
        <v>58</v>
      </c>
      <c r="C678">
        <v>95</v>
      </c>
      <c r="D678" t="s">
        <v>285</v>
      </c>
      <c r="E678" t="str">
        <f t="shared" si="10"/>
        <v>1295UK03PT</v>
      </c>
      <c r="F678">
        <f>VLOOKUP(B678,Course!$A$2:$R$329,2,FALSE)</f>
        <v>0</v>
      </c>
      <c r="G678">
        <f>VLOOKUP(B678, Course!$A$2:$L$150, 8, FALSE)</f>
        <v>12</v>
      </c>
      <c r="H678">
        <v>3</v>
      </c>
      <c r="I678">
        <v>1</v>
      </c>
      <c r="K678" t="s">
        <v>1581</v>
      </c>
      <c r="L678" t="str">
        <f>VLOOKUP(B678, Course!$A$1:$O$133, 14, FALSE)</f>
        <v>UK</v>
      </c>
      <c r="M678">
        <v>1</v>
      </c>
    </row>
    <row r="679" spans="1:13" x14ac:dyDescent="0.2">
      <c r="A679">
        <v>678</v>
      </c>
      <c r="B679">
        <v>58</v>
      </c>
      <c r="C679">
        <v>96</v>
      </c>
      <c r="D679" t="s">
        <v>285</v>
      </c>
      <c r="E679" t="str">
        <f t="shared" si="10"/>
        <v>1296UK03PT</v>
      </c>
      <c r="F679">
        <f>VLOOKUP(B679,Course!$A$2:$R$329,2,FALSE)</f>
        <v>0</v>
      </c>
      <c r="G679">
        <f>VLOOKUP(B679, Course!$A$2:$L$150, 8, FALSE)</f>
        <v>12</v>
      </c>
      <c r="H679">
        <v>3</v>
      </c>
      <c r="I679">
        <v>1</v>
      </c>
      <c r="K679" t="s">
        <v>1581</v>
      </c>
      <c r="L679" t="str">
        <f>VLOOKUP(B679, Course!$A$1:$O$133, 14, FALSE)</f>
        <v>UK</v>
      </c>
      <c r="M679">
        <v>1</v>
      </c>
    </row>
    <row r="680" spans="1:13" x14ac:dyDescent="0.2">
      <c r="A680">
        <v>679</v>
      </c>
      <c r="B680">
        <v>59</v>
      </c>
      <c r="C680">
        <v>85</v>
      </c>
      <c r="D680" t="s">
        <v>287</v>
      </c>
      <c r="E680" t="str">
        <f t="shared" si="10"/>
        <v>1285WH03PT</v>
      </c>
      <c r="F680">
        <f>VLOOKUP(B680,Course!$A$2:$R$329,2,FALSE)</f>
        <v>0</v>
      </c>
      <c r="G680">
        <f>VLOOKUP(B680, Course!$A$2:$L$150, 8, FALSE)</f>
        <v>12</v>
      </c>
      <c r="H680">
        <v>3</v>
      </c>
      <c r="I680">
        <v>1</v>
      </c>
      <c r="K680" t="s">
        <v>1581</v>
      </c>
      <c r="L680" t="str">
        <f>VLOOKUP(B680, Course!$A$1:$O$133, 14, FALSE)</f>
        <v>WH</v>
      </c>
      <c r="M680">
        <v>1</v>
      </c>
    </row>
    <row r="681" spans="1:13" x14ac:dyDescent="0.2">
      <c r="A681">
        <v>680</v>
      </c>
      <c r="B681">
        <v>59</v>
      </c>
      <c r="C681">
        <v>86</v>
      </c>
      <c r="D681" t="s">
        <v>287</v>
      </c>
      <c r="E681" t="str">
        <f t="shared" si="10"/>
        <v>1286WH03PT</v>
      </c>
      <c r="F681">
        <f>VLOOKUP(B681,Course!$A$2:$R$329,2,FALSE)</f>
        <v>0</v>
      </c>
      <c r="G681">
        <f>VLOOKUP(B681, Course!$A$2:$L$150, 8, FALSE)</f>
        <v>12</v>
      </c>
      <c r="H681">
        <v>3</v>
      </c>
      <c r="I681">
        <v>1</v>
      </c>
      <c r="K681" t="s">
        <v>1581</v>
      </c>
      <c r="L681" t="str">
        <f>VLOOKUP(B681, Course!$A$1:$O$133, 14, FALSE)</f>
        <v>WH</v>
      </c>
      <c r="M681">
        <v>1</v>
      </c>
    </row>
    <row r="682" spans="1:13" x14ac:dyDescent="0.2">
      <c r="A682">
        <v>681</v>
      </c>
      <c r="B682">
        <v>59</v>
      </c>
      <c r="C682">
        <v>87</v>
      </c>
      <c r="D682" t="s">
        <v>287</v>
      </c>
      <c r="E682" t="str">
        <f t="shared" si="10"/>
        <v>1287WH03PT</v>
      </c>
      <c r="F682">
        <f>VLOOKUP(B682,Course!$A$2:$R$329,2,FALSE)</f>
        <v>0</v>
      </c>
      <c r="G682">
        <f>VLOOKUP(B682, Course!$A$2:$L$150, 8, FALSE)</f>
        <v>12</v>
      </c>
      <c r="H682">
        <v>3</v>
      </c>
      <c r="I682">
        <v>1</v>
      </c>
      <c r="K682" t="s">
        <v>1581</v>
      </c>
      <c r="L682" t="str">
        <f>VLOOKUP(B682, Course!$A$1:$O$133, 14, FALSE)</f>
        <v>WH</v>
      </c>
      <c r="M682">
        <v>1</v>
      </c>
    </row>
    <row r="683" spans="1:13" x14ac:dyDescent="0.2">
      <c r="A683">
        <v>682</v>
      </c>
      <c r="B683">
        <v>59</v>
      </c>
      <c r="C683">
        <v>88</v>
      </c>
      <c r="D683" t="s">
        <v>287</v>
      </c>
      <c r="E683" t="str">
        <f t="shared" si="10"/>
        <v>1288WH03PT</v>
      </c>
      <c r="F683">
        <f>VLOOKUP(B683,Course!$A$2:$R$329,2,FALSE)</f>
        <v>0</v>
      </c>
      <c r="G683">
        <f>VLOOKUP(B683, Course!$A$2:$L$150, 8, FALSE)</f>
        <v>12</v>
      </c>
      <c r="H683">
        <v>3</v>
      </c>
      <c r="I683">
        <v>1</v>
      </c>
      <c r="K683" t="s">
        <v>1581</v>
      </c>
      <c r="L683" t="str">
        <f>VLOOKUP(B683, Course!$A$1:$O$133, 14, FALSE)</f>
        <v>WH</v>
      </c>
      <c r="M683">
        <v>1</v>
      </c>
    </row>
    <row r="684" spans="1:13" x14ac:dyDescent="0.2">
      <c r="A684">
        <v>683</v>
      </c>
      <c r="B684">
        <v>59</v>
      </c>
      <c r="C684">
        <v>89</v>
      </c>
      <c r="D684" t="s">
        <v>287</v>
      </c>
      <c r="E684" t="str">
        <f t="shared" si="10"/>
        <v>1289WH03PT</v>
      </c>
      <c r="F684">
        <f>VLOOKUP(B684,Course!$A$2:$R$329,2,FALSE)</f>
        <v>0</v>
      </c>
      <c r="G684">
        <f>VLOOKUP(B684, Course!$A$2:$L$150, 8, FALSE)</f>
        <v>12</v>
      </c>
      <c r="H684">
        <v>3</v>
      </c>
      <c r="I684">
        <v>1</v>
      </c>
      <c r="K684" t="s">
        <v>1581</v>
      </c>
      <c r="L684" t="str">
        <f>VLOOKUP(B684, Course!$A$1:$O$133, 14, FALSE)</f>
        <v>WH</v>
      </c>
      <c r="M684">
        <v>1</v>
      </c>
    </row>
    <row r="685" spans="1:13" x14ac:dyDescent="0.2">
      <c r="A685">
        <v>684</v>
      </c>
      <c r="B685">
        <v>59</v>
      </c>
      <c r="C685">
        <v>90</v>
      </c>
      <c r="D685" t="s">
        <v>287</v>
      </c>
      <c r="E685" t="str">
        <f t="shared" si="10"/>
        <v>1290WH03PT</v>
      </c>
      <c r="F685">
        <f>VLOOKUP(B685,Course!$A$2:$R$329,2,FALSE)</f>
        <v>0</v>
      </c>
      <c r="G685">
        <f>VLOOKUP(B685, Course!$A$2:$L$150, 8, FALSE)</f>
        <v>12</v>
      </c>
      <c r="H685">
        <v>3</v>
      </c>
      <c r="I685">
        <v>1</v>
      </c>
      <c r="K685" t="s">
        <v>1581</v>
      </c>
      <c r="L685" t="str">
        <f>VLOOKUP(B685, Course!$A$1:$O$133, 14, FALSE)</f>
        <v>WH</v>
      </c>
      <c r="M685">
        <v>1</v>
      </c>
    </row>
    <row r="686" spans="1:13" x14ac:dyDescent="0.2">
      <c r="A686">
        <v>685</v>
      </c>
      <c r="B686">
        <v>59</v>
      </c>
      <c r="C686">
        <v>91</v>
      </c>
      <c r="D686" t="s">
        <v>287</v>
      </c>
      <c r="E686" t="str">
        <f t="shared" si="10"/>
        <v>1291WH03PT</v>
      </c>
      <c r="F686">
        <f>VLOOKUP(B686,Course!$A$2:$R$329,2,FALSE)</f>
        <v>0</v>
      </c>
      <c r="G686">
        <f>VLOOKUP(B686, Course!$A$2:$L$150, 8, FALSE)</f>
        <v>12</v>
      </c>
      <c r="H686">
        <v>3</v>
      </c>
      <c r="I686">
        <v>1</v>
      </c>
      <c r="K686" t="s">
        <v>1581</v>
      </c>
      <c r="L686" t="str">
        <f>VLOOKUP(B686, Course!$A$1:$O$133, 14, FALSE)</f>
        <v>WH</v>
      </c>
      <c r="M686">
        <v>1</v>
      </c>
    </row>
    <row r="687" spans="1:13" x14ac:dyDescent="0.2">
      <c r="A687">
        <v>686</v>
      </c>
      <c r="B687">
        <v>59</v>
      </c>
      <c r="C687">
        <v>92</v>
      </c>
      <c r="D687" t="s">
        <v>287</v>
      </c>
      <c r="E687" t="str">
        <f t="shared" si="10"/>
        <v>1292WH03PT</v>
      </c>
      <c r="F687">
        <f>VLOOKUP(B687,Course!$A$2:$R$329,2,FALSE)</f>
        <v>0</v>
      </c>
      <c r="G687">
        <f>VLOOKUP(B687, Course!$A$2:$L$150, 8, FALSE)</f>
        <v>12</v>
      </c>
      <c r="H687">
        <v>3</v>
      </c>
      <c r="I687">
        <v>1</v>
      </c>
      <c r="K687" t="s">
        <v>1581</v>
      </c>
      <c r="L687" t="str">
        <f>VLOOKUP(B687, Course!$A$1:$O$133, 14, FALSE)</f>
        <v>WH</v>
      </c>
      <c r="M687">
        <v>1</v>
      </c>
    </row>
    <row r="688" spans="1:13" x14ac:dyDescent="0.2">
      <c r="A688">
        <v>687</v>
      </c>
      <c r="B688">
        <v>59</v>
      </c>
      <c r="C688">
        <v>93</v>
      </c>
      <c r="D688" t="s">
        <v>287</v>
      </c>
      <c r="E688" t="str">
        <f t="shared" si="10"/>
        <v>1293WH03PT</v>
      </c>
      <c r="F688">
        <f>VLOOKUP(B688,Course!$A$2:$R$329,2,FALSE)</f>
        <v>0</v>
      </c>
      <c r="G688">
        <f>VLOOKUP(B688, Course!$A$2:$L$150, 8, FALSE)</f>
        <v>12</v>
      </c>
      <c r="H688">
        <v>3</v>
      </c>
      <c r="I688">
        <v>1</v>
      </c>
      <c r="K688" t="s">
        <v>1581</v>
      </c>
      <c r="L688" t="str">
        <f>VLOOKUP(B688, Course!$A$1:$O$133, 14, FALSE)</f>
        <v>WH</v>
      </c>
      <c r="M688">
        <v>1</v>
      </c>
    </row>
    <row r="689" spans="1:13" x14ac:dyDescent="0.2">
      <c r="A689">
        <v>688</v>
      </c>
      <c r="B689">
        <v>59</v>
      </c>
      <c r="C689">
        <v>94</v>
      </c>
      <c r="D689" t="s">
        <v>287</v>
      </c>
      <c r="E689" t="str">
        <f t="shared" si="10"/>
        <v>1294WH03PT</v>
      </c>
      <c r="F689">
        <f>VLOOKUP(B689,Course!$A$2:$R$329,2,FALSE)</f>
        <v>0</v>
      </c>
      <c r="G689">
        <f>VLOOKUP(B689, Course!$A$2:$L$150, 8, FALSE)</f>
        <v>12</v>
      </c>
      <c r="H689">
        <v>3</v>
      </c>
      <c r="I689">
        <v>1</v>
      </c>
      <c r="K689" t="s">
        <v>1581</v>
      </c>
      <c r="L689" t="str">
        <f>VLOOKUP(B689, Course!$A$1:$O$133, 14, FALSE)</f>
        <v>WH</v>
      </c>
      <c r="M689">
        <v>1</v>
      </c>
    </row>
    <row r="690" spans="1:13" x14ac:dyDescent="0.2">
      <c r="A690">
        <v>689</v>
      </c>
      <c r="B690">
        <v>59</v>
      </c>
      <c r="C690">
        <v>95</v>
      </c>
      <c r="D690" t="s">
        <v>287</v>
      </c>
      <c r="E690" t="str">
        <f t="shared" si="10"/>
        <v>1295WH03PT</v>
      </c>
      <c r="F690">
        <f>VLOOKUP(B690,Course!$A$2:$R$329,2,FALSE)</f>
        <v>0</v>
      </c>
      <c r="G690">
        <f>VLOOKUP(B690, Course!$A$2:$L$150, 8, FALSE)</f>
        <v>12</v>
      </c>
      <c r="H690">
        <v>3</v>
      </c>
      <c r="I690">
        <v>1</v>
      </c>
      <c r="K690" t="s">
        <v>1581</v>
      </c>
      <c r="L690" t="str">
        <f>VLOOKUP(B690, Course!$A$1:$O$133, 14, FALSE)</f>
        <v>WH</v>
      </c>
      <c r="M690">
        <v>1</v>
      </c>
    </row>
    <row r="691" spans="1:13" x14ac:dyDescent="0.2">
      <c r="A691">
        <v>690</v>
      </c>
      <c r="B691">
        <v>59</v>
      </c>
      <c r="C691">
        <v>96</v>
      </c>
      <c r="D691" t="s">
        <v>287</v>
      </c>
      <c r="E691" t="str">
        <f t="shared" si="10"/>
        <v>1296WH03PT</v>
      </c>
      <c r="F691">
        <f>VLOOKUP(B691,Course!$A$2:$R$329,2,FALSE)</f>
        <v>0</v>
      </c>
      <c r="G691">
        <f>VLOOKUP(B691, Course!$A$2:$L$150, 8, FALSE)</f>
        <v>12</v>
      </c>
      <c r="H691">
        <v>3</v>
      </c>
      <c r="I691">
        <v>1</v>
      </c>
      <c r="K691" t="s">
        <v>1581</v>
      </c>
      <c r="L691" t="str">
        <f>VLOOKUP(B691, Course!$A$1:$O$133, 14, FALSE)</f>
        <v>WH</v>
      </c>
      <c r="M691">
        <v>1</v>
      </c>
    </row>
    <row r="692" spans="1:13" x14ac:dyDescent="0.2">
      <c r="A692">
        <v>691</v>
      </c>
      <c r="B692">
        <v>60</v>
      </c>
      <c r="C692">
        <v>97</v>
      </c>
      <c r="D692" t="s">
        <v>289</v>
      </c>
      <c r="E692" t="str">
        <f t="shared" si="10"/>
        <v>697NT03PT</v>
      </c>
      <c r="F692" t="str">
        <f>VLOOKUP(B692,Course!$A$2:$R$329,2,FALSE)</f>
        <v>Biblical Studies I</v>
      </c>
      <c r="G692">
        <f>VLOOKUP(B692, Course!$A$2:$L$150, 8, FALSE)</f>
        <v>6</v>
      </c>
      <c r="H692">
        <v>3</v>
      </c>
      <c r="I692">
        <v>1</v>
      </c>
      <c r="K692" t="s">
        <v>1581</v>
      </c>
      <c r="L692" t="str">
        <f>VLOOKUP(B692, Course!$A$1:$O$133, 14, FALSE)</f>
        <v>NT</v>
      </c>
      <c r="M692">
        <v>1</v>
      </c>
    </row>
    <row r="693" spans="1:13" x14ac:dyDescent="0.2">
      <c r="A693">
        <v>692</v>
      </c>
      <c r="B693">
        <v>60</v>
      </c>
      <c r="C693">
        <v>98</v>
      </c>
      <c r="D693" t="s">
        <v>289</v>
      </c>
      <c r="E693" t="str">
        <f t="shared" si="10"/>
        <v>698NT03PT</v>
      </c>
      <c r="F693" t="str">
        <f>VLOOKUP(B693,Course!$A$2:$R$329,2,FALSE)</f>
        <v>Biblical Studies I</v>
      </c>
      <c r="G693">
        <f>VLOOKUP(B693, Course!$A$2:$L$150, 8, FALSE)</f>
        <v>6</v>
      </c>
      <c r="H693">
        <v>3</v>
      </c>
      <c r="I693">
        <v>1</v>
      </c>
      <c r="K693" t="s">
        <v>1581</v>
      </c>
      <c r="L693" t="str">
        <f>VLOOKUP(B693, Course!$A$1:$O$133, 14, FALSE)</f>
        <v>NT</v>
      </c>
      <c r="M693">
        <v>1</v>
      </c>
    </row>
    <row r="694" spans="1:13" x14ac:dyDescent="0.2">
      <c r="A694">
        <v>693</v>
      </c>
      <c r="B694">
        <v>60</v>
      </c>
      <c r="C694">
        <v>99</v>
      </c>
      <c r="D694" t="s">
        <v>289</v>
      </c>
      <c r="E694" t="str">
        <f t="shared" si="10"/>
        <v>699NT03PT</v>
      </c>
      <c r="F694" t="str">
        <f>VLOOKUP(B694,Course!$A$2:$R$329,2,FALSE)</f>
        <v>Biblical Studies I</v>
      </c>
      <c r="G694">
        <f>VLOOKUP(B694, Course!$A$2:$L$150, 8, FALSE)</f>
        <v>6</v>
      </c>
      <c r="H694">
        <v>3</v>
      </c>
      <c r="I694">
        <v>1</v>
      </c>
      <c r="K694" t="s">
        <v>1581</v>
      </c>
      <c r="L694" t="str">
        <f>VLOOKUP(B694, Course!$A$1:$O$133, 14, FALSE)</f>
        <v>NT</v>
      </c>
      <c r="M694">
        <v>1</v>
      </c>
    </row>
    <row r="695" spans="1:13" x14ac:dyDescent="0.2">
      <c r="A695">
        <v>694</v>
      </c>
      <c r="B695">
        <v>60</v>
      </c>
      <c r="C695">
        <v>100</v>
      </c>
      <c r="D695" t="s">
        <v>289</v>
      </c>
      <c r="E695" t="str">
        <f t="shared" si="10"/>
        <v>600NT03PT</v>
      </c>
      <c r="F695" t="str">
        <f>VLOOKUP(B695,Course!$A$2:$R$329,2,FALSE)</f>
        <v>Biblical Studies I</v>
      </c>
      <c r="G695">
        <f>VLOOKUP(B695, Course!$A$2:$L$150, 8, FALSE)</f>
        <v>6</v>
      </c>
      <c r="H695">
        <v>3</v>
      </c>
      <c r="I695">
        <v>1</v>
      </c>
      <c r="K695" t="s">
        <v>1581</v>
      </c>
      <c r="L695" t="str">
        <f>VLOOKUP(B695, Course!$A$1:$O$133, 14, FALSE)</f>
        <v>NT</v>
      </c>
      <c r="M695">
        <v>1</v>
      </c>
    </row>
    <row r="696" spans="1:13" x14ac:dyDescent="0.2">
      <c r="A696">
        <v>695</v>
      </c>
      <c r="B696">
        <v>60</v>
      </c>
      <c r="C696">
        <v>101</v>
      </c>
      <c r="D696" t="s">
        <v>289</v>
      </c>
      <c r="E696" t="str">
        <f t="shared" si="10"/>
        <v>601NT03PT</v>
      </c>
      <c r="F696" t="str">
        <f>VLOOKUP(B696,Course!$A$2:$R$329,2,FALSE)</f>
        <v>Biblical Studies I</v>
      </c>
      <c r="G696">
        <f>VLOOKUP(B696, Course!$A$2:$L$150, 8, FALSE)</f>
        <v>6</v>
      </c>
      <c r="H696">
        <v>3</v>
      </c>
      <c r="I696">
        <v>1</v>
      </c>
      <c r="K696" t="s">
        <v>1581</v>
      </c>
      <c r="L696" t="str">
        <f>VLOOKUP(B696, Course!$A$1:$O$133, 14, FALSE)</f>
        <v>NT</v>
      </c>
      <c r="M696">
        <v>1</v>
      </c>
    </row>
    <row r="697" spans="1:13" x14ac:dyDescent="0.2">
      <c r="A697">
        <v>696</v>
      </c>
      <c r="B697">
        <v>60</v>
      </c>
      <c r="C697">
        <v>102</v>
      </c>
      <c r="D697" t="s">
        <v>289</v>
      </c>
      <c r="E697" t="str">
        <f t="shared" si="10"/>
        <v>602NT03PT</v>
      </c>
      <c r="F697" t="str">
        <f>VLOOKUP(B697,Course!$A$2:$R$329,2,FALSE)</f>
        <v>Biblical Studies I</v>
      </c>
      <c r="G697">
        <f>VLOOKUP(B697, Course!$A$2:$L$150, 8, FALSE)</f>
        <v>6</v>
      </c>
      <c r="H697">
        <v>3</v>
      </c>
      <c r="I697">
        <v>1</v>
      </c>
      <c r="K697" t="s">
        <v>1581</v>
      </c>
      <c r="L697" t="str">
        <f>VLOOKUP(B697, Course!$A$1:$O$133, 14, FALSE)</f>
        <v>NT</v>
      </c>
      <c r="M697">
        <v>1</v>
      </c>
    </row>
    <row r="698" spans="1:13" x14ac:dyDescent="0.2">
      <c r="A698">
        <v>697</v>
      </c>
      <c r="B698">
        <v>61</v>
      </c>
      <c r="C698">
        <v>97</v>
      </c>
      <c r="D698" t="s">
        <v>291</v>
      </c>
      <c r="E698" t="str">
        <f t="shared" si="10"/>
        <v>1297AL03PT</v>
      </c>
      <c r="F698">
        <f>VLOOKUP(B698,Course!$A$2:$R$329,2,FALSE)</f>
        <v>0</v>
      </c>
      <c r="G698">
        <f>VLOOKUP(B698, Course!$A$2:$L$150, 8, FALSE)</f>
        <v>12</v>
      </c>
      <c r="H698">
        <v>3</v>
      </c>
      <c r="I698">
        <v>1</v>
      </c>
      <c r="K698" t="s">
        <v>1581</v>
      </c>
      <c r="L698" t="str">
        <f>VLOOKUP(B698, Course!$A$1:$O$133, 14, FALSE)</f>
        <v>AL</v>
      </c>
      <c r="M698">
        <v>1</v>
      </c>
    </row>
    <row r="699" spans="1:13" x14ac:dyDescent="0.2">
      <c r="A699">
        <v>698</v>
      </c>
      <c r="B699">
        <v>61</v>
      </c>
      <c r="C699">
        <v>98</v>
      </c>
      <c r="D699" t="s">
        <v>291</v>
      </c>
      <c r="E699" t="str">
        <f t="shared" si="10"/>
        <v>1298AL03PT</v>
      </c>
      <c r="F699">
        <f>VLOOKUP(B699,Course!$A$2:$R$329,2,FALSE)</f>
        <v>0</v>
      </c>
      <c r="G699">
        <f>VLOOKUP(B699, Course!$A$2:$L$150, 8, FALSE)</f>
        <v>12</v>
      </c>
      <c r="H699">
        <v>3</v>
      </c>
      <c r="I699">
        <v>1</v>
      </c>
      <c r="K699" t="s">
        <v>1581</v>
      </c>
      <c r="L699" t="str">
        <f>VLOOKUP(B699, Course!$A$1:$O$133, 14, FALSE)</f>
        <v>AL</v>
      </c>
      <c r="M699">
        <v>1</v>
      </c>
    </row>
    <row r="700" spans="1:13" x14ac:dyDescent="0.2">
      <c r="A700">
        <v>699</v>
      </c>
      <c r="B700">
        <v>61</v>
      </c>
      <c r="C700">
        <v>99</v>
      </c>
      <c r="D700" t="s">
        <v>291</v>
      </c>
      <c r="E700" t="str">
        <f t="shared" si="10"/>
        <v>1299AL03PT</v>
      </c>
      <c r="F700">
        <f>VLOOKUP(B700,Course!$A$2:$R$329,2,FALSE)</f>
        <v>0</v>
      </c>
      <c r="G700">
        <f>VLOOKUP(B700, Course!$A$2:$L$150, 8, FALSE)</f>
        <v>12</v>
      </c>
      <c r="H700">
        <v>3</v>
      </c>
      <c r="I700">
        <v>1</v>
      </c>
      <c r="K700" t="s">
        <v>1581</v>
      </c>
      <c r="L700" t="str">
        <f>VLOOKUP(B700, Course!$A$1:$O$133, 14, FALSE)</f>
        <v>AL</v>
      </c>
      <c r="M700">
        <v>1</v>
      </c>
    </row>
    <row r="701" spans="1:13" x14ac:dyDescent="0.2">
      <c r="A701">
        <v>700</v>
      </c>
      <c r="B701">
        <v>61</v>
      </c>
      <c r="C701">
        <v>100</v>
      </c>
      <c r="D701" t="s">
        <v>291</v>
      </c>
      <c r="E701" t="str">
        <f t="shared" si="10"/>
        <v>1200AL03PT</v>
      </c>
      <c r="F701">
        <f>VLOOKUP(B701,Course!$A$2:$R$329,2,FALSE)</f>
        <v>0</v>
      </c>
      <c r="G701">
        <f>VLOOKUP(B701, Course!$A$2:$L$150, 8, FALSE)</f>
        <v>12</v>
      </c>
      <c r="H701">
        <v>3</v>
      </c>
      <c r="I701">
        <v>1</v>
      </c>
      <c r="K701" t="s">
        <v>1581</v>
      </c>
      <c r="L701" t="str">
        <f>VLOOKUP(B701, Course!$A$1:$O$133, 14, FALSE)</f>
        <v>AL</v>
      </c>
      <c r="M701">
        <v>1</v>
      </c>
    </row>
    <row r="702" spans="1:13" x14ac:dyDescent="0.2">
      <c r="A702">
        <v>701</v>
      </c>
      <c r="B702">
        <v>61</v>
      </c>
      <c r="C702">
        <v>101</v>
      </c>
      <c r="D702" t="s">
        <v>291</v>
      </c>
      <c r="E702" t="str">
        <f t="shared" si="10"/>
        <v>1201AL03PT</v>
      </c>
      <c r="F702">
        <f>VLOOKUP(B702,Course!$A$2:$R$329,2,FALSE)</f>
        <v>0</v>
      </c>
      <c r="G702">
        <f>VLOOKUP(B702, Course!$A$2:$L$150, 8, FALSE)</f>
        <v>12</v>
      </c>
      <c r="H702">
        <v>3</v>
      </c>
      <c r="I702">
        <v>1</v>
      </c>
      <c r="K702" t="s">
        <v>1581</v>
      </c>
      <c r="L702" t="str">
        <f>VLOOKUP(B702, Course!$A$1:$O$133, 14, FALSE)</f>
        <v>AL</v>
      </c>
      <c r="M702">
        <v>1</v>
      </c>
    </row>
    <row r="703" spans="1:13" x14ac:dyDescent="0.2">
      <c r="A703">
        <v>702</v>
      </c>
      <c r="B703">
        <v>61</v>
      </c>
      <c r="C703">
        <v>102</v>
      </c>
      <c r="D703" t="s">
        <v>291</v>
      </c>
      <c r="E703" t="str">
        <f t="shared" si="10"/>
        <v>1202AL03PT</v>
      </c>
      <c r="F703">
        <f>VLOOKUP(B703,Course!$A$2:$R$329,2,FALSE)</f>
        <v>0</v>
      </c>
      <c r="G703">
        <f>VLOOKUP(B703, Course!$A$2:$L$150, 8, FALSE)</f>
        <v>12</v>
      </c>
      <c r="H703">
        <v>3</v>
      </c>
      <c r="I703">
        <v>1</v>
      </c>
      <c r="K703" t="s">
        <v>1581</v>
      </c>
      <c r="L703" t="str">
        <f>VLOOKUP(B703, Course!$A$1:$O$133, 14, FALSE)</f>
        <v>AL</v>
      </c>
      <c r="M703">
        <v>1</v>
      </c>
    </row>
    <row r="704" spans="1:13" x14ac:dyDescent="0.2">
      <c r="A704">
        <v>703</v>
      </c>
      <c r="B704">
        <v>61</v>
      </c>
      <c r="C704">
        <v>103</v>
      </c>
      <c r="D704" t="s">
        <v>291</v>
      </c>
      <c r="E704" t="str">
        <f t="shared" si="10"/>
        <v>1203AL03PT</v>
      </c>
      <c r="F704">
        <f>VLOOKUP(B704,Course!$A$2:$R$329,2,FALSE)</f>
        <v>0</v>
      </c>
      <c r="G704">
        <f>VLOOKUP(B704, Course!$A$2:$L$150, 8, FALSE)</f>
        <v>12</v>
      </c>
      <c r="H704">
        <v>3</v>
      </c>
      <c r="I704">
        <v>1</v>
      </c>
      <c r="K704" t="s">
        <v>1581</v>
      </c>
      <c r="L704" t="str">
        <f>VLOOKUP(B704, Course!$A$1:$O$133, 14, FALSE)</f>
        <v>AL</v>
      </c>
      <c r="M704">
        <v>1</v>
      </c>
    </row>
    <row r="705" spans="1:13" x14ac:dyDescent="0.2">
      <c r="A705">
        <v>704</v>
      </c>
      <c r="B705">
        <v>61</v>
      </c>
      <c r="C705">
        <v>104</v>
      </c>
      <c r="D705" t="s">
        <v>291</v>
      </c>
      <c r="E705" t="str">
        <f t="shared" si="10"/>
        <v>1204AL03PT</v>
      </c>
      <c r="F705">
        <f>VLOOKUP(B705,Course!$A$2:$R$329,2,FALSE)</f>
        <v>0</v>
      </c>
      <c r="G705">
        <f>VLOOKUP(B705, Course!$A$2:$L$150, 8, FALSE)</f>
        <v>12</v>
      </c>
      <c r="H705">
        <v>3</v>
      </c>
      <c r="I705">
        <v>1</v>
      </c>
      <c r="K705" t="s">
        <v>1581</v>
      </c>
      <c r="L705" t="str">
        <f>VLOOKUP(B705, Course!$A$1:$O$133, 14, FALSE)</f>
        <v>AL</v>
      </c>
      <c r="M705">
        <v>1</v>
      </c>
    </row>
    <row r="706" spans="1:13" x14ac:dyDescent="0.2">
      <c r="A706">
        <v>705</v>
      </c>
      <c r="B706">
        <v>61</v>
      </c>
      <c r="C706">
        <v>105</v>
      </c>
      <c r="D706" t="s">
        <v>291</v>
      </c>
      <c r="E706" t="str">
        <f t="shared" ref="E706:E769" si="11">UPPER(LEFT(G706,2)) &amp; RIGHT("0" &amp; C706, 2) &amp; D706 &amp; RIGHT("0" &amp; H706, 2) &amp; K706</f>
        <v>1205AL03PT</v>
      </c>
      <c r="F706">
        <f>VLOOKUP(B706,Course!$A$2:$R$329,2,FALSE)</f>
        <v>0</v>
      </c>
      <c r="G706">
        <f>VLOOKUP(B706, Course!$A$2:$L$150, 8, FALSE)</f>
        <v>12</v>
      </c>
      <c r="H706">
        <v>3</v>
      </c>
      <c r="I706">
        <v>1</v>
      </c>
      <c r="K706" t="s">
        <v>1581</v>
      </c>
      <c r="L706" t="str">
        <f>VLOOKUP(B706, Course!$A$1:$O$133, 14, FALSE)</f>
        <v>AL</v>
      </c>
      <c r="M706">
        <v>1</v>
      </c>
    </row>
    <row r="707" spans="1:13" x14ac:dyDescent="0.2">
      <c r="A707">
        <v>706</v>
      </c>
      <c r="B707">
        <v>61</v>
      </c>
      <c r="C707">
        <v>106</v>
      </c>
      <c r="D707" t="s">
        <v>291</v>
      </c>
      <c r="E707" t="str">
        <f t="shared" si="11"/>
        <v>1206AL03PT</v>
      </c>
      <c r="F707">
        <f>VLOOKUP(B707,Course!$A$2:$R$329,2,FALSE)</f>
        <v>0</v>
      </c>
      <c r="G707">
        <f>VLOOKUP(B707, Course!$A$2:$L$150, 8, FALSE)</f>
        <v>12</v>
      </c>
      <c r="H707">
        <v>3</v>
      </c>
      <c r="I707">
        <v>1</v>
      </c>
      <c r="K707" t="s">
        <v>1581</v>
      </c>
      <c r="L707" t="str">
        <f>VLOOKUP(B707, Course!$A$1:$O$133, 14, FALSE)</f>
        <v>AL</v>
      </c>
      <c r="M707">
        <v>1</v>
      </c>
    </row>
    <row r="708" spans="1:13" x14ac:dyDescent="0.2">
      <c r="A708">
        <v>707</v>
      </c>
      <c r="B708">
        <v>61</v>
      </c>
      <c r="C708">
        <v>107</v>
      </c>
      <c r="D708" t="s">
        <v>291</v>
      </c>
      <c r="E708" t="str">
        <f t="shared" si="11"/>
        <v>1207AL03PT</v>
      </c>
      <c r="F708">
        <f>VLOOKUP(B708,Course!$A$2:$R$329,2,FALSE)</f>
        <v>0</v>
      </c>
      <c r="G708">
        <f>VLOOKUP(B708, Course!$A$2:$L$150, 8, FALSE)</f>
        <v>12</v>
      </c>
      <c r="H708">
        <v>3</v>
      </c>
      <c r="I708">
        <v>1</v>
      </c>
      <c r="K708" t="s">
        <v>1581</v>
      </c>
      <c r="L708" t="str">
        <f>VLOOKUP(B708, Course!$A$1:$O$133, 14, FALSE)</f>
        <v>AL</v>
      </c>
      <c r="M708">
        <v>1</v>
      </c>
    </row>
    <row r="709" spans="1:13" x14ac:dyDescent="0.2">
      <c r="A709">
        <v>708</v>
      </c>
      <c r="B709">
        <v>61</v>
      </c>
      <c r="C709">
        <v>108</v>
      </c>
      <c r="D709" t="s">
        <v>291</v>
      </c>
      <c r="E709" t="str">
        <f t="shared" si="11"/>
        <v>1208AL03PT</v>
      </c>
      <c r="F709">
        <f>VLOOKUP(B709,Course!$A$2:$R$329,2,FALSE)</f>
        <v>0</v>
      </c>
      <c r="G709">
        <f>VLOOKUP(B709, Course!$A$2:$L$150, 8, FALSE)</f>
        <v>12</v>
      </c>
      <c r="H709">
        <v>3</v>
      </c>
      <c r="I709">
        <v>1</v>
      </c>
      <c r="K709" t="s">
        <v>1581</v>
      </c>
      <c r="L709" t="str">
        <f>VLOOKUP(B709, Course!$A$1:$O$133, 14, FALSE)</f>
        <v>AL</v>
      </c>
      <c r="M709">
        <v>1</v>
      </c>
    </row>
    <row r="710" spans="1:13" x14ac:dyDescent="0.2">
      <c r="A710">
        <v>709</v>
      </c>
      <c r="B710">
        <v>62</v>
      </c>
      <c r="C710">
        <v>97</v>
      </c>
      <c r="D710" t="s">
        <v>224</v>
      </c>
      <c r="E710" t="str">
        <f t="shared" si="11"/>
        <v>1297EN03PT</v>
      </c>
      <c r="F710">
        <f>VLOOKUP(B710,Course!$A$2:$R$329,2,FALSE)</f>
        <v>0</v>
      </c>
      <c r="G710">
        <f>VLOOKUP(B710, Course!$A$2:$L$150, 8, FALSE)</f>
        <v>12</v>
      </c>
      <c r="H710">
        <v>3</v>
      </c>
      <c r="I710">
        <v>1</v>
      </c>
      <c r="K710" t="s">
        <v>1581</v>
      </c>
      <c r="L710" t="str">
        <f>VLOOKUP(B710, Course!$A$1:$O$133, 14, FALSE)</f>
        <v>EN</v>
      </c>
      <c r="M710">
        <v>1</v>
      </c>
    </row>
    <row r="711" spans="1:13" x14ac:dyDescent="0.2">
      <c r="A711">
        <v>710</v>
      </c>
      <c r="B711">
        <v>62</v>
      </c>
      <c r="C711">
        <v>98</v>
      </c>
      <c r="D711" t="s">
        <v>224</v>
      </c>
      <c r="E711" t="str">
        <f t="shared" si="11"/>
        <v>1298EN03PT</v>
      </c>
      <c r="F711">
        <f>VLOOKUP(B711,Course!$A$2:$R$329,2,FALSE)</f>
        <v>0</v>
      </c>
      <c r="G711">
        <f>VLOOKUP(B711, Course!$A$2:$L$150, 8, FALSE)</f>
        <v>12</v>
      </c>
      <c r="H711">
        <v>3</v>
      </c>
      <c r="I711">
        <v>1</v>
      </c>
      <c r="K711" t="s">
        <v>1581</v>
      </c>
      <c r="L711" t="str">
        <f>VLOOKUP(B711, Course!$A$1:$O$133, 14, FALSE)</f>
        <v>EN</v>
      </c>
      <c r="M711">
        <v>1</v>
      </c>
    </row>
    <row r="712" spans="1:13" x14ac:dyDescent="0.2">
      <c r="A712">
        <v>711</v>
      </c>
      <c r="B712">
        <v>62</v>
      </c>
      <c r="C712">
        <v>99</v>
      </c>
      <c r="D712" t="s">
        <v>224</v>
      </c>
      <c r="E712" t="str">
        <f t="shared" si="11"/>
        <v>1299EN03PT</v>
      </c>
      <c r="F712">
        <f>VLOOKUP(B712,Course!$A$2:$R$329,2,FALSE)</f>
        <v>0</v>
      </c>
      <c r="G712">
        <f>VLOOKUP(B712, Course!$A$2:$L$150, 8, FALSE)</f>
        <v>12</v>
      </c>
      <c r="H712">
        <v>3</v>
      </c>
      <c r="I712">
        <v>1</v>
      </c>
      <c r="K712" t="s">
        <v>1581</v>
      </c>
      <c r="L712" t="str">
        <f>VLOOKUP(B712, Course!$A$1:$O$133, 14, FALSE)</f>
        <v>EN</v>
      </c>
      <c r="M712">
        <v>1</v>
      </c>
    </row>
    <row r="713" spans="1:13" x14ac:dyDescent="0.2">
      <c r="A713">
        <v>712</v>
      </c>
      <c r="B713">
        <v>62</v>
      </c>
      <c r="C713">
        <v>100</v>
      </c>
      <c r="D713" t="s">
        <v>224</v>
      </c>
      <c r="E713" t="str">
        <f t="shared" si="11"/>
        <v>1200EN03PT</v>
      </c>
      <c r="F713">
        <f>VLOOKUP(B713,Course!$A$2:$R$329,2,FALSE)</f>
        <v>0</v>
      </c>
      <c r="G713">
        <f>VLOOKUP(B713, Course!$A$2:$L$150, 8, FALSE)</f>
        <v>12</v>
      </c>
      <c r="H713">
        <v>3</v>
      </c>
      <c r="I713">
        <v>1</v>
      </c>
      <c r="K713" t="s">
        <v>1581</v>
      </c>
      <c r="L713" t="str">
        <f>VLOOKUP(B713, Course!$A$1:$O$133, 14, FALSE)</f>
        <v>EN</v>
      </c>
      <c r="M713">
        <v>1</v>
      </c>
    </row>
    <row r="714" spans="1:13" x14ac:dyDescent="0.2">
      <c r="A714">
        <v>713</v>
      </c>
      <c r="B714">
        <v>62</v>
      </c>
      <c r="C714">
        <v>101</v>
      </c>
      <c r="D714" t="s">
        <v>224</v>
      </c>
      <c r="E714" t="str">
        <f t="shared" si="11"/>
        <v>1201EN03PT</v>
      </c>
      <c r="F714">
        <f>VLOOKUP(B714,Course!$A$2:$R$329,2,FALSE)</f>
        <v>0</v>
      </c>
      <c r="G714">
        <f>VLOOKUP(B714, Course!$A$2:$L$150, 8, FALSE)</f>
        <v>12</v>
      </c>
      <c r="H714">
        <v>3</v>
      </c>
      <c r="I714">
        <v>1</v>
      </c>
      <c r="K714" t="s">
        <v>1581</v>
      </c>
      <c r="L714" t="str">
        <f>VLOOKUP(B714, Course!$A$1:$O$133, 14, FALSE)</f>
        <v>EN</v>
      </c>
      <c r="M714">
        <v>1</v>
      </c>
    </row>
    <row r="715" spans="1:13" x14ac:dyDescent="0.2">
      <c r="A715">
        <v>714</v>
      </c>
      <c r="B715">
        <v>62</v>
      </c>
      <c r="C715">
        <v>102</v>
      </c>
      <c r="D715" t="s">
        <v>224</v>
      </c>
      <c r="E715" t="str">
        <f t="shared" si="11"/>
        <v>1202EN03PT</v>
      </c>
      <c r="F715">
        <f>VLOOKUP(B715,Course!$A$2:$R$329,2,FALSE)</f>
        <v>0</v>
      </c>
      <c r="G715">
        <f>VLOOKUP(B715, Course!$A$2:$L$150, 8, FALSE)</f>
        <v>12</v>
      </c>
      <c r="H715">
        <v>3</v>
      </c>
      <c r="I715">
        <v>1</v>
      </c>
      <c r="K715" t="s">
        <v>1581</v>
      </c>
      <c r="L715" t="str">
        <f>VLOOKUP(B715, Course!$A$1:$O$133, 14, FALSE)</f>
        <v>EN</v>
      </c>
      <c r="M715">
        <v>1</v>
      </c>
    </row>
    <row r="716" spans="1:13" x14ac:dyDescent="0.2">
      <c r="A716">
        <v>715</v>
      </c>
      <c r="B716">
        <v>62</v>
      </c>
      <c r="C716">
        <v>103</v>
      </c>
      <c r="D716" t="s">
        <v>224</v>
      </c>
      <c r="E716" t="str">
        <f t="shared" si="11"/>
        <v>1203EN03PT</v>
      </c>
      <c r="F716">
        <f>VLOOKUP(B716,Course!$A$2:$R$329,2,FALSE)</f>
        <v>0</v>
      </c>
      <c r="G716">
        <f>VLOOKUP(B716, Course!$A$2:$L$150, 8, FALSE)</f>
        <v>12</v>
      </c>
      <c r="H716">
        <v>3</v>
      </c>
      <c r="I716">
        <v>1</v>
      </c>
      <c r="K716" t="s">
        <v>1581</v>
      </c>
      <c r="L716" t="str">
        <f>VLOOKUP(B716, Course!$A$1:$O$133, 14, FALSE)</f>
        <v>EN</v>
      </c>
      <c r="M716">
        <v>1</v>
      </c>
    </row>
    <row r="717" spans="1:13" x14ac:dyDescent="0.2">
      <c r="A717">
        <v>716</v>
      </c>
      <c r="B717">
        <v>62</v>
      </c>
      <c r="C717">
        <v>104</v>
      </c>
      <c r="D717" t="s">
        <v>224</v>
      </c>
      <c r="E717" t="str">
        <f t="shared" si="11"/>
        <v>1204EN03PT</v>
      </c>
      <c r="F717">
        <f>VLOOKUP(B717,Course!$A$2:$R$329,2,FALSE)</f>
        <v>0</v>
      </c>
      <c r="G717">
        <f>VLOOKUP(B717, Course!$A$2:$L$150, 8, FALSE)</f>
        <v>12</v>
      </c>
      <c r="H717">
        <v>3</v>
      </c>
      <c r="I717">
        <v>1</v>
      </c>
      <c r="K717" t="s">
        <v>1581</v>
      </c>
      <c r="L717" t="str">
        <f>VLOOKUP(B717, Course!$A$1:$O$133, 14, FALSE)</f>
        <v>EN</v>
      </c>
      <c r="M717">
        <v>1</v>
      </c>
    </row>
    <row r="718" spans="1:13" x14ac:dyDescent="0.2">
      <c r="A718">
        <v>717</v>
      </c>
      <c r="B718">
        <v>62</v>
      </c>
      <c r="C718">
        <v>105</v>
      </c>
      <c r="D718" t="s">
        <v>224</v>
      </c>
      <c r="E718" t="str">
        <f t="shared" si="11"/>
        <v>1205EN03PT</v>
      </c>
      <c r="F718">
        <f>VLOOKUP(B718,Course!$A$2:$R$329,2,FALSE)</f>
        <v>0</v>
      </c>
      <c r="G718">
        <f>VLOOKUP(B718, Course!$A$2:$L$150, 8, FALSE)</f>
        <v>12</v>
      </c>
      <c r="H718">
        <v>3</v>
      </c>
      <c r="I718">
        <v>1</v>
      </c>
      <c r="K718" t="s">
        <v>1581</v>
      </c>
      <c r="L718" t="str">
        <f>VLOOKUP(B718, Course!$A$1:$O$133, 14, FALSE)</f>
        <v>EN</v>
      </c>
      <c r="M718">
        <v>1</v>
      </c>
    </row>
    <row r="719" spans="1:13" x14ac:dyDescent="0.2">
      <c r="A719">
        <v>718</v>
      </c>
      <c r="B719">
        <v>62</v>
      </c>
      <c r="C719">
        <v>106</v>
      </c>
      <c r="D719" t="s">
        <v>224</v>
      </c>
      <c r="E719" t="str">
        <f t="shared" si="11"/>
        <v>1206EN03PT</v>
      </c>
      <c r="F719">
        <f>VLOOKUP(B719,Course!$A$2:$R$329,2,FALSE)</f>
        <v>0</v>
      </c>
      <c r="G719">
        <f>VLOOKUP(B719, Course!$A$2:$L$150, 8, FALSE)</f>
        <v>12</v>
      </c>
      <c r="H719">
        <v>3</v>
      </c>
      <c r="I719">
        <v>1</v>
      </c>
      <c r="K719" t="s">
        <v>1581</v>
      </c>
      <c r="L719" t="str">
        <f>VLOOKUP(B719, Course!$A$1:$O$133, 14, FALSE)</f>
        <v>EN</v>
      </c>
      <c r="M719">
        <v>1</v>
      </c>
    </row>
    <row r="720" spans="1:13" x14ac:dyDescent="0.2">
      <c r="A720">
        <v>719</v>
      </c>
      <c r="B720">
        <v>62</v>
      </c>
      <c r="C720">
        <v>107</v>
      </c>
      <c r="D720" t="s">
        <v>224</v>
      </c>
      <c r="E720" t="str">
        <f t="shared" si="11"/>
        <v>1207EN03PT</v>
      </c>
      <c r="F720">
        <f>VLOOKUP(B720,Course!$A$2:$R$329,2,FALSE)</f>
        <v>0</v>
      </c>
      <c r="G720">
        <f>VLOOKUP(B720, Course!$A$2:$L$150, 8, FALSE)</f>
        <v>12</v>
      </c>
      <c r="H720">
        <v>3</v>
      </c>
      <c r="I720">
        <v>1</v>
      </c>
      <c r="K720" t="s">
        <v>1581</v>
      </c>
      <c r="L720" t="str">
        <f>VLOOKUP(B720, Course!$A$1:$O$133, 14, FALSE)</f>
        <v>EN</v>
      </c>
      <c r="M720">
        <v>1</v>
      </c>
    </row>
    <row r="721" spans="1:13" x14ac:dyDescent="0.2">
      <c r="A721">
        <v>720</v>
      </c>
      <c r="B721">
        <v>62</v>
      </c>
      <c r="C721">
        <v>108</v>
      </c>
      <c r="D721" t="s">
        <v>224</v>
      </c>
      <c r="E721" t="str">
        <f t="shared" si="11"/>
        <v>1208EN03PT</v>
      </c>
      <c r="F721">
        <f>VLOOKUP(B721,Course!$A$2:$R$329,2,FALSE)</f>
        <v>0</v>
      </c>
      <c r="G721">
        <f>VLOOKUP(B721, Course!$A$2:$L$150, 8, FALSE)</f>
        <v>12</v>
      </c>
      <c r="H721">
        <v>3</v>
      </c>
      <c r="I721">
        <v>1</v>
      </c>
      <c r="K721" t="s">
        <v>1581</v>
      </c>
      <c r="L721" t="str">
        <f>VLOOKUP(B721, Course!$A$1:$O$133, 14, FALSE)</f>
        <v>EN</v>
      </c>
      <c r="M721">
        <v>1</v>
      </c>
    </row>
    <row r="722" spans="1:13" x14ac:dyDescent="0.2">
      <c r="A722">
        <v>721</v>
      </c>
      <c r="B722">
        <v>63</v>
      </c>
      <c r="C722">
        <v>97</v>
      </c>
      <c r="D722" t="s">
        <v>294</v>
      </c>
      <c r="E722" t="str">
        <f t="shared" si="11"/>
        <v>1297FR03PT</v>
      </c>
      <c r="F722">
        <f>VLOOKUP(B722,Course!$A$2:$R$329,2,FALSE)</f>
        <v>0</v>
      </c>
      <c r="G722">
        <f>VLOOKUP(B722, Course!$A$2:$L$150, 8, FALSE)</f>
        <v>12</v>
      </c>
      <c r="H722">
        <v>3</v>
      </c>
      <c r="I722">
        <v>1</v>
      </c>
      <c r="K722" t="s">
        <v>1581</v>
      </c>
      <c r="L722" t="str">
        <f>VLOOKUP(B722, Course!$A$1:$O$133, 14, FALSE)</f>
        <v>FR</v>
      </c>
      <c r="M722">
        <v>1</v>
      </c>
    </row>
    <row r="723" spans="1:13" x14ac:dyDescent="0.2">
      <c r="A723">
        <v>722</v>
      </c>
      <c r="B723">
        <v>63</v>
      </c>
      <c r="C723">
        <v>98</v>
      </c>
      <c r="D723" t="s">
        <v>294</v>
      </c>
      <c r="E723" t="str">
        <f t="shared" si="11"/>
        <v>1298FR03PT</v>
      </c>
      <c r="F723">
        <f>VLOOKUP(B723,Course!$A$2:$R$329,2,FALSE)</f>
        <v>0</v>
      </c>
      <c r="G723">
        <f>VLOOKUP(B723, Course!$A$2:$L$150, 8, FALSE)</f>
        <v>12</v>
      </c>
      <c r="H723">
        <v>3</v>
      </c>
      <c r="I723">
        <v>1</v>
      </c>
      <c r="K723" t="s">
        <v>1581</v>
      </c>
      <c r="L723" t="str">
        <f>VLOOKUP(B723, Course!$A$1:$O$133, 14, FALSE)</f>
        <v>FR</v>
      </c>
      <c r="M723">
        <v>1</v>
      </c>
    </row>
    <row r="724" spans="1:13" x14ac:dyDescent="0.2">
      <c r="A724">
        <v>723</v>
      </c>
      <c r="B724">
        <v>63</v>
      </c>
      <c r="C724">
        <v>99</v>
      </c>
      <c r="D724" t="s">
        <v>294</v>
      </c>
      <c r="E724" t="str">
        <f t="shared" si="11"/>
        <v>1299FR03PT</v>
      </c>
      <c r="F724">
        <f>VLOOKUP(B724,Course!$A$2:$R$329,2,FALSE)</f>
        <v>0</v>
      </c>
      <c r="G724">
        <f>VLOOKUP(B724, Course!$A$2:$L$150, 8, FALSE)</f>
        <v>12</v>
      </c>
      <c r="H724">
        <v>3</v>
      </c>
      <c r="I724">
        <v>1</v>
      </c>
      <c r="K724" t="s">
        <v>1581</v>
      </c>
      <c r="L724" t="str">
        <f>VLOOKUP(B724, Course!$A$1:$O$133, 14, FALSE)</f>
        <v>FR</v>
      </c>
      <c r="M724">
        <v>1</v>
      </c>
    </row>
    <row r="725" spans="1:13" x14ac:dyDescent="0.2">
      <c r="A725">
        <v>724</v>
      </c>
      <c r="B725">
        <v>63</v>
      </c>
      <c r="C725">
        <v>100</v>
      </c>
      <c r="D725" t="s">
        <v>294</v>
      </c>
      <c r="E725" t="str">
        <f t="shared" si="11"/>
        <v>1200FR03PT</v>
      </c>
      <c r="F725">
        <f>VLOOKUP(B725,Course!$A$2:$R$329,2,FALSE)</f>
        <v>0</v>
      </c>
      <c r="G725">
        <f>VLOOKUP(B725, Course!$A$2:$L$150, 8, FALSE)</f>
        <v>12</v>
      </c>
      <c r="H725">
        <v>3</v>
      </c>
      <c r="I725">
        <v>1</v>
      </c>
      <c r="K725" t="s">
        <v>1581</v>
      </c>
      <c r="L725" t="str">
        <f>VLOOKUP(B725, Course!$A$1:$O$133, 14, FALSE)</f>
        <v>FR</v>
      </c>
      <c r="M725">
        <v>1</v>
      </c>
    </row>
    <row r="726" spans="1:13" x14ac:dyDescent="0.2">
      <c r="A726">
        <v>725</v>
      </c>
      <c r="B726">
        <v>63</v>
      </c>
      <c r="C726">
        <v>101</v>
      </c>
      <c r="D726" t="s">
        <v>294</v>
      </c>
      <c r="E726" t="str">
        <f t="shared" si="11"/>
        <v>1201FR03PT</v>
      </c>
      <c r="F726">
        <f>VLOOKUP(B726,Course!$A$2:$R$329,2,FALSE)</f>
        <v>0</v>
      </c>
      <c r="G726">
        <f>VLOOKUP(B726, Course!$A$2:$L$150, 8, FALSE)</f>
        <v>12</v>
      </c>
      <c r="H726">
        <v>3</v>
      </c>
      <c r="I726">
        <v>1</v>
      </c>
      <c r="K726" t="s">
        <v>1581</v>
      </c>
      <c r="L726" t="str">
        <f>VLOOKUP(B726, Course!$A$1:$O$133, 14, FALSE)</f>
        <v>FR</v>
      </c>
      <c r="M726">
        <v>1</v>
      </c>
    </row>
    <row r="727" spans="1:13" x14ac:dyDescent="0.2">
      <c r="A727">
        <v>726</v>
      </c>
      <c r="B727">
        <v>63</v>
      </c>
      <c r="C727">
        <v>102</v>
      </c>
      <c r="D727" t="s">
        <v>294</v>
      </c>
      <c r="E727" t="str">
        <f t="shared" si="11"/>
        <v>1202FR03PT</v>
      </c>
      <c r="F727">
        <f>VLOOKUP(B727,Course!$A$2:$R$329,2,FALSE)</f>
        <v>0</v>
      </c>
      <c r="G727">
        <f>VLOOKUP(B727, Course!$A$2:$L$150, 8, FALSE)</f>
        <v>12</v>
      </c>
      <c r="H727">
        <v>3</v>
      </c>
      <c r="I727">
        <v>1</v>
      </c>
      <c r="K727" t="s">
        <v>1581</v>
      </c>
      <c r="L727" t="str">
        <f>VLOOKUP(B727, Course!$A$1:$O$133, 14, FALSE)</f>
        <v>FR</v>
      </c>
      <c r="M727">
        <v>1</v>
      </c>
    </row>
    <row r="728" spans="1:13" x14ac:dyDescent="0.2">
      <c r="A728">
        <v>727</v>
      </c>
      <c r="B728">
        <v>63</v>
      </c>
      <c r="C728">
        <v>103</v>
      </c>
      <c r="D728" t="s">
        <v>294</v>
      </c>
      <c r="E728" t="str">
        <f t="shared" si="11"/>
        <v>1203FR03PT</v>
      </c>
      <c r="F728">
        <f>VLOOKUP(B728,Course!$A$2:$R$329,2,FALSE)</f>
        <v>0</v>
      </c>
      <c r="G728">
        <f>VLOOKUP(B728, Course!$A$2:$L$150, 8, FALSE)</f>
        <v>12</v>
      </c>
      <c r="H728">
        <v>3</v>
      </c>
      <c r="I728">
        <v>1</v>
      </c>
      <c r="K728" t="s">
        <v>1581</v>
      </c>
      <c r="L728" t="str">
        <f>VLOOKUP(B728, Course!$A$1:$O$133, 14, FALSE)</f>
        <v>FR</v>
      </c>
      <c r="M728">
        <v>1</v>
      </c>
    </row>
    <row r="729" spans="1:13" x14ac:dyDescent="0.2">
      <c r="A729">
        <v>728</v>
      </c>
      <c r="B729">
        <v>63</v>
      </c>
      <c r="C729">
        <v>104</v>
      </c>
      <c r="D729" t="s">
        <v>294</v>
      </c>
      <c r="E729" t="str">
        <f t="shared" si="11"/>
        <v>1204FR03PT</v>
      </c>
      <c r="F729">
        <f>VLOOKUP(B729,Course!$A$2:$R$329,2,FALSE)</f>
        <v>0</v>
      </c>
      <c r="G729">
        <f>VLOOKUP(B729, Course!$A$2:$L$150, 8, FALSE)</f>
        <v>12</v>
      </c>
      <c r="H729">
        <v>3</v>
      </c>
      <c r="I729">
        <v>1</v>
      </c>
      <c r="K729" t="s">
        <v>1581</v>
      </c>
      <c r="L729" t="str">
        <f>VLOOKUP(B729, Course!$A$1:$O$133, 14, FALSE)</f>
        <v>FR</v>
      </c>
      <c r="M729">
        <v>1</v>
      </c>
    </row>
    <row r="730" spans="1:13" x14ac:dyDescent="0.2">
      <c r="A730">
        <v>729</v>
      </c>
      <c r="B730">
        <v>63</v>
      </c>
      <c r="C730">
        <v>105</v>
      </c>
      <c r="D730" t="s">
        <v>294</v>
      </c>
      <c r="E730" t="str">
        <f t="shared" si="11"/>
        <v>1205FR03PT</v>
      </c>
      <c r="F730">
        <f>VLOOKUP(B730,Course!$A$2:$R$329,2,FALSE)</f>
        <v>0</v>
      </c>
      <c r="G730">
        <f>VLOOKUP(B730, Course!$A$2:$L$150, 8, FALSE)</f>
        <v>12</v>
      </c>
      <c r="H730">
        <v>3</v>
      </c>
      <c r="I730">
        <v>1</v>
      </c>
      <c r="K730" t="s">
        <v>1581</v>
      </c>
      <c r="L730" t="str">
        <f>VLOOKUP(B730, Course!$A$1:$O$133, 14, FALSE)</f>
        <v>FR</v>
      </c>
      <c r="M730">
        <v>1</v>
      </c>
    </row>
    <row r="731" spans="1:13" x14ac:dyDescent="0.2">
      <c r="A731">
        <v>730</v>
      </c>
      <c r="B731">
        <v>63</v>
      </c>
      <c r="C731">
        <v>106</v>
      </c>
      <c r="D731" t="s">
        <v>294</v>
      </c>
      <c r="E731" t="str">
        <f t="shared" si="11"/>
        <v>1206FR03PT</v>
      </c>
      <c r="F731">
        <f>VLOOKUP(B731,Course!$A$2:$R$329,2,FALSE)</f>
        <v>0</v>
      </c>
      <c r="G731">
        <f>VLOOKUP(B731, Course!$A$2:$L$150, 8, FALSE)</f>
        <v>12</v>
      </c>
      <c r="H731">
        <v>3</v>
      </c>
      <c r="I731">
        <v>1</v>
      </c>
      <c r="K731" t="s">
        <v>1581</v>
      </c>
      <c r="L731" t="str">
        <f>VLOOKUP(B731, Course!$A$1:$O$133, 14, FALSE)</f>
        <v>FR</v>
      </c>
      <c r="M731">
        <v>1</v>
      </c>
    </row>
    <row r="732" spans="1:13" x14ac:dyDescent="0.2">
      <c r="A732">
        <v>731</v>
      </c>
      <c r="B732">
        <v>63</v>
      </c>
      <c r="C732">
        <v>107</v>
      </c>
      <c r="D732" t="s">
        <v>294</v>
      </c>
      <c r="E732" t="str">
        <f t="shared" si="11"/>
        <v>1207FR03PT</v>
      </c>
      <c r="F732">
        <f>VLOOKUP(B732,Course!$A$2:$R$329,2,FALSE)</f>
        <v>0</v>
      </c>
      <c r="G732">
        <f>VLOOKUP(B732, Course!$A$2:$L$150, 8, FALSE)</f>
        <v>12</v>
      </c>
      <c r="H732">
        <v>3</v>
      </c>
      <c r="I732">
        <v>1</v>
      </c>
      <c r="K732" t="s">
        <v>1581</v>
      </c>
      <c r="L732" t="str">
        <f>VLOOKUP(B732, Course!$A$1:$O$133, 14, FALSE)</f>
        <v>FR</v>
      </c>
      <c r="M732">
        <v>1</v>
      </c>
    </row>
    <row r="733" spans="1:13" x14ac:dyDescent="0.2">
      <c r="A733">
        <v>732</v>
      </c>
      <c r="B733">
        <v>63</v>
      </c>
      <c r="C733">
        <v>108</v>
      </c>
      <c r="D733" t="s">
        <v>294</v>
      </c>
      <c r="E733" t="str">
        <f t="shared" si="11"/>
        <v>1208FR03PT</v>
      </c>
      <c r="F733">
        <f>VLOOKUP(B733,Course!$A$2:$R$329,2,FALSE)</f>
        <v>0</v>
      </c>
      <c r="G733">
        <f>VLOOKUP(B733, Course!$A$2:$L$150, 8, FALSE)</f>
        <v>12</v>
      </c>
      <c r="H733">
        <v>3</v>
      </c>
      <c r="I733">
        <v>1</v>
      </c>
      <c r="K733" t="s">
        <v>1581</v>
      </c>
      <c r="L733" t="str">
        <f>VLOOKUP(B733, Course!$A$1:$O$133, 14, FALSE)</f>
        <v>FR</v>
      </c>
      <c r="M733">
        <v>1</v>
      </c>
    </row>
    <row r="734" spans="1:13" x14ac:dyDescent="0.2">
      <c r="A734">
        <v>733</v>
      </c>
      <c r="B734">
        <v>64</v>
      </c>
      <c r="C734">
        <v>1</v>
      </c>
      <c r="D734" t="s">
        <v>297</v>
      </c>
      <c r="E734" t="str">
        <f t="shared" si="11"/>
        <v>201RS03PT</v>
      </c>
      <c r="F734">
        <f>VLOOKUP(B734,Course!$A$2:$R$329,2,FALSE)</f>
        <v>0</v>
      </c>
      <c r="G734">
        <f>VLOOKUP(B734, Course!$A$2:$L$150, 8, FALSE)</f>
        <v>2</v>
      </c>
      <c r="H734">
        <v>3</v>
      </c>
      <c r="I734">
        <v>1</v>
      </c>
      <c r="K734" t="s">
        <v>1581</v>
      </c>
      <c r="L734" t="str">
        <f>VLOOKUP(B734, Course!$A$1:$O$133, 14, FALSE)</f>
        <v>RS</v>
      </c>
      <c r="M734">
        <v>1</v>
      </c>
    </row>
    <row r="735" spans="1:13" x14ac:dyDescent="0.2">
      <c r="A735">
        <v>734</v>
      </c>
      <c r="B735">
        <v>64</v>
      </c>
      <c r="C735">
        <v>2</v>
      </c>
      <c r="D735" t="s">
        <v>297</v>
      </c>
      <c r="E735" t="str">
        <f t="shared" si="11"/>
        <v>202RS03PT</v>
      </c>
      <c r="F735">
        <f>VLOOKUP(B735,Course!$A$2:$R$329,2,FALSE)</f>
        <v>0</v>
      </c>
      <c r="G735">
        <f>VLOOKUP(B735, Course!$A$2:$L$150, 8, FALSE)</f>
        <v>2</v>
      </c>
      <c r="H735">
        <v>3</v>
      </c>
      <c r="I735">
        <v>1</v>
      </c>
      <c r="K735" t="s">
        <v>1581</v>
      </c>
      <c r="L735" t="str">
        <f>VLOOKUP(B735, Course!$A$1:$O$133, 14, FALSE)</f>
        <v>RS</v>
      </c>
      <c r="M735">
        <v>1</v>
      </c>
    </row>
    <row r="736" spans="1:13" x14ac:dyDescent="0.2">
      <c r="A736">
        <v>735</v>
      </c>
      <c r="B736">
        <v>65</v>
      </c>
      <c r="C736">
        <v>1</v>
      </c>
      <c r="D736" t="s">
        <v>283</v>
      </c>
      <c r="E736" t="str">
        <f t="shared" si="11"/>
        <v>1201ES03PT</v>
      </c>
      <c r="F736">
        <f>VLOOKUP(B736,Course!$A$2:$R$329,2,FALSE)</f>
        <v>0</v>
      </c>
      <c r="G736">
        <f>VLOOKUP(B736, Course!$A$2:$L$150, 8, FALSE)</f>
        <v>12</v>
      </c>
      <c r="H736">
        <v>3</v>
      </c>
      <c r="I736">
        <v>1</v>
      </c>
      <c r="K736" t="s">
        <v>1581</v>
      </c>
      <c r="L736" t="str">
        <f>VLOOKUP(B736, Course!$A$1:$O$133, 14, FALSE)</f>
        <v>ES</v>
      </c>
      <c r="M736">
        <v>1</v>
      </c>
    </row>
    <row r="737" spans="1:13" x14ac:dyDescent="0.2">
      <c r="A737">
        <v>736</v>
      </c>
      <c r="B737">
        <v>65</v>
      </c>
      <c r="C737">
        <v>2</v>
      </c>
      <c r="D737" t="s">
        <v>283</v>
      </c>
      <c r="E737" t="str">
        <f t="shared" si="11"/>
        <v>1202ES03PT</v>
      </c>
      <c r="F737">
        <f>VLOOKUP(B737,Course!$A$2:$R$329,2,FALSE)</f>
        <v>0</v>
      </c>
      <c r="G737">
        <f>VLOOKUP(B737, Course!$A$2:$L$150, 8, FALSE)</f>
        <v>12</v>
      </c>
      <c r="H737">
        <v>3</v>
      </c>
      <c r="I737">
        <v>1</v>
      </c>
      <c r="K737" t="s">
        <v>1581</v>
      </c>
      <c r="L737" t="str">
        <f>VLOOKUP(B737, Course!$A$1:$O$133, 14, FALSE)</f>
        <v>ES</v>
      </c>
      <c r="M737">
        <v>1</v>
      </c>
    </row>
    <row r="738" spans="1:13" x14ac:dyDescent="0.2">
      <c r="A738">
        <v>737</v>
      </c>
      <c r="B738">
        <v>65</v>
      </c>
      <c r="C738">
        <v>3</v>
      </c>
      <c r="D738" t="s">
        <v>283</v>
      </c>
      <c r="E738" t="str">
        <f t="shared" si="11"/>
        <v>1203ES03PT</v>
      </c>
      <c r="F738">
        <f>VLOOKUP(B738,Course!$A$2:$R$329,2,FALSE)</f>
        <v>0</v>
      </c>
      <c r="G738">
        <f>VLOOKUP(B738, Course!$A$2:$L$150, 8, FALSE)</f>
        <v>12</v>
      </c>
      <c r="H738">
        <v>3</v>
      </c>
      <c r="I738">
        <v>1</v>
      </c>
      <c r="K738" t="s">
        <v>1581</v>
      </c>
      <c r="L738" t="str">
        <f>VLOOKUP(B738, Course!$A$1:$O$133, 14, FALSE)</f>
        <v>ES</v>
      </c>
      <c r="M738">
        <v>1</v>
      </c>
    </row>
    <row r="739" spans="1:13" x14ac:dyDescent="0.2">
      <c r="A739">
        <v>738</v>
      </c>
      <c r="B739">
        <v>65</v>
      </c>
      <c r="C739">
        <v>4</v>
      </c>
      <c r="D739" t="s">
        <v>283</v>
      </c>
      <c r="E739" t="str">
        <f t="shared" si="11"/>
        <v>1204ES03PT</v>
      </c>
      <c r="F739">
        <f>VLOOKUP(B739,Course!$A$2:$R$329,2,FALSE)</f>
        <v>0</v>
      </c>
      <c r="G739">
        <f>VLOOKUP(B739, Course!$A$2:$L$150, 8, FALSE)</f>
        <v>12</v>
      </c>
      <c r="H739">
        <v>3</v>
      </c>
      <c r="I739">
        <v>1</v>
      </c>
      <c r="K739" t="s">
        <v>1581</v>
      </c>
      <c r="L739" t="str">
        <f>VLOOKUP(B739, Course!$A$1:$O$133, 14, FALSE)</f>
        <v>ES</v>
      </c>
      <c r="M739">
        <v>1</v>
      </c>
    </row>
    <row r="740" spans="1:13" x14ac:dyDescent="0.2">
      <c r="A740">
        <v>739</v>
      </c>
      <c r="B740">
        <v>65</v>
      </c>
      <c r="C740">
        <v>5</v>
      </c>
      <c r="D740" t="s">
        <v>283</v>
      </c>
      <c r="E740" t="str">
        <f t="shared" si="11"/>
        <v>1205ES03PT</v>
      </c>
      <c r="F740">
        <f>VLOOKUP(B740,Course!$A$2:$R$329,2,FALSE)</f>
        <v>0</v>
      </c>
      <c r="G740">
        <f>VLOOKUP(B740, Course!$A$2:$L$150, 8, FALSE)</f>
        <v>12</v>
      </c>
      <c r="H740">
        <v>3</v>
      </c>
      <c r="I740">
        <v>1</v>
      </c>
      <c r="K740" t="s">
        <v>1581</v>
      </c>
      <c r="L740" t="str">
        <f>VLOOKUP(B740, Course!$A$1:$O$133, 14, FALSE)</f>
        <v>ES</v>
      </c>
      <c r="M740">
        <v>1</v>
      </c>
    </row>
    <row r="741" spans="1:13" x14ac:dyDescent="0.2">
      <c r="A741">
        <v>740</v>
      </c>
      <c r="B741">
        <v>65</v>
      </c>
      <c r="C741">
        <v>6</v>
      </c>
      <c r="D741" t="s">
        <v>283</v>
      </c>
      <c r="E741" t="str">
        <f t="shared" si="11"/>
        <v>1206ES03PT</v>
      </c>
      <c r="F741">
        <f>VLOOKUP(B741,Course!$A$2:$R$329,2,FALSE)</f>
        <v>0</v>
      </c>
      <c r="G741">
        <f>VLOOKUP(B741, Course!$A$2:$L$150, 8, FALSE)</f>
        <v>12</v>
      </c>
      <c r="H741">
        <v>3</v>
      </c>
      <c r="I741">
        <v>1</v>
      </c>
      <c r="K741" t="s">
        <v>1581</v>
      </c>
      <c r="L741" t="str">
        <f>VLOOKUP(B741, Course!$A$1:$O$133, 14, FALSE)</f>
        <v>ES</v>
      </c>
      <c r="M741">
        <v>1</v>
      </c>
    </row>
    <row r="742" spans="1:13" x14ac:dyDescent="0.2">
      <c r="A742">
        <v>741</v>
      </c>
      <c r="B742">
        <v>65</v>
      </c>
      <c r="C742">
        <v>7</v>
      </c>
      <c r="D742" t="s">
        <v>283</v>
      </c>
      <c r="E742" t="str">
        <f t="shared" si="11"/>
        <v>1207ES03PT</v>
      </c>
      <c r="F742">
        <f>VLOOKUP(B742,Course!$A$2:$R$329,2,FALSE)</f>
        <v>0</v>
      </c>
      <c r="G742">
        <f>VLOOKUP(B742, Course!$A$2:$L$150, 8, FALSE)</f>
        <v>12</v>
      </c>
      <c r="H742">
        <v>3</v>
      </c>
      <c r="I742">
        <v>1</v>
      </c>
      <c r="K742" t="s">
        <v>1581</v>
      </c>
      <c r="L742" t="str">
        <f>VLOOKUP(B742, Course!$A$1:$O$133, 14, FALSE)</f>
        <v>ES</v>
      </c>
      <c r="M742">
        <v>1</v>
      </c>
    </row>
    <row r="743" spans="1:13" x14ac:dyDescent="0.2">
      <c r="A743">
        <v>742</v>
      </c>
      <c r="B743">
        <v>65</v>
      </c>
      <c r="C743">
        <v>8</v>
      </c>
      <c r="D743" t="s">
        <v>283</v>
      </c>
      <c r="E743" t="str">
        <f t="shared" si="11"/>
        <v>1208ES03PT</v>
      </c>
      <c r="F743">
        <f>VLOOKUP(B743,Course!$A$2:$R$329,2,FALSE)</f>
        <v>0</v>
      </c>
      <c r="G743">
        <f>VLOOKUP(B743, Course!$A$2:$L$150, 8, FALSE)</f>
        <v>12</v>
      </c>
      <c r="H743">
        <v>3</v>
      </c>
      <c r="I743">
        <v>1</v>
      </c>
      <c r="K743" t="s">
        <v>1581</v>
      </c>
      <c r="L743" t="str">
        <f>VLOOKUP(B743, Course!$A$1:$O$133, 14, FALSE)</f>
        <v>ES</v>
      </c>
      <c r="M743">
        <v>1</v>
      </c>
    </row>
    <row r="744" spans="1:13" x14ac:dyDescent="0.2">
      <c r="A744">
        <v>743</v>
      </c>
      <c r="B744">
        <v>65</v>
      </c>
      <c r="C744">
        <v>9</v>
      </c>
      <c r="D744" t="s">
        <v>283</v>
      </c>
      <c r="E744" t="str">
        <f t="shared" si="11"/>
        <v>1209ES03PT</v>
      </c>
      <c r="F744">
        <f>VLOOKUP(B744,Course!$A$2:$R$329,2,FALSE)</f>
        <v>0</v>
      </c>
      <c r="G744">
        <f>VLOOKUP(B744, Course!$A$2:$L$150, 8, FALSE)</f>
        <v>12</v>
      </c>
      <c r="H744">
        <v>3</v>
      </c>
      <c r="I744">
        <v>1</v>
      </c>
      <c r="K744" t="s">
        <v>1581</v>
      </c>
      <c r="L744" t="str">
        <f>VLOOKUP(B744, Course!$A$1:$O$133, 14, FALSE)</f>
        <v>ES</v>
      </c>
      <c r="M744">
        <v>1</v>
      </c>
    </row>
    <row r="745" spans="1:13" x14ac:dyDescent="0.2">
      <c r="A745">
        <v>744</v>
      </c>
      <c r="B745">
        <v>65</v>
      </c>
      <c r="C745">
        <v>10</v>
      </c>
      <c r="D745" t="s">
        <v>283</v>
      </c>
      <c r="E745" t="str">
        <f t="shared" si="11"/>
        <v>1210ES03PT</v>
      </c>
      <c r="F745">
        <f>VLOOKUP(B745,Course!$A$2:$R$329,2,FALSE)</f>
        <v>0</v>
      </c>
      <c r="G745">
        <f>VLOOKUP(B745, Course!$A$2:$L$150, 8, FALSE)</f>
        <v>12</v>
      </c>
      <c r="H745">
        <v>3</v>
      </c>
      <c r="I745">
        <v>1</v>
      </c>
      <c r="K745" t="s">
        <v>1581</v>
      </c>
      <c r="L745" t="str">
        <f>VLOOKUP(B745, Course!$A$1:$O$133, 14, FALSE)</f>
        <v>ES</v>
      </c>
      <c r="M745">
        <v>1</v>
      </c>
    </row>
    <row r="746" spans="1:13" x14ac:dyDescent="0.2">
      <c r="A746">
        <v>745</v>
      </c>
      <c r="B746">
        <v>65</v>
      </c>
      <c r="C746">
        <v>11</v>
      </c>
      <c r="D746" t="s">
        <v>283</v>
      </c>
      <c r="E746" t="str">
        <f t="shared" si="11"/>
        <v>1211ES03PT</v>
      </c>
      <c r="F746">
        <f>VLOOKUP(B746,Course!$A$2:$R$329,2,FALSE)</f>
        <v>0</v>
      </c>
      <c r="G746">
        <f>VLOOKUP(B746, Course!$A$2:$L$150, 8, FALSE)</f>
        <v>12</v>
      </c>
      <c r="H746">
        <v>3</v>
      </c>
      <c r="I746">
        <v>1</v>
      </c>
      <c r="K746" t="s">
        <v>1581</v>
      </c>
      <c r="L746" t="str">
        <f>VLOOKUP(B746, Course!$A$1:$O$133, 14, FALSE)</f>
        <v>ES</v>
      </c>
      <c r="M746">
        <v>1</v>
      </c>
    </row>
    <row r="747" spans="1:13" x14ac:dyDescent="0.2">
      <c r="A747">
        <v>746</v>
      </c>
      <c r="B747">
        <v>65</v>
      </c>
      <c r="C747">
        <v>12</v>
      </c>
      <c r="D747" t="s">
        <v>283</v>
      </c>
      <c r="E747" t="str">
        <f t="shared" si="11"/>
        <v>1212ES03PT</v>
      </c>
      <c r="F747">
        <f>VLOOKUP(B747,Course!$A$2:$R$329,2,FALSE)</f>
        <v>0</v>
      </c>
      <c r="G747">
        <f>VLOOKUP(B747, Course!$A$2:$L$150, 8, FALSE)</f>
        <v>12</v>
      </c>
      <c r="H747">
        <v>3</v>
      </c>
      <c r="I747">
        <v>1</v>
      </c>
      <c r="K747" t="s">
        <v>1581</v>
      </c>
      <c r="L747" t="str">
        <f>VLOOKUP(B747, Course!$A$1:$O$133, 14, FALSE)</f>
        <v>ES</v>
      </c>
      <c r="M747">
        <v>1</v>
      </c>
    </row>
    <row r="748" spans="1:13" x14ac:dyDescent="0.2">
      <c r="A748">
        <v>747</v>
      </c>
      <c r="B748">
        <v>66</v>
      </c>
      <c r="C748">
        <v>97</v>
      </c>
      <c r="D748" t="s">
        <v>300</v>
      </c>
      <c r="E748" t="str">
        <f t="shared" si="11"/>
        <v>1297AA03PT</v>
      </c>
      <c r="F748">
        <f>VLOOKUP(B748,Course!$A$2:$R$329,2,FALSE)</f>
        <v>0</v>
      </c>
      <c r="G748">
        <f>VLOOKUP(B748, Course!$A$2:$L$150, 8, FALSE)</f>
        <v>12</v>
      </c>
      <c r="H748">
        <v>3</v>
      </c>
      <c r="I748">
        <v>1</v>
      </c>
      <c r="K748" t="s">
        <v>1581</v>
      </c>
      <c r="L748" t="str">
        <f>VLOOKUP(B748, Course!$A$1:$O$133, 14, FALSE)</f>
        <v>AA</v>
      </c>
      <c r="M748">
        <v>1</v>
      </c>
    </row>
    <row r="749" spans="1:13" x14ac:dyDescent="0.2">
      <c r="A749">
        <v>748</v>
      </c>
      <c r="B749">
        <v>66</v>
      </c>
      <c r="C749">
        <v>98</v>
      </c>
      <c r="D749" t="s">
        <v>300</v>
      </c>
      <c r="E749" t="str">
        <f t="shared" si="11"/>
        <v>1298AA03PT</v>
      </c>
      <c r="F749">
        <f>VLOOKUP(B749,Course!$A$2:$R$329,2,FALSE)</f>
        <v>0</v>
      </c>
      <c r="G749">
        <f>VLOOKUP(B749, Course!$A$2:$L$150, 8, FALSE)</f>
        <v>12</v>
      </c>
      <c r="H749">
        <v>3</v>
      </c>
      <c r="I749">
        <v>1</v>
      </c>
      <c r="K749" t="s">
        <v>1581</v>
      </c>
      <c r="L749" t="str">
        <f>VLOOKUP(B749, Course!$A$1:$O$133, 14, FALSE)</f>
        <v>AA</v>
      </c>
      <c r="M749">
        <v>1</v>
      </c>
    </row>
    <row r="750" spans="1:13" x14ac:dyDescent="0.2">
      <c r="A750">
        <v>749</v>
      </c>
      <c r="B750">
        <v>66</v>
      </c>
      <c r="C750">
        <v>99</v>
      </c>
      <c r="D750" t="s">
        <v>300</v>
      </c>
      <c r="E750" t="str">
        <f t="shared" si="11"/>
        <v>1299AA03PT</v>
      </c>
      <c r="F750">
        <f>VLOOKUP(B750,Course!$A$2:$R$329,2,FALSE)</f>
        <v>0</v>
      </c>
      <c r="G750">
        <f>VLOOKUP(B750, Course!$A$2:$L$150, 8, FALSE)</f>
        <v>12</v>
      </c>
      <c r="H750">
        <v>3</v>
      </c>
      <c r="I750">
        <v>1</v>
      </c>
      <c r="K750" t="s">
        <v>1581</v>
      </c>
      <c r="L750" t="str">
        <f>VLOOKUP(B750, Course!$A$1:$O$133, 14, FALSE)</f>
        <v>AA</v>
      </c>
      <c r="M750">
        <v>1</v>
      </c>
    </row>
    <row r="751" spans="1:13" x14ac:dyDescent="0.2">
      <c r="A751">
        <v>750</v>
      </c>
      <c r="B751">
        <v>66</v>
      </c>
      <c r="C751">
        <v>100</v>
      </c>
      <c r="D751" t="s">
        <v>300</v>
      </c>
      <c r="E751" t="str">
        <f t="shared" si="11"/>
        <v>1200AA03PT</v>
      </c>
      <c r="F751">
        <f>VLOOKUP(B751,Course!$A$2:$R$329,2,FALSE)</f>
        <v>0</v>
      </c>
      <c r="G751">
        <f>VLOOKUP(B751, Course!$A$2:$L$150, 8, FALSE)</f>
        <v>12</v>
      </c>
      <c r="H751">
        <v>3</v>
      </c>
      <c r="I751">
        <v>1</v>
      </c>
      <c r="K751" t="s">
        <v>1581</v>
      </c>
      <c r="L751" t="str">
        <f>VLOOKUP(B751, Course!$A$1:$O$133, 14, FALSE)</f>
        <v>AA</v>
      </c>
      <c r="M751">
        <v>1</v>
      </c>
    </row>
    <row r="752" spans="1:13" x14ac:dyDescent="0.2">
      <c r="A752">
        <v>751</v>
      </c>
      <c r="B752">
        <v>66</v>
      </c>
      <c r="C752">
        <v>101</v>
      </c>
      <c r="D752" t="s">
        <v>300</v>
      </c>
      <c r="E752" t="str">
        <f t="shared" si="11"/>
        <v>1201AA03PT</v>
      </c>
      <c r="F752">
        <f>VLOOKUP(B752,Course!$A$2:$R$329,2,FALSE)</f>
        <v>0</v>
      </c>
      <c r="G752">
        <f>VLOOKUP(B752, Course!$A$2:$L$150, 8, FALSE)</f>
        <v>12</v>
      </c>
      <c r="H752">
        <v>3</v>
      </c>
      <c r="I752">
        <v>1</v>
      </c>
      <c r="K752" t="s">
        <v>1581</v>
      </c>
      <c r="L752" t="str">
        <f>VLOOKUP(B752, Course!$A$1:$O$133, 14, FALSE)</f>
        <v>AA</v>
      </c>
      <c r="M752">
        <v>1</v>
      </c>
    </row>
    <row r="753" spans="1:13" x14ac:dyDescent="0.2">
      <c r="A753">
        <v>752</v>
      </c>
      <c r="B753">
        <v>66</v>
      </c>
      <c r="C753">
        <v>102</v>
      </c>
      <c r="D753" t="s">
        <v>300</v>
      </c>
      <c r="E753" t="str">
        <f t="shared" si="11"/>
        <v>1202AA03PT</v>
      </c>
      <c r="F753">
        <f>VLOOKUP(B753,Course!$A$2:$R$329,2,FALSE)</f>
        <v>0</v>
      </c>
      <c r="G753">
        <f>VLOOKUP(B753, Course!$A$2:$L$150, 8, FALSE)</f>
        <v>12</v>
      </c>
      <c r="H753">
        <v>3</v>
      </c>
      <c r="I753">
        <v>1</v>
      </c>
      <c r="K753" t="s">
        <v>1581</v>
      </c>
      <c r="L753" t="str">
        <f>VLOOKUP(B753, Course!$A$1:$O$133, 14, FALSE)</f>
        <v>AA</v>
      </c>
      <c r="M753">
        <v>1</v>
      </c>
    </row>
    <row r="754" spans="1:13" x14ac:dyDescent="0.2">
      <c r="A754">
        <v>753</v>
      </c>
      <c r="B754">
        <v>66</v>
      </c>
      <c r="C754">
        <v>103</v>
      </c>
      <c r="D754" t="s">
        <v>300</v>
      </c>
      <c r="E754" t="str">
        <f t="shared" si="11"/>
        <v>1203AA03PT</v>
      </c>
      <c r="F754">
        <f>VLOOKUP(B754,Course!$A$2:$R$329,2,FALSE)</f>
        <v>0</v>
      </c>
      <c r="G754">
        <f>VLOOKUP(B754, Course!$A$2:$L$150, 8, FALSE)</f>
        <v>12</v>
      </c>
      <c r="H754">
        <v>3</v>
      </c>
      <c r="I754">
        <v>1</v>
      </c>
      <c r="K754" t="s">
        <v>1581</v>
      </c>
      <c r="L754" t="str">
        <f>VLOOKUP(B754, Course!$A$1:$O$133, 14, FALSE)</f>
        <v>AA</v>
      </c>
      <c r="M754">
        <v>1</v>
      </c>
    </row>
    <row r="755" spans="1:13" x14ac:dyDescent="0.2">
      <c r="A755">
        <v>754</v>
      </c>
      <c r="B755">
        <v>66</v>
      </c>
      <c r="C755">
        <v>104</v>
      </c>
      <c r="D755" t="s">
        <v>300</v>
      </c>
      <c r="E755" t="str">
        <f t="shared" si="11"/>
        <v>1204AA03PT</v>
      </c>
      <c r="F755">
        <f>VLOOKUP(B755,Course!$A$2:$R$329,2,FALSE)</f>
        <v>0</v>
      </c>
      <c r="G755">
        <f>VLOOKUP(B755, Course!$A$2:$L$150, 8, FALSE)</f>
        <v>12</v>
      </c>
      <c r="H755">
        <v>3</v>
      </c>
      <c r="I755">
        <v>1</v>
      </c>
      <c r="K755" t="s">
        <v>1581</v>
      </c>
      <c r="L755" t="str">
        <f>VLOOKUP(B755, Course!$A$1:$O$133, 14, FALSE)</f>
        <v>AA</v>
      </c>
      <c r="M755">
        <v>1</v>
      </c>
    </row>
    <row r="756" spans="1:13" x14ac:dyDescent="0.2">
      <c r="A756">
        <v>755</v>
      </c>
      <c r="B756">
        <v>66</v>
      </c>
      <c r="C756">
        <v>105</v>
      </c>
      <c r="D756" t="s">
        <v>300</v>
      </c>
      <c r="E756" t="str">
        <f t="shared" si="11"/>
        <v>1205AA03PT</v>
      </c>
      <c r="F756">
        <f>VLOOKUP(B756,Course!$A$2:$R$329,2,FALSE)</f>
        <v>0</v>
      </c>
      <c r="G756">
        <f>VLOOKUP(B756, Course!$A$2:$L$150, 8, FALSE)</f>
        <v>12</v>
      </c>
      <c r="H756">
        <v>3</v>
      </c>
      <c r="I756">
        <v>1</v>
      </c>
      <c r="K756" t="s">
        <v>1581</v>
      </c>
      <c r="L756" t="str">
        <f>VLOOKUP(B756, Course!$A$1:$O$133, 14, FALSE)</f>
        <v>AA</v>
      </c>
      <c r="M756">
        <v>1</v>
      </c>
    </row>
    <row r="757" spans="1:13" x14ac:dyDescent="0.2">
      <c r="A757">
        <v>756</v>
      </c>
      <c r="B757">
        <v>66</v>
      </c>
      <c r="C757">
        <v>106</v>
      </c>
      <c r="D757" t="s">
        <v>300</v>
      </c>
      <c r="E757" t="str">
        <f t="shared" si="11"/>
        <v>1206AA03PT</v>
      </c>
      <c r="F757">
        <f>VLOOKUP(B757,Course!$A$2:$R$329,2,FALSE)</f>
        <v>0</v>
      </c>
      <c r="G757">
        <f>VLOOKUP(B757, Course!$A$2:$L$150, 8, FALSE)</f>
        <v>12</v>
      </c>
      <c r="H757">
        <v>3</v>
      </c>
      <c r="I757">
        <v>1</v>
      </c>
      <c r="K757" t="s">
        <v>1581</v>
      </c>
      <c r="L757" t="str">
        <f>VLOOKUP(B757, Course!$A$1:$O$133, 14, FALSE)</f>
        <v>AA</v>
      </c>
      <c r="M757">
        <v>1</v>
      </c>
    </row>
    <row r="758" spans="1:13" x14ac:dyDescent="0.2">
      <c r="A758">
        <v>757</v>
      </c>
      <c r="B758">
        <v>66</v>
      </c>
      <c r="C758">
        <v>107</v>
      </c>
      <c r="D758" t="s">
        <v>300</v>
      </c>
      <c r="E758" t="str">
        <f t="shared" si="11"/>
        <v>1207AA03PT</v>
      </c>
      <c r="F758">
        <f>VLOOKUP(B758,Course!$A$2:$R$329,2,FALSE)</f>
        <v>0</v>
      </c>
      <c r="G758">
        <f>VLOOKUP(B758, Course!$A$2:$L$150, 8, FALSE)</f>
        <v>12</v>
      </c>
      <c r="H758">
        <v>3</v>
      </c>
      <c r="I758">
        <v>1</v>
      </c>
      <c r="K758" t="s">
        <v>1581</v>
      </c>
      <c r="L758" t="str">
        <f>VLOOKUP(B758, Course!$A$1:$O$133, 14, FALSE)</f>
        <v>AA</v>
      </c>
      <c r="M758">
        <v>1</v>
      </c>
    </row>
    <row r="759" spans="1:13" x14ac:dyDescent="0.2">
      <c r="A759">
        <v>758</v>
      </c>
      <c r="B759">
        <v>66</v>
      </c>
      <c r="C759">
        <v>108</v>
      </c>
      <c r="D759" t="s">
        <v>300</v>
      </c>
      <c r="E759" t="str">
        <f t="shared" si="11"/>
        <v>1208AA03PT</v>
      </c>
      <c r="F759">
        <f>VLOOKUP(B759,Course!$A$2:$R$329,2,FALSE)</f>
        <v>0</v>
      </c>
      <c r="G759">
        <f>VLOOKUP(B759, Course!$A$2:$L$150, 8, FALSE)</f>
        <v>12</v>
      </c>
      <c r="H759">
        <v>3</v>
      </c>
      <c r="I759">
        <v>1</v>
      </c>
      <c r="K759" t="s">
        <v>1581</v>
      </c>
      <c r="L759" t="str">
        <f>VLOOKUP(B759, Course!$A$1:$O$133, 14, FALSE)</f>
        <v>AA</v>
      </c>
      <c r="M759">
        <v>1</v>
      </c>
    </row>
    <row r="760" spans="1:13" x14ac:dyDescent="0.2">
      <c r="A760">
        <v>759</v>
      </c>
      <c r="B760">
        <v>67</v>
      </c>
      <c r="C760">
        <v>1</v>
      </c>
      <c r="D760" t="s">
        <v>302</v>
      </c>
      <c r="E760" t="str">
        <f t="shared" si="11"/>
        <v>1001CA03PT</v>
      </c>
      <c r="F760">
        <f>VLOOKUP(B760,Course!$A$2:$R$329,2,FALSE)</f>
        <v>0</v>
      </c>
      <c r="G760">
        <f>VLOOKUP(B760, Course!$A$2:$L$150, 8, FALSE)</f>
        <v>10</v>
      </c>
      <c r="H760">
        <v>3</v>
      </c>
      <c r="I760">
        <v>1</v>
      </c>
      <c r="K760" t="s">
        <v>1581</v>
      </c>
      <c r="L760" t="str">
        <f>VLOOKUP(B760, Course!$A$1:$O$133, 14, FALSE)</f>
        <v>CA</v>
      </c>
      <c r="M760">
        <v>1</v>
      </c>
    </row>
    <row r="761" spans="1:13" x14ac:dyDescent="0.2">
      <c r="A761">
        <v>760</v>
      </c>
      <c r="B761">
        <v>67</v>
      </c>
      <c r="C761">
        <v>2</v>
      </c>
      <c r="D761" t="s">
        <v>302</v>
      </c>
      <c r="E761" t="str">
        <f t="shared" si="11"/>
        <v>1002CA03PT</v>
      </c>
      <c r="F761">
        <f>VLOOKUP(B761,Course!$A$2:$R$329,2,FALSE)</f>
        <v>0</v>
      </c>
      <c r="G761">
        <f>VLOOKUP(B761, Course!$A$2:$L$150, 8, FALSE)</f>
        <v>10</v>
      </c>
      <c r="H761">
        <v>3</v>
      </c>
      <c r="I761">
        <v>1</v>
      </c>
      <c r="K761" t="s">
        <v>1581</v>
      </c>
      <c r="L761" t="str">
        <f>VLOOKUP(B761, Course!$A$1:$O$133, 14, FALSE)</f>
        <v>CA</v>
      </c>
      <c r="M761">
        <v>1</v>
      </c>
    </row>
    <row r="762" spans="1:13" x14ac:dyDescent="0.2">
      <c r="A762">
        <v>761</v>
      </c>
      <c r="B762">
        <v>67</v>
      </c>
      <c r="C762">
        <v>3</v>
      </c>
      <c r="D762" t="s">
        <v>302</v>
      </c>
      <c r="E762" t="str">
        <f t="shared" si="11"/>
        <v>1003CA03PT</v>
      </c>
      <c r="F762">
        <f>VLOOKUP(B762,Course!$A$2:$R$329,2,FALSE)</f>
        <v>0</v>
      </c>
      <c r="G762">
        <f>VLOOKUP(B762, Course!$A$2:$L$150, 8, FALSE)</f>
        <v>10</v>
      </c>
      <c r="H762">
        <v>3</v>
      </c>
      <c r="I762">
        <v>1</v>
      </c>
      <c r="K762" t="s">
        <v>1581</v>
      </c>
      <c r="L762" t="str">
        <f>VLOOKUP(B762, Course!$A$1:$O$133, 14, FALSE)</f>
        <v>CA</v>
      </c>
      <c r="M762">
        <v>1</v>
      </c>
    </row>
    <row r="763" spans="1:13" x14ac:dyDescent="0.2">
      <c r="A763">
        <v>762</v>
      </c>
      <c r="B763">
        <v>67</v>
      </c>
      <c r="C763">
        <v>4</v>
      </c>
      <c r="D763" t="s">
        <v>302</v>
      </c>
      <c r="E763" t="str">
        <f t="shared" si="11"/>
        <v>1004CA03PT</v>
      </c>
      <c r="F763">
        <f>VLOOKUP(B763,Course!$A$2:$R$329,2,FALSE)</f>
        <v>0</v>
      </c>
      <c r="G763">
        <f>VLOOKUP(B763, Course!$A$2:$L$150, 8, FALSE)</f>
        <v>10</v>
      </c>
      <c r="H763">
        <v>3</v>
      </c>
      <c r="I763">
        <v>1</v>
      </c>
      <c r="K763" t="s">
        <v>1581</v>
      </c>
      <c r="L763" t="str">
        <f>VLOOKUP(B763, Course!$A$1:$O$133, 14, FALSE)</f>
        <v>CA</v>
      </c>
      <c r="M763">
        <v>1</v>
      </c>
    </row>
    <row r="764" spans="1:13" x14ac:dyDescent="0.2">
      <c r="A764">
        <v>763</v>
      </c>
      <c r="B764">
        <v>67</v>
      </c>
      <c r="C764">
        <v>5</v>
      </c>
      <c r="D764" t="s">
        <v>302</v>
      </c>
      <c r="E764" t="str">
        <f t="shared" si="11"/>
        <v>1005CA03PT</v>
      </c>
      <c r="F764">
        <f>VLOOKUP(B764,Course!$A$2:$R$329,2,FALSE)</f>
        <v>0</v>
      </c>
      <c r="G764">
        <f>VLOOKUP(B764, Course!$A$2:$L$150, 8, FALSE)</f>
        <v>10</v>
      </c>
      <c r="H764">
        <v>3</v>
      </c>
      <c r="I764">
        <v>1</v>
      </c>
      <c r="K764" t="s">
        <v>1581</v>
      </c>
      <c r="L764" t="str">
        <f>VLOOKUP(B764, Course!$A$1:$O$133, 14, FALSE)</f>
        <v>CA</v>
      </c>
      <c r="M764">
        <v>1</v>
      </c>
    </row>
    <row r="765" spans="1:13" x14ac:dyDescent="0.2">
      <c r="A765">
        <v>764</v>
      </c>
      <c r="B765">
        <v>67</v>
      </c>
      <c r="C765">
        <v>6</v>
      </c>
      <c r="D765" t="s">
        <v>302</v>
      </c>
      <c r="E765" t="str">
        <f t="shared" si="11"/>
        <v>1006CA03PT</v>
      </c>
      <c r="F765">
        <f>VLOOKUP(B765,Course!$A$2:$R$329,2,FALSE)</f>
        <v>0</v>
      </c>
      <c r="G765">
        <f>VLOOKUP(B765, Course!$A$2:$L$150, 8, FALSE)</f>
        <v>10</v>
      </c>
      <c r="H765">
        <v>3</v>
      </c>
      <c r="I765">
        <v>1</v>
      </c>
      <c r="K765" t="s">
        <v>1581</v>
      </c>
      <c r="L765" t="str">
        <f>VLOOKUP(B765, Course!$A$1:$O$133, 14, FALSE)</f>
        <v>CA</v>
      </c>
      <c r="M765">
        <v>1</v>
      </c>
    </row>
    <row r="766" spans="1:13" x14ac:dyDescent="0.2">
      <c r="A766">
        <v>765</v>
      </c>
      <c r="B766">
        <v>67</v>
      </c>
      <c r="C766">
        <v>7</v>
      </c>
      <c r="D766" t="s">
        <v>302</v>
      </c>
      <c r="E766" t="str">
        <f t="shared" si="11"/>
        <v>1007CA03PT</v>
      </c>
      <c r="F766">
        <f>VLOOKUP(B766,Course!$A$2:$R$329,2,FALSE)</f>
        <v>0</v>
      </c>
      <c r="G766">
        <f>VLOOKUP(B766, Course!$A$2:$L$150, 8, FALSE)</f>
        <v>10</v>
      </c>
      <c r="H766">
        <v>3</v>
      </c>
      <c r="I766">
        <v>1</v>
      </c>
      <c r="K766" t="s">
        <v>1581</v>
      </c>
      <c r="L766" t="str">
        <f>VLOOKUP(B766, Course!$A$1:$O$133, 14, FALSE)</f>
        <v>CA</v>
      </c>
      <c r="M766">
        <v>1</v>
      </c>
    </row>
    <row r="767" spans="1:13" x14ac:dyDescent="0.2">
      <c r="A767">
        <v>766</v>
      </c>
      <c r="B767">
        <v>67</v>
      </c>
      <c r="C767">
        <v>8</v>
      </c>
      <c r="D767" t="s">
        <v>302</v>
      </c>
      <c r="E767" t="str">
        <f t="shared" si="11"/>
        <v>1008CA03PT</v>
      </c>
      <c r="F767">
        <f>VLOOKUP(B767,Course!$A$2:$R$329,2,FALSE)</f>
        <v>0</v>
      </c>
      <c r="G767">
        <f>VLOOKUP(B767, Course!$A$2:$L$150, 8, FALSE)</f>
        <v>10</v>
      </c>
      <c r="H767">
        <v>3</v>
      </c>
      <c r="I767">
        <v>1</v>
      </c>
      <c r="K767" t="s">
        <v>1581</v>
      </c>
      <c r="L767" t="str">
        <f>VLOOKUP(B767, Course!$A$1:$O$133, 14, FALSE)</f>
        <v>CA</v>
      </c>
      <c r="M767">
        <v>1</v>
      </c>
    </row>
    <row r="768" spans="1:13" x14ac:dyDescent="0.2">
      <c r="A768">
        <v>767</v>
      </c>
      <c r="B768">
        <v>67</v>
      </c>
      <c r="C768">
        <v>9</v>
      </c>
      <c r="D768" t="s">
        <v>302</v>
      </c>
      <c r="E768" t="str">
        <f t="shared" si="11"/>
        <v>1009CA03PT</v>
      </c>
      <c r="F768">
        <f>VLOOKUP(B768,Course!$A$2:$R$329,2,FALSE)</f>
        <v>0</v>
      </c>
      <c r="G768">
        <f>VLOOKUP(B768, Course!$A$2:$L$150, 8, FALSE)</f>
        <v>10</v>
      </c>
      <c r="H768">
        <v>3</v>
      </c>
      <c r="I768">
        <v>1</v>
      </c>
      <c r="K768" t="s">
        <v>1581</v>
      </c>
      <c r="L768" t="str">
        <f>VLOOKUP(B768, Course!$A$1:$O$133, 14, FALSE)</f>
        <v>CA</v>
      </c>
      <c r="M768">
        <v>1</v>
      </c>
    </row>
    <row r="769" spans="1:13" x14ac:dyDescent="0.2">
      <c r="A769">
        <v>768</v>
      </c>
      <c r="B769">
        <v>67</v>
      </c>
      <c r="C769">
        <v>10</v>
      </c>
      <c r="D769" t="s">
        <v>302</v>
      </c>
      <c r="E769" t="str">
        <f t="shared" si="11"/>
        <v>1010CA03PT</v>
      </c>
      <c r="F769">
        <f>VLOOKUP(B769,Course!$A$2:$R$329,2,FALSE)</f>
        <v>0</v>
      </c>
      <c r="G769">
        <f>VLOOKUP(B769, Course!$A$2:$L$150, 8, FALSE)</f>
        <v>10</v>
      </c>
      <c r="H769">
        <v>3</v>
      </c>
      <c r="I769">
        <v>1</v>
      </c>
      <c r="K769" t="s">
        <v>1581</v>
      </c>
      <c r="L769" t="str">
        <f>VLOOKUP(B769, Course!$A$1:$O$133, 14, FALSE)</f>
        <v>CA</v>
      </c>
      <c r="M769">
        <v>1</v>
      </c>
    </row>
    <row r="770" spans="1:13" x14ac:dyDescent="0.2">
      <c r="A770">
        <v>769</v>
      </c>
      <c r="B770">
        <v>68</v>
      </c>
      <c r="C770">
        <v>97</v>
      </c>
      <c r="D770" t="s">
        <v>304</v>
      </c>
      <c r="E770" t="str">
        <f t="shared" ref="E770:E829" si="12">UPPER(LEFT(G770,2)) &amp; RIGHT("0" &amp; C770, 2) &amp; D770 &amp; RIGHT("0" &amp; H770, 2) &amp; K770</f>
        <v>1297ET03PT</v>
      </c>
      <c r="F770">
        <f>VLOOKUP(B770,Course!$A$2:$R$329,2,FALSE)</f>
        <v>0</v>
      </c>
      <c r="G770">
        <f>VLOOKUP(B770, Course!$A$2:$L$150, 8, FALSE)</f>
        <v>12</v>
      </c>
      <c r="H770">
        <v>3</v>
      </c>
      <c r="I770">
        <v>1</v>
      </c>
      <c r="K770" t="s">
        <v>1581</v>
      </c>
      <c r="L770" t="str">
        <f>VLOOKUP(B770, Course!$A$1:$O$133, 14, FALSE)</f>
        <v>ET</v>
      </c>
      <c r="M770">
        <v>1</v>
      </c>
    </row>
    <row r="771" spans="1:13" x14ac:dyDescent="0.2">
      <c r="A771">
        <v>770</v>
      </c>
      <c r="B771">
        <v>68</v>
      </c>
      <c r="C771">
        <v>98</v>
      </c>
      <c r="D771" t="s">
        <v>304</v>
      </c>
      <c r="E771" t="str">
        <f t="shared" si="12"/>
        <v>1298ET03PT</v>
      </c>
      <c r="F771">
        <f>VLOOKUP(B771,Course!$A$2:$R$329,2,FALSE)</f>
        <v>0</v>
      </c>
      <c r="G771">
        <f>VLOOKUP(B771, Course!$A$2:$L$150, 8, FALSE)</f>
        <v>12</v>
      </c>
      <c r="H771">
        <v>3</v>
      </c>
      <c r="I771">
        <v>1</v>
      </c>
      <c r="K771" t="s">
        <v>1581</v>
      </c>
      <c r="L771" t="str">
        <f>VLOOKUP(B771, Course!$A$1:$O$133, 14, FALSE)</f>
        <v>ET</v>
      </c>
      <c r="M771">
        <v>1</v>
      </c>
    </row>
    <row r="772" spans="1:13" x14ac:dyDescent="0.2">
      <c r="A772">
        <v>771</v>
      </c>
      <c r="B772">
        <v>68</v>
      </c>
      <c r="C772">
        <v>99</v>
      </c>
      <c r="D772" t="s">
        <v>304</v>
      </c>
      <c r="E772" t="str">
        <f t="shared" si="12"/>
        <v>1299ET03PT</v>
      </c>
      <c r="F772">
        <f>VLOOKUP(B772,Course!$A$2:$R$329,2,FALSE)</f>
        <v>0</v>
      </c>
      <c r="G772">
        <f>VLOOKUP(B772, Course!$A$2:$L$150, 8, FALSE)</f>
        <v>12</v>
      </c>
      <c r="H772">
        <v>3</v>
      </c>
      <c r="I772">
        <v>1</v>
      </c>
      <c r="K772" t="s">
        <v>1581</v>
      </c>
      <c r="L772" t="str">
        <f>VLOOKUP(B772, Course!$A$1:$O$133, 14, FALSE)</f>
        <v>ET</v>
      </c>
      <c r="M772">
        <v>1</v>
      </c>
    </row>
    <row r="773" spans="1:13" x14ac:dyDescent="0.2">
      <c r="A773">
        <v>772</v>
      </c>
      <c r="B773">
        <v>68</v>
      </c>
      <c r="C773">
        <v>100</v>
      </c>
      <c r="D773" t="s">
        <v>304</v>
      </c>
      <c r="E773" t="str">
        <f t="shared" si="12"/>
        <v>1200ET03PT</v>
      </c>
      <c r="F773">
        <f>VLOOKUP(B773,Course!$A$2:$R$329,2,FALSE)</f>
        <v>0</v>
      </c>
      <c r="G773">
        <f>VLOOKUP(B773, Course!$A$2:$L$150, 8, FALSE)</f>
        <v>12</v>
      </c>
      <c r="H773">
        <v>3</v>
      </c>
      <c r="I773">
        <v>1</v>
      </c>
      <c r="K773" t="s">
        <v>1581</v>
      </c>
      <c r="L773" t="str">
        <f>VLOOKUP(B773, Course!$A$1:$O$133, 14, FALSE)</f>
        <v>ET</v>
      </c>
      <c r="M773">
        <v>1</v>
      </c>
    </row>
    <row r="774" spans="1:13" x14ac:dyDescent="0.2">
      <c r="A774">
        <v>773</v>
      </c>
      <c r="B774">
        <v>68</v>
      </c>
      <c r="C774">
        <v>101</v>
      </c>
      <c r="D774" t="s">
        <v>304</v>
      </c>
      <c r="E774" t="str">
        <f t="shared" si="12"/>
        <v>1201ET03PT</v>
      </c>
      <c r="F774">
        <f>VLOOKUP(B774,Course!$A$2:$R$329,2,FALSE)</f>
        <v>0</v>
      </c>
      <c r="G774">
        <f>VLOOKUP(B774, Course!$A$2:$L$150, 8, FALSE)</f>
        <v>12</v>
      </c>
      <c r="H774">
        <v>3</v>
      </c>
      <c r="I774">
        <v>1</v>
      </c>
      <c r="K774" t="s">
        <v>1581</v>
      </c>
      <c r="L774" t="str">
        <f>VLOOKUP(B774, Course!$A$1:$O$133, 14, FALSE)</f>
        <v>ET</v>
      </c>
      <c r="M774">
        <v>1</v>
      </c>
    </row>
    <row r="775" spans="1:13" x14ac:dyDescent="0.2">
      <c r="A775">
        <v>774</v>
      </c>
      <c r="B775">
        <v>68</v>
      </c>
      <c r="C775">
        <v>102</v>
      </c>
      <c r="D775" t="s">
        <v>304</v>
      </c>
      <c r="E775" t="str">
        <f t="shared" si="12"/>
        <v>1202ET03PT</v>
      </c>
      <c r="F775">
        <f>VLOOKUP(B775,Course!$A$2:$R$329,2,FALSE)</f>
        <v>0</v>
      </c>
      <c r="G775">
        <f>VLOOKUP(B775, Course!$A$2:$L$150, 8, FALSE)</f>
        <v>12</v>
      </c>
      <c r="H775">
        <v>3</v>
      </c>
      <c r="I775">
        <v>1</v>
      </c>
      <c r="K775" t="s">
        <v>1581</v>
      </c>
      <c r="L775" t="str">
        <f>VLOOKUP(B775, Course!$A$1:$O$133, 14, FALSE)</f>
        <v>ET</v>
      </c>
      <c r="M775">
        <v>1</v>
      </c>
    </row>
    <row r="776" spans="1:13" x14ac:dyDescent="0.2">
      <c r="A776">
        <v>775</v>
      </c>
      <c r="B776">
        <v>68</v>
      </c>
      <c r="C776">
        <v>103</v>
      </c>
      <c r="D776" t="s">
        <v>304</v>
      </c>
      <c r="E776" t="str">
        <f t="shared" si="12"/>
        <v>1203ET03PT</v>
      </c>
      <c r="F776">
        <f>VLOOKUP(B776,Course!$A$2:$R$329,2,FALSE)</f>
        <v>0</v>
      </c>
      <c r="G776">
        <f>VLOOKUP(B776, Course!$A$2:$L$150, 8, FALSE)</f>
        <v>12</v>
      </c>
      <c r="H776">
        <v>3</v>
      </c>
      <c r="I776">
        <v>1</v>
      </c>
      <c r="K776" t="s">
        <v>1581</v>
      </c>
      <c r="L776" t="str">
        <f>VLOOKUP(B776, Course!$A$1:$O$133, 14, FALSE)</f>
        <v>ET</v>
      </c>
      <c r="M776">
        <v>1</v>
      </c>
    </row>
    <row r="777" spans="1:13" x14ac:dyDescent="0.2">
      <c r="A777">
        <v>776</v>
      </c>
      <c r="B777">
        <v>68</v>
      </c>
      <c r="C777">
        <v>104</v>
      </c>
      <c r="D777" t="s">
        <v>304</v>
      </c>
      <c r="E777" t="str">
        <f t="shared" si="12"/>
        <v>1204ET03PT</v>
      </c>
      <c r="F777">
        <f>VLOOKUP(B777,Course!$A$2:$R$329,2,FALSE)</f>
        <v>0</v>
      </c>
      <c r="G777">
        <f>VLOOKUP(B777, Course!$A$2:$L$150, 8, FALSE)</f>
        <v>12</v>
      </c>
      <c r="H777">
        <v>3</v>
      </c>
      <c r="I777">
        <v>1</v>
      </c>
      <c r="K777" t="s">
        <v>1581</v>
      </c>
      <c r="L777" t="str">
        <f>VLOOKUP(B777, Course!$A$1:$O$133, 14, FALSE)</f>
        <v>ET</v>
      </c>
      <c r="M777">
        <v>1</v>
      </c>
    </row>
    <row r="778" spans="1:13" x14ac:dyDescent="0.2">
      <c r="A778">
        <v>777</v>
      </c>
      <c r="B778">
        <v>68</v>
      </c>
      <c r="C778">
        <v>105</v>
      </c>
      <c r="D778" t="s">
        <v>304</v>
      </c>
      <c r="E778" t="str">
        <f t="shared" si="12"/>
        <v>1205ET03PT</v>
      </c>
      <c r="F778">
        <f>VLOOKUP(B778,Course!$A$2:$R$329,2,FALSE)</f>
        <v>0</v>
      </c>
      <c r="G778">
        <f>VLOOKUP(B778, Course!$A$2:$L$150, 8, FALSE)</f>
        <v>12</v>
      </c>
      <c r="H778">
        <v>3</v>
      </c>
      <c r="I778">
        <v>1</v>
      </c>
      <c r="K778" t="s">
        <v>1581</v>
      </c>
      <c r="L778" t="str">
        <f>VLOOKUP(B778, Course!$A$1:$O$133, 14, FALSE)</f>
        <v>ET</v>
      </c>
      <c r="M778">
        <v>1</v>
      </c>
    </row>
    <row r="779" spans="1:13" x14ac:dyDescent="0.2">
      <c r="A779">
        <v>778</v>
      </c>
      <c r="B779">
        <v>68</v>
      </c>
      <c r="C779">
        <v>106</v>
      </c>
      <c r="D779" t="s">
        <v>304</v>
      </c>
      <c r="E779" t="str">
        <f t="shared" si="12"/>
        <v>1206ET03PT</v>
      </c>
      <c r="F779">
        <f>VLOOKUP(B779,Course!$A$2:$R$329,2,FALSE)</f>
        <v>0</v>
      </c>
      <c r="G779">
        <f>VLOOKUP(B779, Course!$A$2:$L$150, 8, FALSE)</f>
        <v>12</v>
      </c>
      <c r="H779">
        <v>3</v>
      </c>
      <c r="I779">
        <v>1</v>
      </c>
      <c r="K779" t="s">
        <v>1581</v>
      </c>
      <c r="L779" t="str">
        <f>VLOOKUP(B779, Course!$A$1:$O$133, 14, FALSE)</f>
        <v>ET</v>
      </c>
      <c r="M779">
        <v>1</v>
      </c>
    </row>
    <row r="780" spans="1:13" x14ac:dyDescent="0.2">
      <c r="A780">
        <v>779</v>
      </c>
      <c r="B780">
        <v>68</v>
      </c>
      <c r="C780">
        <v>107</v>
      </c>
      <c r="D780" t="s">
        <v>304</v>
      </c>
      <c r="E780" t="str">
        <f t="shared" si="12"/>
        <v>1207ET03PT</v>
      </c>
      <c r="F780">
        <f>VLOOKUP(B780,Course!$A$2:$R$329,2,FALSE)</f>
        <v>0</v>
      </c>
      <c r="G780">
        <f>VLOOKUP(B780, Course!$A$2:$L$150, 8, FALSE)</f>
        <v>12</v>
      </c>
      <c r="H780">
        <v>3</v>
      </c>
      <c r="I780">
        <v>1</v>
      </c>
      <c r="K780" t="s">
        <v>1581</v>
      </c>
      <c r="L780" t="str">
        <f>VLOOKUP(B780, Course!$A$1:$O$133, 14, FALSE)</f>
        <v>ET</v>
      </c>
      <c r="M780">
        <v>1</v>
      </c>
    </row>
    <row r="781" spans="1:13" x14ac:dyDescent="0.2">
      <c r="A781">
        <v>780</v>
      </c>
      <c r="B781">
        <v>68</v>
      </c>
      <c r="C781">
        <v>108</v>
      </c>
      <c r="D781" t="s">
        <v>304</v>
      </c>
      <c r="E781" t="str">
        <f t="shared" si="12"/>
        <v>1208ET03PT</v>
      </c>
      <c r="F781">
        <f>VLOOKUP(B781,Course!$A$2:$R$329,2,FALSE)</f>
        <v>0</v>
      </c>
      <c r="G781">
        <f>VLOOKUP(B781, Course!$A$2:$L$150, 8, FALSE)</f>
        <v>12</v>
      </c>
      <c r="H781">
        <v>3</v>
      </c>
      <c r="I781">
        <v>1</v>
      </c>
      <c r="K781" t="s">
        <v>1581</v>
      </c>
      <c r="L781" t="str">
        <f>VLOOKUP(B781, Course!$A$1:$O$133, 14, FALSE)</f>
        <v>ET</v>
      </c>
      <c r="M781">
        <v>1</v>
      </c>
    </row>
    <row r="782" spans="1:13" x14ac:dyDescent="0.2">
      <c r="A782">
        <v>781</v>
      </c>
      <c r="B782">
        <v>69</v>
      </c>
      <c r="C782">
        <v>1</v>
      </c>
      <c r="D782" t="s">
        <v>306</v>
      </c>
      <c r="E782" t="str">
        <f t="shared" si="12"/>
        <v>601MU03PT</v>
      </c>
      <c r="F782">
        <f>VLOOKUP(B782,Course!$A$2:$R$329,2,FALSE)</f>
        <v>0</v>
      </c>
      <c r="G782">
        <f>VLOOKUP(B782, Course!$A$2:$L$150, 8, FALSE)</f>
        <v>6</v>
      </c>
      <c r="H782">
        <v>3</v>
      </c>
      <c r="I782">
        <v>1</v>
      </c>
      <c r="K782" t="s">
        <v>1581</v>
      </c>
      <c r="L782" t="str">
        <f>VLOOKUP(B782, Course!$A$1:$O$133, 14, FALSE)</f>
        <v>MU</v>
      </c>
      <c r="M782">
        <v>1</v>
      </c>
    </row>
    <row r="783" spans="1:13" x14ac:dyDescent="0.2">
      <c r="A783">
        <v>782</v>
      </c>
      <c r="B783">
        <v>69</v>
      </c>
      <c r="C783">
        <v>2</v>
      </c>
      <c r="D783" t="s">
        <v>306</v>
      </c>
      <c r="E783" t="str">
        <f t="shared" si="12"/>
        <v>602MU03PT</v>
      </c>
      <c r="F783">
        <f>VLOOKUP(B783,Course!$A$2:$R$329,2,FALSE)</f>
        <v>0</v>
      </c>
      <c r="G783">
        <f>VLOOKUP(B783, Course!$A$2:$L$150, 8, FALSE)</f>
        <v>6</v>
      </c>
      <c r="H783">
        <v>3</v>
      </c>
      <c r="I783">
        <v>1</v>
      </c>
      <c r="K783" t="s">
        <v>1581</v>
      </c>
      <c r="L783" t="str">
        <f>VLOOKUP(B783, Course!$A$1:$O$133, 14, FALSE)</f>
        <v>MU</v>
      </c>
      <c r="M783">
        <v>1</v>
      </c>
    </row>
    <row r="784" spans="1:13" x14ac:dyDescent="0.2">
      <c r="A784">
        <v>783</v>
      </c>
      <c r="B784">
        <v>69</v>
      </c>
      <c r="C784">
        <v>3</v>
      </c>
      <c r="D784" t="s">
        <v>306</v>
      </c>
      <c r="E784" t="str">
        <f t="shared" si="12"/>
        <v>603MU03PT</v>
      </c>
      <c r="F784">
        <f>VLOOKUP(B784,Course!$A$2:$R$329,2,FALSE)</f>
        <v>0</v>
      </c>
      <c r="G784">
        <f>VLOOKUP(B784, Course!$A$2:$L$150, 8, FALSE)</f>
        <v>6</v>
      </c>
      <c r="H784">
        <v>3</v>
      </c>
      <c r="I784">
        <v>1</v>
      </c>
      <c r="K784" t="s">
        <v>1581</v>
      </c>
      <c r="L784" t="str">
        <f>VLOOKUP(B784, Course!$A$1:$O$133, 14, FALSE)</f>
        <v>MU</v>
      </c>
      <c r="M784">
        <v>1</v>
      </c>
    </row>
    <row r="785" spans="1:13" x14ac:dyDescent="0.2">
      <c r="A785">
        <v>784</v>
      </c>
      <c r="B785">
        <v>69</v>
      </c>
      <c r="C785">
        <v>4</v>
      </c>
      <c r="D785" t="s">
        <v>306</v>
      </c>
      <c r="E785" t="str">
        <f t="shared" si="12"/>
        <v>604MU03PT</v>
      </c>
      <c r="F785">
        <f>VLOOKUP(B785,Course!$A$2:$R$329,2,FALSE)</f>
        <v>0</v>
      </c>
      <c r="G785">
        <f>VLOOKUP(B785, Course!$A$2:$L$150, 8, FALSE)</f>
        <v>6</v>
      </c>
      <c r="H785">
        <v>3</v>
      </c>
      <c r="I785">
        <v>1</v>
      </c>
      <c r="K785" t="s">
        <v>1581</v>
      </c>
      <c r="L785" t="str">
        <f>VLOOKUP(B785, Course!$A$1:$O$133, 14, FALSE)</f>
        <v>MU</v>
      </c>
      <c r="M785">
        <v>1</v>
      </c>
    </row>
    <row r="786" spans="1:13" x14ac:dyDescent="0.2">
      <c r="A786">
        <v>785</v>
      </c>
      <c r="B786">
        <v>69</v>
      </c>
      <c r="C786">
        <v>5</v>
      </c>
      <c r="D786" t="s">
        <v>306</v>
      </c>
      <c r="E786" t="str">
        <f t="shared" si="12"/>
        <v>605MU03PT</v>
      </c>
      <c r="F786">
        <f>VLOOKUP(B786,Course!$A$2:$R$329,2,FALSE)</f>
        <v>0</v>
      </c>
      <c r="G786">
        <f>VLOOKUP(B786, Course!$A$2:$L$150, 8, FALSE)</f>
        <v>6</v>
      </c>
      <c r="H786">
        <v>3</v>
      </c>
      <c r="I786">
        <v>1</v>
      </c>
      <c r="K786" t="s">
        <v>1581</v>
      </c>
      <c r="L786" t="str">
        <f>VLOOKUP(B786, Course!$A$1:$O$133, 14, FALSE)</f>
        <v>MU</v>
      </c>
      <c r="M786">
        <v>1</v>
      </c>
    </row>
    <row r="787" spans="1:13" x14ac:dyDescent="0.2">
      <c r="A787">
        <v>786</v>
      </c>
      <c r="B787">
        <v>69</v>
      </c>
      <c r="C787">
        <v>6</v>
      </c>
      <c r="D787" t="s">
        <v>306</v>
      </c>
      <c r="E787" t="str">
        <f t="shared" si="12"/>
        <v>606MU03PT</v>
      </c>
      <c r="F787">
        <f>VLOOKUP(B787,Course!$A$2:$R$329,2,FALSE)</f>
        <v>0</v>
      </c>
      <c r="G787">
        <f>VLOOKUP(B787, Course!$A$2:$L$150, 8, FALSE)</f>
        <v>6</v>
      </c>
      <c r="H787">
        <v>3</v>
      </c>
      <c r="I787">
        <v>1</v>
      </c>
      <c r="K787" t="s">
        <v>1581</v>
      </c>
      <c r="L787" t="str">
        <f>VLOOKUP(B787, Course!$A$1:$O$133, 14, FALSE)</f>
        <v>MU</v>
      </c>
      <c r="M787">
        <v>1</v>
      </c>
    </row>
    <row r="788" spans="1:13" x14ac:dyDescent="0.2">
      <c r="A788">
        <v>787</v>
      </c>
      <c r="B788">
        <v>70</v>
      </c>
      <c r="C788">
        <v>5</v>
      </c>
      <c r="D788" t="s">
        <v>308</v>
      </c>
      <c r="E788" t="str">
        <f t="shared" si="12"/>
        <v>205MT03PT</v>
      </c>
      <c r="F788">
        <f>VLOOKUP(B788,Course!$A$2:$R$329,2,FALSE)</f>
        <v>0</v>
      </c>
      <c r="G788">
        <f>VLOOKUP(B788, Course!$A$2:$L$150, 8, FALSE)</f>
        <v>2</v>
      </c>
      <c r="H788">
        <v>3</v>
      </c>
      <c r="I788">
        <v>1</v>
      </c>
      <c r="K788" t="s">
        <v>1581</v>
      </c>
      <c r="L788" t="str">
        <f>VLOOKUP(B788, Course!$A$1:$O$133, 14, FALSE)</f>
        <v>MT</v>
      </c>
      <c r="M788">
        <v>1</v>
      </c>
    </row>
    <row r="789" spans="1:13" x14ac:dyDescent="0.2">
      <c r="A789">
        <v>788</v>
      </c>
      <c r="B789">
        <v>70</v>
      </c>
      <c r="C789">
        <v>6</v>
      </c>
      <c r="D789" t="s">
        <v>308</v>
      </c>
      <c r="E789" t="str">
        <f t="shared" si="12"/>
        <v>206MT03PT</v>
      </c>
      <c r="F789">
        <f>VLOOKUP(B789,Course!$A$2:$R$329,2,FALSE)</f>
        <v>0</v>
      </c>
      <c r="G789">
        <f>VLOOKUP(B789, Course!$A$2:$L$150, 8, FALSE)</f>
        <v>2</v>
      </c>
      <c r="H789">
        <v>3</v>
      </c>
      <c r="I789">
        <v>1</v>
      </c>
      <c r="K789" t="s">
        <v>1581</v>
      </c>
      <c r="L789" t="str">
        <f>VLOOKUP(B789, Course!$A$1:$O$133, 14, FALSE)</f>
        <v>MT</v>
      </c>
      <c r="M789">
        <v>1</v>
      </c>
    </row>
    <row r="790" spans="1:13" x14ac:dyDescent="0.2">
      <c r="A790">
        <v>789</v>
      </c>
      <c r="B790">
        <v>71</v>
      </c>
      <c r="C790">
        <v>5</v>
      </c>
      <c r="D790" t="s">
        <v>308</v>
      </c>
      <c r="E790" t="str">
        <f t="shared" si="12"/>
        <v>205MT03PT</v>
      </c>
      <c r="F790">
        <f>VLOOKUP(B790,Course!$A$2:$R$329,2,FALSE)</f>
        <v>0</v>
      </c>
      <c r="G790">
        <f>VLOOKUP(B790, Course!$A$2:$L$150, 8, FALSE)</f>
        <v>2</v>
      </c>
      <c r="H790">
        <v>3</v>
      </c>
      <c r="I790">
        <v>1</v>
      </c>
      <c r="K790" t="s">
        <v>1581</v>
      </c>
      <c r="L790" t="str">
        <f>VLOOKUP(B790, Course!$A$1:$O$133, 14, FALSE)</f>
        <v>MT</v>
      </c>
      <c r="M790">
        <v>1</v>
      </c>
    </row>
    <row r="791" spans="1:13" x14ac:dyDescent="0.2">
      <c r="A791">
        <v>790</v>
      </c>
      <c r="B791">
        <v>71</v>
      </c>
      <c r="C791">
        <v>6</v>
      </c>
      <c r="D791" t="s">
        <v>308</v>
      </c>
      <c r="E791" t="str">
        <f t="shared" si="12"/>
        <v>206MT03PT</v>
      </c>
      <c r="F791">
        <f>VLOOKUP(B791,Course!$A$2:$R$329,2,FALSE)</f>
        <v>0</v>
      </c>
      <c r="G791">
        <f>VLOOKUP(B791, Course!$A$2:$L$150, 8, FALSE)</f>
        <v>2</v>
      </c>
      <c r="H791">
        <v>3</v>
      </c>
      <c r="I791">
        <v>1</v>
      </c>
      <c r="K791" t="s">
        <v>1581</v>
      </c>
      <c r="L791" t="str">
        <f>VLOOKUP(B791, Course!$A$1:$O$133, 14, FALSE)</f>
        <v>MT</v>
      </c>
      <c r="M791">
        <v>1</v>
      </c>
    </row>
    <row r="792" spans="1:13" x14ac:dyDescent="0.2">
      <c r="A792">
        <v>791</v>
      </c>
      <c r="B792">
        <v>72</v>
      </c>
      <c r="C792">
        <v>1</v>
      </c>
      <c r="D792" t="s">
        <v>312</v>
      </c>
      <c r="E792" t="str">
        <f t="shared" si="12"/>
        <v>601SP03PT</v>
      </c>
      <c r="F792">
        <f>VLOOKUP(B792,Course!$A$2:$R$329,2,FALSE)</f>
        <v>0</v>
      </c>
      <c r="G792">
        <f>VLOOKUP(B792, Course!$A$2:$L$150, 8, FALSE)</f>
        <v>6</v>
      </c>
      <c r="H792">
        <v>3</v>
      </c>
      <c r="I792">
        <v>1</v>
      </c>
      <c r="K792" t="s">
        <v>1581</v>
      </c>
      <c r="L792" t="str">
        <f>VLOOKUP(B792, Course!$A$1:$O$133, 14, FALSE)</f>
        <v>SP</v>
      </c>
      <c r="M792">
        <v>1</v>
      </c>
    </row>
    <row r="793" spans="1:13" x14ac:dyDescent="0.2">
      <c r="A793">
        <v>792</v>
      </c>
      <c r="B793">
        <v>72</v>
      </c>
      <c r="C793">
        <v>2</v>
      </c>
      <c r="D793" t="s">
        <v>312</v>
      </c>
      <c r="E793" t="str">
        <f t="shared" si="12"/>
        <v>602SP03PT</v>
      </c>
      <c r="F793">
        <f>VLOOKUP(B793,Course!$A$2:$R$329,2,FALSE)</f>
        <v>0</v>
      </c>
      <c r="G793">
        <f>VLOOKUP(B793, Course!$A$2:$L$150, 8, FALSE)</f>
        <v>6</v>
      </c>
      <c r="H793">
        <v>3</v>
      </c>
      <c r="I793">
        <v>1</v>
      </c>
      <c r="K793" t="s">
        <v>1581</v>
      </c>
      <c r="L793" t="str">
        <f>VLOOKUP(B793, Course!$A$1:$O$133, 14, FALSE)</f>
        <v>SP</v>
      </c>
      <c r="M793">
        <v>1</v>
      </c>
    </row>
    <row r="794" spans="1:13" x14ac:dyDescent="0.2">
      <c r="A794">
        <v>793</v>
      </c>
      <c r="B794">
        <v>72</v>
      </c>
      <c r="C794">
        <v>3</v>
      </c>
      <c r="D794" t="s">
        <v>312</v>
      </c>
      <c r="E794" t="str">
        <f t="shared" si="12"/>
        <v>603SP03PT</v>
      </c>
      <c r="F794">
        <f>VLOOKUP(B794,Course!$A$2:$R$329,2,FALSE)</f>
        <v>0</v>
      </c>
      <c r="G794">
        <f>VLOOKUP(B794, Course!$A$2:$L$150, 8, FALSE)</f>
        <v>6</v>
      </c>
      <c r="H794">
        <v>3</v>
      </c>
      <c r="I794">
        <v>1</v>
      </c>
      <c r="K794" t="s">
        <v>1581</v>
      </c>
      <c r="L794" t="str">
        <f>VLOOKUP(B794, Course!$A$1:$O$133, 14, FALSE)</f>
        <v>SP</v>
      </c>
      <c r="M794">
        <v>1</v>
      </c>
    </row>
    <row r="795" spans="1:13" x14ac:dyDescent="0.2">
      <c r="A795">
        <v>794</v>
      </c>
      <c r="B795">
        <v>72</v>
      </c>
      <c r="C795">
        <v>4</v>
      </c>
      <c r="D795" t="s">
        <v>312</v>
      </c>
      <c r="E795" t="str">
        <f t="shared" si="12"/>
        <v>604SP03PT</v>
      </c>
      <c r="F795">
        <f>VLOOKUP(B795,Course!$A$2:$R$329,2,FALSE)</f>
        <v>0</v>
      </c>
      <c r="G795">
        <f>VLOOKUP(B795, Course!$A$2:$L$150, 8, FALSE)</f>
        <v>6</v>
      </c>
      <c r="H795">
        <v>3</v>
      </c>
      <c r="I795">
        <v>1</v>
      </c>
      <c r="K795" t="s">
        <v>1581</v>
      </c>
      <c r="L795" t="str">
        <f>VLOOKUP(B795, Course!$A$1:$O$133, 14, FALSE)</f>
        <v>SP</v>
      </c>
      <c r="M795">
        <v>1</v>
      </c>
    </row>
    <row r="796" spans="1:13" x14ac:dyDescent="0.2">
      <c r="A796">
        <v>795</v>
      </c>
      <c r="B796">
        <v>72</v>
      </c>
      <c r="C796">
        <v>5</v>
      </c>
      <c r="D796" t="s">
        <v>312</v>
      </c>
      <c r="E796" t="str">
        <f t="shared" si="12"/>
        <v>605SP03PT</v>
      </c>
      <c r="F796">
        <f>VLOOKUP(B796,Course!$A$2:$R$329,2,FALSE)</f>
        <v>0</v>
      </c>
      <c r="G796">
        <f>VLOOKUP(B796, Course!$A$2:$L$150, 8, FALSE)</f>
        <v>6</v>
      </c>
      <c r="H796">
        <v>3</v>
      </c>
      <c r="I796">
        <v>1</v>
      </c>
      <c r="K796" t="s">
        <v>1581</v>
      </c>
      <c r="L796" t="str">
        <f>VLOOKUP(B796, Course!$A$1:$O$133, 14, FALSE)</f>
        <v>SP</v>
      </c>
      <c r="M796">
        <v>1</v>
      </c>
    </row>
    <row r="797" spans="1:13" x14ac:dyDescent="0.2">
      <c r="A797">
        <v>796</v>
      </c>
      <c r="B797">
        <v>72</v>
      </c>
      <c r="C797">
        <v>6</v>
      </c>
      <c r="D797" t="s">
        <v>312</v>
      </c>
      <c r="E797" t="str">
        <f t="shared" si="12"/>
        <v>606SP03PT</v>
      </c>
      <c r="F797">
        <f>VLOOKUP(B797,Course!$A$2:$R$329,2,FALSE)</f>
        <v>0</v>
      </c>
      <c r="G797">
        <f>VLOOKUP(B797, Course!$A$2:$L$150, 8, FALSE)</f>
        <v>6</v>
      </c>
      <c r="H797">
        <v>3</v>
      </c>
      <c r="I797">
        <v>1</v>
      </c>
      <c r="K797" t="s">
        <v>1581</v>
      </c>
      <c r="L797" t="str">
        <f>VLOOKUP(B797, Course!$A$1:$O$133, 14, FALSE)</f>
        <v>SP</v>
      </c>
      <c r="M797">
        <v>1</v>
      </c>
    </row>
    <row r="798" spans="1:13" x14ac:dyDescent="0.2">
      <c r="A798">
        <v>797</v>
      </c>
      <c r="B798">
        <v>73</v>
      </c>
      <c r="C798">
        <v>1</v>
      </c>
      <c r="D798" t="s">
        <v>314</v>
      </c>
      <c r="E798" t="str">
        <f t="shared" si="12"/>
        <v>401I903PT</v>
      </c>
      <c r="F798">
        <f>VLOOKUP(B798,Course!$A$2:$R$329,2,FALSE)</f>
        <v>0</v>
      </c>
      <c r="G798">
        <f>VLOOKUP(B798, Course!$A$2:$L$150, 8, FALSE)</f>
        <v>4</v>
      </c>
      <c r="H798">
        <v>3</v>
      </c>
      <c r="I798">
        <v>1</v>
      </c>
      <c r="K798" t="s">
        <v>1581</v>
      </c>
      <c r="L798" t="str">
        <f>VLOOKUP(B798, Course!$A$1:$O$133, 14, FALSE)</f>
        <v>I9</v>
      </c>
      <c r="M798">
        <v>1</v>
      </c>
    </row>
    <row r="799" spans="1:13" x14ac:dyDescent="0.2">
      <c r="A799">
        <v>798</v>
      </c>
      <c r="B799">
        <v>73</v>
      </c>
      <c r="C799">
        <v>2</v>
      </c>
      <c r="D799" t="s">
        <v>314</v>
      </c>
      <c r="E799" t="str">
        <f t="shared" si="12"/>
        <v>402I903PT</v>
      </c>
      <c r="F799">
        <f>VLOOKUP(B799,Course!$A$2:$R$329,2,FALSE)</f>
        <v>0</v>
      </c>
      <c r="G799">
        <f>VLOOKUP(B799, Course!$A$2:$L$150, 8, FALSE)</f>
        <v>4</v>
      </c>
      <c r="H799">
        <v>3</v>
      </c>
      <c r="I799">
        <v>1</v>
      </c>
      <c r="K799" t="s">
        <v>1581</v>
      </c>
      <c r="L799" t="str">
        <f>VLOOKUP(B799, Course!$A$1:$O$133, 14, FALSE)</f>
        <v>I9</v>
      </c>
      <c r="M799">
        <v>1</v>
      </c>
    </row>
    <row r="800" spans="1:13" x14ac:dyDescent="0.2">
      <c r="A800">
        <v>799</v>
      </c>
      <c r="B800">
        <v>73</v>
      </c>
      <c r="C800">
        <v>3</v>
      </c>
      <c r="D800" t="s">
        <v>314</v>
      </c>
      <c r="E800" t="str">
        <f t="shared" si="12"/>
        <v>403I903PT</v>
      </c>
      <c r="F800">
        <f>VLOOKUP(B800,Course!$A$2:$R$329,2,FALSE)</f>
        <v>0</v>
      </c>
      <c r="G800">
        <f>VLOOKUP(B800, Course!$A$2:$L$150, 8, FALSE)</f>
        <v>4</v>
      </c>
      <c r="H800">
        <v>3</v>
      </c>
      <c r="I800">
        <v>1</v>
      </c>
      <c r="K800" t="s">
        <v>1581</v>
      </c>
      <c r="L800" t="str">
        <f>VLOOKUP(B800, Course!$A$1:$O$133, 14, FALSE)</f>
        <v>I9</v>
      </c>
      <c r="M800">
        <v>1</v>
      </c>
    </row>
    <row r="801" spans="1:13" x14ac:dyDescent="0.2">
      <c r="A801">
        <v>800</v>
      </c>
      <c r="B801">
        <v>73</v>
      </c>
      <c r="C801">
        <v>4</v>
      </c>
      <c r="D801" t="s">
        <v>314</v>
      </c>
      <c r="E801" t="str">
        <f t="shared" si="12"/>
        <v>404I903PT</v>
      </c>
      <c r="F801">
        <f>VLOOKUP(B801,Course!$A$2:$R$329,2,FALSE)</f>
        <v>0</v>
      </c>
      <c r="G801">
        <f>VLOOKUP(B801, Course!$A$2:$L$150, 8, FALSE)</f>
        <v>4</v>
      </c>
      <c r="H801">
        <v>3</v>
      </c>
      <c r="I801">
        <v>1</v>
      </c>
      <c r="K801" t="s">
        <v>1581</v>
      </c>
      <c r="L801" t="str">
        <f>VLOOKUP(B801, Course!$A$1:$O$133, 14, FALSE)</f>
        <v>I9</v>
      </c>
      <c r="M801">
        <v>1</v>
      </c>
    </row>
    <row r="802" spans="1:13" x14ac:dyDescent="0.2">
      <c r="A802">
        <v>801</v>
      </c>
      <c r="B802">
        <v>73</v>
      </c>
      <c r="C802">
        <v>98</v>
      </c>
      <c r="D802" t="s">
        <v>227</v>
      </c>
      <c r="E802" t="str">
        <f t="shared" si="12"/>
        <v>498LC03PT</v>
      </c>
      <c r="F802">
        <f>VLOOKUP(B802,Course!$A$2:$R$329,2,FALSE)</f>
        <v>0</v>
      </c>
      <c r="G802">
        <f>VLOOKUP(B802, Course!$A$2:$L$150, 8, FALSE)</f>
        <v>4</v>
      </c>
      <c r="H802">
        <v>3</v>
      </c>
      <c r="I802">
        <v>1</v>
      </c>
      <c r="K802" t="s">
        <v>1581</v>
      </c>
      <c r="L802" t="str">
        <f>VLOOKUP(B802, Course!$A$1:$O$133, 14, FALSE)</f>
        <v>I9</v>
      </c>
      <c r="M802">
        <v>1</v>
      </c>
    </row>
    <row r="803" spans="1:13" x14ac:dyDescent="0.2">
      <c r="A803">
        <v>802</v>
      </c>
      <c r="B803">
        <v>48</v>
      </c>
      <c r="C803">
        <v>73</v>
      </c>
      <c r="D803" t="s">
        <v>227</v>
      </c>
      <c r="E803" t="str">
        <f t="shared" si="12"/>
        <v>1273LC03PT</v>
      </c>
      <c r="F803">
        <f>VLOOKUP(B803,Course!$A$2:$R$329,2,FALSE)</f>
        <v>0</v>
      </c>
      <c r="G803">
        <f>VLOOKUP(B803, Course!$A$2:$L$150, 8, FALSE)</f>
        <v>12</v>
      </c>
      <c r="H803">
        <v>3</v>
      </c>
      <c r="I803">
        <v>1</v>
      </c>
      <c r="K803" t="s">
        <v>1581</v>
      </c>
      <c r="L803" t="str">
        <f>VLOOKUP(B803, Course!$A$1:$O$133, 14, FALSE)</f>
        <v>LC</v>
      </c>
      <c r="M803">
        <v>1</v>
      </c>
    </row>
    <row r="804" spans="1:13" x14ac:dyDescent="0.2">
      <c r="A804">
        <v>803</v>
      </c>
      <c r="B804">
        <v>73</v>
      </c>
      <c r="C804">
        <v>100</v>
      </c>
      <c r="D804" t="s">
        <v>227</v>
      </c>
      <c r="E804" t="str">
        <f t="shared" si="12"/>
        <v>400LC03PT</v>
      </c>
      <c r="F804">
        <f>VLOOKUP(B804,Course!$A$2:$R$329,2,FALSE)</f>
        <v>0</v>
      </c>
      <c r="G804">
        <f>VLOOKUP(B804, Course!$A$2:$L$150, 8, FALSE)</f>
        <v>4</v>
      </c>
      <c r="H804">
        <v>3</v>
      </c>
      <c r="I804">
        <v>1</v>
      </c>
      <c r="K804" t="s">
        <v>1581</v>
      </c>
      <c r="L804" t="str">
        <f>VLOOKUP(B804, Course!$A$1:$O$133, 14, FALSE)</f>
        <v>I9</v>
      </c>
      <c r="M804">
        <v>1</v>
      </c>
    </row>
    <row r="805" spans="1:13" x14ac:dyDescent="0.2">
      <c r="A805">
        <v>805</v>
      </c>
      <c r="B805">
        <v>73</v>
      </c>
      <c r="C805">
        <v>102</v>
      </c>
      <c r="D805" t="s">
        <v>227</v>
      </c>
      <c r="E805" t="str">
        <f t="shared" si="12"/>
        <v>402LC03PT</v>
      </c>
      <c r="F805">
        <f>VLOOKUP(B805,Course!$A$2:$R$329,2,FALSE)</f>
        <v>0</v>
      </c>
      <c r="G805">
        <f>VLOOKUP(B805, Course!$A$2:$L$150, 8, FALSE)</f>
        <v>4</v>
      </c>
      <c r="H805">
        <v>3</v>
      </c>
      <c r="I805">
        <v>1</v>
      </c>
      <c r="K805" t="s">
        <v>1581</v>
      </c>
      <c r="L805" t="str">
        <f>VLOOKUP(B805, Course!$A$1:$O$133, 14, FALSE)</f>
        <v>I9</v>
      </c>
      <c r="M805">
        <v>1</v>
      </c>
    </row>
    <row r="806" spans="1:13" x14ac:dyDescent="0.2">
      <c r="A806">
        <v>807</v>
      </c>
      <c r="B806">
        <v>73</v>
      </c>
      <c r="C806">
        <v>104</v>
      </c>
      <c r="D806" t="s">
        <v>227</v>
      </c>
      <c r="E806" t="str">
        <f t="shared" si="12"/>
        <v>404LC03PT</v>
      </c>
      <c r="F806">
        <f>VLOOKUP(B806,Course!$A$2:$R$329,2,FALSE)</f>
        <v>0</v>
      </c>
      <c r="G806">
        <f>VLOOKUP(B806, Course!$A$2:$L$150, 8, FALSE)</f>
        <v>4</v>
      </c>
      <c r="H806">
        <v>3</v>
      </c>
      <c r="I806">
        <v>1</v>
      </c>
      <c r="K806" t="s">
        <v>1581</v>
      </c>
      <c r="L806" t="str">
        <f>VLOOKUP(B806, Course!$A$1:$O$133, 14, FALSE)</f>
        <v>I9</v>
      </c>
      <c r="M806">
        <v>1</v>
      </c>
    </row>
    <row r="807" spans="1:13" x14ac:dyDescent="0.2">
      <c r="A807">
        <v>809</v>
      </c>
      <c r="B807">
        <v>73</v>
      </c>
      <c r="C807">
        <v>106</v>
      </c>
      <c r="D807" t="s">
        <v>227</v>
      </c>
      <c r="E807" t="str">
        <f t="shared" si="12"/>
        <v>406LC03PT</v>
      </c>
      <c r="F807">
        <f>VLOOKUP(B807,Course!$A$2:$R$329,2,FALSE)</f>
        <v>0</v>
      </c>
      <c r="G807">
        <f>VLOOKUP(B807, Course!$A$2:$L$150, 8, FALSE)</f>
        <v>4</v>
      </c>
      <c r="H807">
        <v>3</v>
      </c>
      <c r="I807">
        <v>1</v>
      </c>
      <c r="K807" t="s">
        <v>1581</v>
      </c>
      <c r="L807" t="str">
        <f>VLOOKUP(B807, Course!$A$1:$O$133, 14, FALSE)</f>
        <v>I9</v>
      </c>
      <c r="M807">
        <v>1</v>
      </c>
    </row>
    <row r="808" spans="1:13" x14ac:dyDescent="0.2">
      <c r="A808">
        <v>811</v>
      </c>
      <c r="B808">
        <v>73</v>
      </c>
      <c r="C808">
        <v>108</v>
      </c>
      <c r="D808" t="s">
        <v>227</v>
      </c>
      <c r="E808" t="str">
        <f t="shared" si="12"/>
        <v>408LC03PT</v>
      </c>
      <c r="F808">
        <f>VLOOKUP(B808,Course!$A$2:$R$329,2,FALSE)</f>
        <v>0</v>
      </c>
      <c r="G808">
        <f>VLOOKUP(B808, Course!$A$2:$L$150, 8, FALSE)</f>
        <v>4</v>
      </c>
      <c r="H808">
        <v>3</v>
      </c>
      <c r="I808">
        <v>1</v>
      </c>
      <c r="K808" t="s">
        <v>1581</v>
      </c>
      <c r="L808" t="str">
        <f>VLOOKUP(B808, Course!$A$1:$O$133, 14, FALSE)</f>
        <v>I9</v>
      </c>
      <c r="M808">
        <v>1</v>
      </c>
    </row>
    <row r="809" spans="1:13" x14ac:dyDescent="0.2">
      <c r="A809">
        <v>812</v>
      </c>
      <c r="B809">
        <v>74</v>
      </c>
      <c r="C809">
        <v>1</v>
      </c>
      <c r="D809" t="s">
        <v>317</v>
      </c>
      <c r="E809" t="str">
        <f t="shared" si="12"/>
        <v>501AS03PT</v>
      </c>
      <c r="F809">
        <f>VLOOKUP(B809,Course!$A$2:$R$329,2,FALSE)</f>
        <v>0</v>
      </c>
      <c r="G809">
        <f>VLOOKUP(B809, Course!$A$2:$L$150, 8, FALSE)</f>
        <v>5</v>
      </c>
      <c r="H809">
        <v>3</v>
      </c>
      <c r="I809">
        <v>1</v>
      </c>
      <c r="K809" t="s">
        <v>1581</v>
      </c>
      <c r="L809" t="str">
        <f>VLOOKUP(B809, Course!$A$1:$O$133, 14, FALSE)</f>
        <v>AS</v>
      </c>
      <c r="M809">
        <v>1</v>
      </c>
    </row>
    <row r="810" spans="1:13" x14ac:dyDescent="0.2">
      <c r="A810">
        <v>813</v>
      </c>
      <c r="B810">
        <v>74</v>
      </c>
      <c r="C810">
        <v>2</v>
      </c>
      <c r="D810" t="s">
        <v>317</v>
      </c>
      <c r="E810" t="str">
        <f t="shared" si="12"/>
        <v>502AS03PT</v>
      </c>
      <c r="F810">
        <f>VLOOKUP(B810,Course!$A$2:$R$329,2,FALSE)</f>
        <v>0</v>
      </c>
      <c r="G810">
        <f>VLOOKUP(B810, Course!$A$2:$L$150, 8, FALSE)</f>
        <v>5</v>
      </c>
      <c r="H810">
        <v>3</v>
      </c>
      <c r="I810">
        <v>1</v>
      </c>
      <c r="K810" t="s">
        <v>1581</v>
      </c>
      <c r="L810" t="str">
        <f>VLOOKUP(B810, Course!$A$1:$O$133, 14, FALSE)</f>
        <v>AS</v>
      </c>
      <c r="M810">
        <v>1</v>
      </c>
    </row>
    <row r="811" spans="1:13" x14ac:dyDescent="0.2">
      <c r="A811">
        <v>814</v>
      </c>
      <c r="B811">
        <v>74</v>
      </c>
      <c r="C811">
        <v>3</v>
      </c>
      <c r="D811" t="s">
        <v>317</v>
      </c>
      <c r="E811" t="str">
        <f t="shared" si="12"/>
        <v>503AS03PT</v>
      </c>
      <c r="F811">
        <f>VLOOKUP(B811,Course!$A$2:$R$329,2,FALSE)</f>
        <v>0</v>
      </c>
      <c r="G811">
        <f>VLOOKUP(B811, Course!$A$2:$L$150, 8, FALSE)</f>
        <v>5</v>
      </c>
      <c r="H811">
        <v>3</v>
      </c>
      <c r="I811">
        <v>1</v>
      </c>
      <c r="K811" t="s">
        <v>1581</v>
      </c>
      <c r="L811" t="str">
        <f>VLOOKUP(B811, Course!$A$1:$O$133, 14, FALSE)</f>
        <v>AS</v>
      </c>
      <c r="M811">
        <v>1</v>
      </c>
    </row>
    <row r="812" spans="1:13" x14ac:dyDescent="0.2">
      <c r="A812">
        <v>815</v>
      </c>
      <c r="B812">
        <v>74</v>
      </c>
      <c r="C812">
        <v>4</v>
      </c>
      <c r="D812" t="s">
        <v>317</v>
      </c>
      <c r="E812" t="str">
        <f t="shared" si="12"/>
        <v>504AS03PT</v>
      </c>
      <c r="F812">
        <f>VLOOKUP(B812,Course!$A$2:$R$329,2,FALSE)</f>
        <v>0</v>
      </c>
      <c r="G812">
        <f>VLOOKUP(B812, Course!$A$2:$L$150, 8, FALSE)</f>
        <v>5</v>
      </c>
      <c r="H812">
        <v>3</v>
      </c>
      <c r="I812">
        <v>1</v>
      </c>
      <c r="K812" t="s">
        <v>1581</v>
      </c>
      <c r="L812" t="str">
        <f>VLOOKUP(B812, Course!$A$1:$O$133, 14, FALSE)</f>
        <v>AS</v>
      </c>
      <c r="M812">
        <v>1</v>
      </c>
    </row>
    <row r="813" spans="1:13" x14ac:dyDescent="0.2">
      <c r="A813">
        <v>816</v>
      </c>
      <c r="B813">
        <v>74</v>
      </c>
      <c r="C813">
        <v>5</v>
      </c>
      <c r="D813" t="s">
        <v>317</v>
      </c>
      <c r="E813" t="str">
        <f t="shared" si="12"/>
        <v>505AS03PT</v>
      </c>
      <c r="F813">
        <f>VLOOKUP(B813,Course!$A$2:$R$329,2,FALSE)</f>
        <v>0</v>
      </c>
      <c r="G813">
        <f>VLOOKUP(B813, Course!$A$2:$L$150, 8, FALSE)</f>
        <v>5</v>
      </c>
      <c r="H813">
        <v>3</v>
      </c>
      <c r="I813">
        <v>1</v>
      </c>
      <c r="K813" t="s">
        <v>1581</v>
      </c>
      <c r="L813" t="str">
        <f>VLOOKUP(B813, Course!$A$1:$O$133, 14, FALSE)</f>
        <v>AS</v>
      </c>
      <c r="M813">
        <v>1</v>
      </c>
    </row>
    <row r="814" spans="1:13" x14ac:dyDescent="0.2">
      <c r="A814">
        <v>817</v>
      </c>
      <c r="B814">
        <v>75</v>
      </c>
      <c r="C814">
        <v>97</v>
      </c>
      <c r="D814" t="s">
        <v>319</v>
      </c>
      <c r="E814" t="str">
        <f t="shared" si="12"/>
        <v>1297BI03PT</v>
      </c>
      <c r="F814">
        <f>VLOOKUP(B814,Course!$A$2:$R$329,2,FALSE)</f>
        <v>0</v>
      </c>
      <c r="G814">
        <f>VLOOKUP(B814, Course!$A$2:$L$150, 8, FALSE)</f>
        <v>12</v>
      </c>
      <c r="H814">
        <v>3</v>
      </c>
      <c r="I814">
        <v>1</v>
      </c>
      <c r="K814" t="s">
        <v>1581</v>
      </c>
      <c r="L814" t="str">
        <f>VLOOKUP(B814, Course!$A$1:$O$133, 14, FALSE)</f>
        <v>BI</v>
      </c>
      <c r="M814">
        <v>1</v>
      </c>
    </row>
    <row r="815" spans="1:13" x14ac:dyDescent="0.2">
      <c r="A815">
        <v>818</v>
      </c>
      <c r="B815">
        <v>75</v>
      </c>
      <c r="C815">
        <v>98</v>
      </c>
      <c r="D815" t="s">
        <v>319</v>
      </c>
      <c r="E815" t="str">
        <f t="shared" si="12"/>
        <v>1298BI03PT</v>
      </c>
      <c r="F815">
        <f>VLOOKUP(B815,Course!$A$2:$R$329,2,FALSE)</f>
        <v>0</v>
      </c>
      <c r="G815">
        <f>VLOOKUP(B815, Course!$A$2:$L$150, 8, FALSE)</f>
        <v>12</v>
      </c>
      <c r="H815">
        <v>3</v>
      </c>
      <c r="I815">
        <v>1</v>
      </c>
      <c r="K815" t="s">
        <v>1581</v>
      </c>
      <c r="L815" t="str">
        <f>VLOOKUP(B815, Course!$A$1:$O$133, 14, FALSE)</f>
        <v>BI</v>
      </c>
      <c r="M815">
        <v>1</v>
      </c>
    </row>
    <row r="816" spans="1:13" x14ac:dyDescent="0.2">
      <c r="A816">
        <v>819</v>
      </c>
      <c r="B816">
        <v>75</v>
      </c>
      <c r="C816">
        <v>99</v>
      </c>
      <c r="D816" t="s">
        <v>319</v>
      </c>
      <c r="E816" t="str">
        <f t="shared" si="12"/>
        <v>1299BI03PT</v>
      </c>
      <c r="F816">
        <f>VLOOKUP(B816,Course!$A$2:$R$329,2,FALSE)</f>
        <v>0</v>
      </c>
      <c r="G816">
        <f>VLOOKUP(B816, Course!$A$2:$L$150, 8, FALSE)</f>
        <v>12</v>
      </c>
      <c r="H816">
        <v>3</v>
      </c>
      <c r="I816">
        <v>1</v>
      </c>
      <c r="K816" t="s">
        <v>1581</v>
      </c>
      <c r="L816" t="str">
        <f>VLOOKUP(B816, Course!$A$1:$O$133, 14, FALSE)</f>
        <v>BI</v>
      </c>
      <c r="M816">
        <v>1</v>
      </c>
    </row>
    <row r="817" spans="1:13" x14ac:dyDescent="0.2">
      <c r="A817">
        <v>820</v>
      </c>
      <c r="B817">
        <v>75</v>
      </c>
      <c r="C817">
        <v>100</v>
      </c>
      <c r="D817" t="s">
        <v>319</v>
      </c>
      <c r="E817" t="str">
        <f t="shared" si="12"/>
        <v>1200BI03PT</v>
      </c>
      <c r="F817">
        <f>VLOOKUP(B817,Course!$A$2:$R$329,2,FALSE)</f>
        <v>0</v>
      </c>
      <c r="G817">
        <f>VLOOKUP(B817, Course!$A$2:$L$150, 8, FALSE)</f>
        <v>12</v>
      </c>
      <c r="H817">
        <v>3</v>
      </c>
      <c r="I817">
        <v>1</v>
      </c>
      <c r="K817" t="s">
        <v>1581</v>
      </c>
      <c r="L817" t="str">
        <f>VLOOKUP(B817, Course!$A$1:$O$133, 14, FALSE)</f>
        <v>BI</v>
      </c>
      <c r="M817">
        <v>1</v>
      </c>
    </row>
    <row r="818" spans="1:13" x14ac:dyDescent="0.2">
      <c r="A818">
        <v>821</v>
      </c>
      <c r="B818">
        <v>75</v>
      </c>
      <c r="C818">
        <v>101</v>
      </c>
      <c r="D818" t="s">
        <v>319</v>
      </c>
      <c r="E818" t="str">
        <f t="shared" si="12"/>
        <v>1201BI03PT</v>
      </c>
      <c r="F818">
        <f>VLOOKUP(B818,Course!$A$2:$R$329,2,FALSE)</f>
        <v>0</v>
      </c>
      <c r="G818">
        <f>VLOOKUP(B818, Course!$A$2:$L$150, 8, FALSE)</f>
        <v>12</v>
      </c>
      <c r="H818">
        <v>3</v>
      </c>
      <c r="I818">
        <v>1</v>
      </c>
      <c r="K818" t="s">
        <v>1581</v>
      </c>
      <c r="L818" t="str">
        <f>VLOOKUP(B818, Course!$A$1:$O$133, 14, FALSE)</f>
        <v>BI</v>
      </c>
      <c r="M818">
        <v>1</v>
      </c>
    </row>
    <row r="819" spans="1:13" x14ac:dyDescent="0.2">
      <c r="A819">
        <v>822</v>
      </c>
      <c r="B819">
        <v>75</v>
      </c>
      <c r="C819">
        <v>102</v>
      </c>
      <c r="D819" t="s">
        <v>319</v>
      </c>
      <c r="E819" t="str">
        <f t="shared" si="12"/>
        <v>1202BI03PT</v>
      </c>
      <c r="F819">
        <f>VLOOKUP(B819,Course!$A$2:$R$329,2,FALSE)</f>
        <v>0</v>
      </c>
      <c r="G819">
        <f>VLOOKUP(B819, Course!$A$2:$L$150, 8, FALSE)</f>
        <v>12</v>
      </c>
      <c r="H819">
        <v>3</v>
      </c>
      <c r="I819">
        <v>1</v>
      </c>
      <c r="K819" t="s">
        <v>1581</v>
      </c>
      <c r="L819" t="str">
        <f>VLOOKUP(B819, Course!$A$1:$O$133, 14, FALSE)</f>
        <v>BI</v>
      </c>
      <c r="M819">
        <v>1</v>
      </c>
    </row>
    <row r="820" spans="1:13" x14ac:dyDescent="0.2">
      <c r="A820">
        <v>823</v>
      </c>
      <c r="B820">
        <v>75</v>
      </c>
      <c r="C820">
        <v>103</v>
      </c>
      <c r="D820" t="s">
        <v>319</v>
      </c>
      <c r="E820" t="str">
        <f t="shared" si="12"/>
        <v>1203BI03PT</v>
      </c>
      <c r="F820">
        <f>VLOOKUP(B820,Course!$A$2:$R$329,2,FALSE)</f>
        <v>0</v>
      </c>
      <c r="G820">
        <f>VLOOKUP(B820, Course!$A$2:$L$150, 8, FALSE)</f>
        <v>12</v>
      </c>
      <c r="H820">
        <v>3</v>
      </c>
      <c r="I820">
        <v>1</v>
      </c>
      <c r="K820" t="s">
        <v>1581</v>
      </c>
      <c r="L820" t="str">
        <f>VLOOKUP(B820, Course!$A$1:$O$133, 14, FALSE)</f>
        <v>BI</v>
      </c>
      <c r="M820">
        <v>1</v>
      </c>
    </row>
    <row r="821" spans="1:13" x14ac:dyDescent="0.2">
      <c r="A821">
        <v>824</v>
      </c>
      <c r="B821">
        <v>75</v>
      </c>
      <c r="C821">
        <v>104</v>
      </c>
      <c r="D821" t="s">
        <v>319</v>
      </c>
      <c r="E821" t="str">
        <f t="shared" si="12"/>
        <v>1204BI03PT</v>
      </c>
      <c r="F821">
        <f>VLOOKUP(B821,Course!$A$2:$R$329,2,FALSE)</f>
        <v>0</v>
      </c>
      <c r="G821">
        <f>VLOOKUP(B821, Course!$A$2:$L$150, 8, FALSE)</f>
        <v>12</v>
      </c>
      <c r="H821">
        <v>3</v>
      </c>
      <c r="I821">
        <v>1</v>
      </c>
      <c r="K821" t="s">
        <v>1581</v>
      </c>
      <c r="L821" t="str">
        <f>VLOOKUP(B821, Course!$A$1:$O$133, 14, FALSE)</f>
        <v>BI</v>
      </c>
      <c r="M821">
        <v>1</v>
      </c>
    </row>
    <row r="822" spans="1:13" x14ac:dyDescent="0.2">
      <c r="A822">
        <v>825</v>
      </c>
      <c r="B822">
        <v>75</v>
      </c>
      <c r="C822">
        <v>105</v>
      </c>
      <c r="D822" t="s">
        <v>319</v>
      </c>
      <c r="E822" t="str">
        <f t="shared" si="12"/>
        <v>1205BI03PT</v>
      </c>
      <c r="F822">
        <f>VLOOKUP(B822,Course!$A$2:$R$329,2,FALSE)</f>
        <v>0</v>
      </c>
      <c r="G822">
        <f>VLOOKUP(B822, Course!$A$2:$L$150, 8, FALSE)</f>
        <v>12</v>
      </c>
      <c r="H822">
        <v>3</v>
      </c>
      <c r="I822">
        <v>1</v>
      </c>
      <c r="K822" t="s">
        <v>1581</v>
      </c>
      <c r="L822" t="str">
        <f>VLOOKUP(B822, Course!$A$1:$O$133, 14, FALSE)</f>
        <v>BI</v>
      </c>
      <c r="M822">
        <v>1</v>
      </c>
    </row>
    <row r="823" spans="1:13" x14ac:dyDescent="0.2">
      <c r="A823">
        <v>826</v>
      </c>
      <c r="B823">
        <v>75</v>
      </c>
      <c r="C823">
        <v>106</v>
      </c>
      <c r="D823" t="s">
        <v>319</v>
      </c>
      <c r="E823" t="str">
        <f t="shared" si="12"/>
        <v>1206BI03PT</v>
      </c>
      <c r="F823">
        <f>VLOOKUP(B823,Course!$A$2:$R$329,2,FALSE)</f>
        <v>0</v>
      </c>
      <c r="G823">
        <f>VLOOKUP(B823, Course!$A$2:$L$150, 8, FALSE)</f>
        <v>12</v>
      </c>
      <c r="H823">
        <v>3</v>
      </c>
      <c r="I823">
        <v>1</v>
      </c>
      <c r="K823" t="s">
        <v>1581</v>
      </c>
      <c r="L823" t="str">
        <f>VLOOKUP(B823, Course!$A$1:$O$133, 14, FALSE)</f>
        <v>BI</v>
      </c>
      <c r="M823">
        <v>1</v>
      </c>
    </row>
    <row r="824" spans="1:13" x14ac:dyDescent="0.2">
      <c r="A824">
        <v>827</v>
      </c>
      <c r="B824">
        <v>75</v>
      </c>
      <c r="C824">
        <v>107</v>
      </c>
      <c r="D824" t="s">
        <v>319</v>
      </c>
      <c r="E824" t="str">
        <f t="shared" si="12"/>
        <v>1207BI03PT</v>
      </c>
      <c r="F824">
        <f>VLOOKUP(B824,Course!$A$2:$R$329,2,FALSE)</f>
        <v>0</v>
      </c>
      <c r="G824">
        <f>VLOOKUP(B824, Course!$A$2:$L$150, 8, FALSE)</f>
        <v>12</v>
      </c>
      <c r="H824">
        <v>3</v>
      </c>
      <c r="I824">
        <v>1</v>
      </c>
      <c r="K824" t="s">
        <v>1581</v>
      </c>
      <c r="L824" t="str">
        <f>VLOOKUP(B824, Course!$A$1:$O$133, 14, FALSE)</f>
        <v>BI</v>
      </c>
      <c r="M824">
        <v>1</v>
      </c>
    </row>
    <row r="825" spans="1:13" x14ac:dyDescent="0.2">
      <c r="A825">
        <v>828</v>
      </c>
      <c r="B825">
        <v>75</v>
      </c>
      <c r="C825">
        <v>108</v>
      </c>
      <c r="D825" t="s">
        <v>319</v>
      </c>
      <c r="E825" t="str">
        <f t="shared" si="12"/>
        <v>1208BI03PT</v>
      </c>
      <c r="F825">
        <f>VLOOKUP(B825,Course!$A$2:$R$329,2,FALSE)</f>
        <v>0</v>
      </c>
      <c r="G825">
        <f>VLOOKUP(B825, Course!$A$2:$L$150, 8, FALSE)</f>
        <v>12</v>
      </c>
      <c r="H825">
        <v>3</v>
      </c>
      <c r="I825">
        <v>1</v>
      </c>
      <c r="K825" t="s">
        <v>1581</v>
      </c>
      <c r="L825" t="str">
        <f>VLOOKUP(B825, Course!$A$1:$O$133, 14, FALSE)</f>
        <v>BI</v>
      </c>
      <c r="M825">
        <v>1</v>
      </c>
    </row>
    <row r="826" spans="1:13" x14ac:dyDescent="0.2">
      <c r="A826">
        <v>829</v>
      </c>
      <c r="B826">
        <v>76</v>
      </c>
      <c r="C826">
        <v>1</v>
      </c>
      <c r="D826" t="s">
        <v>321</v>
      </c>
      <c r="E826" t="str">
        <f t="shared" si="12"/>
        <v>601HE03PT</v>
      </c>
      <c r="F826">
        <f>VLOOKUP(B826,Course!$A$2:$R$329,2,FALSE)</f>
        <v>0</v>
      </c>
      <c r="G826">
        <f>VLOOKUP(B826, Course!$A$2:$L$150, 8, FALSE)</f>
        <v>6</v>
      </c>
      <c r="H826">
        <v>3</v>
      </c>
      <c r="I826">
        <v>1</v>
      </c>
      <c r="K826" t="s">
        <v>1581</v>
      </c>
      <c r="L826" t="str">
        <f>VLOOKUP(B826, Course!$A$1:$O$133, 14, FALSE)</f>
        <v>HE</v>
      </c>
      <c r="M826">
        <v>1</v>
      </c>
    </row>
    <row r="827" spans="1:13" x14ac:dyDescent="0.2">
      <c r="A827">
        <v>830</v>
      </c>
      <c r="B827">
        <v>76</v>
      </c>
      <c r="C827">
        <v>2</v>
      </c>
      <c r="D827" t="s">
        <v>321</v>
      </c>
      <c r="E827" t="str">
        <f t="shared" si="12"/>
        <v>602HE03PT</v>
      </c>
      <c r="F827">
        <f>VLOOKUP(B827,Course!$A$2:$R$329,2,FALSE)</f>
        <v>0</v>
      </c>
      <c r="G827">
        <f>VLOOKUP(B827, Course!$A$2:$L$150, 8, FALSE)</f>
        <v>6</v>
      </c>
      <c r="H827">
        <v>3</v>
      </c>
      <c r="I827">
        <v>1</v>
      </c>
      <c r="K827" t="s">
        <v>1581</v>
      </c>
      <c r="L827" t="str">
        <f>VLOOKUP(B827, Course!$A$1:$O$133, 14, FALSE)</f>
        <v>HE</v>
      </c>
      <c r="M827">
        <v>1</v>
      </c>
    </row>
    <row r="828" spans="1:13" x14ac:dyDescent="0.2">
      <c r="A828">
        <v>831</v>
      </c>
      <c r="B828">
        <v>76</v>
      </c>
      <c r="C828">
        <v>3</v>
      </c>
      <c r="D828" t="s">
        <v>321</v>
      </c>
      <c r="E828" t="str">
        <f t="shared" si="12"/>
        <v>603HE03PT</v>
      </c>
      <c r="F828">
        <f>VLOOKUP(B828,Course!$A$2:$R$329,2,FALSE)</f>
        <v>0</v>
      </c>
      <c r="G828">
        <f>VLOOKUP(B828, Course!$A$2:$L$150, 8, FALSE)</f>
        <v>6</v>
      </c>
      <c r="H828">
        <v>3</v>
      </c>
      <c r="I828">
        <v>1</v>
      </c>
      <c r="K828" t="s">
        <v>1581</v>
      </c>
      <c r="L828" t="str">
        <f>VLOOKUP(B828, Course!$A$1:$O$133, 14, FALSE)</f>
        <v>HE</v>
      </c>
      <c r="M828">
        <v>1</v>
      </c>
    </row>
    <row r="829" spans="1:13" x14ac:dyDescent="0.2">
      <c r="A829">
        <v>832</v>
      </c>
      <c r="B829">
        <v>76</v>
      </c>
      <c r="C829">
        <v>4</v>
      </c>
      <c r="D829" t="s">
        <v>321</v>
      </c>
      <c r="E829" t="str">
        <f t="shared" si="12"/>
        <v>604HE03PT</v>
      </c>
      <c r="F829">
        <f>VLOOKUP(B829,Course!$A$2:$R$329,2,FALSE)</f>
        <v>0</v>
      </c>
      <c r="G829">
        <f>VLOOKUP(B829, Course!$A$2:$L$150, 8, FALSE)</f>
        <v>6</v>
      </c>
      <c r="H829">
        <v>3</v>
      </c>
      <c r="I829">
        <v>1</v>
      </c>
      <c r="K829" t="s">
        <v>1581</v>
      </c>
      <c r="L829" t="str">
        <f>VLOOKUP(B829, Course!$A$1:$O$133, 14, FALSE)</f>
        <v>HE</v>
      </c>
      <c r="M829">
        <v>1</v>
      </c>
    </row>
    <row r="830" spans="1:13" x14ac:dyDescent="0.2">
      <c r="A830">
        <v>833</v>
      </c>
      <c r="B830">
        <v>76</v>
      </c>
      <c r="C830">
        <v>5</v>
      </c>
      <c r="D830" t="s">
        <v>321</v>
      </c>
      <c r="E830" t="str">
        <f t="shared" ref="E830:E867" si="13">UPPER(LEFT(G830,2)) &amp; RIGHT("0" &amp; C830, 2) &amp; D830 &amp; RIGHT("0" &amp; H830, 2) &amp; K830</f>
        <v>605HE03PT</v>
      </c>
      <c r="F830">
        <f>VLOOKUP(B830,Course!$A$2:$R$329,2,FALSE)</f>
        <v>0</v>
      </c>
      <c r="G830">
        <f>VLOOKUP(B830, Course!$A$2:$L$150, 8, FALSE)</f>
        <v>6</v>
      </c>
      <c r="H830">
        <v>3</v>
      </c>
      <c r="I830">
        <v>1</v>
      </c>
      <c r="K830" t="s">
        <v>1581</v>
      </c>
      <c r="L830" t="str">
        <f>VLOOKUP(B830, Course!$A$1:$O$133, 14, FALSE)</f>
        <v>HE</v>
      </c>
      <c r="M830">
        <v>1</v>
      </c>
    </row>
    <row r="831" spans="1:13" x14ac:dyDescent="0.2">
      <c r="A831">
        <v>834</v>
      </c>
      <c r="B831">
        <v>76</v>
      </c>
      <c r="C831">
        <v>6</v>
      </c>
      <c r="D831" t="s">
        <v>321</v>
      </c>
      <c r="E831" t="str">
        <f t="shared" si="13"/>
        <v>606HE03PT</v>
      </c>
      <c r="F831">
        <f>VLOOKUP(B831,Course!$A$2:$R$329,2,FALSE)</f>
        <v>0</v>
      </c>
      <c r="G831">
        <f>VLOOKUP(B831, Course!$A$2:$L$150, 8, FALSE)</f>
        <v>6</v>
      </c>
      <c r="H831">
        <v>3</v>
      </c>
      <c r="I831">
        <v>1</v>
      </c>
      <c r="K831" t="s">
        <v>1581</v>
      </c>
      <c r="L831" t="str">
        <f>VLOOKUP(B831, Course!$A$1:$O$133, 14, FALSE)</f>
        <v>HE</v>
      </c>
      <c r="M831">
        <v>1</v>
      </c>
    </row>
    <row r="832" spans="1:13" x14ac:dyDescent="0.2">
      <c r="A832">
        <v>835</v>
      </c>
      <c r="B832">
        <v>77</v>
      </c>
      <c r="C832">
        <v>1</v>
      </c>
      <c r="D832" t="s">
        <v>323</v>
      </c>
      <c r="E832" t="str">
        <f t="shared" si="13"/>
        <v>601NS03PT</v>
      </c>
      <c r="F832">
        <f>VLOOKUP(B832,Course!$A$2:$R$329,2,FALSE)</f>
        <v>0</v>
      </c>
      <c r="G832">
        <f>VLOOKUP(B832, Course!$A$2:$L$150, 8, FALSE)</f>
        <v>6</v>
      </c>
      <c r="H832">
        <v>3</v>
      </c>
      <c r="I832">
        <v>1</v>
      </c>
      <c r="K832" t="s">
        <v>1581</v>
      </c>
      <c r="L832" t="str">
        <f>VLOOKUP(B832, Course!$A$1:$O$133, 14, FALSE)</f>
        <v>NS</v>
      </c>
      <c r="M832">
        <v>1</v>
      </c>
    </row>
    <row r="833" spans="1:13" x14ac:dyDescent="0.2">
      <c r="A833">
        <v>836</v>
      </c>
      <c r="B833">
        <v>77</v>
      </c>
      <c r="C833">
        <v>2</v>
      </c>
      <c r="D833" t="s">
        <v>323</v>
      </c>
      <c r="E833" t="str">
        <f t="shared" si="13"/>
        <v>602NS03PT</v>
      </c>
      <c r="F833">
        <f>VLOOKUP(B833,Course!$A$2:$R$329,2,FALSE)</f>
        <v>0</v>
      </c>
      <c r="G833">
        <f>VLOOKUP(B833, Course!$A$2:$L$150, 8, FALSE)</f>
        <v>6</v>
      </c>
      <c r="H833">
        <v>3</v>
      </c>
      <c r="I833">
        <v>1</v>
      </c>
      <c r="K833" t="s">
        <v>1581</v>
      </c>
      <c r="L833" t="str">
        <f>VLOOKUP(B833, Course!$A$1:$O$133, 14, FALSE)</f>
        <v>NS</v>
      </c>
      <c r="M833">
        <v>1</v>
      </c>
    </row>
    <row r="834" spans="1:13" x14ac:dyDescent="0.2">
      <c r="A834">
        <v>837</v>
      </c>
      <c r="B834">
        <v>77</v>
      </c>
      <c r="C834">
        <v>3</v>
      </c>
      <c r="D834" t="s">
        <v>323</v>
      </c>
      <c r="E834" t="str">
        <f t="shared" si="13"/>
        <v>603NS03PT</v>
      </c>
      <c r="F834">
        <f>VLOOKUP(B834,Course!$A$2:$R$329,2,FALSE)</f>
        <v>0</v>
      </c>
      <c r="G834">
        <f>VLOOKUP(B834, Course!$A$2:$L$150, 8, FALSE)</f>
        <v>6</v>
      </c>
      <c r="H834">
        <v>3</v>
      </c>
      <c r="I834">
        <v>1</v>
      </c>
      <c r="K834" t="s">
        <v>1581</v>
      </c>
      <c r="L834" t="str">
        <f>VLOOKUP(B834, Course!$A$1:$O$133, 14, FALSE)</f>
        <v>NS</v>
      </c>
      <c r="M834">
        <v>1</v>
      </c>
    </row>
    <row r="835" spans="1:13" x14ac:dyDescent="0.2">
      <c r="A835">
        <v>838</v>
      </c>
      <c r="B835">
        <v>77</v>
      </c>
      <c r="C835">
        <v>4</v>
      </c>
      <c r="D835" t="s">
        <v>323</v>
      </c>
      <c r="E835" t="str">
        <f t="shared" si="13"/>
        <v>604NS03PT</v>
      </c>
      <c r="F835">
        <f>VLOOKUP(B835,Course!$A$2:$R$329,2,FALSE)</f>
        <v>0</v>
      </c>
      <c r="G835">
        <f>VLOOKUP(B835, Course!$A$2:$L$150, 8, FALSE)</f>
        <v>6</v>
      </c>
      <c r="H835">
        <v>3</v>
      </c>
      <c r="I835">
        <v>1</v>
      </c>
      <c r="K835" t="s">
        <v>1581</v>
      </c>
      <c r="L835" t="str">
        <f>VLOOKUP(B835, Course!$A$1:$O$133, 14, FALSE)</f>
        <v>NS</v>
      </c>
      <c r="M835">
        <v>1</v>
      </c>
    </row>
    <row r="836" spans="1:13" x14ac:dyDescent="0.2">
      <c r="A836">
        <v>839</v>
      </c>
      <c r="B836">
        <v>77</v>
      </c>
      <c r="C836">
        <v>5</v>
      </c>
      <c r="D836" t="s">
        <v>323</v>
      </c>
      <c r="E836" t="str">
        <f t="shared" si="13"/>
        <v>605NS03PT</v>
      </c>
      <c r="F836">
        <f>VLOOKUP(B836,Course!$A$2:$R$329,2,FALSE)</f>
        <v>0</v>
      </c>
      <c r="G836">
        <f>VLOOKUP(B836, Course!$A$2:$L$150, 8, FALSE)</f>
        <v>6</v>
      </c>
      <c r="H836">
        <v>3</v>
      </c>
      <c r="I836">
        <v>1</v>
      </c>
      <c r="K836" t="s">
        <v>1581</v>
      </c>
      <c r="L836" t="str">
        <f>VLOOKUP(B836, Course!$A$1:$O$133, 14, FALSE)</f>
        <v>NS</v>
      </c>
      <c r="M836">
        <v>1</v>
      </c>
    </row>
    <row r="837" spans="1:13" x14ac:dyDescent="0.2">
      <c r="A837">
        <v>840</v>
      </c>
      <c r="B837">
        <v>77</v>
      </c>
      <c r="C837">
        <v>6</v>
      </c>
      <c r="D837" t="s">
        <v>323</v>
      </c>
      <c r="E837" t="str">
        <f t="shared" si="13"/>
        <v>606NS03PT</v>
      </c>
      <c r="F837">
        <f>VLOOKUP(B837,Course!$A$2:$R$329,2,FALSE)</f>
        <v>0</v>
      </c>
      <c r="G837">
        <f>VLOOKUP(B837, Course!$A$2:$L$150, 8, FALSE)</f>
        <v>6</v>
      </c>
      <c r="H837">
        <v>3</v>
      </c>
      <c r="I837">
        <v>1</v>
      </c>
      <c r="K837" t="s">
        <v>1581</v>
      </c>
      <c r="L837" t="str">
        <f>VLOOKUP(B837, Course!$A$1:$O$133, 14, FALSE)</f>
        <v>NS</v>
      </c>
      <c r="M837">
        <v>1</v>
      </c>
    </row>
    <row r="838" spans="1:13" x14ac:dyDescent="0.2">
      <c r="A838">
        <v>841</v>
      </c>
      <c r="B838">
        <v>78</v>
      </c>
      <c r="C838">
        <v>1</v>
      </c>
      <c r="D838" t="s">
        <v>312</v>
      </c>
      <c r="E838" t="str">
        <f t="shared" si="13"/>
        <v>401SP03PT</v>
      </c>
      <c r="F838">
        <f>VLOOKUP(B838,Course!$A$2:$R$329,2,FALSE)</f>
        <v>0</v>
      </c>
      <c r="G838">
        <f>VLOOKUP(B838, Course!$A$2:$L$150, 8, FALSE)</f>
        <v>4</v>
      </c>
      <c r="H838">
        <v>3</v>
      </c>
      <c r="I838">
        <v>1</v>
      </c>
      <c r="K838" t="s">
        <v>1581</v>
      </c>
      <c r="L838" t="str">
        <f>VLOOKUP(B838, Course!$A$1:$O$133, 14, FALSE)</f>
        <v>SP</v>
      </c>
      <c r="M838">
        <v>1</v>
      </c>
    </row>
    <row r="839" spans="1:13" x14ac:dyDescent="0.2">
      <c r="A839">
        <v>842</v>
      </c>
      <c r="B839">
        <v>78</v>
      </c>
      <c r="C839">
        <v>2</v>
      </c>
      <c r="D839" t="s">
        <v>312</v>
      </c>
      <c r="E839" t="str">
        <f t="shared" si="13"/>
        <v>402SP03PT</v>
      </c>
      <c r="F839">
        <f>VLOOKUP(B839,Course!$A$2:$R$329,2,FALSE)</f>
        <v>0</v>
      </c>
      <c r="G839">
        <f>VLOOKUP(B839, Course!$A$2:$L$150, 8, FALSE)</f>
        <v>4</v>
      </c>
      <c r="H839">
        <v>3</v>
      </c>
      <c r="I839">
        <v>1</v>
      </c>
      <c r="K839" t="s">
        <v>1581</v>
      </c>
      <c r="L839" t="str">
        <f>VLOOKUP(B839, Course!$A$1:$O$133, 14, FALSE)</f>
        <v>SP</v>
      </c>
      <c r="M839">
        <v>1</v>
      </c>
    </row>
    <row r="840" spans="1:13" x14ac:dyDescent="0.2">
      <c r="A840">
        <v>843</v>
      </c>
      <c r="B840">
        <v>78</v>
      </c>
      <c r="C840">
        <v>3</v>
      </c>
      <c r="D840" t="s">
        <v>312</v>
      </c>
      <c r="E840" t="str">
        <f t="shared" si="13"/>
        <v>403SP03PT</v>
      </c>
      <c r="F840">
        <f>VLOOKUP(B840,Course!$A$2:$R$329,2,FALSE)</f>
        <v>0</v>
      </c>
      <c r="G840">
        <f>VLOOKUP(B840, Course!$A$2:$L$150, 8, FALSE)</f>
        <v>4</v>
      </c>
      <c r="H840">
        <v>3</v>
      </c>
      <c r="I840">
        <v>1</v>
      </c>
      <c r="K840" t="s">
        <v>1581</v>
      </c>
      <c r="L840" t="str">
        <f>VLOOKUP(B840, Course!$A$1:$O$133, 14, FALSE)</f>
        <v>SP</v>
      </c>
      <c r="M840">
        <v>1</v>
      </c>
    </row>
    <row r="841" spans="1:13" x14ac:dyDescent="0.2">
      <c r="A841">
        <v>844</v>
      </c>
      <c r="B841">
        <v>78</v>
      </c>
      <c r="C841">
        <v>4</v>
      </c>
      <c r="D841" t="s">
        <v>312</v>
      </c>
      <c r="E841" t="str">
        <f t="shared" si="13"/>
        <v>404SP03PT</v>
      </c>
      <c r="F841">
        <f>VLOOKUP(B841,Course!$A$2:$R$329,2,FALSE)</f>
        <v>0</v>
      </c>
      <c r="G841">
        <f>VLOOKUP(B841, Course!$A$2:$L$150, 8, FALSE)</f>
        <v>4</v>
      </c>
      <c r="H841">
        <v>3</v>
      </c>
      <c r="I841">
        <v>1</v>
      </c>
      <c r="K841" t="s">
        <v>1581</v>
      </c>
      <c r="L841" t="str">
        <f>VLOOKUP(B841, Course!$A$1:$O$133, 14, FALSE)</f>
        <v>SP</v>
      </c>
      <c r="M841">
        <v>1</v>
      </c>
    </row>
    <row r="842" spans="1:13" x14ac:dyDescent="0.2">
      <c r="A842">
        <v>845</v>
      </c>
      <c r="B842">
        <v>79</v>
      </c>
      <c r="C842">
        <v>97</v>
      </c>
      <c r="D842" t="s">
        <v>285</v>
      </c>
      <c r="E842" t="str">
        <f t="shared" si="13"/>
        <v>197UK03PT</v>
      </c>
      <c r="F842">
        <f>VLOOKUP(B842,Course!$A$2:$R$329,2,FALSE)</f>
        <v>0</v>
      </c>
      <c r="G842">
        <f>VLOOKUP(B842, Course!$A$2:$L$150, 8, FALSE)</f>
        <v>1</v>
      </c>
      <c r="H842">
        <v>3</v>
      </c>
      <c r="I842">
        <v>1</v>
      </c>
      <c r="K842" t="s">
        <v>1581</v>
      </c>
      <c r="L842" t="str">
        <f>VLOOKUP(B842, Course!$A$1:$O$133, 14, FALSE)</f>
        <v>AC</v>
      </c>
      <c r="M842">
        <v>1</v>
      </c>
    </row>
    <row r="843" spans="1:13" x14ac:dyDescent="0.2">
      <c r="A843">
        <v>846</v>
      </c>
      <c r="B843">
        <v>79</v>
      </c>
      <c r="C843">
        <v>98</v>
      </c>
      <c r="D843" t="s">
        <v>285</v>
      </c>
      <c r="E843" t="str">
        <f t="shared" si="13"/>
        <v>198UK03PT</v>
      </c>
      <c r="F843">
        <f>VLOOKUP(B843,Course!$A$2:$R$329,2,FALSE)</f>
        <v>0</v>
      </c>
      <c r="G843">
        <f>VLOOKUP(B843, Course!$A$2:$L$150, 8, FALSE)</f>
        <v>1</v>
      </c>
      <c r="H843">
        <v>3</v>
      </c>
      <c r="I843">
        <v>1</v>
      </c>
      <c r="K843" t="s">
        <v>1581</v>
      </c>
      <c r="L843" t="str">
        <f>VLOOKUP(B843, Course!$A$1:$O$133, 14, FALSE)</f>
        <v>AC</v>
      </c>
      <c r="M843">
        <v>1</v>
      </c>
    </row>
    <row r="844" spans="1:13" x14ac:dyDescent="0.2">
      <c r="A844">
        <v>847</v>
      </c>
      <c r="B844">
        <v>79</v>
      </c>
      <c r="C844">
        <v>99</v>
      </c>
      <c r="D844" t="s">
        <v>285</v>
      </c>
      <c r="E844" t="str">
        <f t="shared" si="13"/>
        <v>199UK03PT</v>
      </c>
      <c r="F844">
        <f>VLOOKUP(B844,Course!$A$2:$R$329,2,FALSE)</f>
        <v>0</v>
      </c>
      <c r="G844">
        <f>VLOOKUP(B844, Course!$A$2:$L$150, 8, FALSE)</f>
        <v>1</v>
      </c>
      <c r="H844">
        <v>3</v>
      </c>
      <c r="I844">
        <v>1</v>
      </c>
      <c r="K844" t="s">
        <v>1581</v>
      </c>
      <c r="L844" t="str">
        <f>VLOOKUP(B844, Course!$A$1:$O$133, 14, FALSE)</f>
        <v>AC</v>
      </c>
      <c r="M844">
        <v>1</v>
      </c>
    </row>
    <row r="845" spans="1:13" x14ac:dyDescent="0.2">
      <c r="A845">
        <v>848</v>
      </c>
      <c r="B845">
        <v>79</v>
      </c>
      <c r="C845">
        <v>100</v>
      </c>
      <c r="D845" t="s">
        <v>285</v>
      </c>
      <c r="E845" t="str">
        <f t="shared" si="13"/>
        <v>100UK03PT</v>
      </c>
      <c r="F845">
        <f>VLOOKUP(B845,Course!$A$2:$R$329,2,FALSE)</f>
        <v>0</v>
      </c>
      <c r="G845">
        <f>VLOOKUP(B845, Course!$A$2:$L$150, 8, FALSE)</f>
        <v>1</v>
      </c>
      <c r="H845">
        <v>3</v>
      </c>
      <c r="I845">
        <v>1</v>
      </c>
      <c r="K845" t="s">
        <v>1581</v>
      </c>
      <c r="L845" t="str">
        <f>VLOOKUP(B845, Course!$A$1:$O$133, 14, FALSE)</f>
        <v>AC</v>
      </c>
      <c r="M845">
        <v>1</v>
      </c>
    </row>
    <row r="846" spans="1:13" x14ac:dyDescent="0.2">
      <c r="A846">
        <v>849</v>
      </c>
      <c r="B846">
        <v>79</v>
      </c>
      <c r="C846">
        <v>101</v>
      </c>
      <c r="D846" t="s">
        <v>285</v>
      </c>
      <c r="E846" t="str">
        <f t="shared" si="13"/>
        <v>101UK03PT</v>
      </c>
      <c r="F846">
        <f>VLOOKUP(B846,Course!$A$2:$R$329,2,FALSE)</f>
        <v>0</v>
      </c>
      <c r="G846">
        <f>VLOOKUP(B846, Course!$A$2:$L$150, 8, FALSE)</f>
        <v>1</v>
      </c>
      <c r="H846">
        <v>3</v>
      </c>
      <c r="I846">
        <v>1</v>
      </c>
      <c r="K846" t="s">
        <v>1581</v>
      </c>
      <c r="L846" t="str">
        <f>VLOOKUP(B846, Course!$A$1:$O$133, 14, FALSE)</f>
        <v>AC</v>
      </c>
      <c r="M846">
        <v>1</v>
      </c>
    </row>
    <row r="847" spans="1:13" x14ac:dyDescent="0.2">
      <c r="A847">
        <v>850</v>
      </c>
      <c r="B847">
        <v>79</v>
      </c>
      <c r="C847">
        <v>102</v>
      </c>
      <c r="D847" t="s">
        <v>285</v>
      </c>
      <c r="E847" t="str">
        <f t="shared" si="13"/>
        <v>102UK03PT</v>
      </c>
      <c r="F847">
        <f>VLOOKUP(B847,Course!$A$2:$R$329,2,FALSE)</f>
        <v>0</v>
      </c>
      <c r="G847">
        <f>VLOOKUP(B847, Course!$A$2:$L$150, 8, FALSE)</f>
        <v>1</v>
      </c>
      <c r="H847">
        <v>3</v>
      </c>
      <c r="I847">
        <v>1</v>
      </c>
      <c r="K847" t="s">
        <v>1581</v>
      </c>
      <c r="L847" t="str">
        <f>VLOOKUP(B847, Course!$A$1:$O$133, 14, FALSE)</f>
        <v>AC</v>
      </c>
      <c r="M847">
        <v>1</v>
      </c>
    </row>
    <row r="848" spans="1:13" x14ac:dyDescent="0.2">
      <c r="A848">
        <v>851</v>
      </c>
      <c r="B848">
        <v>79</v>
      </c>
      <c r="C848">
        <v>103</v>
      </c>
      <c r="D848" t="s">
        <v>285</v>
      </c>
      <c r="E848" t="str">
        <f t="shared" si="13"/>
        <v>103UK03PT</v>
      </c>
      <c r="F848">
        <f>VLOOKUP(B848,Course!$A$2:$R$329,2,FALSE)</f>
        <v>0</v>
      </c>
      <c r="G848">
        <f>VLOOKUP(B848, Course!$A$2:$L$150, 8, FALSE)</f>
        <v>1</v>
      </c>
      <c r="H848">
        <v>3</v>
      </c>
      <c r="I848">
        <v>1</v>
      </c>
      <c r="K848" t="s">
        <v>1581</v>
      </c>
      <c r="L848" t="str">
        <f>VLOOKUP(B848, Course!$A$1:$O$133, 14, FALSE)</f>
        <v>AC</v>
      </c>
      <c r="M848">
        <v>1</v>
      </c>
    </row>
    <row r="849" spans="1:13" x14ac:dyDescent="0.2">
      <c r="A849">
        <v>852</v>
      </c>
      <c r="B849">
        <v>79</v>
      </c>
      <c r="C849">
        <v>104</v>
      </c>
      <c r="D849" t="s">
        <v>285</v>
      </c>
      <c r="E849" t="str">
        <f t="shared" si="13"/>
        <v>104UK03PT</v>
      </c>
      <c r="F849">
        <f>VLOOKUP(B849,Course!$A$2:$R$329,2,FALSE)</f>
        <v>0</v>
      </c>
      <c r="G849">
        <f>VLOOKUP(B849, Course!$A$2:$L$150, 8, FALSE)</f>
        <v>1</v>
      </c>
      <c r="H849">
        <v>3</v>
      </c>
      <c r="I849">
        <v>1</v>
      </c>
      <c r="K849" t="s">
        <v>1581</v>
      </c>
      <c r="L849" t="str">
        <f>VLOOKUP(B849, Course!$A$1:$O$133, 14, FALSE)</f>
        <v>AC</v>
      </c>
      <c r="M849">
        <v>1</v>
      </c>
    </row>
    <row r="850" spans="1:13" x14ac:dyDescent="0.2">
      <c r="A850">
        <v>853</v>
      </c>
      <c r="B850">
        <v>79</v>
      </c>
      <c r="C850">
        <v>105</v>
      </c>
      <c r="D850" t="s">
        <v>285</v>
      </c>
      <c r="E850" t="str">
        <f t="shared" si="13"/>
        <v>105UK03PT</v>
      </c>
      <c r="F850">
        <f>VLOOKUP(B850,Course!$A$2:$R$329,2,FALSE)</f>
        <v>0</v>
      </c>
      <c r="G850">
        <f>VLOOKUP(B850, Course!$A$2:$L$150, 8, FALSE)</f>
        <v>1</v>
      </c>
      <c r="H850">
        <v>3</v>
      </c>
      <c r="I850">
        <v>1</v>
      </c>
      <c r="K850" t="s">
        <v>1581</v>
      </c>
      <c r="L850" t="str">
        <f>VLOOKUP(B850, Course!$A$1:$O$133, 14, FALSE)</f>
        <v>AC</v>
      </c>
      <c r="M850">
        <v>1</v>
      </c>
    </row>
    <row r="851" spans="1:13" x14ac:dyDescent="0.2">
      <c r="A851">
        <v>854</v>
      </c>
      <c r="B851">
        <v>79</v>
      </c>
      <c r="C851">
        <v>106</v>
      </c>
      <c r="D851" t="s">
        <v>285</v>
      </c>
      <c r="E851" t="str">
        <f t="shared" si="13"/>
        <v>106UK03PT</v>
      </c>
      <c r="F851">
        <f>VLOOKUP(B851,Course!$A$2:$R$329,2,FALSE)</f>
        <v>0</v>
      </c>
      <c r="G851">
        <f>VLOOKUP(B851, Course!$A$2:$L$150, 8, FALSE)</f>
        <v>1</v>
      </c>
      <c r="H851">
        <v>3</v>
      </c>
      <c r="I851">
        <v>1</v>
      </c>
      <c r="K851" t="s">
        <v>1581</v>
      </c>
      <c r="L851" t="str">
        <f>VLOOKUP(B851, Course!$A$1:$O$133, 14, FALSE)</f>
        <v>AC</v>
      </c>
      <c r="M851">
        <v>1</v>
      </c>
    </row>
    <row r="852" spans="1:13" x14ac:dyDescent="0.2">
      <c r="A852">
        <v>855</v>
      </c>
      <c r="B852">
        <v>79</v>
      </c>
      <c r="C852">
        <v>107</v>
      </c>
      <c r="D852" t="s">
        <v>285</v>
      </c>
      <c r="E852" t="str">
        <f t="shared" si="13"/>
        <v>107UK03PT</v>
      </c>
      <c r="F852">
        <f>VLOOKUP(B852,Course!$A$2:$R$329,2,FALSE)</f>
        <v>0</v>
      </c>
      <c r="G852">
        <f>VLOOKUP(B852, Course!$A$2:$L$150, 8, FALSE)</f>
        <v>1</v>
      </c>
      <c r="H852">
        <v>3</v>
      </c>
      <c r="I852">
        <v>1</v>
      </c>
      <c r="K852" t="s">
        <v>1581</v>
      </c>
      <c r="L852" t="str">
        <f>VLOOKUP(B852, Course!$A$1:$O$133, 14, FALSE)</f>
        <v>AC</v>
      </c>
      <c r="M852">
        <v>1</v>
      </c>
    </row>
    <row r="853" spans="1:13" x14ac:dyDescent="0.2">
      <c r="A853">
        <v>856</v>
      </c>
      <c r="B853">
        <v>79</v>
      </c>
      <c r="C853">
        <v>108</v>
      </c>
      <c r="D853" t="s">
        <v>285</v>
      </c>
      <c r="E853" t="str">
        <f t="shared" si="13"/>
        <v>108UK03PT</v>
      </c>
      <c r="F853">
        <f>VLOOKUP(B853,Course!$A$2:$R$329,2,FALSE)</f>
        <v>0</v>
      </c>
      <c r="G853">
        <f>VLOOKUP(B853, Course!$A$2:$L$150, 8, FALSE)</f>
        <v>1</v>
      </c>
      <c r="H853">
        <v>3</v>
      </c>
      <c r="I853">
        <v>1</v>
      </c>
      <c r="K853" t="s">
        <v>1581</v>
      </c>
      <c r="L853" t="str">
        <f>VLOOKUP(B853, Course!$A$1:$O$133, 14, FALSE)</f>
        <v>AC</v>
      </c>
      <c r="M853">
        <v>1</v>
      </c>
    </row>
    <row r="854" spans="1:13" x14ac:dyDescent="0.2">
      <c r="A854">
        <v>857</v>
      </c>
      <c r="B854">
        <v>80</v>
      </c>
      <c r="C854">
        <v>97</v>
      </c>
      <c r="D854" t="s">
        <v>328</v>
      </c>
      <c r="E854" t="str">
        <f t="shared" si="13"/>
        <v>1297WG03PT</v>
      </c>
      <c r="F854">
        <f>VLOOKUP(B854,Course!$A$2:$R$329,2,FALSE)</f>
        <v>0</v>
      </c>
      <c r="G854">
        <f>VLOOKUP(B854, Course!$A$2:$L$150, 8, FALSE)</f>
        <v>12</v>
      </c>
      <c r="H854">
        <v>3</v>
      </c>
      <c r="I854">
        <v>1</v>
      </c>
      <c r="K854" t="s">
        <v>1581</v>
      </c>
      <c r="L854" t="str">
        <f>VLOOKUP(B854, Course!$A$1:$O$133, 14, FALSE)</f>
        <v>WG</v>
      </c>
      <c r="M854">
        <v>1</v>
      </c>
    </row>
    <row r="855" spans="1:13" x14ac:dyDescent="0.2">
      <c r="A855">
        <v>858</v>
      </c>
      <c r="B855">
        <v>80</v>
      </c>
      <c r="C855">
        <v>98</v>
      </c>
      <c r="D855" t="s">
        <v>328</v>
      </c>
      <c r="E855" t="str">
        <f t="shared" si="13"/>
        <v>1298WG03PT</v>
      </c>
      <c r="F855">
        <f>VLOOKUP(B855,Course!$A$2:$R$329,2,FALSE)</f>
        <v>0</v>
      </c>
      <c r="G855">
        <f>VLOOKUP(B855, Course!$A$2:$L$150, 8, FALSE)</f>
        <v>12</v>
      </c>
      <c r="H855">
        <v>3</v>
      </c>
      <c r="I855">
        <v>1</v>
      </c>
      <c r="K855" t="s">
        <v>1581</v>
      </c>
      <c r="L855" t="str">
        <f>VLOOKUP(B855, Course!$A$1:$O$133, 14, FALSE)</f>
        <v>WG</v>
      </c>
      <c r="M855">
        <v>1</v>
      </c>
    </row>
    <row r="856" spans="1:13" x14ac:dyDescent="0.2">
      <c r="A856">
        <v>859</v>
      </c>
      <c r="B856">
        <v>80</v>
      </c>
      <c r="C856">
        <v>99</v>
      </c>
      <c r="D856" t="s">
        <v>328</v>
      </c>
      <c r="E856" t="str">
        <f t="shared" si="13"/>
        <v>1299WG03PT</v>
      </c>
      <c r="F856">
        <f>VLOOKUP(B856,Course!$A$2:$R$329,2,FALSE)</f>
        <v>0</v>
      </c>
      <c r="G856">
        <f>VLOOKUP(B856, Course!$A$2:$L$150, 8, FALSE)</f>
        <v>12</v>
      </c>
      <c r="H856">
        <v>3</v>
      </c>
      <c r="I856">
        <v>1</v>
      </c>
      <c r="K856" t="s">
        <v>1581</v>
      </c>
      <c r="L856" t="str">
        <f>VLOOKUP(B856, Course!$A$1:$O$133, 14, FALSE)</f>
        <v>WG</v>
      </c>
      <c r="M856">
        <v>1</v>
      </c>
    </row>
    <row r="857" spans="1:13" x14ac:dyDescent="0.2">
      <c r="A857">
        <v>860</v>
      </c>
      <c r="B857">
        <v>80</v>
      </c>
      <c r="C857">
        <v>100</v>
      </c>
      <c r="D857" t="s">
        <v>328</v>
      </c>
      <c r="E857" t="str">
        <f t="shared" si="13"/>
        <v>1200WG03PT</v>
      </c>
      <c r="F857">
        <f>VLOOKUP(B857,Course!$A$2:$R$329,2,FALSE)</f>
        <v>0</v>
      </c>
      <c r="G857">
        <f>VLOOKUP(B857, Course!$A$2:$L$150, 8, FALSE)</f>
        <v>12</v>
      </c>
      <c r="H857">
        <v>3</v>
      </c>
      <c r="I857">
        <v>1</v>
      </c>
      <c r="K857" t="s">
        <v>1581</v>
      </c>
      <c r="L857" t="str">
        <f>VLOOKUP(B857, Course!$A$1:$O$133, 14, FALSE)</f>
        <v>WG</v>
      </c>
      <c r="M857">
        <v>1</v>
      </c>
    </row>
    <row r="858" spans="1:13" x14ac:dyDescent="0.2">
      <c r="A858">
        <v>861</v>
      </c>
      <c r="B858">
        <v>80</v>
      </c>
      <c r="C858">
        <v>101</v>
      </c>
      <c r="D858" t="s">
        <v>328</v>
      </c>
      <c r="E858" t="str">
        <f t="shared" si="13"/>
        <v>1201WG03PT</v>
      </c>
      <c r="F858">
        <f>VLOOKUP(B858,Course!$A$2:$R$329,2,FALSE)</f>
        <v>0</v>
      </c>
      <c r="G858">
        <f>VLOOKUP(B858, Course!$A$2:$L$150, 8, FALSE)</f>
        <v>12</v>
      </c>
      <c r="H858">
        <v>3</v>
      </c>
      <c r="I858">
        <v>1</v>
      </c>
      <c r="K858" t="s">
        <v>1581</v>
      </c>
      <c r="L858" t="str">
        <f>VLOOKUP(B858, Course!$A$1:$O$133, 14, FALSE)</f>
        <v>WG</v>
      </c>
      <c r="M858">
        <v>1</v>
      </c>
    </row>
    <row r="859" spans="1:13" x14ac:dyDescent="0.2">
      <c r="A859">
        <v>862</v>
      </c>
      <c r="B859">
        <v>80</v>
      </c>
      <c r="C859">
        <v>102</v>
      </c>
      <c r="D859" t="s">
        <v>328</v>
      </c>
      <c r="E859" t="str">
        <f t="shared" si="13"/>
        <v>1202WG03PT</v>
      </c>
      <c r="F859">
        <f>VLOOKUP(B859,Course!$A$2:$R$329,2,FALSE)</f>
        <v>0</v>
      </c>
      <c r="G859">
        <f>VLOOKUP(B859, Course!$A$2:$L$150, 8, FALSE)</f>
        <v>12</v>
      </c>
      <c r="H859">
        <v>3</v>
      </c>
      <c r="I859">
        <v>1</v>
      </c>
      <c r="K859" t="s">
        <v>1581</v>
      </c>
      <c r="L859" t="str">
        <f>VLOOKUP(B859, Course!$A$1:$O$133, 14, FALSE)</f>
        <v>WG</v>
      </c>
      <c r="M859">
        <v>1</v>
      </c>
    </row>
    <row r="860" spans="1:13" x14ac:dyDescent="0.2">
      <c r="A860">
        <v>863</v>
      </c>
      <c r="B860">
        <v>80</v>
      </c>
      <c r="C860">
        <v>103</v>
      </c>
      <c r="D860" t="s">
        <v>328</v>
      </c>
      <c r="E860" t="str">
        <f t="shared" si="13"/>
        <v>1203WG03PT</v>
      </c>
      <c r="F860">
        <f>VLOOKUP(B860,Course!$A$2:$R$329,2,FALSE)</f>
        <v>0</v>
      </c>
      <c r="G860">
        <f>VLOOKUP(B860, Course!$A$2:$L$150, 8, FALSE)</f>
        <v>12</v>
      </c>
      <c r="H860">
        <v>3</v>
      </c>
      <c r="I860">
        <v>1</v>
      </c>
      <c r="K860" t="s">
        <v>1581</v>
      </c>
      <c r="L860" t="str">
        <f>VLOOKUP(B860, Course!$A$1:$O$133, 14, FALSE)</f>
        <v>WG</v>
      </c>
      <c r="M860">
        <v>1</v>
      </c>
    </row>
    <row r="861" spans="1:13" x14ac:dyDescent="0.2">
      <c r="A861">
        <v>864</v>
      </c>
      <c r="B861">
        <v>80</v>
      </c>
      <c r="C861">
        <v>104</v>
      </c>
      <c r="D861" t="s">
        <v>328</v>
      </c>
      <c r="E861" t="str">
        <f t="shared" si="13"/>
        <v>1204WG03PT</v>
      </c>
      <c r="F861">
        <f>VLOOKUP(B861,Course!$A$2:$R$329,2,FALSE)</f>
        <v>0</v>
      </c>
      <c r="G861">
        <f>VLOOKUP(B861, Course!$A$2:$L$150, 8, FALSE)</f>
        <v>12</v>
      </c>
      <c r="H861">
        <v>3</v>
      </c>
      <c r="I861">
        <v>1</v>
      </c>
      <c r="K861" t="s">
        <v>1581</v>
      </c>
      <c r="L861" t="str">
        <f>VLOOKUP(B861, Course!$A$1:$O$133, 14, FALSE)</f>
        <v>WG</v>
      </c>
      <c r="M861">
        <v>1</v>
      </c>
    </row>
    <row r="862" spans="1:13" x14ac:dyDescent="0.2">
      <c r="A862">
        <v>865</v>
      </c>
      <c r="B862">
        <v>80</v>
      </c>
      <c r="C862">
        <v>105</v>
      </c>
      <c r="D862" t="s">
        <v>328</v>
      </c>
      <c r="E862" t="str">
        <f t="shared" si="13"/>
        <v>1205WG03PT</v>
      </c>
      <c r="F862">
        <f>VLOOKUP(B862,Course!$A$2:$R$329,2,FALSE)</f>
        <v>0</v>
      </c>
      <c r="G862">
        <f>VLOOKUP(B862, Course!$A$2:$L$150, 8, FALSE)</f>
        <v>12</v>
      </c>
      <c r="H862">
        <v>3</v>
      </c>
      <c r="I862">
        <v>1</v>
      </c>
      <c r="K862" t="s">
        <v>1581</v>
      </c>
      <c r="L862" t="str">
        <f>VLOOKUP(B862, Course!$A$1:$O$133, 14, FALSE)</f>
        <v>WG</v>
      </c>
      <c r="M862">
        <v>1</v>
      </c>
    </row>
    <row r="863" spans="1:13" x14ac:dyDescent="0.2">
      <c r="A863">
        <v>866</v>
      </c>
      <c r="B863">
        <v>80</v>
      </c>
      <c r="C863">
        <v>106</v>
      </c>
      <c r="D863" t="s">
        <v>328</v>
      </c>
      <c r="E863" t="str">
        <f t="shared" si="13"/>
        <v>1206WG03PT</v>
      </c>
      <c r="F863">
        <f>VLOOKUP(B863,Course!$A$2:$R$329,2,FALSE)</f>
        <v>0</v>
      </c>
      <c r="G863">
        <f>VLOOKUP(B863, Course!$A$2:$L$150, 8, FALSE)</f>
        <v>12</v>
      </c>
      <c r="H863">
        <v>3</v>
      </c>
      <c r="I863">
        <v>1</v>
      </c>
      <c r="K863" t="s">
        <v>1581</v>
      </c>
      <c r="L863" t="str">
        <f>VLOOKUP(B863, Course!$A$1:$O$133, 14, FALSE)</f>
        <v>WG</v>
      </c>
      <c r="M863">
        <v>1</v>
      </c>
    </row>
    <row r="864" spans="1:13" x14ac:dyDescent="0.2">
      <c r="A864">
        <v>867</v>
      </c>
      <c r="B864">
        <v>80</v>
      </c>
      <c r="C864">
        <v>107</v>
      </c>
      <c r="D864" t="s">
        <v>328</v>
      </c>
      <c r="E864" t="str">
        <f t="shared" si="13"/>
        <v>1207WG03PT</v>
      </c>
      <c r="F864">
        <f>VLOOKUP(B864,Course!$A$2:$R$329,2,FALSE)</f>
        <v>0</v>
      </c>
      <c r="G864">
        <f>VLOOKUP(B864, Course!$A$2:$L$150, 8, FALSE)</f>
        <v>12</v>
      </c>
      <c r="H864">
        <v>3</v>
      </c>
      <c r="I864">
        <v>1</v>
      </c>
      <c r="K864" t="s">
        <v>1581</v>
      </c>
      <c r="L864" t="str">
        <f>VLOOKUP(B864, Course!$A$1:$O$133, 14, FALSE)</f>
        <v>WG</v>
      </c>
      <c r="M864">
        <v>1</v>
      </c>
    </row>
    <row r="865" spans="1:13" x14ac:dyDescent="0.2">
      <c r="A865">
        <v>868</v>
      </c>
      <c r="B865">
        <v>80</v>
      </c>
      <c r="C865">
        <v>108</v>
      </c>
      <c r="D865" t="s">
        <v>328</v>
      </c>
      <c r="E865" t="str">
        <f t="shared" si="13"/>
        <v>1208WG03PT</v>
      </c>
      <c r="F865">
        <f>VLOOKUP(B865,Course!$A$2:$R$329,2,FALSE)</f>
        <v>0</v>
      </c>
      <c r="G865">
        <f>VLOOKUP(B865, Course!$A$2:$L$150, 8, FALSE)</f>
        <v>12</v>
      </c>
      <c r="H865">
        <v>3</v>
      </c>
      <c r="I865">
        <v>1</v>
      </c>
      <c r="K865" t="s">
        <v>1581</v>
      </c>
      <c r="L865" t="str">
        <f>VLOOKUP(B865, Course!$A$1:$O$133, 14, FALSE)</f>
        <v>WG</v>
      </c>
      <c r="M865">
        <v>1</v>
      </c>
    </row>
    <row r="866" spans="1:13" x14ac:dyDescent="0.2">
      <c r="A866">
        <v>869</v>
      </c>
      <c r="B866">
        <v>81</v>
      </c>
      <c r="C866" s="13">
        <v>1</v>
      </c>
      <c r="D866" s="13" t="s">
        <v>330</v>
      </c>
      <c r="E866" s="13" t="str">
        <f t="shared" si="13"/>
        <v>201AP03PT</v>
      </c>
      <c r="F866">
        <f>VLOOKUP(B866,Course!$A$2:$R$329,2,FALSE)</f>
        <v>0</v>
      </c>
      <c r="G866">
        <f>VLOOKUP(B866, Course!$A$2:$L$150, 8, FALSE)</f>
        <v>2</v>
      </c>
      <c r="H866">
        <v>3</v>
      </c>
      <c r="I866">
        <v>1</v>
      </c>
      <c r="J866">
        <v>2022</v>
      </c>
      <c r="K866" t="s">
        <v>1581</v>
      </c>
      <c r="L866" t="str">
        <f>VLOOKUP(B866, Course!$A$1:$O$133, 14, FALSE)</f>
        <v>AP</v>
      </c>
      <c r="M866">
        <v>1</v>
      </c>
    </row>
    <row r="867" spans="1:13" x14ac:dyDescent="0.2">
      <c r="A867">
        <v>870</v>
      </c>
      <c r="B867">
        <v>81</v>
      </c>
      <c r="C867" s="13">
        <v>2</v>
      </c>
      <c r="D867" s="13" t="s">
        <v>330</v>
      </c>
      <c r="E867" s="13" t="str">
        <f t="shared" si="13"/>
        <v>202AP03PT</v>
      </c>
      <c r="F867">
        <f>VLOOKUP(B867,Course!$A$2:$R$329,2,FALSE)</f>
        <v>0</v>
      </c>
      <c r="G867">
        <f>VLOOKUP(B867, Course!$A$2:$L$150, 8, FALSE)</f>
        <v>2</v>
      </c>
      <c r="H867">
        <v>3</v>
      </c>
      <c r="I867">
        <v>1</v>
      </c>
      <c r="J867">
        <v>2022</v>
      </c>
      <c r="K867" t="s">
        <v>1581</v>
      </c>
      <c r="L867" t="str">
        <f>VLOOKUP(B867, Course!$A$1:$O$133, 14, FALSE)</f>
        <v>AP</v>
      </c>
      <c r="M867">
        <v>1</v>
      </c>
    </row>
    <row r="868" spans="1:13" x14ac:dyDescent="0.2">
      <c r="A868">
        <v>871</v>
      </c>
      <c r="B868">
        <v>81</v>
      </c>
      <c r="C868" s="13">
        <v>97</v>
      </c>
      <c r="D868" s="13" t="s">
        <v>330</v>
      </c>
      <c r="E868" s="13" t="str">
        <f t="shared" ref="E868:E873" si="14">UPPER(LEFT(G868,2)) &amp; RIGHT("0" &amp; C868, 2) &amp; D868 &amp; RIGHT("0" &amp; H868, 2) &amp; K868</f>
        <v>297AP03PT</v>
      </c>
      <c r="F868">
        <f>VLOOKUP(B868,Course!$A$2:$R$329,2,FALSE)</f>
        <v>0</v>
      </c>
      <c r="G868">
        <f>VLOOKUP(B868, Course!$A$2:$L$150, 8, FALSE)</f>
        <v>2</v>
      </c>
      <c r="H868">
        <v>3</v>
      </c>
      <c r="I868">
        <v>1</v>
      </c>
      <c r="J868">
        <v>2018</v>
      </c>
      <c r="K868" t="s">
        <v>1581</v>
      </c>
      <c r="L868" t="str">
        <f>VLOOKUP(B868, Course!$A$1:$O$133, 14, FALSE)</f>
        <v>AP</v>
      </c>
      <c r="M868">
        <v>1</v>
      </c>
    </row>
    <row r="869" spans="1:13" x14ac:dyDescent="0.2">
      <c r="A869">
        <v>872</v>
      </c>
      <c r="B869">
        <v>81</v>
      </c>
      <c r="C869" s="13">
        <v>98</v>
      </c>
      <c r="D869" s="13" t="s">
        <v>330</v>
      </c>
      <c r="E869" s="13" t="str">
        <f t="shared" si="14"/>
        <v>298AP03PT</v>
      </c>
      <c r="F869">
        <f>VLOOKUP(B869,Course!$A$2:$R$329,2,FALSE)</f>
        <v>0</v>
      </c>
      <c r="G869">
        <f>VLOOKUP(B869, Course!$A$2:$L$150, 8, FALSE)</f>
        <v>2</v>
      </c>
      <c r="H869">
        <v>3</v>
      </c>
      <c r="I869">
        <v>1</v>
      </c>
      <c r="J869">
        <v>2018</v>
      </c>
      <c r="K869" t="s">
        <v>1581</v>
      </c>
      <c r="L869" t="str">
        <f>VLOOKUP(B869, Course!$A$1:$O$133, 14, FALSE)</f>
        <v>AP</v>
      </c>
      <c r="M869">
        <v>1</v>
      </c>
    </row>
    <row r="870" spans="1:13" x14ac:dyDescent="0.2">
      <c r="A870">
        <v>873</v>
      </c>
      <c r="B870">
        <v>81</v>
      </c>
      <c r="C870" s="13">
        <v>99</v>
      </c>
      <c r="D870" s="13" t="s">
        <v>330</v>
      </c>
      <c r="E870" s="13" t="str">
        <f t="shared" si="14"/>
        <v>299AP03PT</v>
      </c>
      <c r="F870">
        <f>VLOOKUP(B870,Course!$A$2:$R$329,2,FALSE)</f>
        <v>0</v>
      </c>
      <c r="G870">
        <f>VLOOKUP(B870, Course!$A$2:$L$150, 8, FALSE)</f>
        <v>2</v>
      </c>
      <c r="H870">
        <v>3</v>
      </c>
      <c r="I870">
        <v>1</v>
      </c>
      <c r="J870">
        <v>2018</v>
      </c>
      <c r="K870" t="s">
        <v>1581</v>
      </c>
      <c r="L870" t="str">
        <f>VLOOKUP(B870, Course!$A$1:$O$133, 14, FALSE)</f>
        <v>AP</v>
      </c>
      <c r="M870">
        <v>1</v>
      </c>
    </row>
    <row r="871" spans="1:13" x14ac:dyDescent="0.2">
      <c r="A871">
        <v>874</v>
      </c>
      <c r="B871">
        <v>81</v>
      </c>
      <c r="C871" s="13">
        <v>100</v>
      </c>
      <c r="D871" s="13" t="s">
        <v>330</v>
      </c>
      <c r="E871" s="13" t="str">
        <f t="shared" si="14"/>
        <v>200AP03PT</v>
      </c>
      <c r="F871">
        <f>VLOOKUP(B871,Course!$A$2:$R$329,2,FALSE)</f>
        <v>0</v>
      </c>
      <c r="G871">
        <f>VLOOKUP(B871, Course!$A$2:$L$150, 8, FALSE)</f>
        <v>2</v>
      </c>
      <c r="H871">
        <v>3</v>
      </c>
      <c r="I871">
        <v>1</v>
      </c>
      <c r="J871">
        <v>2018</v>
      </c>
      <c r="K871" t="s">
        <v>1581</v>
      </c>
      <c r="L871" t="str">
        <f>VLOOKUP(B871, Course!$A$1:$O$133, 14, FALSE)</f>
        <v>AP</v>
      </c>
      <c r="M871">
        <v>1</v>
      </c>
    </row>
    <row r="872" spans="1:13" x14ac:dyDescent="0.2">
      <c r="A872">
        <v>875</v>
      </c>
      <c r="B872">
        <v>81</v>
      </c>
      <c r="C872" s="13">
        <v>101</v>
      </c>
      <c r="D872" s="13" t="s">
        <v>330</v>
      </c>
      <c r="E872" s="13" t="str">
        <f t="shared" si="14"/>
        <v>201AP03PT</v>
      </c>
      <c r="F872">
        <f>VLOOKUP(B872,Course!$A$2:$R$329,2,FALSE)</f>
        <v>0</v>
      </c>
      <c r="G872">
        <f>VLOOKUP(B872, Course!$A$2:$L$150, 8, FALSE)</f>
        <v>2</v>
      </c>
      <c r="H872">
        <v>3</v>
      </c>
      <c r="I872">
        <v>1</v>
      </c>
      <c r="J872">
        <v>2018</v>
      </c>
      <c r="K872" t="s">
        <v>1581</v>
      </c>
      <c r="L872" t="str">
        <f>VLOOKUP(B872, Course!$A$1:$O$133, 14, FALSE)</f>
        <v>AP</v>
      </c>
      <c r="M872">
        <v>1</v>
      </c>
    </row>
    <row r="873" spans="1:13" x14ac:dyDescent="0.2">
      <c r="A873">
        <v>876</v>
      </c>
      <c r="B873">
        <v>81</v>
      </c>
      <c r="C873" s="13">
        <v>102</v>
      </c>
      <c r="D873" s="13" t="s">
        <v>330</v>
      </c>
      <c r="E873" s="13" t="str">
        <f t="shared" si="14"/>
        <v>202AP03PT</v>
      </c>
      <c r="F873">
        <f>VLOOKUP(B873,Course!$A$2:$R$329,2,FALSE)</f>
        <v>0</v>
      </c>
      <c r="G873">
        <f>VLOOKUP(B873, Course!$A$2:$L$150, 8, FALSE)</f>
        <v>2</v>
      </c>
      <c r="H873">
        <v>3</v>
      </c>
      <c r="I873">
        <v>1</v>
      </c>
      <c r="J873">
        <v>2018</v>
      </c>
      <c r="K873" t="s">
        <v>1581</v>
      </c>
      <c r="L873" t="str">
        <f>VLOOKUP(B873, Course!$A$1:$O$133, 14, FALSE)</f>
        <v>AP</v>
      </c>
      <c r="M873">
        <v>1</v>
      </c>
    </row>
    <row r="874" spans="1:13" x14ac:dyDescent="0.2">
      <c r="A874">
        <v>877</v>
      </c>
      <c r="B874">
        <v>82</v>
      </c>
      <c r="C874">
        <v>1</v>
      </c>
      <c r="D874" t="s">
        <v>332</v>
      </c>
      <c r="E874" t="str">
        <f t="shared" ref="E874:E937" si="15">UPPER(LEFT(G874,2)) &amp; RIGHT("0" &amp; C874, 2) &amp; D874 &amp; RIGHT("0" &amp; H874, 2) &amp; K874</f>
        <v>601MI03PT</v>
      </c>
      <c r="F874">
        <f>VLOOKUP(B874,Course!$A$2:$R$329,2,FALSE)</f>
        <v>0</v>
      </c>
      <c r="G874">
        <f>VLOOKUP(B874, Course!$A$2:$L$150, 8, FALSE)</f>
        <v>6</v>
      </c>
      <c r="H874">
        <v>3</v>
      </c>
      <c r="I874">
        <v>1</v>
      </c>
      <c r="K874" t="s">
        <v>1581</v>
      </c>
      <c r="L874" t="str">
        <f>VLOOKUP(B874, Course!$A$1:$O$133, 14, FALSE)</f>
        <v>MI</v>
      </c>
      <c r="M874">
        <v>1</v>
      </c>
    </row>
    <row r="875" spans="1:13" x14ac:dyDescent="0.2">
      <c r="A875">
        <v>878</v>
      </c>
      <c r="B875">
        <v>82</v>
      </c>
      <c r="C875">
        <v>2</v>
      </c>
      <c r="D875" t="s">
        <v>332</v>
      </c>
      <c r="E875" t="str">
        <f t="shared" si="15"/>
        <v>602MI03PT</v>
      </c>
      <c r="F875">
        <f>VLOOKUP(B875,Course!$A$2:$R$329,2,FALSE)</f>
        <v>0</v>
      </c>
      <c r="G875">
        <f>VLOOKUP(B875, Course!$A$2:$L$150, 8, FALSE)</f>
        <v>6</v>
      </c>
      <c r="H875">
        <v>3</v>
      </c>
      <c r="I875">
        <v>1</v>
      </c>
      <c r="K875" t="s">
        <v>1581</v>
      </c>
      <c r="L875" t="str">
        <f>VLOOKUP(B875, Course!$A$1:$O$133, 14, FALSE)</f>
        <v>MI</v>
      </c>
      <c r="M875">
        <v>1</v>
      </c>
    </row>
    <row r="876" spans="1:13" x14ac:dyDescent="0.2">
      <c r="A876">
        <v>879</v>
      </c>
      <c r="B876">
        <v>82</v>
      </c>
      <c r="C876">
        <v>3</v>
      </c>
      <c r="D876" t="s">
        <v>332</v>
      </c>
      <c r="E876" t="str">
        <f t="shared" si="15"/>
        <v>603MI03PT</v>
      </c>
      <c r="F876">
        <f>VLOOKUP(B876,Course!$A$2:$R$329,2,FALSE)</f>
        <v>0</v>
      </c>
      <c r="G876">
        <f>VLOOKUP(B876, Course!$A$2:$L$150, 8, FALSE)</f>
        <v>6</v>
      </c>
      <c r="H876">
        <v>3</v>
      </c>
      <c r="I876">
        <v>1</v>
      </c>
      <c r="K876" t="s">
        <v>1581</v>
      </c>
      <c r="L876" t="str">
        <f>VLOOKUP(B876, Course!$A$1:$O$133, 14, FALSE)</f>
        <v>MI</v>
      </c>
      <c r="M876">
        <v>1</v>
      </c>
    </row>
    <row r="877" spans="1:13" x14ac:dyDescent="0.2">
      <c r="A877">
        <v>880</v>
      </c>
      <c r="B877">
        <v>82</v>
      </c>
      <c r="C877">
        <v>4</v>
      </c>
      <c r="D877" t="s">
        <v>332</v>
      </c>
      <c r="E877" t="str">
        <f t="shared" si="15"/>
        <v>604MI03PT</v>
      </c>
      <c r="F877">
        <f>VLOOKUP(B877,Course!$A$2:$R$329,2,FALSE)</f>
        <v>0</v>
      </c>
      <c r="G877">
        <f>VLOOKUP(B877, Course!$A$2:$L$150, 8, FALSE)</f>
        <v>6</v>
      </c>
      <c r="H877">
        <v>3</v>
      </c>
      <c r="I877">
        <v>1</v>
      </c>
      <c r="K877" t="s">
        <v>1581</v>
      </c>
      <c r="L877" t="str">
        <f>VLOOKUP(B877, Course!$A$1:$O$133, 14, FALSE)</f>
        <v>MI</v>
      </c>
      <c r="M877">
        <v>1</v>
      </c>
    </row>
    <row r="878" spans="1:13" x14ac:dyDescent="0.2">
      <c r="A878">
        <v>881</v>
      </c>
      <c r="B878">
        <v>82</v>
      </c>
      <c r="C878">
        <v>5</v>
      </c>
      <c r="D878" t="s">
        <v>332</v>
      </c>
      <c r="E878" t="str">
        <f t="shared" si="15"/>
        <v>605MI03PT</v>
      </c>
      <c r="F878">
        <f>VLOOKUP(B878,Course!$A$2:$R$329,2,FALSE)</f>
        <v>0</v>
      </c>
      <c r="G878">
        <f>VLOOKUP(B878, Course!$A$2:$L$150, 8, FALSE)</f>
        <v>6</v>
      </c>
      <c r="H878">
        <v>3</v>
      </c>
      <c r="I878">
        <v>1</v>
      </c>
      <c r="K878" t="s">
        <v>1581</v>
      </c>
      <c r="L878" t="str">
        <f>VLOOKUP(B878, Course!$A$1:$O$133, 14, FALSE)</f>
        <v>MI</v>
      </c>
      <c r="M878">
        <v>1</v>
      </c>
    </row>
    <row r="879" spans="1:13" x14ac:dyDescent="0.2">
      <c r="A879">
        <v>882</v>
      </c>
      <c r="B879">
        <v>82</v>
      </c>
      <c r="C879">
        <v>6</v>
      </c>
      <c r="D879" t="s">
        <v>332</v>
      </c>
      <c r="E879" t="str">
        <f t="shared" si="15"/>
        <v>606MI03PT</v>
      </c>
      <c r="F879">
        <f>VLOOKUP(B879,Course!$A$2:$R$329,2,FALSE)</f>
        <v>0</v>
      </c>
      <c r="G879">
        <f>VLOOKUP(B879, Course!$A$2:$L$150, 8, FALSE)</f>
        <v>6</v>
      </c>
      <c r="H879">
        <v>3</v>
      </c>
      <c r="I879">
        <v>1</v>
      </c>
      <c r="K879" t="s">
        <v>1581</v>
      </c>
      <c r="L879" t="str">
        <f>VLOOKUP(B879, Course!$A$1:$O$133, 14, FALSE)</f>
        <v>MI</v>
      </c>
      <c r="M879">
        <v>1</v>
      </c>
    </row>
    <row r="880" spans="1:13" x14ac:dyDescent="0.2">
      <c r="A880">
        <v>883</v>
      </c>
      <c r="B880">
        <v>83</v>
      </c>
      <c r="C880">
        <v>1</v>
      </c>
      <c r="D880" t="s">
        <v>334</v>
      </c>
      <c r="E880" t="str">
        <f t="shared" si="15"/>
        <v>1201SL03PT</v>
      </c>
      <c r="F880">
        <f>VLOOKUP(B880,Course!$A$2:$R$329,2,FALSE)</f>
        <v>0</v>
      </c>
      <c r="G880">
        <f>VLOOKUP(B880, Course!$A$2:$L$150, 8, FALSE)</f>
        <v>12</v>
      </c>
      <c r="H880">
        <v>3</v>
      </c>
      <c r="I880">
        <v>1</v>
      </c>
      <c r="K880" t="s">
        <v>1581</v>
      </c>
      <c r="L880" t="str">
        <f>VLOOKUP(B880, Course!$A$1:$O$133, 14, FALSE)</f>
        <v>SL</v>
      </c>
      <c r="M880">
        <v>1</v>
      </c>
    </row>
    <row r="881" spans="1:13" x14ac:dyDescent="0.2">
      <c r="A881">
        <v>884</v>
      </c>
      <c r="B881">
        <v>83</v>
      </c>
      <c r="C881">
        <v>2</v>
      </c>
      <c r="D881" t="s">
        <v>334</v>
      </c>
      <c r="E881" t="str">
        <f t="shared" si="15"/>
        <v>1202SL03PT</v>
      </c>
      <c r="F881">
        <f>VLOOKUP(B881,Course!$A$2:$R$329,2,FALSE)</f>
        <v>0</v>
      </c>
      <c r="G881">
        <f>VLOOKUP(B881, Course!$A$2:$L$150, 8, FALSE)</f>
        <v>12</v>
      </c>
      <c r="H881">
        <v>3</v>
      </c>
      <c r="I881">
        <v>1</v>
      </c>
      <c r="K881" t="s">
        <v>1581</v>
      </c>
      <c r="L881" t="str">
        <f>VLOOKUP(B881, Course!$A$1:$O$133, 14, FALSE)</f>
        <v>SL</v>
      </c>
      <c r="M881">
        <v>1</v>
      </c>
    </row>
    <row r="882" spans="1:13" x14ac:dyDescent="0.2">
      <c r="A882">
        <v>885</v>
      </c>
      <c r="B882">
        <v>83</v>
      </c>
      <c r="C882">
        <v>3</v>
      </c>
      <c r="D882" t="s">
        <v>334</v>
      </c>
      <c r="E882" t="str">
        <f t="shared" si="15"/>
        <v>1203SL03PT</v>
      </c>
      <c r="F882">
        <f>VLOOKUP(B882,Course!$A$2:$R$329,2,FALSE)</f>
        <v>0</v>
      </c>
      <c r="G882">
        <f>VLOOKUP(B882, Course!$A$2:$L$150, 8, FALSE)</f>
        <v>12</v>
      </c>
      <c r="H882">
        <v>3</v>
      </c>
      <c r="I882">
        <v>1</v>
      </c>
      <c r="K882" t="s">
        <v>1581</v>
      </c>
      <c r="L882" t="str">
        <f>VLOOKUP(B882, Course!$A$1:$O$133, 14, FALSE)</f>
        <v>SL</v>
      </c>
      <c r="M882">
        <v>1</v>
      </c>
    </row>
    <row r="883" spans="1:13" x14ac:dyDescent="0.2">
      <c r="A883">
        <v>886</v>
      </c>
      <c r="B883">
        <v>83</v>
      </c>
      <c r="C883">
        <v>4</v>
      </c>
      <c r="D883" t="s">
        <v>334</v>
      </c>
      <c r="E883" t="str">
        <f t="shared" si="15"/>
        <v>1204SL03PT</v>
      </c>
      <c r="F883">
        <f>VLOOKUP(B883,Course!$A$2:$R$329,2,FALSE)</f>
        <v>0</v>
      </c>
      <c r="G883">
        <f>VLOOKUP(B883, Course!$A$2:$L$150, 8, FALSE)</f>
        <v>12</v>
      </c>
      <c r="H883">
        <v>3</v>
      </c>
      <c r="I883">
        <v>1</v>
      </c>
      <c r="K883" t="s">
        <v>1581</v>
      </c>
      <c r="L883" t="str">
        <f>VLOOKUP(B883, Course!$A$1:$O$133, 14, FALSE)</f>
        <v>SL</v>
      </c>
      <c r="M883">
        <v>1</v>
      </c>
    </row>
    <row r="884" spans="1:13" x14ac:dyDescent="0.2">
      <c r="A884">
        <v>887</v>
      </c>
      <c r="B884">
        <v>83</v>
      </c>
      <c r="C884">
        <v>5</v>
      </c>
      <c r="D884" t="s">
        <v>334</v>
      </c>
      <c r="E884" t="str">
        <f t="shared" si="15"/>
        <v>1205SL03PT</v>
      </c>
      <c r="F884">
        <f>VLOOKUP(B884,Course!$A$2:$R$329,2,FALSE)</f>
        <v>0</v>
      </c>
      <c r="G884">
        <f>VLOOKUP(B884, Course!$A$2:$L$150, 8, FALSE)</f>
        <v>12</v>
      </c>
      <c r="H884">
        <v>3</v>
      </c>
      <c r="I884">
        <v>1</v>
      </c>
      <c r="K884" t="s">
        <v>1581</v>
      </c>
      <c r="L884" t="str">
        <f>VLOOKUP(B884, Course!$A$1:$O$133, 14, FALSE)</f>
        <v>SL</v>
      </c>
      <c r="M884">
        <v>1</v>
      </c>
    </row>
    <row r="885" spans="1:13" x14ac:dyDescent="0.2">
      <c r="A885">
        <v>888</v>
      </c>
      <c r="B885">
        <v>83</v>
      </c>
      <c r="C885">
        <v>6</v>
      </c>
      <c r="D885" t="s">
        <v>334</v>
      </c>
      <c r="E885" t="str">
        <f t="shared" si="15"/>
        <v>1206SL03PT</v>
      </c>
      <c r="F885">
        <f>VLOOKUP(B885,Course!$A$2:$R$329,2,FALSE)</f>
        <v>0</v>
      </c>
      <c r="G885">
        <f>VLOOKUP(B885, Course!$A$2:$L$150, 8, FALSE)</f>
        <v>12</v>
      </c>
      <c r="H885">
        <v>3</v>
      </c>
      <c r="I885">
        <v>1</v>
      </c>
      <c r="K885" t="s">
        <v>1581</v>
      </c>
      <c r="L885" t="str">
        <f>VLOOKUP(B885, Course!$A$1:$O$133, 14, FALSE)</f>
        <v>SL</v>
      </c>
      <c r="M885">
        <v>1</v>
      </c>
    </row>
    <row r="886" spans="1:13" x14ac:dyDescent="0.2">
      <c r="A886">
        <v>889</v>
      </c>
      <c r="B886">
        <v>83</v>
      </c>
      <c r="C886">
        <v>7</v>
      </c>
      <c r="D886" t="s">
        <v>334</v>
      </c>
      <c r="E886" t="str">
        <f t="shared" si="15"/>
        <v>1207SL03PT</v>
      </c>
      <c r="F886">
        <f>VLOOKUP(B886,Course!$A$2:$R$329,2,FALSE)</f>
        <v>0</v>
      </c>
      <c r="G886">
        <f>VLOOKUP(B886, Course!$A$2:$L$150, 8, FALSE)</f>
        <v>12</v>
      </c>
      <c r="H886">
        <v>3</v>
      </c>
      <c r="I886">
        <v>1</v>
      </c>
      <c r="K886" t="s">
        <v>1581</v>
      </c>
      <c r="L886" t="str">
        <f>VLOOKUP(B886, Course!$A$1:$O$133, 14, FALSE)</f>
        <v>SL</v>
      </c>
      <c r="M886">
        <v>1</v>
      </c>
    </row>
    <row r="887" spans="1:13" x14ac:dyDescent="0.2">
      <c r="A887">
        <v>890</v>
      </c>
      <c r="B887">
        <v>83</v>
      </c>
      <c r="C887">
        <v>8</v>
      </c>
      <c r="D887" t="s">
        <v>334</v>
      </c>
      <c r="E887" t="str">
        <f t="shared" si="15"/>
        <v>1208SL03PT</v>
      </c>
      <c r="F887">
        <f>VLOOKUP(B887,Course!$A$2:$R$329,2,FALSE)</f>
        <v>0</v>
      </c>
      <c r="G887">
        <f>VLOOKUP(B887, Course!$A$2:$L$150, 8, FALSE)</f>
        <v>12</v>
      </c>
      <c r="H887">
        <v>3</v>
      </c>
      <c r="I887">
        <v>1</v>
      </c>
      <c r="K887" t="s">
        <v>1581</v>
      </c>
      <c r="L887" t="str">
        <f>VLOOKUP(B887, Course!$A$1:$O$133, 14, FALSE)</f>
        <v>SL</v>
      </c>
      <c r="M887">
        <v>1</v>
      </c>
    </row>
    <row r="888" spans="1:13" x14ac:dyDescent="0.2">
      <c r="A888">
        <v>891</v>
      </c>
      <c r="B888">
        <v>83</v>
      </c>
      <c r="C888">
        <v>9</v>
      </c>
      <c r="D888" t="s">
        <v>334</v>
      </c>
      <c r="E888" t="str">
        <f t="shared" si="15"/>
        <v>1209SL03PT</v>
      </c>
      <c r="F888">
        <f>VLOOKUP(B888,Course!$A$2:$R$329,2,FALSE)</f>
        <v>0</v>
      </c>
      <c r="G888">
        <f>VLOOKUP(B888, Course!$A$2:$L$150, 8, FALSE)</f>
        <v>12</v>
      </c>
      <c r="H888">
        <v>3</v>
      </c>
      <c r="I888">
        <v>1</v>
      </c>
      <c r="K888" t="s">
        <v>1581</v>
      </c>
      <c r="L888" t="str">
        <f>VLOOKUP(B888, Course!$A$1:$O$133, 14, FALSE)</f>
        <v>SL</v>
      </c>
      <c r="M888">
        <v>1</v>
      </c>
    </row>
    <row r="889" spans="1:13" x14ac:dyDescent="0.2">
      <c r="A889">
        <v>892</v>
      </c>
      <c r="B889">
        <v>83</v>
      </c>
      <c r="C889">
        <v>10</v>
      </c>
      <c r="D889" t="s">
        <v>334</v>
      </c>
      <c r="E889" t="str">
        <f t="shared" si="15"/>
        <v>1210SL03PT</v>
      </c>
      <c r="F889">
        <f>VLOOKUP(B889,Course!$A$2:$R$329,2,FALSE)</f>
        <v>0</v>
      </c>
      <c r="G889">
        <f>VLOOKUP(B889, Course!$A$2:$L$150, 8, FALSE)</f>
        <v>12</v>
      </c>
      <c r="H889">
        <v>3</v>
      </c>
      <c r="I889">
        <v>1</v>
      </c>
      <c r="K889" t="s">
        <v>1581</v>
      </c>
      <c r="L889" t="str">
        <f>VLOOKUP(B889, Course!$A$1:$O$133, 14, FALSE)</f>
        <v>SL</v>
      </c>
      <c r="M889">
        <v>1</v>
      </c>
    </row>
    <row r="890" spans="1:13" x14ac:dyDescent="0.2">
      <c r="A890">
        <v>893</v>
      </c>
      <c r="B890">
        <v>83</v>
      </c>
      <c r="C890">
        <v>11</v>
      </c>
      <c r="D890" t="s">
        <v>334</v>
      </c>
      <c r="E890" t="str">
        <f t="shared" si="15"/>
        <v>1211SL03PT</v>
      </c>
      <c r="F890">
        <f>VLOOKUP(B890,Course!$A$2:$R$329,2,FALSE)</f>
        <v>0</v>
      </c>
      <c r="G890">
        <f>VLOOKUP(B890, Course!$A$2:$L$150, 8, FALSE)</f>
        <v>12</v>
      </c>
      <c r="H890">
        <v>3</v>
      </c>
      <c r="I890">
        <v>1</v>
      </c>
      <c r="K890" t="s">
        <v>1581</v>
      </c>
      <c r="L890" t="str">
        <f>VLOOKUP(B890, Course!$A$1:$O$133, 14, FALSE)</f>
        <v>SL</v>
      </c>
      <c r="M890">
        <v>1</v>
      </c>
    </row>
    <row r="891" spans="1:13" x14ac:dyDescent="0.2">
      <c r="A891">
        <v>894</v>
      </c>
      <c r="B891">
        <v>83</v>
      </c>
      <c r="C891">
        <v>12</v>
      </c>
      <c r="D891" t="s">
        <v>334</v>
      </c>
      <c r="E891" t="str">
        <f t="shared" si="15"/>
        <v>1212SL03PT</v>
      </c>
      <c r="F891">
        <f>VLOOKUP(B891,Course!$A$2:$R$329,2,FALSE)</f>
        <v>0</v>
      </c>
      <c r="G891">
        <f>VLOOKUP(B891, Course!$A$2:$L$150, 8, FALSE)</f>
        <v>12</v>
      </c>
      <c r="H891">
        <v>3</v>
      </c>
      <c r="I891">
        <v>1</v>
      </c>
      <c r="K891" t="s">
        <v>1581</v>
      </c>
      <c r="L891" t="str">
        <f>VLOOKUP(B891, Course!$A$1:$O$133, 14, FALSE)</f>
        <v>SL</v>
      </c>
      <c r="M891">
        <v>1</v>
      </c>
    </row>
    <row r="892" spans="1:13" x14ac:dyDescent="0.2">
      <c r="A892">
        <v>895</v>
      </c>
      <c r="B892">
        <v>85</v>
      </c>
      <c r="C892">
        <v>1</v>
      </c>
      <c r="D892" t="s">
        <v>339</v>
      </c>
      <c r="E892" t="str">
        <f t="shared" si="15"/>
        <v>801ED03PT</v>
      </c>
      <c r="F892">
        <f>VLOOKUP(B892,Course!$A$2:$R$329,2,FALSE)</f>
        <v>0</v>
      </c>
      <c r="G892">
        <f>VLOOKUP(B892, Course!$A$2:$L$150, 8, FALSE)</f>
        <v>8</v>
      </c>
      <c r="H892">
        <v>3</v>
      </c>
      <c r="I892">
        <v>1</v>
      </c>
      <c r="K892" t="s">
        <v>1581</v>
      </c>
      <c r="L892" t="str">
        <f>VLOOKUP(B892, Course!$A$1:$O$133, 14, FALSE)</f>
        <v>ED</v>
      </c>
      <c r="M892">
        <v>1</v>
      </c>
    </row>
    <row r="893" spans="1:13" x14ac:dyDescent="0.2">
      <c r="A893">
        <v>896</v>
      </c>
      <c r="B893">
        <v>85</v>
      </c>
      <c r="C893">
        <v>2</v>
      </c>
      <c r="D893" t="s">
        <v>339</v>
      </c>
      <c r="E893" t="str">
        <f t="shared" si="15"/>
        <v>802ED03PT</v>
      </c>
      <c r="F893">
        <f>VLOOKUP(B893,Course!$A$2:$R$329,2,FALSE)</f>
        <v>0</v>
      </c>
      <c r="G893">
        <f>VLOOKUP(B893, Course!$A$2:$L$150, 8, FALSE)</f>
        <v>8</v>
      </c>
      <c r="H893">
        <v>3</v>
      </c>
      <c r="I893">
        <v>1</v>
      </c>
      <c r="K893" t="s">
        <v>1581</v>
      </c>
      <c r="L893" t="str">
        <f>VLOOKUP(B893, Course!$A$1:$O$133, 14, FALSE)</f>
        <v>ED</v>
      </c>
      <c r="M893">
        <v>1</v>
      </c>
    </row>
    <row r="894" spans="1:13" x14ac:dyDescent="0.2">
      <c r="A894">
        <v>897</v>
      </c>
      <c r="B894">
        <v>85</v>
      </c>
      <c r="C894">
        <v>3</v>
      </c>
      <c r="D894" t="s">
        <v>339</v>
      </c>
      <c r="E894" t="str">
        <f t="shared" si="15"/>
        <v>803ED03PT</v>
      </c>
      <c r="F894">
        <f>VLOOKUP(B894,Course!$A$2:$R$329,2,FALSE)</f>
        <v>0</v>
      </c>
      <c r="G894">
        <f>VLOOKUP(B894, Course!$A$2:$L$150, 8, FALSE)</f>
        <v>8</v>
      </c>
      <c r="H894">
        <v>3</v>
      </c>
      <c r="I894">
        <v>1</v>
      </c>
      <c r="K894" t="s">
        <v>1581</v>
      </c>
      <c r="L894" t="str">
        <f>VLOOKUP(B894, Course!$A$1:$O$133, 14, FALSE)</f>
        <v>ED</v>
      </c>
      <c r="M894">
        <v>1</v>
      </c>
    </row>
    <row r="895" spans="1:13" x14ac:dyDescent="0.2">
      <c r="A895">
        <v>898</v>
      </c>
      <c r="B895">
        <v>85</v>
      </c>
      <c r="C895">
        <v>4</v>
      </c>
      <c r="D895" t="s">
        <v>339</v>
      </c>
      <c r="E895" t="str">
        <f t="shared" si="15"/>
        <v>804ED03PT</v>
      </c>
      <c r="F895">
        <f>VLOOKUP(B895,Course!$A$2:$R$329,2,FALSE)</f>
        <v>0</v>
      </c>
      <c r="G895">
        <f>VLOOKUP(B895, Course!$A$2:$L$150, 8, FALSE)</f>
        <v>8</v>
      </c>
      <c r="H895">
        <v>3</v>
      </c>
      <c r="I895">
        <v>1</v>
      </c>
      <c r="K895" t="s">
        <v>1581</v>
      </c>
      <c r="L895" t="str">
        <f>VLOOKUP(B895, Course!$A$1:$O$133, 14, FALSE)</f>
        <v>ED</v>
      </c>
      <c r="M895">
        <v>1</v>
      </c>
    </row>
    <row r="896" spans="1:13" x14ac:dyDescent="0.2">
      <c r="A896">
        <v>899</v>
      </c>
      <c r="B896">
        <v>85</v>
      </c>
      <c r="C896">
        <v>5</v>
      </c>
      <c r="D896" t="s">
        <v>339</v>
      </c>
      <c r="E896" t="str">
        <f t="shared" si="15"/>
        <v>805ED03PT</v>
      </c>
      <c r="F896">
        <f>VLOOKUP(B896,Course!$A$2:$R$329,2,FALSE)</f>
        <v>0</v>
      </c>
      <c r="G896">
        <f>VLOOKUP(B896, Course!$A$2:$L$150, 8, FALSE)</f>
        <v>8</v>
      </c>
      <c r="H896">
        <v>3</v>
      </c>
      <c r="I896">
        <v>1</v>
      </c>
      <c r="K896" t="s">
        <v>1581</v>
      </c>
      <c r="L896" t="str">
        <f>VLOOKUP(B896, Course!$A$1:$O$133, 14, FALSE)</f>
        <v>ED</v>
      </c>
      <c r="M896">
        <v>1</v>
      </c>
    </row>
    <row r="897" spans="1:13" x14ac:dyDescent="0.2">
      <c r="A897">
        <v>900</v>
      </c>
      <c r="B897">
        <v>85</v>
      </c>
      <c r="C897">
        <v>6</v>
      </c>
      <c r="D897" t="s">
        <v>339</v>
      </c>
      <c r="E897" t="str">
        <f t="shared" si="15"/>
        <v>806ED03PT</v>
      </c>
      <c r="F897">
        <f>VLOOKUP(B897,Course!$A$2:$R$329,2,FALSE)</f>
        <v>0</v>
      </c>
      <c r="G897">
        <f>VLOOKUP(B897, Course!$A$2:$L$150, 8, FALSE)</f>
        <v>8</v>
      </c>
      <c r="H897">
        <v>3</v>
      </c>
      <c r="I897">
        <v>1</v>
      </c>
      <c r="K897" t="s">
        <v>1581</v>
      </c>
      <c r="L897" t="str">
        <f>VLOOKUP(B897, Course!$A$1:$O$133, 14, FALSE)</f>
        <v>ED</v>
      </c>
      <c r="M897">
        <v>1</v>
      </c>
    </row>
    <row r="898" spans="1:13" x14ac:dyDescent="0.2">
      <c r="A898">
        <v>901</v>
      </c>
      <c r="B898">
        <v>85</v>
      </c>
      <c r="C898">
        <v>7</v>
      </c>
      <c r="D898" t="s">
        <v>339</v>
      </c>
      <c r="E898" t="str">
        <f t="shared" si="15"/>
        <v>807ED03PT</v>
      </c>
      <c r="F898">
        <f>VLOOKUP(B898,Course!$A$2:$R$329,2,FALSE)</f>
        <v>0</v>
      </c>
      <c r="G898">
        <f>VLOOKUP(B898, Course!$A$2:$L$150, 8, FALSE)</f>
        <v>8</v>
      </c>
      <c r="H898">
        <v>3</v>
      </c>
      <c r="I898">
        <v>1</v>
      </c>
      <c r="K898" t="s">
        <v>1581</v>
      </c>
      <c r="L898" t="str">
        <f>VLOOKUP(B898, Course!$A$1:$O$133, 14, FALSE)</f>
        <v>ED</v>
      </c>
      <c r="M898">
        <v>1</v>
      </c>
    </row>
    <row r="899" spans="1:13" x14ac:dyDescent="0.2">
      <c r="A899">
        <v>902</v>
      </c>
      <c r="B899">
        <v>85</v>
      </c>
      <c r="C899">
        <v>8</v>
      </c>
      <c r="D899" t="s">
        <v>339</v>
      </c>
      <c r="E899" t="str">
        <f t="shared" si="15"/>
        <v>808ED03PT</v>
      </c>
      <c r="F899">
        <f>VLOOKUP(B899,Course!$A$2:$R$329,2,FALSE)</f>
        <v>0</v>
      </c>
      <c r="G899">
        <f>VLOOKUP(B899, Course!$A$2:$L$150, 8, FALSE)</f>
        <v>8</v>
      </c>
      <c r="H899">
        <v>3</v>
      </c>
      <c r="I899">
        <v>1</v>
      </c>
      <c r="K899" t="s">
        <v>1581</v>
      </c>
      <c r="L899" t="str">
        <f>VLOOKUP(B899, Course!$A$1:$O$133, 14, FALSE)</f>
        <v>ED</v>
      </c>
      <c r="M899">
        <v>1</v>
      </c>
    </row>
    <row r="900" spans="1:13" x14ac:dyDescent="0.2">
      <c r="A900">
        <v>903</v>
      </c>
      <c r="B900">
        <v>86</v>
      </c>
      <c r="C900">
        <v>109</v>
      </c>
      <c r="D900" t="s">
        <v>341</v>
      </c>
      <c r="E900" t="str">
        <f t="shared" si="15"/>
        <v>1209GE03PT</v>
      </c>
      <c r="F900">
        <f>VLOOKUP(B900,Course!$A$2:$R$329,2,FALSE)</f>
        <v>0</v>
      </c>
      <c r="G900">
        <f>VLOOKUP(B900, Course!$A$2:$L$150, 8, FALSE)</f>
        <v>12</v>
      </c>
      <c r="H900">
        <v>3</v>
      </c>
      <c r="I900">
        <v>1</v>
      </c>
      <c r="K900" t="s">
        <v>1581</v>
      </c>
      <c r="L900" t="str">
        <f>VLOOKUP(B900, Course!$A$1:$O$133, 14, FALSE)</f>
        <v>GE</v>
      </c>
      <c r="M900">
        <v>1</v>
      </c>
    </row>
    <row r="901" spans="1:13" x14ac:dyDescent="0.2">
      <c r="A901">
        <v>904</v>
      </c>
      <c r="B901">
        <v>86</v>
      </c>
      <c r="C901">
        <v>110</v>
      </c>
      <c r="D901" t="s">
        <v>341</v>
      </c>
      <c r="E901" t="str">
        <f t="shared" si="15"/>
        <v>1210GE03PT</v>
      </c>
      <c r="F901">
        <f>VLOOKUP(B901,Course!$A$2:$R$329,2,FALSE)</f>
        <v>0</v>
      </c>
      <c r="G901">
        <f>VLOOKUP(B901, Course!$A$2:$L$150, 8, FALSE)</f>
        <v>12</v>
      </c>
      <c r="H901">
        <v>3</v>
      </c>
      <c r="I901">
        <v>1</v>
      </c>
      <c r="K901" t="s">
        <v>1581</v>
      </c>
      <c r="L901" t="str">
        <f>VLOOKUP(B901, Course!$A$1:$O$133, 14, FALSE)</f>
        <v>GE</v>
      </c>
      <c r="M901">
        <v>1</v>
      </c>
    </row>
    <row r="902" spans="1:13" x14ac:dyDescent="0.2">
      <c r="A902">
        <v>905</v>
      </c>
      <c r="B902">
        <v>86</v>
      </c>
      <c r="C902">
        <v>111</v>
      </c>
      <c r="D902" t="s">
        <v>341</v>
      </c>
      <c r="E902" t="str">
        <f t="shared" si="15"/>
        <v>1211GE03PT</v>
      </c>
      <c r="F902">
        <f>VLOOKUP(B902,Course!$A$2:$R$329,2,FALSE)</f>
        <v>0</v>
      </c>
      <c r="G902">
        <f>VLOOKUP(B902, Course!$A$2:$L$150, 8, FALSE)</f>
        <v>12</v>
      </c>
      <c r="H902">
        <v>3</v>
      </c>
      <c r="I902">
        <v>1</v>
      </c>
      <c r="K902" t="s">
        <v>1581</v>
      </c>
      <c r="L902" t="str">
        <f>VLOOKUP(B902, Course!$A$1:$O$133, 14, FALSE)</f>
        <v>GE</v>
      </c>
      <c r="M902">
        <v>1</v>
      </c>
    </row>
    <row r="903" spans="1:13" x14ac:dyDescent="0.2">
      <c r="A903">
        <v>906</v>
      </c>
      <c r="B903">
        <v>86</v>
      </c>
      <c r="C903">
        <v>112</v>
      </c>
      <c r="D903" t="s">
        <v>341</v>
      </c>
      <c r="E903" t="str">
        <f t="shared" si="15"/>
        <v>1212GE03PT</v>
      </c>
      <c r="F903">
        <f>VLOOKUP(B903,Course!$A$2:$R$329,2,FALSE)</f>
        <v>0</v>
      </c>
      <c r="G903">
        <f>VLOOKUP(B903, Course!$A$2:$L$150, 8, FALSE)</f>
        <v>12</v>
      </c>
      <c r="H903">
        <v>3</v>
      </c>
      <c r="I903">
        <v>1</v>
      </c>
      <c r="K903" t="s">
        <v>1581</v>
      </c>
      <c r="L903" t="str">
        <f>VLOOKUP(B903, Course!$A$1:$O$133, 14, FALSE)</f>
        <v>GE</v>
      </c>
      <c r="M903">
        <v>1</v>
      </c>
    </row>
    <row r="904" spans="1:13" x14ac:dyDescent="0.2">
      <c r="A904">
        <v>907</v>
      </c>
      <c r="B904">
        <v>86</v>
      </c>
      <c r="C904">
        <v>113</v>
      </c>
      <c r="D904" t="s">
        <v>341</v>
      </c>
      <c r="E904" t="str">
        <f t="shared" si="15"/>
        <v>1213GE03PT</v>
      </c>
      <c r="F904">
        <f>VLOOKUP(B904,Course!$A$2:$R$329,2,FALSE)</f>
        <v>0</v>
      </c>
      <c r="G904">
        <f>VLOOKUP(B904, Course!$A$2:$L$150, 8, FALSE)</f>
        <v>12</v>
      </c>
      <c r="H904">
        <v>3</v>
      </c>
      <c r="I904">
        <v>1</v>
      </c>
      <c r="K904" t="s">
        <v>1581</v>
      </c>
      <c r="L904" t="str">
        <f>VLOOKUP(B904, Course!$A$1:$O$133, 14, FALSE)</f>
        <v>GE</v>
      </c>
      <c r="M904">
        <v>1</v>
      </c>
    </row>
    <row r="905" spans="1:13" x14ac:dyDescent="0.2">
      <c r="A905">
        <v>908</v>
      </c>
      <c r="B905">
        <v>86</v>
      </c>
      <c r="C905">
        <v>114</v>
      </c>
      <c r="D905" t="s">
        <v>341</v>
      </c>
      <c r="E905" t="str">
        <f t="shared" si="15"/>
        <v>1214GE03PT</v>
      </c>
      <c r="F905">
        <f>VLOOKUP(B905,Course!$A$2:$R$329,2,FALSE)</f>
        <v>0</v>
      </c>
      <c r="G905">
        <f>VLOOKUP(B905, Course!$A$2:$L$150, 8, FALSE)</f>
        <v>12</v>
      </c>
      <c r="H905">
        <v>3</v>
      </c>
      <c r="I905">
        <v>1</v>
      </c>
      <c r="K905" t="s">
        <v>1581</v>
      </c>
      <c r="L905" t="str">
        <f>VLOOKUP(B905, Course!$A$1:$O$133, 14, FALSE)</f>
        <v>GE</v>
      </c>
      <c r="M905">
        <v>1</v>
      </c>
    </row>
    <row r="906" spans="1:13" x14ac:dyDescent="0.2">
      <c r="A906">
        <v>909</v>
      </c>
      <c r="B906">
        <v>86</v>
      </c>
      <c r="C906">
        <v>115</v>
      </c>
      <c r="D906" t="s">
        <v>341</v>
      </c>
      <c r="E906" t="str">
        <f t="shared" si="15"/>
        <v>1215GE03PT</v>
      </c>
      <c r="F906">
        <f>VLOOKUP(B906,Course!$A$2:$R$329,2,FALSE)</f>
        <v>0</v>
      </c>
      <c r="G906">
        <f>VLOOKUP(B906, Course!$A$2:$L$150, 8, FALSE)</f>
        <v>12</v>
      </c>
      <c r="H906">
        <v>3</v>
      </c>
      <c r="I906">
        <v>1</v>
      </c>
      <c r="K906" t="s">
        <v>1581</v>
      </c>
      <c r="L906" t="str">
        <f>VLOOKUP(B906, Course!$A$1:$O$133, 14, FALSE)</f>
        <v>GE</v>
      </c>
      <c r="M906">
        <v>1</v>
      </c>
    </row>
    <row r="907" spans="1:13" x14ac:dyDescent="0.2">
      <c r="A907">
        <v>910</v>
      </c>
      <c r="B907">
        <v>86</v>
      </c>
      <c r="C907">
        <v>116</v>
      </c>
      <c r="D907" t="s">
        <v>341</v>
      </c>
      <c r="E907" t="str">
        <f t="shared" si="15"/>
        <v>1216GE03PT</v>
      </c>
      <c r="F907">
        <f>VLOOKUP(B907,Course!$A$2:$R$329,2,FALSE)</f>
        <v>0</v>
      </c>
      <c r="G907">
        <f>VLOOKUP(B907, Course!$A$2:$L$150, 8, FALSE)</f>
        <v>12</v>
      </c>
      <c r="H907">
        <v>3</v>
      </c>
      <c r="I907">
        <v>1</v>
      </c>
      <c r="K907" t="s">
        <v>1581</v>
      </c>
      <c r="L907" t="str">
        <f>VLOOKUP(B907, Course!$A$1:$O$133, 14, FALSE)</f>
        <v>GE</v>
      </c>
      <c r="M907">
        <v>1</v>
      </c>
    </row>
    <row r="908" spans="1:13" x14ac:dyDescent="0.2">
      <c r="A908">
        <v>911</v>
      </c>
      <c r="B908">
        <v>86</v>
      </c>
      <c r="C908">
        <v>117</v>
      </c>
      <c r="D908" t="s">
        <v>341</v>
      </c>
      <c r="E908" t="str">
        <f t="shared" si="15"/>
        <v>1217GE03PT</v>
      </c>
      <c r="F908">
        <f>VLOOKUP(B908,Course!$A$2:$R$329,2,FALSE)</f>
        <v>0</v>
      </c>
      <c r="G908">
        <f>VLOOKUP(B908, Course!$A$2:$L$150, 8, FALSE)</f>
        <v>12</v>
      </c>
      <c r="H908">
        <v>3</v>
      </c>
      <c r="I908">
        <v>1</v>
      </c>
      <c r="K908" t="s">
        <v>1581</v>
      </c>
      <c r="L908" t="str">
        <f>VLOOKUP(B908, Course!$A$1:$O$133, 14, FALSE)</f>
        <v>GE</v>
      </c>
      <c r="M908">
        <v>1</v>
      </c>
    </row>
    <row r="909" spans="1:13" x14ac:dyDescent="0.2">
      <c r="A909">
        <v>912</v>
      </c>
      <c r="B909">
        <v>86</v>
      </c>
      <c r="C909">
        <v>118</v>
      </c>
      <c r="D909" t="s">
        <v>341</v>
      </c>
      <c r="E909" t="str">
        <f t="shared" si="15"/>
        <v>1218GE03PT</v>
      </c>
      <c r="F909">
        <f>VLOOKUP(B909,Course!$A$2:$R$329,2,FALSE)</f>
        <v>0</v>
      </c>
      <c r="G909">
        <f>VLOOKUP(B909, Course!$A$2:$L$150, 8, FALSE)</f>
        <v>12</v>
      </c>
      <c r="H909">
        <v>3</v>
      </c>
      <c r="I909">
        <v>1</v>
      </c>
      <c r="K909" t="s">
        <v>1581</v>
      </c>
      <c r="L909" t="str">
        <f>VLOOKUP(B909, Course!$A$1:$O$133, 14, FALSE)</f>
        <v>GE</v>
      </c>
      <c r="M909">
        <v>1</v>
      </c>
    </row>
    <row r="910" spans="1:13" x14ac:dyDescent="0.2">
      <c r="A910">
        <v>913</v>
      </c>
      <c r="B910">
        <v>86</v>
      </c>
      <c r="C910">
        <v>119</v>
      </c>
      <c r="D910" t="s">
        <v>341</v>
      </c>
      <c r="E910" t="str">
        <f t="shared" si="15"/>
        <v>1219GE03PT</v>
      </c>
      <c r="F910">
        <f>VLOOKUP(B910,Course!$A$2:$R$329,2,FALSE)</f>
        <v>0</v>
      </c>
      <c r="G910">
        <f>VLOOKUP(B910, Course!$A$2:$L$150, 8, FALSE)</f>
        <v>12</v>
      </c>
      <c r="H910">
        <v>3</v>
      </c>
      <c r="I910">
        <v>1</v>
      </c>
      <c r="K910" t="s">
        <v>1581</v>
      </c>
      <c r="L910" t="str">
        <f>VLOOKUP(B910, Course!$A$1:$O$133, 14, FALSE)</f>
        <v>GE</v>
      </c>
      <c r="M910">
        <v>1</v>
      </c>
    </row>
    <row r="911" spans="1:13" x14ac:dyDescent="0.2">
      <c r="A911">
        <v>914</v>
      </c>
      <c r="B911">
        <v>86</v>
      </c>
      <c r="C911">
        <v>120</v>
      </c>
      <c r="D911" t="s">
        <v>341</v>
      </c>
      <c r="E911" t="str">
        <f t="shared" si="15"/>
        <v>1220GE03PT</v>
      </c>
      <c r="F911">
        <f>VLOOKUP(B911,Course!$A$2:$R$329,2,FALSE)</f>
        <v>0</v>
      </c>
      <c r="G911">
        <f>VLOOKUP(B911, Course!$A$2:$L$150, 8, FALSE)</f>
        <v>12</v>
      </c>
      <c r="H911">
        <v>3</v>
      </c>
      <c r="I911">
        <v>1</v>
      </c>
      <c r="K911" t="s">
        <v>1581</v>
      </c>
      <c r="L911" t="str">
        <f>VLOOKUP(B911, Course!$A$1:$O$133, 14, FALSE)</f>
        <v>GE</v>
      </c>
      <c r="M911">
        <v>1</v>
      </c>
    </row>
    <row r="912" spans="1:13" x14ac:dyDescent="0.2">
      <c r="A912">
        <v>915</v>
      </c>
      <c r="B912">
        <v>87</v>
      </c>
      <c r="C912">
        <v>109</v>
      </c>
      <c r="D912" t="s">
        <v>224</v>
      </c>
      <c r="E912" t="str">
        <f t="shared" si="15"/>
        <v>1209EN03PT</v>
      </c>
      <c r="F912">
        <f>VLOOKUP(B912,Course!$A$2:$R$329,2,FALSE)</f>
        <v>0</v>
      </c>
      <c r="G912">
        <f>VLOOKUP(B912, Course!$A$2:$L$150, 8, FALSE)</f>
        <v>12</v>
      </c>
      <c r="H912">
        <v>3</v>
      </c>
      <c r="I912">
        <v>1</v>
      </c>
      <c r="K912" t="s">
        <v>1581</v>
      </c>
      <c r="L912" t="str">
        <f>VLOOKUP(B912, Course!$A$1:$O$133, 14, FALSE)</f>
        <v>EN</v>
      </c>
      <c r="M912">
        <v>1</v>
      </c>
    </row>
    <row r="913" spans="1:13" x14ac:dyDescent="0.2">
      <c r="A913">
        <v>916</v>
      </c>
      <c r="B913">
        <v>87</v>
      </c>
      <c r="C913">
        <v>110</v>
      </c>
      <c r="D913" t="s">
        <v>224</v>
      </c>
      <c r="E913" t="str">
        <f t="shared" si="15"/>
        <v>1210EN03PT</v>
      </c>
      <c r="F913">
        <f>VLOOKUP(B913,Course!$A$2:$R$329,2,FALSE)</f>
        <v>0</v>
      </c>
      <c r="G913">
        <f>VLOOKUP(B913, Course!$A$2:$L$150, 8, FALSE)</f>
        <v>12</v>
      </c>
      <c r="H913">
        <v>3</v>
      </c>
      <c r="I913">
        <v>1</v>
      </c>
      <c r="K913" t="s">
        <v>1581</v>
      </c>
      <c r="L913" t="str">
        <f>VLOOKUP(B913, Course!$A$1:$O$133, 14, FALSE)</f>
        <v>EN</v>
      </c>
      <c r="M913">
        <v>1</v>
      </c>
    </row>
    <row r="914" spans="1:13" x14ac:dyDescent="0.2">
      <c r="A914">
        <v>917</v>
      </c>
      <c r="B914">
        <v>87</v>
      </c>
      <c r="C914">
        <v>111</v>
      </c>
      <c r="D914" t="s">
        <v>224</v>
      </c>
      <c r="E914" t="str">
        <f t="shared" si="15"/>
        <v>1211EN03PT</v>
      </c>
      <c r="F914">
        <f>VLOOKUP(B914,Course!$A$2:$R$329,2,FALSE)</f>
        <v>0</v>
      </c>
      <c r="G914">
        <f>VLOOKUP(B914, Course!$A$2:$L$150, 8, FALSE)</f>
        <v>12</v>
      </c>
      <c r="H914">
        <v>3</v>
      </c>
      <c r="I914">
        <v>1</v>
      </c>
      <c r="K914" t="s">
        <v>1581</v>
      </c>
      <c r="L914" t="str">
        <f>VLOOKUP(B914, Course!$A$1:$O$133, 14, FALSE)</f>
        <v>EN</v>
      </c>
      <c r="M914">
        <v>1</v>
      </c>
    </row>
    <row r="915" spans="1:13" x14ac:dyDescent="0.2">
      <c r="A915">
        <v>918</v>
      </c>
      <c r="B915">
        <v>87</v>
      </c>
      <c r="C915">
        <v>112</v>
      </c>
      <c r="D915" t="s">
        <v>224</v>
      </c>
      <c r="E915" t="str">
        <f t="shared" si="15"/>
        <v>1212EN03PT</v>
      </c>
      <c r="F915">
        <f>VLOOKUP(B915,Course!$A$2:$R$329,2,FALSE)</f>
        <v>0</v>
      </c>
      <c r="G915">
        <f>VLOOKUP(B915, Course!$A$2:$L$150, 8, FALSE)</f>
        <v>12</v>
      </c>
      <c r="H915">
        <v>3</v>
      </c>
      <c r="I915">
        <v>1</v>
      </c>
      <c r="K915" t="s">
        <v>1581</v>
      </c>
      <c r="L915" t="str">
        <f>VLOOKUP(B915, Course!$A$1:$O$133, 14, FALSE)</f>
        <v>EN</v>
      </c>
      <c r="M915">
        <v>1</v>
      </c>
    </row>
    <row r="916" spans="1:13" x14ac:dyDescent="0.2">
      <c r="A916">
        <v>919</v>
      </c>
      <c r="B916">
        <v>87</v>
      </c>
      <c r="C916">
        <v>113</v>
      </c>
      <c r="D916" t="s">
        <v>224</v>
      </c>
      <c r="E916" t="str">
        <f t="shared" si="15"/>
        <v>1213EN03PT</v>
      </c>
      <c r="F916">
        <f>VLOOKUP(B916,Course!$A$2:$R$329,2,FALSE)</f>
        <v>0</v>
      </c>
      <c r="G916">
        <f>VLOOKUP(B916, Course!$A$2:$L$150, 8, FALSE)</f>
        <v>12</v>
      </c>
      <c r="H916">
        <v>3</v>
      </c>
      <c r="I916">
        <v>1</v>
      </c>
      <c r="K916" t="s">
        <v>1581</v>
      </c>
      <c r="L916" t="str">
        <f>VLOOKUP(B916, Course!$A$1:$O$133, 14, FALSE)</f>
        <v>EN</v>
      </c>
      <c r="M916">
        <v>1</v>
      </c>
    </row>
    <row r="917" spans="1:13" x14ac:dyDescent="0.2">
      <c r="A917">
        <v>920</v>
      </c>
      <c r="B917">
        <v>87</v>
      </c>
      <c r="C917">
        <v>114</v>
      </c>
      <c r="D917" t="s">
        <v>224</v>
      </c>
      <c r="E917" t="str">
        <f t="shared" si="15"/>
        <v>1214EN03PT</v>
      </c>
      <c r="F917">
        <f>VLOOKUP(B917,Course!$A$2:$R$329,2,FALSE)</f>
        <v>0</v>
      </c>
      <c r="G917">
        <f>VLOOKUP(B917, Course!$A$2:$L$150, 8, FALSE)</f>
        <v>12</v>
      </c>
      <c r="H917">
        <v>3</v>
      </c>
      <c r="I917">
        <v>1</v>
      </c>
      <c r="K917" t="s">
        <v>1581</v>
      </c>
      <c r="L917" t="str">
        <f>VLOOKUP(B917, Course!$A$1:$O$133, 14, FALSE)</f>
        <v>EN</v>
      </c>
      <c r="M917">
        <v>1</v>
      </c>
    </row>
    <row r="918" spans="1:13" x14ac:dyDescent="0.2">
      <c r="A918">
        <v>921</v>
      </c>
      <c r="B918">
        <v>87</v>
      </c>
      <c r="C918">
        <v>115</v>
      </c>
      <c r="D918" t="s">
        <v>224</v>
      </c>
      <c r="E918" t="str">
        <f t="shared" si="15"/>
        <v>1215EN03PT</v>
      </c>
      <c r="F918">
        <f>VLOOKUP(B918,Course!$A$2:$R$329,2,FALSE)</f>
        <v>0</v>
      </c>
      <c r="G918">
        <f>VLOOKUP(B918, Course!$A$2:$L$150, 8, FALSE)</f>
        <v>12</v>
      </c>
      <c r="H918">
        <v>3</v>
      </c>
      <c r="I918">
        <v>1</v>
      </c>
      <c r="K918" t="s">
        <v>1581</v>
      </c>
      <c r="L918" t="str">
        <f>VLOOKUP(B918, Course!$A$1:$O$133, 14, FALSE)</f>
        <v>EN</v>
      </c>
      <c r="M918">
        <v>1</v>
      </c>
    </row>
    <row r="919" spans="1:13" x14ac:dyDescent="0.2">
      <c r="A919">
        <v>922</v>
      </c>
      <c r="B919">
        <v>87</v>
      </c>
      <c r="C919">
        <v>116</v>
      </c>
      <c r="D919" t="s">
        <v>224</v>
      </c>
      <c r="E919" t="str">
        <f t="shared" si="15"/>
        <v>1216EN03PT</v>
      </c>
      <c r="F919">
        <f>VLOOKUP(B919,Course!$A$2:$R$329,2,FALSE)</f>
        <v>0</v>
      </c>
      <c r="G919">
        <f>VLOOKUP(B919, Course!$A$2:$L$150, 8, FALSE)</f>
        <v>12</v>
      </c>
      <c r="H919">
        <v>3</v>
      </c>
      <c r="I919">
        <v>1</v>
      </c>
      <c r="K919" t="s">
        <v>1581</v>
      </c>
      <c r="L919" t="str">
        <f>VLOOKUP(B919, Course!$A$1:$O$133, 14, FALSE)</f>
        <v>EN</v>
      </c>
      <c r="M919">
        <v>1</v>
      </c>
    </row>
    <row r="920" spans="1:13" x14ac:dyDescent="0.2">
      <c r="A920">
        <v>923</v>
      </c>
      <c r="B920">
        <v>87</v>
      </c>
      <c r="C920">
        <v>117</v>
      </c>
      <c r="D920" t="s">
        <v>224</v>
      </c>
      <c r="E920" t="str">
        <f t="shared" si="15"/>
        <v>1217EN03PT</v>
      </c>
      <c r="F920">
        <f>VLOOKUP(B920,Course!$A$2:$R$329,2,FALSE)</f>
        <v>0</v>
      </c>
      <c r="G920">
        <f>VLOOKUP(B920, Course!$A$2:$L$150, 8, FALSE)</f>
        <v>12</v>
      </c>
      <c r="H920">
        <v>3</v>
      </c>
      <c r="I920">
        <v>1</v>
      </c>
      <c r="K920" t="s">
        <v>1581</v>
      </c>
      <c r="L920" t="str">
        <f>VLOOKUP(B920, Course!$A$1:$O$133, 14, FALSE)</f>
        <v>EN</v>
      </c>
      <c r="M920">
        <v>1</v>
      </c>
    </row>
    <row r="921" spans="1:13" x14ac:dyDescent="0.2">
      <c r="A921">
        <v>924</v>
      </c>
      <c r="B921">
        <v>87</v>
      </c>
      <c r="C921">
        <v>118</v>
      </c>
      <c r="D921" t="s">
        <v>224</v>
      </c>
      <c r="E921" t="str">
        <f t="shared" si="15"/>
        <v>1218EN03PT</v>
      </c>
      <c r="F921">
        <f>VLOOKUP(B921,Course!$A$2:$R$329,2,FALSE)</f>
        <v>0</v>
      </c>
      <c r="G921">
        <f>VLOOKUP(B921, Course!$A$2:$L$150, 8, FALSE)</f>
        <v>12</v>
      </c>
      <c r="H921">
        <v>3</v>
      </c>
      <c r="I921">
        <v>1</v>
      </c>
      <c r="K921" t="s">
        <v>1581</v>
      </c>
      <c r="L921" t="str">
        <f>VLOOKUP(B921, Course!$A$1:$O$133, 14, FALSE)</f>
        <v>EN</v>
      </c>
      <c r="M921">
        <v>1</v>
      </c>
    </row>
    <row r="922" spans="1:13" x14ac:dyDescent="0.2">
      <c r="A922">
        <v>925</v>
      </c>
      <c r="B922">
        <v>87</v>
      </c>
      <c r="C922">
        <v>119</v>
      </c>
      <c r="D922" t="s">
        <v>224</v>
      </c>
      <c r="E922" t="str">
        <f t="shared" si="15"/>
        <v>1219EN03PT</v>
      </c>
      <c r="F922">
        <f>VLOOKUP(B922,Course!$A$2:$R$329,2,FALSE)</f>
        <v>0</v>
      </c>
      <c r="G922">
        <f>VLOOKUP(B922, Course!$A$2:$L$150, 8, FALSE)</f>
        <v>12</v>
      </c>
      <c r="H922">
        <v>3</v>
      </c>
      <c r="I922">
        <v>1</v>
      </c>
      <c r="K922" t="s">
        <v>1581</v>
      </c>
      <c r="L922" t="str">
        <f>VLOOKUP(B922, Course!$A$1:$O$133, 14, FALSE)</f>
        <v>EN</v>
      </c>
      <c r="M922">
        <v>1</v>
      </c>
    </row>
    <row r="923" spans="1:13" x14ac:dyDescent="0.2">
      <c r="A923">
        <v>926</v>
      </c>
      <c r="B923">
        <v>87</v>
      </c>
      <c r="C923">
        <v>120</v>
      </c>
      <c r="D923" t="s">
        <v>224</v>
      </c>
      <c r="E923" t="str">
        <f t="shared" si="15"/>
        <v>1220EN03PT</v>
      </c>
      <c r="F923">
        <f>VLOOKUP(B923,Course!$A$2:$R$329,2,FALSE)</f>
        <v>0</v>
      </c>
      <c r="G923">
        <f>VLOOKUP(B923, Course!$A$2:$L$150, 8, FALSE)</f>
        <v>12</v>
      </c>
      <c r="H923">
        <v>3</v>
      </c>
      <c r="I923">
        <v>1</v>
      </c>
      <c r="K923" t="s">
        <v>1581</v>
      </c>
      <c r="L923" t="str">
        <f>VLOOKUP(B923, Course!$A$1:$O$133, 14, FALSE)</f>
        <v>EN</v>
      </c>
      <c r="M923">
        <v>1</v>
      </c>
    </row>
    <row r="924" spans="1:13" x14ac:dyDescent="0.2">
      <c r="A924">
        <v>927</v>
      </c>
      <c r="B924">
        <v>88</v>
      </c>
      <c r="C924">
        <v>3</v>
      </c>
      <c r="D924" t="s">
        <v>297</v>
      </c>
      <c r="E924" t="str">
        <f t="shared" si="15"/>
        <v>303RS03PT</v>
      </c>
      <c r="F924">
        <f>VLOOKUP(B924,Course!$A$2:$R$329,2,FALSE)</f>
        <v>0</v>
      </c>
      <c r="G924">
        <f>VLOOKUP(B924, Course!$A$2:$L$150, 8, FALSE)</f>
        <v>3</v>
      </c>
      <c r="H924">
        <v>3</v>
      </c>
      <c r="I924">
        <v>1</v>
      </c>
      <c r="K924" t="s">
        <v>1581</v>
      </c>
      <c r="L924" t="str">
        <f>VLOOKUP(B924, Course!$A$1:$O$133, 14, FALSE)</f>
        <v>RS</v>
      </c>
      <c r="M924">
        <v>1</v>
      </c>
    </row>
    <row r="925" spans="1:13" x14ac:dyDescent="0.2">
      <c r="A925">
        <v>928</v>
      </c>
      <c r="B925">
        <v>88</v>
      </c>
      <c r="C925">
        <v>4</v>
      </c>
      <c r="D925" t="s">
        <v>297</v>
      </c>
      <c r="E925" t="str">
        <f t="shared" si="15"/>
        <v>304RS03PT</v>
      </c>
      <c r="F925">
        <f>VLOOKUP(B925,Course!$A$2:$R$329,2,FALSE)</f>
        <v>0</v>
      </c>
      <c r="G925">
        <f>VLOOKUP(B925, Course!$A$2:$L$150, 8, FALSE)</f>
        <v>3</v>
      </c>
      <c r="H925">
        <v>3</v>
      </c>
      <c r="I925">
        <v>1</v>
      </c>
      <c r="K925" t="s">
        <v>1581</v>
      </c>
      <c r="L925" t="str">
        <f>VLOOKUP(B925, Course!$A$1:$O$133, 14, FALSE)</f>
        <v>RS</v>
      </c>
      <c r="M925">
        <v>1</v>
      </c>
    </row>
    <row r="926" spans="1:13" x14ac:dyDescent="0.2">
      <c r="A926">
        <v>929</v>
      </c>
      <c r="B926">
        <v>88</v>
      </c>
      <c r="C926">
        <v>5</v>
      </c>
      <c r="D926" t="s">
        <v>297</v>
      </c>
      <c r="E926" t="str">
        <f t="shared" si="15"/>
        <v>305RS03PT</v>
      </c>
      <c r="F926">
        <f>VLOOKUP(B926,Course!$A$2:$R$329,2,FALSE)</f>
        <v>0</v>
      </c>
      <c r="G926">
        <f>VLOOKUP(B926, Course!$A$2:$L$150, 8, FALSE)</f>
        <v>3</v>
      </c>
      <c r="H926">
        <v>3</v>
      </c>
      <c r="I926">
        <v>1</v>
      </c>
      <c r="K926" t="s">
        <v>1581</v>
      </c>
      <c r="L926" t="str">
        <f>VLOOKUP(B926, Course!$A$1:$O$133, 14, FALSE)</f>
        <v>RS</v>
      </c>
      <c r="M926">
        <v>1</v>
      </c>
    </row>
    <row r="927" spans="1:13" x14ac:dyDescent="0.2">
      <c r="A927">
        <v>930</v>
      </c>
      <c r="B927">
        <v>90</v>
      </c>
      <c r="C927">
        <v>109</v>
      </c>
      <c r="D927" t="s">
        <v>348</v>
      </c>
      <c r="E927" t="str">
        <f t="shared" si="15"/>
        <v>1209PS03PT</v>
      </c>
      <c r="F927">
        <f>VLOOKUP(B927,Course!$A$2:$R$329,2,FALSE)</f>
        <v>0</v>
      </c>
      <c r="G927">
        <f>VLOOKUP(B927, Course!$A$2:$L$150, 8, FALSE)</f>
        <v>12</v>
      </c>
      <c r="H927">
        <v>3</v>
      </c>
      <c r="I927">
        <v>1</v>
      </c>
      <c r="K927" t="s">
        <v>1581</v>
      </c>
      <c r="L927" t="str">
        <f>VLOOKUP(B927, Course!$A$1:$O$133, 14, FALSE)</f>
        <v>PS</v>
      </c>
      <c r="M927">
        <v>1</v>
      </c>
    </row>
    <row r="928" spans="1:13" x14ac:dyDescent="0.2">
      <c r="A928">
        <v>931</v>
      </c>
      <c r="B928">
        <v>90</v>
      </c>
      <c r="C928">
        <v>110</v>
      </c>
      <c r="D928" t="s">
        <v>348</v>
      </c>
      <c r="E928" t="str">
        <f t="shared" si="15"/>
        <v>1210PS03PT</v>
      </c>
      <c r="F928">
        <f>VLOOKUP(B928,Course!$A$2:$R$329,2,FALSE)</f>
        <v>0</v>
      </c>
      <c r="G928">
        <f>VLOOKUP(B928, Course!$A$2:$L$150, 8, FALSE)</f>
        <v>12</v>
      </c>
      <c r="H928">
        <v>3</v>
      </c>
      <c r="I928">
        <v>1</v>
      </c>
      <c r="K928" t="s">
        <v>1581</v>
      </c>
      <c r="L928" t="str">
        <f>VLOOKUP(B928, Course!$A$1:$O$133, 14, FALSE)</f>
        <v>PS</v>
      </c>
      <c r="M928">
        <v>1</v>
      </c>
    </row>
    <row r="929" spans="1:13" x14ac:dyDescent="0.2">
      <c r="A929">
        <v>932</v>
      </c>
      <c r="B929">
        <v>90</v>
      </c>
      <c r="C929">
        <v>111</v>
      </c>
      <c r="D929" t="s">
        <v>348</v>
      </c>
      <c r="E929" t="str">
        <f t="shared" si="15"/>
        <v>1211PS03PT</v>
      </c>
      <c r="F929">
        <f>VLOOKUP(B929,Course!$A$2:$R$329,2,FALSE)</f>
        <v>0</v>
      </c>
      <c r="G929">
        <f>VLOOKUP(B929, Course!$A$2:$L$150, 8, FALSE)</f>
        <v>12</v>
      </c>
      <c r="H929">
        <v>3</v>
      </c>
      <c r="I929">
        <v>1</v>
      </c>
      <c r="K929" t="s">
        <v>1581</v>
      </c>
      <c r="L929" t="str">
        <f>VLOOKUP(B929, Course!$A$1:$O$133, 14, FALSE)</f>
        <v>PS</v>
      </c>
      <c r="M929">
        <v>1</v>
      </c>
    </row>
    <row r="930" spans="1:13" x14ac:dyDescent="0.2">
      <c r="A930">
        <v>933</v>
      </c>
      <c r="B930">
        <v>90</v>
      </c>
      <c r="C930">
        <v>112</v>
      </c>
      <c r="D930" t="s">
        <v>348</v>
      </c>
      <c r="E930" t="str">
        <f t="shared" si="15"/>
        <v>1212PS03PT</v>
      </c>
      <c r="F930">
        <f>VLOOKUP(B930,Course!$A$2:$R$329,2,FALSE)</f>
        <v>0</v>
      </c>
      <c r="G930">
        <f>VLOOKUP(B930, Course!$A$2:$L$150, 8, FALSE)</f>
        <v>12</v>
      </c>
      <c r="H930">
        <v>3</v>
      </c>
      <c r="I930">
        <v>1</v>
      </c>
      <c r="K930" t="s">
        <v>1581</v>
      </c>
      <c r="L930" t="str">
        <f>VLOOKUP(B930, Course!$A$1:$O$133, 14, FALSE)</f>
        <v>PS</v>
      </c>
      <c r="M930">
        <v>1</v>
      </c>
    </row>
    <row r="931" spans="1:13" x14ac:dyDescent="0.2">
      <c r="A931">
        <v>934</v>
      </c>
      <c r="B931">
        <v>90</v>
      </c>
      <c r="C931">
        <v>113</v>
      </c>
      <c r="D931" t="s">
        <v>348</v>
      </c>
      <c r="E931" t="str">
        <f t="shared" si="15"/>
        <v>1213PS03PT</v>
      </c>
      <c r="F931">
        <f>VLOOKUP(B931,Course!$A$2:$R$329,2,FALSE)</f>
        <v>0</v>
      </c>
      <c r="G931">
        <f>VLOOKUP(B931, Course!$A$2:$L$150, 8, FALSE)</f>
        <v>12</v>
      </c>
      <c r="H931">
        <v>3</v>
      </c>
      <c r="I931">
        <v>1</v>
      </c>
      <c r="K931" t="s">
        <v>1581</v>
      </c>
      <c r="L931" t="str">
        <f>VLOOKUP(B931, Course!$A$1:$O$133, 14, FALSE)</f>
        <v>PS</v>
      </c>
      <c r="M931">
        <v>1</v>
      </c>
    </row>
    <row r="932" spans="1:13" x14ac:dyDescent="0.2">
      <c r="A932">
        <v>935</v>
      </c>
      <c r="B932">
        <v>90</v>
      </c>
      <c r="C932">
        <v>114</v>
      </c>
      <c r="D932" t="s">
        <v>348</v>
      </c>
      <c r="E932" t="str">
        <f t="shared" si="15"/>
        <v>1214PS03PT</v>
      </c>
      <c r="F932">
        <f>VLOOKUP(B932,Course!$A$2:$R$329,2,FALSE)</f>
        <v>0</v>
      </c>
      <c r="G932">
        <f>VLOOKUP(B932, Course!$A$2:$L$150, 8, FALSE)</f>
        <v>12</v>
      </c>
      <c r="H932">
        <v>3</v>
      </c>
      <c r="I932">
        <v>1</v>
      </c>
      <c r="K932" t="s">
        <v>1581</v>
      </c>
      <c r="L932" t="str">
        <f>VLOOKUP(B932, Course!$A$1:$O$133, 14, FALSE)</f>
        <v>PS</v>
      </c>
      <c r="M932">
        <v>1</v>
      </c>
    </row>
    <row r="933" spans="1:13" x14ac:dyDescent="0.2">
      <c r="A933">
        <v>936</v>
      </c>
      <c r="B933">
        <v>90</v>
      </c>
      <c r="C933">
        <v>115</v>
      </c>
      <c r="D933" t="s">
        <v>348</v>
      </c>
      <c r="E933" t="str">
        <f t="shared" si="15"/>
        <v>1215PS03PT</v>
      </c>
      <c r="F933">
        <f>VLOOKUP(B933,Course!$A$2:$R$329,2,FALSE)</f>
        <v>0</v>
      </c>
      <c r="G933">
        <f>VLOOKUP(B933, Course!$A$2:$L$150, 8, FALSE)</f>
        <v>12</v>
      </c>
      <c r="H933">
        <v>3</v>
      </c>
      <c r="I933">
        <v>1</v>
      </c>
      <c r="K933" t="s">
        <v>1581</v>
      </c>
      <c r="L933" t="str">
        <f>VLOOKUP(B933, Course!$A$1:$O$133, 14, FALSE)</f>
        <v>PS</v>
      </c>
      <c r="M933">
        <v>1</v>
      </c>
    </row>
    <row r="934" spans="1:13" x14ac:dyDescent="0.2">
      <c r="A934">
        <v>937</v>
      </c>
      <c r="B934">
        <v>90</v>
      </c>
      <c r="C934">
        <v>116</v>
      </c>
      <c r="D934" t="s">
        <v>348</v>
      </c>
      <c r="E934" t="str">
        <f t="shared" si="15"/>
        <v>1216PS03PT</v>
      </c>
      <c r="F934">
        <f>VLOOKUP(B934,Course!$A$2:$R$329,2,FALSE)</f>
        <v>0</v>
      </c>
      <c r="G934">
        <f>VLOOKUP(B934, Course!$A$2:$L$150, 8, FALSE)</f>
        <v>12</v>
      </c>
      <c r="H934">
        <v>3</v>
      </c>
      <c r="I934">
        <v>1</v>
      </c>
      <c r="K934" t="s">
        <v>1581</v>
      </c>
      <c r="L934" t="str">
        <f>VLOOKUP(B934, Course!$A$1:$O$133, 14, FALSE)</f>
        <v>PS</v>
      </c>
      <c r="M934">
        <v>1</v>
      </c>
    </row>
    <row r="935" spans="1:13" x14ac:dyDescent="0.2">
      <c r="A935">
        <v>938</v>
      </c>
      <c r="B935">
        <v>90</v>
      </c>
      <c r="C935">
        <v>117</v>
      </c>
      <c r="D935" t="s">
        <v>348</v>
      </c>
      <c r="E935" t="str">
        <f t="shared" si="15"/>
        <v>1217PS03PT</v>
      </c>
      <c r="F935">
        <f>VLOOKUP(B935,Course!$A$2:$R$329,2,FALSE)</f>
        <v>0</v>
      </c>
      <c r="G935">
        <f>VLOOKUP(B935, Course!$A$2:$L$150, 8, FALSE)</f>
        <v>12</v>
      </c>
      <c r="H935">
        <v>3</v>
      </c>
      <c r="I935">
        <v>1</v>
      </c>
      <c r="K935" t="s">
        <v>1581</v>
      </c>
      <c r="L935" t="str">
        <f>VLOOKUP(B935, Course!$A$1:$O$133, 14, FALSE)</f>
        <v>PS</v>
      </c>
      <c r="M935">
        <v>1</v>
      </c>
    </row>
    <row r="936" spans="1:13" x14ac:dyDescent="0.2">
      <c r="A936">
        <v>939</v>
      </c>
      <c r="B936">
        <v>90</v>
      </c>
      <c r="C936">
        <v>118</v>
      </c>
      <c r="D936" t="s">
        <v>348</v>
      </c>
      <c r="E936" t="str">
        <f t="shared" si="15"/>
        <v>1218PS03PT</v>
      </c>
      <c r="F936">
        <f>VLOOKUP(B936,Course!$A$2:$R$329,2,FALSE)</f>
        <v>0</v>
      </c>
      <c r="G936">
        <f>VLOOKUP(B936, Course!$A$2:$L$150, 8, FALSE)</f>
        <v>12</v>
      </c>
      <c r="H936">
        <v>3</v>
      </c>
      <c r="I936">
        <v>1</v>
      </c>
      <c r="K936" t="s">
        <v>1581</v>
      </c>
      <c r="L936" t="str">
        <f>VLOOKUP(B936, Course!$A$1:$O$133, 14, FALSE)</f>
        <v>PS</v>
      </c>
      <c r="M936">
        <v>1</v>
      </c>
    </row>
    <row r="937" spans="1:13" x14ac:dyDescent="0.2">
      <c r="A937">
        <v>940</v>
      </c>
      <c r="B937">
        <v>90</v>
      </c>
      <c r="C937">
        <v>119</v>
      </c>
      <c r="D937" t="s">
        <v>348</v>
      </c>
      <c r="E937" t="str">
        <f t="shared" si="15"/>
        <v>1219PS03PT</v>
      </c>
      <c r="F937">
        <f>VLOOKUP(B937,Course!$A$2:$R$329,2,FALSE)</f>
        <v>0</v>
      </c>
      <c r="G937">
        <f>VLOOKUP(B937, Course!$A$2:$L$150, 8, FALSE)</f>
        <v>12</v>
      </c>
      <c r="H937">
        <v>3</v>
      </c>
      <c r="I937">
        <v>1</v>
      </c>
      <c r="K937" t="s">
        <v>1581</v>
      </c>
      <c r="L937" t="str">
        <f>VLOOKUP(B937, Course!$A$1:$O$133, 14, FALSE)</f>
        <v>PS</v>
      </c>
      <c r="M937">
        <v>1</v>
      </c>
    </row>
    <row r="938" spans="1:13" x14ac:dyDescent="0.2">
      <c r="A938">
        <v>941</v>
      </c>
      <c r="B938">
        <v>90</v>
      </c>
      <c r="C938">
        <v>120</v>
      </c>
      <c r="D938" t="s">
        <v>348</v>
      </c>
      <c r="E938" t="str">
        <f t="shared" ref="E938:E1001" si="16">UPPER(LEFT(G938,2)) &amp; RIGHT("0" &amp; C938, 2) &amp; D938 &amp; RIGHT("0" &amp; H938, 2) &amp; K938</f>
        <v>1220PS03PT</v>
      </c>
      <c r="F938">
        <f>VLOOKUP(B938,Course!$A$2:$R$329,2,FALSE)</f>
        <v>0</v>
      </c>
      <c r="G938">
        <f>VLOOKUP(B938, Course!$A$2:$L$150, 8, FALSE)</f>
        <v>12</v>
      </c>
      <c r="H938">
        <v>3</v>
      </c>
      <c r="I938">
        <v>1</v>
      </c>
      <c r="K938" t="s">
        <v>1581</v>
      </c>
      <c r="L938" t="str">
        <f>VLOOKUP(B938, Course!$A$1:$O$133, 14, FALSE)</f>
        <v>PS</v>
      </c>
      <c r="M938">
        <v>1</v>
      </c>
    </row>
    <row r="939" spans="1:13" x14ac:dyDescent="0.2">
      <c r="A939">
        <v>942</v>
      </c>
      <c r="B939">
        <v>91</v>
      </c>
      <c r="C939">
        <v>1</v>
      </c>
      <c r="D939" t="s">
        <v>350</v>
      </c>
      <c r="E939" t="str">
        <f t="shared" si="16"/>
        <v>1001HC03PT</v>
      </c>
      <c r="F939">
        <f>VLOOKUP(B939,Course!$A$2:$R$329,2,FALSE)</f>
        <v>0</v>
      </c>
      <c r="G939">
        <f>VLOOKUP(B939, Course!$A$2:$L$150, 8, FALSE)</f>
        <v>10</v>
      </c>
      <c r="H939">
        <v>3</v>
      </c>
      <c r="I939">
        <v>1</v>
      </c>
      <c r="K939" t="s">
        <v>1581</v>
      </c>
      <c r="L939" t="str">
        <f>VLOOKUP(B939, Course!$A$1:$O$133, 14, FALSE)</f>
        <v>HC</v>
      </c>
      <c r="M939">
        <v>1</v>
      </c>
    </row>
    <row r="940" spans="1:13" x14ac:dyDescent="0.2">
      <c r="A940">
        <v>943</v>
      </c>
      <c r="B940">
        <v>91</v>
      </c>
      <c r="C940">
        <v>2</v>
      </c>
      <c r="D940" t="s">
        <v>350</v>
      </c>
      <c r="E940" t="str">
        <f t="shared" si="16"/>
        <v>1002HC03PT</v>
      </c>
      <c r="F940">
        <f>VLOOKUP(B940,Course!$A$2:$R$329,2,FALSE)</f>
        <v>0</v>
      </c>
      <c r="G940">
        <f>VLOOKUP(B940, Course!$A$2:$L$150, 8, FALSE)</f>
        <v>10</v>
      </c>
      <c r="H940">
        <v>3</v>
      </c>
      <c r="I940">
        <v>1</v>
      </c>
      <c r="K940" t="s">
        <v>1581</v>
      </c>
      <c r="L940" t="str">
        <f>VLOOKUP(B940, Course!$A$1:$O$133, 14, FALSE)</f>
        <v>HC</v>
      </c>
      <c r="M940">
        <v>1</v>
      </c>
    </row>
    <row r="941" spans="1:13" x14ac:dyDescent="0.2">
      <c r="A941">
        <v>944</v>
      </c>
      <c r="B941">
        <v>91</v>
      </c>
      <c r="C941">
        <v>3</v>
      </c>
      <c r="D941" t="s">
        <v>350</v>
      </c>
      <c r="E941" t="str">
        <f t="shared" si="16"/>
        <v>1003HC03PT</v>
      </c>
      <c r="F941">
        <f>VLOOKUP(B941,Course!$A$2:$R$329,2,FALSE)</f>
        <v>0</v>
      </c>
      <c r="G941">
        <f>VLOOKUP(B941, Course!$A$2:$L$150, 8, FALSE)</f>
        <v>10</v>
      </c>
      <c r="H941">
        <v>3</v>
      </c>
      <c r="I941">
        <v>1</v>
      </c>
      <c r="K941" t="s">
        <v>1581</v>
      </c>
      <c r="L941" t="str">
        <f>VLOOKUP(B941, Course!$A$1:$O$133, 14, FALSE)</f>
        <v>HC</v>
      </c>
      <c r="M941">
        <v>1</v>
      </c>
    </row>
    <row r="942" spans="1:13" x14ac:dyDescent="0.2">
      <c r="A942">
        <v>945</v>
      </c>
      <c r="B942">
        <v>91</v>
      </c>
      <c r="C942">
        <v>4</v>
      </c>
      <c r="D942" t="s">
        <v>350</v>
      </c>
      <c r="E942" t="str">
        <f t="shared" si="16"/>
        <v>1004HC03PT</v>
      </c>
      <c r="F942">
        <f>VLOOKUP(B942,Course!$A$2:$R$329,2,FALSE)</f>
        <v>0</v>
      </c>
      <c r="G942">
        <f>VLOOKUP(B942, Course!$A$2:$L$150, 8, FALSE)</f>
        <v>10</v>
      </c>
      <c r="H942">
        <v>3</v>
      </c>
      <c r="I942">
        <v>1</v>
      </c>
      <c r="K942" t="s">
        <v>1581</v>
      </c>
      <c r="L942" t="str">
        <f>VLOOKUP(B942, Course!$A$1:$O$133, 14, FALSE)</f>
        <v>HC</v>
      </c>
      <c r="M942">
        <v>1</v>
      </c>
    </row>
    <row r="943" spans="1:13" x14ac:dyDescent="0.2">
      <c r="A943">
        <v>946</v>
      </c>
      <c r="B943">
        <v>91</v>
      </c>
      <c r="C943">
        <v>5</v>
      </c>
      <c r="D943" t="s">
        <v>350</v>
      </c>
      <c r="E943" t="str">
        <f t="shared" si="16"/>
        <v>1005HC03PT</v>
      </c>
      <c r="F943">
        <f>VLOOKUP(B943,Course!$A$2:$R$329,2,FALSE)</f>
        <v>0</v>
      </c>
      <c r="G943">
        <f>VLOOKUP(B943, Course!$A$2:$L$150, 8, FALSE)</f>
        <v>10</v>
      </c>
      <c r="H943">
        <v>3</v>
      </c>
      <c r="I943">
        <v>1</v>
      </c>
      <c r="K943" t="s">
        <v>1581</v>
      </c>
      <c r="L943" t="str">
        <f>VLOOKUP(B943, Course!$A$1:$O$133, 14, FALSE)</f>
        <v>HC</v>
      </c>
      <c r="M943">
        <v>1</v>
      </c>
    </row>
    <row r="944" spans="1:13" x14ac:dyDescent="0.2">
      <c r="A944">
        <v>947</v>
      </c>
      <c r="B944">
        <v>91</v>
      </c>
      <c r="C944">
        <v>6</v>
      </c>
      <c r="D944" t="s">
        <v>350</v>
      </c>
      <c r="E944" t="str">
        <f t="shared" si="16"/>
        <v>1006HC03PT</v>
      </c>
      <c r="F944">
        <f>VLOOKUP(B944,Course!$A$2:$R$329,2,FALSE)</f>
        <v>0</v>
      </c>
      <c r="G944">
        <f>VLOOKUP(B944, Course!$A$2:$L$150, 8, FALSE)</f>
        <v>10</v>
      </c>
      <c r="H944">
        <v>3</v>
      </c>
      <c r="I944">
        <v>1</v>
      </c>
      <c r="K944" t="s">
        <v>1581</v>
      </c>
      <c r="L944" t="str">
        <f>VLOOKUP(B944, Course!$A$1:$O$133, 14, FALSE)</f>
        <v>HC</v>
      </c>
      <c r="M944">
        <v>1</v>
      </c>
    </row>
    <row r="945" spans="1:13" x14ac:dyDescent="0.2">
      <c r="A945">
        <v>948</v>
      </c>
      <c r="B945">
        <v>91</v>
      </c>
      <c r="C945">
        <v>7</v>
      </c>
      <c r="D945" t="s">
        <v>350</v>
      </c>
      <c r="E945" t="str">
        <f t="shared" si="16"/>
        <v>1007HC03PT</v>
      </c>
      <c r="F945">
        <f>VLOOKUP(B945,Course!$A$2:$R$329,2,FALSE)</f>
        <v>0</v>
      </c>
      <c r="G945">
        <f>VLOOKUP(B945, Course!$A$2:$L$150, 8, FALSE)</f>
        <v>10</v>
      </c>
      <c r="H945">
        <v>3</v>
      </c>
      <c r="I945">
        <v>1</v>
      </c>
      <c r="K945" t="s">
        <v>1581</v>
      </c>
      <c r="L945" t="str">
        <f>VLOOKUP(B945, Course!$A$1:$O$133, 14, FALSE)</f>
        <v>HC</v>
      </c>
      <c r="M945">
        <v>1</v>
      </c>
    </row>
    <row r="946" spans="1:13" x14ac:dyDescent="0.2">
      <c r="A946">
        <v>949</v>
      </c>
      <c r="B946">
        <v>91</v>
      </c>
      <c r="C946">
        <v>8</v>
      </c>
      <c r="D946" t="s">
        <v>350</v>
      </c>
      <c r="E946" t="str">
        <f t="shared" si="16"/>
        <v>1008HC03PT</v>
      </c>
      <c r="F946">
        <f>VLOOKUP(B946,Course!$A$2:$R$329,2,FALSE)</f>
        <v>0</v>
      </c>
      <c r="G946">
        <f>VLOOKUP(B946, Course!$A$2:$L$150, 8, FALSE)</f>
        <v>10</v>
      </c>
      <c r="H946">
        <v>3</v>
      </c>
      <c r="I946">
        <v>1</v>
      </c>
      <c r="K946" t="s">
        <v>1581</v>
      </c>
      <c r="L946" t="str">
        <f>VLOOKUP(B946, Course!$A$1:$O$133, 14, FALSE)</f>
        <v>HC</v>
      </c>
      <c r="M946">
        <v>1</v>
      </c>
    </row>
    <row r="947" spans="1:13" x14ac:dyDescent="0.2">
      <c r="A947">
        <v>950</v>
      </c>
      <c r="B947">
        <v>91</v>
      </c>
      <c r="C947">
        <v>9</v>
      </c>
      <c r="D947" t="s">
        <v>350</v>
      </c>
      <c r="E947" t="str">
        <f t="shared" si="16"/>
        <v>1009HC03PT</v>
      </c>
      <c r="F947">
        <f>VLOOKUP(B947,Course!$A$2:$R$329,2,FALSE)</f>
        <v>0</v>
      </c>
      <c r="G947">
        <f>VLOOKUP(B947, Course!$A$2:$L$150, 8, FALSE)</f>
        <v>10</v>
      </c>
      <c r="H947">
        <v>3</v>
      </c>
      <c r="I947">
        <v>1</v>
      </c>
      <c r="K947" t="s">
        <v>1581</v>
      </c>
      <c r="L947" t="str">
        <f>VLOOKUP(B947, Course!$A$1:$O$133, 14, FALSE)</f>
        <v>HC</v>
      </c>
      <c r="M947">
        <v>1</v>
      </c>
    </row>
    <row r="948" spans="1:13" x14ac:dyDescent="0.2">
      <c r="A948">
        <v>951</v>
      </c>
      <c r="B948">
        <v>91</v>
      </c>
      <c r="C948">
        <v>10</v>
      </c>
      <c r="D948" t="s">
        <v>350</v>
      </c>
      <c r="E948" t="str">
        <f t="shared" si="16"/>
        <v>1010HC03PT</v>
      </c>
      <c r="F948">
        <f>VLOOKUP(B948,Course!$A$2:$R$329,2,FALSE)</f>
        <v>0</v>
      </c>
      <c r="G948">
        <f>VLOOKUP(B948, Course!$A$2:$L$150, 8, FALSE)</f>
        <v>10</v>
      </c>
      <c r="H948">
        <v>3</v>
      </c>
      <c r="I948">
        <v>1</v>
      </c>
      <c r="K948" t="s">
        <v>1581</v>
      </c>
      <c r="L948" t="str">
        <f>VLOOKUP(B948, Course!$A$1:$O$133, 14, FALSE)</f>
        <v>HC</v>
      </c>
      <c r="M948">
        <v>1</v>
      </c>
    </row>
    <row r="949" spans="1:13" x14ac:dyDescent="0.2">
      <c r="A949">
        <v>952</v>
      </c>
      <c r="B949">
        <v>92</v>
      </c>
      <c r="C949" s="13">
        <v>3</v>
      </c>
      <c r="D949" s="13" t="s">
        <v>330</v>
      </c>
      <c r="E949" s="13" t="str">
        <f t="shared" si="16"/>
        <v>203AP03PT</v>
      </c>
      <c r="F949">
        <f>VLOOKUP(B949,Course!$A$2:$R$329,2,FALSE)</f>
        <v>0</v>
      </c>
      <c r="G949">
        <f>VLOOKUP(B949, Course!$A$2:$L$150, 8, FALSE)</f>
        <v>2</v>
      </c>
      <c r="H949">
        <v>3</v>
      </c>
      <c r="I949">
        <v>1</v>
      </c>
      <c r="J949">
        <v>2022</v>
      </c>
      <c r="K949" t="s">
        <v>1581</v>
      </c>
      <c r="L949" t="str">
        <f>VLOOKUP(B949, Course!$A$1:$O$133, 14, FALSE)</f>
        <v>AP</v>
      </c>
      <c r="M949">
        <v>1</v>
      </c>
    </row>
    <row r="950" spans="1:13" x14ac:dyDescent="0.2">
      <c r="A950">
        <v>953</v>
      </c>
      <c r="B950">
        <v>92</v>
      </c>
      <c r="C950" s="13">
        <v>4</v>
      </c>
      <c r="D950" s="13" t="s">
        <v>330</v>
      </c>
      <c r="E950" s="13" t="str">
        <f t="shared" si="16"/>
        <v>204AP03PT</v>
      </c>
      <c r="F950">
        <f>VLOOKUP(B950,Course!$A$2:$R$329,2,FALSE)</f>
        <v>0</v>
      </c>
      <c r="G950">
        <f>VLOOKUP(B950, Course!$A$2:$L$150, 8, FALSE)</f>
        <v>2</v>
      </c>
      <c r="H950">
        <v>3</v>
      </c>
      <c r="I950">
        <v>1</v>
      </c>
      <c r="J950">
        <v>2022</v>
      </c>
      <c r="K950" t="s">
        <v>1581</v>
      </c>
      <c r="L950" t="str">
        <f>VLOOKUP(B950, Course!$A$1:$O$133, 14, FALSE)</f>
        <v>AP</v>
      </c>
      <c r="M950">
        <v>1</v>
      </c>
    </row>
    <row r="951" spans="1:13" x14ac:dyDescent="0.2">
      <c r="A951">
        <v>954</v>
      </c>
      <c r="B951">
        <v>93</v>
      </c>
      <c r="C951">
        <v>1</v>
      </c>
      <c r="D951" t="s">
        <v>354</v>
      </c>
      <c r="E951" t="str">
        <f t="shared" si="16"/>
        <v>501CC03PT</v>
      </c>
      <c r="F951">
        <f>VLOOKUP(B951,Course!$A$2:$R$329,2,FALSE)</f>
        <v>0</v>
      </c>
      <c r="G951">
        <f>VLOOKUP(B951, Course!$A$2:$L$150, 8, FALSE)</f>
        <v>5</v>
      </c>
      <c r="H951">
        <v>3</v>
      </c>
      <c r="I951">
        <v>1</v>
      </c>
      <c r="K951" t="s">
        <v>1581</v>
      </c>
      <c r="L951" t="str">
        <f>VLOOKUP(B951, Course!$A$1:$O$133, 14, FALSE)</f>
        <v>CC</v>
      </c>
      <c r="M951">
        <v>1</v>
      </c>
    </row>
    <row r="952" spans="1:13" x14ac:dyDescent="0.2">
      <c r="A952">
        <v>955</v>
      </c>
      <c r="B952">
        <v>93</v>
      </c>
      <c r="C952">
        <v>2</v>
      </c>
      <c r="D952" t="s">
        <v>354</v>
      </c>
      <c r="E952" t="str">
        <f t="shared" si="16"/>
        <v>502CC03PT</v>
      </c>
      <c r="F952">
        <f>VLOOKUP(B952,Course!$A$2:$R$329,2,FALSE)</f>
        <v>0</v>
      </c>
      <c r="G952">
        <f>VLOOKUP(B952, Course!$A$2:$L$150, 8, FALSE)</f>
        <v>5</v>
      </c>
      <c r="H952">
        <v>3</v>
      </c>
      <c r="I952">
        <v>1</v>
      </c>
      <c r="K952" t="s">
        <v>1581</v>
      </c>
      <c r="L952" t="str">
        <f>VLOOKUP(B952, Course!$A$1:$O$133, 14, FALSE)</f>
        <v>CC</v>
      </c>
      <c r="M952">
        <v>1</v>
      </c>
    </row>
    <row r="953" spans="1:13" x14ac:dyDescent="0.2">
      <c r="A953">
        <v>956</v>
      </c>
      <c r="B953">
        <v>93</v>
      </c>
      <c r="C953">
        <v>3</v>
      </c>
      <c r="D953" t="s">
        <v>354</v>
      </c>
      <c r="E953" t="str">
        <f t="shared" si="16"/>
        <v>503CC03PT</v>
      </c>
      <c r="F953">
        <f>VLOOKUP(B953,Course!$A$2:$R$329,2,FALSE)</f>
        <v>0</v>
      </c>
      <c r="G953">
        <f>VLOOKUP(B953, Course!$A$2:$L$150, 8, FALSE)</f>
        <v>5</v>
      </c>
      <c r="H953">
        <v>3</v>
      </c>
      <c r="I953">
        <v>1</v>
      </c>
      <c r="K953" t="s">
        <v>1581</v>
      </c>
      <c r="L953" t="str">
        <f>VLOOKUP(B953, Course!$A$1:$O$133, 14, FALSE)</f>
        <v>CC</v>
      </c>
      <c r="M953">
        <v>1</v>
      </c>
    </row>
    <row r="954" spans="1:13" x14ac:dyDescent="0.2">
      <c r="A954">
        <v>957</v>
      </c>
      <c r="B954">
        <v>93</v>
      </c>
      <c r="C954">
        <v>4</v>
      </c>
      <c r="D954" t="s">
        <v>354</v>
      </c>
      <c r="E954" t="str">
        <f t="shared" si="16"/>
        <v>504CC03PT</v>
      </c>
      <c r="F954">
        <f>VLOOKUP(B954,Course!$A$2:$R$329,2,FALSE)</f>
        <v>0</v>
      </c>
      <c r="G954">
        <f>VLOOKUP(B954, Course!$A$2:$L$150, 8, FALSE)</f>
        <v>5</v>
      </c>
      <c r="H954">
        <v>3</v>
      </c>
      <c r="I954">
        <v>1</v>
      </c>
      <c r="K954" t="s">
        <v>1581</v>
      </c>
      <c r="L954" t="str">
        <f>VLOOKUP(B954, Course!$A$1:$O$133, 14, FALSE)</f>
        <v>CC</v>
      </c>
      <c r="M954">
        <v>1</v>
      </c>
    </row>
    <row r="955" spans="1:13" x14ac:dyDescent="0.2">
      <c r="A955">
        <v>958</v>
      </c>
      <c r="B955">
        <v>93</v>
      </c>
      <c r="C955">
        <v>5</v>
      </c>
      <c r="D955" t="s">
        <v>354</v>
      </c>
      <c r="E955" t="str">
        <f t="shared" si="16"/>
        <v>505CC03PT</v>
      </c>
      <c r="F955">
        <f>VLOOKUP(B955,Course!$A$2:$R$329,2,FALSE)</f>
        <v>0</v>
      </c>
      <c r="G955">
        <f>VLOOKUP(B955, Course!$A$2:$L$150, 8, FALSE)</f>
        <v>5</v>
      </c>
      <c r="H955">
        <v>3</v>
      </c>
      <c r="I955">
        <v>1</v>
      </c>
      <c r="K955" t="s">
        <v>1581</v>
      </c>
      <c r="L955" t="str">
        <f>VLOOKUP(B955, Course!$A$1:$O$133, 14, FALSE)</f>
        <v>CC</v>
      </c>
      <c r="M955">
        <v>1</v>
      </c>
    </row>
    <row r="956" spans="1:13" x14ac:dyDescent="0.2">
      <c r="A956">
        <v>959</v>
      </c>
      <c r="B956">
        <v>94</v>
      </c>
      <c r="C956">
        <v>133</v>
      </c>
      <c r="D956" t="s">
        <v>227</v>
      </c>
      <c r="E956" t="str">
        <f t="shared" si="16"/>
        <v>633LC03PT</v>
      </c>
      <c r="F956">
        <f>VLOOKUP(B956,Course!$A$2:$R$329,2,FALSE)</f>
        <v>0</v>
      </c>
      <c r="G956">
        <f>VLOOKUP(B956, Course!$A$2:$L$150, 8, FALSE)</f>
        <v>6</v>
      </c>
      <c r="H956">
        <v>3</v>
      </c>
      <c r="I956">
        <v>1</v>
      </c>
      <c r="K956" t="s">
        <v>1581</v>
      </c>
      <c r="L956" t="str">
        <f>VLOOKUP(B956, Course!$A$1:$O$133, 14, FALSE)</f>
        <v>LC</v>
      </c>
      <c r="M956">
        <v>1</v>
      </c>
    </row>
    <row r="957" spans="1:13" x14ac:dyDescent="0.2">
      <c r="A957">
        <v>960</v>
      </c>
      <c r="B957">
        <v>94</v>
      </c>
      <c r="C957">
        <v>134</v>
      </c>
      <c r="D957" t="s">
        <v>227</v>
      </c>
      <c r="E957" t="str">
        <f t="shared" si="16"/>
        <v>634LC03PT</v>
      </c>
      <c r="F957">
        <f>VLOOKUP(B957,Course!$A$2:$R$329,2,FALSE)</f>
        <v>0</v>
      </c>
      <c r="G957">
        <f>VLOOKUP(B957, Course!$A$2:$L$150, 8, FALSE)</f>
        <v>6</v>
      </c>
      <c r="H957">
        <v>3</v>
      </c>
      <c r="I957">
        <v>1</v>
      </c>
      <c r="K957" t="s">
        <v>1581</v>
      </c>
      <c r="L957" t="str">
        <f>VLOOKUP(B957, Course!$A$1:$O$133, 14, FALSE)</f>
        <v>LC</v>
      </c>
      <c r="M957">
        <v>1</v>
      </c>
    </row>
    <row r="958" spans="1:13" x14ac:dyDescent="0.2">
      <c r="A958">
        <v>961</v>
      </c>
      <c r="B958">
        <v>94</v>
      </c>
      <c r="C958">
        <v>135</v>
      </c>
      <c r="D958" t="s">
        <v>227</v>
      </c>
      <c r="E958" t="str">
        <f t="shared" si="16"/>
        <v>635LC03PT</v>
      </c>
      <c r="F958">
        <f>VLOOKUP(B958,Course!$A$2:$R$329,2,FALSE)</f>
        <v>0</v>
      </c>
      <c r="G958">
        <f>VLOOKUP(B958, Course!$A$2:$L$150, 8, FALSE)</f>
        <v>6</v>
      </c>
      <c r="H958">
        <v>3</v>
      </c>
      <c r="I958">
        <v>1</v>
      </c>
      <c r="K958" t="s">
        <v>1581</v>
      </c>
      <c r="L958" t="str">
        <f>VLOOKUP(B958, Course!$A$1:$O$133, 14, FALSE)</f>
        <v>LC</v>
      </c>
      <c r="M958">
        <v>1</v>
      </c>
    </row>
    <row r="959" spans="1:13" x14ac:dyDescent="0.2">
      <c r="A959">
        <v>962</v>
      </c>
      <c r="B959">
        <v>94</v>
      </c>
      <c r="C959">
        <v>136</v>
      </c>
      <c r="D959" t="s">
        <v>227</v>
      </c>
      <c r="E959" t="str">
        <f t="shared" si="16"/>
        <v>636LC03PT</v>
      </c>
      <c r="F959">
        <f>VLOOKUP(B959,Course!$A$2:$R$329,2,FALSE)</f>
        <v>0</v>
      </c>
      <c r="G959">
        <f>VLOOKUP(B959, Course!$A$2:$L$150, 8, FALSE)</f>
        <v>6</v>
      </c>
      <c r="H959">
        <v>3</v>
      </c>
      <c r="I959">
        <v>1</v>
      </c>
      <c r="K959" t="s">
        <v>1581</v>
      </c>
      <c r="L959" t="str">
        <f>VLOOKUP(B959, Course!$A$1:$O$133, 14, FALSE)</f>
        <v>LC</v>
      </c>
      <c r="M959">
        <v>1</v>
      </c>
    </row>
    <row r="960" spans="1:13" x14ac:dyDescent="0.2">
      <c r="A960">
        <v>963</v>
      </c>
      <c r="B960">
        <v>94</v>
      </c>
      <c r="C960">
        <v>137</v>
      </c>
      <c r="D960" t="s">
        <v>227</v>
      </c>
      <c r="E960" t="str">
        <f t="shared" si="16"/>
        <v>637LC03PT</v>
      </c>
      <c r="F960">
        <f>VLOOKUP(B960,Course!$A$2:$R$329,2,FALSE)</f>
        <v>0</v>
      </c>
      <c r="G960">
        <f>VLOOKUP(B960, Course!$A$2:$L$150, 8, FALSE)</f>
        <v>6</v>
      </c>
      <c r="H960">
        <v>3</v>
      </c>
      <c r="I960">
        <v>1</v>
      </c>
      <c r="K960" t="s">
        <v>1581</v>
      </c>
      <c r="L960" t="str">
        <f>VLOOKUP(B960, Course!$A$1:$O$133, 14, FALSE)</f>
        <v>LC</v>
      </c>
      <c r="M960">
        <v>1</v>
      </c>
    </row>
    <row r="961" spans="1:13" x14ac:dyDescent="0.2">
      <c r="A961">
        <v>964</v>
      </c>
      <c r="B961">
        <v>94</v>
      </c>
      <c r="C961">
        <v>138</v>
      </c>
      <c r="D961" t="s">
        <v>227</v>
      </c>
      <c r="E961" t="str">
        <f t="shared" si="16"/>
        <v>638LC03PT</v>
      </c>
      <c r="F961">
        <f>VLOOKUP(B961,Course!$A$2:$R$329,2,FALSE)</f>
        <v>0</v>
      </c>
      <c r="G961">
        <f>VLOOKUP(B961, Course!$A$2:$L$150, 8, FALSE)</f>
        <v>6</v>
      </c>
      <c r="H961">
        <v>3</v>
      </c>
      <c r="I961">
        <v>1</v>
      </c>
      <c r="K961" t="s">
        <v>1581</v>
      </c>
      <c r="L961" t="str">
        <f>VLOOKUP(B961, Course!$A$1:$O$133, 14, FALSE)</f>
        <v>LC</v>
      </c>
      <c r="M961">
        <v>1</v>
      </c>
    </row>
    <row r="962" spans="1:13" x14ac:dyDescent="0.2">
      <c r="A962">
        <v>965</v>
      </c>
      <c r="B962">
        <v>95</v>
      </c>
      <c r="C962">
        <v>109</v>
      </c>
      <c r="D962" t="s">
        <v>357</v>
      </c>
      <c r="E962" t="str">
        <f t="shared" si="16"/>
        <v>1209OT03PT</v>
      </c>
      <c r="F962" t="str">
        <f>VLOOKUP(B962,Course!$A$2:$R$329,2,FALSE)</f>
        <v>Biblical Studies II</v>
      </c>
      <c r="G962">
        <f>VLOOKUP(B962, Course!$A$2:$L$150, 8, FALSE)</f>
        <v>12</v>
      </c>
      <c r="H962">
        <v>3</v>
      </c>
      <c r="I962">
        <v>1</v>
      </c>
      <c r="K962" t="s">
        <v>1581</v>
      </c>
      <c r="L962" t="str">
        <f>VLOOKUP(B962, Course!$A$1:$O$133, 14, FALSE)</f>
        <v>OT</v>
      </c>
      <c r="M962">
        <v>1</v>
      </c>
    </row>
    <row r="963" spans="1:13" x14ac:dyDescent="0.2">
      <c r="A963">
        <v>966</v>
      </c>
      <c r="B963">
        <v>95</v>
      </c>
      <c r="C963">
        <v>110</v>
      </c>
      <c r="D963" t="s">
        <v>357</v>
      </c>
      <c r="E963" t="str">
        <f t="shared" si="16"/>
        <v>1210OT03PT</v>
      </c>
      <c r="F963" t="str">
        <f>VLOOKUP(B963,Course!$A$2:$R$329,2,FALSE)</f>
        <v>Biblical Studies II</v>
      </c>
      <c r="G963">
        <f>VLOOKUP(B963, Course!$A$2:$L$150, 8, FALSE)</f>
        <v>12</v>
      </c>
      <c r="H963">
        <v>3</v>
      </c>
      <c r="I963">
        <v>1</v>
      </c>
      <c r="K963" t="s">
        <v>1581</v>
      </c>
      <c r="L963" t="str">
        <f>VLOOKUP(B963, Course!$A$1:$O$133, 14, FALSE)</f>
        <v>OT</v>
      </c>
      <c r="M963">
        <v>1</v>
      </c>
    </row>
    <row r="964" spans="1:13" x14ac:dyDescent="0.2">
      <c r="A964">
        <v>967</v>
      </c>
      <c r="B964">
        <v>95</v>
      </c>
      <c r="C964">
        <v>111</v>
      </c>
      <c r="D964" t="s">
        <v>357</v>
      </c>
      <c r="E964" t="str">
        <f t="shared" si="16"/>
        <v>1211OT03PT</v>
      </c>
      <c r="F964" t="str">
        <f>VLOOKUP(B964,Course!$A$2:$R$329,2,FALSE)</f>
        <v>Biblical Studies II</v>
      </c>
      <c r="G964">
        <f>VLOOKUP(B964, Course!$A$2:$L$150, 8, FALSE)</f>
        <v>12</v>
      </c>
      <c r="H964">
        <v>3</v>
      </c>
      <c r="I964">
        <v>1</v>
      </c>
      <c r="K964" t="s">
        <v>1581</v>
      </c>
      <c r="L964" t="str">
        <f>VLOOKUP(B964, Course!$A$1:$O$133, 14, FALSE)</f>
        <v>OT</v>
      </c>
      <c r="M964">
        <v>1</v>
      </c>
    </row>
    <row r="965" spans="1:13" x14ac:dyDescent="0.2">
      <c r="A965">
        <v>968</v>
      </c>
      <c r="B965">
        <v>95</v>
      </c>
      <c r="C965">
        <v>112</v>
      </c>
      <c r="D965" t="s">
        <v>357</v>
      </c>
      <c r="E965" t="str">
        <f t="shared" si="16"/>
        <v>1212OT03PT</v>
      </c>
      <c r="F965" t="str">
        <f>VLOOKUP(B965,Course!$A$2:$R$329,2,FALSE)</f>
        <v>Biblical Studies II</v>
      </c>
      <c r="G965">
        <f>VLOOKUP(B965, Course!$A$2:$L$150, 8, FALSE)</f>
        <v>12</v>
      </c>
      <c r="H965">
        <v>3</v>
      </c>
      <c r="I965">
        <v>1</v>
      </c>
      <c r="K965" t="s">
        <v>1581</v>
      </c>
      <c r="L965" t="str">
        <f>VLOOKUP(B965, Course!$A$1:$O$133, 14, FALSE)</f>
        <v>OT</v>
      </c>
      <c r="M965">
        <v>1</v>
      </c>
    </row>
    <row r="966" spans="1:13" x14ac:dyDescent="0.2">
      <c r="A966">
        <v>969</v>
      </c>
      <c r="B966">
        <v>95</v>
      </c>
      <c r="C966">
        <v>113</v>
      </c>
      <c r="D966" t="s">
        <v>357</v>
      </c>
      <c r="E966" t="str">
        <f t="shared" si="16"/>
        <v>1213OT03PT</v>
      </c>
      <c r="F966" t="str">
        <f>VLOOKUP(B966,Course!$A$2:$R$329,2,FALSE)</f>
        <v>Biblical Studies II</v>
      </c>
      <c r="G966">
        <f>VLOOKUP(B966, Course!$A$2:$L$150, 8, FALSE)</f>
        <v>12</v>
      </c>
      <c r="H966">
        <v>3</v>
      </c>
      <c r="I966">
        <v>1</v>
      </c>
      <c r="K966" t="s">
        <v>1581</v>
      </c>
      <c r="L966" t="str">
        <f>VLOOKUP(B966, Course!$A$1:$O$133, 14, FALSE)</f>
        <v>OT</v>
      </c>
      <c r="M966">
        <v>1</v>
      </c>
    </row>
    <row r="967" spans="1:13" x14ac:dyDescent="0.2">
      <c r="A967">
        <v>970</v>
      </c>
      <c r="B967">
        <v>95</v>
      </c>
      <c r="C967">
        <v>114</v>
      </c>
      <c r="D967" t="s">
        <v>357</v>
      </c>
      <c r="E967" t="str">
        <f t="shared" si="16"/>
        <v>1214OT03PT</v>
      </c>
      <c r="F967" t="str">
        <f>VLOOKUP(B967,Course!$A$2:$R$329,2,FALSE)</f>
        <v>Biblical Studies II</v>
      </c>
      <c r="G967">
        <f>VLOOKUP(B967, Course!$A$2:$L$150, 8, FALSE)</f>
        <v>12</v>
      </c>
      <c r="H967">
        <v>3</v>
      </c>
      <c r="I967">
        <v>1</v>
      </c>
      <c r="K967" t="s">
        <v>1581</v>
      </c>
      <c r="L967" t="str">
        <f>VLOOKUP(B967, Course!$A$1:$O$133, 14, FALSE)</f>
        <v>OT</v>
      </c>
      <c r="M967">
        <v>1</v>
      </c>
    </row>
    <row r="968" spans="1:13" x14ac:dyDescent="0.2">
      <c r="A968">
        <v>971</v>
      </c>
      <c r="B968">
        <v>95</v>
      </c>
      <c r="C968">
        <v>115</v>
      </c>
      <c r="D968" t="s">
        <v>357</v>
      </c>
      <c r="E968" t="str">
        <f t="shared" si="16"/>
        <v>1215OT03PT</v>
      </c>
      <c r="F968" t="str">
        <f>VLOOKUP(B968,Course!$A$2:$R$329,2,FALSE)</f>
        <v>Biblical Studies II</v>
      </c>
      <c r="G968">
        <f>VLOOKUP(B968, Course!$A$2:$L$150, 8, FALSE)</f>
        <v>12</v>
      </c>
      <c r="H968">
        <v>3</v>
      </c>
      <c r="I968">
        <v>1</v>
      </c>
      <c r="K968" t="s">
        <v>1581</v>
      </c>
      <c r="L968" t="str">
        <f>VLOOKUP(B968, Course!$A$1:$O$133, 14, FALSE)</f>
        <v>OT</v>
      </c>
      <c r="M968">
        <v>1</v>
      </c>
    </row>
    <row r="969" spans="1:13" x14ac:dyDescent="0.2">
      <c r="A969">
        <v>972</v>
      </c>
      <c r="B969">
        <v>95</v>
      </c>
      <c r="C969">
        <v>116</v>
      </c>
      <c r="D969" t="s">
        <v>357</v>
      </c>
      <c r="E969" t="str">
        <f t="shared" si="16"/>
        <v>1216OT03PT</v>
      </c>
      <c r="F969" t="str">
        <f>VLOOKUP(B969,Course!$A$2:$R$329,2,FALSE)</f>
        <v>Biblical Studies II</v>
      </c>
      <c r="G969">
        <f>VLOOKUP(B969, Course!$A$2:$L$150, 8, FALSE)</f>
        <v>12</v>
      </c>
      <c r="H969">
        <v>3</v>
      </c>
      <c r="I969">
        <v>1</v>
      </c>
      <c r="K969" t="s">
        <v>1581</v>
      </c>
      <c r="L969" t="str">
        <f>VLOOKUP(B969, Course!$A$1:$O$133, 14, FALSE)</f>
        <v>OT</v>
      </c>
      <c r="M969">
        <v>1</v>
      </c>
    </row>
    <row r="970" spans="1:13" x14ac:dyDescent="0.2">
      <c r="A970">
        <v>973</v>
      </c>
      <c r="B970">
        <v>95</v>
      </c>
      <c r="C970">
        <v>117</v>
      </c>
      <c r="D970" t="s">
        <v>357</v>
      </c>
      <c r="E970" t="str">
        <f t="shared" si="16"/>
        <v>1217OT03PT</v>
      </c>
      <c r="F970" t="str">
        <f>VLOOKUP(B970,Course!$A$2:$R$329,2,FALSE)</f>
        <v>Biblical Studies II</v>
      </c>
      <c r="G970">
        <f>VLOOKUP(B970, Course!$A$2:$L$150, 8, FALSE)</f>
        <v>12</v>
      </c>
      <c r="H970">
        <v>3</v>
      </c>
      <c r="I970">
        <v>1</v>
      </c>
      <c r="K970" t="s">
        <v>1581</v>
      </c>
      <c r="L970" t="str">
        <f>VLOOKUP(B970, Course!$A$1:$O$133, 14, FALSE)</f>
        <v>OT</v>
      </c>
      <c r="M970">
        <v>1</v>
      </c>
    </row>
    <row r="971" spans="1:13" x14ac:dyDescent="0.2">
      <c r="A971">
        <v>974</v>
      </c>
      <c r="B971">
        <v>95</v>
      </c>
      <c r="C971">
        <v>118</v>
      </c>
      <c r="D971" t="s">
        <v>357</v>
      </c>
      <c r="E971" t="str">
        <f t="shared" si="16"/>
        <v>1218OT03PT</v>
      </c>
      <c r="F971" t="str">
        <f>VLOOKUP(B971,Course!$A$2:$R$329,2,FALSE)</f>
        <v>Biblical Studies II</v>
      </c>
      <c r="G971">
        <f>VLOOKUP(B971, Course!$A$2:$L$150, 8, FALSE)</f>
        <v>12</v>
      </c>
      <c r="H971">
        <v>3</v>
      </c>
      <c r="I971">
        <v>1</v>
      </c>
      <c r="K971" t="s">
        <v>1581</v>
      </c>
      <c r="L971" t="str">
        <f>VLOOKUP(B971, Course!$A$1:$O$133, 14, FALSE)</f>
        <v>OT</v>
      </c>
      <c r="M971">
        <v>1</v>
      </c>
    </row>
    <row r="972" spans="1:13" x14ac:dyDescent="0.2">
      <c r="A972">
        <v>975</v>
      </c>
      <c r="B972">
        <v>95</v>
      </c>
      <c r="C972">
        <v>119</v>
      </c>
      <c r="D972" t="s">
        <v>357</v>
      </c>
      <c r="E972" t="str">
        <f t="shared" si="16"/>
        <v>1219OT03PT</v>
      </c>
      <c r="F972" t="str">
        <f>VLOOKUP(B972,Course!$A$2:$R$329,2,FALSE)</f>
        <v>Biblical Studies II</v>
      </c>
      <c r="G972">
        <f>VLOOKUP(B972, Course!$A$2:$L$150, 8, FALSE)</f>
        <v>12</v>
      </c>
      <c r="H972">
        <v>3</v>
      </c>
      <c r="I972">
        <v>1</v>
      </c>
      <c r="K972" t="s">
        <v>1581</v>
      </c>
      <c r="L972" t="str">
        <f>VLOOKUP(B972, Course!$A$1:$O$133, 14, FALSE)</f>
        <v>OT</v>
      </c>
      <c r="M972">
        <v>1</v>
      </c>
    </row>
    <row r="973" spans="1:13" x14ac:dyDescent="0.2">
      <c r="A973">
        <v>976</v>
      </c>
      <c r="B973">
        <v>95</v>
      </c>
      <c r="C973">
        <v>120</v>
      </c>
      <c r="D973" t="s">
        <v>357</v>
      </c>
      <c r="E973" t="str">
        <f t="shared" si="16"/>
        <v>1220OT03PT</v>
      </c>
      <c r="F973" t="str">
        <f>VLOOKUP(B973,Course!$A$2:$R$329,2,FALSE)</f>
        <v>Biblical Studies II</v>
      </c>
      <c r="G973">
        <f>VLOOKUP(B973, Course!$A$2:$L$150, 8, FALSE)</f>
        <v>12</v>
      </c>
      <c r="H973">
        <v>3</v>
      </c>
      <c r="I973">
        <v>1</v>
      </c>
      <c r="K973" t="s">
        <v>1581</v>
      </c>
      <c r="L973" t="str">
        <f>VLOOKUP(B973, Course!$A$1:$O$133, 14, FALSE)</f>
        <v>OT</v>
      </c>
      <c r="M973">
        <v>1</v>
      </c>
    </row>
    <row r="974" spans="1:13" x14ac:dyDescent="0.2">
      <c r="A974">
        <v>977</v>
      </c>
      <c r="B974">
        <v>96</v>
      </c>
      <c r="C974">
        <v>109</v>
      </c>
      <c r="D974" t="s">
        <v>359</v>
      </c>
      <c r="E974" t="str">
        <f t="shared" si="16"/>
        <v>609AM03PT</v>
      </c>
      <c r="F974">
        <f>VLOOKUP(B974,Course!$A$2:$R$329,2,FALSE)</f>
        <v>0</v>
      </c>
      <c r="G974">
        <f>VLOOKUP(B974, Course!$A$2:$L$150, 8, FALSE)</f>
        <v>6</v>
      </c>
      <c r="H974">
        <v>3</v>
      </c>
      <c r="I974">
        <v>1</v>
      </c>
      <c r="K974" t="s">
        <v>1581</v>
      </c>
      <c r="L974" t="str">
        <f>VLOOKUP(B974, Course!$A$1:$O$133, 14, FALSE)</f>
        <v>AM</v>
      </c>
      <c r="M974">
        <v>1</v>
      </c>
    </row>
    <row r="975" spans="1:13" x14ac:dyDescent="0.2">
      <c r="A975">
        <v>978</v>
      </c>
      <c r="B975">
        <v>96</v>
      </c>
      <c r="C975">
        <v>110</v>
      </c>
      <c r="D975" t="s">
        <v>359</v>
      </c>
      <c r="E975" t="str">
        <f t="shared" si="16"/>
        <v>610AM03PT</v>
      </c>
      <c r="F975">
        <f>VLOOKUP(B975,Course!$A$2:$R$329,2,FALSE)</f>
        <v>0</v>
      </c>
      <c r="G975">
        <f>VLOOKUP(B975, Course!$A$2:$L$150, 8, FALSE)</f>
        <v>6</v>
      </c>
      <c r="H975">
        <v>3</v>
      </c>
      <c r="I975">
        <v>1</v>
      </c>
      <c r="K975" t="s">
        <v>1581</v>
      </c>
      <c r="L975" t="str">
        <f>VLOOKUP(B975, Course!$A$1:$O$133, 14, FALSE)</f>
        <v>AM</v>
      </c>
      <c r="M975">
        <v>1</v>
      </c>
    </row>
    <row r="976" spans="1:13" x14ac:dyDescent="0.2">
      <c r="A976">
        <v>979</v>
      </c>
      <c r="B976">
        <v>96</v>
      </c>
      <c r="C976">
        <v>111</v>
      </c>
      <c r="D976" t="s">
        <v>359</v>
      </c>
      <c r="E976" t="str">
        <f t="shared" si="16"/>
        <v>611AM03PT</v>
      </c>
      <c r="F976">
        <f>VLOOKUP(B976,Course!$A$2:$R$329,2,FALSE)</f>
        <v>0</v>
      </c>
      <c r="G976">
        <f>VLOOKUP(B976, Course!$A$2:$L$150, 8, FALSE)</f>
        <v>6</v>
      </c>
      <c r="H976">
        <v>3</v>
      </c>
      <c r="I976">
        <v>1</v>
      </c>
      <c r="K976" t="s">
        <v>1581</v>
      </c>
      <c r="L976" t="str">
        <f>VLOOKUP(B976, Course!$A$1:$O$133, 14, FALSE)</f>
        <v>AM</v>
      </c>
      <c r="M976">
        <v>1</v>
      </c>
    </row>
    <row r="977" spans="1:13" x14ac:dyDescent="0.2">
      <c r="A977">
        <v>980</v>
      </c>
      <c r="B977">
        <v>96</v>
      </c>
      <c r="C977">
        <v>112</v>
      </c>
      <c r="D977" t="s">
        <v>359</v>
      </c>
      <c r="E977" t="str">
        <f t="shared" si="16"/>
        <v>612AM03PT</v>
      </c>
      <c r="F977">
        <f>VLOOKUP(B977,Course!$A$2:$R$329,2,FALSE)</f>
        <v>0</v>
      </c>
      <c r="G977">
        <f>VLOOKUP(B977, Course!$A$2:$L$150, 8, FALSE)</f>
        <v>6</v>
      </c>
      <c r="H977">
        <v>3</v>
      </c>
      <c r="I977">
        <v>1</v>
      </c>
      <c r="K977" t="s">
        <v>1581</v>
      </c>
      <c r="L977" t="str">
        <f>VLOOKUP(B977, Course!$A$1:$O$133, 14, FALSE)</f>
        <v>AM</v>
      </c>
      <c r="M977">
        <v>1</v>
      </c>
    </row>
    <row r="978" spans="1:13" x14ac:dyDescent="0.2">
      <c r="A978">
        <v>981</v>
      </c>
      <c r="B978">
        <v>96</v>
      </c>
      <c r="C978">
        <v>113</v>
      </c>
      <c r="D978" t="s">
        <v>359</v>
      </c>
      <c r="E978" t="str">
        <f t="shared" si="16"/>
        <v>613AM03PT</v>
      </c>
      <c r="F978">
        <f>VLOOKUP(B978,Course!$A$2:$R$329,2,FALSE)</f>
        <v>0</v>
      </c>
      <c r="G978">
        <f>VLOOKUP(B978, Course!$A$2:$L$150, 8, FALSE)</f>
        <v>6</v>
      </c>
      <c r="H978">
        <v>3</v>
      </c>
      <c r="I978">
        <v>1</v>
      </c>
      <c r="K978" t="s">
        <v>1581</v>
      </c>
      <c r="L978" t="str">
        <f>VLOOKUP(B978, Course!$A$1:$O$133, 14, FALSE)</f>
        <v>AM</v>
      </c>
      <c r="M978">
        <v>1</v>
      </c>
    </row>
    <row r="979" spans="1:13" x14ac:dyDescent="0.2">
      <c r="A979">
        <v>982</v>
      </c>
      <c r="B979">
        <v>96</v>
      </c>
      <c r="C979">
        <v>114</v>
      </c>
      <c r="D979" t="s">
        <v>359</v>
      </c>
      <c r="E979" t="str">
        <f t="shared" si="16"/>
        <v>614AM03PT</v>
      </c>
      <c r="F979">
        <f>VLOOKUP(B979,Course!$A$2:$R$329,2,FALSE)</f>
        <v>0</v>
      </c>
      <c r="G979">
        <f>VLOOKUP(B979, Course!$A$2:$L$150, 8, FALSE)</f>
        <v>6</v>
      </c>
      <c r="H979">
        <v>3</v>
      </c>
      <c r="I979">
        <v>1</v>
      </c>
      <c r="K979" t="s">
        <v>1581</v>
      </c>
      <c r="L979" t="str">
        <f>VLOOKUP(B979, Course!$A$1:$O$133, 14, FALSE)</f>
        <v>AM</v>
      </c>
      <c r="M979">
        <v>1</v>
      </c>
    </row>
    <row r="980" spans="1:13" x14ac:dyDescent="0.2">
      <c r="A980">
        <v>983</v>
      </c>
      <c r="B980">
        <v>98</v>
      </c>
      <c r="C980">
        <v>121</v>
      </c>
      <c r="D980" t="s">
        <v>291</v>
      </c>
      <c r="E980" t="str">
        <f t="shared" si="16"/>
        <v>1221AL03PT</v>
      </c>
      <c r="F980">
        <f>VLOOKUP(B980,Course!$A$2:$R$329,2,FALSE)</f>
        <v>0</v>
      </c>
      <c r="G980">
        <f>VLOOKUP(B980, Course!$A$2:$L$150, 8, FALSE)</f>
        <v>12</v>
      </c>
      <c r="H980">
        <v>3</v>
      </c>
      <c r="I980">
        <v>1</v>
      </c>
      <c r="K980" t="s">
        <v>1581</v>
      </c>
      <c r="L980" t="str">
        <f>VLOOKUP(B980, Course!$A$1:$O$133, 14, FALSE)</f>
        <v>AL</v>
      </c>
      <c r="M980">
        <v>1</v>
      </c>
    </row>
    <row r="981" spans="1:13" x14ac:dyDescent="0.2">
      <c r="A981">
        <v>984</v>
      </c>
      <c r="B981">
        <v>98</v>
      </c>
      <c r="C981">
        <v>122</v>
      </c>
      <c r="D981" t="s">
        <v>291</v>
      </c>
      <c r="E981" t="str">
        <f t="shared" si="16"/>
        <v>1222AL03PT</v>
      </c>
      <c r="F981">
        <f>VLOOKUP(B981,Course!$A$2:$R$329,2,FALSE)</f>
        <v>0</v>
      </c>
      <c r="G981">
        <f>VLOOKUP(B981, Course!$A$2:$L$150, 8, FALSE)</f>
        <v>12</v>
      </c>
      <c r="H981">
        <v>3</v>
      </c>
      <c r="I981">
        <v>1</v>
      </c>
      <c r="K981" t="s">
        <v>1581</v>
      </c>
      <c r="L981" t="str">
        <f>VLOOKUP(B981, Course!$A$1:$O$133, 14, FALSE)</f>
        <v>AL</v>
      </c>
      <c r="M981">
        <v>1</v>
      </c>
    </row>
    <row r="982" spans="1:13" x14ac:dyDescent="0.2">
      <c r="A982">
        <v>985</v>
      </c>
      <c r="B982">
        <v>98</v>
      </c>
      <c r="C982">
        <v>123</v>
      </c>
      <c r="D982" t="s">
        <v>291</v>
      </c>
      <c r="E982" t="str">
        <f t="shared" si="16"/>
        <v>1223AL03PT</v>
      </c>
      <c r="F982">
        <f>VLOOKUP(B982,Course!$A$2:$R$329,2,FALSE)</f>
        <v>0</v>
      </c>
      <c r="G982">
        <f>VLOOKUP(B982, Course!$A$2:$L$150, 8, FALSE)</f>
        <v>12</v>
      </c>
      <c r="H982">
        <v>3</v>
      </c>
      <c r="I982">
        <v>1</v>
      </c>
      <c r="K982" t="s">
        <v>1581</v>
      </c>
      <c r="L982" t="str">
        <f>VLOOKUP(B982, Course!$A$1:$O$133, 14, FALSE)</f>
        <v>AL</v>
      </c>
      <c r="M982">
        <v>1</v>
      </c>
    </row>
    <row r="983" spans="1:13" x14ac:dyDescent="0.2">
      <c r="A983">
        <v>986</v>
      </c>
      <c r="B983">
        <v>98</v>
      </c>
      <c r="C983">
        <v>124</v>
      </c>
      <c r="D983" t="s">
        <v>291</v>
      </c>
      <c r="E983" t="str">
        <f t="shared" si="16"/>
        <v>1224AL03PT</v>
      </c>
      <c r="F983">
        <f>VLOOKUP(B983,Course!$A$2:$R$329,2,FALSE)</f>
        <v>0</v>
      </c>
      <c r="G983">
        <f>VLOOKUP(B983, Course!$A$2:$L$150, 8, FALSE)</f>
        <v>12</v>
      </c>
      <c r="H983">
        <v>3</v>
      </c>
      <c r="I983">
        <v>1</v>
      </c>
      <c r="K983" t="s">
        <v>1581</v>
      </c>
      <c r="L983" t="str">
        <f>VLOOKUP(B983, Course!$A$1:$O$133, 14, FALSE)</f>
        <v>AL</v>
      </c>
      <c r="M983">
        <v>1</v>
      </c>
    </row>
    <row r="984" spans="1:13" x14ac:dyDescent="0.2">
      <c r="A984">
        <v>987</v>
      </c>
      <c r="B984">
        <v>98</v>
      </c>
      <c r="C984">
        <v>125</v>
      </c>
      <c r="D984" t="s">
        <v>291</v>
      </c>
      <c r="E984" t="str">
        <f t="shared" si="16"/>
        <v>1225AL03PT</v>
      </c>
      <c r="F984">
        <f>VLOOKUP(B984,Course!$A$2:$R$329,2,FALSE)</f>
        <v>0</v>
      </c>
      <c r="G984">
        <f>VLOOKUP(B984, Course!$A$2:$L$150, 8, FALSE)</f>
        <v>12</v>
      </c>
      <c r="H984">
        <v>3</v>
      </c>
      <c r="I984">
        <v>1</v>
      </c>
      <c r="K984" t="s">
        <v>1581</v>
      </c>
      <c r="L984" t="str">
        <f>VLOOKUP(B984, Course!$A$1:$O$133, 14, FALSE)</f>
        <v>AL</v>
      </c>
      <c r="M984">
        <v>1</v>
      </c>
    </row>
    <row r="985" spans="1:13" x14ac:dyDescent="0.2">
      <c r="A985">
        <v>988</v>
      </c>
      <c r="B985">
        <v>98</v>
      </c>
      <c r="C985">
        <v>126</v>
      </c>
      <c r="D985" t="s">
        <v>291</v>
      </c>
      <c r="E985" t="str">
        <f t="shared" si="16"/>
        <v>1226AL03PT</v>
      </c>
      <c r="F985">
        <f>VLOOKUP(B985,Course!$A$2:$R$329,2,FALSE)</f>
        <v>0</v>
      </c>
      <c r="G985">
        <f>VLOOKUP(B985, Course!$A$2:$L$150, 8, FALSE)</f>
        <v>12</v>
      </c>
      <c r="H985">
        <v>3</v>
      </c>
      <c r="I985">
        <v>1</v>
      </c>
      <c r="K985" t="s">
        <v>1581</v>
      </c>
      <c r="L985" t="str">
        <f>VLOOKUP(B985, Course!$A$1:$O$133, 14, FALSE)</f>
        <v>AL</v>
      </c>
      <c r="M985">
        <v>1</v>
      </c>
    </row>
    <row r="986" spans="1:13" x14ac:dyDescent="0.2">
      <c r="A986">
        <v>989</v>
      </c>
      <c r="B986">
        <v>98</v>
      </c>
      <c r="C986">
        <v>127</v>
      </c>
      <c r="D986" t="s">
        <v>291</v>
      </c>
      <c r="E986" t="str">
        <f t="shared" si="16"/>
        <v>1227AL03PT</v>
      </c>
      <c r="F986">
        <f>VLOOKUP(B986,Course!$A$2:$R$329,2,FALSE)</f>
        <v>0</v>
      </c>
      <c r="G986">
        <f>VLOOKUP(B986, Course!$A$2:$L$150, 8, FALSE)</f>
        <v>12</v>
      </c>
      <c r="H986">
        <v>3</v>
      </c>
      <c r="I986">
        <v>1</v>
      </c>
      <c r="K986" t="s">
        <v>1581</v>
      </c>
      <c r="L986" t="str">
        <f>VLOOKUP(B986, Course!$A$1:$O$133, 14, FALSE)</f>
        <v>AL</v>
      </c>
      <c r="M986">
        <v>1</v>
      </c>
    </row>
    <row r="987" spans="1:13" x14ac:dyDescent="0.2">
      <c r="A987">
        <v>990</v>
      </c>
      <c r="B987">
        <v>98</v>
      </c>
      <c r="C987">
        <v>128</v>
      </c>
      <c r="D987" t="s">
        <v>291</v>
      </c>
      <c r="E987" t="str">
        <f t="shared" si="16"/>
        <v>1228AL03PT</v>
      </c>
      <c r="F987">
        <f>VLOOKUP(B987,Course!$A$2:$R$329,2,FALSE)</f>
        <v>0</v>
      </c>
      <c r="G987">
        <f>VLOOKUP(B987, Course!$A$2:$L$150, 8, FALSE)</f>
        <v>12</v>
      </c>
      <c r="H987">
        <v>3</v>
      </c>
      <c r="I987">
        <v>1</v>
      </c>
      <c r="K987" t="s">
        <v>1581</v>
      </c>
      <c r="L987" t="str">
        <f>VLOOKUP(B987, Course!$A$1:$O$133, 14, FALSE)</f>
        <v>AL</v>
      </c>
      <c r="M987">
        <v>1</v>
      </c>
    </row>
    <row r="988" spans="1:13" x14ac:dyDescent="0.2">
      <c r="A988">
        <v>991</v>
      </c>
      <c r="B988">
        <v>98</v>
      </c>
      <c r="C988">
        <v>129</v>
      </c>
      <c r="D988" t="s">
        <v>291</v>
      </c>
      <c r="E988" t="str">
        <f t="shared" si="16"/>
        <v>1229AL03PT</v>
      </c>
      <c r="F988">
        <f>VLOOKUP(B988,Course!$A$2:$R$329,2,FALSE)</f>
        <v>0</v>
      </c>
      <c r="G988">
        <f>VLOOKUP(B988, Course!$A$2:$L$150, 8, FALSE)</f>
        <v>12</v>
      </c>
      <c r="H988">
        <v>3</v>
      </c>
      <c r="I988">
        <v>1</v>
      </c>
      <c r="K988" t="s">
        <v>1581</v>
      </c>
      <c r="L988" t="str">
        <f>VLOOKUP(B988, Course!$A$1:$O$133, 14, FALSE)</f>
        <v>AL</v>
      </c>
      <c r="M988">
        <v>1</v>
      </c>
    </row>
    <row r="989" spans="1:13" x14ac:dyDescent="0.2">
      <c r="A989">
        <v>992</v>
      </c>
      <c r="B989">
        <v>98</v>
      </c>
      <c r="C989">
        <v>130</v>
      </c>
      <c r="D989" t="s">
        <v>291</v>
      </c>
      <c r="E989" t="str">
        <f t="shared" si="16"/>
        <v>1230AL03PT</v>
      </c>
      <c r="F989">
        <f>VLOOKUP(B989,Course!$A$2:$R$329,2,FALSE)</f>
        <v>0</v>
      </c>
      <c r="G989">
        <f>VLOOKUP(B989, Course!$A$2:$L$150, 8, FALSE)</f>
        <v>12</v>
      </c>
      <c r="H989">
        <v>3</v>
      </c>
      <c r="I989">
        <v>1</v>
      </c>
      <c r="K989" t="s">
        <v>1581</v>
      </c>
      <c r="L989" t="str">
        <f>VLOOKUP(B989, Course!$A$1:$O$133, 14, FALSE)</f>
        <v>AL</v>
      </c>
      <c r="M989">
        <v>1</v>
      </c>
    </row>
    <row r="990" spans="1:13" x14ac:dyDescent="0.2">
      <c r="A990">
        <v>993</v>
      </c>
      <c r="B990">
        <v>98</v>
      </c>
      <c r="C990">
        <v>131</v>
      </c>
      <c r="D990" t="s">
        <v>291</v>
      </c>
      <c r="E990" t="str">
        <f t="shared" si="16"/>
        <v>1231AL03PT</v>
      </c>
      <c r="F990">
        <f>VLOOKUP(B990,Course!$A$2:$R$329,2,FALSE)</f>
        <v>0</v>
      </c>
      <c r="G990">
        <f>VLOOKUP(B990, Course!$A$2:$L$150, 8, FALSE)</f>
        <v>12</v>
      </c>
      <c r="H990">
        <v>3</v>
      </c>
      <c r="I990">
        <v>1</v>
      </c>
      <c r="K990" t="s">
        <v>1581</v>
      </c>
      <c r="L990" t="str">
        <f>VLOOKUP(B990, Course!$A$1:$O$133, 14, FALSE)</f>
        <v>AL</v>
      </c>
      <c r="M990">
        <v>1</v>
      </c>
    </row>
    <row r="991" spans="1:13" x14ac:dyDescent="0.2">
      <c r="A991">
        <v>994</v>
      </c>
      <c r="B991">
        <v>98</v>
      </c>
      <c r="C991">
        <v>132</v>
      </c>
      <c r="D991" t="s">
        <v>291</v>
      </c>
      <c r="E991" t="str">
        <f t="shared" si="16"/>
        <v>1232AL03PT</v>
      </c>
      <c r="F991">
        <f>VLOOKUP(B991,Course!$A$2:$R$329,2,FALSE)</f>
        <v>0</v>
      </c>
      <c r="G991">
        <f>VLOOKUP(B991, Course!$A$2:$L$150, 8, FALSE)</f>
        <v>12</v>
      </c>
      <c r="H991">
        <v>3</v>
      </c>
      <c r="I991">
        <v>1</v>
      </c>
      <c r="K991" t="s">
        <v>1581</v>
      </c>
      <c r="L991" t="str">
        <f>VLOOKUP(B991, Course!$A$1:$O$133, 14, FALSE)</f>
        <v>AL</v>
      </c>
      <c r="M991">
        <v>1</v>
      </c>
    </row>
    <row r="992" spans="1:13" x14ac:dyDescent="0.2">
      <c r="A992">
        <v>995</v>
      </c>
      <c r="B992">
        <v>99</v>
      </c>
      <c r="C992">
        <v>1</v>
      </c>
      <c r="D992" t="s">
        <v>363</v>
      </c>
      <c r="E992" t="str">
        <f t="shared" si="16"/>
        <v>501BL03PT</v>
      </c>
      <c r="F992">
        <f>VLOOKUP(B992,Course!$A$2:$R$329,2,FALSE)</f>
        <v>0</v>
      </c>
      <c r="G992">
        <f>VLOOKUP(B992, Course!$A$2:$L$150, 8, FALSE)</f>
        <v>5</v>
      </c>
      <c r="H992">
        <v>3</v>
      </c>
      <c r="I992">
        <v>1</v>
      </c>
      <c r="K992" t="s">
        <v>1581</v>
      </c>
      <c r="L992" t="str">
        <f>VLOOKUP(B992, Course!$A$1:$O$133, 14, FALSE)</f>
        <v>BL</v>
      </c>
      <c r="M992">
        <v>1</v>
      </c>
    </row>
    <row r="993" spans="1:13" x14ac:dyDescent="0.2">
      <c r="A993">
        <v>996</v>
      </c>
      <c r="B993">
        <v>99</v>
      </c>
      <c r="C993">
        <v>2</v>
      </c>
      <c r="D993" t="s">
        <v>363</v>
      </c>
      <c r="E993" t="str">
        <f t="shared" si="16"/>
        <v>502BL03PT</v>
      </c>
      <c r="F993">
        <f>VLOOKUP(B993,Course!$A$2:$R$329,2,FALSE)</f>
        <v>0</v>
      </c>
      <c r="G993">
        <f>VLOOKUP(B993, Course!$A$2:$L$150, 8, FALSE)</f>
        <v>5</v>
      </c>
      <c r="H993">
        <v>3</v>
      </c>
      <c r="I993">
        <v>1</v>
      </c>
      <c r="K993" t="s">
        <v>1581</v>
      </c>
      <c r="L993" t="str">
        <f>VLOOKUP(B993, Course!$A$1:$O$133, 14, FALSE)</f>
        <v>BL</v>
      </c>
      <c r="M993">
        <v>1</v>
      </c>
    </row>
    <row r="994" spans="1:13" x14ac:dyDescent="0.2">
      <c r="A994">
        <v>997</v>
      </c>
      <c r="B994">
        <v>99</v>
      </c>
      <c r="C994">
        <v>3</v>
      </c>
      <c r="D994" t="s">
        <v>363</v>
      </c>
      <c r="E994" t="str">
        <f t="shared" si="16"/>
        <v>503BL03PT</v>
      </c>
      <c r="F994">
        <f>VLOOKUP(B994,Course!$A$2:$R$329,2,FALSE)</f>
        <v>0</v>
      </c>
      <c r="G994">
        <f>VLOOKUP(B994, Course!$A$2:$L$150, 8, FALSE)</f>
        <v>5</v>
      </c>
      <c r="H994">
        <v>3</v>
      </c>
      <c r="I994">
        <v>1</v>
      </c>
      <c r="K994" t="s">
        <v>1581</v>
      </c>
      <c r="L994" t="str">
        <f>VLOOKUP(B994, Course!$A$1:$O$133, 14, FALSE)</f>
        <v>BL</v>
      </c>
      <c r="M994">
        <v>1</v>
      </c>
    </row>
    <row r="995" spans="1:13" x14ac:dyDescent="0.2">
      <c r="A995">
        <v>998</v>
      </c>
      <c r="B995">
        <v>99</v>
      </c>
      <c r="C995">
        <v>4</v>
      </c>
      <c r="D995" t="s">
        <v>363</v>
      </c>
      <c r="E995" t="str">
        <f t="shared" si="16"/>
        <v>504BL03PT</v>
      </c>
      <c r="F995">
        <f>VLOOKUP(B995,Course!$A$2:$R$329,2,FALSE)</f>
        <v>0</v>
      </c>
      <c r="G995">
        <f>VLOOKUP(B995, Course!$A$2:$L$150, 8, FALSE)</f>
        <v>5</v>
      </c>
      <c r="H995">
        <v>3</v>
      </c>
      <c r="I995">
        <v>1</v>
      </c>
      <c r="K995" t="s">
        <v>1581</v>
      </c>
      <c r="L995" t="str">
        <f>VLOOKUP(B995, Course!$A$1:$O$133, 14, FALSE)</f>
        <v>BL</v>
      </c>
      <c r="M995">
        <v>1</v>
      </c>
    </row>
    <row r="996" spans="1:13" x14ac:dyDescent="0.2">
      <c r="A996">
        <v>999</v>
      </c>
      <c r="B996">
        <v>99</v>
      </c>
      <c r="C996">
        <v>5</v>
      </c>
      <c r="D996" t="s">
        <v>363</v>
      </c>
      <c r="E996" t="str">
        <f t="shared" si="16"/>
        <v>505BL03PT</v>
      </c>
      <c r="F996">
        <f>VLOOKUP(B996,Course!$A$2:$R$329,2,FALSE)</f>
        <v>0</v>
      </c>
      <c r="G996">
        <f>VLOOKUP(B996, Course!$A$2:$L$150, 8, FALSE)</f>
        <v>5</v>
      </c>
      <c r="H996">
        <v>3</v>
      </c>
      <c r="I996">
        <v>1</v>
      </c>
      <c r="K996" t="s">
        <v>1581</v>
      </c>
      <c r="L996" t="str">
        <f>VLOOKUP(B996, Course!$A$1:$O$133, 14, FALSE)</f>
        <v>BL</v>
      </c>
      <c r="M996">
        <v>1</v>
      </c>
    </row>
    <row r="997" spans="1:13" x14ac:dyDescent="0.2">
      <c r="A997">
        <v>1000</v>
      </c>
      <c r="B997">
        <v>101</v>
      </c>
      <c r="C997">
        <v>121</v>
      </c>
      <c r="D997" t="s">
        <v>224</v>
      </c>
      <c r="E997" t="str">
        <f t="shared" si="16"/>
        <v>1221EN03PT</v>
      </c>
      <c r="F997">
        <f>VLOOKUP(B997,Course!$A$2:$R$329,2,FALSE)</f>
        <v>0</v>
      </c>
      <c r="G997">
        <f>VLOOKUP(B997, Course!$A$2:$L$150, 8, FALSE)</f>
        <v>12</v>
      </c>
      <c r="H997">
        <v>3</v>
      </c>
      <c r="I997">
        <v>1</v>
      </c>
      <c r="K997" t="s">
        <v>1581</v>
      </c>
      <c r="L997" t="str">
        <f>VLOOKUP(B997, Course!$A$1:$O$133, 14, FALSE)</f>
        <v>EN</v>
      </c>
      <c r="M997">
        <v>1</v>
      </c>
    </row>
    <row r="998" spans="1:13" x14ac:dyDescent="0.2">
      <c r="A998">
        <v>1001</v>
      </c>
      <c r="B998">
        <v>101</v>
      </c>
      <c r="C998">
        <v>122</v>
      </c>
      <c r="D998" t="s">
        <v>224</v>
      </c>
      <c r="E998" t="str">
        <f t="shared" si="16"/>
        <v>1222EN03PT</v>
      </c>
      <c r="F998">
        <f>VLOOKUP(B998,Course!$A$2:$R$329,2,FALSE)</f>
        <v>0</v>
      </c>
      <c r="G998">
        <f>VLOOKUP(B998, Course!$A$2:$L$150, 8, FALSE)</f>
        <v>12</v>
      </c>
      <c r="H998">
        <v>3</v>
      </c>
      <c r="I998">
        <v>1</v>
      </c>
      <c r="K998" t="s">
        <v>1581</v>
      </c>
      <c r="L998" t="str">
        <f>VLOOKUP(B998, Course!$A$1:$O$133, 14, FALSE)</f>
        <v>EN</v>
      </c>
      <c r="M998">
        <v>1</v>
      </c>
    </row>
    <row r="999" spans="1:13" x14ac:dyDescent="0.2">
      <c r="A999">
        <v>1002</v>
      </c>
      <c r="B999">
        <v>101</v>
      </c>
      <c r="C999">
        <v>123</v>
      </c>
      <c r="D999" t="s">
        <v>224</v>
      </c>
      <c r="E999" t="str">
        <f t="shared" si="16"/>
        <v>1223EN03PT</v>
      </c>
      <c r="F999">
        <f>VLOOKUP(B999,Course!$A$2:$R$329,2,FALSE)</f>
        <v>0</v>
      </c>
      <c r="G999">
        <f>VLOOKUP(B999, Course!$A$2:$L$150, 8, FALSE)</f>
        <v>12</v>
      </c>
      <c r="H999">
        <v>3</v>
      </c>
      <c r="I999">
        <v>1</v>
      </c>
      <c r="K999" t="s">
        <v>1581</v>
      </c>
      <c r="L999" t="str">
        <f>VLOOKUP(B999, Course!$A$1:$O$133, 14, FALSE)</f>
        <v>EN</v>
      </c>
      <c r="M999">
        <v>1</v>
      </c>
    </row>
    <row r="1000" spans="1:13" x14ac:dyDescent="0.2">
      <c r="A1000">
        <v>1003</v>
      </c>
      <c r="B1000">
        <v>101</v>
      </c>
      <c r="C1000">
        <v>124</v>
      </c>
      <c r="D1000" t="s">
        <v>224</v>
      </c>
      <c r="E1000" t="str">
        <f t="shared" si="16"/>
        <v>1224EN03PT</v>
      </c>
      <c r="F1000">
        <f>VLOOKUP(B1000,Course!$A$2:$R$329,2,FALSE)</f>
        <v>0</v>
      </c>
      <c r="G1000">
        <f>VLOOKUP(B1000, Course!$A$2:$L$150, 8, FALSE)</f>
        <v>12</v>
      </c>
      <c r="H1000">
        <v>3</v>
      </c>
      <c r="I1000">
        <v>1</v>
      </c>
      <c r="K1000" t="s">
        <v>1581</v>
      </c>
      <c r="L1000" t="str">
        <f>VLOOKUP(B1000, Course!$A$1:$O$133, 14, FALSE)</f>
        <v>EN</v>
      </c>
      <c r="M1000">
        <v>1</v>
      </c>
    </row>
    <row r="1001" spans="1:13" x14ac:dyDescent="0.2">
      <c r="A1001">
        <v>1004</v>
      </c>
      <c r="B1001">
        <v>101</v>
      </c>
      <c r="C1001">
        <v>125</v>
      </c>
      <c r="D1001" t="s">
        <v>224</v>
      </c>
      <c r="E1001" t="str">
        <f t="shared" si="16"/>
        <v>1225EN03PT</v>
      </c>
      <c r="F1001">
        <f>VLOOKUP(B1001,Course!$A$2:$R$329,2,FALSE)</f>
        <v>0</v>
      </c>
      <c r="G1001">
        <f>VLOOKUP(B1001, Course!$A$2:$L$150, 8, FALSE)</f>
        <v>12</v>
      </c>
      <c r="H1001">
        <v>3</v>
      </c>
      <c r="I1001">
        <v>1</v>
      </c>
      <c r="K1001" t="s">
        <v>1581</v>
      </c>
      <c r="L1001" t="str">
        <f>VLOOKUP(B1001, Course!$A$1:$O$133, 14, FALSE)</f>
        <v>EN</v>
      </c>
      <c r="M1001">
        <v>1</v>
      </c>
    </row>
    <row r="1002" spans="1:13" x14ac:dyDescent="0.2">
      <c r="A1002">
        <v>1005</v>
      </c>
      <c r="B1002">
        <v>101</v>
      </c>
      <c r="C1002">
        <v>126</v>
      </c>
      <c r="D1002" t="s">
        <v>224</v>
      </c>
      <c r="E1002" t="str">
        <f t="shared" ref="E1002:E1065" si="17">UPPER(LEFT(G1002,2)) &amp; RIGHT("0" &amp; C1002, 2) &amp; D1002 &amp; RIGHT("0" &amp; H1002, 2) &amp; K1002</f>
        <v>1226EN03PT</v>
      </c>
      <c r="F1002">
        <f>VLOOKUP(B1002,Course!$A$2:$R$329,2,FALSE)</f>
        <v>0</v>
      </c>
      <c r="G1002">
        <f>VLOOKUP(B1002, Course!$A$2:$L$150, 8, FALSE)</f>
        <v>12</v>
      </c>
      <c r="H1002">
        <v>3</v>
      </c>
      <c r="I1002">
        <v>1</v>
      </c>
      <c r="K1002" t="s">
        <v>1581</v>
      </c>
      <c r="L1002" t="str">
        <f>VLOOKUP(B1002, Course!$A$1:$O$133, 14, FALSE)</f>
        <v>EN</v>
      </c>
      <c r="M1002">
        <v>1</v>
      </c>
    </row>
    <row r="1003" spans="1:13" x14ac:dyDescent="0.2">
      <c r="A1003">
        <v>1006</v>
      </c>
      <c r="B1003">
        <v>101</v>
      </c>
      <c r="C1003">
        <v>127</v>
      </c>
      <c r="D1003" t="s">
        <v>224</v>
      </c>
      <c r="E1003" t="str">
        <f t="shared" si="17"/>
        <v>1227EN03PT</v>
      </c>
      <c r="F1003">
        <f>VLOOKUP(B1003,Course!$A$2:$R$329,2,FALSE)</f>
        <v>0</v>
      </c>
      <c r="G1003">
        <f>VLOOKUP(B1003, Course!$A$2:$L$150, 8, FALSE)</f>
        <v>12</v>
      </c>
      <c r="H1003">
        <v>3</v>
      </c>
      <c r="I1003">
        <v>1</v>
      </c>
      <c r="K1003" t="s">
        <v>1581</v>
      </c>
      <c r="L1003" t="str">
        <f>VLOOKUP(B1003, Course!$A$1:$O$133, 14, FALSE)</f>
        <v>EN</v>
      </c>
      <c r="M1003">
        <v>1</v>
      </c>
    </row>
    <row r="1004" spans="1:13" x14ac:dyDescent="0.2">
      <c r="A1004">
        <v>1007</v>
      </c>
      <c r="B1004">
        <v>101</v>
      </c>
      <c r="C1004">
        <v>128</v>
      </c>
      <c r="D1004" t="s">
        <v>224</v>
      </c>
      <c r="E1004" t="str">
        <f t="shared" si="17"/>
        <v>1228EN03PT</v>
      </c>
      <c r="F1004">
        <f>VLOOKUP(B1004,Course!$A$2:$R$329,2,FALSE)</f>
        <v>0</v>
      </c>
      <c r="G1004">
        <f>VLOOKUP(B1004, Course!$A$2:$L$150, 8, FALSE)</f>
        <v>12</v>
      </c>
      <c r="H1004">
        <v>3</v>
      </c>
      <c r="I1004">
        <v>1</v>
      </c>
      <c r="K1004" t="s">
        <v>1581</v>
      </c>
      <c r="L1004" t="str">
        <f>VLOOKUP(B1004, Course!$A$1:$O$133, 14, FALSE)</f>
        <v>EN</v>
      </c>
      <c r="M1004">
        <v>1</v>
      </c>
    </row>
    <row r="1005" spans="1:13" x14ac:dyDescent="0.2">
      <c r="A1005">
        <v>1008</v>
      </c>
      <c r="B1005">
        <v>101</v>
      </c>
      <c r="C1005">
        <v>129</v>
      </c>
      <c r="D1005" t="s">
        <v>224</v>
      </c>
      <c r="E1005" t="str">
        <f t="shared" si="17"/>
        <v>1229EN03PT</v>
      </c>
      <c r="F1005">
        <f>VLOOKUP(B1005,Course!$A$2:$R$329,2,FALSE)</f>
        <v>0</v>
      </c>
      <c r="G1005">
        <f>VLOOKUP(B1005, Course!$A$2:$L$150, 8, FALSE)</f>
        <v>12</v>
      </c>
      <c r="H1005">
        <v>3</v>
      </c>
      <c r="I1005">
        <v>1</v>
      </c>
      <c r="K1005" t="s">
        <v>1581</v>
      </c>
      <c r="L1005" t="str">
        <f>VLOOKUP(B1005, Course!$A$1:$O$133, 14, FALSE)</f>
        <v>EN</v>
      </c>
      <c r="M1005">
        <v>1</v>
      </c>
    </row>
    <row r="1006" spans="1:13" x14ac:dyDescent="0.2">
      <c r="A1006">
        <v>1009</v>
      </c>
      <c r="B1006">
        <v>101</v>
      </c>
      <c r="C1006">
        <v>130</v>
      </c>
      <c r="D1006" t="s">
        <v>224</v>
      </c>
      <c r="E1006" t="str">
        <f t="shared" si="17"/>
        <v>1230EN03PT</v>
      </c>
      <c r="F1006">
        <f>VLOOKUP(B1006,Course!$A$2:$R$329,2,FALSE)</f>
        <v>0</v>
      </c>
      <c r="G1006">
        <f>VLOOKUP(B1006, Course!$A$2:$L$150, 8, FALSE)</f>
        <v>12</v>
      </c>
      <c r="H1006">
        <v>3</v>
      </c>
      <c r="I1006">
        <v>1</v>
      </c>
      <c r="K1006" t="s">
        <v>1581</v>
      </c>
      <c r="L1006" t="str">
        <f>VLOOKUP(B1006, Course!$A$1:$O$133, 14, FALSE)</f>
        <v>EN</v>
      </c>
      <c r="M1006">
        <v>1</v>
      </c>
    </row>
    <row r="1007" spans="1:13" x14ac:dyDescent="0.2">
      <c r="A1007">
        <v>1010</v>
      </c>
      <c r="B1007">
        <v>101</v>
      </c>
      <c r="C1007">
        <v>131</v>
      </c>
      <c r="D1007" t="s">
        <v>224</v>
      </c>
      <c r="E1007" t="str">
        <f t="shared" si="17"/>
        <v>1231EN03PT</v>
      </c>
      <c r="F1007">
        <f>VLOOKUP(B1007,Course!$A$2:$R$329,2,FALSE)</f>
        <v>0</v>
      </c>
      <c r="G1007">
        <f>VLOOKUP(B1007, Course!$A$2:$L$150, 8, FALSE)</f>
        <v>12</v>
      </c>
      <c r="H1007">
        <v>3</v>
      </c>
      <c r="I1007">
        <v>1</v>
      </c>
      <c r="K1007" t="s">
        <v>1581</v>
      </c>
      <c r="L1007" t="str">
        <f>VLOOKUP(B1007, Course!$A$1:$O$133, 14, FALSE)</f>
        <v>EN</v>
      </c>
      <c r="M1007">
        <v>1</v>
      </c>
    </row>
    <row r="1008" spans="1:13" x14ac:dyDescent="0.2">
      <c r="A1008">
        <v>1011</v>
      </c>
      <c r="B1008">
        <v>101</v>
      </c>
      <c r="C1008">
        <v>132</v>
      </c>
      <c r="D1008" t="s">
        <v>224</v>
      </c>
      <c r="E1008" t="str">
        <f t="shared" si="17"/>
        <v>1232EN03PT</v>
      </c>
      <c r="F1008">
        <f>VLOOKUP(B1008,Course!$A$2:$R$329,2,FALSE)</f>
        <v>0</v>
      </c>
      <c r="G1008">
        <f>VLOOKUP(B1008, Course!$A$2:$L$150, 8, FALSE)</f>
        <v>12</v>
      </c>
      <c r="H1008">
        <v>3</v>
      </c>
      <c r="I1008">
        <v>1</v>
      </c>
      <c r="K1008" t="s">
        <v>1581</v>
      </c>
      <c r="L1008" t="str">
        <f>VLOOKUP(B1008, Course!$A$1:$O$133, 14, FALSE)</f>
        <v>EN</v>
      </c>
      <c r="M1008">
        <v>1</v>
      </c>
    </row>
    <row r="1009" spans="1:13" x14ac:dyDescent="0.2">
      <c r="A1009">
        <v>1012</v>
      </c>
      <c r="B1009">
        <v>102</v>
      </c>
      <c r="C1009">
        <v>1</v>
      </c>
      <c r="D1009" t="s">
        <v>368</v>
      </c>
      <c r="E1009" t="str">
        <f t="shared" si="17"/>
        <v>301I103PT</v>
      </c>
      <c r="F1009">
        <f>VLOOKUP(B1009,Course!$A$2:$R$329,2,FALSE)</f>
        <v>0</v>
      </c>
      <c r="G1009">
        <f>VLOOKUP(B1009, Course!$A$2:$L$150, 8, FALSE)</f>
        <v>3</v>
      </c>
      <c r="H1009">
        <v>3</v>
      </c>
      <c r="I1009">
        <v>1</v>
      </c>
      <c r="K1009" t="s">
        <v>1581</v>
      </c>
      <c r="L1009" t="str">
        <f>VLOOKUP(B1009, Course!$A$1:$O$133, 14, FALSE)</f>
        <v>I1</v>
      </c>
      <c r="M1009">
        <v>1</v>
      </c>
    </row>
    <row r="1010" spans="1:13" x14ac:dyDescent="0.2">
      <c r="A1010">
        <v>1013</v>
      </c>
      <c r="B1010">
        <v>102</v>
      </c>
      <c r="C1010">
        <v>2</v>
      </c>
      <c r="D1010" t="s">
        <v>368</v>
      </c>
      <c r="E1010" t="str">
        <f t="shared" si="17"/>
        <v>302I103PT</v>
      </c>
      <c r="F1010">
        <f>VLOOKUP(B1010,Course!$A$2:$R$329,2,FALSE)</f>
        <v>0</v>
      </c>
      <c r="G1010">
        <f>VLOOKUP(B1010, Course!$A$2:$L$150, 8, FALSE)</f>
        <v>3</v>
      </c>
      <c r="H1010">
        <v>3</v>
      </c>
      <c r="I1010">
        <v>1</v>
      </c>
      <c r="K1010" t="s">
        <v>1581</v>
      </c>
      <c r="L1010" t="str">
        <f>VLOOKUP(B1010, Course!$A$1:$O$133, 14, FALSE)</f>
        <v>I1</v>
      </c>
      <c r="M1010">
        <v>1</v>
      </c>
    </row>
    <row r="1011" spans="1:13" x14ac:dyDescent="0.2">
      <c r="A1011">
        <v>1014</v>
      </c>
      <c r="B1011">
        <v>102</v>
      </c>
      <c r="C1011">
        <v>3</v>
      </c>
      <c r="D1011" t="s">
        <v>368</v>
      </c>
      <c r="E1011" t="str">
        <f t="shared" si="17"/>
        <v>303I103PT</v>
      </c>
      <c r="F1011">
        <f>VLOOKUP(B1011,Course!$A$2:$R$329,2,FALSE)</f>
        <v>0</v>
      </c>
      <c r="G1011">
        <f>VLOOKUP(B1011, Course!$A$2:$L$150, 8, FALSE)</f>
        <v>3</v>
      </c>
      <c r="H1011">
        <v>3</v>
      </c>
      <c r="I1011">
        <v>1</v>
      </c>
      <c r="K1011" t="s">
        <v>1581</v>
      </c>
      <c r="L1011" t="str">
        <f>VLOOKUP(B1011, Course!$A$1:$O$133, 14, FALSE)</f>
        <v>I1</v>
      </c>
      <c r="M1011">
        <v>1</v>
      </c>
    </row>
    <row r="1012" spans="1:13" x14ac:dyDescent="0.2">
      <c r="A1012">
        <v>1015</v>
      </c>
      <c r="B1012">
        <v>103</v>
      </c>
      <c r="C1012">
        <v>1</v>
      </c>
      <c r="D1012" t="s">
        <v>368</v>
      </c>
      <c r="E1012" t="str">
        <f t="shared" si="17"/>
        <v>601I103PT</v>
      </c>
      <c r="F1012">
        <f>VLOOKUP(B1012,Course!$A$2:$R$329,2,FALSE)</f>
        <v>0</v>
      </c>
      <c r="G1012">
        <f>VLOOKUP(B1012, Course!$A$2:$L$150, 8, FALSE)</f>
        <v>6</v>
      </c>
      <c r="H1012">
        <v>3</v>
      </c>
      <c r="I1012">
        <v>1</v>
      </c>
      <c r="K1012" t="s">
        <v>1581</v>
      </c>
      <c r="L1012" t="str">
        <f>VLOOKUP(B1012, Course!$A$1:$O$133, 14, FALSE)</f>
        <v>I1</v>
      </c>
      <c r="M1012">
        <v>1</v>
      </c>
    </row>
    <row r="1013" spans="1:13" x14ac:dyDescent="0.2">
      <c r="A1013">
        <v>1016</v>
      </c>
      <c r="B1013">
        <v>103</v>
      </c>
      <c r="C1013">
        <v>2</v>
      </c>
      <c r="D1013" t="s">
        <v>368</v>
      </c>
      <c r="E1013" t="str">
        <f t="shared" si="17"/>
        <v>602I103PT</v>
      </c>
      <c r="F1013">
        <f>VLOOKUP(B1013,Course!$A$2:$R$329,2,FALSE)</f>
        <v>0</v>
      </c>
      <c r="G1013">
        <f>VLOOKUP(B1013, Course!$A$2:$L$150, 8, FALSE)</f>
        <v>6</v>
      </c>
      <c r="H1013">
        <v>3</v>
      </c>
      <c r="I1013">
        <v>1</v>
      </c>
      <c r="K1013" t="s">
        <v>1581</v>
      </c>
      <c r="L1013" t="str">
        <f>VLOOKUP(B1013, Course!$A$1:$O$133, 14, FALSE)</f>
        <v>I1</v>
      </c>
      <c r="M1013">
        <v>1</v>
      </c>
    </row>
    <row r="1014" spans="1:13" x14ac:dyDescent="0.2">
      <c r="A1014">
        <v>1017</v>
      </c>
      <c r="B1014">
        <v>103</v>
      </c>
      <c r="C1014">
        <v>3</v>
      </c>
      <c r="D1014" t="s">
        <v>368</v>
      </c>
      <c r="E1014" t="str">
        <f t="shared" si="17"/>
        <v>603I103PT</v>
      </c>
      <c r="F1014">
        <f>VLOOKUP(B1014,Course!$A$2:$R$329,2,FALSE)</f>
        <v>0</v>
      </c>
      <c r="G1014">
        <f>VLOOKUP(B1014, Course!$A$2:$L$150, 8, FALSE)</f>
        <v>6</v>
      </c>
      <c r="H1014">
        <v>3</v>
      </c>
      <c r="I1014">
        <v>1</v>
      </c>
      <c r="K1014" t="s">
        <v>1581</v>
      </c>
      <c r="L1014" t="str">
        <f>VLOOKUP(B1014, Course!$A$1:$O$133, 14, FALSE)</f>
        <v>I1</v>
      </c>
      <c r="M1014">
        <v>1</v>
      </c>
    </row>
    <row r="1015" spans="1:13" x14ac:dyDescent="0.2">
      <c r="A1015">
        <v>1018</v>
      </c>
      <c r="B1015">
        <v>103</v>
      </c>
      <c r="C1015">
        <v>4</v>
      </c>
      <c r="D1015" t="s">
        <v>368</v>
      </c>
      <c r="E1015" t="str">
        <f t="shared" si="17"/>
        <v>604I103PT</v>
      </c>
      <c r="F1015">
        <f>VLOOKUP(B1015,Course!$A$2:$R$329,2,FALSE)</f>
        <v>0</v>
      </c>
      <c r="G1015">
        <f>VLOOKUP(B1015, Course!$A$2:$L$150, 8, FALSE)</f>
        <v>6</v>
      </c>
      <c r="H1015">
        <v>3</v>
      </c>
      <c r="I1015">
        <v>1</v>
      </c>
      <c r="K1015" t="s">
        <v>1581</v>
      </c>
      <c r="L1015" t="str">
        <f>VLOOKUP(B1015, Course!$A$1:$O$133, 14, FALSE)</f>
        <v>I1</v>
      </c>
      <c r="M1015">
        <v>1</v>
      </c>
    </row>
    <row r="1016" spans="1:13" x14ac:dyDescent="0.2">
      <c r="A1016">
        <v>1019</v>
      </c>
      <c r="B1016">
        <v>103</v>
      </c>
      <c r="C1016">
        <v>5</v>
      </c>
      <c r="D1016" t="s">
        <v>368</v>
      </c>
      <c r="E1016" t="str">
        <f t="shared" si="17"/>
        <v>605I103PT</v>
      </c>
      <c r="F1016">
        <f>VLOOKUP(B1016,Course!$A$2:$R$329,2,FALSE)</f>
        <v>0</v>
      </c>
      <c r="G1016">
        <f>VLOOKUP(B1016, Course!$A$2:$L$150, 8, FALSE)</f>
        <v>6</v>
      </c>
      <c r="H1016">
        <v>3</v>
      </c>
      <c r="I1016">
        <v>1</v>
      </c>
      <c r="K1016" t="s">
        <v>1581</v>
      </c>
      <c r="L1016" t="str">
        <f>VLOOKUP(B1016, Course!$A$1:$O$133, 14, FALSE)</f>
        <v>I1</v>
      </c>
      <c r="M1016">
        <v>1</v>
      </c>
    </row>
    <row r="1017" spans="1:13" x14ac:dyDescent="0.2">
      <c r="A1017">
        <v>1020</v>
      </c>
      <c r="B1017">
        <v>103</v>
      </c>
      <c r="C1017">
        <v>6</v>
      </c>
      <c r="D1017" t="s">
        <v>368</v>
      </c>
      <c r="E1017" t="str">
        <f t="shared" si="17"/>
        <v>606I103PT</v>
      </c>
      <c r="F1017">
        <f>VLOOKUP(B1017,Course!$A$2:$R$329,2,FALSE)</f>
        <v>0</v>
      </c>
      <c r="G1017">
        <f>VLOOKUP(B1017, Course!$A$2:$L$150, 8, FALSE)</f>
        <v>6</v>
      </c>
      <c r="H1017">
        <v>3</v>
      </c>
      <c r="I1017">
        <v>1</v>
      </c>
      <c r="K1017" t="s">
        <v>1581</v>
      </c>
      <c r="L1017" t="str">
        <f>VLOOKUP(B1017, Course!$A$1:$O$133, 14, FALSE)</f>
        <v>I1</v>
      </c>
      <c r="M1017">
        <v>1</v>
      </c>
    </row>
    <row r="1018" spans="1:13" x14ac:dyDescent="0.2">
      <c r="A1018">
        <v>1021</v>
      </c>
      <c r="B1018">
        <v>104</v>
      </c>
      <c r="C1018">
        <v>121</v>
      </c>
      <c r="D1018" t="s">
        <v>371</v>
      </c>
      <c r="E1018" t="str">
        <f t="shared" si="17"/>
        <v>1221GR03PT</v>
      </c>
      <c r="F1018">
        <f>VLOOKUP(B1018,Course!$A$2:$R$329,2,FALSE)</f>
        <v>0</v>
      </c>
      <c r="G1018">
        <f>VLOOKUP(B1018, Course!$A$2:$L$150, 8, FALSE)</f>
        <v>12</v>
      </c>
      <c r="H1018">
        <v>3</v>
      </c>
      <c r="I1018">
        <v>1</v>
      </c>
      <c r="K1018" t="s">
        <v>1581</v>
      </c>
      <c r="L1018" t="str">
        <f>VLOOKUP(B1018, Course!$A$1:$O$133, 14, FALSE)</f>
        <v>GR</v>
      </c>
      <c r="M1018">
        <v>1</v>
      </c>
    </row>
    <row r="1019" spans="1:13" x14ac:dyDescent="0.2">
      <c r="A1019">
        <v>1022</v>
      </c>
      <c r="B1019">
        <v>104</v>
      </c>
      <c r="C1019">
        <v>122</v>
      </c>
      <c r="D1019" t="s">
        <v>371</v>
      </c>
      <c r="E1019" t="str">
        <f t="shared" si="17"/>
        <v>1222GR03PT</v>
      </c>
      <c r="F1019">
        <f>VLOOKUP(B1019,Course!$A$2:$R$329,2,FALSE)</f>
        <v>0</v>
      </c>
      <c r="G1019">
        <f>VLOOKUP(B1019, Course!$A$2:$L$150, 8, FALSE)</f>
        <v>12</v>
      </c>
      <c r="H1019">
        <v>3</v>
      </c>
      <c r="I1019">
        <v>1</v>
      </c>
      <c r="K1019" t="s">
        <v>1581</v>
      </c>
      <c r="L1019" t="str">
        <f>VLOOKUP(B1019, Course!$A$1:$O$133, 14, FALSE)</f>
        <v>GR</v>
      </c>
      <c r="M1019">
        <v>1</v>
      </c>
    </row>
    <row r="1020" spans="1:13" x14ac:dyDescent="0.2">
      <c r="A1020">
        <v>1023</v>
      </c>
      <c r="B1020">
        <v>104</v>
      </c>
      <c r="C1020">
        <v>123</v>
      </c>
      <c r="D1020" t="s">
        <v>371</v>
      </c>
      <c r="E1020" t="str">
        <f t="shared" si="17"/>
        <v>1223GR03PT</v>
      </c>
      <c r="F1020">
        <f>VLOOKUP(B1020,Course!$A$2:$R$329,2,FALSE)</f>
        <v>0</v>
      </c>
      <c r="G1020">
        <f>VLOOKUP(B1020, Course!$A$2:$L$150, 8, FALSE)</f>
        <v>12</v>
      </c>
      <c r="H1020">
        <v>3</v>
      </c>
      <c r="I1020">
        <v>1</v>
      </c>
      <c r="K1020" t="s">
        <v>1581</v>
      </c>
      <c r="L1020" t="str">
        <f>VLOOKUP(B1020, Course!$A$1:$O$133, 14, FALSE)</f>
        <v>GR</v>
      </c>
      <c r="M1020">
        <v>1</v>
      </c>
    </row>
    <row r="1021" spans="1:13" x14ac:dyDescent="0.2">
      <c r="A1021">
        <v>1024</v>
      </c>
      <c r="B1021">
        <v>104</v>
      </c>
      <c r="C1021">
        <v>124</v>
      </c>
      <c r="D1021" t="s">
        <v>371</v>
      </c>
      <c r="E1021" t="str">
        <f t="shared" si="17"/>
        <v>1224GR03PT</v>
      </c>
      <c r="F1021">
        <f>VLOOKUP(B1021,Course!$A$2:$R$329,2,FALSE)</f>
        <v>0</v>
      </c>
      <c r="G1021">
        <f>VLOOKUP(B1021, Course!$A$2:$L$150, 8, FALSE)</f>
        <v>12</v>
      </c>
      <c r="H1021">
        <v>3</v>
      </c>
      <c r="I1021">
        <v>1</v>
      </c>
      <c r="K1021" t="s">
        <v>1581</v>
      </c>
      <c r="L1021" t="str">
        <f>VLOOKUP(B1021, Course!$A$1:$O$133, 14, FALSE)</f>
        <v>GR</v>
      </c>
      <c r="M1021">
        <v>1</v>
      </c>
    </row>
    <row r="1022" spans="1:13" x14ac:dyDescent="0.2">
      <c r="A1022">
        <v>1025</v>
      </c>
      <c r="B1022">
        <v>104</v>
      </c>
      <c r="C1022">
        <v>125</v>
      </c>
      <c r="D1022" t="s">
        <v>371</v>
      </c>
      <c r="E1022" t="str">
        <f t="shared" si="17"/>
        <v>1225GR03PT</v>
      </c>
      <c r="F1022">
        <f>VLOOKUP(B1022,Course!$A$2:$R$329,2,FALSE)</f>
        <v>0</v>
      </c>
      <c r="G1022">
        <f>VLOOKUP(B1022, Course!$A$2:$L$150, 8, FALSE)</f>
        <v>12</v>
      </c>
      <c r="H1022">
        <v>3</v>
      </c>
      <c r="I1022">
        <v>1</v>
      </c>
      <c r="K1022" t="s">
        <v>1581</v>
      </c>
      <c r="L1022" t="str">
        <f>VLOOKUP(B1022, Course!$A$1:$O$133, 14, FALSE)</f>
        <v>GR</v>
      </c>
      <c r="M1022">
        <v>1</v>
      </c>
    </row>
    <row r="1023" spans="1:13" x14ac:dyDescent="0.2">
      <c r="A1023">
        <v>1026</v>
      </c>
      <c r="B1023">
        <v>104</v>
      </c>
      <c r="C1023">
        <v>126</v>
      </c>
      <c r="D1023" t="s">
        <v>371</v>
      </c>
      <c r="E1023" t="str">
        <f t="shared" si="17"/>
        <v>1226GR03PT</v>
      </c>
      <c r="F1023">
        <f>VLOOKUP(B1023,Course!$A$2:$R$329,2,FALSE)</f>
        <v>0</v>
      </c>
      <c r="G1023">
        <f>VLOOKUP(B1023, Course!$A$2:$L$150, 8, FALSE)</f>
        <v>12</v>
      </c>
      <c r="H1023">
        <v>3</v>
      </c>
      <c r="I1023">
        <v>1</v>
      </c>
      <c r="K1023" t="s">
        <v>1581</v>
      </c>
      <c r="L1023" t="str">
        <f>VLOOKUP(B1023, Course!$A$1:$O$133, 14, FALSE)</f>
        <v>GR</v>
      </c>
      <c r="M1023">
        <v>1</v>
      </c>
    </row>
    <row r="1024" spans="1:13" x14ac:dyDescent="0.2">
      <c r="A1024">
        <v>1027</v>
      </c>
      <c r="B1024">
        <v>104</v>
      </c>
      <c r="C1024">
        <v>127</v>
      </c>
      <c r="D1024" t="s">
        <v>371</v>
      </c>
      <c r="E1024" t="str">
        <f t="shared" si="17"/>
        <v>1227GR03PT</v>
      </c>
      <c r="F1024">
        <f>VLOOKUP(B1024,Course!$A$2:$R$329,2,FALSE)</f>
        <v>0</v>
      </c>
      <c r="G1024">
        <f>VLOOKUP(B1024, Course!$A$2:$L$150, 8, FALSE)</f>
        <v>12</v>
      </c>
      <c r="H1024">
        <v>3</v>
      </c>
      <c r="I1024">
        <v>1</v>
      </c>
      <c r="K1024" t="s">
        <v>1581</v>
      </c>
      <c r="L1024" t="str">
        <f>VLOOKUP(B1024, Course!$A$1:$O$133, 14, FALSE)</f>
        <v>GR</v>
      </c>
      <c r="M1024">
        <v>1</v>
      </c>
    </row>
    <row r="1025" spans="1:13" x14ac:dyDescent="0.2">
      <c r="A1025">
        <v>1028</v>
      </c>
      <c r="B1025">
        <v>104</v>
      </c>
      <c r="C1025">
        <v>128</v>
      </c>
      <c r="D1025" t="s">
        <v>371</v>
      </c>
      <c r="E1025" t="str">
        <f t="shared" si="17"/>
        <v>1228GR03PT</v>
      </c>
      <c r="F1025">
        <f>VLOOKUP(B1025,Course!$A$2:$R$329,2,FALSE)</f>
        <v>0</v>
      </c>
      <c r="G1025">
        <f>VLOOKUP(B1025, Course!$A$2:$L$150, 8, FALSE)</f>
        <v>12</v>
      </c>
      <c r="H1025">
        <v>3</v>
      </c>
      <c r="I1025">
        <v>1</v>
      </c>
      <c r="K1025" t="s">
        <v>1581</v>
      </c>
      <c r="L1025" t="str">
        <f>VLOOKUP(B1025, Course!$A$1:$O$133, 14, FALSE)</f>
        <v>GR</v>
      </c>
      <c r="M1025">
        <v>1</v>
      </c>
    </row>
    <row r="1026" spans="1:13" x14ac:dyDescent="0.2">
      <c r="A1026">
        <v>1029</v>
      </c>
      <c r="B1026">
        <v>104</v>
      </c>
      <c r="C1026">
        <v>129</v>
      </c>
      <c r="D1026" t="s">
        <v>371</v>
      </c>
      <c r="E1026" t="str">
        <f t="shared" si="17"/>
        <v>1229GR03PT</v>
      </c>
      <c r="F1026">
        <f>VLOOKUP(B1026,Course!$A$2:$R$329,2,FALSE)</f>
        <v>0</v>
      </c>
      <c r="G1026">
        <f>VLOOKUP(B1026, Course!$A$2:$L$150, 8, FALSE)</f>
        <v>12</v>
      </c>
      <c r="H1026">
        <v>3</v>
      </c>
      <c r="I1026">
        <v>1</v>
      </c>
      <c r="K1026" t="s">
        <v>1581</v>
      </c>
      <c r="L1026" t="str">
        <f>VLOOKUP(B1026, Course!$A$1:$O$133, 14, FALSE)</f>
        <v>GR</v>
      </c>
      <c r="M1026">
        <v>1</v>
      </c>
    </row>
    <row r="1027" spans="1:13" x14ac:dyDescent="0.2">
      <c r="A1027">
        <v>1030</v>
      </c>
      <c r="B1027">
        <v>104</v>
      </c>
      <c r="C1027">
        <v>130</v>
      </c>
      <c r="D1027" t="s">
        <v>371</v>
      </c>
      <c r="E1027" t="str">
        <f t="shared" si="17"/>
        <v>1230GR03PT</v>
      </c>
      <c r="F1027">
        <f>VLOOKUP(B1027,Course!$A$2:$R$329,2,FALSE)</f>
        <v>0</v>
      </c>
      <c r="G1027">
        <f>VLOOKUP(B1027, Course!$A$2:$L$150, 8, FALSE)</f>
        <v>12</v>
      </c>
      <c r="H1027">
        <v>3</v>
      </c>
      <c r="I1027">
        <v>1</v>
      </c>
      <c r="K1027" t="s">
        <v>1581</v>
      </c>
      <c r="L1027" t="str">
        <f>VLOOKUP(B1027, Course!$A$1:$O$133, 14, FALSE)</f>
        <v>GR</v>
      </c>
      <c r="M1027">
        <v>1</v>
      </c>
    </row>
    <row r="1028" spans="1:13" x14ac:dyDescent="0.2">
      <c r="A1028">
        <v>1031</v>
      </c>
      <c r="B1028">
        <v>104</v>
      </c>
      <c r="C1028">
        <v>131</v>
      </c>
      <c r="D1028" t="s">
        <v>371</v>
      </c>
      <c r="E1028" t="str">
        <f t="shared" si="17"/>
        <v>1231GR03PT</v>
      </c>
      <c r="F1028">
        <f>VLOOKUP(B1028,Course!$A$2:$R$329,2,FALSE)</f>
        <v>0</v>
      </c>
      <c r="G1028">
        <f>VLOOKUP(B1028, Course!$A$2:$L$150, 8, FALSE)</f>
        <v>12</v>
      </c>
      <c r="H1028">
        <v>3</v>
      </c>
      <c r="I1028">
        <v>1</v>
      </c>
      <c r="K1028" t="s">
        <v>1581</v>
      </c>
      <c r="L1028" t="str">
        <f>VLOOKUP(B1028, Course!$A$1:$O$133, 14, FALSE)</f>
        <v>GR</v>
      </c>
      <c r="M1028">
        <v>1</v>
      </c>
    </row>
    <row r="1029" spans="1:13" x14ac:dyDescent="0.2">
      <c r="A1029">
        <v>1032</v>
      </c>
      <c r="B1029">
        <v>104</v>
      </c>
      <c r="C1029">
        <v>132</v>
      </c>
      <c r="D1029" t="s">
        <v>371</v>
      </c>
      <c r="E1029" t="str">
        <f t="shared" si="17"/>
        <v>1232GR03PT</v>
      </c>
      <c r="F1029">
        <f>VLOOKUP(B1029,Course!$A$2:$R$329,2,FALSE)</f>
        <v>0</v>
      </c>
      <c r="G1029">
        <f>VLOOKUP(B1029, Course!$A$2:$L$150, 8, FALSE)</f>
        <v>12</v>
      </c>
      <c r="H1029">
        <v>3</v>
      </c>
      <c r="I1029">
        <v>1</v>
      </c>
      <c r="K1029" t="s">
        <v>1581</v>
      </c>
      <c r="L1029" t="str">
        <f>VLOOKUP(B1029, Course!$A$1:$O$133, 14, FALSE)</f>
        <v>GR</v>
      </c>
      <c r="M1029">
        <v>1</v>
      </c>
    </row>
    <row r="1030" spans="1:13" x14ac:dyDescent="0.2">
      <c r="A1030">
        <v>1033</v>
      </c>
      <c r="B1030">
        <v>105</v>
      </c>
      <c r="C1030">
        <v>121</v>
      </c>
      <c r="D1030" t="s">
        <v>372</v>
      </c>
      <c r="E1030" t="str">
        <f t="shared" si="17"/>
        <v>1221CH03PT</v>
      </c>
      <c r="F1030">
        <f>VLOOKUP(B1030,Course!$A$2:$R$329,2,FALSE)</f>
        <v>0</v>
      </c>
      <c r="G1030">
        <f>VLOOKUP(B1030, Course!$A$2:$L$150, 8, FALSE)</f>
        <v>12</v>
      </c>
      <c r="H1030">
        <v>3</v>
      </c>
      <c r="I1030">
        <v>1</v>
      </c>
      <c r="K1030" t="s">
        <v>1581</v>
      </c>
      <c r="L1030" t="str">
        <f>VLOOKUP(B1030, Course!$A$1:$O$133, 14, FALSE)</f>
        <v>CH</v>
      </c>
      <c r="M1030">
        <v>1</v>
      </c>
    </row>
    <row r="1031" spans="1:13" x14ac:dyDescent="0.2">
      <c r="A1031">
        <v>1034</v>
      </c>
      <c r="B1031">
        <v>105</v>
      </c>
      <c r="C1031">
        <v>122</v>
      </c>
      <c r="D1031" t="s">
        <v>372</v>
      </c>
      <c r="E1031" t="str">
        <f t="shared" si="17"/>
        <v>1222CH03PT</v>
      </c>
      <c r="F1031">
        <f>VLOOKUP(B1031,Course!$A$2:$R$329,2,FALSE)</f>
        <v>0</v>
      </c>
      <c r="G1031">
        <f>VLOOKUP(B1031, Course!$A$2:$L$150, 8, FALSE)</f>
        <v>12</v>
      </c>
      <c r="H1031">
        <v>3</v>
      </c>
      <c r="I1031">
        <v>1</v>
      </c>
      <c r="K1031" t="s">
        <v>1581</v>
      </c>
      <c r="L1031" t="str">
        <f>VLOOKUP(B1031, Course!$A$1:$O$133, 14, FALSE)</f>
        <v>CH</v>
      </c>
      <c r="M1031">
        <v>1</v>
      </c>
    </row>
    <row r="1032" spans="1:13" x14ac:dyDescent="0.2">
      <c r="A1032">
        <v>1035</v>
      </c>
      <c r="B1032">
        <v>105</v>
      </c>
      <c r="C1032">
        <v>123</v>
      </c>
      <c r="D1032" t="s">
        <v>372</v>
      </c>
      <c r="E1032" t="str">
        <f t="shared" si="17"/>
        <v>1223CH03PT</v>
      </c>
      <c r="F1032">
        <f>VLOOKUP(B1032,Course!$A$2:$R$329,2,FALSE)</f>
        <v>0</v>
      </c>
      <c r="G1032">
        <f>VLOOKUP(B1032, Course!$A$2:$L$150, 8, FALSE)</f>
        <v>12</v>
      </c>
      <c r="H1032">
        <v>3</v>
      </c>
      <c r="I1032">
        <v>1</v>
      </c>
      <c r="K1032" t="s">
        <v>1581</v>
      </c>
      <c r="L1032" t="str">
        <f>VLOOKUP(B1032, Course!$A$1:$O$133, 14, FALSE)</f>
        <v>CH</v>
      </c>
      <c r="M1032">
        <v>1</v>
      </c>
    </row>
    <row r="1033" spans="1:13" x14ac:dyDescent="0.2">
      <c r="A1033">
        <v>1036</v>
      </c>
      <c r="B1033">
        <v>105</v>
      </c>
      <c r="C1033">
        <v>124</v>
      </c>
      <c r="D1033" t="s">
        <v>372</v>
      </c>
      <c r="E1033" t="str">
        <f t="shared" si="17"/>
        <v>1224CH03PT</v>
      </c>
      <c r="F1033">
        <f>VLOOKUP(B1033,Course!$A$2:$R$329,2,FALSE)</f>
        <v>0</v>
      </c>
      <c r="G1033">
        <f>VLOOKUP(B1033, Course!$A$2:$L$150, 8, FALSE)</f>
        <v>12</v>
      </c>
      <c r="H1033">
        <v>3</v>
      </c>
      <c r="I1033">
        <v>1</v>
      </c>
      <c r="K1033" t="s">
        <v>1581</v>
      </c>
      <c r="L1033" t="str">
        <f>VLOOKUP(B1033, Course!$A$1:$O$133, 14, FALSE)</f>
        <v>CH</v>
      </c>
      <c r="M1033">
        <v>1</v>
      </c>
    </row>
    <row r="1034" spans="1:13" x14ac:dyDescent="0.2">
      <c r="A1034">
        <v>1037</v>
      </c>
      <c r="B1034">
        <v>105</v>
      </c>
      <c r="C1034">
        <v>125</v>
      </c>
      <c r="D1034" t="s">
        <v>372</v>
      </c>
      <c r="E1034" t="str">
        <f t="shared" si="17"/>
        <v>1225CH03PT</v>
      </c>
      <c r="F1034">
        <f>VLOOKUP(B1034,Course!$A$2:$R$329,2,FALSE)</f>
        <v>0</v>
      </c>
      <c r="G1034">
        <f>VLOOKUP(B1034, Course!$A$2:$L$150, 8, FALSE)</f>
        <v>12</v>
      </c>
      <c r="H1034">
        <v>3</v>
      </c>
      <c r="I1034">
        <v>1</v>
      </c>
      <c r="K1034" t="s">
        <v>1581</v>
      </c>
      <c r="L1034" t="str">
        <f>VLOOKUP(B1034, Course!$A$1:$O$133, 14, FALSE)</f>
        <v>CH</v>
      </c>
      <c r="M1034">
        <v>1</v>
      </c>
    </row>
    <row r="1035" spans="1:13" x14ac:dyDescent="0.2">
      <c r="A1035">
        <v>1038</v>
      </c>
      <c r="B1035">
        <v>105</v>
      </c>
      <c r="C1035">
        <v>126</v>
      </c>
      <c r="D1035" t="s">
        <v>372</v>
      </c>
      <c r="E1035" t="str">
        <f t="shared" si="17"/>
        <v>1226CH03PT</v>
      </c>
      <c r="F1035">
        <f>VLOOKUP(B1035,Course!$A$2:$R$329,2,FALSE)</f>
        <v>0</v>
      </c>
      <c r="G1035">
        <f>VLOOKUP(B1035, Course!$A$2:$L$150, 8, FALSE)</f>
        <v>12</v>
      </c>
      <c r="H1035">
        <v>3</v>
      </c>
      <c r="I1035">
        <v>1</v>
      </c>
      <c r="K1035" t="s">
        <v>1581</v>
      </c>
      <c r="L1035" t="str">
        <f>VLOOKUP(B1035, Course!$A$1:$O$133, 14, FALSE)</f>
        <v>CH</v>
      </c>
      <c r="M1035">
        <v>1</v>
      </c>
    </row>
    <row r="1036" spans="1:13" x14ac:dyDescent="0.2">
      <c r="A1036">
        <v>1039</v>
      </c>
      <c r="B1036">
        <v>105</v>
      </c>
      <c r="C1036">
        <v>127</v>
      </c>
      <c r="D1036" t="s">
        <v>372</v>
      </c>
      <c r="E1036" t="str">
        <f t="shared" si="17"/>
        <v>1227CH03PT</v>
      </c>
      <c r="F1036">
        <f>VLOOKUP(B1036,Course!$A$2:$R$329,2,FALSE)</f>
        <v>0</v>
      </c>
      <c r="G1036">
        <f>VLOOKUP(B1036, Course!$A$2:$L$150, 8, FALSE)</f>
        <v>12</v>
      </c>
      <c r="H1036">
        <v>3</v>
      </c>
      <c r="I1036">
        <v>1</v>
      </c>
      <c r="K1036" t="s">
        <v>1581</v>
      </c>
      <c r="L1036" t="str">
        <f>VLOOKUP(B1036, Course!$A$1:$O$133, 14, FALSE)</f>
        <v>CH</v>
      </c>
      <c r="M1036">
        <v>1</v>
      </c>
    </row>
    <row r="1037" spans="1:13" x14ac:dyDescent="0.2">
      <c r="A1037">
        <v>1040</v>
      </c>
      <c r="B1037">
        <v>105</v>
      </c>
      <c r="C1037">
        <v>128</v>
      </c>
      <c r="D1037" t="s">
        <v>372</v>
      </c>
      <c r="E1037" t="str">
        <f t="shared" si="17"/>
        <v>1228CH03PT</v>
      </c>
      <c r="F1037">
        <f>VLOOKUP(B1037,Course!$A$2:$R$329,2,FALSE)</f>
        <v>0</v>
      </c>
      <c r="G1037">
        <f>VLOOKUP(B1037, Course!$A$2:$L$150, 8, FALSE)</f>
        <v>12</v>
      </c>
      <c r="H1037">
        <v>3</v>
      </c>
      <c r="I1037">
        <v>1</v>
      </c>
      <c r="K1037" t="s">
        <v>1581</v>
      </c>
      <c r="L1037" t="str">
        <f>VLOOKUP(B1037, Course!$A$1:$O$133, 14, FALSE)</f>
        <v>CH</v>
      </c>
      <c r="M1037">
        <v>1</v>
      </c>
    </row>
    <row r="1038" spans="1:13" x14ac:dyDescent="0.2">
      <c r="A1038">
        <v>1041</v>
      </c>
      <c r="B1038">
        <v>105</v>
      </c>
      <c r="C1038">
        <v>129</v>
      </c>
      <c r="D1038" t="s">
        <v>372</v>
      </c>
      <c r="E1038" t="str">
        <f t="shared" si="17"/>
        <v>1229CH03PT</v>
      </c>
      <c r="F1038">
        <f>VLOOKUP(B1038,Course!$A$2:$R$329,2,FALSE)</f>
        <v>0</v>
      </c>
      <c r="G1038">
        <f>VLOOKUP(B1038, Course!$A$2:$L$150, 8, FALSE)</f>
        <v>12</v>
      </c>
      <c r="H1038">
        <v>3</v>
      </c>
      <c r="I1038">
        <v>1</v>
      </c>
      <c r="K1038" t="s">
        <v>1581</v>
      </c>
      <c r="L1038" t="str">
        <f>VLOOKUP(B1038, Course!$A$1:$O$133, 14, FALSE)</f>
        <v>CH</v>
      </c>
      <c r="M1038">
        <v>1</v>
      </c>
    </row>
    <row r="1039" spans="1:13" x14ac:dyDescent="0.2">
      <c r="A1039">
        <v>1042</v>
      </c>
      <c r="B1039">
        <v>105</v>
      </c>
      <c r="C1039">
        <v>130</v>
      </c>
      <c r="D1039" t="s">
        <v>372</v>
      </c>
      <c r="E1039" t="str">
        <f t="shared" si="17"/>
        <v>1230CH03PT</v>
      </c>
      <c r="F1039">
        <f>VLOOKUP(B1039,Course!$A$2:$R$329,2,FALSE)</f>
        <v>0</v>
      </c>
      <c r="G1039">
        <f>VLOOKUP(B1039, Course!$A$2:$L$150, 8, FALSE)</f>
        <v>12</v>
      </c>
      <c r="H1039">
        <v>3</v>
      </c>
      <c r="I1039">
        <v>1</v>
      </c>
      <c r="K1039" t="s">
        <v>1581</v>
      </c>
      <c r="L1039" t="str">
        <f>VLOOKUP(B1039, Course!$A$1:$O$133, 14, FALSE)</f>
        <v>CH</v>
      </c>
      <c r="M1039">
        <v>1</v>
      </c>
    </row>
    <row r="1040" spans="1:13" x14ac:dyDescent="0.2">
      <c r="A1040">
        <v>1043</v>
      </c>
      <c r="B1040">
        <v>105</v>
      </c>
      <c r="C1040">
        <v>131</v>
      </c>
      <c r="D1040" t="s">
        <v>372</v>
      </c>
      <c r="E1040" t="str">
        <f t="shared" si="17"/>
        <v>1231CH03PT</v>
      </c>
      <c r="F1040">
        <f>VLOOKUP(B1040,Course!$A$2:$R$329,2,FALSE)</f>
        <v>0</v>
      </c>
      <c r="G1040">
        <f>VLOOKUP(B1040, Course!$A$2:$L$150, 8, FALSE)</f>
        <v>12</v>
      </c>
      <c r="H1040">
        <v>3</v>
      </c>
      <c r="I1040">
        <v>1</v>
      </c>
      <c r="K1040" t="s">
        <v>1581</v>
      </c>
      <c r="L1040" t="str">
        <f>VLOOKUP(B1040, Course!$A$1:$O$133, 14, FALSE)</f>
        <v>CH</v>
      </c>
      <c r="M1040">
        <v>1</v>
      </c>
    </row>
    <row r="1041" spans="1:13" x14ac:dyDescent="0.2">
      <c r="A1041">
        <v>1044</v>
      </c>
      <c r="B1041">
        <v>105</v>
      </c>
      <c r="C1041">
        <v>132</v>
      </c>
      <c r="D1041" t="s">
        <v>372</v>
      </c>
      <c r="E1041" t="str">
        <f t="shared" si="17"/>
        <v>1232CH03PT</v>
      </c>
      <c r="F1041">
        <f>VLOOKUP(B1041,Course!$A$2:$R$329,2,FALSE)</f>
        <v>0</v>
      </c>
      <c r="G1041">
        <f>VLOOKUP(B1041, Course!$A$2:$L$150, 8, FALSE)</f>
        <v>12</v>
      </c>
      <c r="H1041">
        <v>3</v>
      </c>
      <c r="I1041">
        <v>1</v>
      </c>
      <c r="K1041" t="s">
        <v>1581</v>
      </c>
      <c r="L1041" t="str">
        <f>VLOOKUP(B1041, Course!$A$1:$O$133, 14, FALSE)</f>
        <v>CH</v>
      </c>
      <c r="M1041">
        <v>1</v>
      </c>
    </row>
    <row r="1042" spans="1:13" x14ac:dyDescent="0.2">
      <c r="A1042">
        <v>1045</v>
      </c>
      <c r="B1042">
        <v>106</v>
      </c>
      <c r="C1042">
        <v>121</v>
      </c>
      <c r="D1042" t="s">
        <v>375</v>
      </c>
      <c r="E1042" t="str">
        <f t="shared" si="17"/>
        <v>1221NC03PT</v>
      </c>
      <c r="F1042" t="str">
        <f>VLOOKUP(B1042,Course!$A$2:$R$329,2,FALSE)</f>
        <v>Biblical Studies III</v>
      </c>
      <c r="G1042">
        <f>VLOOKUP(B1042, Course!$A$2:$L$150, 8, FALSE)</f>
        <v>12</v>
      </c>
      <c r="H1042">
        <v>3</v>
      </c>
      <c r="I1042">
        <v>1</v>
      </c>
      <c r="K1042" t="s">
        <v>1581</v>
      </c>
      <c r="L1042" t="str">
        <f>VLOOKUP(B1042, Course!$A$1:$O$133, 14, FALSE)</f>
        <v>NC</v>
      </c>
      <c r="M1042">
        <v>1</v>
      </c>
    </row>
    <row r="1043" spans="1:13" x14ac:dyDescent="0.2">
      <c r="A1043">
        <v>1046</v>
      </c>
      <c r="B1043">
        <v>106</v>
      </c>
      <c r="C1043">
        <v>122</v>
      </c>
      <c r="D1043" t="s">
        <v>375</v>
      </c>
      <c r="E1043" t="str">
        <f t="shared" si="17"/>
        <v>1222NC03PT</v>
      </c>
      <c r="F1043" t="str">
        <f>VLOOKUP(B1043,Course!$A$2:$R$329,2,FALSE)</f>
        <v>Biblical Studies III</v>
      </c>
      <c r="G1043">
        <f>VLOOKUP(B1043, Course!$A$2:$L$150, 8, FALSE)</f>
        <v>12</v>
      </c>
      <c r="H1043">
        <v>3</v>
      </c>
      <c r="I1043">
        <v>1</v>
      </c>
      <c r="K1043" t="s">
        <v>1581</v>
      </c>
      <c r="L1043" t="str">
        <f>VLOOKUP(B1043, Course!$A$1:$O$133, 14, FALSE)</f>
        <v>NC</v>
      </c>
      <c r="M1043">
        <v>1</v>
      </c>
    </row>
    <row r="1044" spans="1:13" x14ac:dyDescent="0.2">
      <c r="A1044">
        <v>1047</v>
      </c>
      <c r="B1044">
        <v>106</v>
      </c>
      <c r="C1044">
        <v>123</v>
      </c>
      <c r="D1044" t="s">
        <v>375</v>
      </c>
      <c r="E1044" t="str">
        <f t="shared" si="17"/>
        <v>1223NC03PT</v>
      </c>
      <c r="F1044" t="str">
        <f>VLOOKUP(B1044,Course!$A$2:$R$329,2,FALSE)</f>
        <v>Biblical Studies III</v>
      </c>
      <c r="G1044">
        <f>VLOOKUP(B1044, Course!$A$2:$L$150, 8, FALSE)</f>
        <v>12</v>
      </c>
      <c r="H1044">
        <v>3</v>
      </c>
      <c r="I1044">
        <v>1</v>
      </c>
      <c r="K1044" t="s">
        <v>1581</v>
      </c>
      <c r="L1044" t="str">
        <f>VLOOKUP(B1044, Course!$A$1:$O$133, 14, FALSE)</f>
        <v>NC</v>
      </c>
      <c r="M1044">
        <v>1</v>
      </c>
    </row>
    <row r="1045" spans="1:13" x14ac:dyDescent="0.2">
      <c r="A1045">
        <v>1048</v>
      </c>
      <c r="B1045">
        <v>106</v>
      </c>
      <c r="C1045">
        <v>124</v>
      </c>
      <c r="D1045" t="s">
        <v>375</v>
      </c>
      <c r="E1045" t="str">
        <f t="shared" si="17"/>
        <v>1224NC03PT</v>
      </c>
      <c r="F1045" t="str">
        <f>VLOOKUP(B1045,Course!$A$2:$R$329,2,FALSE)</f>
        <v>Biblical Studies III</v>
      </c>
      <c r="G1045">
        <f>VLOOKUP(B1045, Course!$A$2:$L$150, 8, FALSE)</f>
        <v>12</v>
      </c>
      <c r="H1045">
        <v>3</v>
      </c>
      <c r="I1045">
        <v>1</v>
      </c>
      <c r="K1045" t="s">
        <v>1581</v>
      </c>
      <c r="L1045" t="str">
        <f>VLOOKUP(B1045, Course!$A$1:$O$133, 14, FALSE)</f>
        <v>NC</v>
      </c>
      <c r="M1045">
        <v>1</v>
      </c>
    </row>
    <row r="1046" spans="1:13" x14ac:dyDescent="0.2">
      <c r="A1046">
        <v>1049</v>
      </c>
      <c r="B1046">
        <v>106</v>
      </c>
      <c r="C1046">
        <v>125</v>
      </c>
      <c r="D1046" t="s">
        <v>375</v>
      </c>
      <c r="E1046" t="str">
        <f t="shared" si="17"/>
        <v>1225NC03PT</v>
      </c>
      <c r="F1046" t="str">
        <f>VLOOKUP(B1046,Course!$A$2:$R$329,2,FALSE)</f>
        <v>Biblical Studies III</v>
      </c>
      <c r="G1046">
        <f>VLOOKUP(B1046, Course!$A$2:$L$150, 8, FALSE)</f>
        <v>12</v>
      </c>
      <c r="H1046">
        <v>3</v>
      </c>
      <c r="I1046">
        <v>1</v>
      </c>
      <c r="K1046" t="s">
        <v>1581</v>
      </c>
      <c r="L1046" t="str">
        <f>VLOOKUP(B1046, Course!$A$1:$O$133, 14, FALSE)</f>
        <v>NC</v>
      </c>
      <c r="M1046">
        <v>1</v>
      </c>
    </row>
    <row r="1047" spans="1:13" x14ac:dyDescent="0.2">
      <c r="A1047">
        <v>1050</v>
      </c>
      <c r="B1047">
        <v>106</v>
      </c>
      <c r="C1047">
        <v>126</v>
      </c>
      <c r="D1047" t="s">
        <v>375</v>
      </c>
      <c r="E1047" t="str">
        <f t="shared" si="17"/>
        <v>1226NC03PT</v>
      </c>
      <c r="F1047" t="str">
        <f>VLOOKUP(B1047,Course!$A$2:$R$329,2,FALSE)</f>
        <v>Biblical Studies III</v>
      </c>
      <c r="G1047">
        <f>VLOOKUP(B1047, Course!$A$2:$L$150, 8, FALSE)</f>
        <v>12</v>
      </c>
      <c r="H1047">
        <v>3</v>
      </c>
      <c r="I1047">
        <v>1</v>
      </c>
      <c r="K1047" t="s">
        <v>1581</v>
      </c>
      <c r="L1047" t="str">
        <f>VLOOKUP(B1047, Course!$A$1:$O$133, 14, FALSE)</f>
        <v>NC</v>
      </c>
      <c r="M1047">
        <v>1</v>
      </c>
    </row>
    <row r="1048" spans="1:13" x14ac:dyDescent="0.2">
      <c r="A1048">
        <v>1051</v>
      </c>
      <c r="B1048">
        <v>106</v>
      </c>
      <c r="C1048">
        <v>127</v>
      </c>
      <c r="D1048" t="s">
        <v>375</v>
      </c>
      <c r="E1048" t="str">
        <f t="shared" si="17"/>
        <v>1227NC03PT</v>
      </c>
      <c r="F1048" t="str">
        <f>VLOOKUP(B1048,Course!$A$2:$R$329,2,FALSE)</f>
        <v>Biblical Studies III</v>
      </c>
      <c r="G1048">
        <f>VLOOKUP(B1048, Course!$A$2:$L$150, 8, FALSE)</f>
        <v>12</v>
      </c>
      <c r="H1048">
        <v>3</v>
      </c>
      <c r="I1048">
        <v>1</v>
      </c>
      <c r="K1048" t="s">
        <v>1581</v>
      </c>
      <c r="L1048" t="str">
        <f>VLOOKUP(B1048, Course!$A$1:$O$133, 14, FALSE)</f>
        <v>NC</v>
      </c>
      <c r="M1048">
        <v>1</v>
      </c>
    </row>
    <row r="1049" spans="1:13" x14ac:dyDescent="0.2">
      <c r="A1049">
        <v>1052</v>
      </c>
      <c r="B1049">
        <v>106</v>
      </c>
      <c r="C1049">
        <v>128</v>
      </c>
      <c r="D1049" t="s">
        <v>375</v>
      </c>
      <c r="E1049" t="str">
        <f t="shared" si="17"/>
        <v>1228NC03PT</v>
      </c>
      <c r="F1049" t="str">
        <f>VLOOKUP(B1049,Course!$A$2:$R$329,2,FALSE)</f>
        <v>Biblical Studies III</v>
      </c>
      <c r="G1049">
        <f>VLOOKUP(B1049, Course!$A$2:$L$150, 8, FALSE)</f>
        <v>12</v>
      </c>
      <c r="H1049">
        <v>3</v>
      </c>
      <c r="I1049">
        <v>1</v>
      </c>
      <c r="K1049" t="s">
        <v>1581</v>
      </c>
      <c r="L1049" t="str">
        <f>VLOOKUP(B1049, Course!$A$1:$O$133, 14, FALSE)</f>
        <v>NC</v>
      </c>
      <c r="M1049">
        <v>1</v>
      </c>
    </row>
    <row r="1050" spans="1:13" x14ac:dyDescent="0.2">
      <c r="A1050">
        <v>1053</v>
      </c>
      <c r="B1050">
        <v>106</v>
      </c>
      <c r="C1050">
        <v>129</v>
      </c>
      <c r="D1050" t="s">
        <v>375</v>
      </c>
      <c r="E1050" t="str">
        <f t="shared" si="17"/>
        <v>1229NC03PT</v>
      </c>
      <c r="F1050" t="str">
        <f>VLOOKUP(B1050,Course!$A$2:$R$329,2,FALSE)</f>
        <v>Biblical Studies III</v>
      </c>
      <c r="G1050">
        <f>VLOOKUP(B1050, Course!$A$2:$L$150, 8, FALSE)</f>
        <v>12</v>
      </c>
      <c r="H1050">
        <v>3</v>
      </c>
      <c r="I1050">
        <v>1</v>
      </c>
      <c r="K1050" t="s">
        <v>1581</v>
      </c>
      <c r="L1050" t="str">
        <f>VLOOKUP(B1050, Course!$A$1:$O$133, 14, FALSE)</f>
        <v>NC</v>
      </c>
      <c r="M1050">
        <v>1</v>
      </c>
    </row>
    <row r="1051" spans="1:13" x14ac:dyDescent="0.2">
      <c r="A1051">
        <v>1054</v>
      </c>
      <c r="B1051">
        <v>106</v>
      </c>
      <c r="C1051">
        <v>130</v>
      </c>
      <c r="D1051" t="s">
        <v>375</v>
      </c>
      <c r="E1051" t="str">
        <f t="shared" si="17"/>
        <v>1230NC03PT</v>
      </c>
      <c r="F1051" t="str">
        <f>VLOOKUP(B1051,Course!$A$2:$R$329,2,FALSE)</f>
        <v>Biblical Studies III</v>
      </c>
      <c r="G1051">
        <f>VLOOKUP(B1051, Course!$A$2:$L$150, 8, FALSE)</f>
        <v>12</v>
      </c>
      <c r="H1051">
        <v>3</v>
      </c>
      <c r="I1051">
        <v>1</v>
      </c>
      <c r="K1051" t="s">
        <v>1581</v>
      </c>
      <c r="L1051" t="str">
        <f>VLOOKUP(B1051, Course!$A$1:$O$133, 14, FALSE)</f>
        <v>NC</v>
      </c>
      <c r="M1051">
        <v>1</v>
      </c>
    </row>
    <row r="1052" spans="1:13" x14ac:dyDescent="0.2">
      <c r="A1052">
        <v>1055</v>
      </c>
      <c r="B1052">
        <v>106</v>
      </c>
      <c r="C1052">
        <v>131</v>
      </c>
      <c r="D1052" t="s">
        <v>375</v>
      </c>
      <c r="E1052" t="str">
        <f t="shared" si="17"/>
        <v>1231NC03PT</v>
      </c>
      <c r="F1052" t="str">
        <f>VLOOKUP(B1052,Course!$A$2:$R$329,2,FALSE)</f>
        <v>Biblical Studies III</v>
      </c>
      <c r="G1052">
        <f>VLOOKUP(B1052, Course!$A$2:$L$150, 8, FALSE)</f>
        <v>12</v>
      </c>
      <c r="H1052">
        <v>3</v>
      </c>
      <c r="I1052">
        <v>1</v>
      </c>
      <c r="K1052" t="s">
        <v>1581</v>
      </c>
      <c r="L1052" t="str">
        <f>VLOOKUP(B1052, Course!$A$1:$O$133, 14, FALSE)</f>
        <v>NC</v>
      </c>
      <c r="M1052">
        <v>1</v>
      </c>
    </row>
    <row r="1053" spans="1:13" x14ac:dyDescent="0.2">
      <c r="A1053">
        <v>1056</v>
      </c>
      <c r="B1053">
        <v>106</v>
      </c>
      <c r="C1053">
        <v>132</v>
      </c>
      <c r="D1053" t="s">
        <v>375</v>
      </c>
      <c r="E1053" t="str">
        <f t="shared" si="17"/>
        <v>1232NC03PT</v>
      </c>
      <c r="F1053" t="str">
        <f>VLOOKUP(B1053,Course!$A$2:$R$329,2,FALSE)</f>
        <v>Biblical Studies III</v>
      </c>
      <c r="G1053">
        <f>VLOOKUP(B1053, Course!$A$2:$L$150, 8, FALSE)</f>
        <v>12</v>
      </c>
      <c r="H1053">
        <v>3</v>
      </c>
      <c r="I1053">
        <v>1</v>
      </c>
      <c r="K1053" t="s">
        <v>1581</v>
      </c>
      <c r="L1053" t="str">
        <f>VLOOKUP(B1053, Course!$A$1:$O$133, 14, FALSE)</f>
        <v>NC</v>
      </c>
      <c r="M1053">
        <v>1</v>
      </c>
    </row>
    <row r="1054" spans="1:13" x14ac:dyDescent="0.2">
      <c r="A1054">
        <v>1057</v>
      </c>
      <c r="B1054">
        <v>107</v>
      </c>
      <c r="C1054">
        <v>121</v>
      </c>
      <c r="D1054" t="s">
        <v>377</v>
      </c>
      <c r="E1054" t="str">
        <f t="shared" si="17"/>
        <v>1221AC03PT</v>
      </c>
      <c r="F1054">
        <f>VLOOKUP(B1054,Course!$A$2:$R$329,2,FALSE)</f>
        <v>0</v>
      </c>
      <c r="G1054">
        <f>VLOOKUP(B1054, Course!$A$2:$L$150, 8, FALSE)</f>
        <v>12</v>
      </c>
      <c r="H1054">
        <v>3</v>
      </c>
      <c r="I1054">
        <v>1</v>
      </c>
      <c r="K1054" t="s">
        <v>1581</v>
      </c>
      <c r="L1054" t="str">
        <f>VLOOKUP(B1054, Course!$A$1:$O$133, 14, FALSE)</f>
        <v>AC</v>
      </c>
      <c r="M1054">
        <v>1</v>
      </c>
    </row>
    <row r="1055" spans="1:13" x14ac:dyDescent="0.2">
      <c r="A1055">
        <v>1058</v>
      </c>
      <c r="B1055">
        <v>107</v>
      </c>
      <c r="C1055">
        <v>122</v>
      </c>
      <c r="D1055" t="s">
        <v>377</v>
      </c>
      <c r="E1055" t="str">
        <f t="shared" si="17"/>
        <v>1222AC03PT</v>
      </c>
      <c r="F1055">
        <f>VLOOKUP(B1055,Course!$A$2:$R$329,2,FALSE)</f>
        <v>0</v>
      </c>
      <c r="G1055">
        <f>VLOOKUP(B1055, Course!$A$2:$L$150, 8, FALSE)</f>
        <v>12</v>
      </c>
      <c r="H1055">
        <v>3</v>
      </c>
      <c r="I1055">
        <v>1</v>
      </c>
      <c r="K1055" t="s">
        <v>1581</v>
      </c>
      <c r="L1055" t="str">
        <f>VLOOKUP(B1055, Course!$A$1:$O$133, 14, FALSE)</f>
        <v>AC</v>
      </c>
      <c r="M1055">
        <v>1</v>
      </c>
    </row>
    <row r="1056" spans="1:13" x14ac:dyDescent="0.2">
      <c r="A1056">
        <v>1059</v>
      </c>
      <c r="B1056">
        <v>107</v>
      </c>
      <c r="C1056">
        <v>123</v>
      </c>
      <c r="D1056" t="s">
        <v>377</v>
      </c>
      <c r="E1056" t="str">
        <f t="shared" si="17"/>
        <v>1223AC03PT</v>
      </c>
      <c r="F1056">
        <f>VLOOKUP(B1056,Course!$A$2:$R$329,2,FALSE)</f>
        <v>0</v>
      </c>
      <c r="G1056">
        <f>VLOOKUP(B1056, Course!$A$2:$L$150, 8, FALSE)</f>
        <v>12</v>
      </c>
      <c r="H1056">
        <v>3</v>
      </c>
      <c r="I1056">
        <v>1</v>
      </c>
      <c r="K1056" t="s">
        <v>1581</v>
      </c>
      <c r="L1056" t="str">
        <f>VLOOKUP(B1056, Course!$A$1:$O$133, 14, FALSE)</f>
        <v>AC</v>
      </c>
      <c r="M1056">
        <v>1</v>
      </c>
    </row>
    <row r="1057" spans="1:13" x14ac:dyDescent="0.2">
      <c r="A1057">
        <v>1060</v>
      </c>
      <c r="B1057">
        <v>107</v>
      </c>
      <c r="C1057">
        <v>124</v>
      </c>
      <c r="D1057" t="s">
        <v>377</v>
      </c>
      <c r="E1057" t="str">
        <f t="shared" si="17"/>
        <v>1224AC03PT</v>
      </c>
      <c r="F1057">
        <f>VLOOKUP(B1057,Course!$A$2:$R$329,2,FALSE)</f>
        <v>0</v>
      </c>
      <c r="G1057">
        <f>VLOOKUP(B1057, Course!$A$2:$L$150, 8, FALSE)</f>
        <v>12</v>
      </c>
      <c r="H1057">
        <v>3</v>
      </c>
      <c r="I1057">
        <v>1</v>
      </c>
      <c r="K1057" t="s">
        <v>1581</v>
      </c>
      <c r="L1057" t="str">
        <f>VLOOKUP(B1057, Course!$A$1:$O$133, 14, FALSE)</f>
        <v>AC</v>
      </c>
      <c r="M1057">
        <v>1</v>
      </c>
    </row>
    <row r="1058" spans="1:13" x14ac:dyDescent="0.2">
      <c r="A1058">
        <v>1061</v>
      </c>
      <c r="B1058">
        <v>107</v>
      </c>
      <c r="C1058">
        <v>125</v>
      </c>
      <c r="D1058" t="s">
        <v>377</v>
      </c>
      <c r="E1058" t="str">
        <f t="shared" si="17"/>
        <v>1225AC03PT</v>
      </c>
      <c r="F1058">
        <f>VLOOKUP(B1058,Course!$A$2:$R$329,2,FALSE)</f>
        <v>0</v>
      </c>
      <c r="G1058">
        <f>VLOOKUP(B1058, Course!$A$2:$L$150, 8, FALSE)</f>
        <v>12</v>
      </c>
      <c r="H1058">
        <v>3</v>
      </c>
      <c r="I1058">
        <v>1</v>
      </c>
      <c r="K1058" t="s">
        <v>1581</v>
      </c>
      <c r="L1058" t="str">
        <f>VLOOKUP(B1058, Course!$A$1:$O$133, 14, FALSE)</f>
        <v>AC</v>
      </c>
      <c r="M1058">
        <v>1</v>
      </c>
    </row>
    <row r="1059" spans="1:13" x14ac:dyDescent="0.2">
      <c r="A1059">
        <v>1062</v>
      </c>
      <c r="B1059">
        <v>107</v>
      </c>
      <c r="C1059">
        <v>126</v>
      </c>
      <c r="D1059" t="s">
        <v>377</v>
      </c>
      <c r="E1059" t="str">
        <f t="shared" si="17"/>
        <v>1226AC03PT</v>
      </c>
      <c r="F1059">
        <f>VLOOKUP(B1059,Course!$A$2:$R$329,2,FALSE)</f>
        <v>0</v>
      </c>
      <c r="G1059">
        <f>VLOOKUP(B1059, Course!$A$2:$L$150, 8, FALSE)</f>
        <v>12</v>
      </c>
      <c r="H1059">
        <v>3</v>
      </c>
      <c r="I1059">
        <v>1</v>
      </c>
      <c r="K1059" t="s">
        <v>1581</v>
      </c>
      <c r="L1059" t="str">
        <f>VLOOKUP(B1059, Course!$A$1:$O$133, 14, FALSE)</f>
        <v>AC</v>
      </c>
      <c r="M1059">
        <v>1</v>
      </c>
    </row>
    <row r="1060" spans="1:13" x14ac:dyDescent="0.2">
      <c r="A1060">
        <v>1063</v>
      </c>
      <c r="B1060">
        <v>107</v>
      </c>
      <c r="C1060">
        <v>127</v>
      </c>
      <c r="D1060" t="s">
        <v>377</v>
      </c>
      <c r="E1060" t="str">
        <f t="shared" si="17"/>
        <v>1227AC03PT</v>
      </c>
      <c r="F1060">
        <f>VLOOKUP(B1060,Course!$A$2:$R$329,2,FALSE)</f>
        <v>0</v>
      </c>
      <c r="G1060">
        <f>VLOOKUP(B1060, Course!$A$2:$L$150, 8, FALSE)</f>
        <v>12</v>
      </c>
      <c r="H1060">
        <v>3</v>
      </c>
      <c r="I1060">
        <v>1</v>
      </c>
      <c r="K1060" t="s">
        <v>1581</v>
      </c>
      <c r="L1060" t="str">
        <f>VLOOKUP(B1060, Course!$A$1:$O$133, 14, FALSE)</f>
        <v>AC</v>
      </c>
      <c r="M1060">
        <v>1</v>
      </c>
    </row>
    <row r="1061" spans="1:13" x14ac:dyDescent="0.2">
      <c r="A1061">
        <v>1064</v>
      </c>
      <c r="B1061">
        <v>107</v>
      </c>
      <c r="C1061">
        <v>128</v>
      </c>
      <c r="D1061" t="s">
        <v>377</v>
      </c>
      <c r="E1061" t="str">
        <f t="shared" si="17"/>
        <v>1228AC03PT</v>
      </c>
      <c r="F1061">
        <f>VLOOKUP(B1061,Course!$A$2:$R$329,2,FALSE)</f>
        <v>0</v>
      </c>
      <c r="G1061">
        <f>VLOOKUP(B1061, Course!$A$2:$L$150, 8, FALSE)</f>
        <v>12</v>
      </c>
      <c r="H1061">
        <v>3</v>
      </c>
      <c r="I1061">
        <v>1</v>
      </c>
      <c r="K1061" t="s">
        <v>1581</v>
      </c>
      <c r="L1061" t="str">
        <f>VLOOKUP(B1061, Course!$A$1:$O$133, 14, FALSE)</f>
        <v>AC</v>
      </c>
      <c r="M1061">
        <v>1</v>
      </c>
    </row>
    <row r="1062" spans="1:13" x14ac:dyDescent="0.2">
      <c r="A1062">
        <v>1065</v>
      </c>
      <c r="B1062">
        <v>107</v>
      </c>
      <c r="C1062">
        <v>129</v>
      </c>
      <c r="D1062" t="s">
        <v>377</v>
      </c>
      <c r="E1062" t="str">
        <f t="shared" si="17"/>
        <v>1229AC03PT</v>
      </c>
      <c r="F1062">
        <f>VLOOKUP(B1062,Course!$A$2:$R$329,2,FALSE)</f>
        <v>0</v>
      </c>
      <c r="G1062">
        <f>VLOOKUP(B1062, Course!$A$2:$L$150, 8, FALSE)</f>
        <v>12</v>
      </c>
      <c r="H1062">
        <v>3</v>
      </c>
      <c r="I1062">
        <v>1</v>
      </c>
      <c r="K1062" t="s">
        <v>1581</v>
      </c>
      <c r="L1062" t="str">
        <f>VLOOKUP(B1062, Course!$A$1:$O$133, 14, FALSE)</f>
        <v>AC</v>
      </c>
      <c r="M1062">
        <v>1</v>
      </c>
    </row>
    <row r="1063" spans="1:13" x14ac:dyDescent="0.2">
      <c r="A1063">
        <v>1066</v>
      </c>
      <c r="B1063">
        <v>107</v>
      </c>
      <c r="C1063">
        <v>130</v>
      </c>
      <c r="D1063" t="s">
        <v>377</v>
      </c>
      <c r="E1063" t="str">
        <f t="shared" si="17"/>
        <v>1230AC03PT</v>
      </c>
      <c r="F1063">
        <f>VLOOKUP(B1063,Course!$A$2:$R$329,2,FALSE)</f>
        <v>0</v>
      </c>
      <c r="G1063">
        <f>VLOOKUP(B1063, Course!$A$2:$L$150, 8, FALSE)</f>
        <v>12</v>
      </c>
      <c r="H1063">
        <v>3</v>
      </c>
      <c r="I1063">
        <v>1</v>
      </c>
      <c r="K1063" t="s">
        <v>1581</v>
      </c>
      <c r="L1063" t="str">
        <f>VLOOKUP(B1063, Course!$A$1:$O$133, 14, FALSE)</f>
        <v>AC</v>
      </c>
      <c r="M1063">
        <v>1</v>
      </c>
    </row>
    <row r="1064" spans="1:13" x14ac:dyDescent="0.2">
      <c r="A1064">
        <v>1067</v>
      </c>
      <c r="B1064">
        <v>107</v>
      </c>
      <c r="C1064">
        <v>131</v>
      </c>
      <c r="D1064" t="s">
        <v>377</v>
      </c>
      <c r="E1064" t="str">
        <f t="shared" si="17"/>
        <v>1231AC03PT</v>
      </c>
      <c r="F1064">
        <f>VLOOKUP(B1064,Course!$A$2:$R$329,2,FALSE)</f>
        <v>0</v>
      </c>
      <c r="G1064">
        <f>VLOOKUP(B1064, Course!$A$2:$L$150, 8, FALSE)</f>
        <v>12</v>
      </c>
      <c r="H1064">
        <v>3</v>
      </c>
      <c r="I1064">
        <v>1</v>
      </c>
      <c r="K1064" t="s">
        <v>1581</v>
      </c>
      <c r="L1064" t="str">
        <f>VLOOKUP(B1064, Course!$A$1:$O$133, 14, FALSE)</f>
        <v>AC</v>
      </c>
      <c r="M1064">
        <v>1</v>
      </c>
    </row>
    <row r="1065" spans="1:13" x14ac:dyDescent="0.2">
      <c r="A1065">
        <v>1068</v>
      </c>
      <c r="B1065">
        <v>107</v>
      </c>
      <c r="C1065">
        <v>132</v>
      </c>
      <c r="D1065" t="s">
        <v>377</v>
      </c>
      <c r="E1065" t="str">
        <f t="shared" si="17"/>
        <v>1232AC03PT</v>
      </c>
      <c r="F1065">
        <f>VLOOKUP(B1065,Course!$A$2:$R$329,2,FALSE)</f>
        <v>0</v>
      </c>
      <c r="G1065">
        <f>VLOOKUP(B1065, Course!$A$2:$L$150, 8, FALSE)</f>
        <v>12</v>
      </c>
      <c r="H1065">
        <v>3</v>
      </c>
      <c r="I1065">
        <v>1</v>
      </c>
      <c r="K1065" t="s">
        <v>1581</v>
      </c>
      <c r="L1065" t="str">
        <f>VLOOKUP(B1065, Course!$A$1:$O$133, 14, FALSE)</f>
        <v>AC</v>
      </c>
      <c r="M1065">
        <v>1</v>
      </c>
    </row>
    <row r="1066" spans="1:13" x14ac:dyDescent="0.2">
      <c r="A1066">
        <v>1069</v>
      </c>
      <c r="B1066">
        <v>108</v>
      </c>
      <c r="C1066">
        <v>1</v>
      </c>
      <c r="D1066" t="s">
        <v>378</v>
      </c>
      <c r="E1066" t="str">
        <f t="shared" ref="E1066:E1129" si="18">UPPER(LEFT(G1066,2)) &amp; RIGHT("0" &amp; C1066, 2) &amp; D1066 &amp; RIGHT("0" &amp; H1066, 2) &amp; K1066</f>
        <v>1001CM03PT</v>
      </c>
      <c r="F1066">
        <f>VLOOKUP(B1066,Course!$A$2:$R$329,2,FALSE)</f>
        <v>0</v>
      </c>
      <c r="G1066">
        <f>VLOOKUP(B1066, Course!$A$2:$L$150, 8, FALSE)</f>
        <v>10</v>
      </c>
      <c r="H1066">
        <v>3</v>
      </c>
      <c r="I1066">
        <v>1</v>
      </c>
      <c r="K1066" t="s">
        <v>1581</v>
      </c>
      <c r="L1066" t="str">
        <f>VLOOKUP(B1066, Course!$A$1:$O$133, 14, FALSE)</f>
        <v>CM</v>
      </c>
      <c r="M1066">
        <v>1</v>
      </c>
    </row>
    <row r="1067" spans="1:13" x14ac:dyDescent="0.2">
      <c r="A1067">
        <v>1070</v>
      </c>
      <c r="B1067">
        <v>108</v>
      </c>
      <c r="C1067">
        <v>2</v>
      </c>
      <c r="D1067" t="s">
        <v>378</v>
      </c>
      <c r="E1067" t="str">
        <f t="shared" si="18"/>
        <v>1002CM03PT</v>
      </c>
      <c r="F1067">
        <f>VLOOKUP(B1067,Course!$A$2:$R$329,2,FALSE)</f>
        <v>0</v>
      </c>
      <c r="G1067">
        <f>VLOOKUP(B1067, Course!$A$2:$L$150, 8, FALSE)</f>
        <v>10</v>
      </c>
      <c r="H1067">
        <v>3</v>
      </c>
      <c r="I1067">
        <v>1</v>
      </c>
      <c r="K1067" t="s">
        <v>1581</v>
      </c>
      <c r="L1067" t="str">
        <f>VLOOKUP(B1067, Course!$A$1:$O$133, 14, FALSE)</f>
        <v>CM</v>
      </c>
      <c r="M1067">
        <v>1</v>
      </c>
    </row>
    <row r="1068" spans="1:13" x14ac:dyDescent="0.2">
      <c r="A1068">
        <v>1071</v>
      </c>
      <c r="B1068">
        <v>108</v>
      </c>
      <c r="C1068">
        <v>3</v>
      </c>
      <c r="D1068" t="s">
        <v>378</v>
      </c>
      <c r="E1068" t="str">
        <f t="shared" si="18"/>
        <v>1003CM03PT</v>
      </c>
      <c r="F1068">
        <f>VLOOKUP(B1068,Course!$A$2:$R$329,2,FALSE)</f>
        <v>0</v>
      </c>
      <c r="G1068">
        <f>VLOOKUP(B1068, Course!$A$2:$L$150, 8, FALSE)</f>
        <v>10</v>
      </c>
      <c r="H1068">
        <v>3</v>
      </c>
      <c r="I1068">
        <v>1</v>
      </c>
      <c r="K1068" t="s">
        <v>1581</v>
      </c>
      <c r="L1068" t="str">
        <f>VLOOKUP(B1068, Course!$A$1:$O$133, 14, FALSE)</f>
        <v>CM</v>
      </c>
      <c r="M1068">
        <v>1</v>
      </c>
    </row>
    <row r="1069" spans="1:13" x14ac:dyDescent="0.2">
      <c r="A1069">
        <v>1072</v>
      </c>
      <c r="B1069">
        <v>108</v>
      </c>
      <c r="C1069">
        <v>4</v>
      </c>
      <c r="D1069" t="s">
        <v>378</v>
      </c>
      <c r="E1069" t="str">
        <f t="shared" si="18"/>
        <v>1004CM03PT</v>
      </c>
      <c r="F1069">
        <f>VLOOKUP(B1069,Course!$A$2:$R$329,2,FALSE)</f>
        <v>0</v>
      </c>
      <c r="G1069">
        <f>VLOOKUP(B1069, Course!$A$2:$L$150, 8, FALSE)</f>
        <v>10</v>
      </c>
      <c r="H1069">
        <v>3</v>
      </c>
      <c r="I1069">
        <v>1</v>
      </c>
      <c r="K1069" t="s">
        <v>1581</v>
      </c>
      <c r="L1069" t="str">
        <f>VLOOKUP(B1069, Course!$A$1:$O$133, 14, FALSE)</f>
        <v>CM</v>
      </c>
      <c r="M1069">
        <v>1</v>
      </c>
    </row>
    <row r="1070" spans="1:13" x14ac:dyDescent="0.2">
      <c r="A1070">
        <v>1073</v>
      </c>
      <c r="B1070">
        <v>108</v>
      </c>
      <c r="C1070">
        <v>5</v>
      </c>
      <c r="D1070" t="s">
        <v>378</v>
      </c>
      <c r="E1070" t="str">
        <f t="shared" si="18"/>
        <v>1005CM03PT</v>
      </c>
      <c r="F1070">
        <f>VLOOKUP(B1070,Course!$A$2:$R$329,2,FALSE)</f>
        <v>0</v>
      </c>
      <c r="G1070">
        <f>VLOOKUP(B1070, Course!$A$2:$L$150, 8, FALSE)</f>
        <v>10</v>
      </c>
      <c r="H1070">
        <v>3</v>
      </c>
      <c r="I1070">
        <v>1</v>
      </c>
      <c r="K1070" t="s">
        <v>1581</v>
      </c>
      <c r="L1070" t="str">
        <f>VLOOKUP(B1070, Course!$A$1:$O$133, 14, FALSE)</f>
        <v>CM</v>
      </c>
      <c r="M1070">
        <v>1</v>
      </c>
    </row>
    <row r="1071" spans="1:13" x14ac:dyDescent="0.2">
      <c r="A1071">
        <v>1074</v>
      </c>
      <c r="B1071">
        <v>108</v>
      </c>
      <c r="C1071">
        <v>6</v>
      </c>
      <c r="D1071" t="s">
        <v>378</v>
      </c>
      <c r="E1071" t="str">
        <f t="shared" si="18"/>
        <v>1006CM03PT</v>
      </c>
      <c r="F1071">
        <f>VLOOKUP(B1071,Course!$A$2:$R$329,2,FALSE)</f>
        <v>0</v>
      </c>
      <c r="G1071">
        <f>VLOOKUP(B1071, Course!$A$2:$L$150, 8, FALSE)</f>
        <v>10</v>
      </c>
      <c r="H1071">
        <v>3</v>
      </c>
      <c r="I1071">
        <v>1</v>
      </c>
      <c r="K1071" t="s">
        <v>1581</v>
      </c>
      <c r="L1071" t="str">
        <f>VLOOKUP(B1071, Course!$A$1:$O$133, 14, FALSE)</f>
        <v>CM</v>
      </c>
      <c r="M1071">
        <v>1</v>
      </c>
    </row>
    <row r="1072" spans="1:13" x14ac:dyDescent="0.2">
      <c r="A1072">
        <v>1075</v>
      </c>
      <c r="B1072">
        <v>108</v>
      </c>
      <c r="C1072">
        <v>7</v>
      </c>
      <c r="D1072" t="s">
        <v>378</v>
      </c>
      <c r="E1072" t="str">
        <f t="shared" si="18"/>
        <v>1007CM03PT</v>
      </c>
      <c r="F1072">
        <f>VLOOKUP(B1072,Course!$A$2:$R$329,2,FALSE)</f>
        <v>0</v>
      </c>
      <c r="G1072">
        <f>VLOOKUP(B1072, Course!$A$2:$L$150, 8, FALSE)</f>
        <v>10</v>
      </c>
      <c r="H1072">
        <v>3</v>
      </c>
      <c r="I1072">
        <v>1</v>
      </c>
      <c r="K1072" t="s">
        <v>1581</v>
      </c>
      <c r="L1072" t="str">
        <f>VLOOKUP(B1072, Course!$A$1:$O$133, 14, FALSE)</f>
        <v>CM</v>
      </c>
      <c r="M1072">
        <v>1</v>
      </c>
    </row>
    <row r="1073" spans="1:13" x14ac:dyDescent="0.2">
      <c r="A1073">
        <v>1076</v>
      </c>
      <c r="B1073">
        <v>108</v>
      </c>
      <c r="C1073">
        <v>8</v>
      </c>
      <c r="D1073" t="s">
        <v>378</v>
      </c>
      <c r="E1073" t="str">
        <f t="shared" si="18"/>
        <v>1008CM03PT</v>
      </c>
      <c r="F1073">
        <f>VLOOKUP(B1073,Course!$A$2:$R$329,2,FALSE)</f>
        <v>0</v>
      </c>
      <c r="G1073">
        <f>VLOOKUP(B1073, Course!$A$2:$L$150, 8, FALSE)</f>
        <v>10</v>
      </c>
      <c r="H1073">
        <v>3</v>
      </c>
      <c r="I1073">
        <v>1</v>
      </c>
      <c r="K1073" t="s">
        <v>1581</v>
      </c>
      <c r="L1073" t="str">
        <f>VLOOKUP(B1073, Course!$A$1:$O$133, 14, FALSE)</f>
        <v>CM</v>
      </c>
      <c r="M1073">
        <v>1</v>
      </c>
    </row>
    <row r="1074" spans="1:13" x14ac:dyDescent="0.2">
      <c r="A1074">
        <v>1077</v>
      </c>
      <c r="B1074">
        <v>108</v>
      </c>
      <c r="C1074">
        <v>9</v>
      </c>
      <c r="D1074" t="s">
        <v>378</v>
      </c>
      <c r="E1074" t="str">
        <f t="shared" si="18"/>
        <v>1009CM03PT</v>
      </c>
      <c r="F1074">
        <f>VLOOKUP(B1074,Course!$A$2:$R$329,2,FALSE)</f>
        <v>0</v>
      </c>
      <c r="G1074">
        <f>VLOOKUP(B1074, Course!$A$2:$L$150, 8, FALSE)</f>
        <v>10</v>
      </c>
      <c r="H1074">
        <v>3</v>
      </c>
      <c r="I1074">
        <v>1</v>
      </c>
      <c r="K1074" t="s">
        <v>1581</v>
      </c>
      <c r="L1074" t="str">
        <f>VLOOKUP(B1074, Course!$A$1:$O$133, 14, FALSE)</f>
        <v>CM</v>
      </c>
      <c r="M1074">
        <v>1</v>
      </c>
    </row>
    <row r="1075" spans="1:13" x14ac:dyDescent="0.2">
      <c r="A1075">
        <v>1078</v>
      </c>
      <c r="B1075">
        <v>108</v>
      </c>
      <c r="C1075">
        <v>10</v>
      </c>
      <c r="D1075" t="s">
        <v>378</v>
      </c>
      <c r="E1075" t="str">
        <f t="shared" si="18"/>
        <v>1010CM03PT</v>
      </c>
      <c r="F1075">
        <f>VLOOKUP(B1075,Course!$A$2:$R$329,2,FALSE)</f>
        <v>0</v>
      </c>
      <c r="G1075">
        <f>VLOOKUP(B1075, Course!$A$2:$L$150, 8, FALSE)</f>
        <v>10</v>
      </c>
      <c r="H1075">
        <v>3</v>
      </c>
      <c r="I1075">
        <v>1</v>
      </c>
      <c r="K1075" t="s">
        <v>1581</v>
      </c>
      <c r="L1075" t="str">
        <f>VLOOKUP(B1075, Course!$A$1:$O$133, 14, FALSE)</f>
        <v>CM</v>
      </c>
      <c r="M1075">
        <v>1</v>
      </c>
    </row>
    <row r="1076" spans="1:13" x14ac:dyDescent="0.2">
      <c r="A1076">
        <v>1079</v>
      </c>
      <c r="B1076">
        <v>109</v>
      </c>
      <c r="C1076">
        <v>11</v>
      </c>
      <c r="D1076" t="s">
        <v>378</v>
      </c>
      <c r="E1076" t="str">
        <f t="shared" si="18"/>
        <v>1011CM03PT</v>
      </c>
      <c r="F1076">
        <f>VLOOKUP(B1076,Course!$A$2:$R$329,2,FALSE)</f>
        <v>0</v>
      </c>
      <c r="G1076">
        <f>VLOOKUP(B1076, Course!$A$2:$L$150, 8, FALSE)</f>
        <v>10</v>
      </c>
      <c r="H1076">
        <v>3</v>
      </c>
      <c r="I1076">
        <v>1</v>
      </c>
      <c r="K1076" t="s">
        <v>1581</v>
      </c>
      <c r="L1076" t="str">
        <f>VLOOKUP(B1076, Course!$A$1:$O$133, 14, FALSE)</f>
        <v>CM</v>
      </c>
      <c r="M1076">
        <v>1</v>
      </c>
    </row>
    <row r="1077" spans="1:13" x14ac:dyDescent="0.2">
      <c r="A1077">
        <v>1080</v>
      </c>
      <c r="B1077">
        <v>109</v>
      </c>
      <c r="C1077">
        <v>12</v>
      </c>
      <c r="D1077" t="s">
        <v>378</v>
      </c>
      <c r="E1077" t="str">
        <f t="shared" si="18"/>
        <v>1012CM03PT</v>
      </c>
      <c r="F1077">
        <f>VLOOKUP(B1077,Course!$A$2:$R$329,2,FALSE)</f>
        <v>0</v>
      </c>
      <c r="G1077">
        <f>VLOOKUP(B1077, Course!$A$2:$L$150, 8, FALSE)</f>
        <v>10</v>
      </c>
      <c r="H1077">
        <v>3</v>
      </c>
      <c r="I1077">
        <v>1</v>
      </c>
      <c r="K1077" t="s">
        <v>1581</v>
      </c>
      <c r="L1077" t="str">
        <f>VLOOKUP(B1077, Course!$A$1:$O$133, 14, FALSE)</f>
        <v>CM</v>
      </c>
      <c r="M1077">
        <v>1</v>
      </c>
    </row>
    <row r="1078" spans="1:13" x14ac:dyDescent="0.2">
      <c r="A1078">
        <v>1081</v>
      </c>
      <c r="B1078">
        <v>109</v>
      </c>
      <c r="C1078">
        <v>13</v>
      </c>
      <c r="D1078" t="s">
        <v>378</v>
      </c>
      <c r="E1078" t="str">
        <f t="shared" si="18"/>
        <v>1013CM03PT</v>
      </c>
      <c r="F1078">
        <f>VLOOKUP(B1078,Course!$A$2:$R$329,2,FALSE)</f>
        <v>0</v>
      </c>
      <c r="G1078">
        <f>VLOOKUP(B1078, Course!$A$2:$L$150, 8, FALSE)</f>
        <v>10</v>
      </c>
      <c r="H1078">
        <v>3</v>
      </c>
      <c r="I1078">
        <v>1</v>
      </c>
      <c r="K1078" t="s">
        <v>1581</v>
      </c>
      <c r="L1078" t="str">
        <f>VLOOKUP(B1078, Course!$A$1:$O$133, 14, FALSE)</f>
        <v>CM</v>
      </c>
      <c r="M1078">
        <v>1</v>
      </c>
    </row>
    <row r="1079" spans="1:13" x14ac:dyDescent="0.2">
      <c r="A1079">
        <v>1082</v>
      </c>
      <c r="B1079">
        <v>109</v>
      </c>
      <c r="C1079">
        <v>14</v>
      </c>
      <c r="D1079" t="s">
        <v>378</v>
      </c>
      <c r="E1079" t="str">
        <f t="shared" si="18"/>
        <v>1014CM03PT</v>
      </c>
      <c r="F1079">
        <f>VLOOKUP(B1079,Course!$A$2:$R$329,2,FALSE)</f>
        <v>0</v>
      </c>
      <c r="G1079">
        <f>VLOOKUP(B1079, Course!$A$2:$L$150, 8, FALSE)</f>
        <v>10</v>
      </c>
      <c r="H1079">
        <v>3</v>
      </c>
      <c r="I1079">
        <v>1</v>
      </c>
      <c r="K1079" t="s">
        <v>1581</v>
      </c>
      <c r="L1079" t="str">
        <f>VLOOKUP(B1079, Course!$A$1:$O$133, 14, FALSE)</f>
        <v>CM</v>
      </c>
      <c r="M1079">
        <v>1</v>
      </c>
    </row>
    <row r="1080" spans="1:13" x14ac:dyDescent="0.2">
      <c r="A1080">
        <v>1083</v>
      </c>
      <c r="B1080">
        <v>109</v>
      </c>
      <c r="C1080">
        <v>15</v>
      </c>
      <c r="D1080" t="s">
        <v>378</v>
      </c>
      <c r="E1080" t="str">
        <f t="shared" si="18"/>
        <v>1015CM03PT</v>
      </c>
      <c r="F1080">
        <f>VLOOKUP(B1080,Course!$A$2:$R$329,2,FALSE)</f>
        <v>0</v>
      </c>
      <c r="G1080">
        <f>VLOOKUP(B1080, Course!$A$2:$L$150, 8, FALSE)</f>
        <v>10</v>
      </c>
      <c r="H1080">
        <v>3</v>
      </c>
      <c r="I1080">
        <v>1</v>
      </c>
      <c r="K1080" t="s">
        <v>1581</v>
      </c>
      <c r="L1080" t="str">
        <f>VLOOKUP(B1080, Course!$A$1:$O$133, 14, FALSE)</f>
        <v>CM</v>
      </c>
      <c r="M1080">
        <v>1</v>
      </c>
    </row>
    <row r="1081" spans="1:13" x14ac:dyDescent="0.2">
      <c r="A1081">
        <v>1084</v>
      </c>
      <c r="B1081">
        <v>109</v>
      </c>
      <c r="C1081">
        <v>16</v>
      </c>
      <c r="D1081" t="s">
        <v>378</v>
      </c>
      <c r="E1081" t="str">
        <f t="shared" si="18"/>
        <v>1016CM03PT</v>
      </c>
      <c r="F1081">
        <f>VLOOKUP(B1081,Course!$A$2:$R$329,2,FALSE)</f>
        <v>0</v>
      </c>
      <c r="G1081">
        <f>VLOOKUP(B1081, Course!$A$2:$L$150, 8, FALSE)</f>
        <v>10</v>
      </c>
      <c r="H1081">
        <v>3</v>
      </c>
      <c r="I1081">
        <v>1</v>
      </c>
      <c r="K1081" t="s">
        <v>1581</v>
      </c>
      <c r="L1081" t="str">
        <f>VLOOKUP(B1081, Course!$A$1:$O$133, 14, FALSE)</f>
        <v>CM</v>
      </c>
      <c r="M1081">
        <v>1</v>
      </c>
    </row>
    <row r="1082" spans="1:13" x14ac:dyDescent="0.2">
      <c r="A1082">
        <v>1085</v>
      </c>
      <c r="B1082">
        <v>109</v>
      </c>
      <c r="C1082">
        <v>17</v>
      </c>
      <c r="D1082" t="s">
        <v>378</v>
      </c>
      <c r="E1082" t="str">
        <f t="shared" si="18"/>
        <v>1017CM03PT</v>
      </c>
      <c r="F1082">
        <f>VLOOKUP(B1082,Course!$A$2:$R$329,2,FALSE)</f>
        <v>0</v>
      </c>
      <c r="G1082">
        <f>VLOOKUP(B1082, Course!$A$2:$L$150, 8, FALSE)</f>
        <v>10</v>
      </c>
      <c r="H1082">
        <v>3</v>
      </c>
      <c r="I1082">
        <v>1</v>
      </c>
      <c r="K1082" t="s">
        <v>1581</v>
      </c>
      <c r="L1082" t="str">
        <f>VLOOKUP(B1082, Course!$A$1:$O$133, 14, FALSE)</f>
        <v>CM</v>
      </c>
      <c r="M1082">
        <v>1</v>
      </c>
    </row>
    <row r="1083" spans="1:13" x14ac:dyDescent="0.2">
      <c r="A1083">
        <v>1086</v>
      </c>
      <c r="B1083">
        <v>109</v>
      </c>
      <c r="C1083">
        <v>18</v>
      </c>
      <c r="D1083" t="s">
        <v>378</v>
      </c>
      <c r="E1083" t="str">
        <f t="shared" si="18"/>
        <v>1018CM03PT</v>
      </c>
      <c r="F1083">
        <f>VLOOKUP(B1083,Course!$A$2:$R$329,2,FALSE)</f>
        <v>0</v>
      </c>
      <c r="G1083">
        <f>VLOOKUP(B1083, Course!$A$2:$L$150, 8, FALSE)</f>
        <v>10</v>
      </c>
      <c r="H1083">
        <v>3</v>
      </c>
      <c r="I1083">
        <v>1</v>
      </c>
      <c r="K1083" t="s">
        <v>1581</v>
      </c>
      <c r="L1083" t="str">
        <f>VLOOKUP(B1083, Course!$A$1:$O$133, 14, FALSE)</f>
        <v>CM</v>
      </c>
      <c r="M1083">
        <v>1</v>
      </c>
    </row>
    <row r="1084" spans="1:13" x14ac:dyDescent="0.2">
      <c r="A1084">
        <v>1087</v>
      </c>
      <c r="B1084">
        <v>109</v>
      </c>
      <c r="C1084">
        <v>19</v>
      </c>
      <c r="D1084" t="s">
        <v>378</v>
      </c>
      <c r="E1084" t="str">
        <f t="shared" si="18"/>
        <v>1019CM03PT</v>
      </c>
      <c r="F1084">
        <f>VLOOKUP(B1084,Course!$A$2:$R$329,2,FALSE)</f>
        <v>0</v>
      </c>
      <c r="G1084">
        <f>VLOOKUP(B1084, Course!$A$2:$L$150, 8, FALSE)</f>
        <v>10</v>
      </c>
      <c r="H1084">
        <v>3</v>
      </c>
      <c r="I1084">
        <v>1</v>
      </c>
      <c r="K1084" t="s">
        <v>1581</v>
      </c>
      <c r="L1084" t="str">
        <f>VLOOKUP(B1084, Course!$A$1:$O$133, 14, FALSE)</f>
        <v>CM</v>
      </c>
      <c r="M1084">
        <v>1</v>
      </c>
    </row>
    <row r="1085" spans="1:13" x14ac:dyDescent="0.2">
      <c r="A1085">
        <v>1088</v>
      </c>
      <c r="B1085">
        <v>109</v>
      </c>
      <c r="C1085">
        <v>20</v>
      </c>
      <c r="D1085" t="s">
        <v>378</v>
      </c>
      <c r="E1085" t="str">
        <f t="shared" si="18"/>
        <v>1020CM03PT</v>
      </c>
      <c r="F1085">
        <f>VLOOKUP(B1085,Course!$A$2:$R$329,2,FALSE)</f>
        <v>0</v>
      </c>
      <c r="G1085">
        <f>VLOOKUP(B1085, Course!$A$2:$L$150, 8, FALSE)</f>
        <v>10</v>
      </c>
      <c r="H1085">
        <v>3</v>
      </c>
      <c r="I1085">
        <v>1</v>
      </c>
      <c r="K1085" t="s">
        <v>1581</v>
      </c>
      <c r="L1085" t="str">
        <f>VLOOKUP(B1085, Course!$A$1:$O$133, 14, FALSE)</f>
        <v>CM</v>
      </c>
      <c r="M1085">
        <v>1</v>
      </c>
    </row>
    <row r="1086" spans="1:13" x14ac:dyDescent="0.2">
      <c r="A1086">
        <v>1089</v>
      </c>
      <c r="B1086">
        <v>110</v>
      </c>
      <c r="C1086">
        <v>139</v>
      </c>
      <c r="D1086" t="s">
        <v>379</v>
      </c>
      <c r="E1086" t="str">
        <f t="shared" si="18"/>
        <v>639HM03PT</v>
      </c>
      <c r="F1086">
        <f>VLOOKUP(B1086,Course!$A$2:$R$329,2,FALSE)</f>
        <v>0</v>
      </c>
      <c r="G1086">
        <f>VLOOKUP(B1086, Course!$A$2:$L$150, 8, FALSE)</f>
        <v>6</v>
      </c>
      <c r="H1086">
        <v>3</v>
      </c>
      <c r="I1086">
        <v>1</v>
      </c>
      <c r="K1086" t="s">
        <v>1581</v>
      </c>
      <c r="L1086" t="str">
        <f>VLOOKUP(B1086, Course!$A$1:$O$133, 14, FALSE)</f>
        <v>HM</v>
      </c>
      <c r="M1086">
        <v>1</v>
      </c>
    </row>
    <row r="1087" spans="1:13" x14ac:dyDescent="0.2">
      <c r="A1087">
        <v>1090</v>
      </c>
      <c r="B1087">
        <v>110</v>
      </c>
      <c r="C1087">
        <v>140</v>
      </c>
      <c r="D1087" t="s">
        <v>379</v>
      </c>
      <c r="E1087" t="str">
        <f t="shared" si="18"/>
        <v>640HM03PT</v>
      </c>
      <c r="F1087">
        <f>VLOOKUP(B1087,Course!$A$2:$R$329,2,FALSE)</f>
        <v>0</v>
      </c>
      <c r="G1087">
        <f>VLOOKUP(B1087, Course!$A$2:$L$150, 8, FALSE)</f>
        <v>6</v>
      </c>
      <c r="H1087">
        <v>3</v>
      </c>
      <c r="I1087">
        <v>1</v>
      </c>
      <c r="K1087" t="s">
        <v>1581</v>
      </c>
      <c r="L1087" t="str">
        <f>VLOOKUP(B1087, Course!$A$1:$O$133, 14, FALSE)</f>
        <v>HM</v>
      </c>
      <c r="M1087">
        <v>1</v>
      </c>
    </row>
    <row r="1088" spans="1:13" x14ac:dyDescent="0.2">
      <c r="A1088">
        <v>1091</v>
      </c>
      <c r="B1088">
        <v>110</v>
      </c>
      <c r="C1088">
        <v>141</v>
      </c>
      <c r="D1088" t="s">
        <v>379</v>
      </c>
      <c r="E1088" t="str">
        <f t="shared" si="18"/>
        <v>641HM03PT</v>
      </c>
      <c r="F1088">
        <f>VLOOKUP(B1088,Course!$A$2:$R$329,2,FALSE)</f>
        <v>0</v>
      </c>
      <c r="G1088">
        <f>VLOOKUP(B1088, Course!$A$2:$L$150, 8, FALSE)</f>
        <v>6</v>
      </c>
      <c r="H1088">
        <v>3</v>
      </c>
      <c r="I1088">
        <v>1</v>
      </c>
      <c r="K1088" t="s">
        <v>1581</v>
      </c>
      <c r="L1088" t="str">
        <f>VLOOKUP(B1088, Course!$A$1:$O$133, 14, FALSE)</f>
        <v>HM</v>
      </c>
      <c r="M1088">
        <v>1</v>
      </c>
    </row>
    <row r="1089" spans="1:13" x14ac:dyDescent="0.2">
      <c r="A1089">
        <v>1092</v>
      </c>
      <c r="B1089">
        <v>110</v>
      </c>
      <c r="C1089">
        <v>142</v>
      </c>
      <c r="D1089" t="s">
        <v>379</v>
      </c>
      <c r="E1089" t="str">
        <f t="shared" si="18"/>
        <v>642HM03PT</v>
      </c>
      <c r="F1089">
        <f>VLOOKUP(B1089,Course!$A$2:$R$329,2,FALSE)</f>
        <v>0</v>
      </c>
      <c r="G1089">
        <f>VLOOKUP(B1089, Course!$A$2:$L$150, 8, FALSE)</f>
        <v>6</v>
      </c>
      <c r="H1089">
        <v>3</v>
      </c>
      <c r="I1089">
        <v>1</v>
      </c>
      <c r="K1089" t="s">
        <v>1581</v>
      </c>
      <c r="L1089" t="str">
        <f>VLOOKUP(B1089, Course!$A$1:$O$133, 14, FALSE)</f>
        <v>HM</v>
      </c>
      <c r="M1089">
        <v>1</v>
      </c>
    </row>
    <row r="1090" spans="1:13" x14ac:dyDescent="0.2">
      <c r="A1090">
        <v>1093</v>
      </c>
      <c r="B1090">
        <v>110</v>
      </c>
      <c r="C1090">
        <v>143</v>
      </c>
      <c r="D1090" t="s">
        <v>379</v>
      </c>
      <c r="E1090" t="str">
        <f t="shared" si="18"/>
        <v>643HM03PT</v>
      </c>
      <c r="F1090">
        <f>VLOOKUP(B1090,Course!$A$2:$R$329,2,FALSE)</f>
        <v>0</v>
      </c>
      <c r="G1090">
        <f>VLOOKUP(B1090, Course!$A$2:$L$150, 8, FALSE)</f>
        <v>6</v>
      </c>
      <c r="H1090">
        <v>3</v>
      </c>
      <c r="I1090">
        <v>1</v>
      </c>
      <c r="K1090" t="s">
        <v>1581</v>
      </c>
      <c r="L1090" t="str">
        <f>VLOOKUP(B1090, Course!$A$1:$O$133, 14, FALSE)</f>
        <v>HM</v>
      </c>
      <c r="M1090">
        <v>1</v>
      </c>
    </row>
    <row r="1091" spans="1:13" x14ac:dyDescent="0.2">
      <c r="A1091">
        <v>1094</v>
      </c>
      <c r="B1091">
        <v>110</v>
      </c>
      <c r="C1091">
        <v>144</v>
      </c>
      <c r="D1091" t="s">
        <v>379</v>
      </c>
      <c r="E1091" t="str">
        <f t="shared" si="18"/>
        <v>644HM03PT</v>
      </c>
      <c r="F1091">
        <f>VLOOKUP(B1091,Course!$A$2:$R$329,2,FALSE)</f>
        <v>0</v>
      </c>
      <c r="G1091">
        <f>VLOOKUP(B1091, Course!$A$2:$L$150, 8, FALSE)</f>
        <v>6</v>
      </c>
      <c r="H1091">
        <v>3</v>
      </c>
      <c r="I1091">
        <v>1</v>
      </c>
      <c r="K1091" t="s">
        <v>1581</v>
      </c>
      <c r="L1091" t="str">
        <f>VLOOKUP(B1091, Course!$A$1:$O$133, 14, FALSE)</f>
        <v>HM</v>
      </c>
      <c r="M1091">
        <v>1</v>
      </c>
    </row>
    <row r="1092" spans="1:13" x14ac:dyDescent="0.2">
      <c r="A1092">
        <v>1095</v>
      </c>
      <c r="B1092">
        <v>111</v>
      </c>
      <c r="C1092">
        <v>133</v>
      </c>
      <c r="D1092" t="s">
        <v>380</v>
      </c>
      <c r="E1092" t="str">
        <f t="shared" si="18"/>
        <v>633TR03PT</v>
      </c>
      <c r="F1092">
        <f>VLOOKUP(B1092,Course!$A$2:$R$329,2,FALSE)</f>
        <v>0</v>
      </c>
      <c r="G1092">
        <f>VLOOKUP(B1092, Course!$A$2:$L$150, 8, FALSE)</f>
        <v>6</v>
      </c>
      <c r="H1092">
        <v>3</v>
      </c>
      <c r="I1092">
        <v>1</v>
      </c>
      <c r="K1092" t="s">
        <v>1581</v>
      </c>
      <c r="L1092" t="str">
        <f>VLOOKUP(B1092, Course!$A$1:$O$133, 14, FALSE)</f>
        <v>TR</v>
      </c>
      <c r="M1092">
        <v>1</v>
      </c>
    </row>
    <row r="1093" spans="1:13" x14ac:dyDescent="0.2">
      <c r="A1093">
        <v>1096</v>
      </c>
      <c r="B1093">
        <v>111</v>
      </c>
      <c r="C1093">
        <v>134</v>
      </c>
      <c r="D1093" t="s">
        <v>380</v>
      </c>
      <c r="E1093" t="str">
        <f t="shared" si="18"/>
        <v>634TR03PT</v>
      </c>
      <c r="F1093">
        <f>VLOOKUP(B1093,Course!$A$2:$R$329,2,FALSE)</f>
        <v>0</v>
      </c>
      <c r="G1093">
        <f>VLOOKUP(B1093, Course!$A$2:$L$150, 8, FALSE)</f>
        <v>6</v>
      </c>
      <c r="H1093">
        <v>3</v>
      </c>
      <c r="I1093">
        <v>1</v>
      </c>
      <c r="K1093" t="s">
        <v>1581</v>
      </c>
      <c r="L1093" t="str">
        <f>VLOOKUP(B1093, Course!$A$1:$O$133, 14, FALSE)</f>
        <v>TR</v>
      </c>
      <c r="M1093">
        <v>1</v>
      </c>
    </row>
    <row r="1094" spans="1:13" x14ac:dyDescent="0.2">
      <c r="A1094">
        <v>1097</v>
      </c>
      <c r="B1094">
        <v>111</v>
      </c>
      <c r="C1094">
        <v>135</v>
      </c>
      <c r="D1094" t="s">
        <v>380</v>
      </c>
      <c r="E1094" t="str">
        <f t="shared" si="18"/>
        <v>635TR03PT</v>
      </c>
      <c r="F1094">
        <f>VLOOKUP(B1094,Course!$A$2:$R$329,2,FALSE)</f>
        <v>0</v>
      </c>
      <c r="G1094">
        <f>VLOOKUP(B1094, Course!$A$2:$L$150, 8, FALSE)</f>
        <v>6</v>
      </c>
      <c r="H1094">
        <v>3</v>
      </c>
      <c r="I1094">
        <v>1</v>
      </c>
      <c r="K1094" t="s">
        <v>1581</v>
      </c>
      <c r="L1094" t="str">
        <f>VLOOKUP(B1094, Course!$A$1:$O$133, 14, FALSE)</f>
        <v>TR</v>
      </c>
      <c r="M1094">
        <v>1</v>
      </c>
    </row>
    <row r="1095" spans="1:13" x14ac:dyDescent="0.2">
      <c r="A1095">
        <v>1098</v>
      </c>
      <c r="B1095">
        <v>111</v>
      </c>
      <c r="C1095">
        <v>136</v>
      </c>
      <c r="D1095" t="s">
        <v>380</v>
      </c>
      <c r="E1095" t="str">
        <f t="shared" si="18"/>
        <v>636TR03PT</v>
      </c>
      <c r="F1095">
        <f>VLOOKUP(B1095,Course!$A$2:$R$329,2,FALSE)</f>
        <v>0</v>
      </c>
      <c r="G1095">
        <f>VLOOKUP(B1095, Course!$A$2:$L$150, 8, FALSE)</f>
        <v>6</v>
      </c>
      <c r="H1095">
        <v>3</v>
      </c>
      <c r="I1095">
        <v>1</v>
      </c>
      <c r="K1095" t="s">
        <v>1581</v>
      </c>
      <c r="L1095" t="str">
        <f>VLOOKUP(B1095, Course!$A$1:$O$133, 14, FALSE)</f>
        <v>TR</v>
      </c>
      <c r="M1095">
        <v>1</v>
      </c>
    </row>
    <row r="1096" spans="1:13" x14ac:dyDescent="0.2">
      <c r="A1096">
        <v>1099</v>
      </c>
      <c r="B1096">
        <v>111</v>
      </c>
      <c r="C1096">
        <v>137</v>
      </c>
      <c r="D1096" t="s">
        <v>380</v>
      </c>
      <c r="E1096" t="str">
        <f t="shared" si="18"/>
        <v>637TR03PT</v>
      </c>
      <c r="F1096">
        <f>VLOOKUP(B1096,Course!$A$2:$R$329,2,FALSE)</f>
        <v>0</v>
      </c>
      <c r="G1096">
        <f>VLOOKUP(B1096, Course!$A$2:$L$150, 8, FALSE)</f>
        <v>6</v>
      </c>
      <c r="H1096">
        <v>3</v>
      </c>
      <c r="I1096">
        <v>1</v>
      </c>
      <c r="K1096" t="s">
        <v>1581</v>
      </c>
      <c r="L1096" t="str">
        <f>VLOOKUP(B1096, Course!$A$1:$O$133, 14, FALSE)</f>
        <v>TR</v>
      </c>
      <c r="M1096">
        <v>1</v>
      </c>
    </row>
    <row r="1097" spans="1:13" x14ac:dyDescent="0.2">
      <c r="A1097">
        <v>1100</v>
      </c>
      <c r="B1097">
        <v>111</v>
      </c>
      <c r="C1097">
        <v>138</v>
      </c>
      <c r="D1097" t="s">
        <v>380</v>
      </c>
      <c r="E1097" t="str">
        <f t="shared" si="18"/>
        <v>638TR03PT</v>
      </c>
      <c r="F1097">
        <f>VLOOKUP(B1097,Course!$A$2:$R$329,2,FALSE)</f>
        <v>0</v>
      </c>
      <c r="G1097">
        <f>VLOOKUP(B1097, Course!$A$2:$L$150, 8, FALSE)</f>
        <v>6</v>
      </c>
      <c r="H1097">
        <v>3</v>
      </c>
      <c r="I1097">
        <v>1</v>
      </c>
      <c r="K1097" t="s">
        <v>1581</v>
      </c>
      <c r="L1097" t="str">
        <f>VLOOKUP(B1097, Course!$A$1:$O$133, 14, FALSE)</f>
        <v>TR</v>
      </c>
      <c r="M1097">
        <v>1</v>
      </c>
    </row>
    <row r="1098" spans="1:13" x14ac:dyDescent="0.2">
      <c r="A1098">
        <v>1101</v>
      </c>
      <c r="B1098">
        <v>112</v>
      </c>
      <c r="C1098">
        <v>11</v>
      </c>
      <c r="D1098" t="s">
        <v>382</v>
      </c>
      <c r="E1098" t="str">
        <f t="shared" si="18"/>
        <v>1011EC03PT</v>
      </c>
      <c r="F1098">
        <f>VLOOKUP(B1098,Course!$A$2:$R$329,2,FALSE)</f>
        <v>0</v>
      </c>
      <c r="G1098">
        <f>VLOOKUP(B1098, Course!$A$2:$L$150, 8, FALSE)</f>
        <v>10</v>
      </c>
      <c r="H1098">
        <v>3</v>
      </c>
      <c r="I1098">
        <v>1</v>
      </c>
      <c r="K1098" t="s">
        <v>1581</v>
      </c>
      <c r="L1098" t="str">
        <f>VLOOKUP(B1098, Course!$A$1:$O$133, 14, FALSE)</f>
        <v>EC</v>
      </c>
      <c r="M1098">
        <v>1</v>
      </c>
    </row>
    <row r="1099" spans="1:13" x14ac:dyDescent="0.2">
      <c r="A1099">
        <v>1102</v>
      </c>
      <c r="B1099">
        <v>112</v>
      </c>
      <c r="C1099">
        <v>12</v>
      </c>
      <c r="D1099" t="s">
        <v>382</v>
      </c>
      <c r="E1099" t="str">
        <f t="shared" si="18"/>
        <v>1012EC03PT</v>
      </c>
      <c r="F1099">
        <f>VLOOKUP(B1099,Course!$A$2:$R$329,2,FALSE)</f>
        <v>0</v>
      </c>
      <c r="G1099">
        <f>VLOOKUP(B1099, Course!$A$2:$L$150, 8, FALSE)</f>
        <v>10</v>
      </c>
      <c r="H1099">
        <v>3</v>
      </c>
      <c r="I1099">
        <v>1</v>
      </c>
      <c r="K1099" t="s">
        <v>1581</v>
      </c>
      <c r="L1099" t="str">
        <f>VLOOKUP(B1099, Course!$A$1:$O$133, 14, FALSE)</f>
        <v>EC</v>
      </c>
      <c r="M1099">
        <v>1</v>
      </c>
    </row>
    <row r="1100" spans="1:13" x14ac:dyDescent="0.2">
      <c r="A1100">
        <v>1103</v>
      </c>
      <c r="B1100">
        <v>112</v>
      </c>
      <c r="C1100">
        <v>13</v>
      </c>
      <c r="D1100" t="s">
        <v>382</v>
      </c>
      <c r="E1100" t="str">
        <f t="shared" si="18"/>
        <v>1013EC03PT</v>
      </c>
      <c r="F1100">
        <f>VLOOKUP(B1100,Course!$A$2:$R$329,2,FALSE)</f>
        <v>0</v>
      </c>
      <c r="G1100">
        <f>VLOOKUP(B1100, Course!$A$2:$L$150, 8, FALSE)</f>
        <v>10</v>
      </c>
      <c r="H1100">
        <v>3</v>
      </c>
      <c r="I1100">
        <v>1</v>
      </c>
      <c r="K1100" t="s">
        <v>1581</v>
      </c>
      <c r="L1100" t="str">
        <f>VLOOKUP(B1100, Course!$A$1:$O$133, 14, FALSE)</f>
        <v>EC</v>
      </c>
      <c r="M1100">
        <v>1</v>
      </c>
    </row>
    <row r="1101" spans="1:13" x14ac:dyDescent="0.2">
      <c r="A1101">
        <v>1104</v>
      </c>
      <c r="B1101">
        <v>112</v>
      </c>
      <c r="C1101">
        <v>14</v>
      </c>
      <c r="D1101" t="s">
        <v>382</v>
      </c>
      <c r="E1101" t="str">
        <f t="shared" si="18"/>
        <v>1014EC03PT</v>
      </c>
      <c r="F1101">
        <f>VLOOKUP(B1101,Course!$A$2:$R$329,2,FALSE)</f>
        <v>0</v>
      </c>
      <c r="G1101">
        <f>VLOOKUP(B1101, Course!$A$2:$L$150, 8, FALSE)</f>
        <v>10</v>
      </c>
      <c r="H1101">
        <v>3</v>
      </c>
      <c r="I1101">
        <v>1</v>
      </c>
      <c r="K1101" t="s">
        <v>1581</v>
      </c>
      <c r="L1101" t="str">
        <f>VLOOKUP(B1101, Course!$A$1:$O$133, 14, FALSE)</f>
        <v>EC</v>
      </c>
      <c r="M1101">
        <v>1</v>
      </c>
    </row>
    <row r="1102" spans="1:13" x14ac:dyDescent="0.2">
      <c r="A1102">
        <v>1105</v>
      </c>
      <c r="B1102">
        <v>112</v>
      </c>
      <c r="C1102">
        <v>15</v>
      </c>
      <c r="D1102" t="s">
        <v>382</v>
      </c>
      <c r="E1102" t="str">
        <f t="shared" si="18"/>
        <v>1015EC03PT</v>
      </c>
      <c r="F1102">
        <f>VLOOKUP(B1102,Course!$A$2:$R$329,2,FALSE)</f>
        <v>0</v>
      </c>
      <c r="G1102">
        <f>VLOOKUP(B1102, Course!$A$2:$L$150, 8, FALSE)</f>
        <v>10</v>
      </c>
      <c r="H1102">
        <v>3</v>
      </c>
      <c r="I1102">
        <v>1</v>
      </c>
      <c r="K1102" t="s">
        <v>1581</v>
      </c>
      <c r="L1102" t="str">
        <f>VLOOKUP(B1102, Course!$A$1:$O$133, 14, FALSE)</f>
        <v>EC</v>
      </c>
      <c r="M1102">
        <v>1</v>
      </c>
    </row>
    <row r="1103" spans="1:13" x14ac:dyDescent="0.2">
      <c r="A1103">
        <v>1106</v>
      </c>
      <c r="B1103">
        <v>112</v>
      </c>
      <c r="C1103">
        <v>16</v>
      </c>
      <c r="D1103" t="s">
        <v>382</v>
      </c>
      <c r="E1103" t="str">
        <f t="shared" si="18"/>
        <v>1016EC03PT</v>
      </c>
      <c r="F1103">
        <f>VLOOKUP(B1103,Course!$A$2:$R$329,2,FALSE)</f>
        <v>0</v>
      </c>
      <c r="G1103">
        <f>VLOOKUP(B1103, Course!$A$2:$L$150, 8, FALSE)</f>
        <v>10</v>
      </c>
      <c r="H1103">
        <v>3</v>
      </c>
      <c r="I1103">
        <v>1</v>
      </c>
      <c r="K1103" t="s">
        <v>1581</v>
      </c>
      <c r="L1103" t="str">
        <f>VLOOKUP(B1103, Course!$A$1:$O$133, 14, FALSE)</f>
        <v>EC</v>
      </c>
      <c r="M1103">
        <v>1</v>
      </c>
    </row>
    <row r="1104" spans="1:13" x14ac:dyDescent="0.2">
      <c r="A1104">
        <v>1107</v>
      </c>
      <c r="B1104">
        <v>112</v>
      </c>
      <c r="C1104">
        <v>17</v>
      </c>
      <c r="D1104" t="s">
        <v>382</v>
      </c>
      <c r="E1104" t="str">
        <f t="shared" si="18"/>
        <v>1017EC03PT</v>
      </c>
      <c r="F1104">
        <f>VLOOKUP(B1104,Course!$A$2:$R$329,2,FALSE)</f>
        <v>0</v>
      </c>
      <c r="G1104">
        <f>VLOOKUP(B1104, Course!$A$2:$L$150, 8, FALSE)</f>
        <v>10</v>
      </c>
      <c r="H1104">
        <v>3</v>
      </c>
      <c r="I1104">
        <v>1</v>
      </c>
      <c r="K1104" t="s">
        <v>1581</v>
      </c>
      <c r="L1104" t="str">
        <f>VLOOKUP(B1104, Course!$A$1:$O$133, 14, FALSE)</f>
        <v>EC</v>
      </c>
      <c r="M1104">
        <v>1</v>
      </c>
    </row>
    <row r="1105" spans="1:13" x14ac:dyDescent="0.2">
      <c r="A1105">
        <v>1108</v>
      </c>
      <c r="B1105">
        <v>112</v>
      </c>
      <c r="C1105">
        <v>18</v>
      </c>
      <c r="D1105" t="s">
        <v>382</v>
      </c>
      <c r="E1105" t="str">
        <f t="shared" si="18"/>
        <v>1018EC03PT</v>
      </c>
      <c r="F1105">
        <f>VLOOKUP(B1105,Course!$A$2:$R$329,2,FALSE)</f>
        <v>0</v>
      </c>
      <c r="G1105">
        <f>VLOOKUP(B1105, Course!$A$2:$L$150, 8, FALSE)</f>
        <v>10</v>
      </c>
      <c r="H1105">
        <v>3</v>
      </c>
      <c r="I1105">
        <v>1</v>
      </c>
      <c r="K1105" t="s">
        <v>1581</v>
      </c>
      <c r="L1105" t="str">
        <f>VLOOKUP(B1105, Course!$A$1:$O$133, 14, FALSE)</f>
        <v>EC</v>
      </c>
      <c r="M1105">
        <v>1</v>
      </c>
    </row>
    <row r="1106" spans="1:13" x14ac:dyDescent="0.2">
      <c r="A1106">
        <v>1109</v>
      </c>
      <c r="B1106">
        <v>112</v>
      </c>
      <c r="C1106">
        <v>19</v>
      </c>
      <c r="D1106" t="s">
        <v>382</v>
      </c>
      <c r="E1106" t="str">
        <f t="shared" si="18"/>
        <v>1019EC03PT</v>
      </c>
      <c r="F1106">
        <f>VLOOKUP(B1106,Course!$A$2:$R$329,2,FALSE)</f>
        <v>0</v>
      </c>
      <c r="G1106">
        <f>VLOOKUP(B1106, Course!$A$2:$L$150, 8, FALSE)</f>
        <v>10</v>
      </c>
      <c r="H1106">
        <v>3</v>
      </c>
      <c r="I1106">
        <v>1</v>
      </c>
      <c r="K1106" t="s">
        <v>1581</v>
      </c>
      <c r="L1106" t="str">
        <f>VLOOKUP(B1106, Course!$A$1:$O$133, 14, FALSE)</f>
        <v>EC</v>
      </c>
      <c r="M1106">
        <v>1</v>
      </c>
    </row>
    <row r="1107" spans="1:13" x14ac:dyDescent="0.2">
      <c r="A1107">
        <v>1110</v>
      </c>
      <c r="B1107">
        <v>112</v>
      </c>
      <c r="C1107">
        <v>20</v>
      </c>
      <c r="D1107" t="s">
        <v>382</v>
      </c>
      <c r="E1107" t="str">
        <f t="shared" si="18"/>
        <v>1020EC03PT</v>
      </c>
      <c r="F1107">
        <f>VLOOKUP(B1107,Course!$A$2:$R$329,2,FALSE)</f>
        <v>0</v>
      </c>
      <c r="G1107">
        <f>VLOOKUP(B1107, Course!$A$2:$L$150, 8, FALSE)</f>
        <v>10</v>
      </c>
      <c r="H1107">
        <v>3</v>
      </c>
      <c r="I1107">
        <v>1</v>
      </c>
      <c r="K1107" t="s">
        <v>1581</v>
      </c>
      <c r="L1107" t="str">
        <f>VLOOKUP(B1107, Course!$A$1:$O$133, 14, FALSE)</f>
        <v>EC</v>
      </c>
      <c r="M1107">
        <v>1</v>
      </c>
    </row>
    <row r="1108" spans="1:13" x14ac:dyDescent="0.2">
      <c r="A1108">
        <v>1111</v>
      </c>
      <c r="B1108">
        <v>113</v>
      </c>
      <c r="C1108">
        <v>133</v>
      </c>
      <c r="D1108" t="s">
        <v>224</v>
      </c>
      <c r="E1108" t="str">
        <f t="shared" si="18"/>
        <v>1233EN03PT</v>
      </c>
      <c r="F1108">
        <f>VLOOKUP(B1108,Course!$A$2:$R$329,2,FALSE)</f>
        <v>0</v>
      </c>
      <c r="G1108">
        <f>VLOOKUP(B1108, Course!$A$2:$L$150, 8, FALSE)</f>
        <v>12</v>
      </c>
      <c r="H1108">
        <v>3</v>
      </c>
      <c r="I1108">
        <v>1</v>
      </c>
      <c r="K1108" t="s">
        <v>1581</v>
      </c>
      <c r="L1108" t="str">
        <f>VLOOKUP(B1108, Course!$A$1:$O$133, 14, FALSE)</f>
        <v>EN</v>
      </c>
      <c r="M1108">
        <v>1</v>
      </c>
    </row>
    <row r="1109" spans="1:13" x14ac:dyDescent="0.2">
      <c r="A1109">
        <v>1112</v>
      </c>
      <c r="B1109">
        <v>113</v>
      </c>
      <c r="C1109">
        <v>134</v>
      </c>
      <c r="D1109" t="s">
        <v>224</v>
      </c>
      <c r="E1109" t="str">
        <f t="shared" si="18"/>
        <v>1234EN03PT</v>
      </c>
      <c r="F1109">
        <f>VLOOKUP(B1109,Course!$A$2:$R$329,2,FALSE)</f>
        <v>0</v>
      </c>
      <c r="G1109">
        <f>VLOOKUP(B1109, Course!$A$2:$L$150, 8, FALSE)</f>
        <v>12</v>
      </c>
      <c r="H1109">
        <v>3</v>
      </c>
      <c r="I1109">
        <v>1</v>
      </c>
      <c r="K1109" t="s">
        <v>1581</v>
      </c>
      <c r="L1109" t="str">
        <f>VLOOKUP(B1109, Course!$A$1:$O$133, 14, FALSE)</f>
        <v>EN</v>
      </c>
      <c r="M1109">
        <v>1</v>
      </c>
    </row>
    <row r="1110" spans="1:13" x14ac:dyDescent="0.2">
      <c r="A1110">
        <v>1113</v>
      </c>
      <c r="B1110">
        <v>113</v>
      </c>
      <c r="C1110">
        <v>135</v>
      </c>
      <c r="D1110" t="s">
        <v>224</v>
      </c>
      <c r="E1110" t="str">
        <f t="shared" si="18"/>
        <v>1235EN03PT</v>
      </c>
      <c r="F1110">
        <f>VLOOKUP(B1110,Course!$A$2:$R$329,2,FALSE)</f>
        <v>0</v>
      </c>
      <c r="G1110">
        <f>VLOOKUP(B1110, Course!$A$2:$L$150, 8, FALSE)</f>
        <v>12</v>
      </c>
      <c r="H1110">
        <v>3</v>
      </c>
      <c r="I1110">
        <v>1</v>
      </c>
      <c r="K1110" t="s">
        <v>1581</v>
      </c>
      <c r="L1110" t="str">
        <f>VLOOKUP(B1110, Course!$A$1:$O$133, 14, FALSE)</f>
        <v>EN</v>
      </c>
      <c r="M1110">
        <v>1</v>
      </c>
    </row>
    <row r="1111" spans="1:13" x14ac:dyDescent="0.2">
      <c r="A1111">
        <v>1114</v>
      </c>
      <c r="B1111">
        <v>113</v>
      </c>
      <c r="C1111">
        <v>136</v>
      </c>
      <c r="D1111" t="s">
        <v>224</v>
      </c>
      <c r="E1111" t="str">
        <f t="shared" si="18"/>
        <v>1236EN03PT</v>
      </c>
      <c r="F1111">
        <f>VLOOKUP(B1111,Course!$A$2:$R$329,2,FALSE)</f>
        <v>0</v>
      </c>
      <c r="G1111">
        <f>VLOOKUP(B1111, Course!$A$2:$L$150, 8, FALSE)</f>
        <v>12</v>
      </c>
      <c r="H1111">
        <v>3</v>
      </c>
      <c r="I1111">
        <v>1</v>
      </c>
      <c r="K1111" t="s">
        <v>1581</v>
      </c>
      <c r="L1111" t="str">
        <f>VLOOKUP(B1111, Course!$A$1:$O$133, 14, FALSE)</f>
        <v>EN</v>
      </c>
      <c r="M1111">
        <v>1</v>
      </c>
    </row>
    <row r="1112" spans="1:13" x14ac:dyDescent="0.2">
      <c r="A1112">
        <v>1115</v>
      </c>
      <c r="B1112">
        <v>113</v>
      </c>
      <c r="C1112">
        <v>137</v>
      </c>
      <c r="D1112" t="s">
        <v>224</v>
      </c>
      <c r="E1112" t="str">
        <f t="shared" si="18"/>
        <v>1237EN03PT</v>
      </c>
      <c r="F1112">
        <f>VLOOKUP(B1112,Course!$A$2:$R$329,2,FALSE)</f>
        <v>0</v>
      </c>
      <c r="G1112">
        <f>VLOOKUP(B1112, Course!$A$2:$L$150, 8, FALSE)</f>
        <v>12</v>
      </c>
      <c r="H1112">
        <v>3</v>
      </c>
      <c r="I1112">
        <v>1</v>
      </c>
      <c r="K1112" t="s">
        <v>1581</v>
      </c>
      <c r="L1112" t="str">
        <f>VLOOKUP(B1112, Course!$A$1:$O$133, 14, FALSE)</f>
        <v>EN</v>
      </c>
      <c r="M1112">
        <v>1</v>
      </c>
    </row>
    <row r="1113" spans="1:13" x14ac:dyDescent="0.2">
      <c r="A1113">
        <v>1116</v>
      </c>
      <c r="B1113">
        <v>113</v>
      </c>
      <c r="C1113">
        <v>138</v>
      </c>
      <c r="D1113" t="s">
        <v>224</v>
      </c>
      <c r="E1113" t="str">
        <f t="shared" si="18"/>
        <v>1238EN03PT</v>
      </c>
      <c r="F1113">
        <f>VLOOKUP(B1113,Course!$A$2:$R$329,2,FALSE)</f>
        <v>0</v>
      </c>
      <c r="G1113">
        <f>VLOOKUP(B1113, Course!$A$2:$L$150, 8, FALSE)</f>
        <v>12</v>
      </c>
      <c r="H1113">
        <v>3</v>
      </c>
      <c r="I1113">
        <v>1</v>
      </c>
      <c r="K1113" t="s">
        <v>1581</v>
      </c>
      <c r="L1113" t="str">
        <f>VLOOKUP(B1113, Course!$A$1:$O$133, 14, FALSE)</f>
        <v>EN</v>
      </c>
      <c r="M1113">
        <v>1</v>
      </c>
    </row>
    <row r="1114" spans="1:13" x14ac:dyDescent="0.2">
      <c r="A1114">
        <v>1117</v>
      </c>
      <c r="B1114">
        <v>113</v>
      </c>
      <c r="C1114">
        <v>139</v>
      </c>
      <c r="D1114" t="s">
        <v>224</v>
      </c>
      <c r="E1114" t="str">
        <f t="shared" si="18"/>
        <v>1239EN03PT</v>
      </c>
      <c r="F1114">
        <f>VLOOKUP(B1114,Course!$A$2:$R$329,2,FALSE)</f>
        <v>0</v>
      </c>
      <c r="G1114">
        <f>VLOOKUP(B1114, Course!$A$2:$L$150, 8, FALSE)</f>
        <v>12</v>
      </c>
      <c r="H1114">
        <v>3</v>
      </c>
      <c r="I1114">
        <v>1</v>
      </c>
      <c r="K1114" t="s">
        <v>1581</v>
      </c>
      <c r="L1114" t="str">
        <f>VLOOKUP(B1114, Course!$A$1:$O$133, 14, FALSE)</f>
        <v>EN</v>
      </c>
      <c r="M1114">
        <v>1</v>
      </c>
    </row>
    <row r="1115" spans="1:13" x14ac:dyDescent="0.2">
      <c r="A1115">
        <v>1118</v>
      </c>
      <c r="B1115">
        <v>113</v>
      </c>
      <c r="C1115">
        <v>140</v>
      </c>
      <c r="D1115" t="s">
        <v>224</v>
      </c>
      <c r="E1115" t="str">
        <f t="shared" si="18"/>
        <v>1240EN03PT</v>
      </c>
      <c r="F1115">
        <f>VLOOKUP(B1115,Course!$A$2:$R$329,2,FALSE)</f>
        <v>0</v>
      </c>
      <c r="G1115">
        <f>VLOOKUP(B1115, Course!$A$2:$L$150, 8, FALSE)</f>
        <v>12</v>
      </c>
      <c r="H1115">
        <v>3</v>
      </c>
      <c r="I1115">
        <v>1</v>
      </c>
      <c r="K1115" t="s">
        <v>1581</v>
      </c>
      <c r="L1115" t="str">
        <f>VLOOKUP(B1115, Course!$A$1:$O$133, 14, FALSE)</f>
        <v>EN</v>
      </c>
      <c r="M1115">
        <v>1</v>
      </c>
    </row>
    <row r="1116" spans="1:13" x14ac:dyDescent="0.2">
      <c r="A1116">
        <v>1119</v>
      </c>
      <c r="B1116">
        <v>113</v>
      </c>
      <c r="C1116">
        <v>141</v>
      </c>
      <c r="D1116" t="s">
        <v>224</v>
      </c>
      <c r="E1116" t="str">
        <f t="shared" si="18"/>
        <v>1241EN03PT</v>
      </c>
      <c r="F1116">
        <f>VLOOKUP(B1116,Course!$A$2:$R$329,2,FALSE)</f>
        <v>0</v>
      </c>
      <c r="G1116">
        <f>VLOOKUP(B1116, Course!$A$2:$L$150, 8, FALSE)</f>
        <v>12</v>
      </c>
      <c r="H1116">
        <v>3</v>
      </c>
      <c r="I1116">
        <v>1</v>
      </c>
      <c r="K1116" t="s">
        <v>1581</v>
      </c>
      <c r="L1116" t="str">
        <f>VLOOKUP(B1116, Course!$A$1:$O$133, 14, FALSE)</f>
        <v>EN</v>
      </c>
      <c r="M1116">
        <v>1</v>
      </c>
    </row>
    <row r="1117" spans="1:13" x14ac:dyDescent="0.2">
      <c r="A1117">
        <v>1120</v>
      </c>
      <c r="B1117">
        <v>113</v>
      </c>
      <c r="C1117">
        <v>142</v>
      </c>
      <c r="D1117" t="s">
        <v>224</v>
      </c>
      <c r="E1117" t="str">
        <f t="shared" si="18"/>
        <v>1242EN03PT</v>
      </c>
      <c r="F1117">
        <f>VLOOKUP(B1117,Course!$A$2:$R$329,2,FALSE)</f>
        <v>0</v>
      </c>
      <c r="G1117">
        <f>VLOOKUP(B1117, Course!$A$2:$L$150, 8, FALSE)</f>
        <v>12</v>
      </c>
      <c r="H1117">
        <v>3</v>
      </c>
      <c r="I1117">
        <v>1</v>
      </c>
      <c r="K1117" t="s">
        <v>1581</v>
      </c>
      <c r="L1117" t="str">
        <f>VLOOKUP(B1117, Course!$A$1:$O$133, 14, FALSE)</f>
        <v>EN</v>
      </c>
      <c r="M1117">
        <v>1</v>
      </c>
    </row>
    <row r="1118" spans="1:13" x14ac:dyDescent="0.2">
      <c r="A1118">
        <v>1121</v>
      </c>
      <c r="B1118">
        <v>113</v>
      </c>
      <c r="C1118">
        <v>143</v>
      </c>
      <c r="D1118" t="s">
        <v>224</v>
      </c>
      <c r="E1118" t="str">
        <f t="shared" si="18"/>
        <v>1243EN03PT</v>
      </c>
      <c r="F1118">
        <f>VLOOKUP(B1118,Course!$A$2:$R$329,2,FALSE)</f>
        <v>0</v>
      </c>
      <c r="G1118">
        <f>VLOOKUP(B1118, Course!$A$2:$L$150, 8, FALSE)</f>
        <v>12</v>
      </c>
      <c r="H1118">
        <v>3</v>
      </c>
      <c r="I1118">
        <v>1</v>
      </c>
      <c r="K1118" t="s">
        <v>1581</v>
      </c>
      <c r="L1118" t="str">
        <f>VLOOKUP(B1118, Course!$A$1:$O$133, 14, FALSE)</f>
        <v>EN</v>
      </c>
      <c r="M1118">
        <v>1</v>
      </c>
    </row>
    <row r="1119" spans="1:13" x14ac:dyDescent="0.2">
      <c r="A1119">
        <v>1122</v>
      </c>
      <c r="B1119">
        <v>113</v>
      </c>
      <c r="C1119">
        <v>144</v>
      </c>
      <c r="D1119" t="s">
        <v>224</v>
      </c>
      <c r="E1119" t="str">
        <f t="shared" si="18"/>
        <v>1244EN03PT</v>
      </c>
      <c r="F1119">
        <f>VLOOKUP(B1119,Course!$A$2:$R$329,2,FALSE)</f>
        <v>0</v>
      </c>
      <c r="G1119">
        <f>VLOOKUP(B1119, Course!$A$2:$L$150, 8, FALSE)</f>
        <v>12</v>
      </c>
      <c r="H1119">
        <v>3</v>
      </c>
      <c r="I1119">
        <v>1</v>
      </c>
      <c r="K1119" t="s">
        <v>1581</v>
      </c>
      <c r="L1119" t="str">
        <f>VLOOKUP(B1119, Course!$A$1:$O$133, 14, FALSE)</f>
        <v>EN</v>
      </c>
      <c r="M1119">
        <v>1</v>
      </c>
    </row>
    <row r="1120" spans="1:13" x14ac:dyDescent="0.2">
      <c r="A1120">
        <v>1123</v>
      </c>
      <c r="B1120">
        <v>114</v>
      </c>
      <c r="C1120">
        <v>11</v>
      </c>
      <c r="D1120" t="s">
        <v>371</v>
      </c>
      <c r="E1120" t="str">
        <f t="shared" si="18"/>
        <v>1011GR03PT</v>
      </c>
      <c r="F1120">
        <f>VLOOKUP(B1120,Course!$A$2:$R$329,2,FALSE)</f>
        <v>0</v>
      </c>
      <c r="G1120">
        <f>VLOOKUP(B1120, Course!$A$2:$L$150, 8, FALSE)</f>
        <v>10</v>
      </c>
      <c r="H1120">
        <v>3</v>
      </c>
      <c r="I1120">
        <v>1</v>
      </c>
      <c r="K1120" t="s">
        <v>1581</v>
      </c>
      <c r="L1120" t="str">
        <f>VLOOKUP(B1120, Course!$A$1:$O$133, 14, FALSE)</f>
        <v>GR</v>
      </c>
      <c r="M1120">
        <v>1</v>
      </c>
    </row>
    <row r="1121" spans="1:13" x14ac:dyDescent="0.2">
      <c r="A1121">
        <v>1124</v>
      </c>
      <c r="B1121">
        <v>114</v>
      </c>
      <c r="C1121">
        <v>12</v>
      </c>
      <c r="D1121" t="s">
        <v>371</v>
      </c>
      <c r="E1121" t="str">
        <f t="shared" si="18"/>
        <v>1012GR03PT</v>
      </c>
      <c r="F1121">
        <f>VLOOKUP(B1121,Course!$A$2:$R$329,2,FALSE)</f>
        <v>0</v>
      </c>
      <c r="G1121">
        <f>VLOOKUP(B1121, Course!$A$2:$L$150, 8, FALSE)</f>
        <v>10</v>
      </c>
      <c r="H1121">
        <v>3</v>
      </c>
      <c r="I1121">
        <v>1</v>
      </c>
      <c r="K1121" t="s">
        <v>1581</v>
      </c>
      <c r="L1121" t="str">
        <f>VLOOKUP(B1121, Course!$A$1:$O$133, 14, FALSE)</f>
        <v>GR</v>
      </c>
      <c r="M1121">
        <v>1</v>
      </c>
    </row>
    <row r="1122" spans="1:13" x14ac:dyDescent="0.2">
      <c r="A1122">
        <v>1125</v>
      </c>
      <c r="B1122">
        <v>114</v>
      </c>
      <c r="C1122">
        <v>13</v>
      </c>
      <c r="D1122" t="s">
        <v>371</v>
      </c>
      <c r="E1122" t="str">
        <f t="shared" si="18"/>
        <v>1013GR03PT</v>
      </c>
      <c r="F1122">
        <f>VLOOKUP(B1122,Course!$A$2:$R$329,2,FALSE)</f>
        <v>0</v>
      </c>
      <c r="G1122">
        <f>VLOOKUP(B1122, Course!$A$2:$L$150, 8, FALSE)</f>
        <v>10</v>
      </c>
      <c r="H1122">
        <v>3</v>
      </c>
      <c r="I1122">
        <v>1</v>
      </c>
      <c r="K1122" t="s">
        <v>1581</v>
      </c>
      <c r="L1122" t="str">
        <f>VLOOKUP(B1122, Course!$A$1:$O$133, 14, FALSE)</f>
        <v>GR</v>
      </c>
      <c r="M1122">
        <v>1</v>
      </c>
    </row>
    <row r="1123" spans="1:13" x14ac:dyDescent="0.2">
      <c r="A1123">
        <v>1126</v>
      </c>
      <c r="B1123">
        <v>114</v>
      </c>
      <c r="C1123">
        <v>14</v>
      </c>
      <c r="D1123" t="s">
        <v>371</v>
      </c>
      <c r="E1123" t="str">
        <f t="shared" si="18"/>
        <v>1014GR03PT</v>
      </c>
      <c r="F1123">
        <f>VLOOKUP(B1123,Course!$A$2:$R$329,2,FALSE)</f>
        <v>0</v>
      </c>
      <c r="G1123">
        <f>VLOOKUP(B1123, Course!$A$2:$L$150, 8, FALSE)</f>
        <v>10</v>
      </c>
      <c r="H1123">
        <v>3</v>
      </c>
      <c r="I1123">
        <v>1</v>
      </c>
      <c r="K1123" t="s">
        <v>1581</v>
      </c>
      <c r="L1123" t="str">
        <f>VLOOKUP(B1123, Course!$A$1:$O$133, 14, FALSE)</f>
        <v>GR</v>
      </c>
      <c r="M1123">
        <v>1</v>
      </c>
    </row>
    <row r="1124" spans="1:13" x14ac:dyDescent="0.2">
      <c r="A1124">
        <v>1127</v>
      </c>
      <c r="B1124">
        <v>114</v>
      </c>
      <c r="C1124">
        <v>15</v>
      </c>
      <c r="D1124" t="s">
        <v>371</v>
      </c>
      <c r="E1124" t="str">
        <f t="shared" si="18"/>
        <v>1015GR03PT</v>
      </c>
      <c r="F1124">
        <f>VLOOKUP(B1124,Course!$A$2:$R$329,2,FALSE)</f>
        <v>0</v>
      </c>
      <c r="G1124">
        <f>VLOOKUP(B1124, Course!$A$2:$L$150, 8, FALSE)</f>
        <v>10</v>
      </c>
      <c r="H1124">
        <v>3</v>
      </c>
      <c r="I1124">
        <v>1</v>
      </c>
      <c r="K1124" t="s">
        <v>1581</v>
      </c>
      <c r="L1124" t="str">
        <f>VLOOKUP(B1124, Course!$A$1:$O$133, 14, FALSE)</f>
        <v>GR</v>
      </c>
      <c r="M1124">
        <v>1</v>
      </c>
    </row>
    <row r="1125" spans="1:13" x14ac:dyDescent="0.2">
      <c r="A1125">
        <v>1128</v>
      </c>
      <c r="B1125">
        <v>114</v>
      </c>
      <c r="C1125">
        <v>16</v>
      </c>
      <c r="D1125" t="s">
        <v>371</v>
      </c>
      <c r="E1125" t="str">
        <f t="shared" si="18"/>
        <v>1016GR03PT</v>
      </c>
      <c r="F1125">
        <f>VLOOKUP(B1125,Course!$A$2:$R$329,2,FALSE)</f>
        <v>0</v>
      </c>
      <c r="G1125">
        <f>VLOOKUP(B1125, Course!$A$2:$L$150, 8, FALSE)</f>
        <v>10</v>
      </c>
      <c r="H1125">
        <v>3</v>
      </c>
      <c r="I1125">
        <v>1</v>
      </c>
      <c r="K1125" t="s">
        <v>1581</v>
      </c>
      <c r="L1125" t="str">
        <f>VLOOKUP(B1125, Course!$A$1:$O$133, 14, FALSE)</f>
        <v>GR</v>
      </c>
      <c r="M1125">
        <v>1</v>
      </c>
    </row>
    <row r="1126" spans="1:13" x14ac:dyDescent="0.2">
      <c r="A1126">
        <v>1129</v>
      </c>
      <c r="B1126">
        <v>114</v>
      </c>
      <c r="C1126">
        <v>17</v>
      </c>
      <c r="D1126" t="s">
        <v>371</v>
      </c>
      <c r="E1126" t="str">
        <f t="shared" si="18"/>
        <v>1017GR03PT</v>
      </c>
      <c r="F1126">
        <f>VLOOKUP(B1126,Course!$A$2:$R$329,2,FALSE)</f>
        <v>0</v>
      </c>
      <c r="G1126">
        <f>VLOOKUP(B1126, Course!$A$2:$L$150, 8, FALSE)</f>
        <v>10</v>
      </c>
      <c r="H1126">
        <v>3</v>
      </c>
      <c r="I1126">
        <v>1</v>
      </c>
      <c r="K1126" t="s">
        <v>1581</v>
      </c>
      <c r="L1126" t="str">
        <f>VLOOKUP(B1126, Course!$A$1:$O$133, 14, FALSE)</f>
        <v>GR</v>
      </c>
      <c r="M1126">
        <v>1</v>
      </c>
    </row>
    <row r="1127" spans="1:13" x14ac:dyDescent="0.2">
      <c r="A1127">
        <v>1130</v>
      </c>
      <c r="B1127">
        <v>114</v>
      </c>
      <c r="C1127">
        <v>18</v>
      </c>
      <c r="D1127" t="s">
        <v>371</v>
      </c>
      <c r="E1127" t="str">
        <f t="shared" si="18"/>
        <v>1018GR03PT</v>
      </c>
      <c r="F1127">
        <f>VLOOKUP(B1127,Course!$A$2:$R$329,2,FALSE)</f>
        <v>0</v>
      </c>
      <c r="G1127">
        <f>VLOOKUP(B1127, Course!$A$2:$L$150, 8, FALSE)</f>
        <v>10</v>
      </c>
      <c r="H1127">
        <v>3</v>
      </c>
      <c r="I1127">
        <v>1</v>
      </c>
      <c r="K1127" t="s">
        <v>1581</v>
      </c>
      <c r="L1127" t="str">
        <f>VLOOKUP(B1127, Course!$A$1:$O$133, 14, FALSE)</f>
        <v>GR</v>
      </c>
      <c r="M1127">
        <v>1</v>
      </c>
    </row>
    <row r="1128" spans="1:13" x14ac:dyDescent="0.2">
      <c r="A1128">
        <v>1131</v>
      </c>
      <c r="B1128">
        <v>114</v>
      </c>
      <c r="C1128">
        <v>19</v>
      </c>
      <c r="D1128" t="s">
        <v>371</v>
      </c>
      <c r="E1128" t="str">
        <f t="shared" si="18"/>
        <v>1019GR03PT</v>
      </c>
      <c r="F1128">
        <f>VLOOKUP(B1128,Course!$A$2:$R$329,2,FALSE)</f>
        <v>0</v>
      </c>
      <c r="G1128">
        <f>VLOOKUP(B1128, Course!$A$2:$L$150, 8, FALSE)</f>
        <v>10</v>
      </c>
      <c r="H1128">
        <v>3</v>
      </c>
      <c r="I1128">
        <v>1</v>
      </c>
      <c r="K1128" t="s">
        <v>1581</v>
      </c>
      <c r="L1128" t="str">
        <f>VLOOKUP(B1128, Course!$A$1:$O$133, 14, FALSE)</f>
        <v>GR</v>
      </c>
      <c r="M1128">
        <v>1</v>
      </c>
    </row>
    <row r="1129" spans="1:13" x14ac:dyDescent="0.2">
      <c r="A1129">
        <v>1132</v>
      </c>
      <c r="B1129">
        <v>114</v>
      </c>
      <c r="C1129">
        <v>20</v>
      </c>
      <c r="D1129" t="s">
        <v>371</v>
      </c>
      <c r="E1129" t="str">
        <f t="shared" si="18"/>
        <v>1020GR03PT</v>
      </c>
      <c r="F1129">
        <f>VLOOKUP(B1129,Course!$A$2:$R$329,2,FALSE)</f>
        <v>0</v>
      </c>
      <c r="G1129">
        <f>VLOOKUP(B1129, Course!$A$2:$L$150, 8, FALSE)</f>
        <v>10</v>
      </c>
      <c r="H1129">
        <v>3</v>
      </c>
      <c r="I1129">
        <v>1</v>
      </c>
      <c r="K1129" t="s">
        <v>1581</v>
      </c>
      <c r="L1129" t="str">
        <f>VLOOKUP(B1129, Course!$A$1:$O$133, 14, FALSE)</f>
        <v>GR</v>
      </c>
      <c r="M1129">
        <v>1</v>
      </c>
    </row>
    <row r="1130" spans="1:13" x14ac:dyDescent="0.2">
      <c r="A1130">
        <v>1133</v>
      </c>
      <c r="B1130">
        <v>115</v>
      </c>
      <c r="C1130">
        <v>7</v>
      </c>
      <c r="D1130" t="s">
        <v>308</v>
      </c>
      <c r="E1130" t="str">
        <f t="shared" ref="E1130:E1193" si="19">UPPER(LEFT(G1130,2)) &amp; RIGHT("0" &amp; C1130, 2) &amp; D1130 &amp; RIGHT("0" &amp; H1130, 2) &amp; K1130</f>
        <v>207MT03PT</v>
      </c>
      <c r="F1130">
        <f>VLOOKUP(B1130,Course!$A$2:$R$329,2,FALSE)</f>
        <v>0</v>
      </c>
      <c r="G1130">
        <f>VLOOKUP(B1130, Course!$A$2:$L$150, 8, FALSE)</f>
        <v>2</v>
      </c>
      <c r="H1130">
        <v>3</v>
      </c>
      <c r="I1130">
        <v>1</v>
      </c>
      <c r="K1130" t="s">
        <v>1581</v>
      </c>
      <c r="L1130" t="str">
        <f>VLOOKUP(B1130, Course!$A$1:$O$133, 14, FALSE)</f>
        <v>MT</v>
      </c>
      <c r="M1130">
        <v>1</v>
      </c>
    </row>
    <row r="1131" spans="1:13" x14ac:dyDescent="0.2">
      <c r="A1131">
        <v>1134</v>
      </c>
      <c r="B1131">
        <v>115</v>
      </c>
      <c r="C1131">
        <v>8</v>
      </c>
      <c r="D1131" t="s">
        <v>308</v>
      </c>
      <c r="E1131" t="str">
        <f t="shared" si="19"/>
        <v>208MT03PT</v>
      </c>
      <c r="F1131">
        <f>VLOOKUP(B1131,Course!$A$2:$R$329,2,FALSE)</f>
        <v>0</v>
      </c>
      <c r="G1131">
        <f>VLOOKUP(B1131, Course!$A$2:$L$150, 8, FALSE)</f>
        <v>2</v>
      </c>
      <c r="H1131">
        <v>3</v>
      </c>
      <c r="I1131">
        <v>1</v>
      </c>
      <c r="K1131" t="s">
        <v>1581</v>
      </c>
      <c r="L1131" t="str">
        <f>VLOOKUP(B1131, Course!$A$1:$O$133, 14, FALSE)</f>
        <v>MT</v>
      </c>
      <c r="M1131">
        <v>1</v>
      </c>
    </row>
    <row r="1132" spans="1:13" x14ac:dyDescent="0.2">
      <c r="A1132">
        <v>1135</v>
      </c>
      <c r="B1132">
        <v>116</v>
      </c>
      <c r="C1132">
        <v>1</v>
      </c>
      <c r="D1132" t="s">
        <v>389</v>
      </c>
      <c r="E1132" t="str">
        <f t="shared" si="19"/>
        <v>1001CP03PT</v>
      </c>
      <c r="F1132">
        <f>VLOOKUP(B1132,Course!$A$2:$R$329,2,FALSE)</f>
        <v>0</v>
      </c>
      <c r="G1132">
        <f>VLOOKUP(B1132, Course!$A$2:$L$150, 8, FALSE)</f>
        <v>10</v>
      </c>
      <c r="H1132">
        <v>3</v>
      </c>
      <c r="I1132">
        <v>1</v>
      </c>
      <c r="K1132" t="s">
        <v>1581</v>
      </c>
      <c r="L1132" t="str">
        <f>VLOOKUP(B1132, Course!$A$1:$O$133, 14, FALSE)</f>
        <v>CP</v>
      </c>
      <c r="M1132">
        <v>1</v>
      </c>
    </row>
    <row r="1133" spans="1:13" x14ac:dyDescent="0.2">
      <c r="A1133">
        <v>1136</v>
      </c>
      <c r="B1133">
        <v>116</v>
      </c>
      <c r="C1133">
        <v>2</v>
      </c>
      <c r="D1133" t="s">
        <v>389</v>
      </c>
      <c r="E1133" t="str">
        <f t="shared" si="19"/>
        <v>1002CP03PT</v>
      </c>
      <c r="F1133">
        <f>VLOOKUP(B1133,Course!$A$2:$R$329,2,FALSE)</f>
        <v>0</v>
      </c>
      <c r="G1133">
        <f>VLOOKUP(B1133, Course!$A$2:$L$150, 8, FALSE)</f>
        <v>10</v>
      </c>
      <c r="H1133">
        <v>3</v>
      </c>
      <c r="I1133">
        <v>1</v>
      </c>
      <c r="K1133" t="s">
        <v>1581</v>
      </c>
      <c r="L1133" t="str">
        <f>VLOOKUP(B1133, Course!$A$1:$O$133, 14, FALSE)</f>
        <v>CP</v>
      </c>
      <c r="M1133">
        <v>1</v>
      </c>
    </row>
    <row r="1134" spans="1:13" x14ac:dyDescent="0.2">
      <c r="A1134">
        <v>1137</v>
      </c>
      <c r="B1134">
        <v>116</v>
      </c>
      <c r="C1134">
        <v>3</v>
      </c>
      <c r="D1134" t="s">
        <v>389</v>
      </c>
      <c r="E1134" t="str">
        <f t="shared" si="19"/>
        <v>1003CP03PT</v>
      </c>
      <c r="F1134">
        <f>VLOOKUP(B1134,Course!$A$2:$R$329,2,FALSE)</f>
        <v>0</v>
      </c>
      <c r="G1134">
        <f>VLOOKUP(B1134, Course!$A$2:$L$150, 8, FALSE)</f>
        <v>10</v>
      </c>
      <c r="H1134">
        <v>3</v>
      </c>
      <c r="I1134">
        <v>1</v>
      </c>
      <c r="K1134" t="s">
        <v>1581</v>
      </c>
      <c r="L1134" t="str">
        <f>VLOOKUP(B1134, Course!$A$1:$O$133, 14, FALSE)</f>
        <v>CP</v>
      </c>
      <c r="M1134">
        <v>1</v>
      </c>
    </row>
    <row r="1135" spans="1:13" x14ac:dyDescent="0.2">
      <c r="A1135">
        <v>1138</v>
      </c>
      <c r="B1135">
        <v>116</v>
      </c>
      <c r="C1135">
        <v>4</v>
      </c>
      <c r="D1135" t="s">
        <v>389</v>
      </c>
      <c r="E1135" t="str">
        <f t="shared" si="19"/>
        <v>1004CP03PT</v>
      </c>
      <c r="F1135">
        <f>VLOOKUP(B1135,Course!$A$2:$R$329,2,FALSE)</f>
        <v>0</v>
      </c>
      <c r="G1135">
        <f>VLOOKUP(B1135, Course!$A$2:$L$150, 8, FALSE)</f>
        <v>10</v>
      </c>
      <c r="H1135">
        <v>3</v>
      </c>
      <c r="I1135">
        <v>1</v>
      </c>
      <c r="K1135" t="s">
        <v>1581</v>
      </c>
      <c r="L1135" t="str">
        <f>VLOOKUP(B1135, Course!$A$1:$O$133, 14, FALSE)</f>
        <v>CP</v>
      </c>
      <c r="M1135">
        <v>1</v>
      </c>
    </row>
    <row r="1136" spans="1:13" x14ac:dyDescent="0.2">
      <c r="A1136">
        <v>1139</v>
      </c>
      <c r="B1136">
        <v>116</v>
      </c>
      <c r="C1136">
        <v>5</v>
      </c>
      <c r="D1136" t="s">
        <v>389</v>
      </c>
      <c r="E1136" t="str">
        <f t="shared" si="19"/>
        <v>1005CP03PT</v>
      </c>
      <c r="F1136">
        <f>VLOOKUP(B1136,Course!$A$2:$R$329,2,FALSE)</f>
        <v>0</v>
      </c>
      <c r="G1136">
        <f>VLOOKUP(B1136, Course!$A$2:$L$150, 8, FALSE)</f>
        <v>10</v>
      </c>
      <c r="H1136">
        <v>3</v>
      </c>
      <c r="I1136">
        <v>1</v>
      </c>
      <c r="K1136" t="s">
        <v>1581</v>
      </c>
      <c r="L1136" t="str">
        <f>VLOOKUP(B1136, Course!$A$1:$O$133, 14, FALSE)</f>
        <v>CP</v>
      </c>
      <c r="M1136">
        <v>1</v>
      </c>
    </row>
    <row r="1137" spans="1:13" x14ac:dyDescent="0.2">
      <c r="A1137">
        <v>1140</v>
      </c>
      <c r="B1137">
        <v>116</v>
      </c>
      <c r="C1137">
        <v>6</v>
      </c>
      <c r="D1137" t="s">
        <v>389</v>
      </c>
      <c r="E1137" t="str">
        <f t="shared" si="19"/>
        <v>1006CP03PT</v>
      </c>
      <c r="F1137">
        <f>VLOOKUP(B1137,Course!$A$2:$R$329,2,FALSE)</f>
        <v>0</v>
      </c>
      <c r="G1137">
        <f>VLOOKUP(B1137, Course!$A$2:$L$150, 8, FALSE)</f>
        <v>10</v>
      </c>
      <c r="H1137">
        <v>3</v>
      </c>
      <c r="I1137">
        <v>1</v>
      </c>
      <c r="K1137" t="s">
        <v>1581</v>
      </c>
      <c r="L1137" t="str">
        <f>VLOOKUP(B1137, Course!$A$1:$O$133, 14, FALSE)</f>
        <v>CP</v>
      </c>
      <c r="M1137">
        <v>1</v>
      </c>
    </row>
    <row r="1138" spans="1:13" x14ac:dyDescent="0.2">
      <c r="A1138">
        <v>1141</v>
      </c>
      <c r="B1138">
        <v>116</v>
      </c>
      <c r="C1138">
        <v>7</v>
      </c>
      <c r="D1138" t="s">
        <v>389</v>
      </c>
      <c r="E1138" t="str">
        <f t="shared" si="19"/>
        <v>1007CP03PT</v>
      </c>
      <c r="F1138">
        <f>VLOOKUP(B1138,Course!$A$2:$R$329,2,FALSE)</f>
        <v>0</v>
      </c>
      <c r="G1138">
        <f>VLOOKUP(B1138, Course!$A$2:$L$150, 8, FALSE)</f>
        <v>10</v>
      </c>
      <c r="H1138">
        <v>3</v>
      </c>
      <c r="I1138">
        <v>1</v>
      </c>
      <c r="K1138" t="s">
        <v>1581</v>
      </c>
      <c r="L1138" t="str">
        <f>VLOOKUP(B1138, Course!$A$1:$O$133, 14, FALSE)</f>
        <v>CP</v>
      </c>
      <c r="M1138">
        <v>1</v>
      </c>
    </row>
    <row r="1139" spans="1:13" x14ac:dyDescent="0.2">
      <c r="A1139">
        <v>1142</v>
      </c>
      <c r="B1139">
        <v>116</v>
      </c>
      <c r="C1139">
        <v>8</v>
      </c>
      <c r="D1139" t="s">
        <v>389</v>
      </c>
      <c r="E1139" t="str">
        <f t="shared" si="19"/>
        <v>1008CP03PT</v>
      </c>
      <c r="F1139">
        <f>VLOOKUP(B1139,Course!$A$2:$R$329,2,FALSE)</f>
        <v>0</v>
      </c>
      <c r="G1139">
        <f>VLOOKUP(B1139, Course!$A$2:$L$150, 8, FALSE)</f>
        <v>10</v>
      </c>
      <c r="H1139">
        <v>3</v>
      </c>
      <c r="I1139">
        <v>1</v>
      </c>
      <c r="K1139" t="s">
        <v>1581</v>
      </c>
      <c r="L1139" t="str">
        <f>VLOOKUP(B1139, Course!$A$1:$O$133, 14, FALSE)</f>
        <v>CP</v>
      </c>
      <c r="M1139">
        <v>1</v>
      </c>
    </row>
    <row r="1140" spans="1:13" x14ac:dyDescent="0.2">
      <c r="A1140">
        <v>1143</v>
      </c>
      <c r="B1140">
        <v>116</v>
      </c>
      <c r="C1140">
        <v>9</v>
      </c>
      <c r="D1140" t="s">
        <v>389</v>
      </c>
      <c r="E1140" t="str">
        <f t="shared" si="19"/>
        <v>1009CP03PT</v>
      </c>
      <c r="F1140">
        <f>VLOOKUP(B1140,Course!$A$2:$R$329,2,FALSE)</f>
        <v>0</v>
      </c>
      <c r="G1140">
        <f>VLOOKUP(B1140, Course!$A$2:$L$150, 8, FALSE)</f>
        <v>10</v>
      </c>
      <c r="H1140">
        <v>3</v>
      </c>
      <c r="I1140">
        <v>1</v>
      </c>
      <c r="K1140" t="s">
        <v>1581</v>
      </c>
      <c r="L1140" t="str">
        <f>VLOOKUP(B1140, Course!$A$1:$O$133, 14, FALSE)</f>
        <v>CP</v>
      </c>
      <c r="M1140">
        <v>1</v>
      </c>
    </row>
    <row r="1141" spans="1:13" x14ac:dyDescent="0.2">
      <c r="A1141">
        <v>1144</v>
      </c>
      <c r="B1141">
        <v>116</v>
      </c>
      <c r="C1141">
        <v>10</v>
      </c>
      <c r="D1141" t="s">
        <v>389</v>
      </c>
      <c r="E1141" t="str">
        <f t="shared" si="19"/>
        <v>1010CP03PT</v>
      </c>
      <c r="F1141">
        <f>VLOOKUP(B1141,Course!$A$2:$R$329,2,FALSE)</f>
        <v>0</v>
      </c>
      <c r="G1141">
        <f>VLOOKUP(B1141, Course!$A$2:$L$150, 8, FALSE)</f>
        <v>10</v>
      </c>
      <c r="H1141">
        <v>3</v>
      </c>
      <c r="I1141">
        <v>1</v>
      </c>
      <c r="K1141" t="s">
        <v>1581</v>
      </c>
      <c r="L1141" t="str">
        <f>VLOOKUP(B1141, Course!$A$1:$O$133, 14, FALSE)</f>
        <v>CP</v>
      </c>
      <c r="M1141">
        <v>1</v>
      </c>
    </row>
    <row r="1142" spans="1:13" x14ac:dyDescent="0.2">
      <c r="A1142">
        <v>1145</v>
      </c>
      <c r="B1142">
        <v>117</v>
      </c>
      <c r="C1142">
        <v>133</v>
      </c>
      <c r="D1142" t="s">
        <v>390</v>
      </c>
      <c r="E1142" t="str">
        <f t="shared" si="19"/>
        <v>1233PH03PT</v>
      </c>
      <c r="F1142">
        <f>VLOOKUP(B1142,Course!$A$2:$R$329,2,FALSE)</f>
        <v>0</v>
      </c>
      <c r="G1142">
        <f>VLOOKUP(B1142, Course!$A$2:$L$150, 8, FALSE)</f>
        <v>12</v>
      </c>
      <c r="H1142">
        <v>3</v>
      </c>
      <c r="I1142">
        <v>1</v>
      </c>
      <c r="K1142" t="s">
        <v>1581</v>
      </c>
      <c r="L1142" t="str">
        <f>VLOOKUP(B1142, Course!$A$1:$O$133, 14, FALSE)</f>
        <v>PH</v>
      </c>
      <c r="M1142">
        <v>1</v>
      </c>
    </row>
    <row r="1143" spans="1:13" x14ac:dyDescent="0.2">
      <c r="A1143">
        <v>1146</v>
      </c>
      <c r="B1143">
        <v>117</v>
      </c>
      <c r="C1143">
        <v>134</v>
      </c>
      <c r="D1143" t="s">
        <v>390</v>
      </c>
      <c r="E1143" t="str">
        <f t="shared" si="19"/>
        <v>1234PH03PT</v>
      </c>
      <c r="F1143">
        <f>VLOOKUP(B1143,Course!$A$2:$R$329,2,FALSE)</f>
        <v>0</v>
      </c>
      <c r="G1143">
        <f>VLOOKUP(B1143, Course!$A$2:$L$150, 8, FALSE)</f>
        <v>12</v>
      </c>
      <c r="H1143">
        <v>3</v>
      </c>
      <c r="I1143">
        <v>1</v>
      </c>
      <c r="K1143" t="s">
        <v>1581</v>
      </c>
      <c r="L1143" t="str">
        <f>VLOOKUP(B1143, Course!$A$1:$O$133, 14, FALSE)</f>
        <v>PH</v>
      </c>
      <c r="M1143">
        <v>1</v>
      </c>
    </row>
    <row r="1144" spans="1:13" x14ac:dyDescent="0.2">
      <c r="A1144">
        <v>1147</v>
      </c>
      <c r="B1144">
        <v>117</v>
      </c>
      <c r="C1144">
        <v>135</v>
      </c>
      <c r="D1144" t="s">
        <v>390</v>
      </c>
      <c r="E1144" t="str">
        <f t="shared" si="19"/>
        <v>1235PH03PT</v>
      </c>
      <c r="F1144">
        <f>VLOOKUP(B1144,Course!$A$2:$R$329,2,FALSE)</f>
        <v>0</v>
      </c>
      <c r="G1144">
        <f>VLOOKUP(B1144, Course!$A$2:$L$150, 8, FALSE)</f>
        <v>12</v>
      </c>
      <c r="H1144">
        <v>3</v>
      </c>
      <c r="I1144">
        <v>1</v>
      </c>
      <c r="K1144" t="s">
        <v>1581</v>
      </c>
      <c r="L1144" t="str">
        <f>VLOOKUP(B1144, Course!$A$1:$O$133, 14, FALSE)</f>
        <v>PH</v>
      </c>
      <c r="M1144">
        <v>1</v>
      </c>
    </row>
    <row r="1145" spans="1:13" x14ac:dyDescent="0.2">
      <c r="A1145">
        <v>1148</v>
      </c>
      <c r="B1145">
        <v>117</v>
      </c>
      <c r="C1145">
        <v>136</v>
      </c>
      <c r="D1145" t="s">
        <v>390</v>
      </c>
      <c r="E1145" t="str">
        <f t="shared" si="19"/>
        <v>1236PH03PT</v>
      </c>
      <c r="F1145">
        <f>VLOOKUP(B1145,Course!$A$2:$R$329,2,FALSE)</f>
        <v>0</v>
      </c>
      <c r="G1145">
        <f>VLOOKUP(B1145, Course!$A$2:$L$150, 8, FALSE)</f>
        <v>12</v>
      </c>
      <c r="H1145">
        <v>3</v>
      </c>
      <c r="I1145">
        <v>1</v>
      </c>
      <c r="K1145" t="s">
        <v>1581</v>
      </c>
      <c r="L1145" t="str">
        <f>VLOOKUP(B1145, Course!$A$1:$O$133, 14, FALSE)</f>
        <v>PH</v>
      </c>
      <c r="M1145">
        <v>1</v>
      </c>
    </row>
    <row r="1146" spans="1:13" x14ac:dyDescent="0.2">
      <c r="A1146">
        <v>1149</v>
      </c>
      <c r="B1146">
        <v>117</v>
      </c>
      <c r="C1146">
        <v>137</v>
      </c>
      <c r="D1146" t="s">
        <v>390</v>
      </c>
      <c r="E1146" t="str">
        <f t="shared" si="19"/>
        <v>1237PH03PT</v>
      </c>
      <c r="F1146">
        <f>VLOOKUP(B1146,Course!$A$2:$R$329,2,FALSE)</f>
        <v>0</v>
      </c>
      <c r="G1146">
        <f>VLOOKUP(B1146, Course!$A$2:$L$150, 8, FALSE)</f>
        <v>12</v>
      </c>
      <c r="H1146">
        <v>3</v>
      </c>
      <c r="I1146">
        <v>1</v>
      </c>
      <c r="K1146" t="s">
        <v>1581</v>
      </c>
      <c r="L1146" t="str">
        <f>VLOOKUP(B1146, Course!$A$1:$O$133, 14, FALSE)</f>
        <v>PH</v>
      </c>
      <c r="M1146">
        <v>1</v>
      </c>
    </row>
    <row r="1147" spans="1:13" x14ac:dyDescent="0.2">
      <c r="A1147">
        <v>1150</v>
      </c>
      <c r="B1147">
        <v>117</v>
      </c>
      <c r="C1147">
        <v>138</v>
      </c>
      <c r="D1147" t="s">
        <v>390</v>
      </c>
      <c r="E1147" t="str">
        <f t="shared" si="19"/>
        <v>1238PH03PT</v>
      </c>
      <c r="F1147">
        <f>VLOOKUP(B1147,Course!$A$2:$R$329,2,FALSE)</f>
        <v>0</v>
      </c>
      <c r="G1147">
        <f>VLOOKUP(B1147, Course!$A$2:$L$150, 8, FALSE)</f>
        <v>12</v>
      </c>
      <c r="H1147">
        <v>3</v>
      </c>
      <c r="I1147">
        <v>1</v>
      </c>
      <c r="K1147" t="s">
        <v>1581</v>
      </c>
      <c r="L1147" t="str">
        <f>VLOOKUP(B1147, Course!$A$1:$O$133, 14, FALSE)</f>
        <v>PH</v>
      </c>
      <c r="M1147">
        <v>1</v>
      </c>
    </row>
    <row r="1148" spans="1:13" x14ac:dyDescent="0.2">
      <c r="A1148">
        <v>1151</v>
      </c>
      <c r="B1148">
        <v>117</v>
      </c>
      <c r="C1148">
        <v>139</v>
      </c>
      <c r="D1148" t="s">
        <v>390</v>
      </c>
      <c r="E1148" t="str">
        <f t="shared" si="19"/>
        <v>1239PH03PT</v>
      </c>
      <c r="F1148">
        <f>VLOOKUP(B1148,Course!$A$2:$R$329,2,FALSE)</f>
        <v>0</v>
      </c>
      <c r="G1148">
        <f>VLOOKUP(B1148, Course!$A$2:$L$150, 8, FALSE)</f>
        <v>12</v>
      </c>
      <c r="H1148">
        <v>3</v>
      </c>
      <c r="I1148">
        <v>1</v>
      </c>
      <c r="K1148" t="s">
        <v>1581</v>
      </c>
      <c r="L1148" t="str">
        <f>VLOOKUP(B1148, Course!$A$1:$O$133, 14, FALSE)</f>
        <v>PH</v>
      </c>
      <c r="M1148">
        <v>1</v>
      </c>
    </row>
    <row r="1149" spans="1:13" x14ac:dyDescent="0.2">
      <c r="A1149">
        <v>1152</v>
      </c>
      <c r="B1149">
        <v>117</v>
      </c>
      <c r="C1149">
        <v>140</v>
      </c>
      <c r="D1149" t="s">
        <v>390</v>
      </c>
      <c r="E1149" t="str">
        <f t="shared" si="19"/>
        <v>1240PH03PT</v>
      </c>
      <c r="F1149">
        <f>VLOOKUP(B1149,Course!$A$2:$R$329,2,FALSE)</f>
        <v>0</v>
      </c>
      <c r="G1149">
        <f>VLOOKUP(B1149, Course!$A$2:$L$150, 8, FALSE)</f>
        <v>12</v>
      </c>
      <c r="H1149">
        <v>3</v>
      </c>
      <c r="I1149">
        <v>1</v>
      </c>
      <c r="K1149" t="s">
        <v>1581</v>
      </c>
      <c r="L1149" t="str">
        <f>VLOOKUP(B1149, Course!$A$1:$O$133, 14, FALSE)</f>
        <v>PH</v>
      </c>
      <c r="M1149">
        <v>1</v>
      </c>
    </row>
    <row r="1150" spans="1:13" x14ac:dyDescent="0.2">
      <c r="A1150">
        <v>1153</v>
      </c>
      <c r="B1150">
        <v>117</v>
      </c>
      <c r="C1150">
        <v>141</v>
      </c>
      <c r="D1150" t="s">
        <v>390</v>
      </c>
      <c r="E1150" t="str">
        <f t="shared" si="19"/>
        <v>1241PH03PT</v>
      </c>
      <c r="F1150">
        <f>VLOOKUP(B1150,Course!$A$2:$R$329,2,FALSE)</f>
        <v>0</v>
      </c>
      <c r="G1150">
        <f>VLOOKUP(B1150, Course!$A$2:$L$150, 8, FALSE)</f>
        <v>12</v>
      </c>
      <c r="H1150">
        <v>3</v>
      </c>
      <c r="I1150">
        <v>1</v>
      </c>
      <c r="K1150" t="s">
        <v>1581</v>
      </c>
      <c r="L1150" t="str">
        <f>VLOOKUP(B1150, Course!$A$1:$O$133, 14, FALSE)</f>
        <v>PH</v>
      </c>
      <c r="M1150">
        <v>1</v>
      </c>
    </row>
    <row r="1151" spans="1:13" x14ac:dyDescent="0.2">
      <c r="A1151">
        <v>1154</v>
      </c>
      <c r="B1151">
        <v>117</v>
      </c>
      <c r="C1151">
        <v>142</v>
      </c>
      <c r="D1151" t="s">
        <v>390</v>
      </c>
      <c r="E1151" t="str">
        <f t="shared" si="19"/>
        <v>1242PH03PT</v>
      </c>
      <c r="F1151">
        <f>VLOOKUP(B1151,Course!$A$2:$R$329,2,FALSE)</f>
        <v>0</v>
      </c>
      <c r="G1151">
        <f>VLOOKUP(B1151, Course!$A$2:$L$150, 8, FALSE)</f>
        <v>12</v>
      </c>
      <c r="H1151">
        <v>3</v>
      </c>
      <c r="I1151">
        <v>1</v>
      </c>
      <c r="K1151" t="s">
        <v>1581</v>
      </c>
      <c r="L1151" t="str">
        <f>VLOOKUP(B1151, Course!$A$1:$O$133, 14, FALSE)</f>
        <v>PH</v>
      </c>
      <c r="M1151">
        <v>1</v>
      </c>
    </row>
    <row r="1152" spans="1:13" x14ac:dyDescent="0.2">
      <c r="A1152">
        <v>1155</v>
      </c>
      <c r="B1152">
        <v>117</v>
      </c>
      <c r="C1152">
        <v>143</v>
      </c>
      <c r="D1152" t="s">
        <v>390</v>
      </c>
      <c r="E1152" t="str">
        <f t="shared" si="19"/>
        <v>1243PH03PT</v>
      </c>
      <c r="F1152">
        <f>VLOOKUP(B1152,Course!$A$2:$R$329,2,FALSE)</f>
        <v>0</v>
      </c>
      <c r="G1152">
        <f>VLOOKUP(B1152, Course!$A$2:$L$150, 8, FALSE)</f>
        <v>12</v>
      </c>
      <c r="H1152">
        <v>3</v>
      </c>
      <c r="I1152">
        <v>1</v>
      </c>
      <c r="K1152" t="s">
        <v>1581</v>
      </c>
      <c r="L1152" t="str">
        <f>VLOOKUP(B1152, Course!$A$1:$O$133, 14, FALSE)</f>
        <v>PH</v>
      </c>
      <c r="M1152">
        <v>1</v>
      </c>
    </row>
    <row r="1153" spans="1:13" x14ac:dyDescent="0.2">
      <c r="A1153">
        <v>1156</v>
      </c>
      <c r="B1153">
        <v>117</v>
      </c>
      <c r="C1153">
        <v>144</v>
      </c>
      <c r="D1153" t="s">
        <v>390</v>
      </c>
      <c r="E1153" t="str">
        <f t="shared" si="19"/>
        <v>1244PH03PT</v>
      </c>
      <c r="F1153">
        <f>VLOOKUP(B1153,Course!$A$2:$R$329,2,FALSE)</f>
        <v>0</v>
      </c>
      <c r="G1153">
        <f>VLOOKUP(B1153, Course!$A$2:$L$150, 8, FALSE)</f>
        <v>12</v>
      </c>
      <c r="H1153">
        <v>3</v>
      </c>
      <c r="I1153">
        <v>1</v>
      </c>
      <c r="K1153" t="s">
        <v>1581</v>
      </c>
      <c r="L1153" t="str">
        <f>VLOOKUP(B1153, Course!$A$1:$O$133, 14, FALSE)</f>
        <v>PH</v>
      </c>
      <c r="M1153">
        <v>1</v>
      </c>
    </row>
    <row r="1154" spans="1:13" x14ac:dyDescent="0.2">
      <c r="A1154">
        <v>1157</v>
      </c>
      <c r="B1154">
        <v>118</v>
      </c>
      <c r="C1154">
        <v>85</v>
      </c>
      <c r="D1154" t="s">
        <v>393</v>
      </c>
      <c r="E1154" t="str">
        <f t="shared" si="19"/>
        <v>1285AH03PT</v>
      </c>
      <c r="F1154">
        <f>VLOOKUP(B1154,Course!$A$2:$R$329,2,FALSE)</f>
        <v>0</v>
      </c>
      <c r="G1154">
        <f>VLOOKUP(B1154, Course!$A$2:$L$150, 8, FALSE)</f>
        <v>12</v>
      </c>
      <c r="H1154">
        <v>3</v>
      </c>
      <c r="I1154">
        <v>1</v>
      </c>
      <c r="K1154" t="s">
        <v>1581</v>
      </c>
      <c r="L1154" t="str">
        <f>VLOOKUP(B1154, Course!$A$1:$O$133, 14, FALSE)</f>
        <v>AH</v>
      </c>
      <c r="M1154">
        <v>1</v>
      </c>
    </row>
    <row r="1155" spans="1:13" x14ac:dyDescent="0.2">
      <c r="A1155">
        <v>1158</v>
      </c>
      <c r="B1155">
        <v>118</v>
      </c>
      <c r="C1155">
        <v>86</v>
      </c>
      <c r="D1155" t="s">
        <v>393</v>
      </c>
      <c r="E1155" t="str">
        <f t="shared" si="19"/>
        <v>1286AH03PT</v>
      </c>
      <c r="F1155">
        <f>VLOOKUP(B1155,Course!$A$2:$R$329,2,FALSE)</f>
        <v>0</v>
      </c>
      <c r="G1155">
        <f>VLOOKUP(B1155, Course!$A$2:$L$150, 8, FALSE)</f>
        <v>12</v>
      </c>
      <c r="H1155">
        <v>3</v>
      </c>
      <c r="I1155">
        <v>1</v>
      </c>
      <c r="K1155" t="s">
        <v>1581</v>
      </c>
      <c r="L1155" t="str">
        <f>VLOOKUP(B1155, Course!$A$1:$O$133, 14, FALSE)</f>
        <v>AH</v>
      </c>
      <c r="M1155">
        <v>1</v>
      </c>
    </row>
    <row r="1156" spans="1:13" x14ac:dyDescent="0.2">
      <c r="A1156">
        <v>1159</v>
      </c>
      <c r="B1156">
        <v>118</v>
      </c>
      <c r="C1156">
        <v>87</v>
      </c>
      <c r="D1156" t="s">
        <v>393</v>
      </c>
      <c r="E1156" t="str">
        <f t="shared" si="19"/>
        <v>1287AH03PT</v>
      </c>
      <c r="F1156">
        <f>VLOOKUP(B1156,Course!$A$2:$R$329,2,FALSE)</f>
        <v>0</v>
      </c>
      <c r="G1156">
        <f>VLOOKUP(B1156, Course!$A$2:$L$150, 8, FALSE)</f>
        <v>12</v>
      </c>
      <c r="H1156">
        <v>3</v>
      </c>
      <c r="I1156">
        <v>1</v>
      </c>
      <c r="K1156" t="s">
        <v>1581</v>
      </c>
      <c r="L1156" t="str">
        <f>VLOOKUP(B1156, Course!$A$1:$O$133, 14, FALSE)</f>
        <v>AH</v>
      </c>
      <c r="M1156">
        <v>1</v>
      </c>
    </row>
    <row r="1157" spans="1:13" x14ac:dyDescent="0.2">
      <c r="A1157">
        <v>1160</v>
      </c>
      <c r="B1157">
        <v>118</v>
      </c>
      <c r="C1157">
        <v>88</v>
      </c>
      <c r="D1157" t="s">
        <v>393</v>
      </c>
      <c r="E1157" t="str">
        <f t="shared" si="19"/>
        <v>1288AH03PT</v>
      </c>
      <c r="F1157">
        <f>VLOOKUP(B1157,Course!$A$2:$R$329,2,FALSE)</f>
        <v>0</v>
      </c>
      <c r="G1157">
        <f>VLOOKUP(B1157, Course!$A$2:$L$150, 8, FALSE)</f>
        <v>12</v>
      </c>
      <c r="H1157">
        <v>3</v>
      </c>
      <c r="I1157">
        <v>1</v>
      </c>
      <c r="K1157" t="s">
        <v>1581</v>
      </c>
      <c r="L1157" t="str">
        <f>VLOOKUP(B1157, Course!$A$1:$O$133, 14, FALSE)</f>
        <v>AH</v>
      </c>
      <c r="M1157">
        <v>1</v>
      </c>
    </row>
    <row r="1158" spans="1:13" x14ac:dyDescent="0.2">
      <c r="A1158">
        <v>1161</v>
      </c>
      <c r="B1158">
        <v>118</v>
      </c>
      <c r="C1158">
        <v>89</v>
      </c>
      <c r="D1158" t="s">
        <v>393</v>
      </c>
      <c r="E1158" t="str">
        <f t="shared" si="19"/>
        <v>1289AH03PT</v>
      </c>
      <c r="F1158">
        <f>VLOOKUP(B1158,Course!$A$2:$R$329,2,FALSE)</f>
        <v>0</v>
      </c>
      <c r="G1158">
        <f>VLOOKUP(B1158, Course!$A$2:$L$150, 8, FALSE)</f>
        <v>12</v>
      </c>
      <c r="H1158">
        <v>3</v>
      </c>
      <c r="I1158">
        <v>1</v>
      </c>
      <c r="K1158" t="s">
        <v>1581</v>
      </c>
      <c r="L1158" t="str">
        <f>VLOOKUP(B1158, Course!$A$1:$O$133, 14, FALSE)</f>
        <v>AH</v>
      </c>
      <c r="M1158">
        <v>1</v>
      </c>
    </row>
    <row r="1159" spans="1:13" x14ac:dyDescent="0.2">
      <c r="A1159">
        <v>1162</v>
      </c>
      <c r="B1159">
        <v>118</v>
      </c>
      <c r="C1159">
        <v>90</v>
      </c>
      <c r="D1159" t="s">
        <v>393</v>
      </c>
      <c r="E1159" t="str">
        <f t="shared" si="19"/>
        <v>1290AH03PT</v>
      </c>
      <c r="F1159">
        <f>VLOOKUP(B1159,Course!$A$2:$R$329,2,FALSE)</f>
        <v>0</v>
      </c>
      <c r="G1159">
        <f>VLOOKUP(B1159, Course!$A$2:$L$150, 8, FALSE)</f>
        <v>12</v>
      </c>
      <c r="H1159">
        <v>3</v>
      </c>
      <c r="I1159">
        <v>1</v>
      </c>
      <c r="K1159" t="s">
        <v>1581</v>
      </c>
      <c r="L1159" t="str">
        <f>VLOOKUP(B1159, Course!$A$1:$O$133, 14, FALSE)</f>
        <v>AH</v>
      </c>
      <c r="M1159">
        <v>1</v>
      </c>
    </row>
    <row r="1160" spans="1:13" x14ac:dyDescent="0.2">
      <c r="A1160">
        <v>1163</v>
      </c>
      <c r="B1160">
        <v>118</v>
      </c>
      <c r="C1160">
        <v>91</v>
      </c>
      <c r="D1160" t="s">
        <v>393</v>
      </c>
      <c r="E1160" t="str">
        <f t="shared" si="19"/>
        <v>1291AH03PT</v>
      </c>
      <c r="F1160">
        <f>VLOOKUP(B1160,Course!$A$2:$R$329,2,FALSE)</f>
        <v>0</v>
      </c>
      <c r="G1160">
        <f>VLOOKUP(B1160, Course!$A$2:$L$150, 8, FALSE)</f>
        <v>12</v>
      </c>
      <c r="H1160">
        <v>3</v>
      </c>
      <c r="I1160">
        <v>1</v>
      </c>
      <c r="K1160" t="s">
        <v>1581</v>
      </c>
      <c r="L1160" t="str">
        <f>VLOOKUP(B1160, Course!$A$1:$O$133, 14, FALSE)</f>
        <v>AH</v>
      </c>
      <c r="M1160">
        <v>1</v>
      </c>
    </row>
    <row r="1161" spans="1:13" x14ac:dyDescent="0.2">
      <c r="A1161">
        <v>1164</v>
      </c>
      <c r="B1161">
        <v>118</v>
      </c>
      <c r="C1161">
        <v>92</v>
      </c>
      <c r="D1161" t="s">
        <v>393</v>
      </c>
      <c r="E1161" t="str">
        <f t="shared" si="19"/>
        <v>1292AH03PT</v>
      </c>
      <c r="F1161">
        <f>VLOOKUP(B1161,Course!$A$2:$R$329,2,FALSE)</f>
        <v>0</v>
      </c>
      <c r="G1161">
        <f>VLOOKUP(B1161, Course!$A$2:$L$150, 8, FALSE)</f>
        <v>12</v>
      </c>
      <c r="H1161">
        <v>3</v>
      </c>
      <c r="I1161">
        <v>1</v>
      </c>
      <c r="K1161" t="s">
        <v>1581</v>
      </c>
      <c r="L1161" t="str">
        <f>VLOOKUP(B1161, Course!$A$1:$O$133, 14, FALSE)</f>
        <v>AH</v>
      </c>
      <c r="M1161">
        <v>1</v>
      </c>
    </row>
    <row r="1162" spans="1:13" x14ac:dyDescent="0.2">
      <c r="A1162">
        <v>1165</v>
      </c>
      <c r="B1162">
        <v>118</v>
      </c>
      <c r="C1162">
        <v>93</v>
      </c>
      <c r="D1162" t="s">
        <v>393</v>
      </c>
      <c r="E1162" t="str">
        <f t="shared" si="19"/>
        <v>1293AH03PT</v>
      </c>
      <c r="F1162">
        <f>VLOOKUP(B1162,Course!$A$2:$R$329,2,FALSE)</f>
        <v>0</v>
      </c>
      <c r="G1162">
        <f>VLOOKUP(B1162, Course!$A$2:$L$150, 8, FALSE)</f>
        <v>12</v>
      </c>
      <c r="H1162">
        <v>3</v>
      </c>
      <c r="I1162">
        <v>1</v>
      </c>
      <c r="K1162" t="s">
        <v>1581</v>
      </c>
      <c r="L1162" t="str">
        <f>VLOOKUP(B1162, Course!$A$1:$O$133, 14, FALSE)</f>
        <v>AH</v>
      </c>
      <c r="M1162">
        <v>1</v>
      </c>
    </row>
    <row r="1163" spans="1:13" x14ac:dyDescent="0.2">
      <c r="A1163">
        <v>1166</v>
      </c>
      <c r="B1163">
        <v>118</v>
      </c>
      <c r="C1163">
        <v>94</v>
      </c>
      <c r="D1163" t="s">
        <v>393</v>
      </c>
      <c r="E1163" t="str">
        <f t="shared" si="19"/>
        <v>1294AH03PT</v>
      </c>
      <c r="F1163">
        <f>VLOOKUP(B1163,Course!$A$2:$R$329,2,FALSE)</f>
        <v>0</v>
      </c>
      <c r="G1163">
        <f>VLOOKUP(B1163, Course!$A$2:$L$150, 8, FALSE)</f>
        <v>12</v>
      </c>
      <c r="H1163">
        <v>3</v>
      </c>
      <c r="I1163">
        <v>1</v>
      </c>
      <c r="K1163" t="s">
        <v>1581</v>
      </c>
      <c r="L1163" t="str">
        <f>VLOOKUP(B1163, Course!$A$1:$O$133, 14, FALSE)</f>
        <v>AH</v>
      </c>
      <c r="M1163">
        <v>1</v>
      </c>
    </row>
    <row r="1164" spans="1:13" x14ac:dyDescent="0.2">
      <c r="A1164">
        <v>1167</v>
      </c>
      <c r="B1164">
        <v>118</v>
      </c>
      <c r="C1164">
        <v>95</v>
      </c>
      <c r="D1164" t="s">
        <v>393</v>
      </c>
      <c r="E1164" t="str">
        <f t="shared" si="19"/>
        <v>1295AH03PT</v>
      </c>
      <c r="F1164">
        <f>VLOOKUP(B1164,Course!$A$2:$R$329,2,FALSE)</f>
        <v>0</v>
      </c>
      <c r="G1164">
        <f>VLOOKUP(B1164, Course!$A$2:$L$150, 8, FALSE)</f>
        <v>12</v>
      </c>
      <c r="H1164">
        <v>3</v>
      </c>
      <c r="I1164">
        <v>1</v>
      </c>
      <c r="K1164" t="s">
        <v>1581</v>
      </c>
      <c r="L1164" t="str">
        <f>VLOOKUP(B1164, Course!$A$1:$O$133, 14, FALSE)</f>
        <v>AH</v>
      </c>
      <c r="M1164">
        <v>1</v>
      </c>
    </row>
    <row r="1165" spans="1:13" x14ac:dyDescent="0.2">
      <c r="A1165">
        <v>1168</v>
      </c>
      <c r="B1165">
        <v>118</v>
      </c>
      <c r="C1165">
        <v>96</v>
      </c>
      <c r="D1165" t="s">
        <v>393</v>
      </c>
      <c r="E1165" t="str">
        <f t="shared" si="19"/>
        <v>1296AH03PT</v>
      </c>
      <c r="F1165">
        <f>VLOOKUP(B1165,Course!$A$2:$R$329,2,FALSE)</f>
        <v>0</v>
      </c>
      <c r="G1165">
        <f>VLOOKUP(B1165, Course!$A$2:$L$150, 8, FALSE)</f>
        <v>12</v>
      </c>
      <c r="H1165">
        <v>3</v>
      </c>
      <c r="I1165">
        <v>1</v>
      </c>
      <c r="K1165" t="s">
        <v>1581</v>
      </c>
      <c r="L1165" t="str">
        <f>VLOOKUP(B1165, Course!$A$1:$O$133, 14, FALSE)</f>
        <v>AH</v>
      </c>
      <c r="M1165">
        <v>1</v>
      </c>
    </row>
    <row r="1166" spans="1:13" x14ac:dyDescent="0.2">
      <c r="A1166">
        <v>1169</v>
      </c>
      <c r="B1166">
        <v>119</v>
      </c>
      <c r="C1166">
        <v>133</v>
      </c>
      <c r="D1166" t="s">
        <v>395</v>
      </c>
      <c r="E1166" t="str">
        <f t="shared" si="19"/>
        <v>1233CE03PT</v>
      </c>
      <c r="F1166">
        <f>VLOOKUP(B1166,Course!$A$2:$R$329,2,FALSE)</f>
        <v>0</v>
      </c>
      <c r="G1166">
        <f>VLOOKUP(B1166, Course!$A$2:$L$150, 8, FALSE)</f>
        <v>12</v>
      </c>
      <c r="H1166">
        <v>3</v>
      </c>
      <c r="I1166">
        <v>1</v>
      </c>
      <c r="K1166" t="s">
        <v>1581</v>
      </c>
      <c r="L1166" t="str">
        <f>VLOOKUP(B1166, Course!$A$1:$O$133, 14, FALSE)</f>
        <v>CE</v>
      </c>
      <c r="M1166">
        <v>1</v>
      </c>
    </row>
    <row r="1167" spans="1:13" x14ac:dyDescent="0.2">
      <c r="A1167">
        <v>1170</v>
      </c>
      <c r="B1167">
        <v>119</v>
      </c>
      <c r="C1167">
        <v>134</v>
      </c>
      <c r="D1167" t="s">
        <v>395</v>
      </c>
      <c r="E1167" t="str">
        <f t="shared" si="19"/>
        <v>1234CE03PT</v>
      </c>
      <c r="F1167">
        <f>VLOOKUP(B1167,Course!$A$2:$R$329,2,FALSE)</f>
        <v>0</v>
      </c>
      <c r="G1167">
        <f>VLOOKUP(B1167, Course!$A$2:$L$150, 8, FALSE)</f>
        <v>12</v>
      </c>
      <c r="H1167">
        <v>3</v>
      </c>
      <c r="I1167">
        <v>1</v>
      </c>
      <c r="K1167" t="s">
        <v>1581</v>
      </c>
      <c r="L1167" t="str">
        <f>VLOOKUP(B1167, Course!$A$1:$O$133, 14, FALSE)</f>
        <v>CE</v>
      </c>
      <c r="M1167">
        <v>1</v>
      </c>
    </row>
    <row r="1168" spans="1:13" x14ac:dyDescent="0.2">
      <c r="A1168">
        <v>1171</v>
      </c>
      <c r="B1168">
        <v>119</v>
      </c>
      <c r="C1168">
        <v>135</v>
      </c>
      <c r="D1168" t="s">
        <v>395</v>
      </c>
      <c r="E1168" t="str">
        <f t="shared" si="19"/>
        <v>1235CE03PT</v>
      </c>
      <c r="F1168">
        <f>VLOOKUP(B1168,Course!$A$2:$R$329,2,FALSE)</f>
        <v>0</v>
      </c>
      <c r="G1168">
        <f>VLOOKUP(B1168, Course!$A$2:$L$150, 8, FALSE)</f>
        <v>12</v>
      </c>
      <c r="H1168">
        <v>3</v>
      </c>
      <c r="I1168">
        <v>1</v>
      </c>
      <c r="K1168" t="s">
        <v>1581</v>
      </c>
      <c r="L1168" t="str">
        <f>VLOOKUP(B1168, Course!$A$1:$O$133, 14, FALSE)</f>
        <v>CE</v>
      </c>
      <c r="M1168">
        <v>1</v>
      </c>
    </row>
    <row r="1169" spans="1:13" x14ac:dyDescent="0.2">
      <c r="A1169">
        <v>1172</v>
      </c>
      <c r="B1169">
        <v>119</v>
      </c>
      <c r="C1169">
        <v>136</v>
      </c>
      <c r="D1169" t="s">
        <v>395</v>
      </c>
      <c r="E1169" t="str">
        <f t="shared" si="19"/>
        <v>1236CE03PT</v>
      </c>
      <c r="F1169">
        <f>VLOOKUP(B1169,Course!$A$2:$R$329,2,FALSE)</f>
        <v>0</v>
      </c>
      <c r="G1169">
        <f>VLOOKUP(B1169, Course!$A$2:$L$150, 8, FALSE)</f>
        <v>12</v>
      </c>
      <c r="H1169">
        <v>3</v>
      </c>
      <c r="I1169">
        <v>1</v>
      </c>
      <c r="K1169" t="s">
        <v>1581</v>
      </c>
      <c r="L1169" t="str">
        <f>VLOOKUP(B1169, Course!$A$1:$O$133, 14, FALSE)</f>
        <v>CE</v>
      </c>
      <c r="M1169">
        <v>1</v>
      </c>
    </row>
    <row r="1170" spans="1:13" x14ac:dyDescent="0.2">
      <c r="A1170">
        <v>1173</v>
      </c>
      <c r="B1170">
        <v>119</v>
      </c>
      <c r="C1170">
        <v>137</v>
      </c>
      <c r="D1170" t="s">
        <v>395</v>
      </c>
      <c r="E1170" t="str">
        <f t="shared" si="19"/>
        <v>1237CE03PT</v>
      </c>
      <c r="F1170">
        <f>VLOOKUP(B1170,Course!$A$2:$R$329,2,FALSE)</f>
        <v>0</v>
      </c>
      <c r="G1170">
        <f>VLOOKUP(B1170, Course!$A$2:$L$150, 8, FALSE)</f>
        <v>12</v>
      </c>
      <c r="H1170">
        <v>3</v>
      </c>
      <c r="I1170">
        <v>1</v>
      </c>
      <c r="K1170" t="s">
        <v>1581</v>
      </c>
      <c r="L1170" t="str">
        <f>VLOOKUP(B1170, Course!$A$1:$O$133, 14, FALSE)</f>
        <v>CE</v>
      </c>
      <c r="M1170">
        <v>1</v>
      </c>
    </row>
    <row r="1171" spans="1:13" x14ac:dyDescent="0.2">
      <c r="A1171">
        <v>1174</v>
      </c>
      <c r="B1171">
        <v>119</v>
      </c>
      <c r="C1171">
        <v>138</v>
      </c>
      <c r="D1171" t="s">
        <v>395</v>
      </c>
      <c r="E1171" t="str">
        <f t="shared" si="19"/>
        <v>1238CE03PT</v>
      </c>
      <c r="F1171">
        <f>VLOOKUP(B1171,Course!$A$2:$R$329,2,FALSE)</f>
        <v>0</v>
      </c>
      <c r="G1171">
        <f>VLOOKUP(B1171, Course!$A$2:$L$150, 8, FALSE)</f>
        <v>12</v>
      </c>
      <c r="H1171">
        <v>3</v>
      </c>
      <c r="I1171">
        <v>1</v>
      </c>
      <c r="K1171" t="s">
        <v>1581</v>
      </c>
      <c r="L1171" t="str">
        <f>VLOOKUP(B1171, Course!$A$1:$O$133, 14, FALSE)</f>
        <v>CE</v>
      </c>
      <c r="M1171">
        <v>1</v>
      </c>
    </row>
    <row r="1172" spans="1:13" x14ac:dyDescent="0.2">
      <c r="A1172">
        <v>1175</v>
      </c>
      <c r="B1172">
        <v>119</v>
      </c>
      <c r="C1172">
        <v>139</v>
      </c>
      <c r="D1172" t="s">
        <v>395</v>
      </c>
      <c r="E1172" t="str">
        <f t="shared" si="19"/>
        <v>1239CE03PT</v>
      </c>
      <c r="F1172">
        <f>VLOOKUP(B1172,Course!$A$2:$R$329,2,FALSE)</f>
        <v>0</v>
      </c>
      <c r="G1172">
        <f>VLOOKUP(B1172, Course!$A$2:$L$150, 8, FALSE)</f>
        <v>12</v>
      </c>
      <c r="H1172">
        <v>3</v>
      </c>
      <c r="I1172">
        <v>1</v>
      </c>
      <c r="K1172" t="s">
        <v>1581</v>
      </c>
      <c r="L1172" t="str">
        <f>VLOOKUP(B1172, Course!$A$1:$O$133, 14, FALSE)</f>
        <v>CE</v>
      </c>
      <c r="M1172">
        <v>1</v>
      </c>
    </row>
    <row r="1173" spans="1:13" x14ac:dyDescent="0.2">
      <c r="A1173">
        <v>1176</v>
      </c>
      <c r="B1173">
        <v>119</v>
      </c>
      <c r="C1173">
        <v>140</v>
      </c>
      <c r="D1173" t="s">
        <v>395</v>
      </c>
      <c r="E1173" t="str">
        <f t="shared" si="19"/>
        <v>1240CE03PT</v>
      </c>
      <c r="F1173">
        <f>VLOOKUP(B1173,Course!$A$2:$R$329,2,FALSE)</f>
        <v>0</v>
      </c>
      <c r="G1173">
        <f>VLOOKUP(B1173, Course!$A$2:$L$150, 8, FALSE)</f>
        <v>12</v>
      </c>
      <c r="H1173">
        <v>3</v>
      </c>
      <c r="I1173">
        <v>1</v>
      </c>
      <c r="K1173" t="s">
        <v>1581</v>
      </c>
      <c r="L1173" t="str">
        <f>VLOOKUP(B1173, Course!$A$1:$O$133, 14, FALSE)</f>
        <v>CE</v>
      </c>
      <c r="M1173">
        <v>1</v>
      </c>
    </row>
    <row r="1174" spans="1:13" x14ac:dyDescent="0.2">
      <c r="A1174">
        <v>1177</v>
      </c>
      <c r="B1174">
        <v>119</v>
      </c>
      <c r="C1174">
        <v>141</v>
      </c>
      <c r="D1174" t="s">
        <v>395</v>
      </c>
      <c r="E1174" t="str">
        <f t="shared" si="19"/>
        <v>1241CE03PT</v>
      </c>
      <c r="F1174">
        <f>VLOOKUP(B1174,Course!$A$2:$R$329,2,FALSE)</f>
        <v>0</v>
      </c>
      <c r="G1174">
        <f>VLOOKUP(B1174, Course!$A$2:$L$150, 8, FALSE)</f>
        <v>12</v>
      </c>
      <c r="H1174">
        <v>3</v>
      </c>
      <c r="I1174">
        <v>1</v>
      </c>
      <c r="K1174" t="s">
        <v>1581</v>
      </c>
      <c r="L1174" t="str">
        <f>VLOOKUP(B1174, Course!$A$1:$O$133, 14, FALSE)</f>
        <v>CE</v>
      </c>
      <c r="M1174">
        <v>1</v>
      </c>
    </row>
    <row r="1175" spans="1:13" x14ac:dyDescent="0.2">
      <c r="A1175">
        <v>1178</v>
      </c>
      <c r="B1175">
        <v>119</v>
      </c>
      <c r="C1175">
        <v>142</v>
      </c>
      <c r="D1175" t="s">
        <v>395</v>
      </c>
      <c r="E1175" t="str">
        <f t="shared" si="19"/>
        <v>1242CE03PT</v>
      </c>
      <c r="F1175">
        <f>VLOOKUP(B1175,Course!$A$2:$R$329,2,FALSE)</f>
        <v>0</v>
      </c>
      <c r="G1175">
        <f>VLOOKUP(B1175, Course!$A$2:$L$150, 8, FALSE)</f>
        <v>12</v>
      </c>
      <c r="H1175">
        <v>3</v>
      </c>
      <c r="I1175">
        <v>1</v>
      </c>
      <c r="K1175" t="s">
        <v>1581</v>
      </c>
      <c r="L1175" t="str">
        <f>VLOOKUP(B1175, Course!$A$1:$O$133, 14, FALSE)</f>
        <v>CE</v>
      </c>
      <c r="M1175">
        <v>1</v>
      </c>
    </row>
    <row r="1176" spans="1:13" x14ac:dyDescent="0.2">
      <c r="A1176">
        <v>1179</v>
      </c>
      <c r="B1176">
        <v>119</v>
      </c>
      <c r="C1176">
        <v>143</v>
      </c>
      <c r="D1176" t="s">
        <v>395</v>
      </c>
      <c r="E1176" t="str">
        <f t="shared" si="19"/>
        <v>1243CE03PT</v>
      </c>
      <c r="F1176">
        <f>VLOOKUP(B1176,Course!$A$2:$R$329,2,FALSE)</f>
        <v>0</v>
      </c>
      <c r="G1176">
        <f>VLOOKUP(B1176, Course!$A$2:$L$150, 8, FALSE)</f>
        <v>12</v>
      </c>
      <c r="H1176">
        <v>3</v>
      </c>
      <c r="I1176">
        <v>1</v>
      </c>
      <c r="K1176" t="s">
        <v>1581</v>
      </c>
      <c r="L1176" t="str">
        <f>VLOOKUP(B1176, Course!$A$1:$O$133, 14, FALSE)</f>
        <v>CE</v>
      </c>
      <c r="M1176">
        <v>1</v>
      </c>
    </row>
    <row r="1177" spans="1:13" x14ac:dyDescent="0.2">
      <c r="A1177">
        <v>1180</v>
      </c>
      <c r="B1177">
        <v>119</v>
      </c>
      <c r="C1177">
        <v>144</v>
      </c>
      <c r="D1177" t="s">
        <v>395</v>
      </c>
      <c r="E1177" t="str">
        <f t="shared" si="19"/>
        <v>1244CE03PT</v>
      </c>
      <c r="F1177">
        <f>VLOOKUP(B1177,Course!$A$2:$R$329,2,FALSE)</f>
        <v>0</v>
      </c>
      <c r="G1177">
        <f>VLOOKUP(B1177, Course!$A$2:$L$150, 8, FALSE)</f>
        <v>12</v>
      </c>
      <c r="H1177">
        <v>3</v>
      </c>
      <c r="I1177">
        <v>1</v>
      </c>
      <c r="K1177" t="s">
        <v>1581</v>
      </c>
      <c r="L1177" t="str">
        <f>VLOOKUP(B1177, Course!$A$1:$O$133, 14, FALSE)</f>
        <v>CE</v>
      </c>
      <c r="M1177">
        <v>1</v>
      </c>
    </row>
    <row r="1178" spans="1:13" x14ac:dyDescent="0.2">
      <c r="A1178">
        <v>1181</v>
      </c>
      <c r="B1178">
        <v>120</v>
      </c>
      <c r="C1178">
        <v>133</v>
      </c>
      <c r="D1178" t="s">
        <v>398</v>
      </c>
      <c r="E1178" t="str">
        <f t="shared" si="19"/>
        <v>633CO03PT</v>
      </c>
      <c r="F1178">
        <f>VLOOKUP(B1178,Course!$A$2:$R$329,2,FALSE)</f>
        <v>0</v>
      </c>
      <c r="G1178">
        <f>VLOOKUP(B1178, Course!$A$2:$L$150, 8, FALSE)</f>
        <v>6</v>
      </c>
      <c r="H1178">
        <v>3</v>
      </c>
      <c r="I1178">
        <v>1</v>
      </c>
      <c r="K1178" t="s">
        <v>1581</v>
      </c>
      <c r="L1178" t="str">
        <f>VLOOKUP(B1178, Course!$A$1:$O$133, 14, FALSE)</f>
        <v>CO</v>
      </c>
      <c r="M1178">
        <v>1</v>
      </c>
    </row>
    <row r="1179" spans="1:13" x14ac:dyDescent="0.2">
      <c r="A1179">
        <v>1182</v>
      </c>
      <c r="B1179">
        <v>120</v>
      </c>
      <c r="C1179">
        <v>134</v>
      </c>
      <c r="D1179" t="s">
        <v>398</v>
      </c>
      <c r="E1179" t="str">
        <f t="shared" si="19"/>
        <v>634CO03PT</v>
      </c>
      <c r="F1179">
        <f>VLOOKUP(B1179,Course!$A$2:$R$329,2,FALSE)</f>
        <v>0</v>
      </c>
      <c r="G1179">
        <f>VLOOKUP(B1179, Course!$A$2:$L$150, 8, FALSE)</f>
        <v>6</v>
      </c>
      <c r="H1179">
        <v>3</v>
      </c>
      <c r="I1179">
        <v>1</v>
      </c>
      <c r="K1179" t="s">
        <v>1581</v>
      </c>
      <c r="L1179" t="str">
        <f>VLOOKUP(B1179, Course!$A$1:$O$133, 14, FALSE)</f>
        <v>CO</v>
      </c>
      <c r="M1179">
        <v>1</v>
      </c>
    </row>
    <row r="1180" spans="1:13" x14ac:dyDescent="0.2">
      <c r="A1180">
        <v>1183</v>
      </c>
      <c r="B1180">
        <v>120</v>
      </c>
      <c r="C1180">
        <v>135</v>
      </c>
      <c r="D1180" t="s">
        <v>398</v>
      </c>
      <c r="E1180" t="str">
        <f t="shared" si="19"/>
        <v>635CO03PT</v>
      </c>
      <c r="F1180">
        <f>VLOOKUP(B1180,Course!$A$2:$R$329,2,FALSE)</f>
        <v>0</v>
      </c>
      <c r="G1180">
        <f>VLOOKUP(B1180, Course!$A$2:$L$150, 8, FALSE)</f>
        <v>6</v>
      </c>
      <c r="H1180">
        <v>3</v>
      </c>
      <c r="I1180">
        <v>1</v>
      </c>
      <c r="K1180" t="s">
        <v>1581</v>
      </c>
      <c r="L1180" t="str">
        <f>VLOOKUP(B1180, Course!$A$1:$O$133, 14, FALSE)</f>
        <v>CO</v>
      </c>
      <c r="M1180">
        <v>1</v>
      </c>
    </row>
    <row r="1181" spans="1:13" x14ac:dyDescent="0.2">
      <c r="A1181">
        <v>1184</v>
      </c>
      <c r="B1181">
        <v>120</v>
      </c>
      <c r="C1181">
        <v>136</v>
      </c>
      <c r="D1181" t="s">
        <v>398</v>
      </c>
      <c r="E1181" t="str">
        <f t="shared" si="19"/>
        <v>636CO03PT</v>
      </c>
      <c r="F1181">
        <f>VLOOKUP(B1181,Course!$A$2:$R$329,2,FALSE)</f>
        <v>0</v>
      </c>
      <c r="G1181">
        <f>VLOOKUP(B1181, Course!$A$2:$L$150, 8, FALSE)</f>
        <v>6</v>
      </c>
      <c r="H1181">
        <v>3</v>
      </c>
      <c r="I1181">
        <v>1</v>
      </c>
      <c r="K1181" t="s">
        <v>1581</v>
      </c>
      <c r="L1181" t="str">
        <f>VLOOKUP(B1181, Course!$A$1:$O$133, 14, FALSE)</f>
        <v>CO</v>
      </c>
      <c r="M1181">
        <v>1</v>
      </c>
    </row>
    <row r="1182" spans="1:13" x14ac:dyDescent="0.2">
      <c r="A1182">
        <v>1185</v>
      </c>
      <c r="B1182">
        <v>120</v>
      </c>
      <c r="C1182">
        <v>137</v>
      </c>
      <c r="D1182" t="s">
        <v>398</v>
      </c>
      <c r="E1182" t="str">
        <f t="shared" si="19"/>
        <v>637CO03PT</v>
      </c>
      <c r="F1182">
        <f>VLOOKUP(B1182,Course!$A$2:$R$329,2,FALSE)</f>
        <v>0</v>
      </c>
      <c r="G1182">
        <f>VLOOKUP(B1182, Course!$A$2:$L$150, 8, FALSE)</f>
        <v>6</v>
      </c>
      <c r="H1182">
        <v>3</v>
      </c>
      <c r="I1182">
        <v>1</v>
      </c>
      <c r="K1182" t="s">
        <v>1581</v>
      </c>
      <c r="L1182" t="str">
        <f>VLOOKUP(B1182, Course!$A$1:$O$133, 14, FALSE)</f>
        <v>CO</v>
      </c>
      <c r="M1182">
        <v>1</v>
      </c>
    </row>
    <row r="1183" spans="1:13" x14ac:dyDescent="0.2">
      <c r="A1183">
        <v>1186</v>
      </c>
      <c r="B1183">
        <v>120</v>
      </c>
      <c r="C1183">
        <v>138</v>
      </c>
      <c r="D1183" t="s">
        <v>398</v>
      </c>
      <c r="E1183" t="str">
        <f t="shared" si="19"/>
        <v>638CO03PT</v>
      </c>
      <c r="F1183">
        <f>VLOOKUP(B1183,Course!$A$2:$R$329,2,FALSE)</f>
        <v>0</v>
      </c>
      <c r="G1183">
        <f>VLOOKUP(B1183, Course!$A$2:$L$150, 8, FALSE)</f>
        <v>6</v>
      </c>
      <c r="H1183">
        <v>3</v>
      </c>
      <c r="I1183">
        <v>1</v>
      </c>
      <c r="K1183" t="s">
        <v>1581</v>
      </c>
      <c r="L1183" t="str">
        <f>VLOOKUP(B1183, Course!$A$1:$O$133, 14, FALSE)</f>
        <v>CO</v>
      </c>
      <c r="M1183">
        <v>1</v>
      </c>
    </row>
    <row r="1184" spans="1:13" x14ac:dyDescent="0.2">
      <c r="A1184">
        <v>1187</v>
      </c>
      <c r="B1184">
        <v>121</v>
      </c>
      <c r="C1184">
        <v>11</v>
      </c>
      <c r="D1184" t="s">
        <v>350</v>
      </c>
      <c r="E1184" t="str">
        <f t="shared" si="19"/>
        <v>1011HC03PT</v>
      </c>
      <c r="F1184">
        <f>VLOOKUP(B1184,Course!$A$2:$R$329,2,FALSE)</f>
        <v>0</v>
      </c>
      <c r="G1184">
        <f>VLOOKUP(B1184, Course!$A$2:$L$150, 8, FALSE)</f>
        <v>10</v>
      </c>
      <c r="H1184">
        <v>3</v>
      </c>
      <c r="I1184">
        <v>1</v>
      </c>
      <c r="K1184" t="s">
        <v>1581</v>
      </c>
      <c r="L1184" t="str">
        <f>VLOOKUP(B1184, Course!$A$1:$O$133, 14, FALSE)</f>
        <v>HC</v>
      </c>
      <c r="M1184">
        <v>1</v>
      </c>
    </row>
    <row r="1185" spans="1:13" x14ac:dyDescent="0.2">
      <c r="A1185">
        <v>1188</v>
      </c>
      <c r="B1185">
        <v>121</v>
      </c>
      <c r="C1185">
        <v>12</v>
      </c>
      <c r="D1185" t="s">
        <v>350</v>
      </c>
      <c r="E1185" t="str">
        <f t="shared" si="19"/>
        <v>1012HC03PT</v>
      </c>
      <c r="F1185">
        <f>VLOOKUP(B1185,Course!$A$2:$R$329,2,FALSE)</f>
        <v>0</v>
      </c>
      <c r="G1185">
        <f>VLOOKUP(B1185, Course!$A$2:$L$150, 8, FALSE)</f>
        <v>10</v>
      </c>
      <c r="H1185">
        <v>3</v>
      </c>
      <c r="I1185">
        <v>1</v>
      </c>
      <c r="K1185" t="s">
        <v>1581</v>
      </c>
      <c r="L1185" t="str">
        <f>VLOOKUP(B1185, Course!$A$1:$O$133, 14, FALSE)</f>
        <v>HC</v>
      </c>
      <c r="M1185">
        <v>1</v>
      </c>
    </row>
    <row r="1186" spans="1:13" x14ac:dyDescent="0.2">
      <c r="A1186">
        <v>1189</v>
      </c>
      <c r="B1186">
        <v>121</v>
      </c>
      <c r="C1186">
        <v>13</v>
      </c>
      <c r="D1186" t="s">
        <v>350</v>
      </c>
      <c r="E1186" t="str">
        <f t="shared" si="19"/>
        <v>1013HC03PT</v>
      </c>
      <c r="F1186">
        <f>VLOOKUP(B1186,Course!$A$2:$R$329,2,FALSE)</f>
        <v>0</v>
      </c>
      <c r="G1186">
        <f>VLOOKUP(B1186, Course!$A$2:$L$150, 8, FALSE)</f>
        <v>10</v>
      </c>
      <c r="H1186">
        <v>3</v>
      </c>
      <c r="I1186">
        <v>1</v>
      </c>
      <c r="K1186" t="s">
        <v>1581</v>
      </c>
      <c r="L1186" t="str">
        <f>VLOOKUP(B1186, Course!$A$1:$O$133, 14, FALSE)</f>
        <v>HC</v>
      </c>
      <c r="M1186">
        <v>1</v>
      </c>
    </row>
    <row r="1187" spans="1:13" x14ac:dyDescent="0.2">
      <c r="A1187">
        <v>1190</v>
      </c>
      <c r="B1187">
        <v>121</v>
      </c>
      <c r="C1187">
        <v>14</v>
      </c>
      <c r="D1187" t="s">
        <v>350</v>
      </c>
      <c r="E1187" t="str">
        <f t="shared" si="19"/>
        <v>1014HC03PT</v>
      </c>
      <c r="F1187">
        <f>VLOOKUP(B1187,Course!$A$2:$R$329,2,FALSE)</f>
        <v>0</v>
      </c>
      <c r="G1187">
        <f>VLOOKUP(B1187, Course!$A$2:$L$150, 8, FALSE)</f>
        <v>10</v>
      </c>
      <c r="H1187">
        <v>3</v>
      </c>
      <c r="I1187">
        <v>1</v>
      </c>
      <c r="K1187" t="s">
        <v>1581</v>
      </c>
      <c r="L1187" t="str">
        <f>VLOOKUP(B1187, Course!$A$1:$O$133, 14, FALSE)</f>
        <v>HC</v>
      </c>
      <c r="M1187">
        <v>1</v>
      </c>
    </row>
    <row r="1188" spans="1:13" x14ac:dyDescent="0.2">
      <c r="A1188">
        <v>1191</v>
      </c>
      <c r="B1188">
        <v>121</v>
      </c>
      <c r="C1188">
        <v>15</v>
      </c>
      <c r="D1188" t="s">
        <v>350</v>
      </c>
      <c r="E1188" t="str">
        <f t="shared" si="19"/>
        <v>1015HC03PT</v>
      </c>
      <c r="F1188">
        <f>VLOOKUP(B1188,Course!$A$2:$R$329,2,FALSE)</f>
        <v>0</v>
      </c>
      <c r="G1188">
        <f>VLOOKUP(B1188, Course!$A$2:$L$150, 8, FALSE)</f>
        <v>10</v>
      </c>
      <c r="H1188">
        <v>3</v>
      </c>
      <c r="I1188">
        <v>1</v>
      </c>
      <c r="K1188" t="s">
        <v>1581</v>
      </c>
      <c r="L1188" t="str">
        <f>VLOOKUP(B1188, Course!$A$1:$O$133, 14, FALSE)</f>
        <v>HC</v>
      </c>
      <c r="M1188">
        <v>1</v>
      </c>
    </row>
    <row r="1189" spans="1:13" x14ac:dyDescent="0.2">
      <c r="A1189">
        <v>1192</v>
      </c>
      <c r="B1189">
        <v>121</v>
      </c>
      <c r="C1189">
        <v>16</v>
      </c>
      <c r="D1189" t="s">
        <v>350</v>
      </c>
      <c r="E1189" t="str">
        <f t="shared" si="19"/>
        <v>1016HC03PT</v>
      </c>
      <c r="F1189">
        <f>VLOOKUP(B1189,Course!$A$2:$R$329,2,FALSE)</f>
        <v>0</v>
      </c>
      <c r="G1189">
        <f>VLOOKUP(B1189, Course!$A$2:$L$150, 8, FALSE)</f>
        <v>10</v>
      </c>
      <c r="H1189">
        <v>3</v>
      </c>
      <c r="I1189">
        <v>1</v>
      </c>
      <c r="K1189" t="s">
        <v>1581</v>
      </c>
      <c r="L1189" t="str">
        <f>VLOOKUP(B1189, Course!$A$1:$O$133, 14, FALSE)</f>
        <v>HC</v>
      </c>
      <c r="M1189">
        <v>1</v>
      </c>
    </row>
    <row r="1190" spans="1:13" x14ac:dyDescent="0.2">
      <c r="A1190">
        <v>1193</v>
      </c>
      <c r="B1190">
        <v>121</v>
      </c>
      <c r="C1190">
        <v>17</v>
      </c>
      <c r="D1190" t="s">
        <v>350</v>
      </c>
      <c r="E1190" t="str">
        <f t="shared" si="19"/>
        <v>1017HC03PT</v>
      </c>
      <c r="F1190">
        <f>VLOOKUP(B1190,Course!$A$2:$R$329,2,FALSE)</f>
        <v>0</v>
      </c>
      <c r="G1190">
        <f>VLOOKUP(B1190, Course!$A$2:$L$150, 8, FALSE)</f>
        <v>10</v>
      </c>
      <c r="H1190">
        <v>3</v>
      </c>
      <c r="I1190">
        <v>1</v>
      </c>
      <c r="K1190" t="s">
        <v>1581</v>
      </c>
      <c r="L1190" t="str">
        <f>VLOOKUP(B1190, Course!$A$1:$O$133, 14, FALSE)</f>
        <v>HC</v>
      </c>
      <c r="M1190">
        <v>1</v>
      </c>
    </row>
    <row r="1191" spans="1:13" x14ac:dyDescent="0.2">
      <c r="A1191">
        <v>1194</v>
      </c>
      <c r="B1191">
        <v>121</v>
      </c>
      <c r="C1191">
        <v>18</v>
      </c>
      <c r="D1191" t="s">
        <v>350</v>
      </c>
      <c r="E1191" t="str">
        <f t="shared" si="19"/>
        <v>1018HC03PT</v>
      </c>
      <c r="F1191">
        <f>VLOOKUP(B1191,Course!$A$2:$R$329,2,FALSE)</f>
        <v>0</v>
      </c>
      <c r="G1191">
        <f>VLOOKUP(B1191, Course!$A$2:$L$150, 8, FALSE)</f>
        <v>10</v>
      </c>
      <c r="H1191">
        <v>3</v>
      </c>
      <c r="I1191">
        <v>1</v>
      </c>
      <c r="K1191" t="s">
        <v>1581</v>
      </c>
      <c r="L1191" t="str">
        <f>VLOOKUP(B1191, Course!$A$1:$O$133, 14, FALSE)</f>
        <v>HC</v>
      </c>
      <c r="M1191">
        <v>1</v>
      </c>
    </row>
    <row r="1192" spans="1:13" x14ac:dyDescent="0.2">
      <c r="A1192">
        <v>1195</v>
      </c>
      <c r="B1192">
        <v>121</v>
      </c>
      <c r="C1192">
        <v>19</v>
      </c>
      <c r="D1192" t="s">
        <v>350</v>
      </c>
      <c r="E1192" t="str">
        <f t="shared" si="19"/>
        <v>1019HC03PT</v>
      </c>
      <c r="F1192">
        <f>VLOOKUP(B1192,Course!$A$2:$R$329,2,FALSE)</f>
        <v>0</v>
      </c>
      <c r="G1192">
        <f>VLOOKUP(B1192, Course!$A$2:$L$150, 8, FALSE)</f>
        <v>10</v>
      </c>
      <c r="H1192">
        <v>3</v>
      </c>
      <c r="I1192">
        <v>1</v>
      </c>
      <c r="K1192" t="s">
        <v>1581</v>
      </c>
      <c r="L1192" t="str">
        <f>VLOOKUP(B1192, Course!$A$1:$O$133, 14, FALSE)</f>
        <v>HC</v>
      </c>
      <c r="M1192">
        <v>1</v>
      </c>
    </row>
    <row r="1193" spans="1:13" x14ac:dyDescent="0.2">
      <c r="A1193">
        <v>1196</v>
      </c>
      <c r="B1193">
        <v>121</v>
      </c>
      <c r="C1193">
        <v>20</v>
      </c>
      <c r="D1193" t="s">
        <v>350</v>
      </c>
      <c r="E1193" t="str">
        <f t="shared" si="19"/>
        <v>1020HC03PT</v>
      </c>
      <c r="F1193">
        <f>VLOOKUP(B1193,Course!$A$2:$R$329,2,FALSE)</f>
        <v>0</v>
      </c>
      <c r="G1193">
        <f>VLOOKUP(B1193, Course!$A$2:$L$150, 8, FALSE)</f>
        <v>10</v>
      </c>
      <c r="H1193">
        <v>3</v>
      </c>
      <c r="I1193">
        <v>1</v>
      </c>
      <c r="K1193" t="s">
        <v>1581</v>
      </c>
      <c r="L1193" t="str">
        <f>VLOOKUP(B1193, Course!$A$1:$O$133, 14, FALSE)</f>
        <v>HC</v>
      </c>
      <c r="M1193">
        <v>1</v>
      </c>
    </row>
    <row r="1194" spans="1:13" x14ac:dyDescent="0.2">
      <c r="A1194">
        <v>1197</v>
      </c>
      <c r="B1194">
        <v>122</v>
      </c>
      <c r="C1194">
        <v>133</v>
      </c>
      <c r="D1194" t="s">
        <v>401</v>
      </c>
      <c r="E1194" t="str">
        <f t="shared" ref="E1194:E1220" si="20">UPPER(LEFT(G1194,2)) &amp; RIGHT("0" &amp; C1194, 2) &amp; D1194 &amp; RIGHT("0" &amp; H1194, 2) &amp; K1194</f>
        <v>433UC03PT</v>
      </c>
      <c r="F1194">
        <f>VLOOKUP(B1194,Course!$A$2:$R$329,2,FALSE)</f>
        <v>0</v>
      </c>
      <c r="G1194">
        <f>VLOOKUP(B1194, Course!$A$2:$L$150, 8, FALSE)</f>
        <v>4</v>
      </c>
      <c r="H1194">
        <v>3</v>
      </c>
      <c r="I1194">
        <v>1</v>
      </c>
      <c r="K1194" t="s">
        <v>1581</v>
      </c>
      <c r="L1194" t="str">
        <f>VLOOKUP(B1194, Course!$A$1:$O$133, 14, FALSE)</f>
        <v>UC</v>
      </c>
      <c r="M1194">
        <v>1</v>
      </c>
    </row>
    <row r="1195" spans="1:13" x14ac:dyDescent="0.2">
      <c r="A1195">
        <v>1198</v>
      </c>
      <c r="B1195">
        <v>122</v>
      </c>
      <c r="C1195">
        <v>134</v>
      </c>
      <c r="D1195" t="s">
        <v>401</v>
      </c>
      <c r="E1195" t="str">
        <f t="shared" si="20"/>
        <v>434UC03PT</v>
      </c>
      <c r="F1195">
        <f>VLOOKUP(B1195,Course!$A$2:$R$329,2,FALSE)</f>
        <v>0</v>
      </c>
      <c r="G1195">
        <f>VLOOKUP(B1195, Course!$A$2:$L$150, 8, FALSE)</f>
        <v>4</v>
      </c>
      <c r="H1195">
        <v>3</v>
      </c>
      <c r="I1195">
        <v>1</v>
      </c>
      <c r="K1195" t="s">
        <v>1581</v>
      </c>
      <c r="L1195" t="str">
        <f>VLOOKUP(B1195, Course!$A$1:$O$133, 14, FALSE)</f>
        <v>UC</v>
      </c>
      <c r="M1195">
        <v>1</v>
      </c>
    </row>
    <row r="1196" spans="1:13" x14ac:dyDescent="0.2">
      <c r="A1196">
        <v>1199</v>
      </c>
      <c r="B1196">
        <v>122</v>
      </c>
      <c r="C1196">
        <v>135</v>
      </c>
      <c r="D1196" t="s">
        <v>401</v>
      </c>
      <c r="E1196" t="str">
        <f t="shared" si="20"/>
        <v>435UC03PT</v>
      </c>
      <c r="F1196">
        <f>VLOOKUP(B1196,Course!$A$2:$R$329,2,FALSE)</f>
        <v>0</v>
      </c>
      <c r="G1196">
        <f>VLOOKUP(B1196, Course!$A$2:$L$150, 8, FALSE)</f>
        <v>4</v>
      </c>
      <c r="H1196">
        <v>3</v>
      </c>
      <c r="I1196">
        <v>1</v>
      </c>
      <c r="K1196" t="s">
        <v>1581</v>
      </c>
      <c r="L1196" t="str">
        <f>VLOOKUP(B1196, Course!$A$1:$O$133, 14, FALSE)</f>
        <v>UC</v>
      </c>
      <c r="M1196">
        <v>1</v>
      </c>
    </row>
    <row r="1197" spans="1:13" x14ac:dyDescent="0.2">
      <c r="A1197">
        <v>1200</v>
      </c>
      <c r="B1197">
        <v>122</v>
      </c>
      <c r="C1197">
        <v>136</v>
      </c>
      <c r="D1197" t="s">
        <v>401</v>
      </c>
      <c r="E1197" t="str">
        <f t="shared" si="20"/>
        <v>436UC03PT</v>
      </c>
      <c r="F1197">
        <f>VLOOKUP(B1197,Course!$A$2:$R$329,2,FALSE)</f>
        <v>0</v>
      </c>
      <c r="G1197">
        <f>VLOOKUP(B1197, Course!$A$2:$L$150, 8, FALSE)</f>
        <v>4</v>
      </c>
      <c r="H1197">
        <v>3</v>
      </c>
      <c r="I1197">
        <v>1</v>
      </c>
      <c r="K1197" t="s">
        <v>1581</v>
      </c>
      <c r="L1197" t="str">
        <f>VLOOKUP(B1197, Course!$A$1:$O$133, 14, FALSE)</f>
        <v>UC</v>
      </c>
      <c r="M1197">
        <v>1</v>
      </c>
    </row>
    <row r="1198" spans="1:13" x14ac:dyDescent="0.2">
      <c r="A1198">
        <v>1201</v>
      </c>
      <c r="B1198">
        <v>123</v>
      </c>
      <c r="C1198">
        <v>6</v>
      </c>
      <c r="D1198" t="s">
        <v>354</v>
      </c>
      <c r="E1198" t="str">
        <f t="shared" si="20"/>
        <v>506CC03PT</v>
      </c>
      <c r="F1198">
        <f>VLOOKUP(B1198,Course!$A$2:$R$329,2,FALSE)</f>
        <v>0</v>
      </c>
      <c r="G1198">
        <f>VLOOKUP(B1198, Course!$A$2:$L$150, 8, FALSE)</f>
        <v>5</v>
      </c>
      <c r="H1198">
        <v>3</v>
      </c>
      <c r="I1198">
        <v>1</v>
      </c>
      <c r="K1198" t="s">
        <v>1581</v>
      </c>
      <c r="L1198" t="str">
        <f>VLOOKUP(B1198, Course!$A$1:$O$133, 14, FALSE)</f>
        <v>CC</v>
      </c>
      <c r="M1198">
        <v>1</v>
      </c>
    </row>
    <row r="1199" spans="1:13" x14ac:dyDescent="0.2">
      <c r="A1199">
        <v>1202</v>
      </c>
      <c r="B1199">
        <v>123</v>
      </c>
      <c r="C1199">
        <v>7</v>
      </c>
      <c r="D1199" t="s">
        <v>354</v>
      </c>
      <c r="E1199" t="str">
        <f t="shared" si="20"/>
        <v>507CC03PT</v>
      </c>
      <c r="F1199">
        <f>VLOOKUP(B1199,Course!$A$2:$R$329,2,FALSE)</f>
        <v>0</v>
      </c>
      <c r="G1199">
        <f>VLOOKUP(B1199, Course!$A$2:$L$150, 8, FALSE)</f>
        <v>5</v>
      </c>
      <c r="H1199">
        <v>3</v>
      </c>
      <c r="I1199">
        <v>1</v>
      </c>
      <c r="K1199" t="s">
        <v>1581</v>
      </c>
      <c r="L1199" t="str">
        <f>VLOOKUP(B1199, Course!$A$1:$O$133, 14, FALSE)</f>
        <v>CC</v>
      </c>
      <c r="M1199">
        <v>1</v>
      </c>
    </row>
    <row r="1200" spans="1:13" x14ac:dyDescent="0.2">
      <c r="A1200">
        <v>1203</v>
      </c>
      <c r="B1200">
        <v>123</v>
      </c>
      <c r="C1200">
        <v>8</v>
      </c>
      <c r="D1200" t="s">
        <v>354</v>
      </c>
      <c r="E1200" t="str">
        <f t="shared" si="20"/>
        <v>508CC03PT</v>
      </c>
      <c r="F1200">
        <f>VLOOKUP(B1200,Course!$A$2:$R$329,2,FALSE)</f>
        <v>0</v>
      </c>
      <c r="G1200">
        <f>VLOOKUP(B1200, Course!$A$2:$L$150, 8, FALSE)</f>
        <v>5</v>
      </c>
      <c r="H1200">
        <v>3</v>
      </c>
      <c r="I1200">
        <v>1</v>
      </c>
      <c r="K1200" t="s">
        <v>1581</v>
      </c>
      <c r="L1200" t="str">
        <f>VLOOKUP(B1200, Course!$A$1:$O$133, 14, FALSE)</f>
        <v>CC</v>
      </c>
      <c r="M1200">
        <v>1</v>
      </c>
    </row>
    <row r="1201" spans="1:13" x14ac:dyDescent="0.2">
      <c r="A1201">
        <v>1204</v>
      </c>
      <c r="B1201">
        <v>123</v>
      </c>
      <c r="C1201">
        <v>9</v>
      </c>
      <c r="D1201" t="s">
        <v>354</v>
      </c>
      <c r="E1201" t="str">
        <f t="shared" si="20"/>
        <v>509CC03PT</v>
      </c>
      <c r="F1201">
        <f>VLOOKUP(B1201,Course!$A$2:$R$329,2,FALSE)</f>
        <v>0</v>
      </c>
      <c r="G1201">
        <f>VLOOKUP(B1201, Course!$A$2:$L$150, 8, FALSE)</f>
        <v>5</v>
      </c>
      <c r="H1201">
        <v>3</v>
      </c>
      <c r="I1201">
        <v>1</v>
      </c>
      <c r="K1201" t="s">
        <v>1581</v>
      </c>
      <c r="L1201" t="str">
        <f>VLOOKUP(B1201, Course!$A$1:$O$133, 14, FALSE)</f>
        <v>CC</v>
      </c>
      <c r="M1201">
        <v>1</v>
      </c>
    </row>
    <row r="1202" spans="1:13" x14ac:dyDescent="0.2">
      <c r="A1202">
        <v>1205</v>
      </c>
      <c r="B1202">
        <v>123</v>
      </c>
      <c r="C1202">
        <v>10</v>
      </c>
      <c r="D1202" t="s">
        <v>354</v>
      </c>
      <c r="E1202" t="str">
        <f t="shared" si="20"/>
        <v>510CC03PT</v>
      </c>
      <c r="F1202">
        <f>VLOOKUP(B1202,Course!$A$2:$R$329,2,FALSE)</f>
        <v>0</v>
      </c>
      <c r="G1202">
        <f>VLOOKUP(B1202, Course!$A$2:$L$150, 8, FALSE)</f>
        <v>5</v>
      </c>
      <c r="H1202">
        <v>3</v>
      </c>
      <c r="I1202">
        <v>1</v>
      </c>
      <c r="K1202" t="s">
        <v>1581</v>
      </c>
      <c r="L1202" t="str">
        <f>VLOOKUP(B1202, Course!$A$1:$O$133, 14, FALSE)</f>
        <v>CC</v>
      </c>
      <c r="M1202">
        <v>1</v>
      </c>
    </row>
    <row r="1203" spans="1:13" x14ac:dyDescent="0.2">
      <c r="A1203">
        <v>1206</v>
      </c>
      <c r="B1203">
        <v>124</v>
      </c>
      <c r="C1203">
        <v>133</v>
      </c>
      <c r="D1203" t="s">
        <v>405</v>
      </c>
      <c r="E1203" t="str">
        <f t="shared" si="20"/>
        <v>633CG03PT</v>
      </c>
      <c r="F1203">
        <f>VLOOKUP(B1203,Course!$A$2:$R$329,2,FALSE)</f>
        <v>0</v>
      </c>
      <c r="G1203">
        <f>VLOOKUP(B1203, Course!$A$2:$L$150, 8, FALSE)</f>
        <v>6</v>
      </c>
      <c r="H1203">
        <v>3</v>
      </c>
      <c r="I1203">
        <v>1</v>
      </c>
      <c r="K1203" t="s">
        <v>1581</v>
      </c>
      <c r="L1203" t="str">
        <f>VLOOKUP(B1203, Course!$A$1:$O$133, 14, FALSE)</f>
        <v>CG</v>
      </c>
      <c r="M1203">
        <v>1</v>
      </c>
    </row>
    <row r="1204" spans="1:13" x14ac:dyDescent="0.2">
      <c r="A1204">
        <v>1207</v>
      </c>
      <c r="B1204">
        <v>124</v>
      </c>
      <c r="C1204">
        <v>134</v>
      </c>
      <c r="D1204" t="s">
        <v>405</v>
      </c>
      <c r="E1204" t="str">
        <f t="shared" si="20"/>
        <v>634CG03PT</v>
      </c>
      <c r="F1204">
        <f>VLOOKUP(B1204,Course!$A$2:$R$329,2,FALSE)</f>
        <v>0</v>
      </c>
      <c r="G1204">
        <f>VLOOKUP(B1204, Course!$A$2:$L$150, 8, FALSE)</f>
        <v>6</v>
      </c>
      <c r="H1204">
        <v>3</v>
      </c>
      <c r="I1204">
        <v>1</v>
      </c>
      <c r="K1204" t="s">
        <v>1581</v>
      </c>
      <c r="L1204" t="str">
        <f>VLOOKUP(B1204, Course!$A$1:$O$133, 14, FALSE)</f>
        <v>CG</v>
      </c>
      <c r="M1204">
        <v>1</v>
      </c>
    </row>
    <row r="1205" spans="1:13" x14ac:dyDescent="0.2">
      <c r="A1205">
        <v>1208</v>
      </c>
      <c r="B1205">
        <v>124</v>
      </c>
      <c r="C1205">
        <v>135</v>
      </c>
      <c r="D1205" t="s">
        <v>405</v>
      </c>
      <c r="E1205" t="str">
        <f t="shared" si="20"/>
        <v>635CG03PT</v>
      </c>
      <c r="F1205">
        <f>VLOOKUP(B1205,Course!$A$2:$R$329,2,FALSE)</f>
        <v>0</v>
      </c>
      <c r="G1205">
        <f>VLOOKUP(B1205, Course!$A$2:$L$150, 8, FALSE)</f>
        <v>6</v>
      </c>
      <c r="H1205">
        <v>3</v>
      </c>
      <c r="I1205">
        <v>1</v>
      </c>
      <c r="K1205" t="s">
        <v>1581</v>
      </c>
      <c r="L1205" t="str">
        <f>VLOOKUP(B1205, Course!$A$1:$O$133, 14, FALSE)</f>
        <v>CG</v>
      </c>
      <c r="M1205">
        <v>1</v>
      </c>
    </row>
    <row r="1206" spans="1:13" x14ac:dyDescent="0.2">
      <c r="A1206">
        <v>1209</v>
      </c>
      <c r="B1206">
        <v>124</v>
      </c>
      <c r="C1206">
        <v>136</v>
      </c>
      <c r="D1206" t="s">
        <v>405</v>
      </c>
      <c r="E1206" t="str">
        <f t="shared" si="20"/>
        <v>636CG03PT</v>
      </c>
      <c r="F1206">
        <f>VLOOKUP(B1206,Course!$A$2:$R$329,2,FALSE)</f>
        <v>0</v>
      </c>
      <c r="G1206">
        <f>VLOOKUP(B1206, Course!$A$2:$L$150, 8, FALSE)</f>
        <v>6</v>
      </c>
      <c r="H1206">
        <v>3</v>
      </c>
      <c r="I1206">
        <v>1</v>
      </c>
      <c r="K1206" t="s">
        <v>1581</v>
      </c>
      <c r="L1206" t="str">
        <f>VLOOKUP(B1206, Course!$A$1:$O$133, 14, FALSE)</f>
        <v>CG</v>
      </c>
      <c r="M1206">
        <v>1</v>
      </c>
    </row>
    <row r="1207" spans="1:13" x14ac:dyDescent="0.2">
      <c r="A1207">
        <v>1210</v>
      </c>
      <c r="B1207">
        <v>124</v>
      </c>
      <c r="C1207">
        <v>137</v>
      </c>
      <c r="D1207" t="s">
        <v>405</v>
      </c>
      <c r="E1207" t="str">
        <f t="shared" si="20"/>
        <v>637CG03PT</v>
      </c>
      <c r="F1207">
        <f>VLOOKUP(B1207,Course!$A$2:$R$329,2,FALSE)</f>
        <v>0</v>
      </c>
      <c r="G1207">
        <f>VLOOKUP(B1207, Course!$A$2:$L$150, 8, FALSE)</f>
        <v>6</v>
      </c>
      <c r="H1207">
        <v>3</v>
      </c>
      <c r="I1207">
        <v>1</v>
      </c>
      <c r="K1207" t="s">
        <v>1581</v>
      </c>
      <c r="L1207" t="str">
        <f>VLOOKUP(B1207, Course!$A$1:$O$133, 14, FALSE)</f>
        <v>CG</v>
      </c>
      <c r="M1207">
        <v>1</v>
      </c>
    </row>
    <row r="1208" spans="1:13" x14ac:dyDescent="0.2">
      <c r="A1208">
        <v>1211</v>
      </c>
      <c r="B1208">
        <v>124</v>
      </c>
      <c r="C1208">
        <v>138</v>
      </c>
      <c r="D1208" t="s">
        <v>405</v>
      </c>
      <c r="E1208" t="str">
        <f t="shared" si="20"/>
        <v>638CG03PT</v>
      </c>
      <c r="F1208">
        <f>VLOOKUP(B1208,Course!$A$2:$R$329,2,FALSE)</f>
        <v>0</v>
      </c>
      <c r="G1208">
        <f>VLOOKUP(B1208, Course!$A$2:$L$150, 8, FALSE)</f>
        <v>6</v>
      </c>
      <c r="H1208">
        <v>3</v>
      </c>
      <c r="I1208">
        <v>1</v>
      </c>
      <c r="K1208" t="s">
        <v>1581</v>
      </c>
      <c r="L1208" t="str">
        <f>VLOOKUP(B1208, Course!$A$1:$O$133, 14, FALSE)</f>
        <v>CG</v>
      </c>
      <c r="M1208">
        <v>1</v>
      </c>
    </row>
    <row r="1209" spans="1:13" x14ac:dyDescent="0.2">
      <c r="A1209">
        <v>1212</v>
      </c>
      <c r="B1209">
        <v>125</v>
      </c>
      <c r="C1209">
        <v>139</v>
      </c>
      <c r="D1209" t="s">
        <v>227</v>
      </c>
      <c r="E1209" t="str">
        <f t="shared" si="20"/>
        <v>639LC03PT</v>
      </c>
      <c r="F1209">
        <f>VLOOKUP(B1209,Course!$A$2:$R$329,2,FALSE)</f>
        <v>0</v>
      </c>
      <c r="G1209">
        <f>VLOOKUP(B1209, Course!$A$2:$L$150, 8, FALSE)</f>
        <v>6</v>
      </c>
      <c r="H1209">
        <v>3</v>
      </c>
      <c r="I1209">
        <v>1</v>
      </c>
      <c r="K1209" t="s">
        <v>1581</v>
      </c>
      <c r="L1209" t="str">
        <f>VLOOKUP(B1209, Course!$A$1:$O$133, 14, FALSE)</f>
        <v>LC</v>
      </c>
      <c r="M1209">
        <v>1</v>
      </c>
    </row>
    <row r="1210" spans="1:13" x14ac:dyDescent="0.2">
      <c r="A1210">
        <v>1213</v>
      </c>
      <c r="B1210">
        <v>125</v>
      </c>
      <c r="C1210">
        <v>140</v>
      </c>
      <c r="D1210" t="s">
        <v>227</v>
      </c>
      <c r="E1210" t="str">
        <f t="shared" si="20"/>
        <v>640LC03PT</v>
      </c>
      <c r="F1210">
        <f>VLOOKUP(B1210,Course!$A$2:$R$329,2,FALSE)</f>
        <v>0</v>
      </c>
      <c r="G1210">
        <f>VLOOKUP(B1210, Course!$A$2:$L$150, 8, FALSE)</f>
        <v>6</v>
      </c>
      <c r="H1210">
        <v>3</v>
      </c>
      <c r="I1210">
        <v>1</v>
      </c>
      <c r="K1210" t="s">
        <v>1581</v>
      </c>
      <c r="L1210" t="str">
        <f>VLOOKUP(B1210, Course!$A$1:$O$133, 14, FALSE)</f>
        <v>LC</v>
      </c>
      <c r="M1210">
        <v>1</v>
      </c>
    </row>
    <row r="1211" spans="1:13" x14ac:dyDescent="0.2">
      <c r="A1211">
        <v>1214</v>
      </c>
      <c r="B1211">
        <v>125</v>
      </c>
      <c r="C1211">
        <v>141</v>
      </c>
      <c r="D1211" t="s">
        <v>227</v>
      </c>
      <c r="E1211" t="str">
        <f t="shared" si="20"/>
        <v>641LC03PT</v>
      </c>
      <c r="F1211">
        <f>VLOOKUP(B1211,Course!$A$2:$R$329,2,FALSE)</f>
        <v>0</v>
      </c>
      <c r="G1211">
        <f>VLOOKUP(B1211, Course!$A$2:$L$150, 8, FALSE)</f>
        <v>6</v>
      </c>
      <c r="H1211">
        <v>3</v>
      </c>
      <c r="I1211">
        <v>1</v>
      </c>
      <c r="K1211" t="s">
        <v>1581</v>
      </c>
      <c r="L1211" t="str">
        <f>VLOOKUP(B1211, Course!$A$1:$O$133, 14, FALSE)</f>
        <v>LC</v>
      </c>
      <c r="M1211">
        <v>1</v>
      </c>
    </row>
    <row r="1212" spans="1:13" x14ac:dyDescent="0.2">
      <c r="A1212">
        <v>1215</v>
      </c>
      <c r="B1212">
        <v>125</v>
      </c>
      <c r="C1212">
        <v>142</v>
      </c>
      <c r="D1212" t="s">
        <v>227</v>
      </c>
      <c r="E1212" t="str">
        <f t="shared" si="20"/>
        <v>642LC03PT</v>
      </c>
      <c r="F1212">
        <f>VLOOKUP(B1212,Course!$A$2:$R$329,2,FALSE)</f>
        <v>0</v>
      </c>
      <c r="G1212">
        <f>VLOOKUP(B1212, Course!$A$2:$L$150, 8, FALSE)</f>
        <v>6</v>
      </c>
      <c r="H1212">
        <v>3</v>
      </c>
      <c r="I1212">
        <v>1</v>
      </c>
      <c r="K1212" t="s">
        <v>1581</v>
      </c>
      <c r="L1212" t="str">
        <f>VLOOKUP(B1212, Course!$A$1:$O$133, 14, FALSE)</f>
        <v>LC</v>
      </c>
      <c r="M1212">
        <v>1</v>
      </c>
    </row>
    <row r="1213" spans="1:13" x14ac:dyDescent="0.2">
      <c r="A1213">
        <v>1216</v>
      </c>
      <c r="B1213">
        <v>125</v>
      </c>
      <c r="C1213">
        <v>143</v>
      </c>
      <c r="D1213" t="s">
        <v>227</v>
      </c>
      <c r="E1213" t="str">
        <f t="shared" si="20"/>
        <v>643LC03PT</v>
      </c>
      <c r="F1213">
        <f>VLOOKUP(B1213,Course!$A$2:$R$329,2,FALSE)</f>
        <v>0</v>
      </c>
      <c r="G1213">
        <f>VLOOKUP(B1213, Course!$A$2:$L$150, 8, FALSE)</f>
        <v>6</v>
      </c>
      <c r="H1213">
        <v>3</v>
      </c>
      <c r="I1213">
        <v>1</v>
      </c>
      <c r="K1213" t="s">
        <v>1581</v>
      </c>
      <c r="L1213" t="str">
        <f>VLOOKUP(B1213, Course!$A$1:$O$133, 14, FALSE)</f>
        <v>LC</v>
      </c>
      <c r="M1213">
        <v>1</v>
      </c>
    </row>
    <row r="1214" spans="1:13" x14ac:dyDescent="0.2">
      <c r="A1214">
        <v>1217</v>
      </c>
      <c r="B1214">
        <v>125</v>
      </c>
      <c r="C1214">
        <v>144</v>
      </c>
      <c r="D1214" t="s">
        <v>227</v>
      </c>
      <c r="E1214" t="str">
        <f t="shared" si="20"/>
        <v>644LC03PT</v>
      </c>
      <c r="F1214">
        <f>VLOOKUP(B1214,Course!$A$2:$R$329,2,FALSE)</f>
        <v>0</v>
      </c>
      <c r="G1214">
        <f>VLOOKUP(B1214, Course!$A$2:$L$150, 8, FALSE)</f>
        <v>6</v>
      </c>
      <c r="H1214">
        <v>3</v>
      </c>
      <c r="I1214">
        <v>1</v>
      </c>
      <c r="K1214" t="s">
        <v>1581</v>
      </c>
      <c r="L1214" t="str">
        <f>VLOOKUP(B1214, Course!$A$1:$O$133, 14, FALSE)</f>
        <v>LC</v>
      </c>
      <c r="M1214">
        <v>1</v>
      </c>
    </row>
    <row r="1215" spans="1:13" x14ac:dyDescent="0.2">
      <c r="A1215">
        <v>1218</v>
      </c>
      <c r="B1215">
        <v>126</v>
      </c>
      <c r="C1215">
        <v>127</v>
      </c>
      <c r="D1215" t="s">
        <v>375</v>
      </c>
      <c r="E1215" t="str">
        <f t="shared" si="20"/>
        <v>627NC03PT</v>
      </c>
      <c r="F1215">
        <f>VLOOKUP(B1215,Course!$A$2:$R$329,2,FALSE)</f>
        <v>0</v>
      </c>
      <c r="G1215">
        <f>VLOOKUP(B1215, Course!$A$2:$L$150, 8, FALSE)</f>
        <v>6</v>
      </c>
      <c r="H1215">
        <v>3</v>
      </c>
      <c r="I1215">
        <v>1</v>
      </c>
      <c r="K1215" t="s">
        <v>1581</v>
      </c>
      <c r="L1215" t="str">
        <f>VLOOKUP(B1215, Course!$A$1:$O$133, 14, FALSE)</f>
        <v>NC</v>
      </c>
      <c r="M1215">
        <v>1</v>
      </c>
    </row>
    <row r="1216" spans="1:13" x14ac:dyDescent="0.2">
      <c r="A1216">
        <v>1219</v>
      </c>
      <c r="B1216">
        <v>126</v>
      </c>
      <c r="C1216">
        <v>128</v>
      </c>
      <c r="D1216" t="s">
        <v>375</v>
      </c>
      <c r="E1216" t="str">
        <f t="shared" si="20"/>
        <v>628NC03PT</v>
      </c>
      <c r="F1216">
        <f>VLOOKUP(B1216,Course!$A$2:$R$329,2,FALSE)</f>
        <v>0</v>
      </c>
      <c r="G1216">
        <f>VLOOKUP(B1216, Course!$A$2:$L$150, 8, FALSE)</f>
        <v>6</v>
      </c>
      <c r="H1216">
        <v>3</v>
      </c>
      <c r="I1216">
        <v>1</v>
      </c>
      <c r="K1216" t="s">
        <v>1581</v>
      </c>
      <c r="L1216" t="str">
        <f>VLOOKUP(B1216, Course!$A$1:$O$133, 14, FALSE)</f>
        <v>NC</v>
      </c>
      <c r="M1216">
        <v>1</v>
      </c>
    </row>
    <row r="1217" spans="1:13" x14ac:dyDescent="0.2">
      <c r="A1217">
        <v>1220</v>
      </c>
      <c r="B1217">
        <v>126</v>
      </c>
      <c r="C1217">
        <v>129</v>
      </c>
      <c r="D1217" t="s">
        <v>375</v>
      </c>
      <c r="E1217" t="str">
        <f t="shared" si="20"/>
        <v>629NC03PT</v>
      </c>
      <c r="F1217">
        <f>VLOOKUP(B1217,Course!$A$2:$R$329,2,FALSE)</f>
        <v>0</v>
      </c>
      <c r="G1217">
        <f>VLOOKUP(B1217, Course!$A$2:$L$150, 8, FALSE)</f>
        <v>6</v>
      </c>
      <c r="H1217">
        <v>3</v>
      </c>
      <c r="I1217">
        <v>1</v>
      </c>
      <c r="K1217" t="s">
        <v>1581</v>
      </c>
      <c r="L1217" t="str">
        <f>VLOOKUP(B1217, Course!$A$1:$O$133, 14, FALSE)</f>
        <v>NC</v>
      </c>
      <c r="M1217">
        <v>1</v>
      </c>
    </row>
    <row r="1218" spans="1:13" x14ac:dyDescent="0.2">
      <c r="A1218">
        <v>1221</v>
      </c>
      <c r="B1218">
        <v>126</v>
      </c>
      <c r="C1218">
        <v>130</v>
      </c>
      <c r="D1218" t="s">
        <v>375</v>
      </c>
      <c r="E1218" t="str">
        <f t="shared" si="20"/>
        <v>630NC03PT</v>
      </c>
      <c r="F1218">
        <f>VLOOKUP(B1218,Course!$A$2:$R$329,2,FALSE)</f>
        <v>0</v>
      </c>
      <c r="G1218">
        <f>VLOOKUP(B1218, Course!$A$2:$L$150, 8, FALSE)</f>
        <v>6</v>
      </c>
      <c r="H1218">
        <v>3</v>
      </c>
      <c r="I1218">
        <v>1</v>
      </c>
      <c r="K1218" t="s">
        <v>1581</v>
      </c>
      <c r="L1218" t="str">
        <f>VLOOKUP(B1218, Course!$A$1:$O$133, 14, FALSE)</f>
        <v>NC</v>
      </c>
      <c r="M1218">
        <v>1</v>
      </c>
    </row>
    <row r="1219" spans="1:13" x14ac:dyDescent="0.2">
      <c r="A1219">
        <v>1222</v>
      </c>
      <c r="B1219">
        <v>126</v>
      </c>
      <c r="C1219">
        <v>131</v>
      </c>
      <c r="D1219" t="s">
        <v>375</v>
      </c>
      <c r="E1219" t="str">
        <f t="shared" si="20"/>
        <v>631NC03PT</v>
      </c>
      <c r="F1219">
        <f>VLOOKUP(B1219,Course!$A$2:$R$329,2,FALSE)</f>
        <v>0</v>
      </c>
      <c r="G1219">
        <f>VLOOKUP(B1219, Course!$A$2:$L$150, 8, FALSE)</f>
        <v>6</v>
      </c>
      <c r="H1219">
        <v>3</v>
      </c>
      <c r="I1219">
        <v>1</v>
      </c>
      <c r="K1219" t="s">
        <v>1581</v>
      </c>
      <c r="L1219" t="str">
        <f>VLOOKUP(B1219, Course!$A$1:$O$133, 14, FALSE)</f>
        <v>NC</v>
      </c>
      <c r="M1219">
        <v>1</v>
      </c>
    </row>
    <row r="1220" spans="1:13" x14ac:dyDescent="0.2">
      <c r="A1220">
        <v>1223</v>
      </c>
      <c r="B1220">
        <v>126</v>
      </c>
      <c r="C1220">
        <v>132</v>
      </c>
      <c r="D1220" t="s">
        <v>375</v>
      </c>
      <c r="E1220" t="str">
        <f t="shared" si="20"/>
        <v>632NC03PT</v>
      </c>
      <c r="F1220">
        <f>VLOOKUP(B1220,Course!$A$2:$R$329,2,FALSE)</f>
        <v>0</v>
      </c>
      <c r="G1220">
        <f>VLOOKUP(B1220, Course!$A$2:$L$150, 8, FALSE)</f>
        <v>6</v>
      </c>
      <c r="H1220">
        <v>3</v>
      </c>
      <c r="I1220">
        <v>1</v>
      </c>
      <c r="K1220" t="s">
        <v>1581</v>
      </c>
      <c r="L1220" t="str">
        <f>VLOOKUP(B1220, Course!$A$1:$O$133, 14, FALSE)</f>
        <v>NC</v>
      </c>
      <c r="M1220">
        <v>1</v>
      </c>
    </row>
    <row r="1221" spans="1:13" x14ac:dyDescent="0.2">
      <c r="A1221">
        <v>1224</v>
      </c>
      <c r="B1221">
        <v>127</v>
      </c>
      <c r="C1221">
        <v>1</v>
      </c>
      <c r="D1221" t="s">
        <v>382</v>
      </c>
      <c r="E1221" t="str">
        <f t="shared" ref="E1221:E1231" si="21">UPPER(LEFT(G1221,2)) &amp; RIGHT("0" &amp; C1221, 2) &amp; D1221 &amp; RIGHT("0" &amp; H1221, 2) &amp; K1221</f>
        <v>1001EC03PT</v>
      </c>
      <c r="F1221">
        <f>VLOOKUP(B1221,Course!$A$2:$R$329,2,FALSE)</f>
        <v>0</v>
      </c>
      <c r="G1221">
        <f>VLOOKUP(B1221, Course!$A$2:$L$150, 8, FALSE)</f>
        <v>10</v>
      </c>
      <c r="H1221">
        <v>3</v>
      </c>
      <c r="I1221">
        <v>1</v>
      </c>
      <c r="K1221" t="s">
        <v>1581</v>
      </c>
      <c r="L1221" t="str">
        <f>VLOOKUP(B1221, Course!$A$1:$O$133, 14, FALSE)</f>
        <v>EC</v>
      </c>
      <c r="M1221">
        <v>1</v>
      </c>
    </row>
    <row r="1222" spans="1:13" x14ac:dyDescent="0.2">
      <c r="A1222">
        <v>1225</v>
      </c>
      <c r="B1222">
        <v>127</v>
      </c>
      <c r="C1222">
        <v>2</v>
      </c>
      <c r="D1222" t="s">
        <v>382</v>
      </c>
      <c r="E1222" t="str">
        <f t="shared" si="21"/>
        <v>1002EC03PT</v>
      </c>
      <c r="F1222">
        <f>VLOOKUP(B1222,Course!$A$2:$R$329,2,FALSE)</f>
        <v>0</v>
      </c>
      <c r="G1222">
        <f>VLOOKUP(B1222, Course!$A$2:$L$150, 8, FALSE)</f>
        <v>10</v>
      </c>
      <c r="H1222">
        <v>3</v>
      </c>
      <c r="I1222">
        <v>1</v>
      </c>
      <c r="K1222" t="s">
        <v>1581</v>
      </c>
      <c r="L1222" t="str">
        <f>VLOOKUP(B1222, Course!$A$1:$O$133, 14, FALSE)</f>
        <v>EC</v>
      </c>
      <c r="M1222">
        <v>1</v>
      </c>
    </row>
    <row r="1223" spans="1:13" x14ac:dyDescent="0.2">
      <c r="A1223">
        <v>1226</v>
      </c>
      <c r="B1223">
        <v>127</v>
      </c>
      <c r="C1223">
        <v>3</v>
      </c>
      <c r="D1223" t="s">
        <v>382</v>
      </c>
      <c r="E1223" t="str">
        <f t="shared" si="21"/>
        <v>1003EC03PT</v>
      </c>
      <c r="F1223">
        <f>VLOOKUP(B1223,Course!$A$2:$R$329,2,FALSE)</f>
        <v>0</v>
      </c>
      <c r="G1223">
        <f>VLOOKUP(B1223, Course!$A$2:$L$150, 8, FALSE)</f>
        <v>10</v>
      </c>
      <c r="H1223">
        <v>3</v>
      </c>
      <c r="I1223">
        <v>1</v>
      </c>
      <c r="K1223" t="s">
        <v>1581</v>
      </c>
      <c r="L1223" t="str">
        <f>VLOOKUP(B1223, Course!$A$1:$O$133, 14, FALSE)</f>
        <v>EC</v>
      </c>
      <c r="M1223">
        <v>1</v>
      </c>
    </row>
    <row r="1224" spans="1:13" x14ac:dyDescent="0.2">
      <c r="A1224">
        <v>1227</v>
      </c>
      <c r="B1224">
        <v>127</v>
      </c>
      <c r="C1224">
        <v>4</v>
      </c>
      <c r="D1224" t="s">
        <v>382</v>
      </c>
      <c r="E1224" t="str">
        <f t="shared" si="21"/>
        <v>1004EC03PT</v>
      </c>
      <c r="F1224">
        <f>VLOOKUP(B1224,Course!$A$2:$R$329,2,FALSE)</f>
        <v>0</v>
      </c>
      <c r="G1224">
        <f>VLOOKUP(B1224, Course!$A$2:$L$150, 8, FALSE)</f>
        <v>10</v>
      </c>
      <c r="H1224">
        <v>3</v>
      </c>
      <c r="I1224">
        <v>1</v>
      </c>
      <c r="K1224" t="s">
        <v>1581</v>
      </c>
      <c r="L1224" t="str">
        <f>VLOOKUP(B1224, Course!$A$1:$O$133, 14, FALSE)</f>
        <v>EC</v>
      </c>
      <c r="M1224">
        <v>1</v>
      </c>
    </row>
    <row r="1225" spans="1:13" x14ac:dyDescent="0.2">
      <c r="A1225">
        <v>1228</v>
      </c>
      <c r="B1225">
        <v>127</v>
      </c>
      <c r="C1225">
        <v>5</v>
      </c>
      <c r="D1225" t="s">
        <v>382</v>
      </c>
      <c r="E1225" t="str">
        <f t="shared" si="21"/>
        <v>1005EC03PT</v>
      </c>
      <c r="F1225">
        <f>VLOOKUP(B1225,Course!$A$2:$R$329,2,FALSE)</f>
        <v>0</v>
      </c>
      <c r="G1225">
        <f>VLOOKUP(B1225, Course!$A$2:$L$150, 8, FALSE)</f>
        <v>10</v>
      </c>
      <c r="H1225">
        <v>3</v>
      </c>
      <c r="I1225">
        <v>1</v>
      </c>
      <c r="K1225" t="s">
        <v>1581</v>
      </c>
      <c r="L1225" t="str">
        <f>VLOOKUP(B1225, Course!$A$1:$O$133, 14, FALSE)</f>
        <v>EC</v>
      </c>
      <c r="M1225">
        <v>1</v>
      </c>
    </row>
    <row r="1226" spans="1:13" x14ac:dyDescent="0.2">
      <c r="A1226">
        <v>1229</v>
      </c>
      <c r="B1226">
        <v>127</v>
      </c>
      <c r="C1226">
        <v>6</v>
      </c>
      <c r="D1226" t="s">
        <v>382</v>
      </c>
      <c r="E1226" t="str">
        <f t="shared" si="21"/>
        <v>1006EC03PT</v>
      </c>
      <c r="F1226">
        <f>VLOOKUP(B1226,Course!$A$2:$R$329,2,FALSE)</f>
        <v>0</v>
      </c>
      <c r="G1226">
        <f>VLOOKUP(B1226, Course!$A$2:$L$150, 8, FALSE)</f>
        <v>10</v>
      </c>
      <c r="H1226">
        <v>3</v>
      </c>
      <c r="I1226">
        <v>1</v>
      </c>
      <c r="K1226" t="s">
        <v>1581</v>
      </c>
      <c r="L1226" t="str">
        <f>VLOOKUP(B1226, Course!$A$1:$O$133, 14, FALSE)</f>
        <v>EC</v>
      </c>
      <c r="M1226">
        <v>1</v>
      </c>
    </row>
    <row r="1227" spans="1:13" x14ac:dyDescent="0.2">
      <c r="A1227">
        <v>1230</v>
      </c>
      <c r="B1227">
        <v>127</v>
      </c>
      <c r="C1227">
        <v>7</v>
      </c>
      <c r="D1227" t="s">
        <v>382</v>
      </c>
      <c r="E1227" t="str">
        <f t="shared" si="21"/>
        <v>1007EC03PT</v>
      </c>
      <c r="F1227">
        <f>VLOOKUP(B1227,Course!$A$2:$R$329,2,FALSE)</f>
        <v>0</v>
      </c>
      <c r="G1227">
        <f>VLOOKUP(B1227, Course!$A$2:$L$150, 8, FALSE)</f>
        <v>10</v>
      </c>
      <c r="H1227">
        <v>3</v>
      </c>
      <c r="I1227">
        <v>1</v>
      </c>
      <c r="K1227" t="s">
        <v>1581</v>
      </c>
      <c r="L1227" t="str">
        <f>VLOOKUP(B1227, Course!$A$1:$O$133, 14, FALSE)</f>
        <v>EC</v>
      </c>
      <c r="M1227">
        <v>1</v>
      </c>
    </row>
    <row r="1228" spans="1:13" x14ac:dyDescent="0.2">
      <c r="A1228">
        <v>1231</v>
      </c>
      <c r="B1228">
        <v>127</v>
      </c>
      <c r="C1228">
        <v>8</v>
      </c>
      <c r="D1228" t="s">
        <v>382</v>
      </c>
      <c r="E1228" t="str">
        <f t="shared" si="21"/>
        <v>1008EC03PT</v>
      </c>
      <c r="F1228">
        <f>VLOOKUP(B1228,Course!$A$2:$R$329,2,FALSE)</f>
        <v>0</v>
      </c>
      <c r="G1228">
        <f>VLOOKUP(B1228, Course!$A$2:$L$150, 8, FALSE)</f>
        <v>10</v>
      </c>
      <c r="H1228">
        <v>3</v>
      </c>
      <c r="I1228">
        <v>1</v>
      </c>
      <c r="K1228" t="s">
        <v>1581</v>
      </c>
      <c r="L1228" t="str">
        <f>VLOOKUP(B1228, Course!$A$1:$O$133, 14, FALSE)</f>
        <v>EC</v>
      </c>
      <c r="M1228">
        <v>1</v>
      </c>
    </row>
    <row r="1229" spans="1:13" x14ac:dyDescent="0.2">
      <c r="A1229">
        <v>1232</v>
      </c>
      <c r="B1229">
        <v>127</v>
      </c>
      <c r="C1229">
        <v>9</v>
      </c>
      <c r="D1229" t="s">
        <v>382</v>
      </c>
      <c r="E1229" t="str">
        <f t="shared" si="21"/>
        <v>1009EC03PT</v>
      </c>
      <c r="F1229">
        <f>VLOOKUP(B1229,Course!$A$2:$R$329,2,FALSE)</f>
        <v>0</v>
      </c>
      <c r="G1229">
        <f>VLOOKUP(B1229, Course!$A$2:$L$150, 8, FALSE)</f>
        <v>10</v>
      </c>
      <c r="H1229">
        <v>3</v>
      </c>
      <c r="I1229">
        <v>1</v>
      </c>
      <c r="K1229" t="s">
        <v>1581</v>
      </c>
      <c r="L1229" t="str">
        <f>VLOOKUP(B1229, Course!$A$1:$O$133, 14, FALSE)</f>
        <v>EC</v>
      </c>
      <c r="M1229">
        <v>1</v>
      </c>
    </row>
    <row r="1230" spans="1:13" x14ac:dyDescent="0.2">
      <c r="A1230">
        <v>1233</v>
      </c>
      <c r="B1230">
        <v>127</v>
      </c>
      <c r="C1230">
        <v>10</v>
      </c>
      <c r="D1230" t="s">
        <v>382</v>
      </c>
      <c r="E1230" t="str">
        <f t="shared" si="21"/>
        <v>1010EC03PT</v>
      </c>
      <c r="F1230">
        <f>VLOOKUP(B1230,Course!$A$2:$R$329,2,FALSE)</f>
        <v>0</v>
      </c>
      <c r="G1230">
        <f>VLOOKUP(B1230, Course!$A$2:$L$150, 8, FALSE)</f>
        <v>10</v>
      </c>
      <c r="H1230">
        <v>3</v>
      </c>
      <c r="I1230">
        <v>1</v>
      </c>
      <c r="K1230" t="s">
        <v>1581</v>
      </c>
      <c r="L1230" t="str">
        <f>VLOOKUP(B1230, Course!$A$1:$O$133, 14, FALSE)</f>
        <v>EC</v>
      </c>
      <c r="M1230">
        <v>1</v>
      </c>
    </row>
    <row r="1231" spans="1:13" x14ac:dyDescent="0.2">
      <c r="A1231">
        <v>1234</v>
      </c>
      <c r="B1231">
        <v>130</v>
      </c>
      <c r="C1231">
        <v>1</v>
      </c>
      <c r="D1231" t="s">
        <v>270</v>
      </c>
      <c r="E1231" t="str">
        <f t="shared" si="21"/>
        <v>1601BA03PT</v>
      </c>
      <c r="F1231">
        <f>VLOOKUP(B1231,Course!$A$2:$R$329,2,FALSE)</f>
        <v>0</v>
      </c>
      <c r="G1231">
        <f>VLOOKUP(B1231, Course!$A$2:$L$150, 8, FALSE)</f>
        <v>16</v>
      </c>
      <c r="H1231">
        <v>3</v>
      </c>
      <c r="I1231">
        <v>1</v>
      </c>
      <c r="K1231" t="s">
        <v>1581</v>
      </c>
      <c r="L1231" t="str">
        <f>VLOOKUP(B1231, Course!$A$1:$O$133, 14, FALSE)</f>
        <v>BA</v>
      </c>
      <c r="M1231">
        <v>1</v>
      </c>
    </row>
    <row r="1232" spans="1:13" x14ac:dyDescent="0.2">
      <c r="A1232">
        <v>1235</v>
      </c>
      <c r="B1232">
        <v>130</v>
      </c>
      <c r="C1232">
        <v>2</v>
      </c>
      <c r="D1232" t="s">
        <v>270</v>
      </c>
      <c r="E1232" t="str">
        <f t="shared" ref="E1232:E1258" si="22">UPPER(LEFT(G1232,2)) &amp; RIGHT("0" &amp; C1232, 2) &amp; D1232 &amp; RIGHT("0" &amp; H1232, 2) &amp; K1232</f>
        <v>1602BA03PT</v>
      </c>
      <c r="F1232">
        <f>VLOOKUP(B1232,Course!$A$2:$R$329,2,FALSE)</f>
        <v>0</v>
      </c>
      <c r="G1232">
        <f>VLOOKUP(B1232, Course!$A$2:$L$150, 8, FALSE)</f>
        <v>16</v>
      </c>
      <c r="H1232">
        <v>3</v>
      </c>
      <c r="I1232">
        <v>1</v>
      </c>
      <c r="K1232" t="s">
        <v>1581</v>
      </c>
      <c r="L1232" t="str">
        <f>VLOOKUP(B1232, Course!$A$1:$O$133, 14, FALSE)</f>
        <v>BA</v>
      </c>
      <c r="M1232">
        <v>1</v>
      </c>
    </row>
    <row r="1233" spans="1:13" x14ac:dyDescent="0.2">
      <c r="A1233">
        <v>1236</v>
      </c>
      <c r="B1233">
        <v>130</v>
      </c>
      <c r="C1233">
        <v>3</v>
      </c>
      <c r="D1233" t="s">
        <v>270</v>
      </c>
      <c r="E1233" t="str">
        <f t="shared" si="22"/>
        <v>1603BA03PT</v>
      </c>
      <c r="F1233">
        <f>VLOOKUP(B1233,Course!$A$2:$R$329,2,FALSE)</f>
        <v>0</v>
      </c>
      <c r="G1233">
        <f>VLOOKUP(B1233, Course!$A$2:$L$150, 8, FALSE)</f>
        <v>16</v>
      </c>
      <c r="H1233">
        <v>3</v>
      </c>
      <c r="I1233">
        <v>1</v>
      </c>
      <c r="K1233" t="s">
        <v>1581</v>
      </c>
      <c r="L1233" t="str">
        <f>VLOOKUP(B1233, Course!$A$1:$O$133, 14, FALSE)</f>
        <v>BA</v>
      </c>
      <c r="M1233">
        <v>1</v>
      </c>
    </row>
    <row r="1234" spans="1:13" x14ac:dyDescent="0.2">
      <c r="A1234">
        <v>1237</v>
      </c>
      <c r="B1234">
        <v>130</v>
      </c>
      <c r="C1234">
        <v>4</v>
      </c>
      <c r="D1234" t="s">
        <v>270</v>
      </c>
      <c r="E1234" t="str">
        <f t="shared" si="22"/>
        <v>1604BA03PT</v>
      </c>
      <c r="F1234">
        <f>VLOOKUP(B1234,Course!$A$2:$R$329,2,FALSE)</f>
        <v>0</v>
      </c>
      <c r="G1234">
        <f>VLOOKUP(B1234, Course!$A$2:$L$150, 8, FALSE)</f>
        <v>16</v>
      </c>
      <c r="H1234">
        <v>3</v>
      </c>
      <c r="I1234">
        <v>1</v>
      </c>
      <c r="K1234" t="s">
        <v>1581</v>
      </c>
      <c r="L1234" t="str">
        <f>VLOOKUP(B1234, Course!$A$1:$O$133, 14, FALSE)</f>
        <v>BA</v>
      </c>
      <c r="M1234">
        <v>1</v>
      </c>
    </row>
    <row r="1235" spans="1:13" x14ac:dyDescent="0.2">
      <c r="A1235">
        <v>1238</v>
      </c>
      <c r="B1235">
        <v>130</v>
      </c>
      <c r="C1235">
        <v>5</v>
      </c>
      <c r="D1235" t="s">
        <v>270</v>
      </c>
      <c r="E1235" t="str">
        <f t="shared" si="22"/>
        <v>1605BA03PT</v>
      </c>
      <c r="F1235">
        <f>VLOOKUP(B1235,Course!$A$2:$R$329,2,FALSE)</f>
        <v>0</v>
      </c>
      <c r="G1235">
        <f>VLOOKUP(B1235, Course!$A$2:$L$150, 8, FALSE)</f>
        <v>16</v>
      </c>
      <c r="H1235">
        <v>3</v>
      </c>
      <c r="I1235">
        <v>1</v>
      </c>
      <c r="K1235" t="s">
        <v>1581</v>
      </c>
      <c r="L1235" t="str">
        <f>VLOOKUP(B1235, Course!$A$1:$O$133, 14, FALSE)</f>
        <v>BA</v>
      </c>
      <c r="M1235">
        <v>1</v>
      </c>
    </row>
    <row r="1236" spans="1:13" x14ac:dyDescent="0.2">
      <c r="A1236">
        <v>1239</v>
      </c>
      <c r="B1236">
        <v>130</v>
      </c>
      <c r="C1236">
        <v>6</v>
      </c>
      <c r="D1236" t="s">
        <v>270</v>
      </c>
      <c r="E1236" t="str">
        <f t="shared" si="22"/>
        <v>1606BA03PT</v>
      </c>
      <c r="F1236">
        <f>VLOOKUP(B1236,Course!$A$2:$R$329,2,FALSE)</f>
        <v>0</v>
      </c>
      <c r="G1236">
        <f>VLOOKUP(B1236, Course!$A$2:$L$150, 8, FALSE)</f>
        <v>16</v>
      </c>
      <c r="H1236">
        <v>3</v>
      </c>
      <c r="I1236">
        <v>1</v>
      </c>
      <c r="K1236" t="s">
        <v>1581</v>
      </c>
      <c r="L1236" t="str">
        <f>VLOOKUP(B1236, Course!$A$1:$O$133, 14, FALSE)</f>
        <v>BA</v>
      </c>
      <c r="M1236">
        <v>1</v>
      </c>
    </row>
    <row r="1237" spans="1:13" x14ac:dyDescent="0.2">
      <c r="A1237">
        <v>1240</v>
      </c>
      <c r="B1237">
        <v>130</v>
      </c>
      <c r="C1237">
        <v>7</v>
      </c>
      <c r="D1237" t="s">
        <v>270</v>
      </c>
      <c r="E1237" t="str">
        <f t="shared" si="22"/>
        <v>1607BA03PT</v>
      </c>
      <c r="F1237">
        <f>VLOOKUP(B1237,Course!$A$2:$R$329,2,FALSE)</f>
        <v>0</v>
      </c>
      <c r="G1237">
        <f>VLOOKUP(B1237, Course!$A$2:$L$150, 8, FALSE)</f>
        <v>16</v>
      </c>
      <c r="H1237">
        <v>3</v>
      </c>
      <c r="I1237">
        <v>1</v>
      </c>
      <c r="K1237" t="s">
        <v>1581</v>
      </c>
      <c r="L1237" t="str">
        <f>VLOOKUP(B1237, Course!$A$1:$O$133, 14, FALSE)</f>
        <v>BA</v>
      </c>
      <c r="M1237">
        <v>1</v>
      </c>
    </row>
    <row r="1238" spans="1:13" x14ac:dyDescent="0.2">
      <c r="A1238">
        <v>1241</v>
      </c>
      <c r="B1238">
        <v>130</v>
      </c>
      <c r="C1238">
        <v>8</v>
      </c>
      <c r="D1238" t="s">
        <v>270</v>
      </c>
      <c r="E1238" t="str">
        <f t="shared" si="22"/>
        <v>1608BA03PT</v>
      </c>
      <c r="F1238">
        <f>VLOOKUP(B1238,Course!$A$2:$R$329,2,FALSE)</f>
        <v>0</v>
      </c>
      <c r="G1238">
        <f>VLOOKUP(B1238, Course!$A$2:$L$150, 8, FALSE)</f>
        <v>16</v>
      </c>
      <c r="H1238">
        <v>3</v>
      </c>
      <c r="I1238">
        <v>1</v>
      </c>
      <c r="K1238" t="s">
        <v>1581</v>
      </c>
      <c r="L1238" t="str">
        <f>VLOOKUP(B1238, Course!$A$1:$O$133, 14, FALSE)</f>
        <v>BA</v>
      </c>
      <c r="M1238">
        <v>1</v>
      </c>
    </row>
    <row r="1239" spans="1:13" x14ac:dyDescent="0.2">
      <c r="A1239">
        <v>1242</v>
      </c>
      <c r="B1239">
        <v>130</v>
      </c>
      <c r="C1239">
        <v>9</v>
      </c>
      <c r="D1239" t="s">
        <v>270</v>
      </c>
      <c r="E1239" t="str">
        <f t="shared" si="22"/>
        <v>1609BA03PT</v>
      </c>
      <c r="F1239">
        <f>VLOOKUP(B1239,Course!$A$2:$R$329,2,FALSE)</f>
        <v>0</v>
      </c>
      <c r="G1239">
        <f>VLOOKUP(B1239, Course!$A$2:$L$150, 8, FALSE)</f>
        <v>16</v>
      </c>
      <c r="H1239">
        <v>3</v>
      </c>
      <c r="I1239">
        <v>1</v>
      </c>
      <c r="K1239" t="s">
        <v>1581</v>
      </c>
      <c r="L1239" t="str">
        <f>VLOOKUP(B1239, Course!$A$1:$O$133, 14, FALSE)</f>
        <v>BA</v>
      </c>
      <c r="M1239">
        <v>1</v>
      </c>
    </row>
    <row r="1240" spans="1:13" x14ac:dyDescent="0.2">
      <c r="A1240">
        <v>1243</v>
      </c>
      <c r="B1240">
        <v>130</v>
      </c>
      <c r="C1240">
        <v>10</v>
      </c>
      <c r="D1240" t="s">
        <v>270</v>
      </c>
      <c r="E1240" t="str">
        <f t="shared" si="22"/>
        <v>1610BA03PT</v>
      </c>
      <c r="F1240">
        <f>VLOOKUP(B1240,Course!$A$2:$R$329,2,FALSE)</f>
        <v>0</v>
      </c>
      <c r="G1240">
        <f>VLOOKUP(B1240, Course!$A$2:$L$150, 8, FALSE)</f>
        <v>16</v>
      </c>
      <c r="H1240">
        <v>3</v>
      </c>
      <c r="I1240">
        <v>1</v>
      </c>
      <c r="K1240" t="s">
        <v>1581</v>
      </c>
      <c r="L1240" t="str">
        <f>VLOOKUP(B1240, Course!$A$1:$O$133, 14, FALSE)</f>
        <v>BA</v>
      </c>
      <c r="M1240">
        <v>1</v>
      </c>
    </row>
    <row r="1241" spans="1:13" x14ac:dyDescent="0.2">
      <c r="A1241">
        <v>1244</v>
      </c>
      <c r="B1241">
        <v>130</v>
      </c>
      <c r="C1241">
        <v>11</v>
      </c>
      <c r="D1241" t="s">
        <v>270</v>
      </c>
      <c r="E1241" t="str">
        <f t="shared" si="22"/>
        <v>1611BA03PT</v>
      </c>
      <c r="F1241">
        <f>VLOOKUP(B1241,Course!$A$2:$R$329,2,FALSE)</f>
        <v>0</v>
      </c>
      <c r="G1241">
        <f>VLOOKUP(B1241, Course!$A$2:$L$150, 8, FALSE)</f>
        <v>16</v>
      </c>
      <c r="H1241">
        <v>3</v>
      </c>
      <c r="I1241">
        <v>1</v>
      </c>
      <c r="K1241" t="s">
        <v>1581</v>
      </c>
      <c r="L1241" t="str">
        <f>VLOOKUP(B1241, Course!$A$1:$O$133, 14, FALSE)</f>
        <v>BA</v>
      </c>
      <c r="M1241">
        <v>1</v>
      </c>
    </row>
    <row r="1242" spans="1:13" x14ac:dyDescent="0.2">
      <c r="A1242">
        <v>1245</v>
      </c>
      <c r="B1242">
        <v>130</v>
      </c>
      <c r="C1242">
        <v>12</v>
      </c>
      <c r="D1242" t="s">
        <v>270</v>
      </c>
      <c r="E1242" t="str">
        <f t="shared" si="22"/>
        <v>1612BA03PT</v>
      </c>
      <c r="F1242">
        <f>VLOOKUP(B1242,Course!$A$2:$R$329,2,FALSE)</f>
        <v>0</v>
      </c>
      <c r="G1242">
        <f>VLOOKUP(B1242, Course!$A$2:$L$150, 8, FALSE)</f>
        <v>16</v>
      </c>
      <c r="H1242">
        <v>3</v>
      </c>
      <c r="I1242">
        <v>1</v>
      </c>
      <c r="K1242" t="s">
        <v>1581</v>
      </c>
      <c r="L1242" t="str">
        <f>VLOOKUP(B1242, Course!$A$1:$O$133, 14, FALSE)</f>
        <v>BA</v>
      </c>
      <c r="M1242">
        <v>1</v>
      </c>
    </row>
    <row r="1243" spans="1:13" x14ac:dyDescent="0.2">
      <c r="A1243">
        <v>1246</v>
      </c>
      <c r="B1243">
        <v>130</v>
      </c>
      <c r="C1243">
        <v>13</v>
      </c>
      <c r="D1243" t="s">
        <v>270</v>
      </c>
      <c r="E1243" t="str">
        <f t="shared" si="22"/>
        <v>1613BA03PT</v>
      </c>
      <c r="F1243">
        <f>VLOOKUP(B1243,Course!$A$2:$R$329,2,FALSE)</f>
        <v>0</v>
      </c>
      <c r="G1243">
        <f>VLOOKUP(B1243, Course!$A$2:$L$150, 8, FALSE)</f>
        <v>16</v>
      </c>
      <c r="H1243">
        <v>3</v>
      </c>
      <c r="I1243">
        <v>1</v>
      </c>
      <c r="K1243" t="s">
        <v>1581</v>
      </c>
      <c r="L1243" t="str">
        <f>VLOOKUP(B1243, Course!$A$1:$O$133, 14, FALSE)</f>
        <v>BA</v>
      </c>
      <c r="M1243">
        <v>1</v>
      </c>
    </row>
    <row r="1244" spans="1:13" x14ac:dyDescent="0.2">
      <c r="A1244">
        <v>1247</v>
      </c>
      <c r="B1244">
        <v>130</v>
      </c>
      <c r="C1244">
        <v>14</v>
      </c>
      <c r="D1244" t="s">
        <v>270</v>
      </c>
      <c r="E1244" t="str">
        <f t="shared" si="22"/>
        <v>1614BA03PT</v>
      </c>
      <c r="F1244">
        <f>VLOOKUP(B1244,Course!$A$2:$R$329,2,FALSE)</f>
        <v>0</v>
      </c>
      <c r="G1244">
        <f>VLOOKUP(B1244, Course!$A$2:$L$150, 8, FALSE)</f>
        <v>16</v>
      </c>
      <c r="H1244">
        <v>3</v>
      </c>
      <c r="I1244">
        <v>1</v>
      </c>
      <c r="K1244" t="s">
        <v>1581</v>
      </c>
      <c r="L1244" t="str">
        <f>VLOOKUP(B1244, Course!$A$1:$O$133, 14, FALSE)</f>
        <v>BA</v>
      </c>
      <c r="M1244">
        <v>1</v>
      </c>
    </row>
    <row r="1245" spans="1:13" x14ac:dyDescent="0.2">
      <c r="A1245">
        <v>1248</v>
      </c>
      <c r="B1245">
        <v>130</v>
      </c>
      <c r="C1245">
        <v>15</v>
      </c>
      <c r="D1245" t="s">
        <v>270</v>
      </c>
      <c r="E1245" t="str">
        <f t="shared" si="22"/>
        <v>1615BA03PT</v>
      </c>
      <c r="F1245">
        <f>VLOOKUP(B1245,Course!$A$2:$R$329,2,FALSE)</f>
        <v>0</v>
      </c>
      <c r="G1245">
        <f>VLOOKUP(B1245, Course!$A$2:$L$150, 8, FALSE)</f>
        <v>16</v>
      </c>
      <c r="H1245">
        <v>3</v>
      </c>
      <c r="I1245">
        <v>1</v>
      </c>
      <c r="K1245" t="s">
        <v>1581</v>
      </c>
      <c r="L1245" t="str">
        <f>VLOOKUP(B1245, Course!$A$1:$O$133, 14, FALSE)</f>
        <v>BA</v>
      </c>
      <c r="M1245">
        <v>1</v>
      </c>
    </row>
    <row r="1246" spans="1:13" x14ac:dyDescent="0.2">
      <c r="A1246">
        <v>1249</v>
      </c>
      <c r="B1246">
        <v>130</v>
      </c>
      <c r="C1246">
        <v>16</v>
      </c>
      <c r="D1246" t="s">
        <v>270</v>
      </c>
      <c r="E1246" t="str">
        <f t="shared" si="22"/>
        <v>1616BA03PT</v>
      </c>
      <c r="F1246">
        <f>VLOOKUP(B1246,Course!$A$2:$R$329,2,FALSE)</f>
        <v>0</v>
      </c>
      <c r="G1246">
        <f>VLOOKUP(B1246, Course!$A$2:$L$150, 8, FALSE)</f>
        <v>16</v>
      </c>
      <c r="H1246">
        <v>3</v>
      </c>
      <c r="I1246">
        <v>1</v>
      </c>
      <c r="K1246" t="s">
        <v>1581</v>
      </c>
      <c r="L1246" t="str">
        <f>VLOOKUP(B1246, Course!$A$1:$O$133, 14, FALSE)</f>
        <v>BA</v>
      </c>
      <c r="M1246">
        <v>1</v>
      </c>
    </row>
    <row r="1247" spans="1:13" x14ac:dyDescent="0.2">
      <c r="A1247">
        <v>1250</v>
      </c>
      <c r="B1247">
        <v>131</v>
      </c>
      <c r="C1247">
        <v>133</v>
      </c>
      <c r="D1247" t="s">
        <v>227</v>
      </c>
      <c r="E1247" t="str">
        <f t="shared" si="22"/>
        <v>1233LC03PT</v>
      </c>
      <c r="F1247">
        <f>VLOOKUP(B1247,Course!$A$2:$R$329,2,FALSE)</f>
        <v>0</v>
      </c>
      <c r="G1247">
        <f>VLOOKUP(B1247, Course!$A$2:$L$150, 8, FALSE)</f>
        <v>12</v>
      </c>
      <c r="H1247">
        <v>3</v>
      </c>
      <c r="I1247">
        <v>1</v>
      </c>
      <c r="K1247" t="s">
        <v>1581</v>
      </c>
      <c r="L1247" t="str">
        <f>VLOOKUP(B1247, Course!$A$1:$O$133, 14, FALSE)</f>
        <v>LC</v>
      </c>
      <c r="M1247">
        <v>1</v>
      </c>
    </row>
    <row r="1248" spans="1:13" x14ac:dyDescent="0.2">
      <c r="A1248">
        <v>1251</v>
      </c>
      <c r="B1248">
        <v>131</v>
      </c>
      <c r="C1248">
        <v>134</v>
      </c>
      <c r="D1248" t="s">
        <v>227</v>
      </c>
      <c r="E1248" t="str">
        <f t="shared" si="22"/>
        <v>1234LC03PT</v>
      </c>
      <c r="F1248">
        <f>VLOOKUP(B1248,Course!$A$2:$R$329,2,FALSE)</f>
        <v>0</v>
      </c>
      <c r="G1248">
        <f>VLOOKUP(B1248, Course!$A$2:$L$150, 8, FALSE)</f>
        <v>12</v>
      </c>
      <c r="H1248">
        <v>3</v>
      </c>
      <c r="I1248">
        <v>1</v>
      </c>
      <c r="K1248" t="s">
        <v>1581</v>
      </c>
      <c r="L1248" t="str">
        <f>VLOOKUP(B1248, Course!$A$1:$O$133, 14, FALSE)</f>
        <v>LC</v>
      </c>
      <c r="M1248">
        <v>1</v>
      </c>
    </row>
    <row r="1249" spans="1:13" x14ac:dyDescent="0.2">
      <c r="A1249">
        <v>1252</v>
      </c>
      <c r="B1249">
        <v>131</v>
      </c>
      <c r="C1249">
        <v>135</v>
      </c>
      <c r="D1249" t="s">
        <v>227</v>
      </c>
      <c r="E1249" t="str">
        <f t="shared" si="22"/>
        <v>1235LC03PT</v>
      </c>
      <c r="F1249">
        <f>VLOOKUP(B1249,Course!$A$2:$R$329,2,FALSE)</f>
        <v>0</v>
      </c>
      <c r="G1249">
        <f>VLOOKUP(B1249, Course!$A$2:$L$150, 8, FALSE)</f>
        <v>12</v>
      </c>
      <c r="H1249">
        <v>3</v>
      </c>
      <c r="I1249">
        <v>1</v>
      </c>
      <c r="K1249" t="s">
        <v>1581</v>
      </c>
      <c r="L1249" t="str">
        <f>VLOOKUP(B1249, Course!$A$1:$O$133, 14, FALSE)</f>
        <v>LC</v>
      </c>
      <c r="M1249">
        <v>1</v>
      </c>
    </row>
    <row r="1250" spans="1:13" x14ac:dyDescent="0.2">
      <c r="A1250">
        <v>1253</v>
      </c>
      <c r="B1250">
        <v>131</v>
      </c>
      <c r="C1250">
        <v>136</v>
      </c>
      <c r="D1250" t="s">
        <v>227</v>
      </c>
      <c r="E1250" t="str">
        <f t="shared" si="22"/>
        <v>1236LC03PT</v>
      </c>
      <c r="F1250">
        <f>VLOOKUP(B1250,Course!$A$2:$R$329,2,FALSE)</f>
        <v>0</v>
      </c>
      <c r="G1250">
        <f>VLOOKUP(B1250, Course!$A$2:$L$150, 8, FALSE)</f>
        <v>12</v>
      </c>
      <c r="H1250">
        <v>3</v>
      </c>
      <c r="I1250">
        <v>1</v>
      </c>
      <c r="K1250" t="s">
        <v>1581</v>
      </c>
      <c r="L1250" t="str">
        <f>VLOOKUP(B1250, Course!$A$1:$O$133, 14, FALSE)</f>
        <v>LC</v>
      </c>
      <c r="M1250">
        <v>1</v>
      </c>
    </row>
    <row r="1251" spans="1:13" x14ac:dyDescent="0.2">
      <c r="A1251">
        <v>1254</v>
      </c>
      <c r="B1251">
        <v>131</v>
      </c>
      <c r="C1251">
        <v>137</v>
      </c>
      <c r="D1251" t="s">
        <v>227</v>
      </c>
      <c r="E1251" t="str">
        <f t="shared" si="22"/>
        <v>1237LC03PT</v>
      </c>
      <c r="F1251">
        <f>VLOOKUP(B1251,Course!$A$2:$R$329,2,FALSE)</f>
        <v>0</v>
      </c>
      <c r="G1251">
        <f>VLOOKUP(B1251, Course!$A$2:$L$150, 8, FALSE)</f>
        <v>12</v>
      </c>
      <c r="H1251">
        <v>3</v>
      </c>
      <c r="I1251">
        <v>1</v>
      </c>
      <c r="K1251" t="s">
        <v>1581</v>
      </c>
      <c r="L1251" t="str">
        <f>VLOOKUP(B1251, Course!$A$1:$O$133, 14, FALSE)</f>
        <v>LC</v>
      </c>
      <c r="M1251">
        <v>1</v>
      </c>
    </row>
    <row r="1252" spans="1:13" x14ac:dyDescent="0.2">
      <c r="A1252">
        <v>1255</v>
      </c>
      <c r="B1252">
        <v>131</v>
      </c>
      <c r="C1252">
        <v>138</v>
      </c>
      <c r="D1252" t="s">
        <v>227</v>
      </c>
      <c r="E1252" t="str">
        <f t="shared" si="22"/>
        <v>1238LC03PT</v>
      </c>
      <c r="F1252">
        <f>VLOOKUP(B1252,Course!$A$2:$R$329,2,FALSE)</f>
        <v>0</v>
      </c>
      <c r="G1252">
        <f>VLOOKUP(B1252, Course!$A$2:$L$150, 8, FALSE)</f>
        <v>12</v>
      </c>
      <c r="H1252">
        <v>3</v>
      </c>
      <c r="I1252">
        <v>1</v>
      </c>
      <c r="K1252" t="s">
        <v>1581</v>
      </c>
      <c r="L1252" t="str">
        <f>VLOOKUP(B1252, Course!$A$1:$O$133, 14, FALSE)</f>
        <v>LC</v>
      </c>
      <c r="M1252">
        <v>1</v>
      </c>
    </row>
    <row r="1253" spans="1:13" x14ac:dyDescent="0.2">
      <c r="A1253">
        <v>1256</v>
      </c>
      <c r="B1253">
        <v>131</v>
      </c>
      <c r="C1253">
        <v>139</v>
      </c>
      <c r="D1253" t="s">
        <v>227</v>
      </c>
      <c r="E1253" t="str">
        <f t="shared" si="22"/>
        <v>1239LC03PT</v>
      </c>
      <c r="F1253">
        <f>VLOOKUP(B1253,Course!$A$2:$R$329,2,FALSE)</f>
        <v>0</v>
      </c>
      <c r="G1253">
        <f>VLOOKUP(B1253, Course!$A$2:$L$150, 8, FALSE)</f>
        <v>12</v>
      </c>
      <c r="H1253">
        <v>3</v>
      </c>
      <c r="I1253">
        <v>1</v>
      </c>
      <c r="K1253" t="s">
        <v>1581</v>
      </c>
      <c r="L1253" t="str">
        <f>VLOOKUP(B1253, Course!$A$1:$O$133, 14, FALSE)</f>
        <v>LC</v>
      </c>
      <c r="M1253">
        <v>1</v>
      </c>
    </row>
    <row r="1254" spans="1:13" x14ac:dyDescent="0.2">
      <c r="A1254">
        <v>1257</v>
      </c>
      <c r="B1254">
        <v>131</v>
      </c>
      <c r="C1254">
        <v>140</v>
      </c>
      <c r="D1254" t="s">
        <v>227</v>
      </c>
      <c r="E1254" t="str">
        <f t="shared" si="22"/>
        <v>1240LC03PT</v>
      </c>
      <c r="F1254">
        <f>VLOOKUP(B1254,Course!$A$2:$R$329,2,FALSE)</f>
        <v>0</v>
      </c>
      <c r="G1254">
        <f>VLOOKUP(B1254, Course!$A$2:$L$150, 8, FALSE)</f>
        <v>12</v>
      </c>
      <c r="H1254">
        <v>3</v>
      </c>
      <c r="I1254">
        <v>1</v>
      </c>
      <c r="K1254" t="s">
        <v>1581</v>
      </c>
      <c r="L1254" t="str">
        <f>VLOOKUP(B1254, Course!$A$1:$O$133, 14, FALSE)</f>
        <v>LC</v>
      </c>
      <c r="M1254">
        <v>1</v>
      </c>
    </row>
    <row r="1255" spans="1:13" x14ac:dyDescent="0.2">
      <c r="A1255">
        <v>1258</v>
      </c>
      <c r="B1255">
        <v>131</v>
      </c>
      <c r="C1255">
        <v>141</v>
      </c>
      <c r="D1255" t="s">
        <v>227</v>
      </c>
      <c r="E1255" t="str">
        <f t="shared" si="22"/>
        <v>1241LC03PT</v>
      </c>
      <c r="F1255">
        <f>VLOOKUP(B1255,Course!$A$2:$R$329,2,FALSE)</f>
        <v>0</v>
      </c>
      <c r="G1255">
        <f>VLOOKUP(B1255, Course!$A$2:$L$150, 8, FALSE)</f>
        <v>12</v>
      </c>
      <c r="H1255">
        <v>3</v>
      </c>
      <c r="I1255">
        <v>1</v>
      </c>
      <c r="K1255" t="s">
        <v>1581</v>
      </c>
      <c r="L1255" t="str">
        <f>VLOOKUP(B1255, Course!$A$1:$O$133, 14, FALSE)</f>
        <v>LC</v>
      </c>
      <c r="M1255">
        <v>1</v>
      </c>
    </row>
    <row r="1256" spans="1:13" x14ac:dyDescent="0.2">
      <c r="A1256">
        <v>1259</v>
      </c>
      <c r="B1256">
        <v>131</v>
      </c>
      <c r="C1256">
        <v>142</v>
      </c>
      <c r="D1256" t="s">
        <v>227</v>
      </c>
      <c r="E1256" t="str">
        <f t="shared" si="22"/>
        <v>1242LC03PT</v>
      </c>
      <c r="F1256">
        <f>VLOOKUP(B1256,Course!$A$2:$R$329,2,FALSE)</f>
        <v>0</v>
      </c>
      <c r="G1256">
        <f>VLOOKUP(B1256, Course!$A$2:$L$150, 8, FALSE)</f>
        <v>12</v>
      </c>
      <c r="H1256">
        <v>3</v>
      </c>
      <c r="I1256">
        <v>1</v>
      </c>
      <c r="K1256" t="s">
        <v>1581</v>
      </c>
      <c r="L1256" t="str">
        <f>VLOOKUP(B1256, Course!$A$1:$O$133, 14, FALSE)</f>
        <v>LC</v>
      </c>
      <c r="M1256">
        <v>1</v>
      </c>
    </row>
    <row r="1257" spans="1:13" x14ac:dyDescent="0.2">
      <c r="A1257">
        <v>1260</v>
      </c>
      <c r="B1257">
        <v>131</v>
      </c>
      <c r="C1257">
        <v>143</v>
      </c>
      <c r="D1257" t="s">
        <v>227</v>
      </c>
      <c r="E1257" t="str">
        <f t="shared" si="22"/>
        <v>1243LC03PT</v>
      </c>
      <c r="F1257">
        <f>VLOOKUP(B1257,Course!$A$2:$R$329,2,FALSE)</f>
        <v>0</v>
      </c>
      <c r="G1257">
        <f>VLOOKUP(B1257, Course!$A$2:$L$150, 8, FALSE)</f>
        <v>12</v>
      </c>
      <c r="H1257">
        <v>3</v>
      </c>
      <c r="I1257">
        <v>1</v>
      </c>
      <c r="K1257" t="s">
        <v>1581</v>
      </c>
      <c r="L1257" t="str">
        <f>VLOOKUP(B1257, Course!$A$1:$O$133, 14, FALSE)</f>
        <v>LC</v>
      </c>
      <c r="M1257">
        <v>1</v>
      </c>
    </row>
    <row r="1258" spans="1:13" x14ac:dyDescent="0.2">
      <c r="A1258">
        <v>1261</v>
      </c>
      <c r="B1258">
        <v>131</v>
      </c>
      <c r="C1258">
        <v>144</v>
      </c>
      <c r="D1258" t="s">
        <v>227</v>
      </c>
      <c r="E1258" t="str">
        <f t="shared" si="22"/>
        <v>1244LC03PT</v>
      </c>
      <c r="F1258">
        <f>VLOOKUP(B1258,Course!$A$2:$R$329,2,FALSE)</f>
        <v>0</v>
      </c>
      <c r="G1258">
        <f>VLOOKUP(B1258, Course!$A$2:$L$150, 8, FALSE)</f>
        <v>12</v>
      </c>
      <c r="H1258">
        <v>3</v>
      </c>
      <c r="I1258">
        <v>1</v>
      </c>
      <c r="K1258" t="s">
        <v>1581</v>
      </c>
      <c r="L1258" t="str">
        <f>VLOOKUP(B1258, Course!$A$1:$O$133, 14, FALSE)</f>
        <v>LC</v>
      </c>
      <c r="M1258">
        <v>1</v>
      </c>
    </row>
    <row r="1259" spans="1:13" x14ac:dyDescent="0.2">
      <c r="A1259">
        <v>1262</v>
      </c>
      <c r="B1259">
        <v>129</v>
      </c>
      <c r="C1259">
        <v>1</v>
      </c>
      <c r="D1259" t="s">
        <v>414</v>
      </c>
      <c r="E1259" t="str">
        <f t="shared" ref="E1259:E1264" si="23">UPPER(LEFT(G1259,2)) &amp; RIGHT("0" &amp; C1259, 2) &amp; D1259 &amp; RIGHT("0" &amp; H1259, 2) &amp; K1259</f>
        <v>601IB03PT</v>
      </c>
      <c r="F1259">
        <f>VLOOKUP(B1259,Course!$A$2:$R$329,2,FALSE)</f>
        <v>0</v>
      </c>
      <c r="G1259">
        <f>VLOOKUP(B1259, Course!$A$2:$L$150, 8, FALSE)</f>
        <v>6</v>
      </c>
      <c r="H1259">
        <v>3</v>
      </c>
      <c r="I1259">
        <v>1</v>
      </c>
      <c r="K1259" t="s">
        <v>1581</v>
      </c>
      <c r="L1259" t="str">
        <f>VLOOKUP(B1259, Course!$A$1:$O$133, 14, FALSE)</f>
        <v>IB</v>
      </c>
      <c r="M1259">
        <v>1</v>
      </c>
    </row>
    <row r="1260" spans="1:13" x14ac:dyDescent="0.2">
      <c r="A1260">
        <v>1263</v>
      </c>
      <c r="B1260">
        <v>129</v>
      </c>
      <c r="C1260">
        <v>2</v>
      </c>
      <c r="D1260" t="s">
        <v>414</v>
      </c>
      <c r="E1260" t="str">
        <f t="shared" si="23"/>
        <v>602IB03PT</v>
      </c>
      <c r="F1260">
        <f>VLOOKUP(B1260,Course!$A$2:$R$329,2,FALSE)</f>
        <v>0</v>
      </c>
      <c r="G1260">
        <f>VLOOKUP(B1260, Course!$A$2:$L$150, 8, FALSE)</f>
        <v>6</v>
      </c>
      <c r="H1260">
        <v>3</v>
      </c>
      <c r="I1260">
        <v>1</v>
      </c>
      <c r="K1260" t="s">
        <v>1581</v>
      </c>
      <c r="L1260" t="str">
        <f>VLOOKUP(B1260, Course!$A$1:$O$133, 14, FALSE)</f>
        <v>IB</v>
      </c>
      <c r="M1260">
        <v>1</v>
      </c>
    </row>
    <row r="1261" spans="1:13" x14ac:dyDescent="0.2">
      <c r="A1261">
        <v>1264</v>
      </c>
      <c r="B1261">
        <v>129</v>
      </c>
      <c r="C1261">
        <v>3</v>
      </c>
      <c r="D1261" t="s">
        <v>414</v>
      </c>
      <c r="E1261" t="str">
        <f t="shared" si="23"/>
        <v>603IB03PT</v>
      </c>
      <c r="F1261">
        <f>VLOOKUP(B1261,Course!$A$2:$R$329,2,FALSE)</f>
        <v>0</v>
      </c>
      <c r="G1261">
        <f>VLOOKUP(B1261, Course!$A$2:$L$150, 8, FALSE)</f>
        <v>6</v>
      </c>
      <c r="H1261">
        <v>3</v>
      </c>
      <c r="I1261">
        <v>1</v>
      </c>
      <c r="K1261" t="s">
        <v>1581</v>
      </c>
      <c r="L1261" t="str">
        <f>VLOOKUP(B1261, Course!$A$1:$O$133, 14, FALSE)</f>
        <v>IB</v>
      </c>
      <c r="M1261">
        <v>1</v>
      </c>
    </row>
    <row r="1262" spans="1:13" x14ac:dyDescent="0.2">
      <c r="A1262">
        <v>1265</v>
      </c>
      <c r="B1262">
        <v>129</v>
      </c>
      <c r="C1262">
        <v>4</v>
      </c>
      <c r="D1262" t="s">
        <v>414</v>
      </c>
      <c r="E1262" t="str">
        <f t="shared" si="23"/>
        <v>604IB03PT</v>
      </c>
      <c r="F1262">
        <f>VLOOKUP(B1262,Course!$A$2:$R$329,2,FALSE)</f>
        <v>0</v>
      </c>
      <c r="G1262">
        <f>VLOOKUP(B1262, Course!$A$2:$L$150, 8, FALSE)</f>
        <v>6</v>
      </c>
      <c r="H1262">
        <v>3</v>
      </c>
      <c r="I1262">
        <v>1</v>
      </c>
      <c r="K1262" t="s">
        <v>1581</v>
      </c>
      <c r="L1262" t="str">
        <f>VLOOKUP(B1262, Course!$A$1:$O$133, 14, FALSE)</f>
        <v>IB</v>
      </c>
      <c r="M1262">
        <v>1</v>
      </c>
    </row>
    <row r="1263" spans="1:13" x14ac:dyDescent="0.2">
      <c r="A1263">
        <v>1266</v>
      </c>
      <c r="B1263">
        <v>129</v>
      </c>
      <c r="C1263">
        <v>5</v>
      </c>
      <c r="D1263" t="s">
        <v>414</v>
      </c>
      <c r="E1263" t="str">
        <f t="shared" si="23"/>
        <v>605IB03PT</v>
      </c>
      <c r="F1263">
        <f>VLOOKUP(B1263,Course!$A$2:$R$329,2,FALSE)</f>
        <v>0</v>
      </c>
      <c r="G1263">
        <f>VLOOKUP(B1263, Course!$A$2:$L$150, 8, FALSE)</f>
        <v>6</v>
      </c>
      <c r="H1263">
        <v>3</v>
      </c>
      <c r="I1263">
        <v>1</v>
      </c>
      <c r="K1263" t="s">
        <v>1581</v>
      </c>
      <c r="L1263" t="str">
        <f>VLOOKUP(B1263, Course!$A$1:$O$133, 14, FALSE)</f>
        <v>IB</v>
      </c>
      <c r="M1263">
        <v>1</v>
      </c>
    </row>
    <row r="1264" spans="1:13" x14ac:dyDescent="0.2">
      <c r="A1264">
        <v>1267</v>
      </c>
      <c r="B1264">
        <v>129</v>
      </c>
      <c r="C1264">
        <v>6</v>
      </c>
      <c r="D1264" t="s">
        <v>414</v>
      </c>
      <c r="E1264" t="str">
        <f t="shared" si="23"/>
        <v>606IB03PT</v>
      </c>
      <c r="F1264">
        <f>VLOOKUP(B1264,Course!$A$2:$R$329,2,FALSE)</f>
        <v>0</v>
      </c>
      <c r="G1264">
        <f>VLOOKUP(B1264, Course!$A$2:$L$150, 8, FALSE)</f>
        <v>6</v>
      </c>
      <c r="H1264">
        <v>3</v>
      </c>
      <c r="I1264">
        <v>1</v>
      </c>
      <c r="K1264" t="s">
        <v>1581</v>
      </c>
      <c r="L1264" t="str">
        <f>VLOOKUP(B1264, Course!$A$1:$O$133, 14, FALSE)</f>
        <v>IB</v>
      </c>
      <c r="M1264">
        <v>1</v>
      </c>
    </row>
    <row r="1265" spans="1:13" x14ac:dyDescent="0.2">
      <c r="A1265">
        <v>1268</v>
      </c>
      <c r="B1265">
        <v>147</v>
      </c>
      <c r="C1265">
        <v>49</v>
      </c>
      <c r="D1265" t="s">
        <v>285</v>
      </c>
      <c r="E1265" t="str">
        <f t="shared" ref="E1265:E1306" si="24">UPPER(LEFT(G1265,2)) &amp; RIGHT("0" &amp; C1265, 2) &amp; D1265 &amp; RIGHT("0" &amp; H1265, 2) &amp; K1265</f>
        <v>1249UK03PT</v>
      </c>
      <c r="F1265">
        <f>VLOOKUP(B1265,Course!$A$2:$R$329,2,FALSE)</f>
        <v>0</v>
      </c>
      <c r="G1265">
        <f>VLOOKUP(B1265, Course!$A$2:$L$150, 8, FALSE)</f>
        <v>12</v>
      </c>
      <c r="H1265">
        <v>3</v>
      </c>
      <c r="I1265">
        <v>1</v>
      </c>
      <c r="K1265" t="s">
        <v>1581</v>
      </c>
      <c r="L1265" t="e">
        <f>VLOOKUP(B1265, Course!$A$1:$O$133, 14, FALSE)</f>
        <v>#N/A</v>
      </c>
      <c r="M1265">
        <v>1</v>
      </c>
    </row>
    <row r="1266" spans="1:13" x14ac:dyDescent="0.2">
      <c r="A1266">
        <v>1269</v>
      </c>
      <c r="B1266">
        <v>147</v>
      </c>
      <c r="C1266">
        <v>50</v>
      </c>
      <c r="D1266" t="s">
        <v>285</v>
      </c>
      <c r="E1266" t="str">
        <f t="shared" si="24"/>
        <v>1250UK03PT</v>
      </c>
      <c r="F1266">
        <f>VLOOKUP(B1266,Course!$A$2:$R$329,2,FALSE)</f>
        <v>0</v>
      </c>
      <c r="G1266">
        <f>VLOOKUP(B1266, Course!$A$2:$L$150, 8, FALSE)</f>
        <v>12</v>
      </c>
      <c r="H1266">
        <v>3</v>
      </c>
      <c r="I1266">
        <v>1</v>
      </c>
      <c r="K1266" t="s">
        <v>1581</v>
      </c>
      <c r="L1266" t="e">
        <f>VLOOKUP(B1266, Course!$A$1:$O$133, 14, FALSE)</f>
        <v>#N/A</v>
      </c>
      <c r="M1266">
        <v>1</v>
      </c>
    </row>
    <row r="1267" spans="1:13" x14ac:dyDescent="0.2">
      <c r="A1267">
        <v>1270</v>
      </c>
      <c r="B1267">
        <v>147</v>
      </c>
      <c r="C1267">
        <v>51</v>
      </c>
      <c r="D1267" t="s">
        <v>285</v>
      </c>
      <c r="E1267" t="str">
        <f t="shared" si="24"/>
        <v>1251UK03PT</v>
      </c>
      <c r="F1267">
        <f>VLOOKUP(B1267,Course!$A$2:$R$329,2,FALSE)</f>
        <v>0</v>
      </c>
      <c r="G1267">
        <f>VLOOKUP(B1267, Course!$A$2:$L$150, 8, FALSE)</f>
        <v>12</v>
      </c>
      <c r="H1267">
        <v>3</v>
      </c>
      <c r="I1267">
        <v>1</v>
      </c>
      <c r="K1267" t="s">
        <v>1581</v>
      </c>
      <c r="L1267" t="e">
        <f>VLOOKUP(B1267, Course!$A$1:$O$133, 14, FALSE)</f>
        <v>#N/A</v>
      </c>
      <c r="M1267">
        <v>1</v>
      </c>
    </row>
    <row r="1268" spans="1:13" x14ac:dyDescent="0.2">
      <c r="A1268">
        <v>1271</v>
      </c>
      <c r="B1268">
        <v>147</v>
      </c>
      <c r="C1268">
        <v>52</v>
      </c>
      <c r="D1268" t="s">
        <v>285</v>
      </c>
      <c r="E1268" t="str">
        <f t="shared" si="24"/>
        <v>1252UK03PT</v>
      </c>
      <c r="F1268">
        <f>VLOOKUP(B1268,Course!$A$2:$R$329,2,FALSE)</f>
        <v>0</v>
      </c>
      <c r="G1268">
        <f>VLOOKUP(B1268, Course!$A$2:$L$150, 8, FALSE)</f>
        <v>12</v>
      </c>
      <c r="H1268">
        <v>3</v>
      </c>
      <c r="I1268">
        <v>1</v>
      </c>
      <c r="K1268" t="s">
        <v>1581</v>
      </c>
      <c r="L1268" t="e">
        <f>VLOOKUP(B1268, Course!$A$1:$O$133, 14, FALSE)</f>
        <v>#N/A</v>
      </c>
      <c r="M1268">
        <v>1</v>
      </c>
    </row>
    <row r="1269" spans="1:13" x14ac:dyDescent="0.2">
      <c r="A1269">
        <v>1272</v>
      </c>
      <c r="B1269">
        <v>147</v>
      </c>
      <c r="C1269">
        <v>53</v>
      </c>
      <c r="D1269" t="s">
        <v>285</v>
      </c>
      <c r="E1269" t="str">
        <f t="shared" si="24"/>
        <v>1253UK03PT</v>
      </c>
      <c r="F1269">
        <f>VLOOKUP(B1269,Course!$A$2:$R$329,2,FALSE)</f>
        <v>0</v>
      </c>
      <c r="G1269">
        <f>VLOOKUP(B1269, Course!$A$2:$L$150, 8, FALSE)</f>
        <v>12</v>
      </c>
      <c r="H1269">
        <v>3</v>
      </c>
      <c r="I1269">
        <v>1</v>
      </c>
      <c r="K1269" t="s">
        <v>1581</v>
      </c>
      <c r="L1269" t="e">
        <f>VLOOKUP(B1269, Course!$A$1:$O$133, 14, FALSE)</f>
        <v>#N/A</v>
      </c>
      <c r="M1269">
        <v>1</v>
      </c>
    </row>
    <row r="1270" spans="1:13" x14ac:dyDescent="0.2">
      <c r="A1270">
        <v>1273</v>
      </c>
      <c r="B1270">
        <v>147</v>
      </c>
      <c r="C1270">
        <v>54</v>
      </c>
      <c r="D1270" t="s">
        <v>285</v>
      </c>
      <c r="E1270" t="str">
        <f t="shared" si="24"/>
        <v>1254UK03PT</v>
      </c>
      <c r="F1270">
        <f>VLOOKUP(B1270,Course!$A$2:$R$329,2,FALSE)</f>
        <v>0</v>
      </c>
      <c r="G1270">
        <f>VLOOKUP(B1270, Course!$A$2:$L$150, 8, FALSE)</f>
        <v>12</v>
      </c>
      <c r="H1270">
        <v>3</v>
      </c>
      <c r="I1270">
        <v>1</v>
      </c>
      <c r="K1270" t="s">
        <v>1581</v>
      </c>
      <c r="L1270" t="e">
        <f>VLOOKUP(B1270, Course!$A$1:$O$133, 14, FALSE)</f>
        <v>#N/A</v>
      </c>
      <c r="M1270">
        <v>1</v>
      </c>
    </row>
    <row r="1271" spans="1:13" x14ac:dyDescent="0.2">
      <c r="A1271">
        <v>1274</v>
      </c>
      <c r="B1271">
        <v>147</v>
      </c>
      <c r="C1271">
        <v>55</v>
      </c>
      <c r="D1271" t="s">
        <v>285</v>
      </c>
      <c r="E1271" t="str">
        <f t="shared" si="24"/>
        <v>1255UK03PT</v>
      </c>
      <c r="F1271">
        <f>VLOOKUP(B1271,Course!$A$2:$R$329,2,FALSE)</f>
        <v>0</v>
      </c>
      <c r="G1271">
        <f>VLOOKUP(B1271, Course!$A$2:$L$150, 8, FALSE)</f>
        <v>12</v>
      </c>
      <c r="H1271">
        <v>3</v>
      </c>
      <c r="I1271">
        <v>1</v>
      </c>
      <c r="K1271" t="s">
        <v>1581</v>
      </c>
      <c r="L1271" t="e">
        <f>VLOOKUP(B1271, Course!$A$1:$O$133, 14, FALSE)</f>
        <v>#N/A</v>
      </c>
      <c r="M1271">
        <v>1</v>
      </c>
    </row>
    <row r="1272" spans="1:13" x14ac:dyDescent="0.2">
      <c r="A1272">
        <v>1275</v>
      </c>
      <c r="B1272">
        <v>147</v>
      </c>
      <c r="C1272">
        <v>56</v>
      </c>
      <c r="D1272" t="s">
        <v>285</v>
      </c>
      <c r="E1272" t="str">
        <f t="shared" si="24"/>
        <v>1256UK03PT</v>
      </c>
      <c r="F1272">
        <f>VLOOKUP(B1272,Course!$A$2:$R$329,2,FALSE)</f>
        <v>0</v>
      </c>
      <c r="G1272">
        <f>VLOOKUP(B1272, Course!$A$2:$L$150, 8, FALSE)</f>
        <v>12</v>
      </c>
      <c r="H1272">
        <v>3</v>
      </c>
      <c r="I1272">
        <v>1</v>
      </c>
      <c r="K1272" t="s">
        <v>1581</v>
      </c>
      <c r="L1272" t="e">
        <f>VLOOKUP(B1272, Course!$A$1:$O$133, 14, FALSE)</f>
        <v>#N/A</v>
      </c>
      <c r="M1272">
        <v>1</v>
      </c>
    </row>
    <row r="1273" spans="1:13" x14ac:dyDescent="0.2">
      <c r="A1273">
        <v>1276</v>
      </c>
      <c r="B1273">
        <v>147</v>
      </c>
      <c r="C1273">
        <v>57</v>
      </c>
      <c r="D1273" t="s">
        <v>285</v>
      </c>
      <c r="E1273" t="str">
        <f t="shared" si="24"/>
        <v>1257UK03PT</v>
      </c>
      <c r="F1273">
        <f>VLOOKUP(B1273,Course!$A$2:$R$329,2,FALSE)</f>
        <v>0</v>
      </c>
      <c r="G1273">
        <f>VLOOKUP(B1273, Course!$A$2:$L$150, 8, FALSE)</f>
        <v>12</v>
      </c>
      <c r="H1273">
        <v>3</v>
      </c>
      <c r="I1273">
        <v>1</v>
      </c>
      <c r="K1273" t="s">
        <v>1581</v>
      </c>
      <c r="L1273" t="e">
        <f>VLOOKUP(B1273, Course!$A$1:$O$133, 14, FALSE)</f>
        <v>#N/A</v>
      </c>
      <c r="M1273">
        <v>1</v>
      </c>
    </row>
    <row r="1274" spans="1:13" x14ac:dyDescent="0.2">
      <c r="A1274">
        <v>1277</v>
      </c>
      <c r="B1274">
        <v>147</v>
      </c>
      <c r="C1274">
        <v>58</v>
      </c>
      <c r="D1274" t="s">
        <v>285</v>
      </c>
      <c r="E1274" t="str">
        <f t="shared" si="24"/>
        <v>1258UK03PT</v>
      </c>
      <c r="F1274">
        <f>VLOOKUP(B1274,Course!$A$2:$R$329,2,FALSE)</f>
        <v>0</v>
      </c>
      <c r="G1274">
        <f>VLOOKUP(B1274, Course!$A$2:$L$150, 8, FALSE)</f>
        <v>12</v>
      </c>
      <c r="H1274">
        <v>3</v>
      </c>
      <c r="I1274">
        <v>1</v>
      </c>
      <c r="K1274" t="s">
        <v>1581</v>
      </c>
      <c r="L1274" t="e">
        <f>VLOOKUP(B1274, Course!$A$1:$O$133, 14, FALSE)</f>
        <v>#N/A</v>
      </c>
      <c r="M1274">
        <v>1</v>
      </c>
    </row>
    <row r="1275" spans="1:13" x14ac:dyDescent="0.2">
      <c r="A1275">
        <v>1278</v>
      </c>
      <c r="B1275">
        <v>147</v>
      </c>
      <c r="C1275">
        <v>59</v>
      </c>
      <c r="D1275" t="s">
        <v>285</v>
      </c>
      <c r="E1275" t="str">
        <f t="shared" si="24"/>
        <v>1259UK03PT</v>
      </c>
      <c r="F1275">
        <f>VLOOKUP(B1275,Course!$A$2:$R$329,2,FALSE)</f>
        <v>0</v>
      </c>
      <c r="G1275">
        <f>VLOOKUP(B1275, Course!$A$2:$L$150, 8, FALSE)</f>
        <v>12</v>
      </c>
      <c r="H1275">
        <v>3</v>
      </c>
      <c r="I1275">
        <v>1</v>
      </c>
      <c r="K1275" t="s">
        <v>1581</v>
      </c>
      <c r="L1275" t="e">
        <f>VLOOKUP(B1275, Course!$A$1:$O$133, 14, FALSE)</f>
        <v>#N/A</v>
      </c>
      <c r="M1275">
        <v>1</v>
      </c>
    </row>
    <row r="1276" spans="1:13" x14ac:dyDescent="0.2">
      <c r="A1276">
        <v>1279</v>
      </c>
      <c r="B1276">
        <v>147</v>
      </c>
      <c r="C1276">
        <v>60</v>
      </c>
      <c r="D1276" t="s">
        <v>285</v>
      </c>
      <c r="E1276" t="str">
        <f t="shared" si="24"/>
        <v>1260UK03PT</v>
      </c>
      <c r="F1276">
        <f>VLOOKUP(B1276,Course!$A$2:$R$329,2,FALSE)</f>
        <v>0</v>
      </c>
      <c r="G1276">
        <f>VLOOKUP(B1276, Course!$A$2:$L$150, 8, FALSE)</f>
        <v>12</v>
      </c>
      <c r="H1276">
        <v>3</v>
      </c>
      <c r="I1276">
        <v>1</v>
      </c>
      <c r="K1276" t="s">
        <v>1581</v>
      </c>
      <c r="L1276" t="e">
        <f>VLOOKUP(B1276, Course!$A$1:$O$133, 14, FALSE)</f>
        <v>#N/A</v>
      </c>
      <c r="M1276">
        <v>1</v>
      </c>
    </row>
    <row r="1277" spans="1:13" x14ac:dyDescent="0.2">
      <c r="A1277">
        <v>1280</v>
      </c>
      <c r="B1277">
        <v>148</v>
      </c>
      <c r="C1277">
        <v>109</v>
      </c>
      <c r="D1277" t="s">
        <v>1844</v>
      </c>
      <c r="E1277" t="str">
        <f t="shared" si="24"/>
        <v>1209US03PT</v>
      </c>
      <c r="F1277">
        <f>VLOOKUP(B1277,Course!$A$2:$R$329,2,FALSE)</f>
        <v>0</v>
      </c>
      <c r="G1277">
        <f>VLOOKUP(B1277, Course!$A$2:$L$150, 8, FALSE)</f>
        <v>12</v>
      </c>
      <c r="H1277">
        <v>3</v>
      </c>
      <c r="I1277">
        <v>1</v>
      </c>
      <c r="K1277" t="s">
        <v>1581</v>
      </c>
      <c r="L1277" t="e">
        <f>VLOOKUP(B1277, Course!$A$1:$O$133, 14, FALSE)</f>
        <v>#N/A</v>
      </c>
      <c r="M1277">
        <v>1</v>
      </c>
    </row>
    <row r="1278" spans="1:13" x14ac:dyDescent="0.2">
      <c r="A1278">
        <v>1281</v>
      </c>
      <c r="B1278">
        <v>148</v>
      </c>
      <c r="C1278">
        <v>110</v>
      </c>
      <c r="D1278" t="s">
        <v>1844</v>
      </c>
      <c r="E1278" t="str">
        <f t="shared" si="24"/>
        <v>1210US03PT</v>
      </c>
      <c r="F1278">
        <f>VLOOKUP(B1278,Course!$A$2:$R$329,2,FALSE)</f>
        <v>0</v>
      </c>
      <c r="G1278">
        <f>VLOOKUP(B1278, Course!$A$2:$L$150, 8, FALSE)</f>
        <v>12</v>
      </c>
      <c r="H1278">
        <v>3</v>
      </c>
      <c r="I1278">
        <v>1</v>
      </c>
      <c r="K1278" t="s">
        <v>1581</v>
      </c>
      <c r="L1278" t="e">
        <f>VLOOKUP(B1278, Course!$A$1:$O$133, 14, FALSE)</f>
        <v>#N/A</v>
      </c>
      <c r="M1278">
        <v>1</v>
      </c>
    </row>
    <row r="1279" spans="1:13" x14ac:dyDescent="0.2">
      <c r="A1279">
        <v>1282</v>
      </c>
      <c r="B1279">
        <v>148</v>
      </c>
      <c r="C1279">
        <v>111</v>
      </c>
      <c r="D1279" t="s">
        <v>1844</v>
      </c>
      <c r="E1279" t="str">
        <f t="shared" si="24"/>
        <v>1211US03PT</v>
      </c>
      <c r="F1279">
        <f>VLOOKUP(B1279,Course!$A$2:$R$329,2,FALSE)</f>
        <v>0</v>
      </c>
      <c r="G1279">
        <f>VLOOKUP(B1279, Course!$A$2:$L$150, 8, FALSE)</f>
        <v>12</v>
      </c>
      <c r="H1279">
        <v>3</v>
      </c>
      <c r="I1279">
        <v>1</v>
      </c>
      <c r="K1279" t="s">
        <v>1581</v>
      </c>
      <c r="L1279" t="e">
        <f>VLOOKUP(B1279, Course!$A$1:$O$133, 14, FALSE)</f>
        <v>#N/A</v>
      </c>
      <c r="M1279">
        <v>1</v>
      </c>
    </row>
    <row r="1280" spans="1:13" x14ac:dyDescent="0.2">
      <c r="A1280">
        <v>1283</v>
      </c>
      <c r="B1280">
        <v>148</v>
      </c>
      <c r="C1280">
        <v>112</v>
      </c>
      <c r="D1280" t="s">
        <v>1844</v>
      </c>
      <c r="E1280" t="str">
        <f t="shared" si="24"/>
        <v>1212US03PT</v>
      </c>
      <c r="F1280">
        <f>VLOOKUP(B1280,Course!$A$2:$R$329,2,FALSE)</f>
        <v>0</v>
      </c>
      <c r="G1280">
        <f>VLOOKUP(B1280, Course!$A$2:$L$150, 8, FALSE)</f>
        <v>12</v>
      </c>
      <c r="H1280">
        <v>3</v>
      </c>
      <c r="I1280">
        <v>1</v>
      </c>
      <c r="K1280" t="s">
        <v>1581</v>
      </c>
      <c r="L1280" t="e">
        <f>VLOOKUP(B1280, Course!$A$1:$O$133, 14, FALSE)</f>
        <v>#N/A</v>
      </c>
      <c r="M1280">
        <v>1</v>
      </c>
    </row>
    <row r="1281" spans="1:13" x14ac:dyDescent="0.2">
      <c r="A1281">
        <v>1284</v>
      </c>
      <c r="B1281">
        <v>148</v>
      </c>
      <c r="C1281">
        <v>113</v>
      </c>
      <c r="D1281" t="s">
        <v>1844</v>
      </c>
      <c r="E1281" t="str">
        <f t="shared" si="24"/>
        <v>1213US03PT</v>
      </c>
      <c r="F1281">
        <f>VLOOKUP(B1281,Course!$A$2:$R$329,2,FALSE)</f>
        <v>0</v>
      </c>
      <c r="G1281">
        <f>VLOOKUP(B1281, Course!$A$2:$L$150, 8, FALSE)</f>
        <v>12</v>
      </c>
      <c r="H1281">
        <v>3</v>
      </c>
      <c r="I1281">
        <v>1</v>
      </c>
      <c r="K1281" t="s">
        <v>1581</v>
      </c>
      <c r="L1281" t="e">
        <f>VLOOKUP(B1281, Course!$A$1:$O$133, 14, FALSE)</f>
        <v>#N/A</v>
      </c>
      <c r="M1281">
        <v>1</v>
      </c>
    </row>
    <row r="1282" spans="1:13" x14ac:dyDescent="0.2">
      <c r="A1282">
        <v>1285</v>
      </c>
      <c r="B1282">
        <v>148</v>
      </c>
      <c r="C1282">
        <v>114</v>
      </c>
      <c r="D1282" t="s">
        <v>1844</v>
      </c>
      <c r="E1282" t="str">
        <f t="shared" si="24"/>
        <v>1214US03PT</v>
      </c>
      <c r="F1282">
        <f>VLOOKUP(B1282,Course!$A$2:$R$329,2,FALSE)</f>
        <v>0</v>
      </c>
      <c r="G1282">
        <f>VLOOKUP(B1282, Course!$A$2:$L$150, 8, FALSE)</f>
        <v>12</v>
      </c>
      <c r="H1282">
        <v>3</v>
      </c>
      <c r="I1282">
        <v>1</v>
      </c>
      <c r="K1282" t="s">
        <v>1581</v>
      </c>
      <c r="L1282" t="e">
        <f>VLOOKUP(B1282, Course!$A$1:$O$133, 14, FALSE)</f>
        <v>#N/A</v>
      </c>
      <c r="M1282">
        <v>1</v>
      </c>
    </row>
    <row r="1283" spans="1:13" x14ac:dyDescent="0.2">
      <c r="A1283">
        <v>1286</v>
      </c>
      <c r="B1283">
        <v>148</v>
      </c>
      <c r="C1283">
        <v>115</v>
      </c>
      <c r="D1283" t="s">
        <v>1844</v>
      </c>
      <c r="E1283" t="str">
        <f t="shared" si="24"/>
        <v>1215US03PT</v>
      </c>
      <c r="F1283">
        <f>VLOOKUP(B1283,Course!$A$2:$R$329,2,FALSE)</f>
        <v>0</v>
      </c>
      <c r="G1283">
        <f>VLOOKUP(B1283, Course!$A$2:$L$150, 8, FALSE)</f>
        <v>12</v>
      </c>
      <c r="H1283">
        <v>3</v>
      </c>
      <c r="I1283">
        <v>1</v>
      </c>
      <c r="K1283" t="s">
        <v>1581</v>
      </c>
      <c r="L1283" t="e">
        <f>VLOOKUP(B1283, Course!$A$1:$O$133, 14, FALSE)</f>
        <v>#N/A</v>
      </c>
      <c r="M1283">
        <v>1</v>
      </c>
    </row>
    <row r="1284" spans="1:13" x14ac:dyDescent="0.2">
      <c r="A1284">
        <v>1287</v>
      </c>
      <c r="B1284">
        <v>148</v>
      </c>
      <c r="C1284">
        <v>116</v>
      </c>
      <c r="D1284" t="s">
        <v>1844</v>
      </c>
      <c r="E1284" t="str">
        <f t="shared" si="24"/>
        <v>1216US03PT</v>
      </c>
      <c r="F1284">
        <f>VLOOKUP(B1284,Course!$A$2:$R$329,2,FALSE)</f>
        <v>0</v>
      </c>
      <c r="G1284">
        <f>VLOOKUP(B1284, Course!$A$2:$L$150, 8, FALSE)</f>
        <v>12</v>
      </c>
      <c r="H1284">
        <v>3</v>
      </c>
      <c r="I1284">
        <v>1</v>
      </c>
      <c r="K1284" t="s">
        <v>1581</v>
      </c>
      <c r="L1284" t="e">
        <f>VLOOKUP(B1284, Course!$A$1:$O$133, 14, FALSE)</f>
        <v>#N/A</v>
      </c>
      <c r="M1284">
        <v>1</v>
      </c>
    </row>
    <row r="1285" spans="1:13" x14ac:dyDescent="0.2">
      <c r="A1285">
        <v>1288</v>
      </c>
      <c r="B1285">
        <v>148</v>
      </c>
      <c r="C1285">
        <v>117</v>
      </c>
      <c r="D1285" t="s">
        <v>1844</v>
      </c>
      <c r="E1285" t="str">
        <f t="shared" si="24"/>
        <v>1217US03PT</v>
      </c>
      <c r="F1285">
        <f>VLOOKUP(B1285,Course!$A$2:$R$329,2,FALSE)</f>
        <v>0</v>
      </c>
      <c r="G1285">
        <f>VLOOKUP(B1285, Course!$A$2:$L$150, 8, FALSE)</f>
        <v>12</v>
      </c>
      <c r="H1285">
        <v>3</v>
      </c>
      <c r="I1285">
        <v>1</v>
      </c>
      <c r="K1285" t="s">
        <v>1581</v>
      </c>
      <c r="L1285" t="e">
        <f>VLOOKUP(B1285, Course!$A$1:$O$133, 14, FALSE)</f>
        <v>#N/A</v>
      </c>
      <c r="M1285">
        <v>1</v>
      </c>
    </row>
    <row r="1286" spans="1:13" x14ac:dyDescent="0.2">
      <c r="A1286">
        <v>1289</v>
      </c>
      <c r="B1286">
        <v>148</v>
      </c>
      <c r="C1286">
        <v>118</v>
      </c>
      <c r="D1286" t="s">
        <v>1844</v>
      </c>
      <c r="E1286" t="str">
        <f t="shared" si="24"/>
        <v>1218US03PT</v>
      </c>
      <c r="F1286">
        <f>VLOOKUP(B1286,Course!$A$2:$R$329,2,FALSE)</f>
        <v>0</v>
      </c>
      <c r="G1286">
        <f>VLOOKUP(B1286, Course!$A$2:$L$150, 8, FALSE)</f>
        <v>12</v>
      </c>
      <c r="H1286">
        <v>3</v>
      </c>
      <c r="I1286">
        <v>1</v>
      </c>
      <c r="K1286" t="s">
        <v>1581</v>
      </c>
      <c r="L1286" t="e">
        <f>VLOOKUP(B1286, Course!$A$1:$O$133, 14, FALSE)</f>
        <v>#N/A</v>
      </c>
      <c r="M1286">
        <v>1</v>
      </c>
    </row>
    <row r="1287" spans="1:13" x14ac:dyDescent="0.2">
      <c r="A1287">
        <v>1290</v>
      </c>
      <c r="B1287">
        <v>148</v>
      </c>
      <c r="C1287">
        <v>119</v>
      </c>
      <c r="D1287" t="s">
        <v>1844</v>
      </c>
      <c r="E1287" t="str">
        <f t="shared" si="24"/>
        <v>1219US03PT</v>
      </c>
      <c r="F1287">
        <f>VLOOKUP(B1287,Course!$A$2:$R$329,2,FALSE)</f>
        <v>0</v>
      </c>
      <c r="G1287">
        <f>VLOOKUP(B1287, Course!$A$2:$L$150, 8, FALSE)</f>
        <v>12</v>
      </c>
      <c r="H1287">
        <v>3</v>
      </c>
      <c r="I1287">
        <v>1</v>
      </c>
      <c r="K1287" t="s">
        <v>1581</v>
      </c>
      <c r="L1287" t="e">
        <f>VLOOKUP(B1287, Course!$A$1:$O$133, 14, FALSE)</f>
        <v>#N/A</v>
      </c>
      <c r="M1287">
        <v>1</v>
      </c>
    </row>
    <row r="1288" spans="1:13" x14ac:dyDescent="0.2">
      <c r="A1288">
        <v>1291</v>
      </c>
      <c r="B1288">
        <v>148</v>
      </c>
      <c r="C1288">
        <v>120</v>
      </c>
      <c r="D1288" t="s">
        <v>1844</v>
      </c>
      <c r="E1288" t="str">
        <f t="shared" si="24"/>
        <v>1220US03PT</v>
      </c>
      <c r="F1288">
        <f>VLOOKUP(B1288,Course!$A$2:$R$329,2,FALSE)</f>
        <v>0</v>
      </c>
      <c r="G1288">
        <f>VLOOKUP(B1288, Course!$A$2:$L$150, 8, FALSE)</f>
        <v>12</v>
      </c>
      <c r="H1288">
        <v>3</v>
      </c>
      <c r="I1288">
        <v>1</v>
      </c>
      <c r="K1288" t="s">
        <v>1581</v>
      </c>
      <c r="L1288" t="e">
        <f>VLOOKUP(B1288, Course!$A$1:$O$133, 14, FALSE)</f>
        <v>#N/A</v>
      </c>
      <c r="M1288">
        <v>1</v>
      </c>
    </row>
    <row r="1289" spans="1:13" x14ac:dyDescent="0.2">
      <c r="A1289">
        <v>1292</v>
      </c>
      <c r="B1289">
        <v>149</v>
      </c>
      <c r="C1289">
        <v>13</v>
      </c>
      <c r="D1289" t="s">
        <v>317</v>
      </c>
      <c r="E1289" t="str">
        <f t="shared" si="24"/>
        <v>1213AS03PT</v>
      </c>
      <c r="F1289">
        <f>VLOOKUP(B1289,Course!$A$2:$R$329,2,FALSE)</f>
        <v>0</v>
      </c>
      <c r="G1289">
        <f>VLOOKUP(B1289, Course!$A$2:$L$150, 8, FALSE)</f>
        <v>12</v>
      </c>
      <c r="H1289">
        <v>3</v>
      </c>
      <c r="I1289">
        <v>1</v>
      </c>
      <c r="K1289" t="s">
        <v>1581</v>
      </c>
      <c r="L1289" t="e">
        <f>VLOOKUP(B1289, Course!$A$1:$O$133, 14, FALSE)</f>
        <v>#N/A</v>
      </c>
      <c r="M1289">
        <v>1</v>
      </c>
    </row>
    <row r="1290" spans="1:13" x14ac:dyDescent="0.2">
      <c r="A1290">
        <v>1293</v>
      </c>
      <c r="B1290">
        <v>149</v>
      </c>
      <c r="C1290">
        <v>14</v>
      </c>
      <c r="D1290" t="s">
        <v>317</v>
      </c>
      <c r="E1290" t="str">
        <f t="shared" si="24"/>
        <v>1214AS03PT</v>
      </c>
      <c r="F1290">
        <f>VLOOKUP(B1290,Course!$A$2:$R$329,2,FALSE)</f>
        <v>0</v>
      </c>
      <c r="G1290">
        <f>VLOOKUP(B1290, Course!$A$2:$L$150, 8, FALSE)</f>
        <v>12</v>
      </c>
      <c r="H1290">
        <v>3</v>
      </c>
      <c r="I1290">
        <v>1</v>
      </c>
      <c r="K1290" t="s">
        <v>1581</v>
      </c>
      <c r="L1290" t="e">
        <f>VLOOKUP(B1290, Course!$A$1:$O$133, 14, FALSE)</f>
        <v>#N/A</v>
      </c>
      <c r="M1290">
        <v>1</v>
      </c>
    </row>
    <row r="1291" spans="1:13" x14ac:dyDescent="0.2">
      <c r="A1291">
        <v>1294</v>
      </c>
      <c r="B1291">
        <v>149</v>
      </c>
      <c r="C1291">
        <v>15</v>
      </c>
      <c r="D1291" t="s">
        <v>317</v>
      </c>
      <c r="E1291" t="str">
        <f t="shared" si="24"/>
        <v>1215AS03PT</v>
      </c>
      <c r="F1291">
        <f>VLOOKUP(B1291,Course!$A$2:$R$329,2,FALSE)</f>
        <v>0</v>
      </c>
      <c r="G1291">
        <f>VLOOKUP(B1291, Course!$A$2:$L$150, 8, FALSE)</f>
        <v>12</v>
      </c>
      <c r="H1291">
        <v>3</v>
      </c>
      <c r="I1291">
        <v>1</v>
      </c>
      <c r="K1291" t="s">
        <v>1581</v>
      </c>
      <c r="L1291" t="e">
        <f>VLOOKUP(B1291, Course!$A$1:$O$133, 14, FALSE)</f>
        <v>#N/A</v>
      </c>
      <c r="M1291">
        <v>1</v>
      </c>
    </row>
    <row r="1292" spans="1:13" x14ac:dyDescent="0.2">
      <c r="A1292">
        <v>1295</v>
      </c>
      <c r="B1292">
        <v>149</v>
      </c>
      <c r="C1292">
        <v>16</v>
      </c>
      <c r="D1292" t="s">
        <v>317</v>
      </c>
      <c r="E1292" t="str">
        <f t="shared" si="24"/>
        <v>1216AS03PT</v>
      </c>
      <c r="F1292">
        <f>VLOOKUP(B1292,Course!$A$2:$R$329,2,FALSE)</f>
        <v>0</v>
      </c>
      <c r="G1292">
        <f>VLOOKUP(B1292, Course!$A$2:$L$150, 8, FALSE)</f>
        <v>12</v>
      </c>
      <c r="H1292">
        <v>3</v>
      </c>
      <c r="I1292">
        <v>1</v>
      </c>
      <c r="K1292" t="s">
        <v>1581</v>
      </c>
      <c r="L1292" t="e">
        <f>VLOOKUP(B1292, Course!$A$1:$O$133, 14, FALSE)</f>
        <v>#N/A</v>
      </c>
      <c r="M1292">
        <v>1</v>
      </c>
    </row>
    <row r="1293" spans="1:13" x14ac:dyDescent="0.2">
      <c r="A1293">
        <v>1296</v>
      </c>
      <c r="B1293">
        <v>149</v>
      </c>
      <c r="C1293">
        <v>17</v>
      </c>
      <c r="D1293" t="s">
        <v>317</v>
      </c>
      <c r="E1293" t="str">
        <f t="shared" si="24"/>
        <v>1217AS03PT</v>
      </c>
      <c r="F1293">
        <f>VLOOKUP(B1293,Course!$A$2:$R$329,2,FALSE)</f>
        <v>0</v>
      </c>
      <c r="G1293">
        <f>VLOOKUP(B1293, Course!$A$2:$L$150, 8, FALSE)</f>
        <v>12</v>
      </c>
      <c r="H1293">
        <v>3</v>
      </c>
      <c r="I1293">
        <v>1</v>
      </c>
      <c r="K1293" t="s">
        <v>1581</v>
      </c>
      <c r="L1293" t="e">
        <f>VLOOKUP(B1293, Course!$A$1:$O$133, 14, FALSE)</f>
        <v>#N/A</v>
      </c>
      <c r="M1293">
        <v>1</v>
      </c>
    </row>
    <row r="1294" spans="1:13" x14ac:dyDescent="0.2">
      <c r="A1294">
        <v>1297</v>
      </c>
      <c r="B1294">
        <v>149</v>
      </c>
      <c r="C1294">
        <v>18</v>
      </c>
      <c r="D1294" t="s">
        <v>317</v>
      </c>
      <c r="E1294" t="str">
        <f t="shared" si="24"/>
        <v>1218AS03PT</v>
      </c>
      <c r="F1294">
        <f>VLOOKUP(B1294,Course!$A$2:$R$329,2,FALSE)</f>
        <v>0</v>
      </c>
      <c r="G1294">
        <f>VLOOKUP(B1294, Course!$A$2:$L$150, 8, FALSE)</f>
        <v>12</v>
      </c>
      <c r="H1294">
        <v>3</v>
      </c>
      <c r="I1294">
        <v>1</v>
      </c>
      <c r="K1294" t="s">
        <v>1581</v>
      </c>
      <c r="L1294" t="e">
        <f>VLOOKUP(B1294, Course!$A$1:$O$133, 14, FALSE)</f>
        <v>#N/A</v>
      </c>
      <c r="M1294">
        <v>1</v>
      </c>
    </row>
    <row r="1295" spans="1:13" x14ac:dyDescent="0.2">
      <c r="A1295">
        <v>1298</v>
      </c>
      <c r="B1295">
        <v>149</v>
      </c>
      <c r="C1295">
        <v>19</v>
      </c>
      <c r="D1295" t="s">
        <v>317</v>
      </c>
      <c r="E1295" t="str">
        <f t="shared" si="24"/>
        <v>1219AS03PT</v>
      </c>
      <c r="F1295">
        <f>VLOOKUP(B1295,Course!$A$2:$R$329,2,FALSE)</f>
        <v>0</v>
      </c>
      <c r="G1295">
        <f>VLOOKUP(B1295, Course!$A$2:$L$150, 8, FALSE)</f>
        <v>12</v>
      </c>
      <c r="H1295">
        <v>3</v>
      </c>
      <c r="I1295">
        <v>1</v>
      </c>
      <c r="K1295" t="s">
        <v>1581</v>
      </c>
      <c r="L1295" t="e">
        <f>VLOOKUP(B1295, Course!$A$1:$O$133, 14, FALSE)</f>
        <v>#N/A</v>
      </c>
      <c r="M1295">
        <v>1</v>
      </c>
    </row>
    <row r="1296" spans="1:13" x14ac:dyDescent="0.2">
      <c r="A1296">
        <v>1299</v>
      </c>
      <c r="B1296">
        <v>149</v>
      </c>
      <c r="C1296">
        <v>20</v>
      </c>
      <c r="D1296" t="s">
        <v>317</v>
      </c>
      <c r="E1296" t="str">
        <f t="shared" si="24"/>
        <v>1220AS03PT</v>
      </c>
      <c r="F1296">
        <f>VLOOKUP(B1296,Course!$A$2:$R$329,2,FALSE)</f>
        <v>0</v>
      </c>
      <c r="G1296">
        <f>VLOOKUP(B1296, Course!$A$2:$L$150, 8, FALSE)</f>
        <v>12</v>
      </c>
      <c r="H1296">
        <v>3</v>
      </c>
      <c r="I1296">
        <v>1</v>
      </c>
      <c r="K1296" t="s">
        <v>1581</v>
      </c>
      <c r="L1296" t="e">
        <f>VLOOKUP(B1296, Course!$A$1:$O$133, 14, FALSE)</f>
        <v>#N/A</v>
      </c>
      <c r="M1296">
        <v>1</v>
      </c>
    </row>
    <row r="1297" spans="1:13" x14ac:dyDescent="0.2">
      <c r="A1297">
        <v>1300</v>
      </c>
      <c r="B1297">
        <v>149</v>
      </c>
      <c r="C1297">
        <v>21</v>
      </c>
      <c r="D1297" t="s">
        <v>317</v>
      </c>
      <c r="E1297" t="str">
        <f t="shared" si="24"/>
        <v>1221AS03PT</v>
      </c>
      <c r="F1297">
        <f>VLOOKUP(B1297,Course!$A$2:$R$329,2,FALSE)</f>
        <v>0</v>
      </c>
      <c r="G1297">
        <f>VLOOKUP(B1297, Course!$A$2:$L$150, 8, FALSE)</f>
        <v>12</v>
      </c>
      <c r="H1297">
        <v>3</v>
      </c>
      <c r="I1297">
        <v>1</v>
      </c>
      <c r="K1297" t="s">
        <v>1581</v>
      </c>
      <c r="L1297" t="e">
        <f>VLOOKUP(B1297, Course!$A$1:$O$133, 14, FALSE)</f>
        <v>#N/A</v>
      </c>
      <c r="M1297">
        <v>1</v>
      </c>
    </row>
    <row r="1298" spans="1:13" x14ac:dyDescent="0.2">
      <c r="A1298">
        <v>1301</v>
      </c>
      <c r="B1298">
        <v>149</v>
      </c>
      <c r="C1298">
        <v>22</v>
      </c>
      <c r="D1298" t="s">
        <v>317</v>
      </c>
      <c r="E1298" t="str">
        <f t="shared" si="24"/>
        <v>1222AS03PT</v>
      </c>
      <c r="F1298">
        <f>VLOOKUP(B1298,Course!$A$2:$R$329,2,FALSE)</f>
        <v>0</v>
      </c>
      <c r="G1298">
        <f>VLOOKUP(B1298, Course!$A$2:$L$150, 8, FALSE)</f>
        <v>12</v>
      </c>
      <c r="H1298">
        <v>3</v>
      </c>
      <c r="I1298">
        <v>1</v>
      </c>
      <c r="K1298" t="s">
        <v>1581</v>
      </c>
      <c r="L1298" t="e">
        <f>VLOOKUP(B1298, Course!$A$1:$O$133, 14, FALSE)</f>
        <v>#N/A</v>
      </c>
      <c r="M1298">
        <v>1</v>
      </c>
    </row>
    <row r="1299" spans="1:13" x14ac:dyDescent="0.2">
      <c r="A1299">
        <v>1302</v>
      </c>
      <c r="B1299">
        <v>149</v>
      </c>
      <c r="C1299">
        <v>23</v>
      </c>
      <c r="D1299" t="s">
        <v>317</v>
      </c>
      <c r="E1299" t="str">
        <f t="shared" si="24"/>
        <v>1223AS03PT</v>
      </c>
      <c r="F1299">
        <f>VLOOKUP(B1299,Course!$A$2:$R$329,2,FALSE)</f>
        <v>0</v>
      </c>
      <c r="G1299">
        <f>VLOOKUP(B1299, Course!$A$2:$L$150, 8, FALSE)</f>
        <v>12</v>
      </c>
      <c r="H1299">
        <v>3</v>
      </c>
      <c r="I1299">
        <v>1</v>
      </c>
      <c r="K1299" t="s">
        <v>1581</v>
      </c>
      <c r="L1299" t="e">
        <f>VLOOKUP(B1299, Course!$A$1:$O$133, 14, FALSE)</f>
        <v>#N/A</v>
      </c>
      <c r="M1299">
        <v>1</v>
      </c>
    </row>
    <row r="1300" spans="1:13" x14ac:dyDescent="0.2">
      <c r="A1300">
        <v>1303</v>
      </c>
      <c r="B1300">
        <v>149</v>
      </c>
      <c r="C1300">
        <v>24</v>
      </c>
      <c r="D1300" t="s">
        <v>317</v>
      </c>
      <c r="E1300" t="str">
        <f t="shared" si="24"/>
        <v>1224AS03PT</v>
      </c>
      <c r="F1300">
        <f>VLOOKUP(B1300,Course!$A$2:$R$329,2,FALSE)</f>
        <v>0</v>
      </c>
      <c r="G1300">
        <f>VLOOKUP(B1300, Course!$A$2:$L$150, 8, FALSE)</f>
        <v>12</v>
      </c>
      <c r="H1300">
        <v>3</v>
      </c>
      <c r="I1300">
        <v>1</v>
      </c>
      <c r="K1300" t="s">
        <v>1581</v>
      </c>
      <c r="L1300" t="e">
        <f>VLOOKUP(B1300, Course!$A$1:$O$133, 14, FALSE)</f>
        <v>#N/A</v>
      </c>
      <c r="M1300">
        <v>1</v>
      </c>
    </row>
    <row r="1301" spans="1:13" x14ac:dyDescent="0.2">
      <c r="A1301">
        <v>1304</v>
      </c>
      <c r="B1301">
        <v>146</v>
      </c>
      <c r="C1301">
        <v>98</v>
      </c>
      <c r="D1301" t="s">
        <v>150</v>
      </c>
      <c r="E1301" t="str">
        <f t="shared" si="24"/>
        <v>1198LI03PT</v>
      </c>
      <c r="F1301">
        <f>VLOOKUP(B1301,Course!$A$2:$R$329,2,FALSE)</f>
        <v>0</v>
      </c>
      <c r="G1301">
        <f>VLOOKUP(B1301, Course!$A$2:$L$150, 8, FALSE)</f>
        <v>11</v>
      </c>
      <c r="H1301">
        <v>3</v>
      </c>
      <c r="I1301">
        <v>1</v>
      </c>
      <c r="K1301" t="s">
        <v>1581</v>
      </c>
      <c r="L1301" t="str">
        <f>VLOOKUP(B1301, Course!$A$1:$O$133, 14, FALSE)</f>
        <v>LC</v>
      </c>
      <c r="M1301">
        <v>1</v>
      </c>
    </row>
    <row r="1302" spans="1:13" x14ac:dyDescent="0.2">
      <c r="A1302">
        <v>1305</v>
      </c>
      <c r="B1302">
        <v>146</v>
      </c>
      <c r="C1302">
        <v>100</v>
      </c>
      <c r="D1302" t="s">
        <v>150</v>
      </c>
      <c r="E1302" t="str">
        <f t="shared" si="24"/>
        <v>1100LI03PT</v>
      </c>
      <c r="F1302">
        <f>VLOOKUP(B1302,Course!$A$2:$R$329,2,FALSE)</f>
        <v>0</v>
      </c>
      <c r="G1302">
        <f>VLOOKUP(B1302, Course!$A$2:$L$150, 8, FALSE)</f>
        <v>11</v>
      </c>
      <c r="H1302">
        <v>3</v>
      </c>
      <c r="I1302">
        <v>1</v>
      </c>
      <c r="K1302" t="s">
        <v>1581</v>
      </c>
      <c r="L1302" t="str">
        <f>VLOOKUP(B1302, Course!$A$1:$O$133, 14, FALSE)</f>
        <v>LC</v>
      </c>
      <c r="M1302">
        <v>1</v>
      </c>
    </row>
    <row r="1303" spans="1:13" x14ac:dyDescent="0.2">
      <c r="A1303">
        <v>1306</v>
      </c>
      <c r="B1303">
        <v>146</v>
      </c>
      <c r="C1303">
        <v>102</v>
      </c>
      <c r="D1303" t="s">
        <v>150</v>
      </c>
      <c r="E1303" t="str">
        <f t="shared" si="24"/>
        <v>1102LI03PT</v>
      </c>
      <c r="F1303">
        <f>VLOOKUP(B1303,Course!$A$2:$R$329,2,FALSE)</f>
        <v>0</v>
      </c>
      <c r="G1303">
        <f>VLOOKUP(B1303, Course!$A$2:$L$150, 8, FALSE)</f>
        <v>11</v>
      </c>
      <c r="H1303">
        <v>3</v>
      </c>
      <c r="I1303">
        <v>1</v>
      </c>
      <c r="K1303" t="s">
        <v>1581</v>
      </c>
      <c r="L1303" t="str">
        <f>VLOOKUP(B1303, Course!$A$1:$O$133, 14, FALSE)</f>
        <v>LC</v>
      </c>
      <c r="M1303">
        <v>1</v>
      </c>
    </row>
    <row r="1304" spans="1:13" x14ac:dyDescent="0.2">
      <c r="A1304">
        <v>1307</v>
      </c>
      <c r="B1304">
        <v>146</v>
      </c>
      <c r="C1304">
        <v>104</v>
      </c>
      <c r="D1304" t="s">
        <v>150</v>
      </c>
      <c r="E1304" t="str">
        <f t="shared" si="24"/>
        <v>1104LI03PT</v>
      </c>
      <c r="F1304">
        <f>VLOOKUP(B1304,Course!$A$2:$R$329,2,FALSE)</f>
        <v>0</v>
      </c>
      <c r="G1304">
        <f>VLOOKUP(B1304, Course!$A$2:$L$150, 8, FALSE)</f>
        <v>11</v>
      </c>
      <c r="H1304">
        <v>3</v>
      </c>
      <c r="I1304">
        <v>1</v>
      </c>
      <c r="K1304" t="s">
        <v>1581</v>
      </c>
      <c r="L1304" t="str">
        <f>VLOOKUP(B1304, Course!$A$1:$O$133, 14, FALSE)</f>
        <v>LC</v>
      </c>
      <c r="M1304">
        <v>1</v>
      </c>
    </row>
    <row r="1305" spans="1:13" x14ac:dyDescent="0.2">
      <c r="A1305">
        <v>1308</v>
      </c>
      <c r="B1305">
        <v>146</v>
      </c>
      <c r="C1305">
        <v>106</v>
      </c>
      <c r="D1305" t="s">
        <v>150</v>
      </c>
      <c r="E1305" t="str">
        <f t="shared" si="24"/>
        <v>1106LI03PT</v>
      </c>
      <c r="F1305">
        <f>VLOOKUP(B1305,Course!$A$2:$R$329,2,FALSE)</f>
        <v>0</v>
      </c>
      <c r="G1305">
        <f>VLOOKUP(B1305, Course!$A$2:$L$150, 8, FALSE)</f>
        <v>11</v>
      </c>
      <c r="H1305">
        <v>3</v>
      </c>
      <c r="I1305">
        <v>1</v>
      </c>
      <c r="K1305" t="s">
        <v>1581</v>
      </c>
      <c r="L1305" t="str">
        <f>VLOOKUP(B1305, Course!$A$1:$O$133, 14, FALSE)</f>
        <v>LC</v>
      </c>
      <c r="M1305">
        <v>1</v>
      </c>
    </row>
    <row r="1306" spans="1:13" x14ac:dyDescent="0.2">
      <c r="A1306">
        <v>1309</v>
      </c>
      <c r="B1306">
        <v>146</v>
      </c>
      <c r="C1306">
        <v>108</v>
      </c>
      <c r="D1306" t="s">
        <v>150</v>
      </c>
      <c r="E1306" t="str">
        <f t="shared" si="24"/>
        <v>1108LI03PT</v>
      </c>
      <c r="F1306">
        <f>VLOOKUP(B1306,Course!$A$2:$R$329,2,FALSE)</f>
        <v>0</v>
      </c>
      <c r="G1306">
        <f>VLOOKUP(B1306, Course!$A$2:$L$150, 8, FALSE)</f>
        <v>11</v>
      </c>
      <c r="H1306">
        <v>3</v>
      </c>
      <c r="I1306">
        <v>1</v>
      </c>
      <c r="K1306" t="s">
        <v>1581</v>
      </c>
      <c r="L1306" t="str">
        <f>VLOOKUP(B1306, Course!$A$1:$O$133, 14, FALSE)</f>
        <v>LC</v>
      </c>
      <c r="M1306">
        <v>1</v>
      </c>
    </row>
  </sheetData>
  <autoFilter ref="A1:M1306" xr:uid="{00000000-0001-0000-0B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E26"/>
  <sheetViews>
    <sheetView zoomScale="222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baseColWidth="10" defaultColWidth="11.5" defaultRowHeight="15" x14ac:dyDescent="0.2"/>
  <cols>
    <col min="1" max="1" width="5.33203125" bestFit="1" customWidth="1"/>
    <col min="2" max="2" width="13.5" bestFit="1" customWidth="1"/>
    <col min="3" max="3" width="22.83203125" bestFit="1" customWidth="1"/>
    <col min="4" max="4" width="10.6640625" bestFit="1" customWidth="1"/>
    <col min="5" max="5" width="27.5" bestFit="1" customWidth="1"/>
  </cols>
  <sheetData>
    <row r="1" spans="1:5" x14ac:dyDescent="0.2">
      <c r="A1" s="3" t="s">
        <v>0</v>
      </c>
      <c r="B1" s="3" t="s">
        <v>177</v>
      </c>
      <c r="C1" s="3" t="s">
        <v>1767</v>
      </c>
      <c r="D1" s="3" t="s">
        <v>435</v>
      </c>
      <c r="E1" s="3" t="s">
        <v>1768</v>
      </c>
    </row>
    <row r="2" spans="1:5" x14ac:dyDescent="0.2">
      <c r="A2">
        <v>1</v>
      </c>
      <c r="B2">
        <v>2</v>
      </c>
      <c r="C2" t="str">
        <f>VLOOKUP(B2,ICCE_Certificate!$A$2:$B$9, 2, FALSE)</f>
        <v>General Level 9</v>
      </c>
      <c r="D2">
        <v>133</v>
      </c>
      <c r="E2">
        <f>VLOOKUP(D2,Course!$A$1:$C$147, 2, FALSE)</f>
        <v>0</v>
      </c>
    </row>
    <row r="3" spans="1:5" x14ac:dyDescent="0.2">
      <c r="A3">
        <v>2</v>
      </c>
      <c r="B3">
        <v>2</v>
      </c>
      <c r="C3" t="str">
        <f>VLOOKUP(B3,ICCE_Certificate!$A$2:$B$9, 2, FALSE)</f>
        <v>General Level 9</v>
      </c>
      <c r="D3">
        <v>134</v>
      </c>
      <c r="E3">
        <f>VLOOKUP(D3,Course!$A$1:$C$147, 2, FALSE)</f>
        <v>0</v>
      </c>
    </row>
    <row r="4" spans="1:5" x14ac:dyDescent="0.2">
      <c r="A4">
        <v>3</v>
      </c>
      <c r="B4">
        <v>3</v>
      </c>
      <c r="C4" t="str">
        <f>VLOOKUP(B4,ICCE_Certificate!$A$2:$B$9, 2, FALSE)</f>
        <v>Intermediate</v>
      </c>
      <c r="D4">
        <v>135</v>
      </c>
      <c r="E4">
        <f>VLOOKUP(D4,Course!$A$1:$C$147, 2, FALSE)</f>
        <v>0</v>
      </c>
    </row>
    <row r="5" spans="1:5" x14ac:dyDescent="0.2">
      <c r="A5">
        <v>4</v>
      </c>
      <c r="B5">
        <v>3</v>
      </c>
      <c r="C5" t="str">
        <f>VLOOKUP(B5,ICCE_Certificate!$A$2:$B$9, 2, FALSE)</f>
        <v>Intermediate</v>
      </c>
      <c r="D5">
        <v>136</v>
      </c>
      <c r="E5">
        <f>VLOOKUP(D5,Course!$A$1:$C$147, 2, FALSE)</f>
        <v>0</v>
      </c>
    </row>
    <row r="6" spans="1:5" x14ac:dyDescent="0.2">
      <c r="A6">
        <v>5</v>
      </c>
      <c r="B6">
        <v>3</v>
      </c>
      <c r="C6" t="str">
        <f>VLOOKUP(B6,ICCE_Certificate!$A$2:$B$9, 2, FALSE)</f>
        <v>Intermediate</v>
      </c>
      <c r="D6">
        <v>137</v>
      </c>
      <c r="E6">
        <f>VLOOKUP(D6,Course!$A$1:$C$147, 2, FALSE)</f>
        <v>0</v>
      </c>
    </row>
    <row r="7" spans="1:5" x14ac:dyDescent="0.2">
      <c r="A7">
        <v>6</v>
      </c>
      <c r="B7">
        <v>3</v>
      </c>
      <c r="C7" t="str">
        <f>VLOOKUP(B7,ICCE_Certificate!$A$2:$B$9, 2, FALSE)</f>
        <v>Intermediate</v>
      </c>
      <c r="D7">
        <v>138</v>
      </c>
      <c r="E7">
        <f>VLOOKUP(D7,Course!$A$1:$C$147, 2, FALSE)</f>
        <v>0</v>
      </c>
    </row>
    <row r="8" spans="1:5" x14ac:dyDescent="0.2">
      <c r="A8">
        <v>7</v>
      </c>
      <c r="B8">
        <v>4</v>
      </c>
      <c r="C8" t="str">
        <f>VLOOKUP(B8,ICCE_Certificate!$A$2:$B$9, 2, FALSE)</f>
        <v>Advanced</v>
      </c>
      <c r="D8">
        <v>139</v>
      </c>
      <c r="E8">
        <f>VLOOKUP(D8,Course!$A$1:$C$147, 2, FALSE)</f>
        <v>0</v>
      </c>
    </row>
    <row r="9" spans="1:5" x14ac:dyDescent="0.2">
      <c r="A9">
        <v>8</v>
      </c>
      <c r="B9">
        <v>4</v>
      </c>
      <c r="C9" t="str">
        <f>VLOOKUP(B9,ICCE_Certificate!$A$2:$B$9, 2, FALSE)</f>
        <v>Advanced</v>
      </c>
      <c r="D9">
        <v>140</v>
      </c>
      <c r="E9">
        <f>VLOOKUP(D9,Course!$A$1:$C$147, 2, FALSE)</f>
        <v>0</v>
      </c>
    </row>
    <row r="10" spans="1:5" x14ac:dyDescent="0.2">
      <c r="A10">
        <v>9</v>
      </c>
      <c r="B10">
        <v>4</v>
      </c>
      <c r="C10" t="str">
        <f>VLOOKUP(B10,ICCE_Certificate!$A$2:$B$9, 2, FALSE)</f>
        <v>Advanced</v>
      </c>
      <c r="D10">
        <v>141</v>
      </c>
      <c r="E10">
        <f>VLOOKUP(D10,Course!$A$1:$C$147, 2, FALSE)</f>
        <v>0</v>
      </c>
    </row>
    <row r="11" spans="1:5" x14ac:dyDescent="0.2">
      <c r="A11">
        <v>10</v>
      </c>
      <c r="B11">
        <v>4</v>
      </c>
      <c r="C11" t="str">
        <f>VLOOKUP(B11,ICCE_Certificate!$A$2:$B$9, 2, FALSE)</f>
        <v>Advanced</v>
      </c>
      <c r="D11">
        <v>142</v>
      </c>
      <c r="E11">
        <f>VLOOKUP(D11,Course!$A$1:$C$147, 2, FALSE)</f>
        <v>0</v>
      </c>
    </row>
    <row r="12" spans="1:5" x14ac:dyDescent="0.2">
      <c r="A12">
        <v>11</v>
      </c>
      <c r="B12">
        <v>4</v>
      </c>
      <c r="C12" t="str">
        <f>VLOOKUP(B12,ICCE_Certificate!$A$2:$B$9, 2, FALSE)</f>
        <v>Advanced</v>
      </c>
      <c r="D12">
        <v>143</v>
      </c>
      <c r="E12">
        <f>VLOOKUP(D12,Course!$A$1:$C$147, 2, FALSE)</f>
        <v>0</v>
      </c>
    </row>
    <row r="13" spans="1:5" x14ac:dyDescent="0.2">
      <c r="A13">
        <v>12</v>
      </c>
      <c r="B13">
        <v>4</v>
      </c>
      <c r="C13" t="str">
        <f>VLOOKUP(B13,ICCE_Certificate!$A$2:$B$9, 2, FALSE)</f>
        <v>Advanced</v>
      </c>
      <c r="D13">
        <v>144</v>
      </c>
      <c r="E13">
        <f>VLOOKUP(D13,Course!$A$1:$C$147, 2, FALSE)</f>
        <v>0</v>
      </c>
    </row>
    <row r="14" spans="1:5" x14ac:dyDescent="0.2">
      <c r="A14">
        <v>13</v>
      </c>
      <c r="B14">
        <v>4</v>
      </c>
      <c r="C14" t="str">
        <f>VLOOKUP(B14,ICCE_Certificate!$A$2:$B$9, 2, FALSE)</f>
        <v>Advanced</v>
      </c>
      <c r="D14">
        <v>145</v>
      </c>
      <c r="E14">
        <f>VLOOKUP(D14,Course!$A$1:$C$147, 2, FALSE)</f>
        <v>0</v>
      </c>
    </row>
    <row r="15" spans="1:5" x14ac:dyDescent="0.2">
      <c r="A15">
        <v>14</v>
      </c>
      <c r="B15">
        <v>6</v>
      </c>
      <c r="C15" t="str">
        <f>VLOOKUP(B15,ICCE_Certificate!$A$2:$B$9, 2, FALSE)</f>
        <v>Advanced Maths Bias</v>
      </c>
      <c r="D15">
        <v>139</v>
      </c>
      <c r="E15">
        <f>VLOOKUP(D15,Course!$A$1:$C$147, 2, FALSE)</f>
        <v>0</v>
      </c>
    </row>
    <row r="16" spans="1:5" x14ac:dyDescent="0.2">
      <c r="A16">
        <v>15</v>
      </c>
      <c r="B16">
        <v>6</v>
      </c>
      <c r="C16" t="str">
        <f>VLOOKUP(B16,ICCE_Certificate!$A$2:$B$9, 2, FALSE)</f>
        <v>Advanced Maths Bias</v>
      </c>
      <c r="D16">
        <v>140</v>
      </c>
      <c r="E16">
        <f>VLOOKUP(D16,Course!$A$1:$C$147, 2, FALSE)</f>
        <v>0</v>
      </c>
    </row>
    <row r="17" spans="1:5" x14ac:dyDescent="0.2">
      <c r="A17">
        <v>16</v>
      </c>
      <c r="B17">
        <v>6</v>
      </c>
      <c r="C17" t="str">
        <f>VLOOKUP(B17,ICCE_Certificate!$A$2:$B$9, 2, FALSE)</f>
        <v>Advanced Maths Bias</v>
      </c>
      <c r="D17">
        <v>143</v>
      </c>
      <c r="E17">
        <f>VLOOKUP(D17,Course!$A$1:$C$147, 2, FALSE)</f>
        <v>0</v>
      </c>
    </row>
    <row r="18" spans="1:5" x14ac:dyDescent="0.2">
      <c r="A18">
        <v>17</v>
      </c>
      <c r="B18">
        <v>6</v>
      </c>
      <c r="C18" t="str">
        <f>VLOOKUP(B18,ICCE_Certificate!$A$2:$B$9, 2, FALSE)</f>
        <v>Advanced Maths Bias</v>
      </c>
      <c r="D18">
        <v>144</v>
      </c>
      <c r="E18">
        <f>VLOOKUP(D18,Course!$A$1:$C$147, 2, FALSE)</f>
        <v>0</v>
      </c>
    </row>
    <row r="19" spans="1:5" x14ac:dyDescent="0.2">
      <c r="A19">
        <v>18</v>
      </c>
      <c r="B19">
        <v>7</v>
      </c>
      <c r="C19" t="str">
        <f>VLOOKUP(B19,ICCE_Certificate!$A$2:$B$9, 2, FALSE)</f>
        <v>Advanced Social Studies Bias</v>
      </c>
      <c r="D19">
        <v>139</v>
      </c>
      <c r="E19">
        <f>VLOOKUP(D19,Course!$A$1:$C$147, 2, FALSE)</f>
        <v>0</v>
      </c>
    </row>
    <row r="20" spans="1:5" x14ac:dyDescent="0.2">
      <c r="A20">
        <v>19</v>
      </c>
      <c r="B20">
        <v>7</v>
      </c>
      <c r="C20" t="str">
        <f>VLOOKUP(B20,ICCE_Certificate!$A$2:$B$9, 2, FALSE)</f>
        <v>Advanced Social Studies Bias</v>
      </c>
      <c r="D20">
        <v>141</v>
      </c>
      <c r="E20">
        <f>VLOOKUP(D20,Course!$A$1:$C$147, 2, FALSE)</f>
        <v>0</v>
      </c>
    </row>
    <row r="21" spans="1:5" x14ac:dyDescent="0.2">
      <c r="A21">
        <v>20</v>
      </c>
      <c r="B21">
        <v>7</v>
      </c>
      <c r="C21" t="str">
        <f>VLOOKUP(B21,ICCE_Certificate!$A$2:$B$9, 2, FALSE)</f>
        <v>Advanced Social Studies Bias</v>
      </c>
      <c r="D21">
        <v>142</v>
      </c>
      <c r="E21">
        <f>VLOOKUP(D21,Course!$A$1:$C$147, 2, FALSE)</f>
        <v>0</v>
      </c>
    </row>
    <row r="22" spans="1:5" x14ac:dyDescent="0.2">
      <c r="A22">
        <v>21</v>
      </c>
      <c r="B22">
        <v>7</v>
      </c>
      <c r="C22" t="str">
        <f>VLOOKUP(B22,ICCE_Certificate!$A$2:$B$9, 2, FALSE)</f>
        <v>Advanced Social Studies Bias</v>
      </c>
      <c r="D22">
        <v>145</v>
      </c>
      <c r="E22">
        <f>VLOOKUP(D22,Course!$A$1:$C$147, 2, FALSE)</f>
        <v>0</v>
      </c>
    </row>
    <row r="23" spans="1:5" x14ac:dyDescent="0.2">
      <c r="A23">
        <v>22</v>
      </c>
      <c r="B23">
        <v>8</v>
      </c>
      <c r="C23" t="str">
        <f>VLOOKUP(B23,ICCE_Certificate!$A$2:$B$9, 2, FALSE)</f>
        <v>Advanced Science Bias</v>
      </c>
      <c r="D23">
        <v>139</v>
      </c>
      <c r="E23">
        <f>VLOOKUP(D23,Course!$A$1:$C$147, 2, FALSE)</f>
        <v>0</v>
      </c>
    </row>
    <row r="24" spans="1:5" x14ac:dyDescent="0.2">
      <c r="A24">
        <v>23</v>
      </c>
      <c r="B24">
        <v>8</v>
      </c>
      <c r="C24" t="str">
        <f>VLOOKUP(B24,ICCE_Certificate!$A$2:$B$9, 2, FALSE)</f>
        <v>Advanced Science Bias</v>
      </c>
      <c r="D24">
        <v>140</v>
      </c>
      <c r="E24">
        <f>VLOOKUP(D24,Course!$A$1:$C$147, 2, FALSE)</f>
        <v>0</v>
      </c>
    </row>
    <row r="25" spans="1:5" x14ac:dyDescent="0.2">
      <c r="A25">
        <v>24</v>
      </c>
      <c r="B25">
        <v>8</v>
      </c>
      <c r="C25" t="str">
        <f>VLOOKUP(B25,ICCE_Certificate!$A$2:$B$9, 2, FALSE)</f>
        <v>Advanced Science Bias</v>
      </c>
      <c r="D25">
        <v>143</v>
      </c>
      <c r="E25">
        <f>VLOOKUP(D25,Course!$A$1:$C$147, 2, FALSE)</f>
        <v>0</v>
      </c>
    </row>
    <row r="26" spans="1:5" x14ac:dyDescent="0.2">
      <c r="A26">
        <v>25</v>
      </c>
      <c r="B26">
        <v>8</v>
      </c>
      <c r="C26" t="str">
        <f>VLOOKUP(B26,ICCE_Certificate!$A$2:$B$9, 2, FALSE)</f>
        <v>Advanced Science Bias</v>
      </c>
      <c r="D26">
        <v>144</v>
      </c>
      <c r="E26">
        <f>VLOOKUP(D26,Course!$A$1:$C$147, 2, FALSE)</f>
        <v>0</v>
      </c>
    </row>
  </sheetData>
  <autoFilter ref="A1:E26" xr:uid="{00000000-0009-0000-0000-00000C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G27"/>
  <sheetViews>
    <sheetView zoomScale="185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B14" sqref="B14"/>
    </sheetView>
  </sheetViews>
  <sheetFormatPr baseColWidth="10" defaultColWidth="11.5" defaultRowHeight="15" x14ac:dyDescent="0.2"/>
  <cols>
    <col min="1" max="1" width="2.83203125" bestFit="1" customWidth="1"/>
    <col min="3" max="3" width="27.1640625" customWidth="1"/>
    <col min="5" max="5" width="24.6640625" bestFit="1" customWidth="1"/>
  </cols>
  <sheetData>
    <row r="1" spans="1:7" x14ac:dyDescent="0.2">
      <c r="A1" s="3" t="s">
        <v>0</v>
      </c>
      <c r="B1" s="3" t="s">
        <v>1582</v>
      </c>
      <c r="C1" s="3" t="s">
        <v>1583</v>
      </c>
      <c r="D1" s="3" t="s">
        <v>435</v>
      </c>
      <c r="E1" s="3" t="s">
        <v>1847</v>
      </c>
      <c r="F1" s="3" t="s">
        <v>89</v>
      </c>
      <c r="G1" s="3" t="s">
        <v>177</v>
      </c>
    </row>
    <row r="2" spans="1:7" x14ac:dyDescent="0.2">
      <c r="A2">
        <v>1</v>
      </c>
      <c r="B2">
        <v>11</v>
      </c>
      <c r="C2" t="str">
        <f>VLOOKUP(B2, Enrollment!$A$2:$D$101, 4, FALSE)</f>
        <v>NT Church History / Life of Christ</v>
      </c>
      <c r="E2" t="e">
        <f>VLOOKUP(D2, Course!$A$2:$C$136, 2, FALSE)</f>
        <v>#N/A</v>
      </c>
      <c r="F2">
        <v>2</v>
      </c>
      <c r="G2">
        <v>6</v>
      </c>
    </row>
    <row r="3" spans="1:7" x14ac:dyDescent="0.2">
      <c r="A3">
        <v>2</v>
      </c>
      <c r="B3">
        <v>12</v>
      </c>
      <c r="C3" t="str">
        <f>VLOOKUP(B3, Enrollment!$A$2:$D$101, 4, FALSE)</f>
        <v>Apologetics III</v>
      </c>
      <c r="E3" t="e">
        <f>VLOOKUP(D3, Course!$A$2:$C$136, 2, FALSE)</f>
        <v>#N/A</v>
      </c>
      <c r="F3">
        <v>2</v>
      </c>
      <c r="G3">
        <v>6</v>
      </c>
    </row>
    <row r="4" spans="1:7" x14ac:dyDescent="0.2">
      <c r="A4">
        <v>3</v>
      </c>
      <c r="B4">
        <v>13</v>
      </c>
      <c r="C4" t="str">
        <f>VLOOKUP(B4, Enrollment!$A$2:$D$101, 4, FALSE)</f>
        <v>Algebra II</v>
      </c>
      <c r="E4" t="e">
        <f>VLOOKUP(D4, Course!$A$2:$C$136, 2, FALSE)</f>
        <v>#N/A</v>
      </c>
      <c r="F4">
        <v>2</v>
      </c>
      <c r="G4">
        <v>6</v>
      </c>
    </row>
    <row r="5" spans="1:7" x14ac:dyDescent="0.2">
      <c r="A5">
        <v>4</v>
      </c>
      <c r="B5">
        <v>14</v>
      </c>
      <c r="C5" t="str">
        <f>VLOOKUP(B5, Enrollment!$A$2:$D$101, 4, FALSE)</f>
        <v>Trigonometry</v>
      </c>
      <c r="E5" t="e">
        <f>VLOOKUP(D5, Course!$A$2:$C$136, 2, FALSE)</f>
        <v>#N/A</v>
      </c>
      <c r="F5">
        <v>2</v>
      </c>
      <c r="G5">
        <v>6</v>
      </c>
    </row>
    <row r="6" spans="1:7" x14ac:dyDescent="0.2">
      <c r="A6">
        <v>5</v>
      </c>
      <c r="B6">
        <v>15</v>
      </c>
      <c r="C6" t="str">
        <f>VLOOKUP(B6, Enrollment!$A$2:$D$101, 4, FALSE)</f>
        <v>Higher Maths</v>
      </c>
      <c r="E6" t="e">
        <f>VLOOKUP(D6, Course!$A$2:$C$136, 2, FALSE)</f>
        <v>#N/A</v>
      </c>
      <c r="F6">
        <v>2</v>
      </c>
      <c r="G6">
        <v>6</v>
      </c>
    </row>
    <row r="7" spans="1:7" x14ac:dyDescent="0.2">
      <c r="A7">
        <v>6</v>
      </c>
      <c r="B7">
        <v>16</v>
      </c>
      <c r="C7" t="str">
        <f>VLOOKUP(B7, Enrollment!$A$2:$D$101, 4, FALSE)</f>
        <v>College Maths I</v>
      </c>
      <c r="E7" t="e">
        <f>VLOOKUP(D7, Course!$A$2:$C$136, 2, FALSE)</f>
        <v>#N/A</v>
      </c>
      <c r="F7">
        <v>2</v>
      </c>
      <c r="G7">
        <v>6</v>
      </c>
    </row>
    <row r="8" spans="1:7" x14ac:dyDescent="0.2">
      <c r="A8">
        <v>7</v>
      </c>
      <c r="B8">
        <v>17</v>
      </c>
      <c r="C8" t="str">
        <f>VLOOKUP(B8, Enrollment!$A$2:$D$101, 4, FALSE)</f>
        <v>College Maths II</v>
      </c>
      <c r="E8" t="e">
        <f>VLOOKUP(D8, Course!$A$2:$C$136, 2, FALSE)</f>
        <v>#N/A</v>
      </c>
      <c r="F8">
        <v>2</v>
      </c>
      <c r="G8">
        <v>6</v>
      </c>
    </row>
    <row r="9" spans="1:7" x14ac:dyDescent="0.2">
      <c r="A9">
        <v>8</v>
      </c>
      <c r="B9">
        <v>18</v>
      </c>
      <c r="C9" t="str">
        <f>VLOOKUP(B9, Enrollment!$A$2:$D$101, 4, FALSE)</f>
        <v>Physics</v>
      </c>
      <c r="E9" t="e">
        <f>VLOOKUP(D9, Course!$A$2:$C$136, 2, FALSE)</f>
        <v>#N/A</v>
      </c>
      <c r="F9">
        <v>2</v>
      </c>
      <c r="G9">
        <v>6</v>
      </c>
    </row>
    <row r="10" spans="1:7" x14ac:dyDescent="0.2">
      <c r="A10">
        <v>9</v>
      </c>
      <c r="B10">
        <v>19</v>
      </c>
      <c r="C10" t="str">
        <f>VLOOKUP(B10, Enrollment!$A$2:$D$101, 4, FALSE)</f>
        <v>ICT Course</v>
      </c>
      <c r="E10" t="e">
        <f>VLOOKUP(D10, Course!$A$2:$C$136, 2, FALSE)</f>
        <v>#N/A</v>
      </c>
      <c r="F10">
        <v>2</v>
      </c>
      <c r="G10">
        <v>6</v>
      </c>
    </row>
    <row r="11" spans="1:7" x14ac:dyDescent="0.2">
      <c r="A11">
        <v>10</v>
      </c>
      <c r="B11">
        <v>20</v>
      </c>
      <c r="C11" t="str">
        <f>VLOOKUP(B11, Enrollment!$A$2:$D$101, 4, FALSE)</f>
        <v>Further Credit Option</v>
      </c>
      <c r="E11" t="e">
        <f>VLOOKUP(D11, Course!$A$2:$C$136, 2, FALSE)</f>
        <v>#N/A</v>
      </c>
      <c r="F11">
        <v>2</v>
      </c>
      <c r="G11">
        <v>6</v>
      </c>
    </row>
    <row r="12" spans="1:7" x14ac:dyDescent="0.2">
      <c r="A12">
        <v>11</v>
      </c>
      <c r="B12">
        <v>21</v>
      </c>
      <c r="C12" t="str">
        <f>VLOOKUP(B12, Enrollment!$A$2:$D$101, 4, FALSE)</f>
        <v>Coursework 1</v>
      </c>
      <c r="E12" t="e">
        <f>VLOOKUP(D12, Course!$A$2:$C$136, 2, FALSE)</f>
        <v>#N/A</v>
      </c>
      <c r="F12">
        <v>2</v>
      </c>
      <c r="G12">
        <v>6</v>
      </c>
    </row>
    <row r="13" spans="1:7" x14ac:dyDescent="0.2">
      <c r="A13">
        <v>12</v>
      </c>
      <c r="B13">
        <v>22</v>
      </c>
      <c r="C13" t="str">
        <f>VLOOKUP(B13, Enrollment!$A$2:$D$101, 4, FALSE)</f>
        <v>Coursework 2</v>
      </c>
      <c r="E13" t="e">
        <f>VLOOKUP(D13, Course!$A$2:$C$136, 2, FALSE)</f>
        <v>#N/A</v>
      </c>
      <c r="F13">
        <v>2</v>
      </c>
      <c r="G13">
        <v>6</v>
      </c>
    </row>
    <row r="14" spans="1:7" x14ac:dyDescent="0.2">
      <c r="A14">
        <v>13</v>
      </c>
      <c r="B14">
        <v>23</v>
      </c>
      <c r="C14" t="str">
        <f>VLOOKUP(B14, Enrollment!$A$2:$D$101, 4, FALSE)</f>
        <v>Coursework 3</v>
      </c>
      <c r="E14" t="e">
        <f>VLOOKUP(D14, Course!$A$2:$C$136, 2, FALSE)</f>
        <v>#N/A</v>
      </c>
      <c r="F14">
        <v>2</v>
      </c>
      <c r="G14">
        <v>6</v>
      </c>
    </row>
    <row r="15" spans="1:7" x14ac:dyDescent="0.2">
      <c r="A15">
        <v>14</v>
      </c>
      <c r="C15" t="e">
        <f>VLOOKUP(B15, Enrollment!$A$2:$D$101, 4, FALSE)</f>
        <v>#N/A</v>
      </c>
      <c r="E15" t="e">
        <f>VLOOKUP(D15, Course!$A$2:$C$136, 2, FALSE)</f>
        <v>#N/A</v>
      </c>
    </row>
    <row r="16" spans="1:7" x14ac:dyDescent="0.2">
      <c r="A16">
        <v>15</v>
      </c>
      <c r="C16" t="e">
        <f>VLOOKUP(B16, Enrollment!$A$2:$D$101, 4, FALSE)</f>
        <v>#N/A</v>
      </c>
      <c r="E16" t="e">
        <f>VLOOKUP(D16, Course!$A$2:$C$136, 2, FALSE)</f>
        <v>#N/A</v>
      </c>
    </row>
    <row r="17" spans="1:5" x14ac:dyDescent="0.2">
      <c r="A17">
        <v>16</v>
      </c>
      <c r="C17" t="e">
        <f>VLOOKUP(B17, Enrollment!$A$2:$D$101, 4, FALSE)</f>
        <v>#N/A</v>
      </c>
      <c r="E17" t="e">
        <f>VLOOKUP(D17, Course!$A$2:$C$136, 2, FALSE)</f>
        <v>#N/A</v>
      </c>
    </row>
    <row r="18" spans="1:5" x14ac:dyDescent="0.2">
      <c r="A18">
        <v>17</v>
      </c>
      <c r="C18" t="e">
        <f>VLOOKUP(B18, Enrollment!$A$2:$D$101, 4, FALSE)</f>
        <v>#N/A</v>
      </c>
      <c r="E18" t="e">
        <f>VLOOKUP(D18, Course!$A$2:$C$136, 2, FALSE)</f>
        <v>#N/A</v>
      </c>
    </row>
    <row r="19" spans="1:5" x14ac:dyDescent="0.2">
      <c r="A19">
        <v>18</v>
      </c>
      <c r="C19" t="e">
        <f>VLOOKUP(B19, Enrollment!$A$2:$D$101, 4, FALSE)</f>
        <v>#N/A</v>
      </c>
      <c r="E19" t="e">
        <f>VLOOKUP(D19, Course!$A$2:$C$136, 2, FALSE)</f>
        <v>#N/A</v>
      </c>
    </row>
    <row r="20" spans="1:5" x14ac:dyDescent="0.2">
      <c r="A20">
        <v>19</v>
      </c>
      <c r="C20" t="e">
        <f>VLOOKUP(B20, Enrollment!$A$2:$D$101, 4, FALSE)</f>
        <v>#N/A</v>
      </c>
      <c r="E20" t="e">
        <f>VLOOKUP(D20, Course!$A$2:$C$136, 2, FALSE)</f>
        <v>#N/A</v>
      </c>
    </row>
    <row r="21" spans="1:5" x14ac:dyDescent="0.2">
      <c r="A21">
        <v>20</v>
      </c>
      <c r="C21" t="e">
        <f>VLOOKUP(B21, Enrollment!$A$2:$D$101, 4, FALSE)</f>
        <v>#N/A</v>
      </c>
      <c r="E21" t="e">
        <f>VLOOKUP(D21, Course!$A$2:$C$136, 2, FALSE)</f>
        <v>#N/A</v>
      </c>
    </row>
    <row r="22" spans="1:5" x14ac:dyDescent="0.2">
      <c r="A22">
        <v>21</v>
      </c>
      <c r="C22" t="e">
        <f>VLOOKUP(B22, Enrollment!$A$2:$D$101, 4, FALSE)</f>
        <v>#N/A</v>
      </c>
      <c r="E22" t="e">
        <f>VLOOKUP(D22, Course!$A$2:$C$136, 2, FALSE)</f>
        <v>#N/A</v>
      </c>
    </row>
    <row r="23" spans="1:5" x14ac:dyDescent="0.2">
      <c r="A23">
        <v>22</v>
      </c>
      <c r="C23" t="e">
        <f>VLOOKUP(B23, Enrollment!$A$2:$D$101, 4, FALSE)</f>
        <v>#N/A</v>
      </c>
      <c r="E23" t="e">
        <f>VLOOKUP(D23, Course!$A$2:$C$136, 2, FALSE)</f>
        <v>#N/A</v>
      </c>
    </row>
    <row r="24" spans="1:5" x14ac:dyDescent="0.2">
      <c r="A24">
        <v>23</v>
      </c>
      <c r="C24" t="e">
        <f>VLOOKUP(B24, Enrollment!$A$2:$D$101, 4, FALSE)</f>
        <v>#N/A</v>
      </c>
      <c r="E24" t="e">
        <f>VLOOKUP(D24, Course!$A$2:$C$136, 2, FALSE)</f>
        <v>#N/A</v>
      </c>
    </row>
    <row r="25" spans="1:5" x14ac:dyDescent="0.2">
      <c r="A25">
        <v>24</v>
      </c>
      <c r="C25" t="e">
        <f>VLOOKUP(B25, Enrollment!$A$2:$D$101, 4, FALSE)</f>
        <v>#N/A</v>
      </c>
      <c r="E25" t="e">
        <f>VLOOKUP(D25, Course!$A$2:$C$136, 2, FALSE)</f>
        <v>#N/A</v>
      </c>
    </row>
    <row r="26" spans="1:5" x14ac:dyDescent="0.2">
      <c r="A26">
        <v>25</v>
      </c>
      <c r="C26" t="e">
        <f>VLOOKUP(B26, Enrollment!$A$2:$D$101, 4, FALSE)</f>
        <v>#N/A</v>
      </c>
      <c r="E26" t="e">
        <f>VLOOKUP(D26, Course!$A$2:$C$136, 2, FALSE)</f>
        <v>#N/A</v>
      </c>
    </row>
    <row r="27" spans="1:5" x14ac:dyDescent="0.2">
      <c r="A27">
        <v>26</v>
      </c>
      <c r="C27" t="e">
        <f>VLOOKUP(B27, Enrollment!$A$2:$D$101, 4, FALSE)</f>
        <v>#N/A</v>
      </c>
      <c r="E27" t="e">
        <f>VLOOKUP(D27, Course!$A$2:$C$136, 2, FALSE)</f>
        <v>#N/A</v>
      </c>
    </row>
  </sheetData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A1:J84"/>
  <sheetViews>
    <sheetView zoomScale="190" zoomScaleNormal="190" workbookViewId="0">
      <selection activeCell="E3" sqref="E3"/>
    </sheetView>
  </sheetViews>
  <sheetFormatPr baseColWidth="10" defaultColWidth="8.83203125" defaultRowHeight="15" x14ac:dyDescent="0.2"/>
  <cols>
    <col min="3" max="3" width="11.6640625" style="10" customWidth="1"/>
    <col min="4" max="4" width="5.33203125" style="10" bestFit="1" customWidth="1"/>
    <col min="5" max="5" width="10.33203125" customWidth="1"/>
    <col min="6" max="6" width="13" style="6" customWidth="1"/>
    <col min="7" max="7" width="10.33203125" customWidth="1"/>
  </cols>
  <sheetData>
    <row r="1" spans="1:10" x14ac:dyDescent="0.2">
      <c r="A1" s="3" t="s">
        <v>0</v>
      </c>
      <c r="B1" s="3" t="s">
        <v>1584</v>
      </c>
      <c r="C1" s="9" t="s">
        <v>90</v>
      </c>
      <c r="D1" s="9" t="s">
        <v>0</v>
      </c>
      <c r="E1" s="3" t="s">
        <v>434</v>
      </c>
      <c r="F1" s="5" t="s">
        <v>1585</v>
      </c>
      <c r="G1" s="3" t="s">
        <v>89</v>
      </c>
      <c r="H1" s="3" t="s">
        <v>90</v>
      </c>
      <c r="I1" s="3"/>
      <c r="J1" s="3"/>
    </row>
    <row r="2" spans="1:10" x14ac:dyDescent="0.2">
      <c r="A2">
        <v>1</v>
      </c>
      <c r="B2">
        <v>35</v>
      </c>
      <c r="C2" s="10">
        <v>41352</v>
      </c>
      <c r="D2">
        <v>1</v>
      </c>
      <c r="F2" s="6">
        <v>0.91500000000000004</v>
      </c>
      <c r="G2">
        <v>11</v>
      </c>
    </row>
    <row r="3" spans="1:10" x14ac:dyDescent="0.2">
      <c r="A3">
        <v>2</v>
      </c>
      <c r="B3">
        <v>37</v>
      </c>
      <c r="C3" s="10">
        <v>41585</v>
      </c>
      <c r="D3">
        <v>2</v>
      </c>
      <c r="F3" s="6">
        <v>0.97</v>
      </c>
      <c r="G3">
        <v>11</v>
      </c>
    </row>
    <row r="4" spans="1:10" x14ac:dyDescent="0.2">
      <c r="A4">
        <v>3</v>
      </c>
      <c r="B4">
        <v>38</v>
      </c>
      <c r="C4" s="10">
        <v>41612</v>
      </c>
      <c r="F4" s="6">
        <v>1</v>
      </c>
      <c r="G4">
        <v>11</v>
      </c>
    </row>
    <row r="5" spans="1:10" x14ac:dyDescent="0.2">
      <c r="A5">
        <v>4</v>
      </c>
      <c r="B5">
        <v>39</v>
      </c>
      <c r="C5" s="10">
        <v>41681</v>
      </c>
      <c r="F5" s="6">
        <v>1</v>
      </c>
      <c r="G5">
        <v>11</v>
      </c>
    </row>
    <row r="6" spans="1:10" x14ac:dyDescent="0.2">
      <c r="A6">
        <v>5</v>
      </c>
      <c r="B6">
        <v>40</v>
      </c>
      <c r="C6" s="10">
        <v>41736</v>
      </c>
      <c r="F6" s="6">
        <v>0.995</v>
      </c>
      <c r="G6">
        <v>11</v>
      </c>
    </row>
    <row r="7" spans="1:10" x14ac:dyDescent="0.2">
      <c r="A7">
        <v>6</v>
      </c>
      <c r="B7">
        <v>41</v>
      </c>
      <c r="C7" s="10">
        <v>41792</v>
      </c>
      <c r="F7" s="6">
        <v>0.9</v>
      </c>
      <c r="G7">
        <v>11</v>
      </c>
    </row>
    <row r="8" spans="1:10" x14ac:dyDescent="0.2">
      <c r="A8">
        <v>7</v>
      </c>
      <c r="B8">
        <v>42</v>
      </c>
      <c r="C8" s="10">
        <v>41820</v>
      </c>
      <c r="F8" s="6">
        <v>0.88</v>
      </c>
      <c r="G8">
        <v>11</v>
      </c>
    </row>
    <row r="9" spans="1:10" x14ac:dyDescent="0.2">
      <c r="A9">
        <v>8</v>
      </c>
      <c r="B9">
        <v>43</v>
      </c>
      <c r="C9" s="10">
        <v>41900</v>
      </c>
      <c r="F9" s="6">
        <v>0.88</v>
      </c>
      <c r="G9">
        <v>11</v>
      </c>
    </row>
    <row r="10" spans="1:10" x14ac:dyDescent="0.2">
      <c r="A10">
        <v>9</v>
      </c>
      <c r="B10">
        <v>44</v>
      </c>
      <c r="C10" s="10">
        <v>41919</v>
      </c>
      <c r="F10" s="6">
        <v>1</v>
      </c>
      <c r="G10">
        <v>11</v>
      </c>
    </row>
    <row r="11" spans="1:10" x14ac:dyDescent="0.2">
      <c r="A11">
        <v>10</v>
      </c>
      <c r="B11">
        <v>45</v>
      </c>
      <c r="C11" s="10">
        <v>41922</v>
      </c>
      <c r="F11" s="6">
        <v>0.96</v>
      </c>
      <c r="G11">
        <v>11</v>
      </c>
    </row>
    <row r="12" spans="1:10" x14ac:dyDescent="0.2">
      <c r="A12">
        <v>11</v>
      </c>
      <c r="B12">
        <v>46</v>
      </c>
      <c r="C12" s="10">
        <v>41961</v>
      </c>
      <c r="F12" s="6">
        <v>0.92</v>
      </c>
      <c r="G12">
        <v>11</v>
      </c>
    </row>
    <row r="13" spans="1:10" x14ac:dyDescent="0.2">
      <c r="A13">
        <v>12</v>
      </c>
      <c r="B13">
        <v>47</v>
      </c>
      <c r="C13" s="10">
        <v>41982</v>
      </c>
      <c r="F13" s="6">
        <v>0.96</v>
      </c>
      <c r="G13">
        <v>11</v>
      </c>
    </row>
    <row r="14" spans="1:10" x14ac:dyDescent="0.2">
      <c r="A14">
        <v>13</v>
      </c>
      <c r="B14">
        <v>49</v>
      </c>
      <c r="C14" s="10">
        <v>42039</v>
      </c>
      <c r="F14" s="6">
        <v>0.96</v>
      </c>
      <c r="G14">
        <v>11</v>
      </c>
    </row>
    <row r="15" spans="1:10" x14ac:dyDescent="0.2">
      <c r="A15">
        <v>14</v>
      </c>
      <c r="B15">
        <v>50</v>
      </c>
      <c r="C15" s="10">
        <v>42082</v>
      </c>
      <c r="F15" s="6">
        <v>0.91</v>
      </c>
      <c r="G15">
        <v>11</v>
      </c>
    </row>
    <row r="16" spans="1:10" x14ac:dyDescent="0.2">
      <c r="A16">
        <v>15</v>
      </c>
      <c r="B16">
        <v>51</v>
      </c>
      <c r="C16" s="10">
        <v>42124</v>
      </c>
      <c r="F16" s="6">
        <v>0.97</v>
      </c>
      <c r="G16">
        <v>11</v>
      </c>
    </row>
    <row r="17" spans="1:7" x14ac:dyDescent="0.2">
      <c r="A17">
        <v>16</v>
      </c>
      <c r="B17">
        <v>52</v>
      </c>
      <c r="C17" s="10">
        <v>42157</v>
      </c>
      <c r="F17" s="6">
        <v>0.9</v>
      </c>
      <c r="G17">
        <v>11</v>
      </c>
    </row>
    <row r="18" spans="1:7" x14ac:dyDescent="0.2">
      <c r="A18">
        <v>17</v>
      </c>
      <c r="B18">
        <v>53</v>
      </c>
      <c r="C18" s="10">
        <v>42268</v>
      </c>
      <c r="F18" s="6">
        <v>0.95499999999999996</v>
      </c>
      <c r="G18">
        <v>11</v>
      </c>
    </row>
    <row r="19" spans="1:7" x14ac:dyDescent="0.2">
      <c r="A19">
        <v>18</v>
      </c>
      <c r="B19">
        <v>54</v>
      </c>
      <c r="C19" s="10">
        <v>42304</v>
      </c>
      <c r="F19" s="6">
        <v>0.96</v>
      </c>
      <c r="G19">
        <v>11</v>
      </c>
    </row>
    <row r="20" spans="1:7" x14ac:dyDescent="0.2">
      <c r="A20">
        <v>19</v>
      </c>
      <c r="B20">
        <v>55</v>
      </c>
      <c r="C20" s="10">
        <v>42325</v>
      </c>
      <c r="F20" s="6">
        <v>0.97499999999999998</v>
      </c>
      <c r="G20">
        <v>11</v>
      </c>
    </row>
    <row r="21" spans="1:7" x14ac:dyDescent="0.2">
      <c r="A21">
        <v>20</v>
      </c>
      <c r="B21">
        <v>56</v>
      </c>
      <c r="C21" s="10">
        <v>42347</v>
      </c>
      <c r="F21" s="6">
        <v>0.89</v>
      </c>
      <c r="G21">
        <v>11</v>
      </c>
    </row>
    <row r="22" spans="1:7" x14ac:dyDescent="0.2">
      <c r="A22">
        <v>21</v>
      </c>
      <c r="B22">
        <v>57</v>
      </c>
      <c r="C22" s="10">
        <v>42389</v>
      </c>
      <c r="F22" s="6">
        <v>0.97</v>
      </c>
      <c r="G22">
        <v>11</v>
      </c>
    </row>
    <row r="23" spans="1:7" x14ac:dyDescent="0.2">
      <c r="A23">
        <v>22</v>
      </c>
      <c r="B23">
        <v>58</v>
      </c>
      <c r="C23" s="10">
        <v>42411</v>
      </c>
      <c r="F23" s="6">
        <v>0.94</v>
      </c>
      <c r="G23">
        <v>11</v>
      </c>
    </row>
    <row r="24" spans="1:7" x14ac:dyDescent="0.2">
      <c r="A24">
        <v>23</v>
      </c>
      <c r="B24">
        <v>59</v>
      </c>
      <c r="C24" s="10">
        <v>42444</v>
      </c>
      <c r="F24" s="6">
        <v>0.97</v>
      </c>
      <c r="G24">
        <v>11</v>
      </c>
    </row>
    <row r="25" spans="1:7" x14ac:dyDescent="0.2">
      <c r="A25">
        <v>24</v>
      </c>
      <c r="B25">
        <v>60</v>
      </c>
      <c r="C25" s="10">
        <v>42460</v>
      </c>
      <c r="F25" s="6">
        <v>0.995</v>
      </c>
      <c r="G25">
        <v>11</v>
      </c>
    </row>
    <row r="26" spans="1:7" x14ac:dyDescent="0.2">
      <c r="A26">
        <v>25</v>
      </c>
      <c r="B26">
        <v>61</v>
      </c>
      <c r="C26" s="10">
        <v>42508</v>
      </c>
      <c r="F26" s="6">
        <v>0.91500000000000004</v>
      </c>
      <c r="G26">
        <v>11</v>
      </c>
    </row>
    <row r="27" spans="1:7" x14ac:dyDescent="0.2">
      <c r="A27">
        <v>26</v>
      </c>
      <c r="B27">
        <v>62</v>
      </c>
      <c r="C27" s="10">
        <v>42544</v>
      </c>
      <c r="F27" s="6">
        <v>0.98499999999999999</v>
      </c>
      <c r="G27">
        <v>11</v>
      </c>
    </row>
    <row r="28" spans="1:7" x14ac:dyDescent="0.2">
      <c r="A28">
        <v>27</v>
      </c>
      <c r="B28">
        <v>63</v>
      </c>
      <c r="C28" s="10">
        <v>42641</v>
      </c>
      <c r="F28" s="6">
        <v>0.92</v>
      </c>
      <c r="G28">
        <v>11</v>
      </c>
    </row>
    <row r="29" spans="1:7" x14ac:dyDescent="0.2">
      <c r="A29">
        <v>28</v>
      </c>
      <c r="B29">
        <v>64</v>
      </c>
      <c r="C29" s="10">
        <v>42684</v>
      </c>
      <c r="F29" s="6">
        <v>0.96</v>
      </c>
      <c r="G29">
        <v>11</v>
      </c>
    </row>
    <row r="30" spans="1:7" x14ac:dyDescent="0.2">
      <c r="A30">
        <v>29</v>
      </c>
      <c r="B30">
        <v>65</v>
      </c>
      <c r="C30" s="10">
        <v>42710</v>
      </c>
      <c r="F30" s="6">
        <v>0.96</v>
      </c>
      <c r="G30">
        <v>11</v>
      </c>
    </row>
    <row r="31" spans="1:7" x14ac:dyDescent="0.2">
      <c r="A31">
        <v>30</v>
      </c>
      <c r="B31">
        <v>66</v>
      </c>
      <c r="C31" s="10">
        <v>42753</v>
      </c>
      <c r="F31" s="6">
        <v>0.97</v>
      </c>
      <c r="G31">
        <v>11</v>
      </c>
    </row>
    <row r="32" spans="1:7" x14ac:dyDescent="0.2">
      <c r="A32">
        <v>31</v>
      </c>
      <c r="B32">
        <v>67</v>
      </c>
      <c r="C32" s="10">
        <v>42780</v>
      </c>
      <c r="F32" s="6">
        <v>0.995</v>
      </c>
      <c r="G32">
        <v>11</v>
      </c>
    </row>
    <row r="33" spans="1:7" x14ac:dyDescent="0.2">
      <c r="A33">
        <v>32</v>
      </c>
      <c r="B33">
        <v>68</v>
      </c>
      <c r="C33" s="10">
        <v>42817</v>
      </c>
      <c r="F33" s="6">
        <v>0.93</v>
      </c>
      <c r="G33">
        <v>11</v>
      </c>
    </row>
    <row r="34" spans="1:7" x14ac:dyDescent="0.2">
      <c r="A34">
        <v>33</v>
      </c>
      <c r="B34">
        <v>69</v>
      </c>
      <c r="C34" s="10">
        <v>42838</v>
      </c>
      <c r="F34" s="6">
        <v>0.995</v>
      </c>
      <c r="G34">
        <v>11</v>
      </c>
    </row>
    <row r="35" spans="1:7" x14ac:dyDescent="0.2">
      <c r="A35">
        <v>34</v>
      </c>
      <c r="B35">
        <v>70</v>
      </c>
      <c r="C35" s="10">
        <v>42872</v>
      </c>
      <c r="F35" s="6">
        <v>0.97499999999999998</v>
      </c>
      <c r="G35">
        <v>11</v>
      </c>
    </row>
    <row r="36" spans="1:7" x14ac:dyDescent="0.2">
      <c r="A36">
        <v>35</v>
      </c>
      <c r="B36">
        <v>71</v>
      </c>
      <c r="C36" s="10">
        <v>42893</v>
      </c>
      <c r="F36" s="6">
        <v>0.94</v>
      </c>
      <c r="G36">
        <v>11</v>
      </c>
    </row>
    <row r="37" spans="1:7" x14ac:dyDescent="0.2">
      <c r="A37">
        <v>36</v>
      </c>
      <c r="B37">
        <v>72</v>
      </c>
      <c r="C37" s="10">
        <v>42913</v>
      </c>
      <c r="F37" s="6">
        <v>0.96</v>
      </c>
      <c r="G37">
        <v>11</v>
      </c>
    </row>
    <row r="38" spans="1:7" x14ac:dyDescent="0.2">
      <c r="A38">
        <v>37</v>
      </c>
      <c r="B38">
        <v>199</v>
      </c>
      <c r="C38" s="10">
        <v>42985</v>
      </c>
      <c r="F38" s="6">
        <v>0.96499999999999997</v>
      </c>
      <c r="G38">
        <v>11</v>
      </c>
    </row>
    <row r="39" spans="1:7" x14ac:dyDescent="0.2">
      <c r="A39">
        <v>38</v>
      </c>
      <c r="B39">
        <v>200</v>
      </c>
      <c r="C39" s="10">
        <v>43011</v>
      </c>
      <c r="F39" s="6">
        <v>0.96499999999999997</v>
      </c>
      <c r="G39">
        <v>11</v>
      </c>
    </row>
    <row r="40" spans="1:7" x14ac:dyDescent="0.2">
      <c r="A40">
        <v>39</v>
      </c>
      <c r="B40">
        <v>201</v>
      </c>
      <c r="C40" s="10">
        <v>43047</v>
      </c>
      <c r="F40" s="6">
        <v>0.92</v>
      </c>
      <c r="G40">
        <v>11</v>
      </c>
    </row>
    <row r="41" spans="1:7" x14ac:dyDescent="0.2">
      <c r="A41">
        <v>40</v>
      </c>
      <c r="B41">
        <v>202</v>
      </c>
      <c r="C41" s="10">
        <v>43090</v>
      </c>
      <c r="F41" s="6">
        <v>0.94</v>
      </c>
      <c r="G41">
        <v>11</v>
      </c>
    </row>
    <row r="42" spans="1:7" x14ac:dyDescent="0.2">
      <c r="A42">
        <v>41</v>
      </c>
      <c r="B42">
        <v>203</v>
      </c>
      <c r="C42" s="10">
        <v>43124</v>
      </c>
      <c r="F42" s="6">
        <v>0.91</v>
      </c>
      <c r="G42">
        <v>11</v>
      </c>
    </row>
    <row r="43" spans="1:7" x14ac:dyDescent="0.2">
      <c r="A43">
        <v>42</v>
      </c>
      <c r="B43">
        <v>204</v>
      </c>
      <c r="C43" s="10">
        <v>43154</v>
      </c>
      <c r="F43" s="6">
        <v>0.84499999999999997</v>
      </c>
      <c r="G43">
        <v>11</v>
      </c>
    </row>
    <row r="44" spans="1:7" x14ac:dyDescent="0.2">
      <c r="A44">
        <v>43</v>
      </c>
      <c r="B44">
        <v>204</v>
      </c>
      <c r="C44" s="10">
        <v>43140</v>
      </c>
      <c r="F44" s="6">
        <v>0.79</v>
      </c>
      <c r="G44">
        <v>11</v>
      </c>
    </row>
    <row r="45" spans="1:7" x14ac:dyDescent="0.2">
      <c r="A45">
        <v>44</v>
      </c>
      <c r="B45">
        <v>205</v>
      </c>
      <c r="C45" s="10">
        <v>43181</v>
      </c>
      <c r="F45" s="6">
        <v>0.89</v>
      </c>
      <c r="G45">
        <v>11</v>
      </c>
    </row>
    <row r="46" spans="1:7" x14ac:dyDescent="0.2">
      <c r="A46">
        <v>45</v>
      </c>
      <c r="B46">
        <v>206</v>
      </c>
      <c r="C46" s="10">
        <v>43196</v>
      </c>
      <c r="F46" s="6">
        <v>0.94</v>
      </c>
      <c r="G46">
        <v>11</v>
      </c>
    </row>
    <row r="47" spans="1:7" x14ac:dyDescent="0.2">
      <c r="A47">
        <v>46</v>
      </c>
      <c r="B47">
        <v>207</v>
      </c>
      <c r="C47" s="10">
        <v>43209</v>
      </c>
      <c r="F47" s="6">
        <v>0.93500000000000005</v>
      </c>
      <c r="G47">
        <v>11</v>
      </c>
    </row>
    <row r="48" spans="1:7" x14ac:dyDescent="0.2">
      <c r="A48">
        <v>47</v>
      </c>
      <c r="B48">
        <v>208</v>
      </c>
      <c r="C48" s="10">
        <v>43245</v>
      </c>
      <c r="F48" s="6">
        <v>0.98499999999999999</v>
      </c>
      <c r="G48">
        <v>11</v>
      </c>
    </row>
    <row r="49" spans="1:7" x14ac:dyDescent="0.2">
      <c r="A49">
        <v>48</v>
      </c>
      <c r="B49">
        <v>209</v>
      </c>
      <c r="C49" s="10">
        <v>43264</v>
      </c>
      <c r="F49" s="6">
        <v>0.94499999999999995</v>
      </c>
      <c r="G49">
        <v>11</v>
      </c>
    </row>
    <row r="50" spans="1:7" x14ac:dyDescent="0.2">
      <c r="A50">
        <v>49</v>
      </c>
      <c r="B50">
        <v>210</v>
      </c>
      <c r="C50" s="10">
        <v>43278</v>
      </c>
      <c r="F50" s="6">
        <v>0.92</v>
      </c>
      <c r="G50">
        <v>11</v>
      </c>
    </row>
    <row r="51" spans="1:7" x14ac:dyDescent="0.2">
      <c r="A51">
        <v>50</v>
      </c>
      <c r="B51">
        <v>211</v>
      </c>
      <c r="C51" s="10">
        <v>43361</v>
      </c>
      <c r="F51" s="6">
        <v>0.94</v>
      </c>
      <c r="G51">
        <v>11</v>
      </c>
    </row>
    <row r="52" spans="1:7" x14ac:dyDescent="0.2">
      <c r="A52">
        <v>51</v>
      </c>
      <c r="B52">
        <v>212</v>
      </c>
      <c r="C52" s="10">
        <v>43378</v>
      </c>
      <c r="F52" s="6">
        <v>0.93</v>
      </c>
      <c r="G52">
        <v>11</v>
      </c>
    </row>
    <row r="53" spans="1:7" x14ac:dyDescent="0.2">
      <c r="A53">
        <v>52</v>
      </c>
      <c r="B53">
        <v>213</v>
      </c>
      <c r="C53" s="10">
        <v>43398</v>
      </c>
      <c r="F53" s="6">
        <v>0.89500000000000002</v>
      </c>
      <c r="G53">
        <v>11</v>
      </c>
    </row>
    <row r="54" spans="1:7" x14ac:dyDescent="0.2">
      <c r="A54">
        <v>53</v>
      </c>
      <c r="B54">
        <v>214</v>
      </c>
      <c r="C54" s="10">
        <v>43426</v>
      </c>
      <c r="F54" s="6">
        <v>0.98</v>
      </c>
      <c r="G54">
        <v>11</v>
      </c>
    </row>
    <row r="55" spans="1:7" x14ac:dyDescent="0.2">
      <c r="A55">
        <v>54</v>
      </c>
      <c r="B55">
        <v>215</v>
      </c>
      <c r="C55" s="10">
        <v>43448</v>
      </c>
      <c r="F55" s="6">
        <v>0.99</v>
      </c>
      <c r="G55">
        <v>11</v>
      </c>
    </row>
    <row r="56" spans="1:7" x14ac:dyDescent="0.2">
      <c r="A56">
        <v>55</v>
      </c>
      <c r="B56">
        <v>216</v>
      </c>
      <c r="C56" s="10">
        <v>43489</v>
      </c>
      <c r="F56" s="6">
        <v>0.98499999999999999</v>
      </c>
      <c r="G56">
        <v>11</v>
      </c>
    </row>
    <row r="57" spans="1:7" x14ac:dyDescent="0.2">
      <c r="A57">
        <v>56</v>
      </c>
      <c r="B57">
        <v>217</v>
      </c>
      <c r="C57" s="10">
        <v>43510</v>
      </c>
      <c r="F57" s="6">
        <v>0.875</v>
      </c>
      <c r="G57">
        <v>11</v>
      </c>
    </row>
    <row r="58" spans="1:7" x14ac:dyDescent="0.2">
      <c r="A58">
        <v>57</v>
      </c>
      <c r="B58">
        <v>218</v>
      </c>
      <c r="C58" s="10">
        <v>43543</v>
      </c>
      <c r="F58" s="6">
        <v>0.97</v>
      </c>
      <c r="G58">
        <v>11</v>
      </c>
    </row>
    <row r="59" spans="1:7" x14ac:dyDescent="0.2">
      <c r="A59">
        <v>58</v>
      </c>
      <c r="B59">
        <v>219</v>
      </c>
      <c r="C59" s="10">
        <v>43559</v>
      </c>
      <c r="F59" s="6">
        <v>0.99</v>
      </c>
      <c r="G59">
        <v>11</v>
      </c>
    </row>
    <row r="60" spans="1:7" x14ac:dyDescent="0.2">
      <c r="A60">
        <v>59</v>
      </c>
      <c r="B60">
        <v>220</v>
      </c>
      <c r="C60" s="10">
        <v>43580</v>
      </c>
      <c r="F60" s="6">
        <v>0.91500000000000004</v>
      </c>
      <c r="G60">
        <v>11</v>
      </c>
    </row>
    <row r="61" spans="1:7" x14ac:dyDescent="0.2">
      <c r="A61">
        <v>60</v>
      </c>
      <c r="B61">
        <v>221</v>
      </c>
      <c r="C61" s="10">
        <v>43607</v>
      </c>
      <c r="F61" s="6">
        <v>0.93500000000000005</v>
      </c>
      <c r="G61">
        <v>11</v>
      </c>
    </row>
    <row r="62" spans="1:7" x14ac:dyDescent="0.2">
      <c r="A62">
        <v>61</v>
      </c>
      <c r="B62">
        <v>222</v>
      </c>
      <c r="C62" s="10">
        <v>43641</v>
      </c>
      <c r="F62" s="6">
        <v>0.98</v>
      </c>
      <c r="G62">
        <v>11</v>
      </c>
    </row>
    <row r="63" spans="1:7" x14ac:dyDescent="0.2">
      <c r="A63">
        <v>62</v>
      </c>
      <c r="B63">
        <v>97</v>
      </c>
      <c r="C63" s="10">
        <v>43727</v>
      </c>
      <c r="F63" s="6">
        <v>0.91</v>
      </c>
      <c r="G63">
        <v>11</v>
      </c>
    </row>
    <row r="64" spans="1:7" x14ac:dyDescent="0.2">
      <c r="A64">
        <v>63</v>
      </c>
      <c r="B64">
        <v>98</v>
      </c>
      <c r="C64" s="10">
        <v>43748</v>
      </c>
      <c r="F64" s="6">
        <v>0.95499999999999996</v>
      </c>
      <c r="G64">
        <v>11</v>
      </c>
    </row>
    <row r="65" spans="1:7" x14ac:dyDescent="0.2">
      <c r="A65">
        <v>64</v>
      </c>
      <c r="B65">
        <v>99</v>
      </c>
      <c r="C65" s="10">
        <v>43783</v>
      </c>
      <c r="F65" s="6">
        <v>0.88</v>
      </c>
      <c r="G65">
        <v>11</v>
      </c>
    </row>
    <row r="66" spans="1:7" x14ac:dyDescent="0.2">
      <c r="A66">
        <v>65</v>
      </c>
      <c r="B66">
        <v>100</v>
      </c>
      <c r="C66" s="10">
        <v>43805</v>
      </c>
      <c r="F66" s="6">
        <v>0.96</v>
      </c>
      <c r="G66">
        <v>11</v>
      </c>
    </row>
    <row r="67" spans="1:7" x14ac:dyDescent="0.2">
      <c r="A67">
        <v>66</v>
      </c>
      <c r="B67">
        <v>101</v>
      </c>
      <c r="C67" s="10">
        <v>43840</v>
      </c>
      <c r="F67" s="6">
        <v>0.92500000000000004</v>
      </c>
      <c r="G67">
        <v>11</v>
      </c>
    </row>
    <row r="68" spans="1:7" x14ac:dyDescent="0.2">
      <c r="A68">
        <v>67</v>
      </c>
      <c r="B68">
        <v>102</v>
      </c>
      <c r="C68" s="10">
        <v>43861</v>
      </c>
      <c r="F68" s="6">
        <v>1</v>
      </c>
      <c r="G68">
        <v>11</v>
      </c>
    </row>
    <row r="69" spans="1:7" x14ac:dyDescent="0.2">
      <c r="A69">
        <v>68</v>
      </c>
      <c r="B69">
        <v>103</v>
      </c>
      <c r="C69" s="10">
        <v>43879</v>
      </c>
      <c r="F69" s="6">
        <v>0.82499999999999996</v>
      </c>
      <c r="G69">
        <v>11</v>
      </c>
    </row>
    <row r="70" spans="1:7" x14ac:dyDescent="0.2">
      <c r="A70">
        <v>69</v>
      </c>
      <c r="B70">
        <v>104</v>
      </c>
      <c r="C70" s="10">
        <v>43921</v>
      </c>
      <c r="F70" s="6">
        <v>0.89</v>
      </c>
      <c r="G70">
        <v>11</v>
      </c>
    </row>
    <row r="71" spans="1:7" x14ac:dyDescent="0.2">
      <c r="A71">
        <v>70</v>
      </c>
      <c r="B71">
        <v>105</v>
      </c>
      <c r="C71" s="10">
        <v>43943</v>
      </c>
      <c r="F71" s="6">
        <v>0.93</v>
      </c>
      <c r="G71">
        <v>11</v>
      </c>
    </row>
    <row r="72" spans="1:7" x14ac:dyDescent="0.2">
      <c r="A72">
        <v>71</v>
      </c>
      <c r="B72">
        <v>106</v>
      </c>
      <c r="C72" s="10">
        <v>43979</v>
      </c>
      <c r="F72" s="6">
        <v>0.94499999999999995</v>
      </c>
      <c r="G72">
        <v>11</v>
      </c>
    </row>
    <row r="73" spans="1:7" x14ac:dyDescent="0.2">
      <c r="A73">
        <v>72</v>
      </c>
      <c r="B73">
        <v>107</v>
      </c>
      <c r="C73" s="10">
        <v>43993</v>
      </c>
      <c r="F73" s="6">
        <v>0.95</v>
      </c>
      <c r="G73">
        <v>11</v>
      </c>
    </row>
    <row r="74" spans="1:7" x14ac:dyDescent="0.2">
      <c r="A74">
        <v>73</v>
      </c>
      <c r="B74">
        <v>108</v>
      </c>
      <c r="C74" s="10">
        <v>44012</v>
      </c>
      <c r="F74" s="6">
        <v>0.93</v>
      </c>
      <c r="G74">
        <v>11</v>
      </c>
    </row>
    <row r="75" spans="1:7" x14ac:dyDescent="0.2">
      <c r="A75">
        <v>74</v>
      </c>
      <c r="B75">
        <v>109</v>
      </c>
      <c r="C75" s="10">
        <v>44169</v>
      </c>
      <c r="F75" s="6">
        <v>0.79500000000000004</v>
      </c>
      <c r="G75">
        <v>11</v>
      </c>
    </row>
    <row r="76" spans="1:7" x14ac:dyDescent="0.2">
      <c r="A76">
        <v>75</v>
      </c>
      <c r="B76">
        <v>109</v>
      </c>
      <c r="C76" s="10">
        <v>44215</v>
      </c>
      <c r="F76" s="6">
        <v>0.92500000000000004</v>
      </c>
      <c r="G76">
        <v>11</v>
      </c>
    </row>
    <row r="77" spans="1:7" x14ac:dyDescent="0.2">
      <c r="A77">
        <v>76</v>
      </c>
      <c r="B77">
        <v>110</v>
      </c>
      <c r="C77" s="10">
        <v>44183</v>
      </c>
      <c r="F77" s="6">
        <v>0.94</v>
      </c>
      <c r="G77">
        <v>11</v>
      </c>
    </row>
    <row r="78" spans="1:7" x14ac:dyDescent="0.2">
      <c r="A78">
        <v>77</v>
      </c>
      <c r="B78">
        <v>111</v>
      </c>
      <c r="C78" s="10">
        <v>44229</v>
      </c>
      <c r="F78" s="6">
        <v>0.96</v>
      </c>
      <c r="G78">
        <v>11</v>
      </c>
    </row>
    <row r="79" spans="1:7" x14ac:dyDescent="0.2">
      <c r="A79">
        <v>78</v>
      </c>
      <c r="B79">
        <v>112</v>
      </c>
      <c r="C79" s="10">
        <v>44245</v>
      </c>
      <c r="F79" s="6">
        <v>0.88</v>
      </c>
      <c r="G79">
        <v>11</v>
      </c>
    </row>
    <row r="80" spans="1:7" x14ac:dyDescent="0.2">
      <c r="A80">
        <v>79</v>
      </c>
      <c r="B80">
        <v>113</v>
      </c>
      <c r="C80" s="10">
        <v>44271</v>
      </c>
      <c r="F80" s="6">
        <v>0.98</v>
      </c>
      <c r="G80">
        <v>11</v>
      </c>
    </row>
    <row r="81" spans="1:7" x14ac:dyDescent="0.2">
      <c r="A81">
        <v>80</v>
      </c>
      <c r="B81">
        <v>114</v>
      </c>
      <c r="C81" s="10">
        <v>44287</v>
      </c>
      <c r="F81" s="6">
        <v>0.63</v>
      </c>
      <c r="G81">
        <v>11</v>
      </c>
    </row>
    <row r="82" spans="1:7" x14ac:dyDescent="0.2">
      <c r="A82">
        <v>81</v>
      </c>
      <c r="B82">
        <v>114</v>
      </c>
      <c r="C82" s="10">
        <v>44294</v>
      </c>
      <c r="F82" s="6">
        <v>0.94</v>
      </c>
      <c r="G82">
        <v>11</v>
      </c>
    </row>
    <row r="83" spans="1:7" x14ac:dyDescent="0.2">
      <c r="A83">
        <v>82</v>
      </c>
    </row>
    <row r="84" spans="1:7" x14ac:dyDescent="0.2">
      <c r="A84">
        <v>83</v>
      </c>
    </row>
  </sheetData>
  <autoFilter ref="A1:H84" xr:uid="{00000000-0009-0000-0000-00000E000000}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/>
  </sheetPr>
  <dimension ref="A1:G29"/>
  <sheetViews>
    <sheetView zoomScale="145" zoomScaleNormal="145" workbookViewId="0">
      <selection activeCell="B30" sqref="B30"/>
    </sheetView>
  </sheetViews>
  <sheetFormatPr baseColWidth="10" defaultColWidth="8.83203125" defaultRowHeight="15" x14ac:dyDescent="0.2"/>
  <cols>
    <col min="2" max="2" width="15.6640625" customWidth="1"/>
    <col min="3" max="3" width="26.5" bestFit="1" customWidth="1"/>
    <col min="5" max="5" width="11.5" bestFit="1" customWidth="1"/>
    <col min="6" max="6" width="10.1640625" bestFit="1" customWidth="1"/>
  </cols>
  <sheetData>
    <row r="1" spans="1:7" s="3" customFormat="1" x14ac:dyDescent="0.2">
      <c r="A1" s="3" t="s">
        <v>0</v>
      </c>
      <c r="B1" s="3" t="s">
        <v>125</v>
      </c>
      <c r="C1" s="3" t="s">
        <v>210</v>
      </c>
      <c r="D1" s="3" t="s">
        <v>1586</v>
      </c>
      <c r="E1" s="3" t="s">
        <v>438</v>
      </c>
      <c r="F1" s="3" t="s">
        <v>1587</v>
      </c>
    </row>
    <row r="2" spans="1:7" x14ac:dyDescent="0.2">
      <c r="A2">
        <v>1</v>
      </c>
      <c r="B2">
        <v>7.1</v>
      </c>
      <c r="C2" t="s">
        <v>276</v>
      </c>
      <c r="D2">
        <v>6</v>
      </c>
      <c r="E2">
        <v>0.5</v>
      </c>
      <c r="F2" t="s">
        <v>1588</v>
      </c>
    </row>
    <row r="3" spans="1:7" x14ac:dyDescent="0.2">
      <c r="A3">
        <v>2</v>
      </c>
      <c r="B3">
        <v>9</v>
      </c>
      <c r="C3" t="s">
        <v>1589</v>
      </c>
      <c r="D3">
        <v>2</v>
      </c>
      <c r="E3">
        <v>1</v>
      </c>
      <c r="F3" t="s">
        <v>1590</v>
      </c>
    </row>
    <row r="4" spans="1:7" x14ac:dyDescent="0.2">
      <c r="A4">
        <v>3</v>
      </c>
      <c r="B4">
        <v>9.1</v>
      </c>
      <c r="C4" t="s">
        <v>1591</v>
      </c>
      <c r="D4">
        <v>9</v>
      </c>
      <c r="E4">
        <v>1</v>
      </c>
      <c r="F4" t="s">
        <v>1592</v>
      </c>
    </row>
    <row r="5" spans="1:7" x14ac:dyDescent="0.2">
      <c r="A5">
        <v>4</v>
      </c>
      <c r="B5">
        <v>10.1</v>
      </c>
      <c r="C5" t="s">
        <v>1593</v>
      </c>
      <c r="D5">
        <v>9</v>
      </c>
      <c r="E5">
        <v>1.5</v>
      </c>
      <c r="F5" t="s">
        <v>1592</v>
      </c>
    </row>
    <row r="6" spans="1:7" x14ac:dyDescent="0.2">
      <c r="A6">
        <v>5</v>
      </c>
      <c r="B6">
        <v>11.1</v>
      </c>
      <c r="C6" t="s">
        <v>1594</v>
      </c>
      <c r="D6">
        <v>9</v>
      </c>
      <c r="E6">
        <v>2</v>
      </c>
      <c r="F6" t="s">
        <v>1592</v>
      </c>
    </row>
    <row r="7" spans="1:7" x14ac:dyDescent="0.2">
      <c r="A7">
        <v>6</v>
      </c>
      <c r="B7">
        <v>10.1</v>
      </c>
      <c r="C7" t="s">
        <v>1595</v>
      </c>
      <c r="D7">
        <v>2</v>
      </c>
      <c r="E7">
        <v>0.5</v>
      </c>
      <c r="F7" t="s">
        <v>1588</v>
      </c>
    </row>
    <row r="8" spans="1:7" x14ac:dyDescent="0.2">
      <c r="A8">
        <v>7</v>
      </c>
      <c r="B8">
        <v>10.199999999999999</v>
      </c>
      <c r="C8" t="s">
        <v>1596</v>
      </c>
      <c r="D8">
        <v>2</v>
      </c>
      <c r="E8">
        <v>0.5</v>
      </c>
      <c r="F8" t="s">
        <v>1588</v>
      </c>
    </row>
    <row r="9" spans="1:7" x14ac:dyDescent="0.2">
      <c r="A9">
        <v>8</v>
      </c>
      <c r="B9">
        <v>10.3</v>
      </c>
      <c r="C9" t="s">
        <v>1597</v>
      </c>
      <c r="D9">
        <v>2</v>
      </c>
      <c r="E9">
        <v>0.5</v>
      </c>
      <c r="F9" t="s">
        <v>1588</v>
      </c>
    </row>
    <row r="10" spans="1:7" x14ac:dyDescent="0.2">
      <c r="A10">
        <v>9</v>
      </c>
      <c r="B10">
        <v>9</v>
      </c>
      <c r="C10" t="s">
        <v>1598</v>
      </c>
      <c r="D10">
        <v>8</v>
      </c>
      <c r="E10">
        <v>0.5</v>
      </c>
      <c r="F10" t="s">
        <v>1590</v>
      </c>
    </row>
    <row r="11" spans="1:7" x14ac:dyDescent="0.2">
      <c r="A11">
        <v>10</v>
      </c>
      <c r="B11">
        <v>9.1</v>
      </c>
      <c r="C11" t="s">
        <v>1599</v>
      </c>
      <c r="D11">
        <v>6</v>
      </c>
      <c r="E11">
        <v>0.25</v>
      </c>
      <c r="F11" t="s">
        <v>1600</v>
      </c>
    </row>
    <row r="12" spans="1:7" x14ac:dyDescent="0.2">
      <c r="A12">
        <v>11</v>
      </c>
      <c r="B12">
        <v>9.1999999999999993</v>
      </c>
      <c r="C12" t="s">
        <v>1601</v>
      </c>
      <c r="D12">
        <v>5</v>
      </c>
      <c r="E12">
        <v>0.25</v>
      </c>
      <c r="F12" t="s">
        <v>1600</v>
      </c>
    </row>
    <row r="13" spans="1:7" x14ac:dyDescent="0.2">
      <c r="A13">
        <v>12</v>
      </c>
      <c r="B13">
        <v>10.1</v>
      </c>
      <c r="C13" t="s">
        <v>1599</v>
      </c>
      <c r="D13">
        <v>6</v>
      </c>
      <c r="E13">
        <v>0.17</v>
      </c>
      <c r="F13" t="s">
        <v>1600</v>
      </c>
    </row>
    <row r="14" spans="1:7" x14ac:dyDescent="0.2">
      <c r="A14">
        <v>13</v>
      </c>
      <c r="B14">
        <v>10.199999999999999</v>
      </c>
      <c r="C14" t="s">
        <v>1601</v>
      </c>
      <c r="D14">
        <v>5</v>
      </c>
      <c r="E14">
        <v>0.17</v>
      </c>
      <c r="F14" t="s">
        <v>1600</v>
      </c>
      <c r="G14" s="6"/>
    </row>
    <row r="15" spans="1:7" x14ac:dyDescent="0.2">
      <c r="A15">
        <v>14</v>
      </c>
      <c r="B15">
        <v>10.3</v>
      </c>
      <c r="C15" t="s">
        <v>1602</v>
      </c>
      <c r="D15">
        <v>7</v>
      </c>
      <c r="E15">
        <v>0.17</v>
      </c>
      <c r="F15" t="s">
        <v>1600</v>
      </c>
    </row>
    <row r="16" spans="1:7" x14ac:dyDescent="0.2">
      <c r="A16">
        <v>15</v>
      </c>
      <c r="B16">
        <v>10.4</v>
      </c>
      <c r="C16" t="s">
        <v>1601</v>
      </c>
      <c r="D16">
        <v>5</v>
      </c>
      <c r="E16">
        <v>0.17</v>
      </c>
      <c r="F16" t="s">
        <v>1600</v>
      </c>
      <c r="G16" s="6"/>
    </row>
    <row r="17" spans="1:7" x14ac:dyDescent="0.2">
      <c r="A17">
        <v>16</v>
      </c>
      <c r="B17">
        <v>11.1</v>
      </c>
      <c r="C17" t="s">
        <v>1599</v>
      </c>
      <c r="D17">
        <v>6</v>
      </c>
      <c r="E17">
        <v>0.17</v>
      </c>
      <c r="F17" t="s">
        <v>1600</v>
      </c>
      <c r="G17" s="6"/>
    </row>
    <row r="18" spans="1:7" x14ac:dyDescent="0.2">
      <c r="A18">
        <v>17</v>
      </c>
      <c r="B18">
        <v>11.2</v>
      </c>
      <c r="C18" t="s">
        <v>1603</v>
      </c>
      <c r="D18">
        <v>2</v>
      </c>
      <c r="E18">
        <v>0.17</v>
      </c>
      <c r="F18" t="s">
        <v>1600</v>
      </c>
      <c r="G18" s="6"/>
    </row>
    <row r="19" spans="1:7" x14ac:dyDescent="0.2">
      <c r="A19">
        <v>18</v>
      </c>
      <c r="B19">
        <v>11.3</v>
      </c>
      <c r="C19" t="s">
        <v>1602</v>
      </c>
      <c r="D19">
        <v>7</v>
      </c>
      <c r="E19">
        <v>0.17</v>
      </c>
      <c r="F19" t="s">
        <v>1600</v>
      </c>
      <c r="G19" s="6"/>
    </row>
    <row r="20" spans="1:7" x14ac:dyDescent="0.2">
      <c r="A20">
        <v>19</v>
      </c>
      <c r="B20">
        <v>11.4</v>
      </c>
      <c r="C20" t="s">
        <v>1601</v>
      </c>
      <c r="D20">
        <v>5</v>
      </c>
      <c r="E20">
        <v>0.17</v>
      </c>
      <c r="F20" t="s">
        <v>1600</v>
      </c>
    </row>
    <row r="21" spans="1:7" x14ac:dyDescent="0.2">
      <c r="A21">
        <v>20</v>
      </c>
      <c r="B21">
        <v>11.5</v>
      </c>
      <c r="C21" t="s">
        <v>1604</v>
      </c>
      <c r="D21">
        <v>5</v>
      </c>
      <c r="E21">
        <v>0.17</v>
      </c>
      <c r="F21" t="s">
        <v>1600</v>
      </c>
      <c r="G21" s="6"/>
    </row>
    <row r="22" spans="1:7" x14ac:dyDescent="0.2">
      <c r="A22">
        <v>21</v>
      </c>
      <c r="B22">
        <v>11.6</v>
      </c>
      <c r="C22" t="s">
        <v>1605</v>
      </c>
      <c r="D22">
        <v>1</v>
      </c>
      <c r="E22">
        <v>0.17</v>
      </c>
      <c r="F22" t="s">
        <v>1600</v>
      </c>
      <c r="G22" s="6"/>
    </row>
    <row r="23" spans="1:7" x14ac:dyDescent="0.2">
      <c r="A23">
        <v>22</v>
      </c>
      <c r="B23">
        <v>11.7</v>
      </c>
      <c r="C23" t="s">
        <v>1606</v>
      </c>
      <c r="D23">
        <v>2</v>
      </c>
      <c r="E23">
        <v>0</v>
      </c>
      <c r="F23" t="s">
        <v>1600</v>
      </c>
      <c r="G23" s="6"/>
    </row>
    <row r="24" spans="1:7" x14ac:dyDescent="0.2">
      <c r="A24">
        <v>23</v>
      </c>
      <c r="B24">
        <v>12.1</v>
      </c>
      <c r="C24" t="s">
        <v>1599</v>
      </c>
      <c r="D24">
        <v>6</v>
      </c>
      <c r="E24">
        <v>0.17</v>
      </c>
      <c r="F24" t="s">
        <v>1600</v>
      </c>
    </row>
    <row r="25" spans="1:7" x14ac:dyDescent="0.2">
      <c r="A25">
        <v>24</v>
      </c>
      <c r="B25">
        <v>12.2</v>
      </c>
      <c r="C25" t="s">
        <v>1603</v>
      </c>
      <c r="D25">
        <v>2</v>
      </c>
      <c r="E25">
        <v>0.17</v>
      </c>
      <c r="F25" t="s">
        <v>1600</v>
      </c>
    </row>
    <row r="26" spans="1:7" x14ac:dyDescent="0.2">
      <c r="A26">
        <v>25</v>
      </c>
      <c r="B26">
        <v>12.3</v>
      </c>
      <c r="C26" t="s">
        <v>1602</v>
      </c>
      <c r="D26">
        <v>7</v>
      </c>
      <c r="E26">
        <v>0.17</v>
      </c>
      <c r="F26" t="s">
        <v>1600</v>
      </c>
    </row>
    <row r="27" spans="1:7" x14ac:dyDescent="0.2">
      <c r="A27">
        <v>26</v>
      </c>
      <c r="B27">
        <v>12.4</v>
      </c>
      <c r="C27" t="s">
        <v>1601</v>
      </c>
      <c r="D27">
        <v>5</v>
      </c>
      <c r="E27">
        <v>0.17</v>
      </c>
      <c r="F27" t="s">
        <v>1600</v>
      </c>
    </row>
    <row r="28" spans="1:7" x14ac:dyDescent="0.2">
      <c r="A28">
        <v>27</v>
      </c>
      <c r="B28">
        <v>12.5</v>
      </c>
      <c r="C28" t="s">
        <v>1604</v>
      </c>
      <c r="D28">
        <v>5</v>
      </c>
      <c r="E28">
        <v>0.17</v>
      </c>
      <c r="F28" t="s">
        <v>1600</v>
      </c>
    </row>
    <row r="29" spans="1:7" x14ac:dyDescent="0.2">
      <c r="A29">
        <v>28</v>
      </c>
      <c r="B29">
        <v>12.6</v>
      </c>
      <c r="C29" t="s">
        <v>1605</v>
      </c>
      <c r="D29">
        <v>1</v>
      </c>
      <c r="E29">
        <v>0.17</v>
      </c>
      <c r="F29" t="s">
        <v>1600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/>
  </sheetPr>
  <dimension ref="A1:G89"/>
  <sheetViews>
    <sheetView zoomScale="115" zoomScaleNormal="115" workbookViewId="0">
      <selection activeCell="F3" sqref="F3"/>
    </sheetView>
  </sheetViews>
  <sheetFormatPr baseColWidth="10" defaultColWidth="8.83203125" defaultRowHeight="15" x14ac:dyDescent="0.2"/>
  <cols>
    <col min="1" max="1" width="6.83203125" customWidth="1"/>
    <col min="2" max="2" width="8.83203125" bestFit="1" customWidth="1"/>
    <col min="4" max="4" width="12.5" bestFit="1" customWidth="1"/>
    <col min="7" max="7" width="13.1640625" bestFit="1" customWidth="1"/>
  </cols>
  <sheetData>
    <row r="1" spans="1:7" x14ac:dyDescent="0.2">
      <c r="A1" s="3" t="s">
        <v>0</v>
      </c>
      <c r="B1" s="3" t="s">
        <v>437</v>
      </c>
      <c r="C1" s="3" t="s">
        <v>435</v>
      </c>
      <c r="D1" s="3" t="s">
        <v>1580</v>
      </c>
      <c r="E1" s="3" t="s">
        <v>210</v>
      </c>
      <c r="F1" s="3" t="s">
        <v>1607</v>
      </c>
      <c r="G1" s="3" t="s">
        <v>1608</v>
      </c>
    </row>
    <row r="2" spans="1:7" x14ac:dyDescent="0.2">
      <c r="A2">
        <v>1</v>
      </c>
      <c r="B2">
        <v>80</v>
      </c>
      <c r="C2">
        <v>1</v>
      </c>
      <c r="D2">
        <v>1</v>
      </c>
      <c r="E2" t="s">
        <v>166</v>
      </c>
      <c r="F2">
        <v>1</v>
      </c>
    </row>
    <row r="3" spans="1:7" x14ac:dyDescent="0.2">
      <c r="A3">
        <v>2</v>
      </c>
      <c r="B3">
        <v>82</v>
      </c>
      <c r="C3">
        <v>1</v>
      </c>
      <c r="D3">
        <v>1</v>
      </c>
      <c r="E3" t="s">
        <v>166</v>
      </c>
      <c r="F3">
        <v>1</v>
      </c>
    </row>
    <row r="4" spans="1:7" x14ac:dyDescent="0.2">
      <c r="A4">
        <v>3</v>
      </c>
      <c r="B4">
        <v>84</v>
      </c>
      <c r="C4">
        <v>1</v>
      </c>
      <c r="D4">
        <v>1</v>
      </c>
      <c r="E4" t="s">
        <v>166</v>
      </c>
      <c r="F4">
        <v>1</v>
      </c>
    </row>
    <row r="5" spans="1:7" x14ac:dyDescent="0.2">
      <c r="A5">
        <v>4</v>
      </c>
      <c r="B5" t="s">
        <v>1609</v>
      </c>
      <c r="C5">
        <v>2</v>
      </c>
      <c r="D5">
        <v>1</v>
      </c>
      <c r="E5" t="s">
        <v>1610</v>
      </c>
      <c r="F5">
        <v>1</v>
      </c>
    </row>
    <row r="6" spans="1:7" x14ac:dyDescent="0.2">
      <c r="A6">
        <v>5</v>
      </c>
      <c r="B6" t="s">
        <v>1611</v>
      </c>
      <c r="C6">
        <v>2</v>
      </c>
      <c r="D6">
        <v>1</v>
      </c>
      <c r="E6" t="s">
        <v>1610</v>
      </c>
      <c r="F6">
        <v>2</v>
      </c>
    </row>
    <row r="7" spans="1:7" x14ac:dyDescent="0.2">
      <c r="A7">
        <v>6</v>
      </c>
      <c r="B7" t="s">
        <v>1612</v>
      </c>
      <c r="C7">
        <v>2</v>
      </c>
      <c r="D7">
        <v>1</v>
      </c>
      <c r="E7" t="s">
        <v>1610</v>
      </c>
      <c r="F7">
        <v>1</v>
      </c>
    </row>
    <row r="8" spans="1:7" x14ac:dyDescent="0.2">
      <c r="A8">
        <v>7</v>
      </c>
      <c r="B8" t="s">
        <v>1613</v>
      </c>
      <c r="C8">
        <v>2</v>
      </c>
      <c r="D8">
        <v>1</v>
      </c>
      <c r="E8" t="s">
        <v>1610</v>
      </c>
      <c r="F8">
        <v>2</v>
      </c>
    </row>
    <row r="9" spans="1:7" x14ac:dyDescent="0.2">
      <c r="A9">
        <v>8</v>
      </c>
      <c r="B9" t="s">
        <v>1614</v>
      </c>
      <c r="C9">
        <v>2</v>
      </c>
      <c r="D9">
        <v>1</v>
      </c>
      <c r="E9" t="s">
        <v>1610</v>
      </c>
      <c r="F9">
        <v>1</v>
      </c>
    </row>
    <row r="10" spans="1:7" x14ac:dyDescent="0.2">
      <c r="A10">
        <v>9</v>
      </c>
      <c r="B10" t="s">
        <v>1615</v>
      </c>
      <c r="C10">
        <v>2</v>
      </c>
      <c r="D10">
        <v>1</v>
      </c>
      <c r="E10" t="s">
        <v>1610</v>
      </c>
      <c r="F10">
        <v>2</v>
      </c>
    </row>
    <row r="11" spans="1:7" x14ac:dyDescent="0.2">
      <c r="A11">
        <v>10</v>
      </c>
      <c r="B11" t="s">
        <v>1616</v>
      </c>
      <c r="C11">
        <v>2</v>
      </c>
      <c r="D11">
        <v>1</v>
      </c>
      <c r="E11" t="s">
        <v>1610</v>
      </c>
      <c r="F11">
        <v>1</v>
      </c>
    </row>
    <row r="12" spans="1:7" x14ac:dyDescent="0.2">
      <c r="A12">
        <v>11</v>
      </c>
      <c r="B12" t="s">
        <v>1617</v>
      </c>
      <c r="C12">
        <v>2</v>
      </c>
      <c r="D12">
        <v>1</v>
      </c>
      <c r="E12" t="s">
        <v>1610</v>
      </c>
      <c r="F12">
        <v>2</v>
      </c>
    </row>
    <row r="13" spans="1:7" x14ac:dyDescent="0.2">
      <c r="A13">
        <v>12</v>
      </c>
      <c r="B13" t="s">
        <v>1618</v>
      </c>
      <c r="C13">
        <v>6</v>
      </c>
      <c r="D13">
        <v>1</v>
      </c>
      <c r="E13" t="s">
        <v>1610</v>
      </c>
      <c r="F13">
        <v>1</v>
      </c>
    </row>
    <row r="14" spans="1:7" x14ac:dyDescent="0.2">
      <c r="A14">
        <v>13</v>
      </c>
      <c r="B14" t="s">
        <v>1619</v>
      </c>
      <c r="C14">
        <v>6</v>
      </c>
      <c r="D14">
        <v>1</v>
      </c>
      <c r="E14" t="s">
        <v>1610</v>
      </c>
      <c r="F14">
        <v>2</v>
      </c>
    </row>
    <row r="15" spans="1:7" x14ac:dyDescent="0.2">
      <c r="A15">
        <v>14</v>
      </c>
      <c r="B15" t="s">
        <v>1620</v>
      </c>
      <c r="C15">
        <v>6</v>
      </c>
      <c r="D15">
        <v>1</v>
      </c>
      <c r="E15" t="s">
        <v>1610</v>
      </c>
      <c r="F15">
        <v>1</v>
      </c>
    </row>
    <row r="16" spans="1:7" x14ac:dyDescent="0.2">
      <c r="A16">
        <v>15</v>
      </c>
      <c r="B16" t="s">
        <v>1621</v>
      </c>
      <c r="C16">
        <v>6</v>
      </c>
      <c r="D16">
        <v>1</v>
      </c>
      <c r="E16" t="s">
        <v>1610</v>
      </c>
      <c r="F16">
        <v>2</v>
      </c>
    </row>
    <row r="17" spans="1:6" x14ac:dyDescent="0.2">
      <c r="A17">
        <v>16</v>
      </c>
      <c r="B17" t="s">
        <v>1622</v>
      </c>
      <c r="C17">
        <v>7</v>
      </c>
      <c r="D17">
        <v>1</v>
      </c>
      <c r="E17" t="s">
        <v>1610</v>
      </c>
      <c r="F17">
        <v>1</v>
      </c>
    </row>
    <row r="18" spans="1:6" x14ac:dyDescent="0.2">
      <c r="A18">
        <v>17</v>
      </c>
      <c r="B18" t="s">
        <v>1623</v>
      </c>
      <c r="C18">
        <v>7</v>
      </c>
      <c r="D18">
        <v>1</v>
      </c>
      <c r="E18" t="s">
        <v>1610</v>
      </c>
      <c r="F18">
        <v>2</v>
      </c>
    </row>
    <row r="19" spans="1:6" x14ac:dyDescent="0.2">
      <c r="A19">
        <v>18</v>
      </c>
      <c r="B19" t="s">
        <v>1624</v>
      </c>
      <c r="C19">
        <v>7</v>
      </c>
      <c r="D19">
        <v>1</v>
      </c>
      <c r="E19" t="s">
        <v>1610</v>
      </c>
      <c r="F19">
        <v>1</v>
      </c>
    </row>
    <row r="20" spans="1:6" x14ac:dyDescent="0.2">
      <c r="A20">
        <v>19</v>
      </c>
      <c r="B20" t="s">
        <v>1625</v>
      </c>
      <c r="C20">
        <v>7</v>
      </c>
      <c r="D20">
        <v>1</v>
      </c>
      <c r="E20" t="s">
        <v>1610</v>
      </c>
      <c r="F20">
        <v>2</v>
      </c>
    </row>
    <row r="21" spans="1:6" x14ac:dyDescent="0.2">
      <c r="A21">
        <v>20</v>
      </c>
      <c r="B21" t="s">
        <v>1626</v>
      </c>
      <c r="C21">
        <v>8</v>
      </c>
      <c r="D21">
        <v>1</v>
      </c>
      <c r="E21" t="s">
        <v>1610</v>
      </c>
      <c r="F21">
        <v>1</v>
      </c>
    </row>
    <row r="22" spans="1:6" x14ac:dyDescent="0.2">
      <c r="A22">
        <v>21</v>
      </c>
      <c r="B22" t="s">
        <v>1627</v>
      </c>
      <c r="C22">
        <v>8</v>
      </c>
      <c r="D22">
        <v>1</v>
      </c>
      <c r="E22" t="s">
        <v>1610</v>
      </c>
      <c r="F22">
        <v>2</v>
      </c>
    </row>
    <row r="23" spans="1:6" x14ac:dyDescent="0.2">
      <c r="A23">
        <v>22</v>
      </c>
      <c r="B23" t="s">
        <v>1628</v>
      </c>
      <c r="C23">
        <v>8</v>
      </c>
      <c r="D23">
        <v>1</v>
      </c>
      <c r="E23" t="s">
        <v>1610</v>
      </c>
      <c r="F23">
        <v>1</v>
      </c>
    </row>
    <row r="24" spans="1:6" x14ac:dyDescent="0.2">
      <c r="A24">
        <v>23</v>
      </c>
      <c r="B24" t="s">
        <v>1629</v>
      </c>
      <c r="C24">
        <v>8</v>
      </c>
      <c r="D24">
        <v>1</v>
      </c>
      <c r="E24" t="s">
        <v>1610</v>
      </c>
      <c r="F24">
        <v>2</v>
      </c>
    </row>
    <row r="25" spans="1:6" x14ac:dyDescent="0.2">
      <c r="A25">
        <v>24</v>
      </c>
      <c r="B25" t="s">
        <v>1630</v>
      </c>
      <c r="C25">
        <v>3</v>
      </c>
      <c r="D25">
        <v>1</v>
      </c>
      <c r="E25" t="s">
        <v>166</v>
      </c>
      <c r="F25">
        <v>12</v>
      </c>
    </row>
    <row r="26" spans="1:6" x14ac:dyDescent="0.2">
      <c r="A26">
        <v>25</v>
      </c>
      <c r="B26" t="s">
        <v>1631</v>
      </c>
      <c r="C26">
        <v>4</v>
      </c>
      <c r="D26">
        <v>1</v>
      </c>
      <c r="E26" t="s">
        <v>166</v>
      </c>
      <c r="F26">
        <v>18</v>
      </c>
    </row>
    <row r="27" spans="1:6" x14ac:dyDescent="0.2">
      <c r="A27">
        <v>26</v>
      </c>
      <c r="B27" t="s">
        <v>1632</v>
      </c>
      <c r="C27">
        <v>5</v>
      </c>
      <c r="D27">
        <v>1</v>
      </c>
      <c r="E27" t="s">
        <v>166</v>
      </c>
      <c r="F27">
        <v>24</v>
      </c>
    </row>
    <row r="28" spans="1:6" x14ac:dyDescent="0.2">
      <c r="A28">
        <v>27</v>
      </c>
      <c r="B28" t="s">
        <v>1633</v>
      </c>
      <c r="C28">
        <v>9</v>
      </c>
      <c r="D28">
        <v>1</v>
      </c>
      <c r="F28">
        <v>6</v>
      </c>
    </row>
    <row r="29" spans="1:6" x14ac:dyDescent="0.2">
      <c r="A29">
        <v>28</v>
      </c>
      <c r="B29" t="s">
        <v>1634</v>
      </c>
      <c r="C29">
        <v>10</v>
      </c>
      <c r="D29">
        <v>1</v>
      </c>
      <c r="E29" t="s">
        <v>1635</v>
      </c>
      <c r="F29">
        <v>3</v>
      </c>
    </row>
    <row r="30" spans="1:6" x14ac:dyDescent="0.2">
      <c r="A30">
        <v>29</v>
      </c>
      <c r="B30" t="s">
        <v>1636</v>
      </c>
      <c r="C30">
        <v>11</v>
      </c>
      <c r="D30">
        <v>1</v>
      </c>
      <c r="E30" t="s">
        <v>1635</v>
      </c>
      <c r="F30">
        <v>3</v>
      </c>
    </row>
    <row r="31" spans="1:6" x14ac:dyDescent="0.2">
      <c r="A31">
        <v>30</v>
      </c>
      <c r="B31" t="s">
        <v>1634</v>
      </c>
      <c r="C31">
        <v>12</v>
      </c>
      <c r="D31">
        <v>1</v>
      </c>
      <c r="E31" t="s">
        <v>1635</v>
      </c>
      <c r="F31">
        <v>2</v>
      </c>
    </row>
    <row r="32" spans="1:6" x14ac:dyDescent="0.2">
      <c r="A32">
        <v>31</v>
      </c>
      <c r="B32" t="s">
        <v>1636</v>
      </c>
      <c r="C32">
        <v>13</v>
      </c>
      <c r="D32">
        <v>1</v>
      </c>
      <c r="E32" t="s">
        <v>1635</v>
      </c>
      <c r="F32">
        <v>2</v>
      </c>
    </row>
    <row r="33" spans="1:6" x14ac:dyDescent="0.2">
      <c r="A33">
        <v>32</v>
      </c>
      <c r="B33" t="s">
        <v>1637</v>
      </c>
      <c r="C33">
        <v>14</v>
      </c>
      <c r="D33">
        <v>1</v>
      </c>
      <c r="E33" t="s">
        <v>1635</v>
      </c>
      <c r="F33">
        <v>2</v>
      </c>
    </row>
    <row r="34" spans="1:6" x14ac:dyDescent="0.2">
      <c r="A34">
        <v>33</v>
      </c>
      <c r="B34" t="s">
        <v>1636</v>
      </c>
      <c r="C34">
        <v>15</v>
      </c>
      <c r="D34">
        <v>1</v>
      </c>
      <c r="E34" t="s">
        <v>1635</v>
      </c>
      <c r="F34">
        <v>2</v>
      </c>
    </row>
    <row r="35" spans="1:6" x14ac:dyDescent="0.2">
      <c r="A35">
        <v>34</v>
      </c>
      <c r="B35" t="s">
        <v>1634</v>
      </c>
      <c r="C35">
        <v>16</v>
      </c>
      <c r="D35">
        <v>1</v>
      </c>
      <c r="E35" t="s">
        <v>1635</v>
      </c>
      <c r="F35">
        <v>2</v>
      </c>
    </row>
    <row r="36" spans="1:6" x14ac:dyDescent="0.2">
      <c r="A36">
        <v>35</v>
      </c>
      <c r="B36" t="s">
        <v>1638</v>
      </c>
      <c r="C36">
        <v>17</v>
      </c>
      <c r="D36">
        <v>1</v>
      </c>
      <c r="E36" t="s">
        <v>1635</v>
      </c>
      <c r="F36">
        <v>2</v>
      </c>
    </row>
    <row r="37" spans="1:6" x14ac:dyDescent="0.2">
      <c r="A37">
        <v>36</v>
      </c>
      <c r="B37" t="s">
        <v>1637</v>
      </c>
      <c r="C37">
        <v>18</v>
      </c>
      <c r="D37">
        <v>1</v>
      </c>
      <c r="E37" t="s">
        <v>1635</v>
      </c>
      <c r="F37">
        <v>2</v>
      </c>
    </row>
    <row r="38" spans="1:6" x14ac:dyDescent="0.2">
      <c r="A38">
        <v>37</v>
      </c>
      <c r="B38" t="s">
        <v>1636</v>
      </c>
      <c r="C38">
        <v>19</v>
      </c>
      <c r="D38">
        <v>1</v>
      </c>
      <c r="E38" t="s">
        <v>1635</v>
      </c>
      <c r="F38">
        <v>2</v>
      </c>
    </row>
    <row r="39" spans="1:6" x14ac:dyDescent="0.2">
      <c r="A39">
        <v>38</v>
      </c>
      <c r="B39" t="s">
        <v>1639</v>
      </c>
      <c r="C39">
        <v>20</v>
      </c>
      <c r="D39">
        <v>1</v>
      </c>
      <c r="E39" t="s">
        <v>1635</v>
      </c>
      <c r="F39">
        <v>2</v>
      </c>
    </row>
    <row r="40" spans="1:6" x14ac:dyDescent="0.2">
      <c r="A40">
        <v>39</v>
      </c>
      <c r="B40" t="s">
        <v>1640</v>
      </c>
      <c r="C40">
        <v>21</v>
      </c>
      <c r="D40">
        <v>1</v>
      </c>
      <c r="E40" t="s">
        <v>1635</v>
      </c>
      <c r="F40">
        <v>2</v>
      </c>
    </row>
    <row r="41" spans="1:6" x14ac:dyDescent="0.2">
      <c r="A41">
        <v>40</v>
      </c>
      <c r="B41" t="s">
        <v>1641</v>
      </c>
      <c r="C41">
        <v>22</v>
      </c>
      <c r="D41">
        <v>1</v>
      </c>
      <c r="E41" t="s">
        <v>1635</v>
      </c>
      <c r="F41">
        <v>0</v>
      </c>
    </row>
    <row r="42" spans="1:6" x14ac:dyDescent="0.2">
      <c r="A42">
        <v>41</v>
      </c>
      <c r="B42" t="s">
        <v>1639</v>
      </c>
      <c r="C42">
        <v>23</v>
      </c>
      <c r="D42">
        <v>1</v>
      </c>
      <c r="E42" t="s">
        <v>1635</v>
      </c>
      <c r="F42">
        <v>2</v>
      </c>
    </row>
    <row r="43" spans="1:6" x14ac:dyDescent="0.2">
      <c r="A43">
        <v>42</v>
      </c>
      <c r="B43" t="s">
        <v>1638</v>
      </c>
      <c r="C43">
        <v>24</v>
      </c>
      <c r="D43">
        <v>1</v>
      </c>
      <c r="E43" t="s">
        <v>1635</v>
      </c>
      <c r="F43">
        <v>2</v>
      </c>
    </row>
    <row r="44" spans="1:6" x14ac:dyDescent="0.2">
      <c r="A44">
        <v>43</v>
      </c>
      <c r="B44" t="s">
        <v>1637</v>
      </c>
      <c r="C44">
        <v>25</v>
      </c>
      <c r="D44">
        <v>1</v>
      </c>
      <c r="E44" t="s">
        <v>1635</v>
      </c>
      <c r="F44">
        <v>2</v>
      </c>
    </row>
    <row r="45" spans="1:6" x14ac:dyDescent="0.2">
      <c r="A45">
        <v>44</v>
      </c>
      <c r="B45" t="s">
        <v>1636</v>
      </c>
      <c r="C45">
        <v>26</v>
      </c>
      <c r="D45">
        <v>1</v>
      </c>
      <c r="E45" t="s">
        <v>1635</v>
      </c>
      <c r="F45">
        <v>2</v>
      </c>
    </row>
    <row r="46" spans="1:6" x14ac:dyDescent="0.2">
      <c r="A46">
        <v>45</v>
      </c>
      <c r="B46" t="s">
        <v>1639</v>
      </c>
      <c r="C46">
        <v>27</v>
      </c>
      <c r="D46">
        <v>1</v>
      </c>
      <c r="E46" t="s">
        <v>1635</v>
      </c>
      <c r="F46">
        <v>2</v>
      </c>
    </row>
    <row r="47" spans="1:6" x14ac:dyDescent="0.2">
      <c r="A47">
        <v>46</v>
      </c>
      <c r="B47" t="s">
        <v>1640</v>
      </c>
      <c r="C47">
        <v>28</v>
      </c>
      <c r="D47">
        <v>1</v>
      </c>
      <c r="E47" t="s">
        <v>1635</v>
      </c>
      <c r="F47">
        <v>2</v>
      </c>
    </row>
    <row r="48" spans="1:6" x14ac:dyDescent="0.2">
      <c r="A48">
        <v>47</v>
      </c>
    </row>
    <row r="49" spans="1:1" x14ac:dyDescent="0.2">
      <c r="A49">
        <v>48</v>
      </c>
    </row>
    <row r="50" spans="1:1" x14ac:dyDescent="0.2">
      <c r="A50">
        <v>49</v>
      </c>
    </row>
    <row r="51" spans="1:1" x14ac:dyDescent="0.2">
      <c r="A51">
        <v>50</v>
      </c>
    </row>
    <row r="52" spans="1:1" x14ac:dyDescent="0.2">
      <c r="A52">
        <v>51</v>
      </c>
    </row>
    <row r="53" spans="1:1" x14ac:dyDescent="0.2">
      <c r="A53">
        <v>52</v>
      </c>
    </row>
    <row r="54" spans="1:1" x14ac:dyDescent="0.2">
      <c r="A54">
        <v>53</v>
      </c>
    </row>
    <row r="55" spans="1:1" x14ac:dyDescent="0.2">
      <c r="A55">
        <v>54</v>
      </c>
    </row>
    <row r="56" spans="1:1" x14ac:dyDescent="0.2">
      <c r="A56">
        <v>55</v>
      </c>
    </row>
    <row r="57" spans="1:1" x14ac:dyDescent="0.2">
      <c r="A57">
        <v>56</v>
      </c>
    </row>
    <row r="58" spans="1:1" x14ac:dyDescent="0.2">
      <c r="A58">
        <v>57</v>
      </c>
    </row>
    <row r="59" spans="1:1" x14ac:dyDescent="0.2">
      <c r="A59">
        <v>58</v>
      </c>
    </row>
    <row r="60" spans="1:1" x14ac:dyDescent="0.2">
      <c r="A60">
        <v>59</v>
      </c>
    </row>
    <row r="61" spans="1:1" x14ac:dyDescent="0.2">
      <c r="A61">
        <v>60</v>
      </c>
    </row>
    <row r="62" spans="1:1" x14ac:dyDescent="0.2">
      <c r="A62">
        <v>61</v>
      </c>
    </row>
    <row r="63" spans="1:1" x14ac:dyDescent="0.2">
      <c r="A63">
        <v>62</v>
      </c>
    </row>
    <row r="64" spans="1:1" x14ac:dyDescent="0.2">
      <c r="A64">
        <v>63</v>
      </c>
    </row>
    <row r="65" spans="1:1" x14ac:dyDescent="0.2">
      <c r="A65">
        <v>64</v>
      </c>
    </row>
    <row r="66" spans="1:1" x14ac:dyDescent="0.2">
      <c r="A66">
        <v>65</v>
      </c>
    </row>
    <row r="67" spans="1:1" x14ac:dyDescent="0.2">
      <c r="A67">
        <v>66</v>
      </c>
    </row>
    <row r="68" spans="1:1" x14ac:dyDescent="0.2">
      <c r="A68">
        <v>67</v>
      </c>
    </row>
    <row r="69" spans="1:1" x14ac:dyDescent="0.2">
      <c r="A69">
        <v>68</v>
      </c>
    </row>
    <row r="70" spans="1:1" x14ac:dyDescent="0.2">
      <c r="A70">
        <v>69</v>
      </c>
    </row>
    <row r="71" spans="1:1" x14ac:dyDescent="0.2">
      <c r="A71">
        <v>70</v>
      </c>
    </row>
    <row r="72" spans="1:1" x14ac:dyDescent="0.2">
      <c r="A72">
        <v>71</v>
      </c>
    </row>
    <row r="73" spans="1:1" x14ac:dyDescent="0.2">
      <c r="A73">
        <v>72</v>
      </c>
    </row>
    <row r="74" spans="1:1" x14ac:dyDescent="0.2">
      <c r="A74">
        <v>73</v>
      </c>
    </row>
    <row r="75" spans="1:1" x14ac:dyDescent="0.2">
      <c r="A75">
        <v>74</v>
      </c>
    </row>
    <row r="76" spans="1:1" x14ac:dyDescent="0.2">
      <c r="A76">
        <v>75</v>
      </c>
    </row>
    <row r="77" spans="1:1" x14ac:dyDescent="0.2">
      <c r="A77">
        <v>76</v>
      </c>
    </row>
    <row r="78" spans="1:1" x14ac:dyDescent="0.2">
      <c r="A78">
        <v>77</v>
      </c>
    </row>
    <row r="79" spans="1:1" x14ac:dyDescent="0.2">
      <c r="A79">
        <v>78</v>
      </c>
    </row>
    <row r="80" spans="1:1" x14ac:dyDescent="0.2">
      <c r="A80">
        <v>79</v>
      </c>
    </row>
    <row r="81" spans="1:1" x14ac:dyDescent="0.2">
      <c r="A81">
        <v>80</v>
      </c>
    </row>
    <row r="82" spans="1:1" x14ac:dyDescent="0.2">
      <c r="A82">
        <v>81</v>
      </c>
    </row>
    <row r="83" spans="1:1" x14ac:dyDescent="0.2">
      <c r="A83">
        <v>82</v>
      </c>
    </row>
    <row r="84" spans="1:1" x14ac:dyDescent="0.2">
      <c r="A84">
        <v>83</v>
      </c>
    </row>
    <row r="85" spans="1:1" x14ac:dyDescent="0.2">
      <c r="A85">
        <v>84</v>
      </c>
    </row>
    <row r="86" spans="1:1" x14ac:dyDescent="0.2">
      <c r="A86">
        <v>85</v>
      </c>
    </row>
    <row r="87" spans="1:1" x14ac:dyDescent="0.2">
      <c r="A87">
        <v>86</v>
      </c>
    </row>
    <row r="88" spans="1:1" x14ac:dyDescent="0.2">
      <c r="A88">
        <v>87</v>
      </c>
    </row>
    <row r="89" spans="1:1" x14ac:dyDescent="0.2">
      <c r="A89">
        <v>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/>
  </sheetPr>
  <dimension ref="A1:E1"/>
  <sheetViews>
    <sheetView workbookViewId="0">
      <selection activeCell="K21" sqref="K21"/>
    </sheetView>
  </sheetViews>
  <sheetFormatPr baseColWidth="10" defaultColWidth="8.83203125" defaultRowHeight="15" x14ac:dyDescent="0.2"/>
  <cols>
    <col min="4" max="4" width="18" customWidth="1"/>
  </cols>
  <sheetData>
    <row r="1" spans="1:5" s="3" customFormat="1" x14ac:dyDescent="0.2">
      <c r="A1" s="3" t="s">
        <v>0</v>
      </c>
      <c r="B1" s="3" t="s">
        <v>1584</v>
      </c>
      <c r="C1" s="9" t="s">
        <v>90</v>
      </c>
      <c r="D1" s="5" t="s">
        <v>1585</v>
      </c>
      <c r="E1" s="3" t="s">
        <v>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A1:E23"/>
  <sheetViews>
    <sheetView zoomScale="250" zoomScaleNormal="250" workbookViewId="0">
      <selection activeCell="F18" sqref="F18"/>
    </sheetView>
  </sheetViews>
  <sheetFormatPr baseColWidth="10" defaultColWidth="8.83203125" defaultRowHeight="15" x14ac:dyDescent="0.2"/>
  <cols>
    <col min="2" max="2" width="15.6640625" customWidth="1"/>
    <col min="4" max="4" width="10.1640625" bestFit="1" customWidth="1"/>
  </cols>
  <sheetData>
    <row r="1" spans="1:5" s="3" customFormat="1" x14ac:dyDescent="0.2">
      <c r="A1" s="3" t="s">
        <v>0</v>
      </c>
      <c r="B1" s="3" t="s">
        <v>125</v>
      </c>
      <c r="C1" s="3" t="s">
        <v>1586</v>
      </c>
      <c r="D1" s="3" t="s">
        <v>1587</v>
      </c>
    </row>
    <row r="2" spans="1:5" x14ac:dyDescent="0.2">
      <c r="A2">
        <v>1</v>
      </c>
      <c r="B2" t="s">
        <v>1642</v>
      </c>
      <c r="C2">
        <v>10</v>
      </c>
      <c r="D2" t="s">
        <v>1643</v>
      </c>
    </row>
    <row r="3" spans="1:5" x14ac:dyDescent="0.2">
      <c r="A3">
        <v>2</v>
      </c>
      <c r="B3" t="s">
        <v>1644</v>
      </c>
      <c r="C3">
        <v>10</v>
      </c>
      <c r="D3" t="s">
        <v>1643</v>
      </c>
    </row>
    <row r="4" spans="1:5" x14ac:dyDescent="0.2">
      <c r="A4">
        <v>3</v>
      </c>
      <c r="B4" t="s">
        <v>305</v>
      </c>
      <c r="C4">
        <v>10</v>
      </c>
      <c r="D4" t="s">
        <v>1643</v>
      </c>
    </row>
    <row r="5" spans="1:5" x14ac:dyDescent="0.2">
      <c r="A5">
        <v>4</v>
      </c>
    </row>
    <row r="14" spans="1:5" x14ac:dyDescent="0.2">
      <c r="E14" s="6"/>
    </row>
    <row r="16" spans="1:5" x14ac:dyDescent="0.2">
      <c r="E16" s="6"/>
    </row>
    <row r="17" spans="5:5" x14ac:dyDescent="0.2">
      <c r="E17" s="6"/>
    </row>
    <row r="18" spans="5:5" x14ac:dyDescent="0.2">
      <c r="E18" s="6"/>
    </row>
    <row r="19" spans="5:5" x14ac:dyDescent="0.2">
      <c r="E19" s="6"/>
    </row>
    <row r="21" spans="5:5" x14ac:dyDescent="0.2">
      <c r="E21" s="6"/>
    </row>
    <row r="22" spans="5:5" x14ac:dyDescent="0.2">
      <c r="E22" s="6"/>
    </row>
    <row r="23" spans="5:5" x14ac:dyDescent="0.2">
      <c r="E23" s="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30A0"/>
  </sheetPr>
  <dimension ref="A1:I4"/>
  <sheetViews>
    <sheetView zoomScale="190" zoomScaleNormal="190" workbookViewId="0">
      <selection activeCell="E9" sqref="E9"/>
    </sheetView>
  </sheetViews>
  <sheetFormatPr baseColWidth="10" defaultColWidth="8.83203125" defaultRowHeight="15" x14ac:dyDescent="0.2"/>
  <cols>
    <col min="2" max="2" width="19.5" bestFit="1" customWidth="1"/>
    <col min="3" max="3" width="11.6640625" style="10" customWidth="1"/>
    <col min="4" max="4" width="11.6640625" style="12" customWidth="1"/>
    <col min="5" max="5" width="13" style="6" customWidth="1"/>
    <col min="6" max="6" width="10.33203125" customWidth="1"/>
  </cols>
  <sheetData>
    <row r="1" spans="1:9" x14ac:dyDescent="0.2">
      <c r="A1" s="3" t="s">
        <v>0</v>
      </c>
      <c r="B1" s="3" t="s">
        <v>1645</v>
      </c>
      <c r="C1" s="9" t="s">
        <v>1646</v>
      </c>
      <c r="D1" s="11" t="s">
        <v>1647</v>
      </c>
      <c r="E1" s="5" t="s">
        <v>1585</v>
      </c>
      <c r="F1" s="3" t="s">
        <v>89</v>
      </c>
      <c r="G1" s="3"/>
      <c r="H1" s="3"/>
      <c r="I1" s="3"/>
    </row>
    <row r="2" spans="1:9" x14ac:dyDescent="0.2">
      <c r="A2">
        <v>1</v>
      </c>
      <c r="B2">
        <v>1</v>
      </c>
      <c r="C2" s="10" t="s">
        <v>1648</v>
      </c>
      <c r="D2" s="12">
        <v>1</v>
      </c>
      <c r="E2" s="6" t="s">
        <v>1649</v>
      </c>
      <c r="F2">
        <v>11</v>
      </c>
    </row>
    <row r="3" spans="1:9" x14ac:dyDescent="0.2">
      <c r="A3">
        <v>2</v>
      </c>
      <c r="B3">
        <v>1</v>
      </c>
      <c r="C3" s="10" t="s">
        <v>1648</v>
      </c>
      <c r="D3" s="12">
        <v>2</v>
      </c>
      <c r="E3" s="6" t="s">
        <v>1650</v>
      </c>
      <c r="F3">
        <v>11</v>
      </c>
    </row>
    <row r="4" spans="1:9" x14ac:dyDescent="0.2">
      <c r="A4">
        <v>3</v>
      </c>
      <c r="B4">
        <v>1</v>
      </c>
      <c r="C4" s="10" t="s">
        <v>1648</v>
      </c>
      <c r="D4" s="12">
        <v>3</v>
      </c>
      <c r="E4" s="6" t="s">
        <v>1651</v>
      </c>
      <c r="F4">
        <v>11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B7"/>
  <sheetViews>
    <sheetView workbookViewId="0">
      <selection activeCell="H15" sqref="H15"/>
    </sheetView>
  </sheetViews>
  <sheetFormatPr baseColWidth="10" defaultColWidth="8.83203125" defaultRowHeight="15" x14ac:dyDescent="0.2"/>
  <cols>
    <col min="2" max="2" width="15.33203125" bestFit="1" customWidth="1"/>
  </cols>
  <sheetData>
    <row r="1" spans="1:2" s="3" customFormat="1" x14ac:dyDescent="0.2">
      <c r="A1" s="3" t="s">
        <v>1652</v>
      </c>
      <c r="B1" s="3" t="s">
        <v>1653</v>
      </c>
    </row>
    <row r="2" spans="1:2" x14ac:dyDescent="0.2">
      <c r="A2">
        <v>1</v>
      </c>
      <c r="B2" t="s">
        <v>1654</v>
      </c>
    </row>
    <row r="3" spans="1:2" x14ac:dyDescent="0.2">
      <c r="A3">
        <v>2</v>
      </c>
      <c r="B3" t="s">
        <v>1655</v>
      </c>
    </row>
    <row r="4" spans="1:2" x14ac:dyDescent="0.2">
      <c r="A4">
        <v>3</v>
      </c>
      <c r="B4" t="s">
        <v>1656</v>
      </c>
    </row>
    <row r="5" spans="1:2" x14ac:dyDescent="0.2">
      <c r="A5">
        <v>4</v>
      </c>
      <c r="B5" t="s">
        <v>1657</v>
      </c>
    </row>
    <row r="6" spans="1:2" x14ac:dyDescent="0.2">
      <c r="A6">
        <v>5</v>
      </c>
      <c r="B6" t="s">
        <v>1658</v>
      </c>
    </row>
    <row r="7" spans="1:2" x14ac:dyDescent="0.2">
      <c r="A7">
        <v>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"/>
  <sheetViews>
    <sheetView workbookViewId="0">
      <selection activeCell="H15" sqref="H15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</sheetPr>
  <dimension ref="A1:G11"/>
  <sheetViews>
    <sheetView workbookViewId="0">
      <selection activeCell="H15" sqref="H15"/>
    </sheetView>
  </sheetViews>
  <sheetFormatPr baseColWidth="10" defaultColWidth="8.83203125" defaultRowHeight="15" x14ac:dyDescent="0.2"/>
  <cols>
    <col min="2" max="2" width="14.33203125" bestFit="1" customWidth="1"/>
    <col min="3" max="4" width="14.33203125" customWidth="1"/>
  </cols>
  <sheetData>
    <row r="1" spans="1:7" s="3" customFormat="1" x14ac:dyDescent="0.2">
      <c r="A1" s="3" t="s">
        <v>1652</v>
      </c>
      <c r="B1" s="3" t="s">
        <v>1659</v>
      </c>
      <c r="C1" s="3" t="s">
        <v>90</v>
      </c>
      <c r="D1" s="3" t="s">
        <v>1660</v>
      </c>
      <c r="E1" s="3" t="s">
        <v>1585</v>
      </c>
      <c r="F1" s="3" t="s">
        <v>1661</v>
      </c>
      <c r="G1" s="3" t="s">
        <v>1662</v>
      </c>
    </row>
    <row r="2" spans="1:7" x14ac:dyDescent="0.2">
      <c r="A2">
        <v>1</v>
      </c>
      <c r="B2">
        <v>1</v>
      </c>
      <c r="E2" t="s">
        <v>1663</v>
      </c>
      <c r="F2" t="s">
        <v>1664</v>
      </c>
      <c r="G2">
        <v>1</v>
      </c>
    </row>
    <row r="3" spans="1:7" x14ac:dyDescent="0.2">
      <c r="A3">
        <v>2</v>
      </c>
      <c r="E3">
        <v>8</v>
      </c>
      <c r="F3" t="s">
        <v>1665</v>
      </c>
      <c r="G3">
        <v>2</v>
      </c>
    </row>
    <row r="4" spans="1:7" x14ac:dyDescent="0.2">
      <c r="A4">
        <v>3</v>
      </c>
      <c r="E4" t="s">
        <v>1666</v>
      </c>
      <c r="F4" t="s">
        <v>1667</v>
      </c>
      <c r="G4">
        <v>4</v>
      </c>
    </row>
    <row r="5" spans="1:7" x14ac:dyDescent="0.2">
      <c r="A5">
        <v>4</v>
      </c>
    </row>
    <row r="6" spans="1:7" x14ac:dyDescent="0.2">
      <c r="A6">
        <v>5</v>
      </c>
    </row>
    <row r="7" spans="1:7" x14ac:dyDescent="0.2">
      <c r="A7">
        <v>6</v>
      </c>
      <c r="B7">
        <v>1</v>
      </c>
      <c r="C7" s="7">
        <v>38480</v>
      </c>
      <c r="D7">
        <v>1</v>
      </c>
      <c r="E7">
        <v>6</v>
      </c>
      <c r="F7" t="s">
        <v>1665</v>
      </c>
      <c r="G7">
        <v>5</v>
      </c>
    </row>
    <row r="11" spans="1:7" x14ac:dyDescent="0.2">
      <c r="A11">
        <v>56</v>
      </c>
      <c r="B11">
        <v>1</v>
      </c>
      <c r="C11" s="7">
        <v>39184</v>
      </c>
      <c r="D11">
        <v>1</v>
      </c>
      <c r="E11">
        <v>7</v>
      </c>
      <c r="F11" t="s">
        <v>1665</v>
      </c>
      <c r="G11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"/>
  <sheetViews>
    <sheetView workbookViewId="0">
      <selection activeCell="K6" sqref="K6"/>
    </sheetView>
  </sheetViews>
  <sheetFormatPr baseColWidth="10" defaultColWidth="8.83203125" defaultRowHeight="15" x14ac:dyDescent="0.2"/>
  <cols>
    <col min="1" max="1" width="13.6640625" customWidth="1"/>
    <col min="2" max="2" width="10.5" customWidth="1"/>
    <col min="3" max="3" width="11.5" customWidth="1"/>
    <col min="4" max="4" width="15.1640625" bestFit="1" customWidth="1"/>
    <col min="5" max="5" width="16.83203125" customWidth="1"/>
  </cols>
  <sheetData>
    <row r="1" spans="1:9" x14ac:dyDescent="0.2">
      <c r="A1" s="3" t="s">
        <v>1668</v>
      </c>
      <c r="B1" s="3" t="s">
        <v>1669</v>
      </c>
      <c r="C1" s="3" t="s">
        <v>435</v>
      </c>
      <c r="D1" s="3" t="s">
        <v>1670</v>
      </c>
      <c r="E1" s="3" t="s">
        <v>1671</v>
      </c>
      <c r="F1" s="3" t="s">
        <v>1672</v>
      </c>
      <c r="G1" s="3" t="s">
        <v>1590</v>
      </c>
      <c r="H1" s="3"/>
      <c r="I1" s="3"/>
    </row>
    <row r="2" spans="1:9" x14ac:dyDescent="0.2">
      <c r="A2">
        <v>1</v>
      </c>
      <c r="B2">
        <v>23</v>
      </c>
      <c r="C2">
        <v>45</v>
      </c>
      <c r="D2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0.5" customWidth="1"/>
    <col min="3" max="3" width="11.5" customWidth="1"/>
    <col min="4" max="4" width="15.1640625" bestFit="1" customWidth="1"/>
    <col min="5" max="5" width="16.83203125" customWidth="1"/>
    <col min="6" max="7" width="9.1640625" bestFit="1" customWidth="1"/>
  </cols>
  <sheetData>
    <row r="1" spans="1:9" x14ac:dyDescent="0.2">
      <c r="A1" s="3" t="s">
        <v>1668</v>
      </c>
      <c r="B1" s="3" t="s">
        <v>1669</v>
      </c>
      <c r="C1" s="3" t="s">
        <v>435</v>
      </c>
      <c r="D1" s="3" t="s">
        <v>1670</v>
      </c>
      <c r="E1" s="3" t="s">
        <v>1671</v>
      </c>
      <c r="F1" s="3" t="s">
        <v>1672</v>
      </c>
      <c r="G1" s="3" t="s">
        <v>1590</v>
      </c>
      <c r="H1" s="3"/>
      <c r="I1" s="3"/>
    </row>
    <row r="2" spans="1:9" x14ac:dyDescent="0.2">
      <c r="A2">
        <v>1</v>
      </c>
      <c r="B2">
        <v>23</v>
      </c>
      <c r="C2">
        <v>45</v>
      </c>
      <c r="D2">
        <v>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"/>
  <sheetViews>
    <sheetView workbookViewId="0">
      <selection activeCell="I6" sqref="I6"/>
    </sheetView>
  </sheetViews>
  <sheetFormatPr baseColWidth="10" defaultColWidth="8.83203125" defaultRowHeight="15" x14ac:dyDescent="0.2"/>
  <cols>
    <col min="1" max="1" width="13.6640625" customWidth="1"/>
    <col min="2" max="2" width="10.5" customWidth="1"/>
    <col min="3" max="3" width="11.5" customWidth="1"/>
    <col min="4" max="4" width="15.1640625" bestFit="1" customWidth="1"/>
    <col min="5" max="5" width="16.83203125" customWidth="1"/>
    <col min="6" max="7" width="9.1640625" bestFit="1" customWidth="1"/>
  </cols>
  <sheetData>
    <row r="1" spans="1:9" x14ac:dyDescent="0.2">
      <c r="A1" s="3" t="s">
        <v>1668</v>
      </c>
      <c r="B1" s="3" t="s">
        <v>1669</v>
      </c>
      <c r="C1" s="3" t="s">
        <v>435</v>
      </c>
      <c r="D1" s="3" t="s">
        <v>1670</v>
      </c>
      <c r="E1" s="3" t="s">
        <v>1671</v>
      </c>
      <c r="F1" s="3" t="s">
        <v>1672</v>
      </c>
      <c r="G1" s="3" t="s">
        <v>1590</v>
      </c>
      <c r="H1" s="3"/>
      <c r="I1" s="3"/>
    </row>
    <row r="2" spans="1:9" x14ac:dyDescent="0.2">
      <c r="A2">
        <v>1</v>
      </c>
      <c r="B2">
        <v>23</v>
      </c>
      <c r="C2">
        <v>45</v>
      </c>
      <c r="D2">
        <v>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5" tint="0.39997558519241921"/>
  </sheetPr>
  <dimension ref="A1:E38"/>
  <sheetViews>
    <sheetView workbookViewId="0">
      <selection activeCell="E6" sqref="E6"/>
    </sheetView>
  </sheetViews>
  <sheetFormatPr baseColWidth="10" defaultColWidth="8.83203125" defaultRowHeight="15" x14ac:dyDescent="0.2"/>
  <cols>
    <col min="3" max="3" width="11.6640625" customWidth="1"/>
    <col min="4" max="4" width="12.1640625" customWidth="1"/>
    <col min="5" max="5" width="11.5" customWidth="1"/>
  </cols>
  <sheetData>
    <row r="1" spans="1:5" s="3" customFormat="1" x14ac:dyDescent="0.2">
      <c r="A1" s="3" t="s">
        <v>1652</v>
      </c>
      <c r="B1" s="3" t="s">
        <v>1673</v>
      </c>
      <c r="C1" s="3" t="s">
        <v>1674</v>
      </c>
      <c r="D1" s="3" t="s">
        <v>1675</v>
      </c>
      <c r="E1" s="3" t="s">
        <v>1676</v>
      </c>
    </row>
    <row r="2" spans="1:5" x14ac:dyDescent="0.2">
      <c r="A2">
        <v>37</v>
      </c>
      <c r="B2">
        <v>5</v>
      </c>
      <c r="C2" s="7"/>
      <c r="D2" s="7"/>
      <c r="E2">
        <v>11</v>
      </c>
    </row>
    <row r="3" spans="1:5" x14ac:dyDescent="0.2">
      <c r="A3">
        <v>36</v>
      </c>
      <c r="B3">
        <v>4</v>
      </c>
      <c r="E3">
        <v>11</v>
      </c>
    </row>
    <row r="4" spans="1:5" x14ac:dyDescent="0.2">
      <c r="A4">
        <v>35</v>
      </c>
      <c r="B4">
        <v>3</v>
      </c>
      <c r="E4">
        <v>11</v>
      </c>
    </row>
    <row r="5" spans="1:5" x14ac:dyDescent="0.2">
      <c r="A5">
        <v>34</v>
      </c>
      <c r="B5">
        <v>2</v>
      </c>
      <c r="E5">
        <v>11</v>
      </c>
    </row>
    <row r="6" spans="1:5" x14ac:dyDescent="0.2">
      <c r="A6">
        <v>33</v>
      </c>
      <c r="B6">
        <v>1</v>
      </c>
      <c r="E6">
        <v>11</v>
      </c>
    </row>
    <row r="7" spans="1:5" x14ac:dyDescent="0.2">
      <c r="A7">
        <v>32</v>
      </c>
      <c r="B7">
        <v>5</v>
      </c>
      <c r="C7" s="7">
        <v>44333</v>
      </c>
      <c r="D7" s="7">
        <v>44386</v>
      </c>
      <c r="E7">
        <v>10</v>
      </c>
    </row>
    <row r="8" spans="1:5" x14ac:dyDescent="0.2">
      <c r="A8">
        <v>31</v>
      </c>
      <c r="B8">
        <v>4</v>
      </c>
      <c r="C8" s="7">
        <v>44256</v>
      </c>
      <c r="D8" s="7">
        <v>44316</v>
      </c>
      <c r="E8">
        <v>10</v>
      </c>
    </row>
    <row r="9" spans="1:5" x14ac:dyDescent="0.2">
      <c r="A9">
        <v>30</v>
      </c>
      <c r="B9">
        <v>3</v>
      </c>
      <c r="C9" s="7">
        <v>44200</v>
      </c>
      <c r="D9" s="7">
        <v>44246</v>
      </c>
      <c r="E9">
        <v>10</v>
      </c>
    </row>
    <row r="10" spans="1:5" x14ac:dyDescent="0.2">
      <c r="A10">
        <v>29</v>
      </c>
      <c r="B10">
        <v>2</v>
      </c>
      <c r="C10" s="7">
        <v>44130</v>
      </c>
      <c r="D10" s="7">
        <v>44183</v>
      </c>
      <c r="E10">
        <v>10</v>
      </c>
    </row>
    <row r="11" spans="1:5" x14ac:dyDescent="0.2">
      <c r="A11">
        <v>28</v>
      </c>
      <c r="B11">
        <v>1</v>
      </c>
      <c r="C11" s="7">
        <v>44074</v>
      </c>
      <c r="D11" s="7">
        <v>44120</v>
      </c>
      <c r="E11">
        <v>10</v>
      </c>
    </row>
    <row r="12" spans="1:5" x14ac:dyDescent="0.2">
      <c r="A12">
        <v>27</v>
      </c>
      <c r="B12">
        <v>3</v>
      </c>
      <c r="E12">
        <v>9</v>
      </c>
    </row>
    <row r="13" spans="1:5" x14ac:dyDescent="0.2">
      <c r="A13">
        <v>26</v>
      </c>
      <c r="B13">
        <v>2</v>
      </c>
      <c r="E13">
        <v>9</v>
      </c>
    </row>
    <row r="14" spans="1:5" x14ac:dyDescent="0.2">
      <c r="A14">
        <v>25</v>
      </c>
      <c r="B14">
        <v>1</v>
      </c>
      <c r="E14">
        <v>9</v>
      </c>
    </row>
    <row r="15" spans="1:5" x14ac:dyDescent="0.2">
      <c r="A15">
        <v>24</v>
      </c>
      <c r="B15">
        <v>3</v>
      </c>
      <c r="E15">
        <v>8</v>
      </c>
    </row>
    <row r="16" spans="1:5" x14ac:dyDescent="0.2">
      <c r="A16">
        <v>23</v>
      </c>
      <c r="B16">
        <v>2</v>
      </c>
      <c r="E16">
        <v>8</v>
      </c>
    </row>
    <row r="17" spans="1:5" x14ac:dyDescent="0.2">
      <c r="A17">
        <v>22</v>
      </c>
      <c r="B17">
        <v>1</v>
      </c>
      <c r="E17">
        <v>8</v>
      </c>
    </row>
    <row r="18" spans="1:5" x14ac:dyDescent="0.2">
      <c r="A18">
        <v>21</v>
      </c>
      <c r="B18">
        <v>3</v>
      </c>
      <c r="E18">
        <v>7</v>
      </c>
    </row>
    <row r="19" spans="1:5" x14ac:dyDescent="0.2">
      <c r="A19">
        <v>20</v>
      </c>
      <c r="B19">
        <v>2</v>
      </c>
      <c r="E19">
        <v>7</v>
      </c>
    </row>
    <row r="20" spans="1:5" x14ac:dyDescent="0.2">
      <c r="A20">
        <v>19</v>
      </c>
      <c r="B20">
        <v>1</v>
      </c>
      <c r="E20">
        <v>7</v>
      </c>
    </row>
    <row r="21" spans="1:5" x14ac:dyDescent="0.2">
      <c r="A21">
        <v>18</v>
      </c>
      <c r="B21">
        <v>3</v>
      </c>
      <c r="E21">
        <v>6</v>
      </c>
    </row>
    <row r="22" spans="1:5" x14ac:dyDescent="0.2">
      <c r="A22">
        <v>17</v>
      </c>
      <c r="B22">
        <v>2</v>
      </c>
      <c r="E22">
        <v>6</v>
      </c>
    </row>
    <row r="23" spans="1:5" x14ac:dyDescent="0.2">
      <c r="A23">
        <v>16</v>
      </c>
      <c r="B23">
        <v>1</v>
      </c>
      <c r="E23">
        <v>6</v>
      </c>
    </row>
    <row r="24" spans="1:5" x14ac:dyDescent="0.2">
      <c r="A24">
        <v>15</v>
      </c>
      <c r="B24">
        <v>3</v>
      </c>
      <c r="E24">
        <v>5</v>
      </c>
    </row>
    <row r="25" spans="1:5" x14ac:dyDescent="0.2">
      <c r="A25">
        <v>14</v>
      </c>
      <c r="B25">
        <v>2</v>
      </c>
      <c r="E25">
        <v>5</v>
      </c>
    </row>
    <row r="26" spans="1:5" x14ac:dyDescent="0.2">
      <c r="A26">
        <v>13</v>
      </c>
      <c r="B26">
        <v>1</v>
      </c>
      <c r="E26">
        <v>5</v>
      </c>
    </row>
    <row r="27" spans="1:5" x14ac:dyDescent="0.2">
      <c r="A27">
        <v>12</v>
      </c>
      <c r="B27">
        <v>3</v>
      </c>
      <c r="E27">
        <v>4</v>
      </c>
    </row>
    <row r="28" spans="1:5" x14ac:dyDescent="0.2">
      <c r="A28">
        <v>11</v>
      </c>
      <c r="B28">
        <v>2</v>
      </c>
      <c r="E28">
        <v>4</v>
      </c>
    </row>
    <row r="29" spans="1:5" x14ac:dyDescent="0.2">
      <c r="A29">
        <v>10</v>
      </c>
      <c r="B29">
        <v>1</v>
      </c>
      <c r="E29">
        <v>4</v>
      </c>
    </row>
    <row r="30" spans="1:5" x14ac:dyDescent="0.2">
      <c r="A30">
        <v>9</v>
      </c>
      <c r="B30">
        <v>3</v>
      </c>
      <c r="E30">
        <v>3</v>
      </c>
    </row>
    <row r="31" spans="1:5" x14ac:dyDescent="0.2">
      <c r="A31">
        <v>8</v>
      </c>
      <c r="B31">
        <v>2</v>
      </c>
      <c r="E31">
        <v>3</v>
      </c>
    </row>
    <row r="32" spans="1:5" x14ac:dyDescent="0.2">
      <c r="A32">
        <v>7</v>
      </c>
      <c r="B32">
        <v>1</v>
      </c>
      <c r="E32">
        <v>3</v>
      </c>
    </row>
    <row r="33" spans="1:5" x14ac:dyDescent="0.2">
      <c r="A33">
        <v>6</v>
      </c>
      <c r="B33">
        <v>3</v>
      </c>
      <c r="E33">
        <v>2</v>
      </c>
    </row>
    <row r="34" spans="1:5" x14ac:dyDescent="0.2">
      <c r="A34">
        <v>5</v>
      </c>
      <c r="B34">
        <v>2</v>
      </c>
      <c r="E34">
        <v>2</v>
      </c>
    </row>
    <row r="35" spans="1:5" x14ac:dyDescent="0.2">
      <c r="A35">
        <v>4</v>
      </c>
      <c r="B35">
        <v>1</v>
      </c>
      <c r="E35">
        <v>2</v>
      </c>
    </row>
    <row r="36" spans="1:5" x14ac:dyDescent="0.2">
      <c r="A36">
        <v>3</v>
      </c>
      <c r="B36">
        <v>3</v>
      </c>
      <c r="E36">
        <v>1</v>
      </c>
    </row>
    <row r="37" spans="1:5" x14ac:dyDescent="0.2">
      <c r="A37">
        <v>2</v>
      </c>
      <c r="B37">
        <v>2</v>
      </c>
      <c r="E37">
        <v>1</v>
      </c>
    </row>
    <row r="38" spans="1:5" x14ac:dyDescent="0.2">
      <c r="A38">
        <v>1</v>
      </c>
      <c r="B38">
        <v>1</v>
      </c>
      <c r="E38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5" tint="0.39997558519241921"/>
  </sheetPr>
  <dimension ref="A1:E12"/>
  <sheetViews>
    <sheetView workbookViewId="0">
      <selection activeCell="I8" sqref="I8:I9"/>
    </sheetView>
  </sheetViews>
  <sheetFormatPr baseColWidth="10" defaultColWidth="8.83203125" defaultRowHeight="15" x14ac:dyDescent="0.2"/>
  <cols>
    <col min="2" max="2" width="26.5" customWidth="1"/>
    <col min="4" max="5" width="10.6640625" bestFit="1" customWidth="1"/>
  </cols>
  <sheetData>
    <row r="1" spans="1:5" x14ac:dyDescent="0.2">
      <c r="A1" s="3" t="s">
        <v>0</v>
      </c>
      <c r="B1" s="3" t="s">
        <v>1677</v>
      </c>
      <c r="C1" s="3" t="s">
        <v>1678</v>
      </c>
      <c r="D1" s="3" t="s">
        <v>1674</v>
      </c>
      <c r="E1" s="3" t="s">
        <v>1675</v>
      </c>
    </row>
    <row r="2" spans="1:5" x14ac:dyDescent="0.2">
      <c r="A2">
        <v>11</v>
      </c>
      <c r="B2" t="s">
        <v>1679</v>
      </c>
      <c r="C2">
        <v>5</v>
      </c>
    </row>
    <row r="3" spans="1:5" x14ac:dyDescent="0.2">
      <c r="A3">
        <v>10</v>
      </c>
      <c r="B3" t="s">
        <v>1680</v>
      </c>
      <c r="C3">
        <v>5</v>
      </c>
      <c r="D3" s="7">
        <v>44074</v>
      </c>
      <c r="E3" s="7">
        <v>44386</v>
      </c>
    </row>
    <row r="4" spans="1:5" x14ac:dyDescent="0.2">
      <c r="A4">
        <v>9</v>
      </c>
      <c r="B4" t="s">
        <v>1681</v>
      </c>
      <c r="C4">
        <v>3</v>
      </c>
    </row>
    <row r="5" spans="1:5" x14ac:dyDescent="0.2">
      <c r="A5">
        <v>8</v>
      </c>
      <c r="B5" t="s">
        <v>1682</v>
      </c>
      <c r="C5">
        <v>3</v>
      </c>
    </row>
    <row r="6" spans="1:5" x14ac:dyDescent="0.2">
      <c r="A6">
        <v>7</v>
      </c>
      <c r="B6" t="s">
        <v>1683</v>
      </c>
      <c r="C6">
        <v>3</v>
      </c>
    </row>
    <row r="7" spans="1:5" x14ac:dyDescent="0.2">
      <c r="A7">
        <v>6</v>
      </c>
      <c r="B7" t="s">
        <v>1684</v>
      </c>
      <c r="C7">
        <v>3</v>
      </c>
    </row>
    <row r="8" spans="1:5" x14ac:dyDescent="0.2">
      <c r="A8">
        <v>5</v>
      </c>
      <c r="B8" t="s">
        <v>1685</v>
      </c>
      <c r="C8">
        <v>3</v>
      </c>
    </row>
    <row r="9" spans="1:5" x14ac:dyDescent="0.2">
      <c r="A9">
        <v>4</v>
      </c>
      <c r="B9" t="s">
        <v>1686</v>
      </c>
      <c r="C9">
        <v>3</v>
      </c>
    </row>
    <row r="10" spans="1:5" x14ac:dyDescent="0.2">
      <c r="A10">
        <v>3</v>
      </c>
      <c r="B10" t="s">
        <v>1687</v>
      </c>
      <c r="C10">
        <v>3</v>
      </c>
    </row>
    <row r="11" spans="1:5" x14ac:dyDescent="0.2">
      <c r="A11">
        <v>2</v>
      </c>
      <c r="B11" t="s">
        <v>1688</v>
      </c>
      <c r="C11">
        <v>3</v>
      </c>
    </row>
    <row r="12" spans="1:5" x14ac:dyDescent="0.2">
      <c r="A12">
        <v>1</v>
      </c>
      <c r="B12" t="s">
        <v>1689</v>
      </c>
      <c r="C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Spares</vt:lpstr>
      <vt:lpstr>Progress</vt:lpstr>
      <vt:lpstr>State</vt:lpstr>
      <vt:lpstr>Person</vt:lpstr>
      <vt:lpstr>Transaction</vt:lpstr>
      <vt:lpstr>Denomination</vt:lpstr>
      <vt:lpstr>Language</vt:lpstr>
      <vt:lpstr>Address</vt:lpstr>
      <vt:lpstr>Date</vt:lpstr>
      <vt:lpstr>Grade</vt:lpstr>
      <vt:lpstr>Class</vt:lpstr>
      <vt:lpstr>SubjectGroup</vt:lpstr>
      <vt:lpstr>Subject</vt:lpstr>
      <vt:lpstr>ICCE_Certificate</vt:lpstr>
      <vt:lpstr>Enrollment</vt:lpstr>
      <vt:lpstr>Course</vt:lpstr>
      <vt:lpstr>PaceCourse</vt:lpstr>
      <vt:lpstr>PACE</vt:lpstr>
      <vt:lpstr>CourseWorkICCE_Certificate</vt:lpstr>
      <vt:lpstr>EnrollmentCourses__</vt:lpstr>
      <vt:lpstr>PaceUnitResult</vt:lpstr>
      <vt:lpstr>OtherCourse</vt:lpstr>
      <vt:lpstr>OtherCourseUnit</vt:lpstr>
      <vt:lpstr>OtherUnitResults</vt:lpstr>
      <vt:lpstr>RecurringCourse</vt:lpstr>
      <vt:lpstr>RecurringResult</vt:lpstr>
      <vt:lpstr>DutchCourse</vt:lpstr>
      <vt:lpstr>DutchCourseUnits</vt:lpstr>
      <vt:lpstr>DutchUnitResults</vt:lpstr>
      <vt:lpstr>SubjectCourseEnrolment</vt:lpstr>
      <vt:lpstr>ExtraCurCourseEnrolment</vt:lpstr>
      <vt:lpstr>DutchCourseEnrolment</vt:lpstr>
      <vt:lpstr>Term</vt:lpstr>
      <vt:lpstr>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Bezemer</dc:creator>
  <cp:keywords/>
  <dc:description/>
  <cp:lastModifiedBy>Andrew Yong</cp:lastModifiedBy>
  <cp:revision/>
  <dcterms:created xsi:type="dcterms:W3CDTF">2020-12-07T19:30:56Z</dcterms:created>
  <dcterms:modified xsi:type="dcterms:W3CDTF">2023-12-22T18:58:24Z</dcterms:modified>
  <cp:category/>
  <cp:contentStatus/>
</cp:coreProperties>
</file>