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mc:AlternateContent xmlns:mc="http://schemas.openxmlformats.org/markup-compatibility/2006">
    <mc:Choice Requires="x15">
      <x15ac:absPath xmlns:x15ac="http://schemas.microsoft.com/office/spreadsheetml/2010/11/ac" url="/Users/andrewyong/Documents/GitHub/DatabACE/01. Data/"/>
    </mc:Choice>
  </mc:AlternateContent>
  <xr:revisionPtr revIDLastSave="0" documentId="13_ncr:1_{00AD5E54-734A-A44F-B5A4-64AC93E44BF2}" xr6:coauthVersionLast="47" xr6:coauthVersionMax="47" xr10:uidLastSave="{00000000-0000-0000-0000-000000000000}"/>
  <bookViews>
    <workbookView xWindow="0" yWindow="760" windowWidth="34560" windowHeight="19860" firstSheet="8" activeTab="15" xr2:uid="{00000000-000D-0000-FFFF-FFFF00000000}"/>
  </bookViews>
  <sheets>
    <sheet name="Spares" sheetId="1" r:id="rId1"/>
    <sheet name="Progress" sheetId="2" r:id="rId2"/>
    <sheet name="State" sheetId="3" r:id="rId3"/>
    <sheet name="Person" sheetId="4" r:id="rId4"/>
    <sheet name="Transaction" sheetId="5" r:id="rId5"/>
    <sheet name="Denomination" sheetId="6" r:id="rId6"/>
    <sheet name="Language" sheetId="7" r:id="rId7"/>
    <sheet name="Address" sheetId="8" r:id="rId8"/>
    <sheet name="Date" sheetId="9" r:id="rId9"/>
    <sheet name="Grade" sheetId="10" r:id="rId10"/>
    <sheet name="Class" sheetId="11" r:id="rId11"/>
    <sheet name="SubjectGroup" sheetId="12" r:id="rId12"/>
    <sheet name="Subject" sheetId="13" r:id="rId13"/>
    <sheet name="ICCE_Certificate" sheetId="14" r:id="rId14"/>
    <sheet name="Enrollment" sheetId="15" r:id="rId15"/>
    <sheet name="Course" sheetId="16" r:id="rId16"/>
    <sheet name="PaceCourse" sheetId="17" r:id="rId17"/>
    <sheet name="PACE" sheetId="18" r:id="rId18"/>
    <sheet name="Links" sheetId="19" r:id="rId19"/>
    <sheet name="CourseWorkICCE_Certificate" sheetId="20" r:id="rId20"/>
    <sheet name="EnrollmentCourses__" sheetId="21" r:id="rId21"/>
    <sheet name="PaceUnitResult" sheetId="22" r:id="rId22"/>
    <sheet name="OtherCourse" sheetId="23" r:id="rId23"/>
    <sheet name="OtherCourseUnit" sheetId="24" r:id="rId24"/>
    <sheet name="OtherUnitResults" sheetId="25" r:id="rId25"/>
    <sheet name="RecurringCourse" sheetId="26" r:id="rId26"/>
    <sheet name="RecurringResult" sheetId="27" r:id="rId27"/>
    <sheet name="DutchCourse" sheetId="28" r:id="rId28"/>
    <sheet name="DutchCourseUnits" sheetId="29" r:id="rId29"/>
    <sheet name="DutchUnitResults" sheetId="30" r:id="rId30"/>
    <sheet name="SubjectCourseEnrolment" sheetId="31" r:id="rId31"/>
    <sheet name="ExtraCurCourseEnrolment" sheetId="32" r:id="rId32"/>
    <sheet name="DutchCourseEnrolment" sheetId="33" r:id="rId33"/>
    <sheet name="Term" sheetId="34" r:id="rId34"/>
    <sheet name="Year" sheetId="35" r:id="rId35"/>
  </sheets>
  <definedNames>
    <definedName name="_xlnm._FilterDatabase" localSheetId="7" hidden="1">Address!$A$1:$G$18</definedName>
    <definedName name="_xlnm._FilterDatabase" localSheetId="10" hidden="1">Class!$A$1:$B$6</definedName>
    <definedName name="_xlnm._FilterDatabase" localSheetId="15" hidden="1">Course!$A$1:$T$166</definedName>
    <definedName name="_xlnm._FilterDatabase" localSheetId="19" hidden="1">CourseWorkICCE_Certificate!$A$1:$E$26</definedName>
    <definedName name="_xlnm._FilterDatabase" localSheetId="8" hidden="1">Date!$A$1:$I$1001</definedName>
    <definedName name="_xlnm._FilterDatabase" localSheetId="14" hidden="1">Enrollment!$A$1:$J$83</definedName>
    <definedName name="_xlnm._FilterDatabase" localSheetId="17" hidden="1">PACE!$A$1:$N$1374</definedName>
    <definedName name="_xlnm._FilterDatabase" localSheetId="16" hidden="1">PaceCourse!$A$1:$J$1397</definedName>
    <definedName name="_xlnm._FilterDatabase" localSheetId="21" hidden="1">PaceUnitResult!$A$1:$H$84</definedName>
    <definedName name="_xlnm._FilterDatabase" localSheetId="3" hidden="1">Person!$A$1:$O$61</definedName>
    <definedName name="_xlnm._FilterDatabase" localSheetId="1" hidden="1">Progress!$A$1:$E$92</definedName>
    <definedName name="_xlnm._FilterDatabase" localSheetId="0" hidden="1">Spares!$A$1:$G$57</definedName>
    <definedName name="_xlnm._FilterDatabase" localSheetId="12" hidden="1">Subject!$A$1:$D$11</definedName>
    <definedName name="_xlnm._FilterDatabase" localSheetId="4" hidden="1">Transaction!$A$1:$G$15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9" roundtripDataChecksum="DcLjFqN1ZKzIboaxrq71jn4FhM+Yp2r/eP5YUu4I1AQ="/>
    </ext>
  </extLst>
</workbook>
</file>

<file path=xl/calcChain.xml><?xml version="1.0" encoding="utf-8"?>
<calcChain xmlns="http://schemas.openxmlformats.org/spreadsheetml/2006/main">
  <c r="L1374" i="18" l="1"/>
  <c r="L1373" i="18"/>
  <c r="L1372" i="18"/>
  <c r="L1371" i="18"/>
  <c r="E1374" i="18"/>
  <c r="E1373" i="18"/>
  <c r="E1372" i="18"/>
  <c r="E1371" i="18"/>
  <c r="G1386" i="17"/>
  <c r="G1387" i="17"/>
  <c r="G1388" i="17"/>
  <c r="G1389" i="17"/>
  <c r="G1390" i="17"/>
  <c r="G1391" i="17"/>
  <c r="G1392" i="17"/>
  <c r="G1393" i="17"/>
  <c r="G1394" i="17"/>
  <c r="G1395" i="17"/>
  <c r="G1396" i="17"/>
  <c r="G1397" i="17"/>
  <c r="H165" i="16"/>
  <c r="E27" i="21"/>
  <c r="C27" i="21"/>
  <c r="E26" i="21"/>
  <c r="C26" i="21"/>
  <c r="E25" i="21"/>
  <c r="C25" i="21"/>
  <c r="E24" i="21"/>
  <c r="C24" i="21"/>
  <c r="E23" i="21"/>
  <c r="C23" i="21"/>
  <c r="E22" i="21"/>
  <c r="C22" i="21"/>
  <c r="E21" i="21"/>
  <c r="C21" i="21"/>
  <c r="E20" i="21"/>
  <c r="C20" i="21"/>
  <c r="E19" i="21"/>
  <c r="C19" i="21"/>
  <c r="E18" i="21"/>
  <c r="C18" i="21"/>
  <c r="E17" i="21"/>
  <c r="C17" i="21"/>
  <c r="E16" i="21"/>
  <c r="C16" i="21"/>
  <c r="E15" i="21"/>
  <c r="C15" i="21"/>
  <c r="E14" i="21"/>
  <c r="C14" i="21"/>
  <c r="E13" i="21"/>
  <c r="C13" i="21"/>
  <c r="E12" i="21"/>
  <c r="C12" i="21"/>
  <c r="E11" i="21"/>
  <c r="C11" i="21"/>
  <c r="E10" i="21"/>
  <c r="C10" i="21"/>
  <c r="E9" i="21"/>
  <c r="C9" i="21"/>
  <c r="E8" i="21"/>
  <c r="C8" i="21"/>
  <c r="E7" i="21"/>
  <c r="C7" i="21"/>
  <c r="E6" i="21"/>
  <c r="C6" i="21"/>
  <c r="E5" i="21"/>
  <c r="C5" i="21"/>
  <c r="E4" i="21"/>
  <c r="C4" i="21"/>
  <c r="E3" i="21"/>
  <c r="C3" i="21"/>
  <c r="E2" i="21"/>
  <c r="C2" i="21"/>
  <c r="E26" i="20"/>
  <c r="C26" i="20"/>
  <c r="E25" i="20"/>
  <c r="C25" i="20"/>
  <c r="E24" i="20"/>
  <c r="C24" i="20"/>
  <c r="E23" i="20"/>
  <c r="C23" i="20"/>
  <c r="E22" i="20"/>
  <c r="C22" i="20"/>
  <c r="E21" i="20"/>
  <c r="C21" i="20"/>
  <c r="E20" i="20"/>
  <c r="C20" i="20"/>
  <c r="E19" i="20"/>
  <c r="C19" i="20"/>
  <c r="E18" i="20"/>
  <c r="C18" i="20"/>
  <c r="E17" i="20"/>
  <c r="C17" i="20"/>
  <c r="E16" i="20"/>
  <c r="C16" i="20"/>
  <c r="E15" i="20"/>
  <c r="C15" i="20"/>
  <c r="E14" i="20"/>
  <c r="C14" i="20"/>
  <c r="E13" i="20"/>
  <c r="C13" i="20"/>
  <c r="E12" i="20"/>
  <c r="C12" i="20"/>
  <c r="E11" i="20"/>
  <c r="C11" i="20"/>
  <c r="E10" i="20"/>
  <c r="C10" i="20"/>
  <c r="E9" i="20"/>
  <c r="C9" i="20"/>
  <c r="E8" i="20"/>
  <c r="C8" i="20"/>
  <c r="E7" i="20"/>
  <c r="C7" i="20"/>
  <c r="E6" i="20"/>
  <c r="C6" i="20"/>
  <c r="E5" i="20"/>
  <c r="C5" i="20"/>
  <c r="E4" i="20"/>
  <c r="C4" i="20"/>
  <c r="E3" i="20"/>
  <c r="C3" i="20"/>
  <c r="E2" i="20"/>
  <c r="C2" i="20"/>
  <c r="L1346" i="18"/>
  <c r="F1346" i="18"/>
  <c r="L1345" i="18"/>
  <c r="F1345" i="18"/>
  <c r="L1344" i="18"/>
  <c r="F1344" i="18"/>
  <c r="L1343" i="18"/>
  <c r="F1343" i="18"/>
  <c r="L1342" i="18"/>
  <c r="F1342" i="18"/>
  <c r="L1341" i="18"/>
  <c r="F1341" i="18"/>
  <c r="L1340" i="18"/>
  <c r="F1340" i="18"/>
  <c r="L1339" i="18"/>
  <c r="F1339" i="18"/>
  <c r="L1338" i="18"/>
  <c r="F1338" i="18"/>
  <c r="L1337" i="18"/>
  <c r="E1337" i="18"/>
  <c r="L1336" i="18"/>
  <c r="E1336" i="18"/>
  <c r="L1335" i="18"/>
  <c r="E1335" i="18"/>
  <c r="L1334" i="18"/>
  <c r="F1334" i="18"/>
  <c r="L1333" i="18"/>
  <c r="L1332" i="18"/>
  <c r="L1331" i="18"/>
  <c r="L1330" i="18"/>
  <c r="L1329" i="18"/>
  <c r="L1328" i="18"/>
  <c r="L1327" i="18"/>
  <c r="L1326" i="18"/>
  <c r="L1325" i="18"/>
  <c r="L1324" i="18"/>
  <c r="L1323" i="18"/>
  <c r="L1322" i="18"/>
  <c r="L1321" i="18"/>
  <c r="L1320" i="18"/>
  <c r="L1319" i="18"/>
  <c r="L1318" i="18"/>
  <c r="L1317" i="18"/>
  <c r="L1316" i="18"/>
  <c r="L1315" i="18"/>
  <c r="L1314" i="18"/>
  <c r="L1313" i="18"/>
  <c r="L1312" i="18"/>
  <c r="L1311" i="18"/>
  <c r="L1310" i="18"/>
  <c r="L1309" i="18"/>
  <c r="L1308" i="18"/>
  <c r="L1307" i="18"/>
  <c r="L1306" i="18"/>
  <c r="G1306" i="18"/>
  <c r="E1306" i="18" s="1"/>
  <c r="L1305" i="18"/>
  <c r="G1305" i="18"/>
  <c r="E1305" i="18" s="1"/>
  <c r="L1304" i="18"/>
  <c r="G1304" i="18"/>
  <c r="E1304" i="18" s="1"/>
  <c r="L1303" i="18"/>
  <c r="G1303" i="18"/>
  <c r="E1303" i="18" s="1"/>
  <c r="L1302" i="18"/>
  <c r="G1302" i="18"/>
  <c r="E1302" i="18" s="1"/>
  <c r="L1301" i="18"/>
  <c r="G1301" i="18"/>
  <c r="E1301" i="18" s="1"/>
  <c r="L1300" i="18"/>
  <c r="G1300" i="18"/>
  <c r="E1300" i="18" s="1"/>
  <c r="L1299" i="18"/>
  <c r="G1299" i="18"/>
  <c r="E1299" i="18" s="1"/>
  <c r="L1298" i="18"/>
  <c r="F1298" i="18"/>
  <c r="L1297" i="18"/>
  <c r="F1297" i="18"/>
  <c r="L1296" i="18"/>
  <c r="F1296" i="18"/>
  <c r="L1295" i="18"/>
  <c r="F1295" i="18"/>
  <c r="L1294" i="18"/>
  <c r="F1294" i="18"/>
  <c r="L1293" i="18"/>
  <c r="F1293" i="18"/>
  <c r="L1292" i="18"/>
  <c r="F1292" i="18"/>
  <c r="L1291" i="18"/>
  <c r="F1291" i="18"/>
  <c r="L1290" i="18"/>
  <c r="F1290" i="18"/>
  <c r="L1289" i="18"/>
  <c r="F1289" i="18"/>
  <c r="L1288" i="18"/>
  <c r="F1288" i="18"/>
  <c r="L1287" i="18"/>
  <c r="F1287" i="18"/>
  <c r="L1286" i="18"/>
  <c r="F1286" i="18"/>
  <c r="L1285" i="18"/>
  <c r="F1285" i="18"/>
  <c r="L1284" i="18"/>
  <c r="F1284" i="18"/>
  <c r="L1283" i="18"/>
  <c r="F1283" i="18"/>
  <c r="L1282" i="18"/>
  <c r="F1282" i="18"/>
  <c r="L1281" i="18"/>
  <c r="F1281" i="18"/>
  <c r="L1280" i="18"/>
  <c r="F1280" i="18"/>
  <c r="L1279" i="18"/>
  <c r="F1279" i="18"/>
  <c r="L1278" i="18"/>
  <c r="F1278" i="18"/>
  <c r="L1277" i="18"/>
  <c r="F1277" i="18"/>
  <c r="L1276" i="18"/>
  <c r="F1276" i="18"/>
  <c r="L1275" i="18"/>
  <c r="F1275" i="18"/>
  <c r="L1274" i="18"/>
  <c r="F1274" i="18"/>
  <c r="L1273" i="18"/>
  <c r="F1273" i="18"/>
  <c r="L1272" i="18"/>
  <c r="F1272" i="18"/>
  <c r="L1271" i="18"/>
  <c r="F1271" i="18"/>
  <c r="L1270" i="18"/>
  <c r="F1270" i="18"/>
  <c r="L1269" i="18"/>
  <c r="F1269" i="18"/>
  <c r="L1268" i="18"/>
  <c r="F1268" i="18"/>
  <c r="L1267" i="18"/>
  <c r="F1267" i="18"/>
  <c r="L1266" i="18"/>
  <c r="F1266" i="18"/>
  <c r="L1265" i="18"/>
  <c r="F1265" i="18"/>
  <c r="L1264" i="18"/>
  <c r="F1264" i="18"/>
  <c r="L1263" i="18"/>
  <c r="F1263" i="18"/>
  <c r="L1262" i="18"/>
  <c r="F1262" i="18"/>
  <c r="L1261" i="18"/>
  <c r="F1261" i="18"/>
  <c r="L1260" i="18"/>
  <c r="F1260" i="18"/>
  <c r="L1259" i="18"/>
  <c r="F1259" i="18"/>
  <c r="L1258" i="18"/>
  <c r="F1258" i="18"/>
  <c r="L1257" i="18"/>
  <c r="F1257" i="18"/>
  <c r="L1256" i="18"/>
  <c r="F1256" i="18"/>
  <c r="L1255" i="18"/>
  <c r="F1255" i="18"/>
  <c r="L1254" i="18"/>
  <c r="F1254" i="18"/>
  <c r="L1253" i="18"/>
  <c r="F1253" i="18"/>
  <c r="L1252" i="18"/>
  <c r="F1252" i="18"/>
  <c r="L1251" i="18"/>
  <c r="F1251" i="18"/>
  <c r="L1250" i="18"/>
  <c r="F1250" i="18"/>
  <c r="L1249" i="18"/>
  <c r="F1249" i="18"/>
  <c r="L1248" i="18"/>
  <c r="F1248" i="18"/>
  <c r="L1247" i="18"/>
  <c r="F1247" i="18"/>
  <c r="L1246" i="18"/>
  <c r="F1246" i="18"/>
  <c r="L1245" i="18"/>
  <c r="F1245" i="18"/>
  <c r="L1244" i="18"/>
  <c r="F1244" i="18"/>
  <c r="L1243" i="18"/>
  <c r="F1243" i="18"/>
  <c r="L1242" i="18"/>
  <c r="F1242" i="18"/>
  <c r="L1241" i="18"/>
  <c r="F1241" i="18"/>
  <c r="L1240" i="18"/>
  <c r="F1240" i="18"/>
  <c r="L1239" i="18"/>
  <c r="F1239" i="18"/>
  <c r="L1238" i="18"/>
  <c r="F1238" i="18"/>
  <c r="L1237" i="18"/>
  <c r="F1237" i="18"/>
  <c r="L1236" i="18"/>
  <c r="F1236" i="18"/>
  <c r="L1235" i="18"/>
  <c r="F1235" i="18"/>
  <c r="L1234" i="18"/>
  <c r="F1234" i="18"/>
  <c r="L1233" i="18"/>
  <c r="F1233" i="18"/>
  <c r="L1232" i="18"/>
  <c r="F1232" i="18"/>
  <c r="L1231" i="18"/>
  <c r="F1231" i="18"/>
  <c r="L1230" i="18"/>
  <c r="F1230" i="18"/>
  <c r="L1229" i="18"/>
  <c r="F1229" i="18"/>
  <c r="L1228" i="18"/>
  <c r="F1228" i="18"/>
  <c r="L1227" i="18"/>
  <c r="F1227" i="18"/>
  <c r="L1226" i="18"/>
  <c r="F1226" i="18"/>
  <c r="L1225" i="18"/>
  <c r="F1225" i="18"/>
  <c r="L1224" i="18"/>
  <c r="F1224" i="18"/>
  <c r="L1223" i="18"/>
  <c r="F1223" i="18"/>
  <c r="L1222" i="18"/>
  <c r="F1222" i="18"/>
  <c r="L1221" i="18"/>
  <c r="F1221" i="18"/>
  <c r="L1220" i="18"/>
  <c r="F1220" i="18"/>
  <c r="L1219" i="18"/>
  <c r="F1219" i="18"/>
  <c r="L1218" i="18"/>
  <c r="F1218" i="18"/>
  <c r="L1217" i="18"/>
  <c r="F1217" i="18"/>
  <c r="L1216" i="18"/>
  <c r="F1216" i="18"/>
  <c r="L1215" i="18"/>
  <c r="F1215" i="18"/>
  <c r="L1214" i="18"/>
  <c r="F1214" i="18"/>
  <c r="L1213" i="18"/>
  <c r="F1213" i="18"/>
  <c r="L1212" i="18"/>
  <c r="F1212" i="18"/>
  <c r="L1211" i="18"/>
  <c r="F1211" i="18"/>
  <c r="L1210" i="18"/>
  <c r="F1210" i="18"/>
  <c r="L1209" i="18"/>
  <c r="F1209" i="18"/>
  <c r="L1208" i="18"/>
  <c r="F1208" i="18"/>
  <c r="L1207" i="18"/>
  <c r="F1207" i="18"/>
  <c r="L1206" i="18"/>
  <c r="F1206" i="18"/>
  <c r="L1205" i="18"/>
  <c r="F1205" i="18"/>
  <c r="L1204" i="18"/>
  <c r="F1204" i="18"/>
  <c r="L1203" i="18"/>
  <c r="F1203" i="18"/>
  <c r="L1202" i="18"/>
  <c r="F1202" i="18"/>
  <c r="L1201" i="18"/>
  <c r="F1201" i="18"/>
  <c r="L1200" i="18"/>
  <c r="F1200" i="18"/>
  <c r="L1199" i="18"/>
  <c r="F1199" i="18"/>
  <c r="L1198" i="18"/>
  <c r="F1198" i="18"/>
  <c r="L1197" i="18"/>
  <c r="F1197" i="18"/>
  <c r="L1196" i="18"/>
  <c r="F1196" i="18"/>
  <c r="L1195" i="18"/>
  <c r="F1195" i="18"/>
  <c r="L1194" i="18"/>
  <c r="F1194" i="18"/>
  <c r="L1193" i="18"/>
  <c r="F1193" i="18"/>
  <c r="L1192" i="18"/>
  <c r="F1192" i="18"/>
  <c r="L1191" i="18"/>
  <c r="F1191" i="18"/>
  <c r="L1190" i="18"/>
  <c r="F1190" i="18"/>
  <c r="L1189" i="18"/>
  <c r="F1189" i="18"/>
  <c r="L1188" i="18"/>
  <c r="F1188" i="18"/>
  <c r="L1187" i="18"/>
  <c r="F1187" i="18"/>
  <c r="L1186" i="18"/>
  <c r="F1186" i="18"/>
  <c r="L1185" i="18"/>
  <c r="F1185" i="18"/>
  <c r="L1184" i="18"/>
  <c r="F1184" i="18"/>
  <c r="L1183" i="18"/>
  <c r="F1183" i="18"/>
  <c r="L1182" i="18"/>
  <c r="F1182" i="18"/>
  <c r="L1181" i="18"/>
  <c r="F1181" i="18"/>
  <c r="L1180" i="18"/>
  <c r="F1180" i="18"/>
  <c r="L1179" i="18"/>
  <c r="F1179" i="18"/>
  <c r="L1178" i="18"/>
  <c r="F1178" i="18"/>
  <c r="L1177" i="18"/>
  <c r="F1177" i="18"/>
  <c r="L1176" i="18"/>
  <c r="F1176" i="18"/>
  <c r="L1175" i="18"/>
  <c r="F1175" i="18"/>
  <c r="L1174" i="18"/>
  <c r="F1174" i="18"/>
  <c r="L1173" i="18"/>
  <c r="F1173" i="18"/>
  <c r="L1172" i="18"/>
  <c r="F1172" i="18"/>
  <c r="L1171" i="18"/>
  <c r="F1171" i="18"/>
  <c r="L1170" i="18"/>
  <c r="F1170" i="18"/>
  <c r="L1169" i="18"/>
  <c r="F1169" i="18"/>
  <c r="L1168" i="18"/>
  <c r="F1168" i="18"/>
  <c r="L1167" i="18"/>
  <c r="F1167" i="18"/>
  <c r="L1166" i="18"/>
  <c r="F1166" i="18"/>
  <c r="L1165" i="18"/>
  <c r="F1165" i="18"/>
  <c r="L1164" i="18"/>
  <c r="F1164" i="18"/>
  <c r="L1163" i="18"/>
  <c r="F1163" i="18"/>
  <c r="L1162" i="18"/>
  <c r="F1162" i="18"/>
  <c r="L1161" i="18"/>
  <c r="F1161" i="18"/>
  <c r="L1160" i="18"/>
  <c r="F1160" i="18"/>
  <c r="L1159" i="18"/>
  <c r="F1159" i="18"/>
  <c r="L1158" i="18"/>
  <c r="F1158" i="18"/>
  <c r="L1157" i="18"/>
  <c r="F1157" i="18"/>
  <c r="L1156" i="18"/>
  <c r="F1156" i="18"/>
  <c r="L1155" i="18"/>
  <c r="F1155" i="18"/>
  <c r="L1154" i="18"/>
  <c r="F1154" i="18"/>
  <c r="L1153" i="18"/>
  <c r="F1153" i="18"/>
  <c r="L1152" i="18"/>
  <c r="F1152" i="18"/>
  <c r="L1151" i="18"/>
  <c r="F1151" i="18"/>
  <c r="L1150" i="18"/>
  <c r="F1150" i="18"/>
  <c r="L1149" i="18"/>
  <c r="F1149" i="18"/>
  <c r="L1148" i="18"/>
  <c r="F1148" i="18"/>
  <c r="L1147" i="18"/>
  <c r="F1147" i="18"/>
  <c r="L1146" i="18"/>
  <c r="F1146" i="18"/>
  <c r="L1145" i="18"/>
  <c r="F1145" i="18"/>
  <c r="L1144" i="18"/>
  <c r="F1144" i="18"/>
  <c r="L1143" i="18"/>
  <c r="F1143" i="18"/>
  <c r="L1142" i="18"/>
  <c r="F1142" i="18"/>
  <c r="L1141" i="18"/>
  <c r="F1141" i="18"/>
  <c r="L1140" i="18"/>
  <c r="F1140" i="18"/>
  <c r="L1139" i="18"/>
  <c r="F1139" i="18"/>
  <c r="L1138" i="18"/>
  <c r="F1138" i="18"/>
  <c r="L1137" i="18"/>
  <c r="F1137" i="18"/>
  <c r="L1136" i="18"/>
  <c r="F1136" i="18"/>
  <c r="L1135" i="18"/>
  <c r="F1135" i="18"/>
  <c r="L1134" i="18"/>
  <c r="F1134" i="18"/>
  <c r="L1133" i="18"/>
  <c r="F1133" i="18"/>
  <c r="L1132" i="18"/>
  <c r="F1132" i="18"/>
  <c r="L1131" i="18"/>
  <c r="F1131" i="18"/>
  <c r="L1130" i="18"/>
  <c r="F1130" i="18"/>
  <c r="L1129" i="18"/>
  <c r="F1129" i="18"/>
  <c r="L1128" i="18"/>
  <c r="F1128" i="18"/>
  <c r="L1127" i="18"/>
  <c r="F1127" i="18"/>
  <c r="L1126" i="18"/>
  <c r="F1126" i="18"/>
  <c r="L1125" i="18"/>
  <c r="F1125" i="18"/>
  <c r="L1124" i="18"/>
  <c r="F1124" i="18"/>
  <c r="L1123" i="18"/>
  <c r="F1123" i="18"/>
  <c r="L1122" i="18"/>
  <c r="F1122" i="18"/>
  <c r="L1121" i="18"/>
  <c r="F1121" i="18"/>
  <c r="L1120" i="18"/>
  <c r="F1120" i="18"/>
  <c r="L1119" i="18"/>
  <c r="F1119" i="18"/>
  <c r="L1118" i="18"/>
  <c r="F1118" i="18"/>
  <c r="L1117" i="18"/>
  <c r="F1117" i="18"/>
  <c r="L1116" i="18"/>
  <c r="F1116" i="18"/>
  <c r="L1115" i="18"/>
  <c r="F1115" i="18"/>
  <c r="L1114" i="18"/>
  <c r="F1114" i="18"/>
  <c r="L1113" i="18"/>
  <c r="F1113" i="18"/>
  <c r="L1112" i="18"/>
  <c r="F1112" i="18"/>
  <c r="L1111" i="18"/>
  <c r="F1111" i="18"/>
  <c r="L1110" i="18"/>
  <c r="F1110" i="18"/>
  <c r="L1109" i="18"/>
  <c r="F1109" i="18"/>
  <c r="L1108" i="18"/>
  <c r="F1108" i="18"/>
  <c r="L1107" i="18"/>
  <c r="F1107" i="18"/>
  <c r="L1106" i="18"/>
  <c r="F1106" i="18"/>
  <c r="L1105" i="18"/>
  <c r="F1105" i="18"/>
  <c r="L1104" i="18"/>
  <c r="F1104" i="18"/>
  <c r="L1103" i="18"/>
  <c r="F1103" i="18"/>
  <c r="L1102" i="18"/>
  <c r="F1102" i="18"/>
  <c r="L1101" i="18"/>
  <c r="F1101" i="18"/>
  <c r="L1100" i="18"/>
  <c r="F1100" i="18"/>
  <c r="L1099" i="18"/>
  <c r="F1099" i="18"/>
  <c r="L1098" i="18"/>
  <c r="F1098" i="18"/>
  <c r="L1097" i="18"/>
  <c r="F1097" i="18"/>
  <c r="L1096" i="18"/>
  <c r="F1096" i="18"/>
  <c r="L1095" i="18"/>
  <c r="F1095" i="18"/>
  <c r="L1094" i="18"/>
  <c r="F1094" i="18"/>
  <c r="L1093" i="18"/>
  <c r="F1093" i="18"/>
  <c r="L1092" i="18"/>
  <c r="F1092" i="18"/>
  <c r="L1091" i="18"/>
  <c r="F1091" i="18"/>
  <c r="L1090" i="18"/>
  <c r="F1090" i="18"/>
  <c r="L1089" i="18"/>
  <c r="F1089" i="18"/>
  <c r="L1088" i="18"/>
  <c r="F1088" i="18"/>
  <c r="L1087" i="18"/>
  <c r="F1087" i="18"/>
  <c r="L1086" i="18"/>
  <c r="F1086" i="18"/>
  <c r="L1085" i="18"/>
  <c r="F1085" i="18"/>
  <c r="L1084" i="18"/>
  <c r="F1084" i="18"/>
  <c r="L1083" i="18"/>
  <c r="F1083" i="18"/>
  <c r="L1082" i="18"/>
  <c r="F1082" i="18"/>
  <c r="L1081" i="18"/>
  <c r="F1081" i="18"/>
  <c r="L1080" i="18"/>
  <c r="F1080" i="18"/>
  <c r="L1079" i="18"/>
  <c r="F1079" i="18"/>
  <c r="L1078" i="18"/>
  <c r="F1078" i="18"/>
  <c r="L1077" i="18"/>
  <c r="F1077" i="18"/>
  <c r="L1076" i="18"/>
  <c r="F1076" i="18"/>
  <c r="L1075" i="18"/>
  <c r="F1075" i="18"/>
  <c r="L1074" i="18"/>
  <c r="F1074" i="18"/>
  <c r="L1073" i="18"/>
  <c r="F1073" i="18"/>
  <c r="L1072" i="18"/>
  <c r="F1072" i="18"/>
  <c r="L1071" i="18"/>
  <c r="F1071" i="18"/>
  <c r="L1070" i="18"/>
  <c r="F1070" i="18"/>
  <c r="L1069" i="18"/>
  <c r="F1069" i="18"/>
  <c r="L1068" i="18"/>
  <c r="F1068" i="18"/>
  <c r="L1067" i="18"/>
  <c r="F1067" i="18"/>
  <c r="L1066" i="18"/>
  <c r="F1066" i="18"/>
  <c r="L1065" i="18"/>
  <c r="F1065" i="18"/>
  <c r="L1064" i="18"/>
  <c r="F1064" i="18"/>
  <c r="L1063" i="18"/>
  <c r="F1063" i="18"/>
  <c r="L1062" i="18"/>
  <c r="F1062" i="18"/>
  <c r="L1061" i="18"/>
  <c r="F1061" i="18"/>
  <c r="L1060" i="18"/>
  <c r="F1060" i="18"/>
  <c r="L1059" i="18"/>
  <c r="F1059" i="18"/>
  <c r="L1058" i="18"/>
  <c r="F1058" i="18"/>
  <c r="L1057" i="18"/>
  <c r="F1057" i="18"/>
  <c r="L1056" i="18"/>
  <c r="F1056" i="18"/>
  <c r="L1055" i="18"/>
  <c r="F1055" i="18"/>
  <c r="L1054" i="18"/>
  <c r="F1054" i="18"/>
  <c r="L1053" i="18"/>
  <c r="F1053" i="18"/>
  <c r="L1052" i="18"/>
  <c r="F1052" i="18"/>
  <c r="L1051" i="18"/>
  <c r="F1051" i="18"/>
  <c r="L1050" i="18"/>
  <c r="F1050" i="18"/>
  <c r="L1049" i="18"/>
  <c r="F1049" i="18"/>
  <c r="L1048" i="18"/>
  <c r="F1048" i="18"/>
  <c r="L1047" i="18"/>
  <c r="F1047" i="18"/>
  <c r="L1046" i="18"/>
  <c r="F1046" i="18"/>
  <c r="L1045" i="18"/>
  <c r="F1045" i="18"/>
  <c r="L1044" i="18"/>
  <c r="F1044" i="18"/>
  <c r="L1043" i="18"/>
  <c r="F1043" i="18"/>
  <c r="L1042" i="18"/>
  <c r="F1042" i="18"/>
  <c r="L1041" i="18"/>
  <c r="F1041" i="18"/>
  <c r="L1040" i="18"/>
  <c r="F1040" i="18"/>
  <c r="L1039" i="18"/>
  <c r="F1039" i="18"/>
  <c r="L1038" i="18"/>
  <c r="F1038" i="18"/>
  <c r="L1037" i="18"/>
  <c r="F1037" i="18"/>
  <c r="L1036" i="18"/>
  <c r="F1036" i="18"/>
  <c r="L1035" i="18"/>
  <c r="F1035" i="18"/>
  <c r="L1034" i="18"/>
  <c r="F1034" i="18"/>
  <c r="L1033" i="18"/>
  <c r="F1033" i="18"/>
  <c r="L1032" i="18"/>
  <c r="F1032" i="18"/>
  <c r="L1031" i="18"/>
  <c r="F1031" i="18"/>
  <c r="L1030" i="18"/>
  <c r="F1030" i="18"/>
  <c r="L1029" i="18"/>
  <c r="F1029" i="18"/>
  <c r="L1028" i="18"/>
  <c r="F1028" i="18"/>
  <c r="L1027" i="18"/>
  <c r="F1027" i="18"/>
  <c r="L1026" i="18"/>
  <c r="F1026" i="18"/>
  <c r="L1025" i="18"/>
  <c r="F1025" i="18"/>
  <c r="L1024" i="18"/>
  <c r="F1024" i="18"/>
  <c r="L1023" i="18"/>
  <c r="F1023" i="18"/>
  <c r="L1022" i="18"/>
  <c r="F1022" i="18"/>
  <c r="L1021" i="18"/>
  <c r="F1021" i="18"/>
  <c r="L1020" i="18"/>
  <c r="F1020" i="18"/>
  <c r="L1019" i="18"/>
  <c r="F1019" i="18"/>
  <c r="L1018" i="18"/>
  <c r="F1018" i="18"/>
  <c r="L1017" i="18"/>
  <c r="F1017" i="18"/>
  <c r="L1016" i="18"/>
  <c r="F1016" i="18"/>
  <c r="L1015" i="18"/>
  <c r="F1015" i="18"/>
  <c r="L1014" i="18"/>
  <c r="F1014" i="18"/>
  <c r="L1013" i="18"/>
  <c r="F1013" i="18"/>
  <c r="L1012" i="18"/>
  <c r="F1012" i="18"/>
  <c r="L1011" i="18"/>
  <c r="F1011" i="18"/>
  <c r="L1010" i="18"/>
  <c r="F1010" i="18"/>
  <c r="L1009" i="18"/>
  <c r="F1009" i="18"/>
  <c r="L1008" i="18"/>
  <c r="F1008" i="18"/>
  <c r="L1007" i="18"/>
  <c r="F1007" i="18"/>
  <c r="L1006" i="18"/>
  <c r="F1006" i="18"/>
  <c r="L1005" i="18"/>
  <c r="F1005" i="18"/>
  <c r="L1004" i="18"/>
  <c r="F1004" i="18"/>
  <c r="L1003" i="18"/>
  <c r="F1003" i="18"/>
  <c r="L1002" i="18"/>
  <c r="F1002" i="18"/>
  <c r="L1001" i="18"/>
  <c r="F1001" i="18"/>
  <c r="L1000" i="18"/>
  <c r="F1000" i="18"/>
  <c r="L999" i="18"/>
  <c r="F999" i="18"/>
  <c r="L998" i="18"/>
  <c r="F998" i="18"/>
  <c r="L997" i="18"/>
  <c r="F997" i="18"/>
  <c r="L996" i="18"/>
  <c r="F996" i="18"/>
  <c r="L995" i="18"/>
  <c r="F995" i="18"/>
  <c r="L994" i="18"/>
  <c r="F994" i="18"/>
  <c r="L993" i="18"/>
  <c r="F993" i="18"/>
  <c r="L992" i="18"/>
  <c r="F992" i="18"/>
  <c r="L991" i="18"/>
  <c r="F991" i="18"/>
  <c r="L990" i="18"/>
  <c r="F990" i="18"/>
  <c r="L989" i="18"/>
  <c r="F989" i="18"/>
  <c r="L988" i="18"/>
  <c r="F988" i="18"/>
  <c r="L987" i="18"/>
  <c r="F987" i="18"/>
  <c r="L986" i="18"/>
  <c r="F986" i="18"/>
  <c r="L985" i="18"/>
  <c r="F985" i="18"/>
  <c r="L984" i="18"/>
  <c r="F984" i="18"/>
  <c r="L983" i="18"/>
  <c r="F983" i="18"/>
  <c r="L982" i="18"/>
  <c r="F982" i="18"/>
  <c r="L981" i="18"/>
  <c r="F981" i="18"/>
  <c r="L980" i="18"/>
  <c r="F980" i="18"/>
  <c r="L979" i="18"/>
  <c r="F979" i="18"/>
  <c r="L978" i="18"/>
  <c r="F978" i="18"/>
  <c r="L977" i="18"/>
  <c r="F977" i="18"/>
  <c r="L976" i="18"/>
  <c r="F976" i="18"/>
  <c r="L975" i="18"/>
  <c r="F975" i="18"/>
  <c r="L974" i="18"/>
  <c r="F974" i="18"/>
  <c r="L973" i="18"/>
  <c r="F973" i="18"/>
  <c r="L972" i="18"/>
  <c r="F972" i="18"/>
  <c r="L971" i="18"/>
  <c r="F971" i="18"/>
  <c r="L970" i="18"/>
  <c r="F970" i="18"/>
  <c r="L969" i="18"/>
  <c r="F969" i="18"/>
  <c r="L968" i="18"/>
  <c r="F968" i="18"/>
  <c r="L967" i="18"/>
  <c r="F967" i="18"/>
  <c r="L966" i="18"/>
  <c r="F966" i="18"/>
  <c r="L965" i="18"/>
  <c r="F965" i="18"/>
  <c r="L964" i="18"/>
  <c r="F964" i="18"/>
  <c r="L963" i="18"/>
  <c r="F963" i="18"/>
  <c r="L962" i="18"/>
  <c r="F962" i="18"/>
  <c r="L961" i="18"/>
  <c r="F961" i="18"/>
  <c r="L960" i="18"/>
  <c r="F960" i="18"/>
  <c r="L959" i="18"/>
  <c r="F959" i="18"/>
  <c r="L958" i="18"/>
  <c r="F958" i="18"/>
  <c r="L957" i="18"/>
  <c r="F957" i="18"/>
  <c r="L956" i="18"/>
  <c r="F956" i="18"/>
  <c r="L955" i="18"/>
  <c r="F955" i="18"/>
  <c r="L954" i="18"/>
  <c r="F954" i="18"/>
  <c r="L953" i="18"/>
  <c r="F953" i="18"/>
  <c r="L952" i="18"/>
  <c r="F952" i="18"/>
  <c r="L951" i="18"/>
  <c r="F951" i="18"/>
  <c r="L950" i="18"/>
  <c r="L949" i="18"/>
  <c r="L948" i="18"/>
  <c r="F948" i="18"/>
  <c r="L947" i="18"/>
  <c r="F947" i="18"/>
  <c r="L946" i="18"/>
  <c r="F946" i="18"/>
  <c r="L945" i="18"/>
  <c r="F945" i="18"/>
  <c r="L944" i="18"/>
  <c r="F944" i="18"/>
  <c r="L943" i="18"/>
  <c r="F943" i="18"/>
  <c r="L942" i="18"/>
  <c r="F942" i="18"/>
  <c r="L941" i="18"/>
  <c r="F941" i="18"/>
  <c r="L940" i="18"/>
  <c r="F940" i="18"/>
  <c r="L939" i="18"/>
  <c r="F939" i="18"/>
  <c r="L938" i="18"/>
  <c r="F938" i="18"/>
  <c r="L937" i="18"/>
  <c r="F937" i="18"/>
  <c r="L936" i="18"/>
  <c r="F936" i="18"/>
  <c r="L935" i="18"/>
  <c r="F935" i="18"/>
  <c r="L934" i="18"/>
  <c r="F934" i="18"/>
  <c r="L933" i="18"/>
  <c r="F933" i="18"/>
  <c r="L932" i="18"/>
  <c r="F932" i="18"/>
  <c r="L931" i="18"/>
  <c r="F931" i="18"/>
  <c r="L930" i="18"/>
  <c r="F930" i="18"/>
  <c r="L929" i="18"/>
  <c r="F929" i="18"/>
  <c r="L928" i="18"/>
  <c r="F928" i="18"/>
  <c r="L927" i="18"/>
  <c r="F927" i="18"/>
  <c r="L926" i="18"/>
  <c r="F926" i="18"/>
  <c r="L925" i="18"/>
  <c r="F925" i="18"/>
  <c r="L924" i="18"/>
  <c r="F924" i="18"/>
  <c r="L923" i="18"/>
  <c r="F923" i="18"/>
  <c r="L922" i="18"/>
  <c r="F922" i="18"/>
  <c r="L921" i="18"/>
  <c r="F921" i="18"/>
  <c r="L920" i="18"/>
  <c r="F920" i="18"/>
  <c r="L919" i="18"/>
  <c r="F919" i="18"/>
  <c r="L918" i="18"/>
  <c r="F918" i="18"/>
  <c r="L917" i="18"/>
  <c r="F917" i="18"/>
  <c r="L916" i="18"/>
  <c r="F916" i="18"/>
  <c r="L915" i="18"/>
  <c r="F915" i="18"/>
  <c r="L914" i="18"/>
  <c r="F914" i="18"/>
  <c r="L913" i="18"/>
  <c r="F913" i="18"/>
  <c r="L912" i="18"/>
  <c r="F912" i="18"/>
  <c r="L911" i="18"/>
  <c r="F911" i="18"/>
  <c r="L910" i="18"/>
  <c r="F910" i="18"/>
  <c r="L909" i="18"/>
  <c r="F909" i="18"/>
  <c r="L908" i="18"/>
  <c r="F908" i="18"/>
  <c r="L907" i="18"/>
  <c r="F907" i="18"/>
  <c r="L906" i="18"/>
  <c r="F906" i="18"/>
  <c r="L905" i="18"/>
  <c r="F905" i="18"/>
  <c r="L904" i="18"/>
  <c r="F904" i="18"/>
  <c r="L903" i="18"/>
  <c r="F903" i="18"/>
  <c r="L902" i="18"/>
  <c r="F902" i="18"/>
  <c r="L901" i="18"/>
  <c r="F901" i="18"/>
  <c r="L900" i="18"/>
  <c r="F900" i="18"/>
  <c r="L899" i="18"/>
  <c r="F899" i="18"/>
  <c r="L898" i="18"/>
  <c r="F898" i="18"/>
  <c r="L897" i="18"/>
  <c r="F897" i="18"/>
  <c r="L896" i="18"/>
  <c r="F896" i="18"/>
  <c r="L895" i="18"/>
  <c r="F895" i="18"/>
  <c r="L894" i="18"/>
  <c r="F894" i="18"/>
  <c r="L893" i="18"/>
  <c r="F893" i="18"/>
  <c r="L892" i="18"/>
  <c r="F892" i="18"/>
  <c r="L891" i="18"/>
  <c r="F891" i="18"/>
  <c r="L890" i="18"/>
  <c r="F890" i="18"/>
  <c r="L889" i="18"/>
  <c r="F889" i="18"/>
  <c r="L888" i="18"/>
  <c r="F888" i="18"/>
  <c r="L887" i="18"/>
  <c r="F887" i="18"/>
  <c r="L886" i="18"/>
  <c r="F886" i="18"/>
  <c r="L885" i="18"/>
  <c r="F885" i="18"/>
  <c r="L884" i="18"/>
  <c r="F884" i="18"/>
  <c r="L883" i="18"/>
  <c r="F883" i="18"/>
  <c r="L882" i="18"/>
  <c r="F882" i="18"/>
  <c r="L881" i="18"/>
  <c r="F881" i="18"/>
  <c r="L880" i="18"/>
  <c r="F880" i="18"/>
  <c r="L879" i="18"/>
  <c r="F879" i="18"/>
  <c r="L878" i="18"/>
  <c r="F878" i="18"/>
  <c r="L877" i="18"/>
  <c r="F877" i="18"/>
  <c r="L876" i="18"/>
  <c r="F876" i="18"/>
  <c r="L875" i="18"/>
  <c r="F875" i="18"/>
  <c r="L874" i="18"/>
  <c r="F874" i="18"/>
  <c r="L873" i="18"/>
  <c r="E873" i="18"/>
  <c r="L872" i="18"/>
  <c r="E872" i="18"/>
  <c r="L871" i="18"/>
  <c r="E871" i="18"/>
  <c r="L870" i="18"/>
  <c r="E870" i="18"/>
  <c r="L869" i="18"/>
  <c r="E869" i="18"/>
  <c r="L868" i="18"/>
  <c r="E868" i="18"/>
  <c r="L867" i="18"/>
  <c r="F867" i="18"/>
  <c r="L866" i="18"/>
  <c r="F866" i="18"/>
  <c r="L865" i="18"/>
  <c r="F865" i="18"/>
  <c r="L864" i="18"/>
  <c r="F864" i="18"/>
  <c r="L863" i="18"/>
  <c r="F863" i="18"/>
  <c r="L862" i="18"/>
  <c r="F862" i="18"/>
  <c r="L861" i="18"/>
  <c r="F861" i="18"/>
  <c r="L860" i="18"/>
  <c r="F860" i="18"/>
  <c r="L859" i="18"/>
  <c r="F859" i="18"/>
  <c r="L858" i="18"/>
  <c r="F858" i="18"/>
  <c r="L857" i="18"/>
  <c r="F857" i="18"/>
  <c r="L856" i="18"/>
  <c r="F856" i="18"/>
  <c r="L855" i="18"/>
  <c r="F855" i="18"/>
  <c r="L854" i="18"/>
  <c r="F854" i="18"/>
  <c r="L853" i="18"/>
  <c r="F853" i="18"/>
  <c r="L852" i="18"/>
  <c r="F852" i="18"/>
  <c r="L851" i="18"/>
  <c r="F851" i="18"/>
  <c r="L850" i="18"/>
  <c r="F850" i="18"/>
  <c r="L849" i="18"/>
  <c r="F849" i="18"/>
  <c r="L848" i="18"/>
  <c r="F848" i="18"/>
  <c r="L847" i="18"/>
  <c r="F847" i="18"/>
  <c r="L846" i="18"/>
  <c r="F846" i="18"/>
  <c r="L845" i="18"/>
  <c r="F845" i="18"/>
  <c r="L844" i="18"/>
  <c r="F844" i="18"/>
  <c r="L843" i="18"/>
  <c r="F843" i="18"/>
  <c r="L842" i="18"/>
  <c r="F842" i="18"/>
  <c r="L841" i="18"/>
  <c r="F841" i="18"/>
  <c r="L840" i="18"/>
  <c r="F840" i="18"/>
  <c r="L839" i="18"/>
  <c r="F839" i="18"/>
  <c r="L838" i="18"/>
  <c r="F838" i="18"/>
  <c r="L837" i="18"/>
  <c r="F837" i="18"/>
  <c r="L836" i="18"/>
  <c r="F836" i="18"/>
  <c r="L835" i="18"/>
  <c r="F835" i="18"/>
  <c r="L834" i="18"/>
  <c r="F834" i="18"/>
  <c r="L833" i="18"/>
  <c r="F833" i="18"/>
  <c r="L832" i="18"/>
  <c r="F832" i="18"/>
  <c r="L831" i="18"/>
  <c r="F831" i="18"/>
  <c r="L830" i="18"/>
  <c r="F830" i="18"/>
  <c r="L829" i="18"/>
  <c r="F829" i="18"/>
  <c r="L828" i="18"/>
  <c r="F828" i="18"/>
  <c r="L827" i="18"/>
  <c r="F827" i="18"/>
  <c r="L826" i="18"/>
  <c r="F826" i="18"/>
  <c r="L825" i="18"/>
  <c r="F825" i="18"/>
  <c r="L824" i="18"/>
  <c r="F824" i="18"/>
  <c r="L823" i="18"/>
  <c r="F823" i="18"/>
  <c r="L822" i="18"/>
  <c r="F822" i="18"/>
  <c r="L821" i="18"/>
  <c r="F821" i="18"/>
  <c r="L820" i="18"/>
  <c r="F820" i="18"/>
  <c r="L819" i="18"/>
  <c r="F819" i="18"/>
  <c r="L818" i="18"/>
  <c r="F818" i="18"/>
  <c r="L817" i="18"/>
  <c r="F817" i="18"/>
  <c r="L816" i="18"/>
  <c r="F816" i="18"/>
  <c r="L815" i="18"/>
  <c r="F815" i="18"/>
  <c r="L814" i="18"/>
  <c r="F814" i="18"/>
  <c r="L813" i="18"/>
  <c r="F813" i="18"/>
  <c r="L812" i="18"/>
  <c r="F812" i="18"/>
  <c r="L811" i="18"/>
  <c r="F811" i="18"/>
  <c r="L810" i="18"/>
  <c r="F810" i="18"/>
  <c r="L809" i="18"/>
  <c r="F809" i="18"/>
  <c r="L808" i="18"/>
  <c r="F808" i="18"/>
  <c r="L807" i="18"/>
  <c r="F807" i="18"/>
  <c r="L806" i="18"/>
  <c r="F806" i="18"/>
  <c r="L805" i="18"/>
  <c r="F805" i="18"/>
  <c r="L804" i="18"/>
  <c r="F804" i="18"/>
  <c r="L803" i="18"/>
  <c r="F803" i="18"/>
  <c r="L802" i="18"/>
  <c r="F802" i="18"/>
  <c r="L801" i="18"/>
  <c r="F801" i="18"/>
  <c r="L800" i="18"/>
  <c r="F800" i="18"/>
  <c r="L799" i="18"/>
  <c r="F799" i="18"/>
  <c r="L798" i="18"/>
  <c r="F798" i="18"/>
  <c r="L797" i="18"/>
  <c r="F797" i="18"/>
  <c r="L796" i="18"/>
  <c r="F796" i="18"/>
  <c r="L795" i="18"/>
  <c r="F795" i="18"/>
  <c r="L794" i="18"/>
  <c r="F794" i="18"/>
  <c r="L793" i="18"/>
  <c r="F793" i="18"/>
  <c r="L792" i="18"/>
  <c r="F792" i="18"/>
  <c r="L791" i="18"/>
  <c r="F791" i="18"/>
  <c r="L790" i="18"/>
  <c r="F790" i="18"/>
  <c r="L789" i="18"/>
  <c r="F789" i="18"/>
  <c r="L788" i="18"/>
  <c r="F788" i="18"/>
  <c r="L787" i="18"/>
  <c r="F787" i="18"/>
  <c r="L786" i="18"/>
  <c r="F786" i="18"/>
  <c r="L785" i="18"/>
  <c r="F785" i="18"/>
  <c r="L784" i="18"/>
  <c r="F784" i="18"/>
  <c r="L783" i="18"/>
  <c r="F783" i="18"/>
  <c r="L782" i="18"/>
  <c r="F782" i="18"/>
  <c r="L781" i="18"/>
  <c r="F781" i="18"/>
  <c r="L780" i="18"/>
  <c r="F780" i="18"/>
  <c r="L779" i="18"/>
  <c r="F779" i="18"/>
  <c r="L778" i="18"/>
  <c r="F778" i="18"/>
  <c r="L777" i="18"/>
  <c r="F777" i="18"/>
  <c r="L776" i="18"/>
  <c r="F776" i="18"/>
  <c r="L775" i="18"/>
  <c r="F775" i="18"/>
  <c r="L774" i="18"/>
  <c r="F774" i="18"/>
  <c r="L773" i="18"/>
  <c r="F773" i="18"/>
  <c r="L772" i="18"/>
  <c r="F772" i="18"/>
  <c r="L771" i="18"/>
  <c r="F771" i="18"/>
  <c r="L770" i="18"/>
  <c r="F770" i="18"/>
  <c r="L769" i="18"/>
  <c r="F769" i="18"/>
  <c r="L768" i="18"/>
  <c r="F768" i="18"/>
  <c r="L767" i="18"/>
  <c r="F767" i="18"/>
  <c r="L766" i="18"/>
  <c r="F766" i="18"/>
  <c r="L765" i="18"/>
  <c r="F765" i="18"/>
  <c r="L764" i="18"/>
  <c r="F764" i="18"/>
  <c r="L763" i="18"/>
  <c r="F763" i="18"/>
  <c r="L762" i="18"/>
  <c r="F762" i="18"/>
  <c r="L761" i="18"/>
  <c r="F761" i="18"/>
  <c r="L760" i="18"/>
  <c r="F760" i="18"/>
  <c r="L759" i="18"/>
  <c r="F759" i="18"/>
  <c r="L758" i="18"/>
  <c r="F758" i="18"/>
  <c r="L757" i="18"/>
  <c r="F757" i="18"/>
  <c r="L756" i="18"/>
  <c r="F756" i="18"/>
  <c r="L755" i="18"/>
  <c r="F755" i="18"/>
  <c r="L754" i="18"/>
  <c r="F754" i="18"/>
  <c r="L753" i="18"/>
  <c r="F753" i="18"/>
  <c r="L752" i="18"/>
  <c r="F752" i="18"/>
  <c r="L751" i="18"/>
  <c r="F751" i="18"/>
  <c r="L750" i="18"/>
  <c r="F750" i="18"/>
  <c r="L749" i="18"/>
  <c r="F749" i="18"/>
  <c r="L748" i="18"/>
  <c r="F748" i="18"/>
  <c r="L747" i="18"/>
  <c r="F747" i="18"/>
  <c r="L746" i="18"/>
  <c r="F746" i="18"/>
  <c r="L745" i="18"/>
  <c r="F745" i="18"/>
  <c r="L744" i="18"/>
  <c r="F744" i="18"/>
  <c r="L743" i="18"/>
  <c r="F743" i="18"/>
  <c r="L742" i="18"/>
  <c r="F742" i="18"/>
  <c r="L741" i="18"/>
  <c r="F741" i="18"/>
  <c r="L740" i="18"/>
  <c r="F740" i="18"/>
  <c r="L739" i="18"/>
  <c r="F739" i="18"/>
  <c r="L738" i="18"/>
  <c r="F738" i="18"/>
  <c r="L737" i="18"/>
  <c r="F737" i="18"/>
  <c r="L736" i="18"/>
  <c r="F736" i="18"/>
  <c r="L735" i="18"/>
  <c r="F735" i="18"/>
  <c r="L734" i="18"/>
  <c r="F734" i="18"/>
  <c r="L733" i="18"/>
  <c r="F733" i="18"/>
  <c r="L732" i="18"/>
  <c r="F732" i="18"/>
  <c r="L731" i="18"/>
  <c r="F731" i="18"/>
  <c r="L730" i="18"/>
  <c r="F730" i="18"/>
  <c r="L729" i="18"/>
  <c r="F729" i="18"/>
  <c r="L728" i="18"/>
  <c r="F728" i="18"/>
  <c r="L727" i="18"/>
  <c r="F727" i="18"/>
  <c r="L726" i="18"/>
  <c r="F726" i="18"/>
  <c r="L725" i="18"/>
  <c r="F725" i="18"/>
  <c r="L724" i="18"/>
  <c r="F724" i="18"/>
  <c r="L723" i="18"/>
  <c r="F723" i="18"/>
  <c r="L722" i="18"/>
  <c r="F722" i="18"/>
  <c r="L721" i="18"/>
  <c r="F721" i="18"/>
  <c r="L720" i="18"/>
  <c r="F720" i="18"/>
  <c r="L719" i="18"/>
  <c r="F719" i="18"/>
  <c r="L718" i="18"/>
  <c r="F718" i="18"/>
  <c r="L717" i="18"/>
  <c r="F717" i="18"/>
  <c r="L716" i="18"/>
  <c r="F716" i="18"/>
  <c r="L715" i="18"/>
  <c r="F715" i="18"/>
  <c r="L714" i="18"/>
  <c r="F714" i="18"/>
  <c r="L713" i="18"/>
  <c r="F713" i="18"/>
  <c r="L712" i="18"/>
  <c r="F712" i="18"/>
  <c r="L711" i="18"/>
  <c r="F711" i="18"/>
  <c r="L710" i="18"/>
  <c r="F710" i="18"/>
  <c r="L709" i="18"/>
  <c r="F709" i="18"/>
  <c r="L708" i="18"/>
  <c r="F708" i="18"/>
  <c r="L707" i="18"/>
  <c r="F707" i="18"/>
  <c r="L706" i="18"/>
  <c r="F706" i="18"/>
  <c r="L705" i="18"/>
  <c r="F705" i="18"/>
  <c r="L704" i="18"/>
  <c r="F704" i="18"/>
  <c r="L703" i="18"/>
  <c r="F703" i="18"/>
  <c r="L702" i="18"/>
  <c r="F702" i="18"/>
  <c r="L701" i="18"/>
  <c r="F701" i="18"/>
  <c r="L700" i="18"/>
  <c r="F700" i="18"/>
  <c r="L699" i="18"/>
  <c r="F699" i="18"/>
  <c r="L698" i="18"/>
  <c r="F698" i="18"/>
  <c r="L697" i="18"/>
  <c r="F697" i="18"/>
  <c r="L696" i="18"/>
  <c r="F696" i="18"/>
  <c r="L695" i="18"/>
  <c r="F695" i="18"/>
  <c r="L694" i="18"/>
  <c r="F694" i="18"/>
  <c r="L693" i="18"/>
  <c r="F693" i="18"/>
  <c r="L692" i="18"/>
  <c r="F692" i="18"/>
  <c r="L691" i="18"/>
  <c r="F691" i="18"/>
  <c r="L690" i="18"/>
  <c r="F690" i="18"/>
  <c r="L689" i="18"/>
  <c r="F689" i="18"/>
  <c r="L688" i="18"/>
  <c r="F688" i="18"/>
  <c r="L687" i="18"/>
  <c r="F687" i="18"/>
  <c r="L686" i="18"/>
  <c r="F686" i="18"/>
  <c r="L685" i="18"/>
  <c r="F685" i="18"/>
  <c r="L684" i="18"/>
  <c r="F684" i="18"/>
  <c r="L683" i="18"/>
  <c r="F683" i="18"/>
  <c r="L682" i="18"/>
  <c r="F682" i="18"/>
  <c r="L681" i="18"/>
  <c r="F681" i="18"/>
  <c r="L680" i="18"/>
  <c r="F680" i="18"/>
  <c r="L679" i="18"/>
  <c r="F679" i="18"/>
  <c r="L678" i="18"/>
  <c r="F678" i="18"/>
  <c r="L677" i="18"/>
  <c r="F677" i="18"/>
  <c r="L676" i="18"/>
  <c r="F676" i="18"/>
  <c r="L675" i="18"/>
  <c r="F675" i="18"/>
  <c r="L674" i="18"/>
  <c r="F674" i="18"/>
  <c r="L673" i="18"/>
  <c r="F673" i="18"/>
  <c r="L672" i="18"/>
  <c r="F672" i="18"/>
  <c r="L671" i="18"/>
  <c r="F671" i="18"/>
  <c r="L670" i="18"/>
  <c r="F670" i="18"/>
  <c r="L669" i="18"/>
  <c r="F669" i="18"/>
  <c r="L668" i="18"/>
  <c r="F668" i="18"/>
  <c r="L667" i="18"/>
  <c r="F667" i="18"/>
  <c r="L666" i="18"/>
  <c r="F666" i="18"/>
  <c r="L665" i="18"/>
  <c r="F665" i="18"/>
  <c r="L664" i="18"/>
  <c r="F664" i="18"/>
  <c r="L663" i="18"/>
  <c r="F663" i="18"/>
  <c r="L662" i="18"/>
  <c r="F662" i="18"/>
  <c r="L661" i="18"/>
  <c r="F661" i="18"/>
  <c r="L660" i="18"/>
  <c r="F660" i="18"/>
  <c r="L659" i="18"/>
  <c r="F659" i="18"/>
  <c r="L658" i="18"/>
  <c r="F658" i="18"/>
  <c r="L657" i="18"/>
  <c r="F657" i="18"/>
  <c r="L656" i="18"/>
  <c r="F656" i="18"/>
  <c r="L655" i="18"/>
  <c r="F655" i="18"/>
  <c r="L654" i="18"/>
  <c r="F654" i="18"/>
  <c r="L653" i="18"/>
  <c r="F653" i="18"/>
  <c r="L652" i="18"/>
  <c r="F652" i="18"/>
  <c r="L651" i="18"/>
  <c r="F651" i="18"/>
  <c r="L650" i="18"/>
  <c r="F650" i="18"/>
  <c r="L649" i="18"/>
  <c r="F649" i="18"/>
  <c r="L648" i="18"/>
  <c r="F648" i="18"/>
  <c r="L647" i="18"/>
  <c r="F647" i="18"/>
  <c r="L646" i="18"/>
  <c r="F646" i="18"/>
  <c r="L645" i="18"/>
  <c r="F645" i="18"/>
  <c r="L644" i="18"/>
  <c r="F644" i="18"/>
  <c r="L643" i="18"/>
  <c r="F643" i="18"/>
  <c r="L642" i="18"/>
  <c r="F642" i="18"/>
  <c r="L641" i="18"/>
  <c r="F641" i="18"/>
  <c r="L640" i="18"/>
  <c r="F640" i="18"/>
  <c r="L639" i="18"/>
  <c r="F639" i="18"/>
  <c r="L638" i="18"/>
  <c r="F638" i="18"/>
  <c r="L637" i="18"/>
  <c r="F637" i="18"/>
  <c r="L636" i="18"/>
  <c r="F636" i="18"/>
  <c r="L635" i="18"/>
  <c r="F635" i="18"/>
  <c r="L634" i="18"/>
  <c r="F634" i="18"/>
  <c r="L633" i="18"/>
  <c r="F633" i="18"/>
  <c r="L632" i="18"/>
  <c r="F632" i="18"/>
  <c r="L631" i="18"/>
  <c r="F631" i="18"/>
  <c r="L630" i="18"/>
  <c r="F630" i="18"/>
  <c r="L629" i="18"/>
  <c r="F629" i="18"/>
  <c r="L628" i="18"/>
  <c r="F628" i="18"/>
  <c r="L627" i="18"/>
  <c r="F627" i="18"/>
  <c r="L626" i="18"/>
  <c r="F626" i="18"/>
  <c r="L625" i="18"/>
  <c r="F625" i="18"/>
  <c r="L624" i="18"/>
  <c r="F624" i="18"/>
  <c r="L623" i="18"/>
  <c r="F623" i="18"/>
  <c r="L622" i="18"/>
  <c r="F622" i="18"/>
  <c r="L621" i="18"/>
  <c r="F621" i="18"/>
  <c r="L620" i="18"/>
  <c r="F620" i="18"/>
  <c r="L619" i="18"/>
  <c r="F619" i="18"/>
  <c r="L618" i="18"/>
  <c r="F618" i="18"/>
  <c r="L617" i="18"/>
  <c r="F617" i="18"/>
  <c r="L616" i="18"/>
  <c r="F616" i="18"/>
  <c r="L615" i="18"/>
  <c r="F615" i="18"/>
  <c r="L614" i="18"/>
  <c r="F614" i="18"/>
  <c r="L613" i="18"/>
  <c r="F613" i="18"/>
  <c r="L612" i="18"/>
  <c r="F612" i="18"/>
  <c r="L611" i="18"/>
  <c r="F611" i="18"/>
  <c r="L610" i="18"/>
  <c r="F610" i="18"/>
  <c r="L609" i="18"/>
  <c r="F609" i="18"/>
  <c r="L608" i="18"/>
  <c r="F608" i="18"/>
  <c r="L607" i="18"/>
  <c r="F607" i="18"/>
  <c r="L606" i="18"/>
  <c r="F606" i="18"/>
  <c r="L605" i="18"/>
  <c r="F605" i="18"/>
  <c r="L604" i="18"/>
  <c r="F604" i="18"/>
  <c r="L603" i="18"/>
  <c r="F603" i="18"/>
  <c r="L602" i="18"/>
  <c r="F602" i="18"/>
  <c r="L601" i="18"/>
  <c r="F601" i="18"/>
  <c r="L600" i="18"/>
  <c r="F600" i="18"/>
  <c r="L599" i="18"/>
  <c r="F599" i="18"/>
  <c r="L598" i="18"/>
  <c r="F598" i="18"/>
  <c r="L597" i="18"/>
  <c r="F597" i="18"/>
  <c r="L596" i="18"/>
  <c r="F596" i="18"/>
  <c r="L595" i="18"/>
  <c r="F595" i="18"/>
  <c r="L594" i="18"/>
  <c r="F594" i="18"/>
  <c r="L593" i="18"/>
  <c r="F593" i="18"/>
  <c r="L592" i="18"/>
  <c r="F592" i="18"/>
  <c r="L591" i="18"/>
  <c r="F591" i="18"/>
  <c r="L590" i="18"/>
  <c r="F590" i="18"/>
  <c r="L589" i="18"/>
  <c r="F589" i="18"/>
  <c r="L588" i="18"/>
  <c r="F588" i="18"/>
  <c r="L587" i="18"/>
  <c r="F587" i="18"/>
  <c r="L586" i="18"/>
  <c r="F586" i="18"/>
  <c r="L585" i="18"/>
  <c r="F585" i="18"/>
  <c r="L584" i="18"/>
  <c r="F584" i="18"/>
  <c r="L583" i="18"/>
  <c r="F583" i="18"/>
  <c r="L582" i="18"/>
  <c r="F582" i="18"/>
  <c r="L581" i="18"/>
  <c r="F581" i="18"/>
  <c r="L580" i="18"/>
  <c r="F580" i="18"/>
  <c r="L579" i="18"/>
  <c r="F579" i="18"/>
  <c r="L578" i="18"/>
  <c r="F578" i="18"/>
  <c r="L577" i="18"/>
  <c r="F577" i="18"/>
  <c r="L576" i="18"/>
  <c r="F576" i="18"/>
  <c r="L575" i="18"/>
  <c r="F575" i="18"/>
  <c r="L574" i="18"/>
  <c r="F574" i="18"/>
  <c r="L573" i="18"/>
  <c r="F573" i="18"/>
  <c r="L572" i="18"/>
  <c r="F572" i="18"/>
  <c r="L571" i="18"/>
  <c r="F571" i="18"/>
  <c r="L570" i="18"/>
  <c r="F570" i="18"/>
  <c r="L569" i="18"/>
  <c r="F569" i="18"/>
  <c r="L568" i="18"/>
  <c r="F568" i="18"/>
  <c r="L567" i="18"/>
  <c r="F567" i="18"/>
  <c r="L566" i="18"/>
  <c r="F566" i="18"/>
  <c r="L565" i="18"/>
  <c r="F565" i="18"/>
  <c r="L564" i="18"/>
  <c r="F564" i="18"/>
  <c r="L563" i="18"/>
  <c r="F563" i="18"/>
  <c r="L562" i="18"/>
  <c r="F562" i="18"/>
  <c r="L561" i="18"/>
  <c r="F561" i="18"/>
  <c r="L560" i="18"/>
  <c r="F560" i="18"/>
  <c r="L559" i="18"/>
  <c r="F559" i="18"/>
  <c r="L558" i="18"/>
  <c r="F558" i="18"/>
  <c r="L557" i="18"/>
  <c r="F557" i="18"/>
  <c r="L556" i="18"/>
  <c r="F556" i="18"/>
  <c r="L555" i="18"/>
  <c r="F555" i="18"/>
  <c r="L554" i="18"/>
  <c r="F554" i="18"/>
  <c r="L553" i="18"/>
  <c r="F553" i="18"/>
  <c r="L552" i="18"/>
  <c r="F552" i="18"/>
  <c r="L551" i="18"/>
  <c r="F551" i="18"/>
  <c r="L550" i="18"/>
  <c r="F550" i="18"/>
  <c r="L549" i="18"/>
  <c r="F549" i="18"/>
  <c r="L548" i="18"/>
  <c r="F548" i="18"/>
  <c r="L547" i="18"/>
  <c r="F547" i="18"/>
  <c r="L546" i="18"/>
  <c r="F546" i="18"/>
  <c r="L545" i="18"/>
  <c r="F545" i="18"/>
  <c r="L544" i="18"/>
  <c r="F544" i="18"/>
  <c r="L543" i="18"/>
  <c r="F543" i="18"/>
  <c r="L542" i="18"/>
  <c r="F542" i="18"/>
  <c r="L541" i="18"/>
  <c r="F541" i="18"/>
  <c r="L540" i="18"/>
  <c r="F540" i="18"/>
  <c r="L539" i="18"/>
  <c r="F539" i="18"/>
  <c r="L538" i="18"/>
  <c r="F538" i="18"/>
  <c r="L537" i="18"/>
  <c r="F537" i="18"/>
  <c r="L536" i="18"/>
  <c r="F536" i="18"/>
  <c r="L535" i="18"/>
  <c r="F535" i="18"/>
  <c r="L534" i="18"/>
  <c r="F534" i="18"/>
  <c r="L533" i="18"/>
  <c r="F533" i="18"/>
  <c r="L532" i="18"/>
  <c r="F532" i="18"/>
  <c r="L531" i="18"/>
  <c r="F531" i="18"/>
  <c r="L530" i="18"/>
  <c r="F530" i="18"/>
  <c r="L529" i="18"/>
  <c r="F529" i="18"/>
  <c r="L528" i="18"/>
  <c r="F528" i="18"/>
  <c r="L527" i="18"/>
  <c r="F527" i="18"/>
  <c r="L526" i="18"/>
  <c r="F526" i="18"/>
  <c r="L525" i="18"/>
  <c r="F525" i="18"/>
  <c r="L524" i="18"/>
  <c r="F524" i="18"/>
  <c r="L523" i="18"/>
  <c r="F523" i="18"/>
  <c r="L522" i="18"/>
  <c r="F522" i="18"/>
  <c r="L521" i="18"/>
  <c r="F521" i="18"/>
  <c r="L520" i="18"/>
  <c r="F520" i="18"/>
  <c r="L519" i="18"/>
  <c r="F519" i="18"/>
  <c r="L518" i="18"/>
  <c r="F518" i="18"/>
  <c r="L517" i="18"/>
  <c r="F517" i="18"/>
  <c r="L516" i="18"/>
  <c r="F516" i="18"/>
  <c r="L515" i="18"/>
  <c r="F515" i="18"/>
  <c r="L514" i="18"/>
  <c r="F514" i="18"/>
  <c r="L513" i="18"/>
  <c r="F513" i="18"/>
  <c r="L512" i="18"/>
  <c r="F512" i="18"/>
  <c r="L511" i="18"/>
  <c r="F511" i="18"/>
  <c r="L510" i="18"/>
  <c r="F510" i="18"/>
  <c r="L509" i="18"/>
  <c r="F509" i="18"/>
  <c r="L508" i="18"/>
  <c r="F508" i="18"/>
  <c r="L507" i="18"/>
  <c r="F507" i="18"/>
  <c r="L506" i="18"/>
  <c r="F506" i="18"/>
  <c r="L505" i="18"/>
  <c r="F505" i="18"/>
  <c r="L504" i="18"/>
  <c r="F504" i="18"/>
  <c r="L503" i="18"/>
  <c r="F503" i="18"/>
  <c r="L502" i="18"/>
  <c r="F502" i="18"/>
  <c r="L501" i="18"/>
  <c r="F501" i="18"/>
  <c r="L500" i="18"/>
  <c r="F500" i="18"/>
  <c r="L499" i="18"/>
  <c r="F499" i="18"/>
  <c r="L498" i="18"/>
  <c r="F498" i="18"/>
  <c r="L497" i="18"/>
  <c r="F497" i="18"/>
  <c r="L496" i="18"/>
  <c r="F496" i="18"/>
  <c r="L495" i="18"/>
  <c r="F495" i="18"/>
  <c r="L494" i="18"/>
  <c r="F494" i="18"/>
  <c r="L493" i="18"/>
  <c r="F493" i="18"/>
  <c r="L492" i="18"/>
  <c r="F492" i="18"/>
  <c r="L491" i="18"/>
  <c r="F491" i="18"/>
  <c r="L490" i="18"/>
  <c r="F490" i="18"/>
  <c r="L489" i="18"/>
  <c r="F489" i="18"/>
  <c r="L488" i="18"/>
  <c r="F488" i="18"/>
  <c r="L487" i="18"/>
  <c r="F487" i="18"/>
  <c r="L486" i="18"/>
  <c r="F486" i="18"/>
  <c r="L485" i="18"/>
  <c r="F485" i="18"/>
  <c r="L484" i="18"/>
  <c r="F484" i="18"/>
  <c r="L483" i="18"/>
  <c r="F483" i="18"/>
  <c r="L482" i="18"/>
  <c r="F482" i="18"/>
  <c r="L481" i="18"/>
  <c r="F481" i="18"/>
  <c r="L480" i="18"/>
  <c r="F480" i="18"/>
  <c r="L479" i="18"/>
  <c r="F479" i="18"/>
  <c r="L478" i="18"/>
  <c r="F478" i="18"/>
  <c r="L477" i="18"/>
  <c r="F477" i="18"/>
  <c r="L476" i="18"/>
  <c r="F476" i="18"/>
  <c r="L475" i="18"/>
  <c r="F475" i="18"/>
  <c r="L474" i="18"/>
  <c r="F474" i="18"/>
  <c r="L473" i="18"/>
  <c r="F473" i="18"/>
  <c r="L472" i="18"/>
  <c r="F472" i="18"/>
  <c r="L471" i="18"/>
  <c r="F471" i="18"/>
  <c r="L470" i="18"/>
  <c r="F470" i="18"/>
  <c r="L469" i="18"/>
  <c r="F469" i="18"/>
  <c r="L468" i="18"/>
  <c r="F468" i="18"/>
  <c r="L467" i="18"/>
  <c r="F467" i="18"/>
  <c r="L466" i="18"/>
  <c r="F466" i="18"/>
  <c r="L465" i="18"/>
  <c r="F465" i="18"/>
  <c r="L464" i="18"/>
  <c r="F464" i="18"/>
  <c r="L463" i="18"/>
  <c r="F463" i="18"/>
  <c r="L462" i="18"/>
  <c r="F462" i="18"/>
  <c r="L461" i="18"/>
  <c r="F461" i="18"/>
  <c r="L460" i="18"/>
  <c r="F460" i="18"/>
  <c r="L459" i="18"/>
  <c r="F459" i="18"/>
  <c r="L458" i="18"/>
  <c r="F458" i="18"/>
  <c r="L457" i="18"/>
  <c r="F457" i="18"/>
  <c r="L456" i="18"/>
  <c r="F456" i="18"/>
  <c r="L455" i="18"/>
  <c r="F455" i="18"/>
  <c r="L454" i="18"/>
  <c r="F454" i="18"/>
  <c r="L453" i="18"/>
  <c r="F453" i="18"/>
  <c r="L452" i="18"/>
  <c r="F452" i="18"/>
  <c r="L451" i="18"/>
  <c r="F451" i="18"/>
  <c r="L450" i="18"/>
  <c r="F450" i="18"/>
  <c r="L449" i="18"/>
  <c r="F449" i="18"/>
  <c r="L448" i="18"/>
  <c r="F448" i="18"/>
  <c r="L447" i="18"/>
  <c r="F447" i="18"/>
  <c r="L446" i="18"/>
  <c r="F446" i="18"/>
  <c r="L445" i="18"/>
  <c r="F445" i="18"/>
  <c r="L444" i="18"/>
  <c r="F444" i="18"/>
  <c r="L443" i="18"/>
  <c r="F443" i="18"/>
  <c r="L442" i="18"/>
  <c r="F442" i="18"/>
  <c r="L441" i="18"/>
  <c r="F441" i="18"/>
  <c r="L440" i="18"/>
  <c r="F440" i="18"/>
  <c r="L439" i="18"/>
  <c r="F439" i="18"/>
  <c r="L438" i="18"/>
  <c r="F438" i="18"/>
  <c r="L437" i="18"/>
  <c r="F437" i="18"/>
  <c r="L436" i="18"/>
  <c r="F436" i="18"/>
  <c r="L435" i="18"/>
  <c r="F435" i="18"/>
  <c r="L434" i="18"/>
  <c r="F434" i="18"/>
  <c r="L433" i="18"/>
  <c r="F433" i="18"/>
  <c r="L432" i="18"/>
  <c r="F432" i="18"/>
  <c r="L431" i="18"/>
  <c r="F431" i="18"/>
  <c r="L430" i="18"/>
  <c r="F430" i="18"/>
  <c r="L429" i="18"/>
  <c r="F429" i="18"/>
  <c r="L428" i="18"/>
  <c r="F428" i="18"/>
  <c r="L427" i="18"/>
  <c r="F427" i="18"/>
  <c r="L426" i="18"/>
  <c r="F426" i="18"/>
  <c r="L425" i="18"/>
  <c r="F425" i="18"/>
  <c r="L424" i="18"/>
  <c r="F424" i="18"/>
  <c r="L423" i="18"/>
  <c r="F423" i="18"/>
  <c r="L422" i="18"/>
  <c r="F422" i="18"/>
  <c r="L421" i="18"/>
  <c r="F421" i="18"/>
  <c r="L420" i="18"/>
  <c r="F420" i="18"/>
  <c r="L419" i="18"/>
  <c r="F419" i="18"/>
  <c r="L418" i="18"/>
  <c r="F418" i="18"/>
  <c r="L417" i="18"/>
  <c r="F417" i="18"/>
  <c r="L416" i="18"/>
  <c r="F416" i="18"/>
  <c r="L415" i="18"/>
  <c r="F415" i="18"/>
  <c r="L414" i="18"/>
  <c r="F414" i="18"/>
  <c r="L413" i="18"/>
  <c r="F413" i="18"/>
  <c r="L412" i="18"/>
  <c r="F412" i="18"/>
  <c r="L411" i="18"/>
  <c r="F411" i="18"/>
  <c r="L410" i="18"/>
  <c r="F410" i="18"/>
  <c r="L409" i="18"/>
  <c r="F409" i="18"/>
  <c r="L408" i="18"/>
  <c r="F408" i="18"/>
  <c r="L407" i="18"/>
  <c r="F407" i="18"/>
  <c r="L406" i="18"/>
  <c r="F406" i="18"/>
  <c r="L405" i="18"/>
  <c r="F405" i="18"/>
  <c r="L404" i="18"/>
  <c r="F404" i="18"/>
  <c r="L403" i="18"/>
  <c r="F403" i="18"/>
  <c r="L402" i="18"/>
  <c r="F402" i="18"/>
  <c r="L401" i="18"/>
  <c r="F401" i="18"/>
  <c r="L400" i="18"/>
  <c r="F400" i="18"/>
  <c r="L399" i="18"/>
  <c r="F399" i="18"/>
  <c r="L398" i="18"/>
  <c r="F398" i="18"/>
  <c r="L397" i="18"/>
  <c r="F397" i="18"/>
  <c r="L396" i="18"/>
  <c r="F396" i="18"/>
  <c r="L395" i="18"/>
  <c r="F395" i="18"/>
  <c r="L394" i="18"/>
  <c r="F394" i="18"/>
  <c r="L393" i="18"/>
  <c r="F393" i="18"/>
  <c r="L392" i="18"/>
  <c r="F392" i="18"/>
  <c r="L391" i="18"/>
  <c r="F391" i="18"/>
  <c r="L390" i="18"/>
  <c r="F390" i="18"/>
  <c r="L389" i="18"/>
  <c r="F389" i="18"/>
  <c r="L388" i="18"/>
  <c r="F388" i="18"/>
  <c r="L387" i="18"/>
  <c r="F387" i="18"/>
  <c r="L386" i="18"/>
  <c r="F386" i="18"/>
  <c r="L385" i="18"/>
  <c r="F385" i="18"/>
  <c r="L384" i="18"/>
  <c r="F384" i="18"/>
  <c r="L383" i="18"/>
  <c r="F383" i="18"/>
  <c r="L382" i="18"/>
  <c r="F382" i="18"/>
  <c r="L381" i="18"/>
  <c r="F381" i="18"/>
  <c r="L380" i="18"/>
  <c r="F380" i="18"/>
  <c r="L379" i="18"/>
  <c r="F379" i="18"/>
  <c r="L378" i="18"/>
  <c r="F378" i="18"/>
  <c r="L377" i="18"/>
  <c r="F377" i="18"/>
  <c r="L376" i="18"/>
  <c r="F376" i="18"/>
  <c r="L375" i="18"/>
  <c r="F375" i="18"/>
  <c r="L374" i="18"/>
  <c r="F374" i="18"/>
  <c r="L373" i="18"/>
  <c r="F373" i="18"/>
  <c r="L372" i="18"/>
  <c r="F372" i="18"/>
  <c r="L371" i="18"/>
  <c r="F371" i="18"/>
  <c r="L370" i="18"/>
  <c r="F370" i="18"/>
  <c r="L369" i="18"/>
  <c r="F369" i="18"/>
  <c r="L368" i="18"/>
  <c r="F368" i="18"/>
  <c r="L367" i="18"/>
  <c r="F367" i="18"/>
  <c r="L366" i="18"/>
  <c r="F366" i="18"/>
  <c r="L365" i="18"/>
  <c r="F365" i="18"/>
  <c r="L364" i="18"/>
  <c r="F364" i="18"/>
  <c r="L363" i="18"/>
  <c r="F363" i="18"/>
  <c r="L362" i="18"/>
  <c r="F362" i="18"/>
  <c r="L361" i="18"/>
  <c r="F361" i="18"/>
  <c r="L360" i="18"/>
  <c r="F360" i="18"/>
  <c r="L359" i="18"/>
  <c r="F359" i="18"/>
  <c r="L358" i="18"/>
  <c r="F358" i="18"/>
  <c r="L357" i="18"/>
  <c r="F357" i="18"/>
  <c r="L356" i="18"/>
  <c r="F356" i="18"/>
  <c r="L355" i="18"/>
  <c r="F355" i="18"/>
  <c r="L354" i="18"/>
  <c r="F354" i="18"/>
  <c r="L353" i="18"/>
  <c r="F353" i="18"/>
  <c r="L352" i="18"/>
  <c r="F352" i="18"/>
  <c r="L351" i="18"/>
  <c r="F351" i="18"/>
  <c r="L350" i="18"/>
  <c r="F350" i="18"/>
  <c r="L349" i="18"/>
  <c r="F349" i="18"/>
  <c r="L348" i="18"/>
  <c r="F348" i="18"/>
  <c r="L347" i="18"/>
  <c r="F347" i="18"/>
  <c r="L346" i="18"/>
  <c r="F346" i="18"/>
  <c r="L345" i="18"/>
  <c r="F345" i="18"/>
  <c r="L344" i="18"/>
  <c r="F344" i="18"/>
  <c r="L343" i="18"/>
  <c r="F343" i="18"/>
  <c r="L342" i="18"/>
  <c r="F342" i="18"/>
  <c r="L341" i="18"/>
  <c r="F341" i="18"/>
  <c r="L340" i="18"/>
  <c r="F340" i="18"/>
  <c r="L339" i="18"/>
  <c r="F339" i="18"/>
  <c r="L338" i="18"/>
  <c r="F338" i="18"/>
  <c r="L337" i="18"/>
  <c r="F337" i="18"/>
  <c r="L336" i="18"/>
  <c r="F336" i="18"/>
  <c r="L335" i="18"/>
  <c r="F335" i="18"/>
  <c r="L334" i="18"/>
  <c r="F334" i="18"/>
  <c r="L333" i="18"/>
  <c r="F333" i="18"/>
  <c r="L332" i="18"/>
  <c r="F332" i="18"/>
  <c r="L331" i="18"/>
  <c r="F331" i="18"/>
  <c r="L330" i="18"/>
  <c r="F330" i="18"/>
  <c r="L329" i="18"/>
  <c r="F329" i="18"/>
  <c r="L328" i="18"/>
  <c r="F328" i="18"/>
  <c r="L327" i="18"/>
  <c r="F327" i="18"/>
  <c r="L326" i="18"/>
  <c r="F326" i="18"/>
  <c r="L325" i="18"/>
  <c r="F325" i="18"/>
  <c r="L324" i="18"/>
  <c r="F324" i="18"/>
  <c r="L323" i="18"/>
  <c r="F323" i="18"/>
  <c r="L322" i="18"/>
  <c r="F322" i="18"/>
  <c r="L321" i="18"/>
  <c r="F321" i="18"/>
  <c r="L320" i="18"/>
  <c r="F320" i="18"/>
  <c r="L319" i="18"/>
  <c r="F319" i="18"/>
  <c r="L318" i="18"/>
  <c r="F318" i="18"/>
  <c r="L317" i="18"/>
  <c r="F317" i="18"/>
  <c r="L316" i="18"/>
  <c r="F316" i="18"/>
  <c r="L315" i="18"/>
  <c r="F315" i="18"/>
  <c r="L314" i="18"/>
  <c r="F314" i="18"/>
  <c r="L313" i="18"/>
  <c r="F313" i="18"/>
  <c r="L312" i="18"/>
  <c r="F312" i="18"/>
  <c r="L311" i="18"/>
  <c r="F311" i="18"/>
  <c r="L310" i="18"/>
  <c r="F310" i="18"/>
  <c r="L309" i="18"/>
  <c r="F309" i="18"/>
  <c r="L308" i="18"/>
  <c r="F308" i="18"/>
  <c r="L307" i="18"/>
  <c r="F307" i="18"/>
  <c r="L306" i="18"/>
  <c r="F306" i="18"/>
  <c r="L305" i="18"/>
  <c r="F305" i="18"/>
  <c r="L304" i="18"/>
  <c r="F304" i="18"/>
  <c r="L303" i="18"/>
  <c r="F303" i="18"/>
  <c r="L302" i="18"/>
  <c r="F302" i="18"/>
  <c r="L301" i="18"/>
  <c r="F301" i="18"/>
  <c r="L300" i="18"/>
  <c r="F300" i="18"/>
  <c r="L299" i="18"/>
  <c r="F299" i="18"/>
  <c r="L298" i="18"/>
  <c r="F298" i="18"/>
  <c r="L297" i="18"/>
  <c r="F297" i="18"/>
  <c r="L296" i="18"/>
  <c r="F296" i="18"/>
  <c r="L295" i="18"/>
  <c r="F295" i="18"/>
  <c r="L294" i="18"/>
  <c r="F294" i="18"/>
  <c r="L293" i="18"/>
  <c r="F293" i="18"/>
  <c r="L292" i="18"/>
  <c r="F292" i="18"/>
  <c r="L291" i="18"/>
  <c r="F291" i="18"/>
  <c r="L290" i="18"/>
  <c r="F290" i="18"/>
  <c r="L289" i="18"/>
  <c r="F289" i="18"/>
  <c r="L288" i="18"/>
  <c r="F288" i="18"/>
  <c r="L287" i="18"/>
  <c r="F287" i="18"/>
  <c r="L286" i="18"/>
  <c r="F286" i="18"/>
  <c r="L285" i="18"/>
  <c r="F285" i="18"/>
  <c r="L284" i="18"/>
  <c r="F284" i="18"/>
  <c r="L283" i="18"/>
  <c r="F283" i="18"/>
  <c r="L282" i="18"/>
  <c r="F282" i="18"/>
  <c r="L281" i="18"/>
  <c r="F281" i="18"/>
  <c r="L280" i="18"/>
  <c r="F280" i="18"/>
  <c r="L279" i="18"/>
  <c r="F279" i="18"/>
  <c r="L278" i="18"/>
  <c r="F278" i="18"/>
  <c r="L277" i="18"/>
  <c r="F277" i="18"/>
  <c r="L276" i="18"/>
  <c r="F276" i="18"/>
  <c r="L275" i="18"/>
  <c r="F275" i="18"/>
  <c r="L274" i="18"/>
  <c r="F274" i="18"/>
  <c r="L273" i="18"/>
  <c r="F273" i="18"/>
  <c r="L272" i="18"/>
  <c r="F272" i="18"/>
  <c r="L271" i="18"/>
  <c r="F271" i="18"/>
  <c r="L270" i="18"/>
  <c r="F270" i="18"/>
  <c r="L269" i="18"/>
  <c r="F269" i="18"/>
  <c r="L268" i="18"/>
  <c r="F268" i="18"/>
  <c r="L267" i="18"/>
  <c r="F267" i="18"/>
  <c r="L266" i="18"/>
  <c r="F266" i="18"/>
  <c r="L265" i="18"/>
  <c r="F265" i="18"/>
  <c r="L264" i="18"/>
  <c r="F264" i="18"/>
  <c r="L263" i="18"/>
  <c r="F263" i="18"/>
  <c r="L262" i="18"/>
  <c r="F262" i="18"/>
  <c r="L261" i="18"/>
  <c r="F261" i="18"/>
  <c r="L260" i="18"/>
  <c r="F260" i="18"/>
  <c r="L259" i="18"/>
  <c r="F259" i="18"/>
  <c r="L258" i="18"/>
  <c r="F258" i="18"/>
  <c r="L257" i="18"/>
  <c r="F257" i="18"/>
  <c r="L256" i="18"/>
  <c r="F256" i="18"/>
  <c r="L255" i="18"/>
  <c r="F255" i="18"/>
  <c r="L254" i="18"/>
  <c r="F254" i="18"/>
  <c r="L253" i="18"/>
  <c r="F253" i="18"/>
  <c r="L252" i="18"/>
  <c r="F252" i="18"/>
  <c r="L251" i="18"/>
  <c r="F251" i="18"/>
  <c r="L250" i="18"/>
  <c r="F250" i="18"/>
  <c r="L249" i="18"/>
  <c r="F249" i="18"/>
  <c r="L248" i="18"/>
  <c r="F248" i="18"/>
  <c r="L247" i="18"/>
  <c r="F247" i="18"/>
  <c r="L246" i="18"/>
  <c r="F246" i="18"/>
  <c r="L245" i="18"/>
  <c r="F245" i="18"/>
  <c r="L244" i="18"/>
  <c r="F244" i="18"/>
  <c r="L243" i="18"/>
  <c r="F243" i="18"/>
  <c r="L242" i="18"/>
  <c r="F242" i="18"/>
  <c r="L241" i="18"/>
  <c r="F241" i="18"/>
  <c r="L240" i="18"/>
  <c r="F240" i="18"/>
  <c r="L239" i="18"/>
  <c r="F239" i="18"/>
  <c r="L238" i="18"/>
  <c r="F238" i="18"/>
  <c r="L237" i="18"/>
  <c r="F237" i="18"/>
  <c r="L236" i="18"/>
  <c r="F236" i="18"/>
  <c r="L235" i="18"/>
  <c r="F235" i="18"/>
  <c r="L234" i="18"/>
  <c r="F234" i="18"/>
  <c r="L233" i="18"/>
  <c r="F233" i="18"/>
  <c r="L232" i="18"/>
  <c r="F232" i="18"/>
  <c r="L231" i="18"/>
  <c r="F231" i="18"/>
  <c r="L230" i="18"/>
  <c r="F230" i="18"/>
  <c r="L229" i="18"/>
  <c r="F229" i="18"/>
  <c r="L228" i="18"/>
  <c r="F228" i="18"/>
  <c r="L227" i="18"/>
  <c r="F227" i="18"/>
  <c r="L226" i="18"/>
  <c r="F226" i="18"/>
  <c r="L225" i="18"/>
  <c r="F225" i="18"/>
  <c r="L224" i="18"/>
  <c r="F224" i="18"/>
  <c r="L223" i="18"/>
  <c r="F223" i="18"/>
  <c r="L222" i="18"/>
  <c r="F222" i="18"/>
  <c r="L221" i="18"/>
  <c r="F221" i="18"/>
  <c r="L220" i="18"/>
  <c r="F220" i="18"/>
  <c r="L219" i="18"/>
  <c r="F219" i="18"/>
  <c r="L218" i="18"/>
  <c r="F218" i="18"/>
  <c r="L217" i="18"/>
  <c r="F217" i="18"/>
  <c r="L216" i="18"/>
  <c r="F216" i="18"/>
  <c r="L215" i="18"/>
  <c r="F215" i="18"/>
  <c r="L214" i="18"/>
  <c r="F214" i="18"/>
  <c r="L213" i="18"/>
  <c r="F213" i="18"/>
  <c r="L212" i="18"/>
  <c r="F212" i="18"/>
  <c r="L211" i="18"/>
  <c r="F211" i="18"/>
  <c r="L210" i="18"/>
  <c r="F210" i="18"/>
  <c r="L209" i="18"/>
  <c r="F209" i="18"/>
  <c r="L208" i="18"/>
  <c r="F208" i="18"/>
  <c r="L207" i="18"/>
  <c r="F207" i="18"/>
  <c r="L206" i="18"/>
  <c r="F206" i="18"/>
  <c r="L205" i="18"/>
  <c r="F205" i="18"/>
  <c r="L204" i="18"/>
  <c r="F204" i="18"/>
  <c r="L203" i="18"/>
  <c r="F203" i="18"/>
  <c r="L202" i="18"/>
  <c r="F202" i="18"/>
  <c r="L201" i="18"/>
  <c r="F201" i="18"/>
  <c r="L200" i="18"/>
  <c r="F200" i="18"/>
  <c r="L199" i="18"/>
  <c r="F199" i="18"/>
  <c r="L198" i="18"/>
  <c r="F198" i="18"/>
  <c r="L197" i="18"/>
  <c r="F197" i="18"/>
  <c r="L196" i="18"/>
  <c r="F196" i="18"/>
  <c r="L195" i="18"/>
  <c r="F195" i="18"/>
  <c r="L194" i="18"/>
  <c r="F194" i="18"/>
  <c r="L193" i="18"/>
  <c r="F193" i="18"/>
  <c r="L192" i="18"/>
  <c r="F192" i="18"/>
  <c r="L191" i="18"/>
  <c r="F191" i="18"/>
  <c r="L190" i="18"/>
  <c r="F190" i="18"/>
  <c r="L189" i="18"/>
  <c r="F189" i="18"/>
  <c r="L188" i="18"/>
  <c r="F188" i="18"/>
  <c r="L187" i="18"/>
  <c r="F187" i="18"/>
  <c r="L186" i="18"/>
  <c r="F186" i="18"/>
  <c r="L185" i="18"/>
  <c r="F185" i="18"/>
  <c r="L184" i="18"/>
  <c r="F184" i="18"/>
  <c r="L183" i="18"/>
  <c r="F183" i="18"/>
  <c r="L182" i="18"/>
  <c r="F182" i="18"/>
  <c r="L181" i="18"/>
  <c r="F181" i="18"/>
  <c r="L180" i="18"/>
  <c r="F180" i="18"/>
  <c r="L179" i="18"/>
  <c r="F179" i="18"/>
  <c r="L178" i="18"/>
  <c r="F178" i="18"/>
  <c r="L177" i="18"/>
  <c r="F177" i="18"/>
  <c r="L176" i="18"/>
  <c r="F176" i="18"/>
  <c r="L175" i="18"/>
  <c r="F175" i="18"/>
  <c r="L174" i="18"/>
  <c r="F174" i="18"/>
  <c r="L173" i="18"/>
  <c r="F173" i="18"/>
  <c r="L172" i="18"/>
  <c r="F172" i="18"/>
  <c r="L171" i="18"/>
  <c r="F171" i="18"/>
  <c r="L170" i="18"/>
  <c r="F170" i="18"/>
  <c r="L169" i="18"/>
  <c r="F169" i="18"/>
  <c r="L168" i="18"/>
  <c r="F168" i="18"/>
  <c r="L167" i="18"/>
  <c r="F167" i="18"/>
  <c r="L166" i="18"/>
  <c r="F166" i="18"/>
  <c r="L165" i="18"/>
  <c r="F165" i="18"/>
  <c r="L164" i="18"/>
  <c r="F164" i="18"/>
  <c r="L163" i="18"/>
  <c r="F163" i="18"/>
  <c r="L162" i="18"/>
  <c r="F162" i="18"/>
  <c r="L161" i="18"/>
  <c r="F161" i="18"/>
  <c r="L160" i="18"/>
  <c r="F160" i="18"/>
  <c r="L159" i="18"/>
  <c r="F159" i="18"/>
  <c r="L158" i="18"/>
  <c r="F158" i="18"/>
  <c r="L157" i="18"/>
  <c r="F157" i="18"/>
  <c r="L156" i="18"/>
  <c r="F156" i="18"/>
  <c r="L155" i="18"/>
  <c r="F155" i="18"/>
  <c r="L154" i="18"/>
  <c r="F154" i="18"/>
  <c r="L153" i="18"/>
  <c r="F153" i="18"/>
  <c r="L152" i="18"/>
  <c r="F152" i="18"/>
  <c r="L151" i="18"/>
  <c r="F151" i="18"/>
  <c r="L150" i="18"/>
  <c r="F150" i="18"/>
  <c r="L149" i="18"/>
  <c r="F149" i="18"/>
  <c r="L148" i="18"/>
  <c r="F148" i="18"/>
  <c r="L147" i="18"/>
  <c r="F147" i="18"/>
  <c r="L146" i="18"/>
  <c r="F146" i="18"/>
  <c r="L145" i="18"/>
  <c r="F145" i="18"/>
  <c r="L144" i="18"/>
  <c r="F144" i="18"/>
  <c r="L143" i="18"/>
  <c r="F143" i="18"/>
  <c r="L142" i="18"/>
  <c r="F142" i="18"/>
  <c r="L141" i="18"/>
  <c r="F141" i="18"/>
  <c r="L140" i="18"/>
  <c r="F140" i="18"/>
  <c r="L139" i="18"/>
  <c r="F139" i="18"/>
  <c r="L138" i="18"/>
  <c r="F138" i="18"/>
  <c r="L137" i="18"/>
  <c r="F137" i="18"/>
  <c r="L136" i="18"/>
  <c r="F136" i="18"/>
  <c r="L135" i="18"/>
  <c r="F135" i="18"/>
  <c r="L134" i="18"/>
  <c r="F134" i="18"/>
  <c r="L133" i="18"/>
  <c r="F133" i="18"/>
  <c r="L132" i="18"/>
  <c r="F132" i="18"/>
  <c r="L131" i="18"/>
  <c r="F131" i="18"/>
  <c r="L130" i="18"/>
  <c r="F130" i="18"/>
  <c r="L129" i="18"/>
  <c r="F129" i="18"/>
  <c r="L128" i="18"/>
  <c r="F128" i="18"/>
  <c r="L127" i="18"/>
  <c r="F127" i="18"/>
  <c r="L126" i="18"/>
  <c r="F126" i="18"/>
  <c r="L125" i="18"/>
  <c r="F125" i="18"/>
  <c r="L124" i="18"/>
  <c r="F124" i="18"/>
  <c r="L123" i="18"/>
  <c r="F123" i="18"/>
  <c r="L122" i="18"/>
  <c r="F122" i="18"/>
  <c r="L121" i="18"/>
  <c r="F121" i="18"/>
  <c r="L120" i="18"/>
  <c r="F120" i="18"/>
  <c r="L119" i="18"/>
  <c r="F119" i="18"/>
  <c r="L118" i="18"/>
  <c r="F118" i="18"/>
  <c r="L117" i="18"/>
  <c r="F117" i="18"/>
  <c r="L116" i="18"/>
  <c r="F116" i="18"/>
  <c r="L115" i="18"/>
  <c r="F115" i="18"/>
  <c r="L114" i="18"/>
  <c r="F114" i="18"/>
  <c r="L113" i="18"/>
  <c r="F113" i="18"/>
  <c r="L112" i="18"/>
  <c r="F112" i="18"/>
  <c r="L111" i="18"/>
  <c r="F111" i="18"/>
  <c r="L110" i="18"/>
  <c r="F110" i="18"/>
  <c r="L109" i="18"/>
  <c r="F109" i="18"/>
  <c r="L108" i="18"/>
  <c r="F108" i="18"/>
  <c r="L107" i="18"/>
  <c r="F107" i="18"/>
  <c r="L106" i="18"/>
  <c r="F106" i="18"/>
  <c r="L105" i="18"/>
  <c r="F105" i="18"/>
  <c r="L104" i="18"/>
  <c r="F104" i="18"/>
  <c r="L103" i="18"/>
  <c r="F103" i="18"/>
  <c r="L102" i="18"/>
  <c r="F102" i="18"/>
  <c r="L101" i="18"/>
  <c r="F101" i="18"/>
  <c r="L100" i="18"/>
  <c r="F100" i="18"/>
  <c r="L99" i="18"/>
  <c r="F99" i="18"/>
  <c r="L98" i="18"/>
  <c r="F98" i="18"/>
  <c r="L97" i="18"/>
  <c r="F97" i="18"/>
  <c r="L96" i="18"/>
  <c r="F96" i="18"/>
  <c r="L95" i="18"/>
  <c r="F95" i="18"/>
  <c r="L94" i="18"/>
  <c r="F94" i="18"/>
  <c r="L93" i="18"/>
  <c r="F93" i="18"/>
  <c r="L92" i="18"/>
  <c r="F92" i="18"/>
  <c r="L91" i="18"/>
  <c r="F91" i="18"/>
  <c r="L90" i="18"/>
  <c r="F90" i="18"/>
  <c r="L89" i="18"/>
  <c r="F89" i="18"/>
  <c r="L88" i="18"/>
  <c r="F88" i="18"/>
  <c r="L87" i="18"/>
  <c r="F87" i="18"/>
  <c r="L86" i="18"/>
  <c r="F86" i="18"/>
  <c r="L85" i="18"/>
  <c r="F85" i="18"/>
  <c r="L84" i="18"/>
  <c r="F84" i="18"/>
  <c r="L83" i="18"/>
  <c r="F83" i="18"/>
  <c r="L82" i="18"/>
  <c r="F82" i="18"/>
  <c r="L81" i="18"/>
  <c r="F81" i="18"/>
  <c r="L80" i="18"/>
  <c r="F80" i="18"/>
  <c r="L79" i="18"/>
  <c r="F79" i="18"/>
  <c r="L78" i="18"/>
  <c r="F78" i="18"/>
  <c r="L77" i="18"/>
  <c r="F77" i="18"/>
  <c r="L76" i="18"/>
  <c r="F76" i="18"/>
  <c r="L75" i="18"/>
  <c r="F75" i="18"/>
  <c r="L74" i="18"/>
  <c r="F74" i="18"/>
  <c r="L73" i="18"/>
  <c r="F73" i="18"/>
  <c r="L72" i="18"/>
  <c r="F72" i="18"/>
  <c r="L71" i="18"/>
  <c r="F71" i="18"/>
  <c r="L70" i="18"/>
  <c r="F70" i="18"/>
  <c r="L69" i="18"/>
  <c r="F69" i="18"/>
  <c r="L68" i="18"/>
  <c r="F68" i="18"/>
  <c r="L67" i="18"/>
  <c r="F67" i="18"/>
  <c r="L66" i="18"/>
  <c r="F66" i="18"/>
  <c r="L65" i="18"/>
  <c r="F65" i="18"/>
  <c r="L64" i="18"/>
  <c r="F64" i="18"/>
  <c r="L63" i="18"/>
  <c r="F63" i="18"/>
  <c r="L62" i="18"/>
  <c r="F62" i="18"/>
  <c r="L61" i="18"/>
  <c r="F61" i="18"/>
  <c r="L60" i="18"/>
  <c r="F60" i="18"/>
  <c r="L59" i="18"/>
  <c r="F59" i="18"/>
  <c r="L58" i="18"/>
  <c r="F58" i="18"/>
  <c r="L57" i="18"/>
  <c r="F57" i="18"/>
  <c r="L56" i="18"/>
  <c r="F56" i="18"/>
  <c r="L55" i="18"/>
  <c r="F55" i="18"/>
  <c r="L54" i="18"/>
  <c r="F54" i="18"/>
  <c r="L53" i="18"/>
  <c r="F53" i="18"/>
  <c r="L52" i="18"/>
  <c r="F52" i="18"/>
  <c r="L51" i="18"/>
  <c r="F51" i="18"/>
  <c r="L50" i="18"/>
  <c r="F50" i="18"/>
  <c r="L49" i="18"/>
  <c r="F49" i="18"/>
  <c r="L48" i="18"/>
  <c r="F48" i="18"/>
  <c r="L47" i="18"/>
  <c r="F47" i="18"/>
  <c r="L46" i="18"/>
  <c r="F46" i="18"/>
  <c r="L45" i="18"/>
  <c r="F45" i="18"/>
  <c r="L44" i="18"/>
  <c r="F44" i="18"/>
  <c r="L43" i="18"/>
  <c r="F43" i="18"/>
  <c r="L42" i="18"/>
  <c r="F42" i="18"/>
  <c r="L41" i="18"/>
  <c r="F41" i="18"/>
  <c r="L40" i="18"/>
  <c r="F40" i="18"/>
  <c r="L39" i="18"/>
  <c r="F39" i="18"/>
  <c r="L38" i="18"/>
  <c r="F38" i="18"/>
  <c r="L37" i="18"/>
  <c r="F37" i="18"/>
  <c r="L36" i="18"/>
  <c r="F36" i="18"/>
  <c r="L35" i="18"/>
  <c r="F35" i="18"/>
  <c r="L34" i="18"/>
  <c r="F34" i="18"/>
  <c r="L33" i="18"/>
  <c r="F33" i="18"/>
  <c r="L32" i="18"/>
  <c r="F32" i="18"/>
  <c r="L31" i="18"/>
  <c r="F31" i="18"/>
  <c r="L30" i="18"/>
  <c r="F30" i="18"/>
  <c r="L29" i="18"/>
  <c r="F29" i="18"/>
  <c r="L28" i="18"/>
  <c r="F28" i="18"/>
  <c r="L27" i="18"/>
  <c r="F27" i="18"/>
  <c r="L26" i="18"/>
  <c r="F26" i="18"/>
  <c r="L25" i="18"/>
  <c r="F25" i="18"/>
  <c r="L24" i="18"/>
  <c r="F24" i="18"/>
  <c r="L23" i="18"/>
  <c r="F23" i="18"/>
  <c r="L22" i="18"/>
  <c r="F22" i="18"/>
  <c r="L21" i="18"/>
  <c r="F21" i="18"/>
  <c r="L20" i="18"/>
  <c r="F20" i="18"/>
  <c r="L19" i="18"/>
  <c r="F19" i="18"/>
  <c r="L18" i="18"/>
  <c r="F18" i="18"/>
  <c r="L17" i="18"/>
  <c r="F17" i="18"/>
  <c r="L16" i="18"/>
  <c r="F16" i="18"/>
  <c r="L15" i="18"/>
  <c r="F15" i="18"/>
  <c r="L14" i="18"/>
  <c r="F14" i="18"/>
  <c r="L13" i="18"/>
  <c r="F13" i="18"/>
  <c r="L12" i="18"/>
  <c r="F12" i="18"/>
  <c r="L11" i="18"/>
  <c r="F11" i="18"/>
  <c r="L10" i="18"/>
  <c r="F10" i="18"/>
  <c r="L9" i="18"/>
  <c r="F9" i="18"/>
  <c r="L8" i="18"/>
  <c r="F8" i="18"/>
  <c r="L7" i="18"/>
  <c r="F7" i="18"/>
  <c r="L6" i="18"/>
  <c r="F6" i="18"/>
  <c r="L5" i="18"/>
  <c r="F5" i="18"/>
  <c r="L4" i="18"/>
  <c r="F4" i="18"/>
  <c r="L3" i="18"/>
  <c r="F3" i="18"/>
  <c r="L2" i="18"/>
  <c r="F2" i="18"/>
  <c r="G1385" i="17"/>
  <c r="G1384" i="17"/>
  <c r="G1383" i="17"/>
  <c r="G1382" i="17"/>
  <c r="G1381" i="17"/>
  <c r="G1380" i="17"/>
  <c r="G1379" i="17"/>
  <c r="G1378" i="17"/>
  <c r="G1377" i="17"/>
  <c r="G1376" i="17"/>
  <c r="G1375" i="17"/>
  <c r="G1374" i="17"/>
  <c r="G1373" i="17"/>
  <c r="D1373" i="17"/>
  <c r="G1372" i="17"/>
  <c r="D1372" i="17"/>
  <c r="G1371" i="17"/>
  <c r="D1371" i="17"/>
  <c r="G1370" i="17"/>
  <c r="D1370" i="17"/>
  <c r="G1369" i="17"/>
  <c r="D1369" i="17"/>
  <c r="G1368" i="17"/>
  <c r="D1368" i="17"/>
  <c r="G1367" i="17"/>
  <c r="D1367" i="17"/>
  <c r="G1366" i="17"/>
  <c r="D1366" i="17"/>
  <c r="G1365" i="17"/>
  <c r="D1365" i="17"/>
  <c r="G1364" i="17"/>
  <c r="D1364" i="17"/>
  <c r="G1363" i="17"/>
  <c r="D1363" i="17"/>
  <c r="G1362" i="17"/>
  <c r="D1362" i="17"/>
  <c r="G1361" i="17"/>
  <c r="D1361" i="17"/>
  <c r="G1360" i="17"/>
  <c r="D1360" i="17"/>
  <c r="G1359" i="17"/>
  <c r="D1359" i="17"/>
  <c r="G1358" i="17"/>
  <c r="D1358" i="17"/>
  <c r="G1357" i="17"/>
  <c r="D1357" i="17"/>
  <c r="G1356" i="17"/>
  <c r="D1356" i="17"/>
  <c r="G1355" i="17"/>
  <c r="D1355" i="17"/>
  <c r="G1354" i="17"/>
  <c r="D1354" i="17"/>
  <c r="G1353" i="17"/>
  <c r="D1353" i="17"/>
  <c r="G1352" i="17"/>
  <c r="G1350" i="17"/>
  <c r="G1348" i="17"/>
  <c r="G1346" i="17"/>
  <c r="G1344" i="17"/>
  <c r="G1342" i="17"/>
  <c r="G1340" i="17"/>
  <c r="G1337" i="17"/>
  <c r="G1335" i="17"/>
  <c r="G1333" i="17"/>
  <c r="G1331" i="17"/>
  <c r="G1329" i="17"/>
  <c r="G1327" i="17"/>
  <c r="G1326" i="17"/>
  <c r="G1325" i="17"/>
  <c r="G1324" i="17"/>
  <c r="G1323" i="17"/>
  <c r="G1322" i="17"/>
  <c r="G1321" i="17"/>
  <c r="G1320" i="17"/>
  <c r="G1319" i="17"/>
  <c r="G1318" i="17"/>
  <c r="G1317" i="17"/>
  <c r="G1316" i="17"/>
  <c r="G1315" i="17"/>
  <c r="G1314" i="17"/>
  <c r="G1313" i="17"/>
  <c r="G1312" i="17"/>
  <c r="G1311" i="17"/>
  <c r="G1310" i="17"/>
  <c r="G1309" i="17"/>
  <c r="G1308" i="17"/>
  <c r="G1307" i="17"/>
  <c r="G1306" i="17"/>
  <c r="G1305" i="17"/>
  <c r="G1304" i="17"/>
  <c r="G1299" i="17"/>
  <c r="G1298" i="17"/>
  <c r="G1297" i="17"/>
  <c r="D1297" i="17"/>
  <c r="G1296" i="17"/>
  <c r="D1296" i="17"/>
  <c r="G1295" i="17"/>
  <c r="D1295" i="17"/>
  <c r="G1294" i="17"/>
  <c r="D1294" i="17"/>
  <c r="G1293" i="17"/>
  <c r="D1293" i="17"/>
  <c r="G1292" i="17"/>
  <c r="D1292" i="17"/>
  <c r="G1291" i="17"/>
  <c r="D1291" i="17"/>
  <c r="G1290" i="17"/>
  <c r="D1290" i="17"/>
  <c r="G1289" i="17"/>
  <c r="D1289" i="17"/>
  <c r="G1288" i="17"/>
  <c r="D1288" i="17"/>
  <c r="G1287" i="17"/>
  <c r="D1287" i="17"/>
  <c r="G1286" i="17"/>
  <c r="D1286" i="17"/>
  <c r="G1285" i="17"/>
  <c r="D1285" i="17"/>
  <c r="G1284" i="17"/>
  <c r="D1284" i="17"/>
  <c r="G1283" i="17"/>
  <c r="D1283" i="17"/>
  <c r="G1282" i="17"/>
  <c r="D1282" i="17"/>
  <c r="G1281" i="17"/>
  <c r="D1281" i="17"/>
  <c r="G1280" i="17"/>
  <c r="D1280" i="17"/>
  <c r="G1279" i="17"/>
  <c r="D1279" i="17"/>
  <c r="G1278" i="17"/>
  <c r="D1278" i="17"/>
  <c r="G1277" i="17"/>
  <c r="D1277" i="17"/>
  <c r="G1276" i="17"/>
  <c r="D1276" i="17"/>
  <c r="G1275" i="17"/>
  <c r="D1275" i="17"/>
  <c r="G1274" i="17"/>
  <c r="D1274" i="17"/>
  <c r="G1273" i="17"/>
  <c r="D1273" i="17"/>
  <c r="G1272" i="17"/>
  <c r="D1272" i="17"/>
  <c r="G1271" i="17"/>
  <c r="D1271" i="17"/>
  <c r="G1270" i="17"/>
  <c r="D1270" i="17"/>
  <c r="G1269" i="17"/>
  <c r="D1269" i="17"/>
  <c r="G1268" i="17"/>
  <c r="D1268" i="17"/>
  <c r="G1267" i="17"/>
  <c r="D1267" i="17"/>
  <c r="G1266" i="17"/>
  <c r="D1266" i="17"/>
  <c r="G1265" i="17"/>
  <c r="D1265" i="17"/>
  <c r="G1264" i="17"/>
  <c r="D1264" i="17"/>
  <c r="G1263" i="17"/>
  <c r="D1263" i="17"/>
  <c r="G1262" i="17"/>
  <c r="D1262" i="17"/>
  <c r="G1261" i="17"/>
  <c r="D1261" i="17"/>
  <c r="G1260" i="17"/>
  <c r="D1260" i="17"/>
  <c r="G1259" i="17"/>
  <c r="D1259" i="17"/>
  <c r="G1258" i="17"/>
  <c r="D1258" i="17"/>
  <c r="G1257" i="17"/>
  <c r="D1257" i="17"/>
  <c r="G1256" i="17"/>
  <c r="D1256" i="17"/>
  <c r="G1255" i="17"/>
  <c r="D1255" i="17"/>
  <c r="G1254" i="17"/>
  <c r="D1254" i="17"/>
  <c r="G1253" i="17"/>
  <c r="D1253" i="17"/>
  <c r="G1252" i="17"/>
  <c r="D1252" i="17"/>
  <c r="G1251" i="17"/>
  <c r="D1251" i="17"/>
  <c r="G1250" i="17"/>
  <c r="D1250" i="17"/>
  <c r="G1249" i="17"/>
  <c r="D1249" i="17"/>
  <c r="G1248" i="17"/>
  <c r="D1248" i="17"/>
  <c r="G1247" i="17"/>
  <c r="D1247" i="17"/>
  <c r="G1246" i="17"/>
  <c r="D1246" i="17"/>
  <c r="G1245" i="17"/>
  <c r="D1245" i="17"/>
  <c r="G1244" i="17"/>
  <c r="D1244" i="17"/>
  <c r="G1243" i="17"/>
  <c r="D1243" i="17"/>
  <c r="G1242" i="17"/>
  <c r="D1242" i="17"/>
  <c r="G1241" i="17"/>
  <c r="D1241" i="17"/>
  <c r="G1240" i="17"/>
  <c r="D1240" i="17"/>
  <c r="G1239" i="17"/>
  <c r="D1239" i="17"/>
  <c r="G1238" i="17"/>
  <c r="D1238" i="17"/>
  <c r="D1237" i="17"/>
  <c r="D1236" i="17"/>
  <c r="D1235" i="17"/>
  <c r="D1234" i="17"/>
  <c r="D1233" i="17"/>
  <c r="D1232" i="17"/>
  <c r="D1231" i="17"/>
  <c r="D1230" i="17"/>
  <c r="D1229" i="17"/>
  <c r="D1228" i="17"/>
  <c r="D1227" i="17"/>
  <c r="D1226" i="17"/>
  <c r="G1225" i="17"/>
  <c r="D1225" i="17"/>
  <c r="G1224" i="17"/>
  <c r="D1224" i="17"/>
  <c r="G1223" i="17"/>
  <c r="D1223" i="17"/>
  <c r="G1222" i="17"/>
  <c r="D1222" i="17"/>
  <c r="G1221" i="17"/>
  <c r="D1221" i="17"/>
  <c r="G1220" i="17"/>
  <c r="D1220" i="17"/>
  <c r="G1219" i="17"/>
  <c r="D1219" i="17"/>
  <c r="G1218" i="17"/>
  <c r="D1218" i="17"/>
  <c r="G1217" i="17"/>
  <c r="D1217" i="17"/>
  <c r="G1216" i="17"/>
  <c r="D1216" i="17"/>
  <c r="G1215" i="17"/>
  <c r="D1215" i="17"/>
  <c r="G1214" i="17"/>
  <c r="D1214" i="17"/>
  <c r="G1213" i="17"/>
  <c r="D1213" i="17"/>
  <c r="G1212" i="17"/>
  <c r="D1212" i="17"/>
  <c r="G1211" i="17"/>
  <c r="D1211" i="17"/>
  <c r="G1210" i="17"/>
  <c r="D1210" i="17"/>
  <c r="D1209" i="17"/>
  <c r="D1208" i="17"/>
  <c r="D1207" i="17"/>
  <c r="D1206" i="17"/>
  <c r="D1205" i="17"/>
  <c r="D1204" i="17"/>
  <c r="D1203" i="17"/>
  <c r="D1202" i="17"/>
  <c r="D1201" i="17"/>
  <c r="D1200" i="17"/>
  <c r="D1199" i="17"/>
  <c r="D1198" i="17"/>
  <c r="D1197" i="17"/>
  <c r="D1196" i="17"/>
  <c r="D1195" i="17"/>
  <c r="D1194" i="17"/>
  <c r="D1193" i="17"/>
  <c r="D1192" i="17"/>
  <c r="D1191" i="17"/>
  <c r="D1190" i="17"/>
  <c r="D1189" i="17"/>
  <c r="D1188" i="17"/>
  <c r="D1187" i="17"/>
  <c r="D1186" i="17"/>
  <c r="D1185" i="17"/>
  <c r="D1184" i="17"/>
  <c r="D1183" i="17"/>
  <c r="D1182" i="17"/>
  <c r="D1181" i="17"/>
  <c r="D1180" i="17"/>
  <c r="D1179" i="17"/>
  <c r="G1178" i="17"/>
  <c r="D1178" i="17"/>
  <c r="G1177" i="17"/>
  <c r="D1177" i="17"/>
  <c r="G1176" i="17"/>
  <c r="D1176" i="17"/>
  <c r="G1175" i="17"/>
  <c r="D1175" i="17"/>
  <c r="G1174" i="17"/>
  <c r="D1174" i="17"/>
  <c r="G1173" i="17"/>
  <c r="D1173" i="17"/>
  <c r="D1172" i="17"/>
  <c r="D1171" i="17"/>
  <c r="D1170" i="17"/>
  <c r="D1169" i="17"/>
  <c r="D1168" i="17"/>
  <c r="D1167" i="17"/>
  <c r="D1166" i="17"/>
  <c r="D1165" i="17"/>
  <c r="D1164" i="17"/>
  <c r="D1163" i="17"/>
  <c r="D1162" i="17"/>
  <c r="D1161" i="17"/>
  <c r="D1160" i="17"/>
  <c r="D1159" i="17"/>
  <c r="D1158" i="17"/>
  <c r="D1157" i="17"/>
  <c r="D1156" i="17"/>
  <c r="D1155" i="17"/>
  <c r="D1154" i="17"/>
  <c r="D1153" i="17"/>
  <c r="D1152" i="17"/>
  <c r="D1151" i="17"/>
  <c r="D1150" i="17"/>
  <c r="D1149" i="17"/>
  <c r="D1148" i="17"/>
  <c r="D1147" i="17"/>
  <c r="D1146" i="17"/>
  <c r="D1145" i="17"/>
  <c r="D1144" i="17"/>
  <c r="D1143" i="17"/>
  <c r="D1142" i="17"/>
  <c r="D1141" i="17"/>
  <c r="D1140" i="17"/>
  <c r="D1139" i="17"/>
  <c r="D1138" i="17"/>
  <c r="D1137" i="17"/>
  <c r="D1136" i="17"/>
  <c r="D1135" i="17"/>
  <c r="D1134" i="17"/>
  <c r="D1133" i="17"/>
  <c r="D1132" i="17"/>
  <c r="D1131" i="17"/>
  <c r="D1130" i="17"/>
  <c r="D1129" i="17"/>
  <c r="D1128" i="17"/>
  <c r="D1127" i="17"/>
  <c r="D1126" i="17"/>
  <c r="D1125" i="17"/>
  <c r="D1124" i="17"/>
  <c r="D1123" i="17"/>
  <c r="D1122" i="17"/>
  <c r="D1121" i="17"/>
  <c r="D1120" i="17"/>
  <c r="D1119" i="17"/>
  <c r="D1118" i="17"/>
  <c r="D1117" i="17"/>
  <c r="D1116" i="17"/>
  <c r="D1115" i="17"/>
  <c r="D1114" i="17"/>
  <c r="D1113" i="17"/>
  <c r="D1112" i="17"/>
  <c r="D1111" i="17"/>
  <c r="D1110" i="17"/>
  <c r="D1109" i="17"/>
  <c r="D1108" i="17"/>
  <c r="D1107" i="17"/>
  <c r="D1106" i="17"/>
  <c r="D1105" i="17"/>
  <c r="D1104" i="17"/>
  <c r="D1103" i="17"/>
  <c r="D1102" i="17"/>
  <c r="D1101" i="17"/>
  <c r="D1100" i="17"/>
  <c r="D1099" i="17"/>
  <c r="D1098" i="17"/>
  <c r="D1097" i="17"/>
  <c r="D1096" i="17"/>
  <c r="D1095" i="17"/>
  <c r="D1094" i="17"/>
  <c r="D1093" i="17"/>
  <c r="D1092" i="17"/>
  <c r="D1091" i="17"/>
  <c r="D1090" i="17"/>
  <c r="D1089" i="17"/>
  <c r="D1088" i="17"/>
  <c r="D1087" i="17"/>
  <c r="D1086" i="17"/>
  <c r="D1085" i="17"/>
  <c r="D1084" i="17"/>
  <c r="D1083" i="17"/>
  <c r="D1082" i="17"/>
  <c r="D1081" i="17"/>
  <c r="D1080" i="17"/>
  <c r="D1079" i="17"/>
  <c r="D1078" i="17"/>
  <c r="D1077" i="17"/>
  <c r="D1076" i="17"/>
  <c r="D1075" i="17"/>
  <c r="D1074" i="17"/>
  <c r="D1073" i="17"/>
  <c r="D1072" i="17"/>
  <c r="D1071" i="17"/>
  <c r="D1070" i="17"/>
  <c r="D1069" i="17"/>
  <c r="D1068" i="17"/>
  <c r="D1067" i="17"/>
  <c r="D1066" i="17"/>
  <c r="D1065" i="17"/>
  <c r="D1064" i="17"/>
  <c r="D1063" i="17"/>
  <c r="D1062" i="17"/>
  <c r="D1061" i="17"/>
  <c r="D1060" i="17"/>
  <c r="D1059" i="17"/>
  <c r="D1058" i="17"/>
  <c r="D1057" i="17"/>
  <c r="D1056" i="17"/>
  <c r="D1055" i="17"/>
  <c r="D1054" i="17"/>
  <c r="D1053" i="17"/>
  <c r="D1052" i="17"/>
  <c r="D1051" i="17"/>
  <c r="D1050" i="17"/>
  <c r="D1049" i="17"/>
  <c r="G1048" i="17"/>
  <c r="D1048" i="17"/>
  <c r="G1047" i="17"/>
  <c r="D1047" i="17"/>
  <c r="G1046" i="17"/>
  <c r="D1046" i="17"/>
  <c r="G1045" i="17"/>
  <c r="D1045" i="17"/>
  <c r="G1044" i="17"/>
  <c r="D1044" i="17"/>
  <c r="G1043" i="17"/>
  <c r="D1043" i="17"/>
  <c r="G1042" i="17"/>
  <c r="D1042" i="17"/>
  <c r="G1041" i="17"/>
  <c r="D1041" i="17"/>
  <c r="G1040" i="17"/>
  <c r="D1040" i="17"/>
  <c r="G1039" i="17"/>
  <c r="D1039" i="17"/>
  <c r="G1038" i="17"/>
  <c r="D1038" i="17"/>
  <c r="G1037" i="17"/>
  <c r="D1037" i="17"/>
  <c r="D1036" i="17"/>
  <c r="D1035" i="17"/>
  <c r="D1034" i="17"/>
  <c r="D1033" i="17"/>
  <c r="D1032" i="17"/>
  <c r="D1031" i="17"/>
  <c r="D1030" i="17"/>
  <c r="D1029" i="17"/>
  <c r="D1028" i="17"/>
  <c r="D1027" i="17"/>
  <c r="D1026" i="17"/>
  <c r="D1025" i="17"/>
  <c r="D1024" i="17"/>
  <c r="D1023" i="17"/>
  <c r="D1022" i="17"/>
  <c r="D1021" i="17"/>
  <c r="D1020" i="17"/>
  <c r="D1019" i="17"/>
  <c r="D1018" i="17"/>
  <c r="D1017" i="17"/>
  <c r="D1016" i="17"/>
  <c r="D1015" i="17"/>
  <c r="D1014" i="17"/>
  <c r="D1013" i="17"/>
  <c r="D1012" i="17"/>
  <c r="D1011" i="17"/>
  <c r="D1010" i="17"/>
  <c r="D1009" i="17"/>
  <c r="D1008" i="17"/>
  <c r="D1007" i="17"/>
  <c r="D1006" i="17"/>
  <c r="D1005" i="17"/>
  <c r="D1004" i="17"/>
  <c r="D1003" i="17"/>
  <c r="D1002" i="17"/>
  <c r="D1001" i="17"/>
  <c r="D1000" i="17"/>
  <c r="D999" i="17"/>
  <c r="D998" i="17"/>
  <c r="D997" i="17"/>
  <c r="D996" i="17"/>
  <c r="D995" i="17"/>
  <c r="D994" i="17"/>
  <c r="D993" i="17"/>
  <c r="D992" i="17"/>
  <c r="D991" i="17"/>
  <c r="D990" i="17"/>
  <c r="D989" i="17"/>
  <c r="D988" i="17"/>
  <c r="D987" i="17"/>
  <c r="D986" i="17"/>
  <c r="D985" i="17"/>
  <c r="D984" i="17"/>
  <c r="D983" i="17"/>
  <c r="D982" i="17"/>
  <c r="D981" i="17"/>
  <c r="D980" i="17"/>
  <c r="D979" i="17"/>
  <c r="D978" i="17"/>
  <c r="D977" i="17"/>
  <c r="D976" i="17"/>
  <c r="D975" i="17"/>
  <c r="D974" i="17"/>
  <c r="D973" i="17"/>
  <c r="D972" i="17"/>
  <c r="D971" i="17"/>
  <c r="D970" i="17"/>
  <c r="D969" i="17"/>
  <c r="D968" i="17"/>
  <c r="D967" i="17"/>
  <c r="D966" i="17"/>
  <c r="D965" i="17"/>
  <c r="D964" i="17"/>
  <c r="D963" i="17"/>
  <c r="D962" i="17"/>
  <c r="D961" i="17"/>
  <c r="D960" i="17"/>
  <c r="D959" i="17"/>
  <c r="D958" i="17"/>
  <c r="D957" i="17"/>
  <c r="D956" i="17"/>
  <c r="D955" i="17"/>
  <c r="D954" i="17"/>
  <c r="D953" i="17"/>
  <c r="D952" i="17"/>
  <c r="D951" i="17"/>
  <c r="D950" i="17"/>
  <c r="D949" i="17"/>
  <c r="D948" i="17"/>
  <c r="D947" i="17"/>
  <c r="D946" i="17"/>
  <c r="D943" i="17"/>
  <c r="D942" i="17"/>
  <c r="D941" i="17"/>
  <c r="D940" i="17"/>
  <c r="D939" i="17"/>
  <c r="D938" i="17"/>
  <c r="D937" i="17"/>
  <c r="D936" i="17"/>
  <c r="D935" i="17"/>
  <c r="D934" i="17"/>
  <c r="D933" i="17"/>
  <c r="D932" i="17"/>
  <c r="D931" i="17"/>
  <c r="D930" i="17"/>
  <c r="D929" i="17"/>
  <c r="D928" i="17"/>
  <c r="D927" i="17"/>
  <c r="D926" i="17"/>
  <c r="D925" i="17"/>
  <c r="D924" i="17"/>
  <c r="D923" i="17"/>
  <c r="D922" i="17"/>
  <c r="D921" i="17"/>
  <c r="D920" i="17"/>
  <c r="D919" i="17"/>
  <c r="D918" i="17"/>
  <c r="D917" i="17"/>
  <c r="D916" i="17"/>
  <c r="D915" i="17"/>
  <c r="D914" i="17"/>
  <c r="D913" i="17"/>
  <c r="D912" i="17"/>
  <c r="D911" i="17"/>
  <c r="D910" i="17"/>
  <c r="D909" i="17"/>
  <c r="D908" i="17"/>
  <c r="D907" i="17"/>
  <c r="D906" i="17"/>
  <c r="D905" i="17"/>
  <c r="D904" i="17"/>
  <c r="D903" i="17"/>
  <c r="D902" i="17"/>
  <c r="D901" i="17"/>
  <c r="D900" i="17"/>
  <c r="D899" i="17"/>
  <c r="D898" i="17"/>
  <c r="D897" i="17"/>
  <c r="D896" i="17"/>
  <c r="D895" i="17"/>
  <c r="D894" i="17"/>
  <c r="D893" i="17"/>
  <c r="D892" i="17"/>
  <c r="D891" i="17"/>
  <c r="D890" i="17"/>
  <c r="D889" i="17"/>
  <c r="D888" i="17"/>
  <c r="D887" i="17"/>
  <c r="D886" i="17"/>
  <c r="D885" i="17"/>
  <c r="D884" i="17"/>
  <c r="D883" i="17"/>
  <c r="D882" i="17"/>
  <c r="D881" i="17"/>
  <c r="D880" i="17"/>
  <c r="D879" i="17"/>
  <c r="D878" i="17"/>
  <c r="D877" i="17"/>
  <c r="D876" i="17"/>
  <c r="D875" i="17"/>
  <c r="D874" i="17"/>
  <c r="D873" i="17"/>
  <c r="D872" i="17"/>
  <c r="D871" i="17"/>
  <c r="D870" i="17"/>
  <c r="D869" i="17"/>
  <c r="G868" i="17"/>
  <c r="D868" i="17"/>
  <c r="G867" i="17"/>
  <c r="D867" i="17"/>
  <c r="G866" i="17"/>
  <c r="D866" i="17"/>
  <c r="G865" i="17"/>
  <c r="D865" i="17"/>
  <c r="G864" i="17"/>
  <c r="D864" i="17"/>
  <c r="G863" i="17"/>
  <c r="D863" i="17"/>
  <c r="D860" i="17"/>
  <c r="D859" i="17"/>
  <c r="D858" i="17"/>
  <c r="D857" i="17"/>
  <c r="D856" i="17"/>
  <c r="D855" i="17"/>
  <c r="D854" i="17"/>
  <c r="D853" i="17"/>
  <c r="D852" i="17"/>
  <c r="D851" i="17"/>
  <c r="D850" i="17"/>
  <c r="D849" i="17"/>
  <c r="D848" i="17"/>
  <c r="D847" i="17"/>
  <c r="D846" i="17"/>
  <c r="D845" i="17"/>
  <c r="D844" i="17"/>
  <c r="D843" i="17"/>
  <c r="D842" i="17"/>
  <c r="D841" i="17"/>
  <c r="D840" i="17"/>
  <c r="D839" i="17"/>
  <c r="D838" i="17"/>
  <c r="D837" i="17"/>
  <c r="G836" i="17"/>
  <c r="D836" i="17"/>
  <c r="G835" i="17"/>
  <c r="D835" i="17"/>
  <c r="G834" i="17"/>
  <c r="D834" i="17"/>
  <c r="G833" i="17"/>
  <c r="D833" i="17"/>
  <c r="G832" i="17"/>
  <c r="D832" i="17"/>
  <c r="G831" i="17"/>
  <c r="D831" i="17"/>
  <c r="G830" i="17"/>
  <c r="D830" i="17"/>
  <c r="G829" i="17"/>
  <c r="D829" i="17"/>
  <c r="G828" i="17"/>
  <c r="D828" i="17"/>
  <c r="G827" i="17"/>
  <c r="D827" i="17"/>
  <c r="G826" i="17"/>
  <c r="D826" i="17"/>
  <c r="G825" i="17"/>
  <c r="D825" i="17"/>
  <c r="G824" i="17"/>
  <c r="D824" i="17"/>
  <c r="G823" i="17"/>
  <c r="D823" i="17"/>
  <c r="G822" i="17"/>
  <c r="D822" i="17"/>
  <c r="G821" i="17"/>
  <c r="D821" i="17"/>
  <c r="G820" i="17"/>
  <c r="D820" i="17"/>
  <c r="G819" i="17"/>
  <c r="D819" i="17"/>
  <c r="G818" i="17"/>
  <c r="D818" i="17"/>
  <c r="G817" i="17"/>
  <c r="D817" i="17"/>
  <c r="G816" i="17"/>
  <c r="D816" i="17"/>
  <c r="G815" i="17"/>
  <c r="D815" i="17"/>
  <c r="G814" i="17"/>
  <c r="D814" i="17"/>
  <c r="G813" i="17"/>
  <c r="D813" i="17"/>
  <c r="G812" i="17"/>
  <c r="D812" i="17"/>
  <c r="G811" i="17"/>
  <c r="D811" i="17"/>
  <c r="G810" i="17"/>
  <c r="D810" i="17"/>
  <c r="G809" i="17"/>
  <c r="D809" i="17"/>
  <c r="G808" i="17"/>
  <c r="D808" i="17"/>
  <c r="G807" i="17"/>
  <c r="D807" i="17"/>
  <c r="G806" i="17"/>
  <c r="D806" i="17"/>
  <c r="G805" i="17"/>
  <c r="D805" i="17"/>
  <c r="G804" i="17"/>
  <c r="D804" i="17"/>
  <c r="G803" i="17"/>
  <c r="D803" i="17"/>
  <c r="D802" i="17"/>
  <c r="D801" i="17"/>
  <c r="D800" i="17"/>
  <c r="D799" i="17"/>
  <c r="D798" i="17"/>
  <c r="G797" i="17"/>
  <c r="D797" i="17"/>
  <c r="G796" i="17"/>
  <c r="D796" i="17"/>
  <c r="G795" i="17"/>
  <c r="D795" i="17"/>
  <c r="G794" i="17"/>
  <c r="D794" i="17"/>
  <c r="G793" i="17"/>
  <c r="D793" i="17"/>
  <c r="G792" i="17"/>
  <c r="D792" i="17"/>
  <c r="D791" i="17"/>
  <c r="D790" i="17"/>
  <c r="D789" i="17"/>
  <c r="D788" i="17"/>
  <c r="D787" i="17"/>
  <c r="D786" i="17"/>
  <c r="D785" i="17"/>
  <c r="D784" i="17"/>
  <c r="D783" i="17"/>
  <c r="D782" i="17"/>
  <c r="D781" i="17"/>
  <c r="D780" i="17"/>
  <c r="D779" i="17"/>
  <c r="D778" i="17"/>
  <c r="D777" i="17"/>
  <c r="D776" i="17"/>
  <c r="D775" i="17"/>
  <c r="D774" i="17"/>
  <c r="D773" i="17"/>
  <c r="D772" i="17"/>
  <c r="D771" i="17"/>
  <c r="D770" i="17"/>
  <c r="D769" i="17"/>
  <c r="D768" i="17"/>
  <c r="D767" i="17"/>
  <c r="D766" i="17"/>
  <c r="D765" i="17"/>
  <c r="D764" i="17"/>
  <c r="D763" i="17"/>
  <c r="D762" i="17"/>
  <c r="D761" i="17"/>
  <c r="D760" i="17"/>
  <c r="D759" i="17"/>
  <c r="D758" i="17"/>
  <c r="D757" i="17"/>
  <c r="D756" i="17"/>
  <c r="D755" i="17"/>
  <c r="D754" i="17"/>
  <c r="D753" i="17"/>
  <c r="D752" i="17"/>
  <c r="D751" i="17"/>
  <c r="D750" i="17"/>
  <c r="D749" i="17"/>
  <c r="D748" i="17"/>
  <c r="D747" i="17"/>
  <c r="D746" i="17"/>
  <c r="D745" i="17"/>
  <c r="D744" i="17"/>
  <c r="D743" i="17"/>
  <c r="D742" i="17"/>
  <c r="D741" i="17"/>
  <c r="D740" i="17"/>
  <c r="D739" i="17"/>
  <c r="D738" i="17"/>
  <c r="D737" i="17"/>
  <c r="D736" i="17"/>
  <c r="D735" i="17"/>
  <c r="D734" i="17"/>
  <c r="D733" i="17"/>
  <c r="D732" i="17"/>
  <c r="D731" i="17"/>
  <c r="D730" i="17"/>
  <c r="D729" i="17"/>
  <c r="D728" i="17"/>
  <c r="D727" i="17"/>
  <c r="D726" i="17"/>
  <c r="D725" i="17"/>
  <c r="D724" i="17"/>
  <c r="D723" i="17"/>
  <c r="D722" i="17"/>
  <c r="D721" i="17"/>
  <c r="D720" i="17"/>
  <c r="D719" i="17"/>
  <c r="D718" i="17"/>
  <c r="D717" i="17"/>
  <c r="D716" i="17"/>
  <c r="D715" i="17"/>
  <c r="D714" i="17"/>
  <c r="D713" i="17"/>
  <c r="D712" i="17"/>
  <c r="D711" i="17"/>
  <c r="D710" i="17"/>
  <c r="D709" i="17"/>
  <c r="D708" i="17"/>
  <c r="D707" i="17"/>
  <c r="D706" i="17"/>
  <c r="D705" i="17"/>
  <c r="D704" i="17"/>
  <c r="D703" i="17"/>
  <c r="D702" i="17"/>
  <c r="D701" i="17"/>
  <c r="D700" i="17"/>
  <c r="D699" i="17"/>
  <c r="D698" i="17"/>
  <c r="D697" i="17"/>
  <c r="D696" i="17"/>
  <c r="D695" i="17"/>
  <c r="D694" i="17"/>
  <c r="D693" i="17"/>
  <c r="D692" i="17"/>
  <c r="D691" i="17"/>
  <c r="D690" i="17"/>
  <c r="D689" i="17"/>
  <c r="D688" i="17"/>
  <c r="D687" i="17"/>
  <c r="D686" i="17"/>
  <c r="D685" i="17"/>
  <c r="D684" i="17"/>
  <c r="D683" i="17"/>
  <c r="D682" i="17"/>
  <c r="D669" i="17"/>
  <c r="D668" i="17"/>
  <c r="D667" i="17"/>
  <c r="D666" i="17"/>
  <c r="D665" i="17"/>
  <c r="D664" i="17"/>
  <c r="D663" i="17"/>
  <c r="D662" i="17"/>
  <c r="D661" i="17"/>
  <c r="D660" i="17"/>
  <c r="D659" i="17"/>
  <c r="D658" i="17"/>
  <c r="D657" i="17"/>
  <c r="D656" i="17"/>
  <c r="D655" i="17"/>
  <c r="D654" i="17"/>
  <c r="D653" i="17"/>
  <c r="D652" i="17"/>
  <c r="D651" i="17"/>
  <c r="D650" i="17"/>
  <c r="D649" i="17"/>
  <c r="D648" i="17"/>
  <c r="D647" i="17"/>
  <c r="D646" i="17"/>
  <c r="G645" i="17"/>
  <c r="D645" i="17"/>
  <c r="G644" i="17"/>
  <c r="D644" i="17"/>
  <c r="G643" i="17"/>
  <c r="D643" i="17"/>
  <c r="G642" i="17"/>
  <c r="D642" i="17"/>
  <c r="G641" i="17"/>
  <c r="D641" i="17"/>
  <c r="G640" i="17"/>
  <c r="D640" i="17"/>
  <c r="D639" i="17"/>
  <c r="D638" i="17"/>
  <c r="D637" i="17"/>
  <c r="D636" i="17"/>
  <c r="D635" i="17"/>
  <c r="D634" i="17"/>
  <c r="D633" i="17"/>
  <c r="D632" i="17"/>
  <c r="D631" i="17"/>
  <c r="D630" i="17"/>
  <c r="D629" i="17"/>
  <c r="D628" i="17"/>
  <c r="D627" i="17"/>
  <c r="D626" i="17"/>
  <c r="D625" i="17"/>
  <c r="D624" i="17"/>
  <c r="D623" i="17"/>
  <c r="D622" i="17"/>
  <c r="D621" i="17"/>
  <c r="D620" i="17"/>
  <c r="D619" i="17"/>
  <c r="D618" i="17"/>
  <c r="D617" i="17"/>
  <c r="D616" i="17"/>
  <c r="D615" i="17"/>
  <c r="D614" i="17"/>
  <c r="D613" i="17"/>
  <c r="D612" i="17"/>
  <c r="D611" i="17"/>
  <c r="D610" i="17"/>
  <c r="D609" i="17"/>
  <c r="D608" i="17"/>
  <c r="D607" i="17"/>
  <c r="D606" i="17"/>
  <c r="D605" i="17"/>
  <c r="D604" i="17"/>
  <c r="D603" i="17"/>
  <c r="D602" i="17"/>
  <c r="D601" i="17"/>
  <c r="D600" i="17"/>
  <c r="D599" i="17"/>
  <c r="D598" i="17"/>
  <c r="D597" i="17"/>
  <c r="D596" i="17"/>
  <c r="D595" i="17"/>
  <c r="D594" i="17"/>
  <c r="D593" i="17"/>
  <c r="D592" i="17"/>
  <c r="D591" i="17"/>
  <c r="D590" i="17"/>
  <c r="D589" i="17"/>
  <c r="D588" i="17"/>
  <c r="D587" i="17"/>
  <c r="D586" i="17"/>
  <c r="D585" i="17"/>
  <c r="D584" i="17"/>
  <c r="D583" i="17"/>
  <c r="D582" i="17"/>
  <c r="D581" i="17"/>
  <c r="D580" i="17"/>
  <c r="D579" i="17"/>
  <c r="D578" i="17"/>
  <c r="D577" i="17"/>
  <c r="D576" i="17"/>
  <c r="D575" i="17"/>
  <c r="D574" i="17"/>
  <c r="D573" i="17"/>
  <c r="D572" i="17"/>
  <c r="D571" i="17"/>
  <c r="G570" i="17"/>
  <c r="D570" i="17"/>
  <c r="G569" i="17"/>
  <c r="D569" i="17"/>
  <c r="G568" i="17"/>
  <c r="D568" i="17"/>
  <c r="G567" i="17"/>
  <c r="D567" i="17"/>
  <c r="G566" i="17"/>
  <c r="D566" i="17"/>
  <c r="G565" i="17"/>
  <c r="D565" i="17"/>
  <c r="D564" i="17"/>
  <c r="D563" i="17"/>
  <c r="D562" i="17"/>
  <c r="D561" i="17"/>
  <c r="D560" i="17"/>
  <c r="D559" i="17"/>
  <c r="D558" i="17"/>
  <c r="D557" i="17"/>
  <c r="D556" i="17"/>
  <c r="D555" i="17"/>
  <c r="D554" i="17"/>
  <c r="D553" i="17"/>
  <c r="D552" i="17"/>
  <c r="D551" i="17"/>
  <c r="D550" i="17"/>
  <c r="D549" i="17"/>
  <c r="D548" i="17"/>
  <c r="D547" i="17"/>
  <c r="D546" i="17"/>
  <c r="D545" i="17"/>
  <c r="D544" i="17"/>
  <c r="D543" i="17"/>
  <c r="D542" i="17"/>
  <c r="D541" i="17"/>
  <c r="D540" i="17"/>
  <c r="D539" i="17"/>
  <c r="D538" i="17"/>
  <c r="D537" i="17"/>
  <c r="D536" i="17"/>
  <c r="D535" i="17"/>
  <c r="D534" i="17"/>
  <c r="D533" i="17"/>
  <c r="D532" i="17"/>
  <c r="D531" i="17"/>
  <c r="D530" i="17"/>
  <c r="D529" i="17"/>
  <c r="D528" i="17"/>
  <c r="D527" i="17"/>
  <c r="D526" i="17"/>
  <c r="D525" i="17"/>
  <c r="D524" i="17"/>
  <c r="D523" i="17"/>
  <c r="D522" i="17"/>
  <c r="D521" i="17"/>
  <c r="D520" i="17"/>
  <c r="D519" i="17"/>
  <c r="D518" i="17"/>
  <c r="D517" i="17"/>
  <c r="D516" i="17"/>
  <c r="D515" i="17"/>
  <c r="D514" i="17"/>
  <c r="D513" i="17"/>
  <c r="D512" i="17"/>
  <c r="D511" i="17"/>
  <c r="D510" i="17"/>
  <c r="D509" i="17"/>
  <c r="D508" i="17"/>
  <c r="D507" i="17"/>
  <c r="D506" i="17"/>
  <c r="D505" i="17"/>
  <c r="D504" i="17"/>
  <c r="D503" i="17"/>
  <c r="D502" i="17"/>
  <c r="D501" i="17"/>
  <c r="D500" i="17"/>
  <c r="D499" i="17"/>
  <c r="D498" i="17"/>
  <c r="D497" i="17"/>
  <c r="D496" i="17"/>
  <c r="D495" i="17"/>
  <c r="D494" i="17"/>
  <c r="D493" i="17"/>
  <c r="D492" i="17"/>
  <c r="D491" i="17"/>
  <c r="D490" i="17"/>
  <c r="D489" i="17"/>
  <c r="D488" i="17"/>
  <c r="D487" i="17"/>
  <c r="D486" i="17"/>
  <c r="D485" i="17"/>
  <c r="D484" i="17"/>
  <c r="D483" i="17"/>
  <c r="D482" i="17"/>
  <c r="D481" i="17"/>
  <c r="D480" i="17"/>
  <c r="D479" i="17"/>
  <c r="D478" i="17"/>
  <c r="D477" i="17"/>
  <c r="D476" i="17"/>
  <c r="D475" i="17"/>
  <c r="D474" i="17"/>
  <c r="D473" i="17"/>
  <c r="D472" i="17"/>
  <c r="D471" i="17"/>
  <c r="D470" i="17"/>
  <c r="D469" i="17"/>
  <c r="D468" i="17"/>
  <c r="D467" i="17"/>
  <c r="D466" i="17"/>
  <c r="D465" i="17"/>
  <c r="D464" i="17"/>
  <c r="D463" i="17"/>
  <c r="D462" i="17"/>
  <c r="D461" i="17"/>
  <c r="D460" i="17"/>
  <c r="D459" i="17"/>
  <c r="D458" i="17"/>
  <c r="D457" i="17"/>
  <c r="D456" i="17"/>
  <c r="D455" i="17"/>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P164" i="16"/>
  <c r="L164" i="16"/>
  <c r="K164" i="16"/>
  <c r="H164" i="16"/>
  <c r="P163" i="16"/>
  <c r="L163" i="16"/>
  <c r="K163" i="16"/>
  <c r="H163" i="16"/>
  <c r="R162" i="16"/>
  <c r="P162" i="16"/>
  <c r="L162" i="16"/>
  <c r="K162" i="16"/>
  <c r="H162" i="16"/>
  <c r="R161" i="16"/>
  <c r="P161" i="16"/>
  <c r="L161" i="16"/>
  <c r="K161" i="16"/>
  <c r="H161" i="16"/>
  <c r="R160" i="16"/>
  <c r="P160" i="16"/>
  <c r="L160" i="16"/>
  <c r="K160" i="16"/>
  <c r="H160" i="16"/>
  <c r="P159" i="16"/>
  <c r="L159" i="16"/>
  <c r="P158" i="16"/>
  <c r="L158" i="16"/>
  <c r="K158" i="16"/>
  <c r="P157" i="16"/>
  <c r="L157" i="16"/>
  <c r="K157" i="16"/>
  <c r="P156" i="16"/>
  <c r="L156" i="16"/>
  <c r="K156" i="16"/>
  <c r="P155" i="16"/>
  <c r="L155" i="16"/>
  <c r="K155" i="16"/>
  <c r="P154" i="16"/>
  <c r="L154" i="16"/>
  <c r="K154" i="16"/>
  <c r="H154" i="16"/>
  <c r="P153" i="16"/>
  <c r="L153" i="16"/>
  <c r="K153" i="16"/>
  <c r="P152" i="16"/>
  <c r="L152" i="16"/>
  <c r="K152" i="16"/>
  <c r="P151" i="16"/>
  <c r="K151" i="16"/>
  <c r="H151" i="16"/>
  <c r="L150" i="16"/>
  <c r="K150" i="16"/>
  <c r="H150" i="16"/>
  <c r="P149" i="16"/>
  <c r="L149" i="16"/>
  <c r="K149" i="16"/>
  <c r="H149" i="16"/>
  <c r="L148" i="16"/>
  <c r="H148" i="16"/>
  <c r="R147" i="16"/>
  <c r="P147" i="16"/>
  <c r="L147" i="16"/>
  <c r="K147" i="16"/>
  <c r="H147" i="16"/>
  <c r="R146" i="16"/>
  <c r="P146" i="16"/>
  <c r="L146" i="16"/>
  <c r="K146" i="16"/>
  <c r="H146" i="16"/>
  <c r="R145" i="16"/>
  <c r="P145" i="16"/>
  <c r="L145" i="16"/>
  <c r="K145" i="16"/>
  <c r="H145" i="16"/>
  <c r="R144" i="16"/>
  <c r="P144" i="16"/>
  <c r="L144" i="16"/>
  <c r="K144" i="16"/>
  <c r="H144" i="16"/>
  <c r="R143" i="16"/>
  <c r="P143" i="16"/>
  <c r="L143" i="16"/>
  <c r="K143" i="16"/>
  <c r="H143" i="16"/>
  <c r="R142" i="16"/>
  <c r="P142" i="16"/>
  <c r="L142" i="16"/>
  <c r="K142" i="16"/>
  <c r="H142" i="16"/>
  <c r="R141" i="16"/>
  <c r="P141" i="16"/>
  <c r="L141" i="16"/>
  <c r="K141" i="16"/>
  <c r="H141" i="16"/>
  <c r="R140" i="16"/>
  <c r="P140" i="16"/>
  <c r="L140" i="16"/>
  <c r="K140" i="16"/>
  <c r="H140" i="16"/>
  <c r="R139" i="16"/>
  <c r="P139" i="16"/>
  <c r="L139" i="16"/>
  <c r="K139" i="16"/>
  <c r="H139" i="16"/>
  <c r="R138" i="16"/>
  <c r="P138" i="16"/>
  <c r="L138" i="16"/>
  <c r="K138" i="16"/>
  <c r="H138" i="16"/>
  <c r="R137" i="16"/>
  <c r="P137" i="16"/>
  <c r="L137" i="16"/>
  <c r="K137" i="16"/>
  <c r="H137" i="16"/>
  <c r="R136" i="16"/>
  <c r="P136" i="16"/>
  <c r="L136" i="16"/>
  <c r="K136" i="16"/>
  <c r="H136" i="16"/>
  <c r="R135" i="16"/>
  <c r="P135" i="16"/>
  <c r="L135" i="16"/>
  <c r="K135" i="16"/>
  <c r="H135" i="16"/>
  <c r="R134" i="16"/>
  <c r="P134" i="16"/>
  <c r="L134" i="16"/>
  <c r="K134" i="16"/>
  <c r="H134" i="16"/>
  <c r="R133" i="16"/>
  <c r="P133" i="16"/>
  <c r="L133" i="16"/>
  <c r="K133" i="16"/>
  <c r="H133" i="16"/>
  <c r="R132" i="16"/>
  <c r="P132" i="16"/>
  <c r="L132" i="16"/>
  <c r="K132" i="16"/>
  <c r="H132" i="16"/>
  <c r="R131" i="16"/>
  <c r="P131" i="16"/>
  <c r="L131" i="16"/>
  <c r="K131" i="16"/>
  <c r="H131" i="16"/>
  <c r="R130" i="16"/>
  <c r="P130" i="16"/>
  <c r="L130" i="16"/>
  <c r="K130" i="16"/>
  <c r="H130" i="16"/>
  <c r="R128" i="16"/>
  <c r="P128" i="16"/>
  <c r="L128" i="16"/>
  <c r="K128" i="16"/>
  <c r="H128" i="16"/>
  <c r="R127" i="16"/>
  <c r="P127" i="16"/>
  <c r="L127" i="16"/>
  <c r="K127" i="16"/>
  <c r="H127" i="16"/>
  <c r="R126" i="16"/>
  <c r="P126" i="16"/>
  <c r="L126" i="16"/>
  <c r="K126" i="16"/>
  <c r="H126" i="16"/>
  <c r="R125" i="16"/>
  <c r="P125" i="16"/>
  <c r="L125" i="16"/>
  <c r="K125" i="16"/>
  <c r="H125" i="16"/>
  <c r="R124" i="16"/>
  <c r="P124" i="16"/>
  <c r="L124" i="16"/>
  <c r="K124" i="16"/>
  <c r="H124" i="16"/>
  <c r="P123" i="16"/>
  <c r="L123" i="16"/>
  <c r="K123" i="16"/>
  <c r="H123" i="16"/>
  <c r="P122" i="16"/>
  <c r="L122" i="16"/>
  <c r="K122" i="16"/>
  <c r="H122" i="16"/>
  <c r="P121" i="16"/>
  <c r="L121" i="16"/>
  <c r="K121" i="16"/>
  <c r="H121" i="16"/>
  <c r="P120" i="16"/>
  <c r="L120" i="16"/>
  <c r="K120" i="16"/>
  <c r="H120" i="16"/>
  <c r="P119" i="16"/>
  <c r="L119" i="16"/>
  <c r="K119" i="16"/>
  <c r="H119" i="16"/>
  <c r="P118" i="16"/>
  <c r="L118" i="16"/>
  <c r="K118" i="16"/>
  <c r="H118" i="16"/>
  <c r="R117" i="16"/>
  <c r="P117" i="16"/>
  <c r="L117" i="16"/>
  <c r="K117" i="16"/>
  <c r="H117" i="16"/>
  <c r="R116" i="16"/>
  <c r="P116" i="16"/>
  <c r="L116" i="16"/>
  <c r="K116" i="16"/>
  <c r="H116" i="16"/>
  <c r="R115" i="16"/>
  <c r="P115" i="16"/>
  <c r="L115" i="16"/>
  <c r="K115" i="16"/>
  <c r="H115" i="16"/>
  <c r="R114" i="16"/>
  <c r="P114" i="16"/>
  <c r="L114" i="16"/>
  <c r="K114" i="16"/>
  <c r="H114" i="16"/>
  <c r="R113" i="16"/>
  <c r="P113" i="16"/>
  <c r="L113" i="16"/>
  <c r="K113" i="16"/>
  <c r="H113" i="16"/>
  <c r="R112" i="16"/>
  <c r="P112" i="16"/>
  <c r="L112" i="16"/>
  <c r="K112" i="16"/>
  <c r="H112" i="16"/>
  <c r="R111" i="16"/>
  <c r="P111" i="16"/>
  <c r="L111" i="16"/>
  <c r="K111" i="16"/>
  <c r="H111" i="16"/>
  <c r="R110" i="16"/>
  <c r="P110" i="16"/>
  <c r="L110" i="16"/>
  <c r="K110" i="16"/>
  <c r="H110" i="16"/>
  <c r="R109" i="16"/>
  <c r="P109" i="16"/>
  <c r="L109" i="16"/>
  <c r="K109" i="16"/>
  <c r="H109" i="16"/>
  <c r="R108" i="16"/>
  <c r="P108" i="16"/>
  <c r="L108" i="16"/>
  <c r="K108" i="16"/>
  <c r="H108" i="16"/>
  <c r="R107" i="16"/>
  <c r="P107" i="16"/>
  <c r="L107" i="16"/>
  <c r="K107" i="16"/>
  <c r="H107" i="16"/>
  <c r="P106" i="16"/>
  <c r="L106" i="16"/>
  <c r="K106" i="16"/>
  <c r="H106" i="16"/>
  <c r="R105" i="16"/>
  <c r="P105" i="16"/>
  <c r="L105" i="16"/>
  <c r="K105" i="16"/>
  <c r="H105" i="16"/>
  <c r="R104" i="16"/>
  <c r="P104" i="16"/>
  <c r="L104" i="16"/>
  <c r="K104" i="16"/>
  <c r="H104" i="16"/>
  <c r="R103" i="16"/>
  <c r="P103" i="16"/>
  <c r="L103" i="16"/>
  <c r="K103" i="16"/>
  <c r="H103" i="16"/>
  <c r="R102" i="16"/>
  <c r="P102" i="16"/>
  <c r="L102" i="16"/>
  <c r="K102" i="16"/>
  <c r="H102" i="16"/>
  <c r="R101" i="16"/>
  <c r="P101" i="16"/>
  <c r="L101" i="16"/>
  <c r="K101" i="16"/>
  <c r="H101" i="16"/>
  <c r="R100" i="16"/>
  <c r="P100" i="16"/>
  <c r="L100" i="16"/>
  <c r="K100" i="16"/>
  <c r="H100" i="16"/>
  <c r="R99" i="16"/>
  <c r="P99" i="16"/>
  <c r="L99" i="16"/>
  <c r="K99" i="16"/>
  <c r="H99" i="16"/>
  <c r="R98" i="16"/>
  <c r="P98" i="16"/>
  <c r="L98" i="16"/>
  <c r="K98" i="16"/>
  <c r="H98" i="16"/>
  <c r="R97" i="16"/>
  <c r="P97" i="16"/>
  <c r="L97" i="16"/>
  <c r="K97" i="16"/>
  <c r="H97" i="16"/>
  <c r="R96" i="16"/>
  <c r="P96" i="16"/>
  <c r="L96" i="16"/>
  <c r="K96" i="16"/>
  <c r="H96" i="16"/>
  <c r="R95" i="16"/>
  <c r="P95" i="16"/>
  <c r="L95" i="16"/>
  <c r="K95" i="16"/>
  <c r="H95" i="16"/>
  <c r="R94" i="16"/>
  <c r="P94" i="16"/>
  <c r="L94" i="16"/>
  <c r="K94" i="16"/>
  <c r="H94" i="16"/>
  <c r="R93" i="16"/>
  <c r="P93" i="16"/>
  <c r="L93" i="16"/>
  <c r="K93" i="16"/>
  <c r="H93" i="16"/>
  <c r="P92" i="16"/>
  <c r="L92" i="16"/>
  <c r="K92" i="16"/>
  <c r="H92" i="16"/>
  <c r="P91" i="16"/>
  <c r="L91" i="16"/>
  <c r="K91" i="16"/>
  <c r="H91" i="16"/>
  <c r="R90" i="16"/>
  <c r="P90" i="16"/>
  <c r="L90" i="16"/>
  <c r="K90" i="16"/>
  <c r="H90" i="16"/>
  <c r="R89" i="16"/>
  <c r="P89" i="16"/>
  <c r="L89" i="16"/>
  <c r="K89" i="16"/>
  <c r="H89" i="16"/>
  <c r="R88" i="16"/>
  <c r="P88" i="16"/>
  <c r="L88" i="16"/>
  <c r="K88" i="16"/>
  <c r="H88" i="16"/>
  <c r="R87" i="16"/>
  <c r="P87" i="16"/>
  <c r="L87" i="16"/>
  <c r="K87" i="16"/>
  <c r="H87" i="16"/>
  <c r="R86" i="16"/>
  <c r="P86" i="16"/>
  <c r="L86" i="16"/>
  <c r="K86" i="16"/>
  <c r="H86" i="16"/>
  <c r="R85" i="16"/>
  <c r="P85" i="16"/>
  <c r="L85" i="16"/>
  <c r="K85" i="16"/>
  <c r="H85" i="16"/>
  <c r="R84" i="16"/>
  <c r="P84" i="16"/>
  <c r="L84" i="16"/>
  <c r="K84" i="16"/>
  <c r="H84" i="16"/>
  <c r="R83" i="16"/>
  <c r="P83" i="16"/>
  <c r="L83" i="16"/>
  <c r="K83" i="16"/>
  <c r="H83" i="16"/>
  <c r="R82" i="16"/>
  <c r="P82" i="16"/>
  <c r="L82" i="16"/>
  <c r="K82" i="16"/>
  <c r="H82" i="16"/>
  <c r="P81" i="16"/>
  <c r="L81" i="16"/>
  <c r="K81" i="16"/>
  <c r="H81" i="16"/>
  <c r="R80" i="16"/>
  <c r="P80" i="16"/>
  <c r="L80" i="16"/>
  <c r="K80" i="16"/>
  <c r="H80" i="16"/>
  <c r="R79" i="16"/>
  <c r="P79" i="16"/>
  <c r="L79" i="16"/>
  <c r="K79" i="16"/>
  <c r="H79" i="16"/>
  <c r="R78" i="16"/>
  <c r="P78" i="16"/>
  <c r="L78" i="16"/>
  <c r="K78" i="16"/>
  <c r="H78" i="16"/>
  <c r="R77" i="16"/>
  <c r="P77" i="16"/>
  <c r="L77" i="16"/>
  <c r="K77" i="16"/>
  <c r="H77" i="16"/>
  <c r="P76" i="16"/>
  <c r="L76" i="16"/>
  <c r="K76" i="16"/>
  <c r="H76" i="16"/>
  <c r="R75" i="16"/>
  <c r="P75" i="16"/>
  <c r="L75" i="16"/>
  <c r="K75" i="16"/>
  <c r="H75" i="16"/>
  <c r="R74" i="16"/>
  <c r="P74" i="16"/>
  <c r="L74" i="16"/>
  <c r="K74" i="16"/>
  <c r="H74" i="16"/>
  <c r="R73" i="16"/>
  <c r="P73" i="16"/>
  <c r="L73" i="16"/>
  <c r="K73" i="16"/>
  <c r="H73" i="16"/>
  <c r="R72" i="16"/>
  <c r="P72" i="16"/>
  <c r="L72" i="16"/>
  <c r="K72" i="16"/>
  <c r="H72" i="16"/>
  <c r="R71" i="16"/>
  <c r="P71" i="16"/>
  <c r="L71" i="16"/>
  <c r="K71" i="16"/>
  <c r="H71" i="16"/>
  <c r="R70" i="16"/>
  <c r="P70" i="16"/>
  <c r="L70" i="16"/>
  <c r="K70" i="16"/>
  <c r="H70" i="16"/>
  <c r="P69" i="16"/>
  <c r="L69" i="16"/>
  <c r="K69" i="16"/>
  <c r="H69" i="16"/>
  <c r="R68" i="16"/>
  <c r="P68" i="16"/>
  <c r="L68" i="16"/>
  <c r="K68" i="16"/>
  <c r="H68" i="16"/>
  <c r="R67" i="16"/>
  <c r="P67" i="16"/>
  <c r="L67" i="16"/>
  <c r="K67" i="16"/>
  <c r="H67" i="16"/>
  <c r="R66" i="16"/>
  <c r="P66" i="16"/>
  <c r="L66" i="16"/>
  <c r="K66" i="16"/>
  <c r="H66" i="16"/>
  <c r="R65" i="16"/>
  <c r="P65" i="16"/>
  <c r="L65" i="16"/>
  <c r="K65" i="16"/>
  <c r="H65" i="16"/>
  <c r="R64" i="16"/>
  <c r="P64" i="16"/>
  <c r="L64" i="16"/>
  <c r="K64" i="16"/>
  <c r="H64" i="16"/>
  <c r="R63" i="16"/>
  <c r="P63" i="16"/>
  <c r="L63" i="16"/>
  <c r="K63" i="16"/>
  <c r="H63" i="16"/>
  <c r="R62" i="16"/>
  <c r="P62" i="16"/>
  <c r="L62" i="16"/>
  <c r="K62" i="16"/>
  <c r="H62" i="16"/>
  <c r="R61" i="16"/>
  <c r="P61" i="16"/>
  <c r="L61" i="16"/>
  <c r="K61" i="16"/>
  <c r="H61" i="16"/>
  <c r="P60" i="16"/>
  <c r="L60" i="16"/>
  <c r="K60" i="16"/>
  <c r="H60" i="16"/>
  <c r="P59" i="16"/>
  <c r="L59" i="16"/>
  <c r="K59" i="16"/>
  <c r="H59" i="16"/>
  <c r="P58" i="16"/>
  <c r="L58" i="16"/>
  <c r="K58" i="16"/>
  <c r="H58" i="16"/>
  <c r="R57" i="16"/>
  <c r="P57" i="16"/>
  <c r="L57" i="16"/>
  <c r="K57" i="16"/>
  <c r="H57" i="16"/>
  <c r="R56" i="16"/>
  <c r="P56" i="16"/>
  <c r="L56" i="16"/>
  <c r="K56" i="16"/>
  <c r="H56" i="16"/>
  <c r="R55" i="16"/>
  <c r="P55" i="16"/>
  <c r="L55" i="16"/>
  <c r="K55" i="16"/>
  <c r="H55" i="16"/>
  <c r="R54" i="16"/>
  <c r="P54" i="16"/>
  <c r="L54" i="16"/>
  <c r="K54" i="16"/>
  <c r="H54" i="16"/>
  <c r="R53" i="16"/>
  <c r="P53" i="16"/>
  <c r="L53" i="16"/>
  <c r="K53" i="16"/>
  <c r="H53" i="16"/>
  <c r="R52" i="16"/>
  <c r="P52" i="16"/>
  <c r="L52" i="16"/>
  <c r="K52" i="16"/>
  <c r="H52" i="16"/>
  <c r="R51" i="16"/>
  <c r="P51" i="16"/>
  <c r="L51" i="16"/>
  <c r="K51" i="16"/>
  <c r="H51" i="16"/>
  <c r="R50" i="16"/>
  <c r="P50" i="16"/>
  <c r="L50" i="16"/>
  <c r="K50" i="16"/>
  <c r="H50" i="16"/>
  <c r="R49" i="16"/>
  <c r="P49" i="16"/>
  <c r="L49" i="16"/>
  <c r="K49" i="16"/>
  <c r="H49" i="16"/>
  <c r="R48" i="16"/>
  <c r="P48" i="16"/>
  <c r="L48" i="16"/>
  <c r="K48" i="16"/>
  <c r="H48" i="16"/>
  <c r="R47" i="16"/>
  <c r="P47" i="16"/>
  <c r="L47" i="16"/>
  <c r="K47" i="16"/>
  <c r="H47" i="16"/>
  <c r="R46" i="16"/>
  <c r="P46" i="16"/>
  <c r="L46" i="16"/>
  <c r="K46" i="16"/>
  <c r="H46" i="16"/>
  <c r="R45" i="16"/>
  <c r="P45" i="16"/>
  <c r="L45" i="16"/>
  <c r="K45" i="16"/>
  <c r="H45" i="16"/>
  <c r="R44" i="16"/>
  <c r="P44" i="16"/>
  <c r="L44" i="16"/>
  <c r="K44" i="16"/>
  <c r="H44" i="16"/>
  <c r="R43" i="16"/>
  <c r="P43" i="16"/>
  <c r="L43" i="16"/>
  <c r="K43" i="16"/>
  <c r="H43" i="16"/>
  <c r="R42" i="16"/>
  <c r="P42" i="16"/>
  <c r="L42" i="16"/>
  <c r="K42" i="16"/>
  <c r="H42" i="16"/>
  <c r="R41" i="16"/>
  <c r="P41" i="16"/>
  <c r="L41" i="16"/>
  <c r="K41" i="16"/>
  <c r="H41" i="16"/>
  <c r="R40" i="16"/>
  <c r="P40" i="16"/>
  <c r="L40" i="16"/>
  <c r="K40" i="16"/>
  <c r="H40" i="16"/>
  <c r="R39" i="16"/>
  <c r="P39" i="16"/>
  <c r="L39" i="16"/>
  <c r="K39" i="16"/>
  <c r="H39" i="16"/>
  <c r="R38" i="16"/>
  <c r="P38" i="16"/>
  <c r="L38" i="16"/>
  <c r="K38" i="16"/>
  <c r="H38" i="16"/>
  <c r="R37" i="16"/>
  <c r="P37" i="16"/>
  <c r="L37" i="16"/>
  <c r="K37" i="16"/>
  <c r="H37" i="16"/>
  <c r="R36" i="16"/>
  <c r="P36" i="16"/>
  <c r="L36" i="16"/>
  <c r="K36" i="16"/>
  <c r="H36" i="16"/>
  <c r="R35" i="16"/>
  <c r="P35" i="16"/>
  <c r="L35" i="16"/>
  <c r="K35" i="16"/>
  <c r="H35" i="16"/>
  <c r="R34" i="16"/>
  <c r="P34" i="16"/>
  <c r="L34" i="16"/>
  <c r="K34" i="16"/>
  <c r="H34" i="16"/>
  <c r="R33" i="16"/>
  <c r="P33" i="16"/>
  <c r="L33" i="16"/>
  <c r="K33" i="16"/>
  <c r="H33" i="16"/>
  <c r="R32" i="16"/>
  <c r="P32" i="16"/>
  <c r="L32" i="16"/>
  <c r="K32" i="16"/>
  <c r="H32" i="16"/>
  <c r="R31" i="16"/>
  <c r="P31" i="16"/>
  <c r="L31" i="16"/>
  <c r="K31" i="16"/>
  <c r="H31" i="16"/>
  <c r="R30" i="16"/>
  <c r="P30" i="16"/>
  <c r="L30" i="16"/>
  <c r="K30" i="16"/>
  <c r="H30" i="16"/>
  <c r="R29" i="16"/>
  <c r="P29" i="16"/>
  <c r="L29" i="16"/>
  <c r="K29" i="16"/>
  <c r="H29" i="16"/>
  <c r="R28" i="16"/>
  <c r="P28" i="16"/>
  <c r="L28" i="16"/>
  <c r="K28" i="16"/>
  <c r="H28" i="16"/>
  <c r="R27" i="16"/>
  <c r="P27" i="16"/>
  <c r="L27" i="16"/>
  <c r="K27" i="16"/>
  <c r="H27" i="16"/>
  <c r="R26" i="16"/>
  <c r="P26" i="16"/>
  <c r="L26" i="16"/>
  <c r="K26" i="16"/>
  <c r="H26" i="16"/>
  <c r="R25" i="16"/>
  <c r="P25" i="16"/>
  <c r="L25" i="16"/>
  <c r="K25" i="16"/>
  <c r="H25" i="16"/>
  <c r="R24" i="16"/>
  <c r="P24" i="16"/>
  <c r="L24" i="16"/>
  <c r="K24" i="16"/>
  <c r="H24" i="16"/>
  <c r="R23" i="16"/>
  <c r="P23" i="16"/>
  <c r="L23" i="16"/>
  <c r="K23" i="16"/>
  <c r="H23" i="16"/>
  <c r="G262" i="18" s="1"/>
  <c r="E262" i="18" s="1"/>
  <c r="R22" i="16"/>
  <c r="P22" i="16"/>
  <c r="L22" i="16"/>
  <c r="K22" i="16"/>
  <c r="H22" i="16"/>
  <c r="R21" i="16"/>
  <c r="P21" i="16"/>
  <c r="L21" i="16"/>
  <c r="K21" i="16"/>
  <c r="H21" i="16"/>
  <c r="R20" i="16"/>
  <c r="P20" i="16"/>
  <c r="L20" i="16"/>
  <c r="K20" i="16"/>
  <c r="H20" i="16"/>
  <c r="R19" i="16"/>
  <c r="P19" i="16"/>
  <c r="L19" i="16"/>
  <c r="K19" i="16"/>
  <c r="H19" i="16"/>
  <c r="G214" i="18" s="1"/>
  <c r="E214" i="18" s="1"/>
  <c r="R18" i="16"/>
  <c r="P18" i="16"/>
  <c r="L18" i="16"/>
  <c r="K18" i="16"/>
  <c r="H18" i="16"/>
  <c r="R17" i="16"/>
  <c r="P17" i="16"/>
  <c r="L17" i="16"/>
  <c r="K17" i="16"/>
  <c r="H17" i="16"/>
  <c r="R16" i="16"/>
  <c r="P16" i="16"/>
  <c r="L16" i="16"/>
  <c r="K16" i="16"/>
  <c r="H16" i="16"/>
  <c r="R15" i="16"/>
  <c r="P15" i="16"/>
  <c r="L15" i="16"/>
  <c r="K15" i="16"/>
  <c r="H15" i="16"/>
  <c r="G166" i="18" s="1"/>
  <c r="E166" i="18" s="1"/>
  <c r="R14" i="16"/>
  <c r="P14" i="16"/>
  <c r="L14" i="16"/>
  <c r="K14" i="16"/>
  <c r="H14" i="16"/>
  <c r="R13" i="16"/>
  <c r="P13" i="16"/>
  <c r="L13" i="16"/>
  <c r="K13" i="16"/>
  <c r="H13" i="16"/>
  <c r="R12" i="16"/>
  <c r="P12" i="16"/>
  <c r="L12" i="16"/>
  <c r="K12" i="16"/>
  <c r="H12" i="16"/>
  <c r="R11" i="16"/>
  <c r="P11" i="16"/>
  <c r="L11" i="16"/>
  <c r="K11" i="16"/>
  <c r="H11" i="16"/>
  <c r="G118" i="18" s="1"/>
  <c r="E118" i="18" s="1"/>
  <c r="R10" i="16"/>
  <c r="P10" i="16"/>
  <c r="L10" i="16"/>
  <c r="K10" i="16"/>
  <c r="H10" i="16"/>
  <c r="R9" i="16"/>
  <c r="P9" i="16"/>
  <c r="L9" i="16"/>
  <c r="K9" i="16"/>
  <c r="H9" i="16"/>
  <c r="R8" i="16"/>
  <c r="P8" i="16"/>
  <c r="L8" i="16"/>
  <c r="K8" i="16"/>
  <c r="H8" i="16"/>
  <c r="R7" i="16"/>
  <c r="P7" i="16"/>
  <c r="L7" i="16"/>
  <c r="K7" i="16"/>
  <c r="H7" i="16"/>
  <c r="G70" i="18" s="1"/>
  <c r="E70" i="18" s="1"/>
  <c r="R6" i="16"/>
  <c r="P6" i="16"/>
  <c r="L6" i="16"/>
  <c r="K6" i="16"/>
  <c r="H6" i="16"/>
  <c r="R5" i="16"/>
  <c r="P5" i="16"/>
  <c r="L5" i="16"/>
  <c r="K5" i="16"/>
  <c r="H5" i="16"/>
  <c r="R4" i="16"/>
  <c r="P4" i="16"/>
  <c r="L4" i="16"/>
  <c r="K4" i="16"/>
  <c r="H4" i="16"/>
  <c r="R3" i="16"/>
  <c r="P3" i="16"/>
  <c r="L3" i="16"/>
  <c r="K3" i="16"/>
  <c r="H3" i="16"/>
  <c r="G22" i="18" s="1"/>
  <c r="E22" i="18" s="1"/>
  <c r="R2" i="16"/>
  <c r="P2" i="16"/>
  <c r="L2" i="16"/>
  <c r="K2" i="16"/>
  <c r="H2" i="16"/>
  <c r="G83" i="15"/>
  <c r="B83" i="15"/>
  <c r="G82" i="15"/>
  <c r="B82" i="15"/>
  <c r="G81" i="15"/>
  <c r="B81" i="15"/>
  <c r="G80" i="15"/>
  <c r="B80" i="15"/>
  <c r="G79" i="15"/>
  <c r="B79" i="15"/>
  <c r="G78" i="15"/>
  <c r="B78" i="15"/>
  <c r="G77" i="15"/>
  <c r="B77" i="15"/>
  <c r="G76" i="15"/>
  <c r="B76" i="15"/>
  <c r="G75" i="15"/>
  <c r="B75" i="15"/>
  <c r="G74" i="15"/>
  <c r="B74" i="15"/>
  <c r="G73" i="15"/>
  <c r="B73" i="15"/>
  <c r="G72" i="15"/>
  <c r="B72" i="15"/>
  <c r="G71" i="15"/>
  <c r="B71" i="15"/>
  <c r="G70" i="15"/>
  <c r="B70" i="15"/>
  <c r="G69" i="15"/>
  <c r="B69" i="15"/>
  <c r="G68" i="15"/>
  <c r="B68" i="15"/>
  <c r="G67" i="15"/>
  <c r="B67" i="15"/>
  <c r="G66" i="15"/>
  <c r="B66" i="15"/>
  <c r="G65" i="15"/>
  <c r="B65" i="15"/>
  <c r="G64" i="15"/>
  <c r="B64" i="15"/>
  <c r="G63" i="15"/>
  <c r="B63" i="15"/>
  <c r="G62" i="15"/>
  <c r="B62" i="15"/>
  <c r="G61" i="15"/>
  <c r="B61" i="15"/>
  <c r="G60" i="15"/>
  <c r="B60" i="15"/>
  <c r="G59" i="15"/>
  <c r="B59" i="15"/>
  <c r="G58" i="15"/>
  <c r="B58" i="15"/>
  <c r="G57" i="15"/>
  <c r="B57" i="15"/>
  <c r="G56" i="15"/>
  <c r="B56" i="15"/>
  <c r="G55" i="15"/>
  <c r="B55" i="15"/>
  <c r="G54" i="15"/>
  <c r="B54" i="15"/>
  <c r="G53" i="15"/>
  <c r="B53" i="15"/>
  <c r="G52" i="15"/>
  <c r="B52" i="15"/>
  <c r="G51" i="15"/>
  <c r="B51" i="15"/>
  <c r="G50" i="15"/>
  <c r="B50" i="15"/>
  <c r="G49" i="15"/>
  <c r="B49" i="15"/>
  <c r="G48" i="15"/>
  <c r="B48" i="15"/>
  <c r="G47" i="15"/>
  <c r="B47" i="15"/>
  <c r="G46" i="15"/>
  <c r="B46" i="15"/>
  <c r="G45" i="15"/>
  <c r="B45" i="15"/>
  <c r="G44" i="15"/>
  <c r="B44" i="15"/>
  <c r="G43" i="15"/>
  <c r="B43" i="15"/>
  <c r="G42" i="15"/>
  <c r="B42" i="15"/>
  <c r="G41" i="15"/>
  <c r="B41" i="15"/>
  <c r="G40" i="15"/>
  <c r="B40" i="15"/>
  <c r="G39" i="15"/>
  <c r="B39" i="15"/>
  <c r="G38" i="15"/>
  <c r="B38" i="15"/>
  <c r="G37" i="15"/>
  <c r="B37" i="15"/>
  <c r="G36" i="15"/>
  <c r="B36" i="15"/>
  <c r="G35" i="15"/>
  <c r="B35" i="15"/>
  <c r="G34" i="15"/>
  <c r="B34" i="15"/>
  <c r="G33" i="15"/>
  <c r="B33" i="15"/>
  <c r="G32" i="15"/>
  <c r="B32" i="15"/>
  <c r="G31" i="15"/>
  <c r="B31" i="15"/>
  <c r="G30" i="15"/>
  <c r="B30" i="15"/>
  <c r="G29" i="15"/>
  <c r="B29" i="15"/>
  <c r="G28" i="15"/>
  <c r="B28" i="15"/>
  <c r="G27" i="15"/>
  <c r="B27" i="15"/>
  <c r="G26" i="15"/>
  <c r="B26" i="15"/>
  <c r="G25" i="15"/>
  <c r="B25" i="15"/>
  <c r="G24" i="15"/>
  <c r="B24" i="15"/>
  <c r="G23" i="15"/>
  <c r="B23" i="15"/>
  <c r="G22" i="15"/>
  <c r="B22" i="15"/>
  <c r="K21" i="15"/>
  <c r="G21" i="15"/>
  <c r="B21" i="15"/>
  <c r="G20" i="15"/>
  <c r="B20" i="15"/>
  <c r="G19" i="15"/>
  <c r="B19" i="15"/>
  <c r="G18" i="15"/>
  <c r="B18" i="15"/>
  <c r="G17" i="15"/>
  <c r="B17" i="15"/>
  <c r="G16" i="15"/>
  <c r="B16" i="15"/>
  <c r="K15" i="15"/>
  <c r="K16" i="15" s="1"/>
  <c r="K17" i="15" s="1"/>
  <c r="K18" i="15" s="1"/>
  <c r="G15" i="15"/>
  <c r="B15" i="15"/>
  <c r="G14" i="15"/>
  <c r="B14" i="15"/>
  <c r="G13" i="15"/>
  <c r="B13" i="15"/>
  <c r="G12" i="15"/>
  <c r="B12" i="15"/>
  <c r="G11" i="15"/>
  <c r="B11" i="15"/>
  <c r="G10" i="15"/>
  <c r="B10" i="15"/>
  <c r="G9" i="15"/>
  <c r="B9" i="15"/>
  <c r="G8" i="15"/>
  <c r="B8" i="15"/>
  <c r="G7" i="15"/>
  <c r="B7" i="15"/>
  <c r="G6" i="15"/>
  <c r="B6" i="15"/>
  <c r="G5" i="15"/>
  <c r="B5" i="15"/>
  <c r="G4" i="15"/>
  <c r="B4" i="15"/>
  <c r="G3" i="15"/>
  <c r="B3" i="15"/>
  <c r="G2" i="15"/>
  <c r="B2" i="15"/>
  <c r="C3" i="10"/>
  <c r="C4" i="10" s="1"/>
  <c r="C5" i="10" s="1"/>
  <c r="C6" i="10" s="1"/>
  <c r="C7" i="10" s="1"/>
  <c r="C8" i="10" s="1"/>
  <c r="C9" i="10" s="1"/>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F1001" i="9"/>
  <c r="C1001" i="9"/>
  <c r="E1001" i="9" s="1"/>
  <c r="F1000" i="9"/>
  <c r="C1000" i="9"/>
  <c r="E1000" i="9" s="1"/>
  <c r="F999" i="9"/>
  <c r="C999" i="9"/>
  <c r="E999" i="9" s="1"/>
  <c r="F998" i="9"/>
  <c r="C998" i="9"/>
  <c r="E998" i="9" s="1"/>
  <c r="F997" i="9"/>
  <c r="C997" i="9"/>
  <c r="E997" i="9" s="1"/>
  <c r="F996" i="9"/>
  <c r="C996" i="9"/>
  <c r="E996" i="9" s="1"/>
  <c r="F995" i="9"/>
  <c r="E995" i="9"/>
  <c r="C995" i="9"/>
  <c r="F994" i="9"/>
  <c r="C994" i="9"/>
  <c r="E994" i="9" s="1"/>
  <c r="F993" i="9"/>
  <c r="C993" i="9"/>
  <c r="E993" i="9" s="1"/>
  <c r="F992" i="9"/>
  <c r="C992" i="9"/>
  <c r="E992" i="9" s="1"/>
  <c r="F991" i="9"/>
  <c r="C991" i="9"/>
  <c r="E991" i="9" s="1"/>
  <c r="F990" i="9"/>
  <c r="C990" i="9"/>
  <c r="E990" i="9" s="1"/>
  <c r="F989" i="9"/>
  <c r="C989" i="9"/>
  <c r="E989" i="9" s="1"/>
  <c r="F988" i="9"/>
  <c r="C988" i="9"/>
  <c r="E988" i="9" s="1"/>
  <c r="F987" i="9"/>
  <c r="E987" i="9"/>
  <c r="C987" i="9"/>
  <c r="F986" i="9"/>
  <c r="C986" i="9"/>
  <c r="E986" i="9" s="1"/>
  <c r="F985" i="9"/>
  <c r="C985" i="9"/>
  <c r="E985" i="9" s="1"/>
  <c r="F984" i="9"/>
  <c r="C984" i="9"/>
  <c r="E984" i="9" s="1"/>
  <c r="F983" i="9"/>
  <c r="C983" i="9"/>
  <c r="E983" i="9" s="1"/>
  <c r="F982" i="9"/>
  <c r="C982" i="9"/>
  <c r="E982" i="9" s="1"/>
  <c r="F981" i="9"/>
  <c r="C981" i="9"/>
  <c r="E981" i="9" s="1"/>
  <c r="F980" i="9"/>
  <c r="C980" i="9"/>
  <c r="E980" i="9" s="1"/>
  <c r="F979" i="9"/>
  <c r="E979" i="9"/>
  <c r="C979" i="9"/>
  <c r="F978" i="9"/>
  <c r="C978" i="9"/>
  <c r="E978" i="9" s="1"/>
  <c r="F977" i="9"/>
  <c r="E977" i="9"/>
  <c r="C977" i="9"/>
  <c r="F976" i="9"/>
  <c r="C976" i="9"/>
  <c r="E976" i="9" s="1"/>
  <c r="F975" i="9"/>
  <c r="E975" i="9"/>
  <c r="C975" i="9"/>
  <c r="F974" i="9"/>
  <c r="C974" i="9"/>
  <c r="E974" i="9" s="1"/>
  <c r="F973" i="9"/>
  <c r="C973" i="9"/>
  <c r="E973" i="9" s="1"/>
  <c r="F972" i="9"/>
  <c r="C972" i="9"/>
  <c r="E972" i="9" s="1"/>
  <c r="F971" i="9"/>
  <c r="E971" i="9"/>
  <c r="C971" i="9"/>
  <c r="F970" i="9"/>
  <c r="C970" i="9"/>
  <c r="E970" i="9" s="1"/>
  <c r="F969" i="9"/>
  <c r="E969" i="9"/>
  <c r="C969" i="9"/>
  <c r="F968" i="9"/>
  <c r="C968" i="9"/>
  <c r="E968" i="9" s="1"/>
  <c r="F967" i="9"/>
  <c r="E967" i="9"/>
  <c r="C967" i="9"/>
  <c r="F966" i="9"/>
  <c r="C966" i="9"/>
  <c r="E966" i="9" s="1"/>
  <c r="F965" i="9"/>
  <c r="C965" i="9"/>
  <c r="E965" i="9" s="1"/>
  <c r="F964" i="9"/>
  <c r="C964" i="9"/>
  <c r="E964" i="9" s="1"/>
  <c r="F963" i="9"/>
  <c r="C963" i="9"/>
  <c r="E963" i="9" s="1"/>
  <c r="F962" i="9"/>
  <c r="C962" i="9"/>
  <c r="E962" i="9" s="1"/>
  <c r="F961" i="9"/>
  <c r="C961" i="9"/>
  <c r="E961" i="9" s="1"/>
  <c r="F960" i="9"/>
  <c r="C960" i="9"/>
  <c r="E960" i="9" s="1"/>
  <c r="F959" i="9"/>
  <c r="E959" i="9"/>
  <c r="C959" i="9"/>
  <c r="F958" i="9"/>
  <c r="C958" i="9"/>
  <c r="E958" i="9" s="1"/>
  <c r="F957" i="9"/>
  <c r="C957" i="9"/>
  <c r="E957" i="9" s="1"/>
  <c r="F956" i="9"/>
  <c r="C956" i="9"/>
  <c r="E956" i="9" s="1"/>
  <c r="F955" i="9"/>
  <c r="C955" i="9"/>
  <c r="E955" i="9" s="1"/>
  <c r="F954" i="9"/>
  <c r="C954" i="9"/>
  <c r="E954" i="9" s="1"/>
  <c r="F953" i="9"/>
  <c r="C953" i="9"/>
  <c r="E953" i="9" s="1"/>
  <c r="F952" i="9"/>
  <c r="C952" i="9"/>
  <c r="E952" i="9" s="1"/>
  <c r="F951" i="9"/>
  <c r="E951" i="9"/>
  <c r="C951" i="9"/>
  <c r="F950" i="9"/>
  <c r="C950" i="9"/>
  <c r="E950" i="9" s="1"/>
  <c r="F949" i="9"/>
  <c r="E949" i="9"/>
  <c r="C949" i="9"/>
  <c r="F948" i="9"/>
  <c r="C948" i="9"/>
  <c r="E948" i="9" s="1"/>
  <c r="F947" i="9"/>
  <c r="E947" i="9"/>
  <c r="C947" i="9"/>
  <c r="F946" i="9"/>
  <c r="C946" i="9"/>
  <c r="E946" i="9" s="1"/>
  <c r="F945" i="9"/>
  <c r="C945" i="9"/>
  <c r="E945" i="9" s="1"/>
  <c r="F944" i="9"/>
  <c r="C944" i="9"/>
  <c r="E944" i="9" s="1"/>
  <c r="F943" i="9"/>
  <c r="E943" i="9"/>
  <c r="C943" i="9"/>
  <c r="F942" i="9"/>
  <c r="C942" i="9"/>
  <c r="E942" i="9" s="1"/>
  <c r="F941" i="9"/>
  <c r="E941" i="9"/>
  <c r="C941" i="9"/>
  <c r="F940" i="9"/>
  <c r="C940" i="9"/>
  <c r="E940" i="9" s="1"/>
  <c r="F939" i="9"/>
  <c r="E939" i="9"/>
  <c r="C939" i="9"/>
  <c r="F938" i="9"/>
  <c r="C938" i="9"/>
  <c r="E938" i="9" s="1"/>
  <c r="F937" i="9"/>
  <c r="C937" i="9"/>
  <c r="E937" i="9" s="1"/>
  <c r="F936" i="9"/>
  <c r="C936" i="9"/>
  <c r="E936" i="9" s="1"/>
  <c r="F935" i="9"/>
  <c r="C935" i="9"/>
  <c r="E935" i="9" s="1"/>
  <c r="F934" i="9"/>
  <c r="C934" i="9"/>
  <c r="E934" i="9" s="1"/>
  <c r="F933" i="9"/>
  <c r="C933" i="9"/>
  <c r="E933" i="9" s="1"/>
  <c r="F932" i="9"/>
  <c r="C932" i="9"/>
  <c r="E932" i="9" s="1"/>
  <c r="F931" i="9"/>
  <c r="E931" i="9"/>
  <c r="C931" i="9"/>
  <c r="F930" i="9"/>
  <c r="C930" i="9"/>
  <c r="E930" i="9" s="1"/>
  <c r="F929" i="9"/>
  <c r="C929" i="9"/>
  <c r="E929" i="9" s="1"/>
  <c r="F928" i="9"/>
  <c r="C928" i="9"/>
  <c r="E928" i="9" s="1"/>
  <c r="F927" i="9"/>
  <c r="C927" i="9"/>
  <c r="E927" i="9" s="1"/>
  <c r="F926" i="9"/>
  <c r="C926" i="9"/>
  <c r="E926" i="9" s="1"/>
  <c r="F925" i="9"/>
  <c r="C925" i="9"/>
  <c r="E925" i="9" s="1"/>
  <c r="F924" i="9"/>
  <c r="C924" i="9"/>
  <c r="E924" i="9" s="1"/>
  <c r="F923" i="9"/>
  <c r="E923" i="9"/>
  <c r="C923" i="9"/>
  <c r="F922" i="9"/>
  <c r="C922" i="9"/>
  <c r="E922" i="9" s="1"/>
  <c r="F921" i="9"/>
  <c r="E921" i="9"/>
  <c r="C921" i="9"/>
  <c r="F920" i="9"/>
  <c r="C920" i="9"/>
  <c r="E920" i="9" s="1"/>
  <c r="F919" i="9"/>
  <c r="E919" i="9"/>
  <c r="C919" i="9"/>
  <c r="F918" i="9"/>
  <c r="C918" i="9"/>
  <c r="E918" i="9" s="1"/>
  <c r="F917" i="9"/>
  <c r="C917" i="9"/>
  <c r="E917" i="9" s="1"/>
  <c r="F916" i="9"/>
  <c r="C916" i="9"/>
  <c r="E916" i="9" s="1"/>
  <c r="F915" i="9"/>
  <c r="E915" i="9"/>
  <c r="C915" i="9"/>
  <c r="F914" i="9"/>
  <c r="C914" i="9"/>
  <c r="E914" i="9" s="1"/>
  <c r="F913" i="9"/>
  <c r="E913" i="9"/>
  <c r="C913" i="9"/>
  <c r="F912" i="9"/>
  <c r="C912" i="9"/>
  <c r="E912" i="9" s="1"/>
  <c r="F911" i="9"/>
  <c r="E911" i="9"/>
  <c r="C911" i="9"/>
  <c r="F910" i="9"/>
  <c r="C910" i="9"/>
  <c r="E910" i="9" s="1"/>
  <c r="F909" i="9"/>
  <c r="C909" i="9"/>
  <c r="E909" i="9" s="1"/>
  <c r="F908" i="9"/>
  <c r="C908" i="9"/>
  <c r="E908" i="9" s="1"/>
  <c r="F907" i="9"/>
  <c r="C907" i="9"/>
  <c r="E907" i="9" s="1"/>
  <c r="F906" i="9"/>
  <c r="C906" i="9"/>
  <c r="E906" i="9" s="1"/>
  <c r="F905" i="9"/>
  <c r="C905" i="9"/>
  <c r="E905" i="9" s="1"/>
  <c r="F904" i="9"/>
  <c r="C904" i="9"/>
  <c r="E904" i="9" s="1"/>
  <c r="F903" i="9"/>
  <c r="E903" i="9"/>
  <c r="C903" i="9"/>
  <c r="F902" i="9"/>
  <c r="C902" i="9"/>
  <c r="E902" i="9" s="1"/>
  <c r="F901" i="9"/>
  <c r="C901" i="9"/>
  <c r="E901" i="9" s="1"/>
  <c r="F900" i="9"/>
  <c r="C900" i="9"/>
  <c r="E900" i="9" s="1"/>
  <c r="F899" i="9"/>
  <c r="C899" i="9"/>
  <c r="E899" i="9" s="1"/>
  <c r="F898" i="9"/>
  <c r="C898" i="9"/>
  <c r="E898" i="9" s="1"/>
  <c r="F897" i="9"/>
  <c r="C897" i="9"/>
  <c r="E897" i="9" s="1"/>
  <c r="F896" i="9"/>
  <c r="C896" i="9"/>
  <c r="E896" i="9" s="1"/>
  <c r="F895" i="9"/>
  <c r="E895" i="9"/>
  <c r="C895" i="9"/>
  <c r="F894" i="9"/>
  <c r="C894" i="9"/>
  <c r="E894" i="9" s="1"/>
  <c r="F893" i="9"/>
  <c r="E893" i="9"/>
  <c r="C893" i="9"/>
  <c r="F892" i="9"/>
  <c r="C892" i="9"/>
  <c r="E892" i="9" s="1"/>
  <c r="F891" i="9"/>
  <c r="E891" i="9"/>
  <c r="C891" i="9"/>
  <c r="F890" i="9"/>
  <c r="C890" i="9"/>
  <c r="E890" i="9" s="1"/>
  <c r="F889" i="9"/>
  <c r="C889" i="9"/>
  <c r="E889" i="9" s="1"/>
  <c r="F888" i="9"/>
  <c r="C888" i="9"/>
  <c r="E888" i="9" s="1"/>
  <c r="F887" i="9"/>
  <c r="E887" i="9"/>
  <c r="C887" i="9"/>
  <c r="F886" i="9"/>
  <c r="C886" i="9"/>
  <c r="E886" i="9" s="1"/>
  <c r="F885" i="9"/>
  <c r="E885" i="9"/>
  <c r="C885" i="9"/>
  <c r="F884" i="9"/>
  <c r="C884" i="9"/>
  <c r="E884" i="9" s="1"/>
  <c r="F883" i="9"/>
  <c r="E883" i="9"/>
  <c r="C883" i="9"/>
  <c r="F882" i="9"/>
  <c r="C882" i="9"/>
  <c r="E882" i="9" s="1"/>
  <c r="F881" i="9"/>
  <c r="C881" i="9"/>
  <c r="E881" i="9" s="1"/>
  <c r="F880" i="9"/>
  <c r="C880" i="9"/>
  <c r="E880" i="9" s="1"/>
  <c r="F879" i="9"/>
  <c r="C879" i="9"/>
  <c r="E879" i="9" s="1"/>
  <c r="F878" i="9"/>
  <c r="C878" i="9"/>
  <c r="E878" i="9" s="1"/>
  <c r="F877" i="9"/>
  <c r="C877" i="9"/>
  <c r="E877" i="9" s="1"/>
  <c r="F876" i="9"/>
  <c r="C876" i="9"/>
  <c r="E876" i="9" s="1"/>
  <c r="F875" i="9"/>
  <c r="E875" i="9"/>
  <c r="C875" i="9"/>
  <c r="F874" i="9"/>
  <c r="C874" i="9"/>
  <c r="E874" i="9" s="1"/>
  <c r="F873" i="9"/>
  <c r="C873" i="9"/>
  <c r="E873" i="9" s="1"/>
  <c r="F872" i="9"/>
  <c r="C872" i="9"/>
  <c r="E872" i="9" s="1"/>
  <c r="F871" i="9"/>
  <c r="C871" i="9"/>
  <c r="E871" i="9" s="1"/>
  <c r="F870" i="9"/>
  <c r="C870" i="9"/>
  <c r="E870" i="9" s="1"/>
  <c r="F869" i="9"/>
  <c r="C869" i="9"/>
  <c r="E869" i="9" s="1"/>
  <c r="F868" i="9"/>
  <c r="C868" i="9"/>
  <c r="E868" i="9" s="1"/>
  <c r="F867" i="9"/>
  <c r="E867" i="9"/>
  <c r="C867" i="9"/>
  <c r="F866" i="9"/>
  <c r="C866" i="9"/>
  <c r="E866" i="9" s="1"/>
  <c r="F865" i="9"/>
  <c r="E865" i="9"/>
  <c r="C865" i="9"/>
  <c r="F864" i="9"/>
  <c r="C864" i="9"/>
  <c r="E864" i="9" s="1"/>
  <c r="F863" i="9"/>
  <c r="E863" i="9"/>
  <c r="C863" i="9"/>
  <c r="F862" i="9"/>
  <c r="C862" i="9"/>
  <c r="E862" i="9" s="1"/>
  <c r="F861" i="9"/>
  <c r="C861" i="9"/>
  <c r="E861" i="9" s="1"/>
  <c r="F860" i="9"/>
  <c r="C860" i="9"/>
  <c r="E860" i="9" s="1"/>
  <c r="F859" i="9"/>
  <c r="E859" i="9"/>
  <c r="C859" i="9"/>
  <c r="F858" i="9"/>
  <c r="C858" i="9"/>
  <c r="E858" i="9" s="1"/>
  <c r="F857" i="9"/>
  <c r="E857" i="9"/>
  <c r="C857" i="9"/>
  <c r="F856" i="9"/>
  <c r="C856" i="9"/>
  <c r="E856" i="9" s="1"/>
  <c r="F855" i="9"/>
  <c r="E855" i="9"/>
  <c r="C855" i="9"/>
  <c r="F854" i="9"/>
  <c r="C854" i="9"/>
  <c r="E854" i="9" s="1"/>
  <c r="F853" i="9"/>
  <c r="C853" i="9"/>
  <c r="E853" i="9" s="1"/>
  <c r="F852" i="9"/>
  <c r="C852" i="9"/>
  <c r="E852" i="9" s="1"/>
  <c r="F851" i="9"/>
  <c r="C851" i="9"/>
  <c r="E851" i="9" s="1"/>
  <c r="F850" i="9"/>
  <c r="C850" i="9"/>
  <c r="E850" i="9" s="1"/>
  <c r="F849" i="9"/>
  <c r="C849" i="9"/>
  <c r="E849" i="9" s="1"/>
  <c r="F848" i="9"/>
  <c r="C848" i="9"/>
  <c r="E848" i="9" s="1"/>
  <c r="F847" i="9"/>
  <c r="E847" i="9"/>
  <c r="C847" i="9"/>
  <c r="F846" i="9"/>
  <c r="C846" i="9"/>
  <c r="E846" i="9" s="1"/>
  <c r="F845" i="9"/>
  <c r="C845" i="9"/>
  <c r="E845" i="9" s="1"/>
  <c r="F844" i="9"/>
  <c r="C844" i="9"/>
  <c r="E844" i="9" s="1"/>
  <c r="F843" i="9"/>
  <c r="C843" i="9"/>
  <c r="E843" i="9" s="1"/>
  <c r="F842" i="9"/>
  <c r="C842" i="9"/>
  <c r="E842" i="9" s="1"/>
  <c r="F841" i="9"/>
  <c r="C841" i="9"/>
  <c r="E841" i="9" s="1"/>
  <c r="F840" i="9"/>
  <c r="C840" i="9"/>
  <c r="E840" i="9" s="1"/>
  <c r="F839" i="9"/>
  <c r="E839" i="9"/>
  <c r="C839" i="9"/>
  <c r="F838" i="9"/>
  <c r="C838" i="9"/>
  <c r="E838" i="9" s="1"/>
  <c r="F837" i="9"/>
  <c r="E837" i="9"/>
  <c r="C837" i="9"/>
  <c r="F836" i="9"/>
  <c r="C836" i="9"/>
  <c r="E836" i="9" s="1"/>
  <c r="F835" i="9"/>
  <c r="E835" i="9"/>
  <c r="C835" i="9"/>
  <c r="F834" i="9"/>
  <c r="C834" i="9"/>
  <c r="E834" i="9" s="1"/>
  <c r="F833" i="9"/>
  <c r="C833" i="9"/>
  <c r="E833" i="9" s="1"/>
  <c r="F832" i="9"/>
  <c r="C832" i="9"/>
  <c r="E832" i="9" s="1"/>
  <c r="F831" i="9"/>
  <c r="E831" i="9"/>
  <c r="C831" i="9"/>
  <c r="F830" i="9"/>
  <c r="C830" i="9"/>
  <c r="E830" i="9" s="1"/>
  <c r="F829" i="9"/>
  <c r="E829" i="9"/>
  <c r="C829" i="9"/>
  <c r="F828" i="9"/>
  <c r="C828" i="9"/>
  <c r="E828" i="9" s="1"/>
  <c r="F827" i="9"/>
  <c r="E827" i="9"/>
  <c r="C827" i="9"/>
  <c r="F826" i="9"/>
  <c r="C826" i="9"/>
  <c r="E826" i="9" s="1"/>
  <c r="F825" i="9"/>
  <c r="C825" i="9"/>
  <c r="E825" i="9" s="1"/>
  <c r="F824" i="9"/>
  <c r="C824" i="9"/>
  <c r="E824" i="9" s="1"/>
  <c r="F823" i="9"/>
  <c r="C823" i="9"/>
  <c r="E823" i="9" s="1"/>
  <c r="F822" i="9"/>
  <c r="C822" i="9"/>
  <c r="E822" i="9" s="1"/>
  <c r="F821" i="9"/>
  <c r="C821" i="9"/>
  <c r="E821" i="9" s="1"/>
  <c r="F820" i="9"/>
  <c r="C820" i="9"/>
  <c r="E820" i="9" s="1"/>
  <c r="F819" i="9"/>
  <c r="E819" i="9"/>
  <c r="C819" i="9"/>
  <c r="F818" i="9"/>
  <c r="C818" i="9"/>
  <c r="E818" i="9" s="1"/>
  <c r="F817" i="9"/>
  <c r="C817" i="9"/>
  <c r="E817" i="9" s="1"/>
  <c r="F816" i="9"/>
  <c r="C816" i="9"/>
  <c r="E816" i="9" s="1"/>
  <c r="F815" i="9"/>
  <c r="C815" i="9"/>
  <c r="E815" i="9" s="1"/>
  <c r="F814" i="9"/>
  <c r="C814" i="9"/>
  <c r="E814" i="9" s="1"/>
  <c r="F813" i="9"/>
  <c r="C813" i="9"/>
  <c r="E813" i="9" s="1"/>
  <c r="F812" i="9"/>
  <c r="C812" i="9"/>
  <c r="E812" i="9" s="1"/>
  <c r="F811" i="9"/>
  <c r="E811" i="9"/>
  <c r="C811" i="9"/>
  <c r="F810" i="9"/>
  <c r="C810" i="9"/>
  <c r="E810" i="9" s="1"/>
  <c r="F809" i="9"/>
  <c r="E809" i="9"/>
  <c r="C809" i="9"/>
  <c r="F808" i="9"/>
  <c r="C808" i="9"/>
  <c r="E808" i="9" s="1"/>
  <c r="F807" i="9"/>
  <c r="E807" i="9"/>
  <c r="C807" i="9"/>
  <c r="F806" i="9"/>
  <c r="C806" i="9"/>
  <c r="E806" i="9" s="1"/>
  <c r="F805" i="9"/>
  <c r="C805" i="9"/>
  <c r="E805" i="9" s="1"/>
  <c r="F804" i="9"/>
  <c r="C804" i="9"/>
  <c r="E804" i="9" s="1"/>
  <c r="F803" i="9"/>
  <c r="E803" i="9"/>
  <c r="C803" i="9"/>
  <c r="F802" i="9"/>
  <c r="C802" i="9"/>
  <c r="E802" i="9" s="1"/>
  <c r="F801" i="9"/>
  <c r="E801" i="9"/>
  <c r="C801" i="9"/>
  <c r="F800" i="9"/>
  <c r="C800" i="9"/>
  <c r="E800" i="9" s="1"/>
  <c r="F799" i="9"/>
  <c r="E799" i="9"/>
  <c r="C799" i="9"/>
  <c r="F798" i="9"/>
  <c r="C798" i="9"/>
  <c r="E798" i="9" s="1"/>
  <c r="F797" i="9"/>
  <c r="C797" i="9"/>
  <c r="E797" i="9" s="1"/>
  <c r="F796" i="9"/>
  <c r="C796" i="9"/>
  <c r="E796" i="9" s="1"/>
  <c r="F795" i="9"/>
  <c r="C795" i="9"/>
  <c r="E795" i="9" s="1"/>
  <c r="F794" i="9"/>
  <c r="C794" i="9"/>
  <c r="E794" i="9" s="1"/>
  <c r="F793" i="9"/>
  <c r="C793" i="9"/>
  <c r="E793" i="9" s="1"/>
  <c r="F792" i="9"/>
  <c r="C792" i="9"/>
  <c r="E792" i="9" s="1"/>
  <c r="F791" i="9"/>
  <c r="E791" i="9"/>
  <c r="C791" i="9"/>
  <c r="F790" i="9"/>
  <c r="C790" i="9"/>
  <c r="E790" i="9" s="1"/>
  <c r="F789" i="9"/>
  <c r="C789" i="9"/>
  <c r="E789" i="9" s="1"/>
  <c r="F788" i="9"/>
  <c r="C788" i="9"/>
  <c r="E788" i="9" s="1"/>
  <c r="F787" i="9"/>
  <c r="C787" i="9"/>
  <c r="E787" i="9" s="1"/>
  <c r="F786" i="9"/>
  <c r="C786" i="9"/>
  <c r="E786" i="9" s="1"/>
  <c r="F785" i="9"/>
  <c r="C785" i="9"/>
  <c r="E785" i="9" s="1"/>
  <c r="F784" i="9"/>
  <c r="C784" i="9"/>
  <c r="E784" i="9" s="1"/>
  <c r="F783" i="9"/>
  <c r="E783" i="9"/>
  <c r="C783" i="9"/>
  <c r="F782" i="9"/>
  <c r="C782" i="9"/>
  <c r="E782" i="9" s="1"/>
  <c r="F781" i="9"/>
  <c r="E781" i="9"/>
  <c r="C781" i="9"/>
  <c r="F780" i="9"/>
  <c r="C780" i="9"/>
  <c r="E780" i="9" s="1"/>
  <c r="F779" i="9"/>
  <c r="E779" i="9"/>
  <c r="C779" i="9"/>
  <c r="F778" i="9"/>
  <c r="C778" i="9"/>
  <c r="E778" i="9" s="1"/>
  <c r="F777" i="9"/>
  <c r="C777" i="9"/>
  <c r="E777" i="9" s="1"/>
  <c r="F776" i="9"/>
  <c r="C776" i="9"/>
  <c r="E776" i="9" s="1"/>
  <c r="F775" i="9"/>
  <c r="E775" i="9"/>
  <c r="C775" i="9"/>
  <c r="F774" i="9"/>
  <c r="C774" i="9"/>
  <c r="E774" i="9" s="1"/>
  <c r="F773" i="9"/>
  <c r="E773" i="9"/>
  <c r="C773" i="9"/>
  <c r="F772" i="9"/>
  <c r="C772" i="9"/>
  <c r="E772" i="9" s="1"/>
  <c r="F771" i="9"/>
  <c r="E771" i="9"/>
  <c r="C771" i="9"/>
  <c r="F770" i="9"/>
  <c r="C770" i="9"/>
  <c r="E770" i="9" s="1"/>
  <c r="F769" i="9"/>
  <c r="C769" i="9"/>
  <c r="E769" i="9" s="1"/>
  <c r="F768" i="9"/>
  <c r="C768" i="9"/>
  <c r="E768" i="9" s="1"/>
  <c r="F767" i="9"/>
  <c r="C767" i="9"/>
  <c r="E767" i="9" s="1"/>
  <c r="F766" i="9"/>
  <c r="C766" i="9"/>
  <c r="E766" i="9" s="1"/>
  <c r="F765" i="9"/>
  <c r="C765" i="9"/>
  <c r="E765" i="9" s="1"/>
  <c r="F764" i="9"/>
  <c r="C764" i="9"/>
  <c r="E764" i="9" s="1"/>
  <c r="F763" i="9"/>
  <c r="E763" i="9"/>
  <c r="C763" i="9"/>
  <c r="F762" i="9"/>
  <c r="C762" i="9"/>
  <c r="E762" i="9" s="1"/>
  <c r="F761" i="9"/>
  <c r="C761" i="9"/>
  <c r="E761" i="9" s="1"/>
  <c r="F760" i="9"/>
  <c r="C760" i="9"/>
  <c r="E760" i="9" s="1"/>
  <c r="F759" i="9"/>
  <c r="C759" i="9"/>
  <c r="E759" i="9" s="1"/>
  <c r="F758" i="9"/>
  <c r="C758" i="9"/>
  <c r="E758" i="9" s="1"/>
  <c r="F757" i="9"/>
  <c r="C757" i="9"/>
  <c r="E757" i="9" s="1"/>
  <c r="F756" i="9"/>
  <c r="C756" i="9"/>
  <c r="E756" i="9" s="1"/>
  <c r="F755" i="9"/>
  <c r="C755" i="9"/>
  <c r="E755" i="9" s="1"/>
  <c r="F754" i="9"/>
  <c r="C754" i="9"/>
  <c r="E754" i="9" s="1"/>
  <c r="F753" i="9"/>
  <c r="C753" i="9"/>
  <c r="E753" i="9" s="1"/>
  <c r="F752" i="9"/>
  <c r="C752" i="9"/>
  <c r="E752" i="9" s="1"/>
  <c r="F751" i="9"/>
  <c r="C751" i="9"/>
  <c r="E751" i="9" s="1"/>
  <c r="F750" i="9"/>
  <c r="C750" i="9"/>
  <c r="E750" i="9" s="1"/>
  <c r="F749" i="9"/>
  <c r="C749" i="9"/>
  <c r="E749" i="9" s="1"/>
  <c r="F748" i="9"/>
  <c r="C748" i="9"/>
  <c r="E748" i="9" s="1"/>
  <c r="F747" i="9"/>
  <c r="C747" i="9"/>
  <c r="E747" i="9" s="1"/>
  <c r="F746" i="9"/>
  <c r="C746" i="9"/>
  <c r="E746" i="9" s="1"/>
  <c r="F745" i="9"/>
  <c r="E745" i="9"/>
  <c r="C745" i="9"/>
  <c r="F744" i="9"/>
  <c r="C744" i="9"/>
  <c r="E744" i="9" s="1"/>
  <c r="F743" i="9"/>
  <c r="C743" i="9"/>
  <c r="E743" i="9" s="1"/>
  <c r="F742" i="9"/>
  <c r="E742" i="9"/>
  <c r="C742" i="9"/>
  <c r="F741" i="9"/>
  <c r="E741" i="9"/>
  <c r="C741" i="9"/>
  <c r="F740" i="9"/>
  <c r="C740" i="9"/>
  <c r="E740" i="9" s="1"/>
  <c r="F739" i="9"/>
  <c r="E739" i="9"/>
  <c r="C739" i="9"/>
  <c r="F738" i="9"/>
  <c r="C738" i="9"/>
  <c r="E738" i="9" s="1"/>
  <c r="F737" i="9"/>
  <c r="E737" i="9"/>
  <c r="C737" i="9"/>
  <c r="F736" i="9"/>
  <c r="C736" i="9"/>
  <c r="E736" i="9" s="1"/>
  <c r="F735" i="9"/>
  <c r="C735" i="9"/>
  <c r="E735" i="9" s="1"/>
  <c r="F734" i="9"/>
  <c r="C734" i="9"/>
  <c r="E734" i="9" s="1"/>
  <c r="F733" i="9"/>
  <c r="E733" i="9"/>
  <c r="C733" i="9"/>
  <c r="F732" i="9"/>
  <c r="C732" i="9"/>
  <c r="E732" i="9" s="1"/>
  <c r="F731" i="9"/>
  <c r="C731" i="9"/>
  <c r="E731" i="9" s="1"/>
  <c r="F730" i="9"/>
  <c r="C730" i="9"/>
  <c r="E730" i="9" s="1"/>
  <c r="F729" i="9"/>
  <c r="E729" i="9"/>
  <c r="C729" i="9"/>
  <c r="F728" i="9"/>
  <c r="C728" i="9"/>
  <c r="E728" i="9" s="1"/>
  <c r="F727" i="9"/>
  <c r="E727" i="9"/>
  <c r="C727" i="9"/>
  <c r="F726" i="9"/>
  <c r="E726" i="9"/>
  <c r="C726" i="9"/>
  <c r="F725" i="9"/>
  <c r="C725" i="9"/>
  <c r="E725" i="9" s="1"/>
  <c r="F724" i="9"/>
  <c r="C724" i="9"/>
  <c r="E724" i="9" s="1"/>
  <c r="F723" i="9"/>
  <c r="E723" i="9"/>
  <c r="C723" i="9"/>
  <c r="F722" i="9"/>
  <c r="E722" i="9"/>
  <c r="C722" i="9"/>
  <c r="F721" i="9"/>
  <c r="E721" i="9"/>
  <c r="C721" i="9"/>
  <c r="F720" i="9"/>
  <c r="C720" i="9"/>
  <c r="E720" i="9" s="1"/>
  <c r="F719" i="9"/>
  <c r="C719" i="9"/>
  <c r="E719" i="9" s="1"/>
  <c r="F718" i="9"/>
  <c r="C718" i="9"/>
  <c r="E718" i="9" s="1"/>
  <c r="F717" i="9"/>
  <c r="C717" i="9"/>
  <c r="E717" i="9" s="1"/>
  <c r="F716" i="9"/>
  <c r="C716" i="9"/>
  <c r="E716" i="9" s="1"/>
  <c r="F715" i="9"/>
  <c r="E715" i="9"/>
  <c r="C715" i="9"/>
  <c r="F714" i="9"/>
  <c r="C714" i="9"/>
  <c r="E714" i="9" s="1"/>
  <c r="F713" i="9"/>
  <c r="C713" i="9"/>
  <c r="E713" i="9" s="1"/>
  <c r="F712" i="9"/>
  <c r="C712" i="9"/>
  <c r="E712" i="9" s="1"/>
  <c r="F711" i="9"/>
  <c r="E711" i="9"/>
  <c r="C711" i="9"/>
  <c r="F710" i="9"/>
  <c r="C710" i="9"/>
  <c r="E710" i="9" s="1"/>
  <c r="F709" i="9"/>
  <c r="C709" i="9"/>
  <c r="E709" i="9" s="1"/>
  <c r="F708" i="9"/>
  <c r="C708" i="9"/>
  <c r="E708" i="9" s="1"/>
  <c r="F707" i="9"/>
  <c r="E707" i="9"/>
  <c r="C707" i="9"/>
  <c r="F706" i="9"/>
  <c r="C706" i="9"/>
  <c r="E706" i="9" s="1"/>
  <c r="F705" i="9"/>
  <c r="C705" i="9"/>
  <c r="E705" i="9" s="1"/>
  <c r="F704" i="9"/>
  <c r="C704" i="9"/>
  <c r="E704" i="9" s="1"/>
  <c r="F703" i="9"/>
  <c r="E703" i="9"/>
  <c r="C703" i="9"/>
  <c r="F702" i="9"/>
  <c r="E702" i="9"/>
  <c r="C702" i="9"/>
  <c r="F701" i="9"/>
  <c r="C701" i="9"/>
  <c r="E701" i="9" s="1"/>
  <c r="F700" i="9"/>
  <c r="C700" i="9"/>
  <c r="E700" i="9" s="1"/>
  <c r="F699" i="9"/>
  <c r="C699" i="9"/>
  <c r="E699" i="9" s="1"/>
  <c r="F698" i="9"/>
  <c r="C698" i="9"/>
  <c r="E698" i="9" s="1"/>
  <c r="F697" i="9"/>
  <c r="C697" i="9"/>
  <c r="E697" i="9" s="1"/>
  <c r="F696" i="9"/>
  <c r="C696" i="9"/>
  <c r="E696" i="9" s="1"/>
  <c r="F695" i="9"/>
  <c r="E695" i="9"/>
  <c r="C695" i="9"/>
  <c r="F694" i="9"/>
  <c r="E694" i="9"/>
  <c r="C694" i="9"/>
  <c r="F693" i="9"/>
  <c r="C693" i="9"/>
  <c r="E693" i="9" s="1"/>
  <c r="F692" i="9"/>
  <c r="C692" i="9"/>
  <c r="E692" i="9" s="1"/>
  <c r="F691" i="9"/>
  <c r="C691" i="9"/>
  <c r="E691" i="9" s="1"/>
  <c r="F690" i="9"/>
  <c r="C690" i="9"/>
  <c r="E690" i="9" s="1"/>
  <c r="F689" i="9"/>
  <c r="C689" i="9"/>
  <c r="E689" i="9" s="1"/>
  <c r="F688" i="9"/>
  <c r="C688" i="9"/>
  <c r="E688" i="9" s="1"/>
  <c r="F687" i="9"/>
  <c r="E687" i="9"/>
  <c r="C687" i="9"/>
  <c r="F686" i="9"/>
  <c r="C686" i="9"/>
  <c r="E686" i="9" s="1"/>
  <c r="F685" i="9"/>
  <c r="C685" i="9"/>
  <c r="E685" i="9" s="1"/>
  <c r="F684" i="9"/>
  <c r="C684" i="9"/>
  <c r="E684" i="9" s="1"/>
  <c r="F683" i="9"/>
  <c r="E683" i="9"/>
  <c r="C683" i="9"/>
  <c r="F682" i="9"/>
  <c r="C682" i="9"/>
  <c r="E682" i="9" s="1"/>
  <c r="F681" i="9"/>
  <c r="C681" i="9"/>
  <c r="E681" i="9" s="1"/>
  <c r="F680" i="9"/>
  <c r="C680" i="9"/>
  <c r="E680" i="9" s="1"/>
  <c r="F679" i="9"/>
  <c r="E679" i="9"/>
  <c r="C679" i="9"/>
  <c r="F678" i="9"/>
  <c r="C678" i="9"/>
  <c r="E678" i="9" s="1"/>
  <c r="F677" i="9"/>
  <c r="C677" i="9"/>
  <c r="E677" i="9" s="1"/>
  <c r="F676" i="9"/>
  <c r="C676" i="9"/>
  <c r="E676" i="9" s="1"/>
  <c r="F675" i="9"/>
  <c r="E675" i="9"/>
  <c r="C675" i="9"/>
  <c r="F674" i="9"/>
  <c r="E674" i="9"/>
  <c r="C674" i="9"/>
  <c r="F673" i="9"/>
  <c r="C673" i="9"/>
  <c r="E673" i="9" s="1"/>
  <c r="F672" i="9"/>
  <c r="C672" i="9"/>
  <c r="E672" i="9" s="1"/>
  <c r="F671" i="9"/>
  <c r="C671" i="9"/>
  <c r="E671" i="9" s="1"/>
  <c r="F670" i="9"/>
  <c r="C670" i="9"/>
  <c r="E670" i="9" s="1"/>
  <c r="F669" i="9"/>
  <c r="C669" i="9"/>
  <c r="E669" i="9" s="1"/>
  <c r="F668" i="9"/>
  <c r="C668" i="9"/>
  <c r="E668" i="9" s="1"/>
  <c r="F667" i="9"/>
  <c r="E667" i="9"/>
  <c r="C667" i="9"/>
  <c r="F666" i="9"/>
  <c r="E666" i="9"/>
  <c r="C666" i="9"/>
  <c r="F665" i="9"/>
  <c r="C665" i="9"/>
  <c r="E665" i="9" s="1"/>
  <c r="F664" i="9"/>
  <c r="C664" i="9"/>
  <c r="E664" i="9" s="1"/>
  <c r="F663" i="9"/>
  <c r="C663" i="9"/>
  <c r="E663" i="9" s="1"/>
  <c r="F662" i="9"/>
  <c r="C662" i="9"/>
  <c r="E662" i="9" s="1"/>
  <c r="F661" i="9"/>
  <c r="C661" i="9"/>
  <c r="E661" i="9" s="1"/>
  <c r="F660" i="9"/>
  <c r="C660" i="9"/>
  <c r="E660" i="9" s="1"/>
  <c r="F659" i="9"/>
  <c r="E659" i="9"/>
  <c r="C659" i="9"/>
  <c r="F658" i="9"/>
  <c r="C658" i="9"/>
  <c r="E658" i="9" s="1"/>
  <c r="F657" i="9"/>
  <c r="C657" i="9"/>
  <c r="E657" i="9" s="1"/>
  <c r="F656" i="9"/>
  <c r="C656" i="9"/>
  <c r="E656" i="9" s="1"/>
  <c r="F655" i="9"/>
  <c r="E655" i="9"/>
  <c r="C655" i="9"/>
  <c r="F654" i="9"/>
  <c r="C654" i="9"/>
  <c r="E654" i="9" s="1"/>
  <c r="F653" i="9"/>
  <c r="C653" i="9"/>
  <c r="E653" i="9" s="1"/>
  <c r="F652" i="9"/>
  <c r="C652" i="9"/>
  <c r="E652" i="9" s="1"/>
  <c r="F651" i="9"/>
  <c r="E651" i="9"/>
  <c r="C651" i="9"/>
  <c r="F650" i="9"/>
  <c r="C650" i="9"/>
  <c r="E650" i="9" s="1"/>
  <c r="F649" i="9"/>
  <c r="C649" i="9"/>
  <c r="E649" i="9" s="1"/>
  <c r="F648" i="9"/>
  <c r="C648" i="9"/>
  <c r="E648" i="9" s="1"/>
  <c r="F647" i="9"/>
  <c r="E647" i="9"/>
  <c r="C647" i="9"/>
  <c r="F646" i="9"/>
  <c r="E646" i="9"/>
  <c r="C646" i="9"/>
  <c r="F645" i="9"/>
  <c r="C645" i="9"/>
  <c r="E645" i="9" s="1"/>
  <c r="F644" i="9"/>
  <c r="C644" i="9"/>
  <c r="E644" i="9" s="1"/>
  <c r="F643" i="9"/>
  <c r="C643" i="9"/>
  <c r="E643" i="9" s="1"/>
  <c r="F642" i="9"/>
  <c r="C642" i="9"/>
  <c r="E642" i="9" s="1"/>
  <c r="F641" i="9"/>
  <c r="C641" i="9"/>
  <c r="E641" i="9" s="1"/>
  <c r="F640" i="9"/>
  <c r="C640" i="9"/>
  <c r="E640" i="9" s="1"/>
  <c r="F639" i="9"/>
  <c r="E639" i="9"/>
  <c r="C639" i="9"/>
  <c r="F638" i="9"/>
  <c r="E638" i="9"/>
  <c r="C638" i="9"/>
  <c r="F637" i="9"/>
  <c r="C637" i="9"/>
  <c r="E637" i="9" s="1"/>
  <c r="F636" i="9"/>
  <c r="C636" i="9"/>
  <c r="E636" i="9" s="1"/>
  <c r="F635" i="9"/>
  <c r="C635" i="9"/>
  <c r="E635" i="9" s="1"/>
  <c r="F634" i="9"/>
  <c r="C634" i="9"/>
  <c r="E634" i="9" s="1"/>
  <c r="F633" i="9"/>
  <c r="C633" i="9"/>
  <c r="E633" i="9" s="1"/>
  <c r="F632" i="9"/>
  <c r="C632" i="9"/>
  <c r="E632" i="9" s="1"/>
  <c r="F631" i="9"/>
  <c r="E631" i="9"/>
  <c r="C631" i="9"/>
  <c r="F630" i="9"/>
  <c r="C630" i="9"/>
  <c r="E630" i="9" s="1"/>
  <c r="F629" i="9"/>
  <c r="C629" i="9"/>
  <c r="E629" i="9" s="1"/>
  <c r="F628" i="9"/>
  <c r="C628" i="9"/>
  <c r="E628" i="9" s="1"/>
  <c r="F627" i="9"/>
  <c r="E627" i="9"/>
  <c r="C627" i="9"/>
  <c r="F626" i="9"/>
  <c r="C626" i="9"/>
  <c r="E626" i="9" s="1"/>
  <c r="F625" i="9"/>
  <c r="C625" i="9"/>
  <c r="E625" i="9" s="1"/>
  <c r="F624" i="9"/>
  <c r="C624" i="9"/>
  <c r="E624" i="9" s="1"/>
  <c r="F623" i="9"/>
  <c r="E623" i="9"/>
  <c r="C623" i="9"/>
  <c r="F622" i="9"/>
  <c r="C622" i="9"/>
  <c r="E622" i="9" s="1"/>
  <c r="F621" i="9"/>
  <c r="C621" i="9"/>
  <c r="E621" i="9" s="1"/>
  <c r="F620" i="9"/>
  <c r="C620" i="9"/>
  <c r="E620" i="9" s="1"/>
  <c r="F619" i="9"/>
  <c r="E619" i="9"/>
  <c r="C619" i="9"/>
  <c r="F618" i="9"/>
  <c r="E618" i="9"/>
  <c r="C618" i="9"/>
  <c r="F617" i="9"/>
  <c r="C617" i="9"/>
  <c r="E617" i="9" s="1"/>
  <c r="F616" i="9"/>
  <c r="C616" i="9"/>
  <c r="E616" i="9" s="1"/>
  <c r="F615" i="9"/>
  <c r="C615" i="9"/>
  <c r="E615" i="9" s="1"/>
  <c r="F614" i="9"/>
  <c r="C614" i="9"/>
  <c r="E614" i="9" s="1"/>
  <c r="F613" i="9"/>
  <c r="C613" i="9"/>
  <c r="E613" i="9" s="1"/>
  <c r="F612" i="9"/>
  <c r="E612" i="9"/>
  <c r="C612" i="9"/>
  <c r="F611" i="9"/>
  <c r="C611" i="9"/>
  <c r="E611" i="9" s="1"/>
  <c r="F610" i="9"/>
  <c r="C610" i="9"/>
  <c r="E610" i="9" s="1"/>
  <c r="F609" i="9"/>
  <c r="C609" i="9"/>
  <c r="E609" i="9" s="1"/>
  <c r="F608" i="9"/>
  <c r="C608" i="9"/>
  <c r="E608" i="9" s="1"/>
  <c r="F607" i="9"/>
  <c r="E607" i="9"/>
  <c r="C607" i="9"/>
  <c r="F606" i="9"/>
  <c r="C606" i="9"/>
  <c r="E606" i="9" s="1"/>
  <c r="F605" i="9"/>
  <c r="C605" i="9"/>
  <c r="E605" i="9" s="1"/>
  <c r="F604" i="9"/>
  <c r="C604" i="9"/>
  <c r="E604" i="9" s="1"/>
  <c r="F603" i="9"/>
  <c r="E603" i="9"/>
  <c r="C603" i="9"/>
  <c r="F602" i="9"/>
  <c r="E602" i="9"/>
  <c r="C602" i="9"/>
  <c r="F601" i="9"/>
  <c r="C601" i="9"/>
  <c r="E601" i="9" s="1"/>
  <c r="F600" i="9"/>
  <c r="C600" i="9"/>
  <c r="E600" i="9" s="1"/>
  <c r="F599" i="9"/>
  <c r="C599" i="9"/>
  <c r="E599" i="9" s="1"/>
  <c r="F598" i="9"/>
  <c r="C598" i="9"/>
  <c r="E598" i="9" s="1"/>
  <c r="F597" i="9"/>
  <c r="C597" i="9"/>
  <c r="E597" i="9" s="1"/>
  <c r="F596" i="9"/>
  <c r="C596" i="9"/>
  <c r="E596" i="9" s="1"/>
  <c r="F595" i="9"/>
  <c r="C595" i="9"/>
  <c r="E595" i="9" s="1"/>
  <c r="F594" i="9"/>
  <c r="C594" i="9"/>
  <c r="E594" i="9" s="1"/>
  <c r="F593" i="9"/>
  <c r="C593" i="9"/>
  <c r="E593" i="9" s="1"/>
  <c r="F592" i="9"/>
  <c r="C592" i="9"/>
  <c r="E592" i="9" s="1"/>
  <c r="F591" i="9"/>
  <c r="C591" i="9"/>
  <c r="E591" i="9" s="1"/>
  <c r="F590" i="9"/>
  <c r="C590" i="9"/>
  <c r="E590" i="9" s="1"/>
  <c r="F589" i="9"/>
  <c r="C589" i="9"/>
  <c r="E589" i="9" s="1"/>
  <c r="F588" i="9"/>
  <c r="C588" i="9"/>
  <c r="E588" i="9" s="1"/>
  <c r="F587" i="9"/>
  <c r="E587" i="9"/>
  <c r="C587" i="9"/>
  <c r="F586" i="9"/>
  <c r="E586" i="9"/>
  <c r="C586" i="9"/>
  <c r="F585" i="9"/>
  <c r="C585" i="9"/>
  <c r="E585" i="9" s="1"/>
  <c r="F584" i="9"/>
  <c r="C584" i="9"/>
  <c r="E584" i="9" s="1"/>
  <c r="F583" i="9"/>
  <c r="C583" i="9"/>
  <c r="E583" i="9" s="1"/>
  <c r="F582" i="9"/>
  <c r="C582" i="9"/>
  <c r="E582" i="9" s="1"/>
  <c r="F581" i="9"/>
  <c r="C581" i="9"/>
  <c r="E581" i="9" s="1"/>
  <c r="F580" i="9"/>
  <c r="C580" i="9"/>
  <c r="E580" i="9" s="1"/>
  <c r="F579" i="9"/>
  <c r="C579" i="9"/>
  <c r="E579" i="9" s="1"/>
  <c r="F578" i="9"/>
  <c r="C578" i="9"/>
  <c r="E578" i="9" s="1"/>
  <c r="F577" i="9"/>
  <c r="C577" i="9"/>
  <c r="E577" i="9" s="1"/>
  <c r="F576" i="9"/>
  <c r="C576" i="9"/>
  <c r="E576" i="9" s="1"/>
  <c r="F575" i="9"/>
  <c r="C575" i="9"/>
  <c r="E575" i="9" s="1"/>
  <c r="F574" i="9"/>
  <c r="C574" i="9"/>
  <c r="E574" i="9" s="1"/>
  <c r="F573" i="9"/>
  <c r="C573" i="9"/>
  <c r="E573" i="9" s="1"/>
  <c r="F572" i="9"/>
  <c r="C572" i="9"/>
  <c r="E572" i="9" s="1"/>
  <c r="F571" i="9"/>
  <c r="C571" i="9"/>
  <c r="E571" i="9" s="1"/>
  <c r="F570" i="9"/>
  <c r="C570" i="9"/>
  <c r="E570" i="9" s="1"/>
  <c r="F569" i="9"/>
  <c r="C569" i="9"/>
  <c r="E569" i="9" s="1"/>
  <c r="F568" i="9"/>
  <c r="E568" i="9"/>
  <c r="C568" i="9"/>
  <c r="F567" i="9"/>
  <c r="E567" i="9"/>
  <c r="C567" i="9"/>
  <c r="F566" i="9"/>
  <c r="C566" i="9"/>
  <c r="E566" i="9" s="1"/>
  <c r="F565" i="9"/>
  <c r="C565" i="9"/>
  <c r="E565" i="9" s="1"/>
  <c r="F564" i="9"/>
  <c r="C564" i="9"/>
  <c r="E564" i="9" s="1"/>
  <c r="F563" i="9"/>
  <c r="C563" i="9"/>
  <c r="E563" i="9" s="1"/>
  <c r="F562" i="9"/>
  <c r="C562" i="9"/>
  <c r="E562" i="9" s="1"/>
  <c r="F561" i="9"/>
  <c r="C561" i="9"/>
  <c r="E561" i="9" s="1"/>
  <c r="F560" i="9"/>
  <c r="C560" i="9"/>
  <c r="E560" i="9" s="1"/>
  <c r="F559" i="9"/>
  <c r="E559" i="9"/>
  <c r="C559" i="9"/>
  <c r="F558" i="9"/>
  <c r="C558" i="9"/>
  <c r="E558" i="9" s="1"/>
  <c r="F557" i="9"/>
  <c r="C557" i="9"/>
  <c r="E557" i="9" s="1"/>
  <c r="F556" i="9"/>
  <c r="C556" i="9"/>
  <c r="E556" i="9" s="1"/>
  <c r="F555" i="9"/>
  <c r="E555" i="9"/>
  <c r="C555" i="9"/>
  <c r="F554" i="9"/>
  <c r="C554" i="9"/>
  <c r="E554" i="9" s="1"/>
  <c r="F553" i="9"/>
  <c r="C553" i="9"/>
  <c r="E553" i="9" s="1"/>
  <c r="F552" i="9"/>
  <c r="C552" i="9"/>
  <c r="E552" i="9" s="1"/>
  <c r="F551" i="9"/>
  <c r="C551" i="9"/>
  <c r="E551" i="9" s="1"/>
  <c r="F550" i="9"/>
  <c r="E550" i="9"/>
  <c r="C550" i="9"/>
  <c r="F549" i="9"/>
  <c r="C549" i="9"/>
  <c r="E549" i="9" s="1"/>
  <c r="F548" i="9"/>
  <c r="C548" i="9"/>
  <c r="E548" i="9" s="1"/>
  <c r="F547" i="9"/>
  <c r="C547" i="9"/>
  <c r="E547" i="9" s="1"/>
  <c r="F546" i="9"/>
  <c r="C546" i="9"/>
  <c r="E546" i="9" s="1"/>
  <c r="F545" i="9"/>
  <c r="C545" i="9"/>
  <c r="E545" i="9" s="1"/>
  <c r="F544" i="9"/>
  <c r="E544" i="9"/>
  <c r="C544" i="9"/>
  <c r="F543" i="9"/>
  <c r="C543" i="9"/>
  <c r="E543" i="9" s="1"/>
  <c r="F542" i="9"/>
  <c r="E542" i="9"/>
  <c r="C542" i="9"/>
  <c r="F541" i="9"/>
  <c r="C541" i="9"/>
  <c r="E541" i="9" s="1"/>
  <c r="F540" i="9"/>
  <c r="C540" i="9"/>
  <c r="E540" i="9" s="1"/>
  <c r="F539" i="9"/>
  <c r="E539" i="9"/>
  <c r="C539" i="9"/>
  <c r="F538" i="9"/>
  <c r="C538" i="9"/>
  <c r="E538" i="9" s="1"/>
  <c r="F537" i="9"/>
  <c r="C537" i="9"/>
  <c r="E537" i="9" s="1"/>
  <c r="F536" i="9"/>
  <c r="C536" i="9"/>
  <c r="E536" i="9" s="1"/>
  <c r="F535" i="9"/>
  <c r="E535" i="9"/>
  <c r="C535" i="9"/>
  <c r="F534" i="9"/>
  <c r="C534" i="9"/>
  <c r="E534" i="9" s="1"/>
  <c r="F533" i="9"/>
  <c r="C533" i="9"/>
  <c r="E533" i="9" s="1"/>
  <c r="F532" i="9"/>
  <c r="C532" i="9"/>
  <c r="E532" i="9" s="1"/>
  <c r="F531" i="9"/>
  <c r="C531" i="9"/>
  <c r="E531" i="9" s="1"/>
  <c r="F530" i="9"/>
  <c r="C530" i="9"/>
  <c r="E530" i="9" s="1"/>
  <c r="F529" i="9"/>
  <c r="C529" i="9"/>
  <c r="E529" i="9" s="1"/>
  <c r="F528" i="9"/>
  <c r="C528" i="9"/>
  <c r="E528" i="9" s="1"/>
  <c r="F527" i="9"/>
  <c r="E527" i="9"/>
  <c r="C527" i="9"/>
  <c r="F526" i="9"/>
  <c r="C526" i="9"/>
  <c r="E526" i="9" s="1"/>
  <c r="F525" i="9"/>
  <c r="C525" i="9"/>
  <c r="E525" i="9" s="1"/>
  <c r="F524" i="9"/>
  <c r="C524" i="9"/>
  <c r="E524" i="9" s="1"/>
  <c r="F523" i="9"/>
  <c r="C523" i="9"/>
  <c r="E523" i="9" s="1"/>
  <c r="F522" i="9"/>
  <c r="C522" i="9"/>
  <c r="E522" i="9" s="1"/>
  <c r="F521" i="9"/>
  <c r="C521" i="9"/>
  <c r="E521" i="9" s="1"/>
  <c r="F520" i="9"/>
  <c r="C520" i="9"/>
  <c r="E520" i="9" s="1"/>
  <c r="F519" i="9"/>
  <c r="E519" i="9"/>
  <c r="C519" i="9"/>
  <c r="F518" i="9"/>
  <c r="C518" i="9"/>
  <c r="E518" i="9" s="1"/>
  <c r="F517" i="9"/>
  <c r="C517" i="9"/>
  <c r="E517" i="9" s="1"/>
  <c r="F516" i="9"/>
  <c r="C516" i="9"/>
  <c r="E516" i="9" s="1"/>
  <c r="F515" i="9"/>
  <c r="C515" i="9"/>
  <c r="E515" i="9" s="1"/>
  <c r="F514" i="9"/>
  <c r="C514" i="9"/>
  <c r="E514" i="9" s="1"/>
  <c r="F513" i="9"/>
  <c r="C513" i="9"/>
  <c r="E513" i="9" s="1"/>
  <c r="F512" i="9"/>
  <c r="C512" i="9"/>
  <c r="E512" i="9" s="1"/>
  <c r="F511" i="9"/>
  <c r="C511" i="9"/>
  <c r="E511" i="9" s="1"/>
  <c r="F510" i="9"/>
  <c r="C510" i="9"/>
  <c r="E510" i="9" s="1"/>
  <c r="F509" i="9"/>
  <c r="E509" i="9"/>
  <c r="C509" i="9"/>
  <c r="F508" i="9"/>
  <c r="C508" i="9"/>
  <c r="E508" i="9" s="1"/>
  <c r="F507" i="9"/>
  <c r="C507" i="9"/>
  <c r="E507" i="9" s="1"/>
  <c r="F506" i="9"/>
  <c r="C506" i="9"/>
  <c r="E506" i="9" s="1"/>
  <c r="F505" i="9"/>
  <c r="E505" i="9"/>
  <c r="C505" i="9"/>
  <c r="F504" i="9"/>
  <c r="E504" i="9"/>
  <c r="C504" i="9"/>
  <c r="F503" i="9"/>
  <c r="C503" i="9"/>
  <c r="E503" i="9" s="1"/>
  <c r="F502" i="9"/>
  <c r="C502" i="9"/>
  <c r="E502" i="9" s="1"/>
  <c r="F501" i="9"/>
  <c r="E501" i="9"/>
  <c r="C501" i="9"/>
  <c r="F500" i="9"/>
  <c r="E500" i="9"/>
  <c r="C500" i="9"/>
  <c r="F499" i="9"/>
  <c r="E499" i="9"/>
  <c r="C499" i="9"/>
  <c r="F498" i="9"/>
  <c r="C498" i="9"/>
  <c r="E498" i="9" s="1"/>
  <c r="F497" i="9"/>
  <c r="E497" i="9"/>
  <c r="C497" i="9"/>
  <c r="F496" i="9"/>
  <c r="E496" i="9"/>
  <c r="C496" i="9"/>
  <c r="F495" i="9"/>
  <c r="E495" i="9"/>
  <c r="C495" i="9"/>
  <c r="F494" i="9"/>
  <c r="C494" i="9"/>
  <c r="E494" i="9" s="1"/>
  <c r="F493" i="9"/>
  <c r="E493" i="9"/>
  <c r="C493" i="9"/>
  <c r="F492" i="9"/>
  <c r="E492" i="9"/>
  <c r="C492" i="9"/>
  <c r="F491" i="9"/>
  <c r="C491" i="9"/>
  <c r="E491" i="9" s="1"/>
  <c r="F490" i="9"/>
  <c r="C490" i="9"/>
  <c r="E490" i="9" s="1"/>
  <c r="F489" i="9"/>
  <c r="C489" i="9"/>
  <c r="E489" i="9" s="1"/>
  <c r="F488" i="9"/>
  <c r="C488" i="9"/>
  <c r="E488" i="9" s="1"/>
  <c r="F487" i="9"/>
  <c r="C487" i="9"/>
  <c r="E487" i="9" s="1"/>
  <c r="F486" i="9"/>
  <c r="C486" i="9"/>
  <c r="E486" i="9" s="1"/>
  <c r="F485" i="9"/>
  <c r="E485" i="9"/>
  <c r="C485" i="9"/>
  <c r="F484" i="9"/>
  <c r="E484" i="9"/>
  <c r="C484" i="9"/>
  <c r="F483" i="9"/>
  <c r="C483" i="9"/>
  <c r="E483" i="9" s="1"/>
  <c r="F482" i="9"/>
  <c r="C482" i="9"/>
  <c r="E482" i="9" s="1"/>
  <c r="F481" i="9"/>
  <c r="C481" i="9"/>
  <c r="E481" i="9" s="1"/>
  <c r="F480" i="9"/>
  <c r="C480" i="9"/>
  <c r="E480" i="9" s="1"/>
  <c r="F479" i="9"/>
  <c r="C479" i="9"/>
  <c r="E479" i="9" s="1"/>
  <c r="F478" i="9"/>
  <c r="C478" i="9"/>
  <c r="E478" i="9" s="1"/>
  <c r="F477" i="9"/>
  <c r="E477" i="9"/>
  <c r="C477" i="9"/>
  <c r="F476" i="9"/>
  <c r="C476" i="9"/>
  <c r="E476" i="9" s="1"/>
  <c r="F475" i="9"/>
  <c r="C475" i="9"/>
  <c r="E475" i="9" s="1"/>
  <c r="F474" i="9"/>
  <c r="C474" i="9"/>
  <c r="E474" i="9" s="1"/>
  <c r="F473" i="9"/>
  <c r="E473" i="9"/>
  <c r="C473" i="9"/>
  <c r="F472" i="9"/>
  <c r="C472" i="9"/>
  <c r="E472" i="9" s="1"/>
  <c r="F471" i="9"/>
  <c r="C471" i="9"/>
  <c r="E471" i="9" s="1"/>
  <c r="F470" i="9"/>
  <c r="C470" i="9"/>
  <c r="E470" i="9" s="1"/>
  <c r="F469" i="9"/>
  <c r="C469" i="9"/>
  <c r="E469" i="9" s="1"/>
  <c r="F468" i="9"/>
  <c r="C468" i="9"/>
  <c r="E468" i="9" s="1"/>
  <c r="F467" i="9"/>
  <c r="C467" i="9"/>
  <c r="E467" i="9" s="1"/>
  <c r="F466" i="9"/>
  <c r="C466" i="9"/>
  <c r="E466" i="9" s="1"/>
  <c r="F465" i="9"/>
  <c r="E465" i="9"/>
  <c r="C465" i="9"/>
  <c r="F464" i="9"/>
  <c r="E464" i="9"/>
  <c r="C464" i="9"/>
  <c r="F463" i="9"/>
  <c r="C463" i="9"/>
  <c r="E463" i="9" s="1"/>
  <c r="F462" i="9"/>
  <c r="C462" i="9"/>
  <c r="E462" i="9" s="1"/>
  <c r="F461" i="9"/>
  <c r="C461" i="9"/>
  <c r="E461" i="9" s="1"/>
  <c r="F460" i="9"/>
  <c r="C460" i="9"/>
  <c r="E460" i="9" s="1"/>
  <c r="F459" i="9"/>
  <c r="C459" i="9"/>
  <c r="E459" i="9" s="1"/>
  <c r="F458" i="9"/>
  <c r="C458" i="9"/>
  <c r="E458" i="9" s="1"/>
  <c r="F457" i="9"/>
  <c r="E457" i="9"/>
  <c r="C457" i="9"/>
  <c r="F456" i="9"/>
  <c r="E456" i="9"/>
  <c r="C456" i="9"/>
  <c r="F455" i="9"/>
  <c r="C455" i="9"/>
  <c r="E455" i="9" s="1"/>
  <c r="F454" i="9"/>
  <c r="C454" i="9"/>
  <c r="E454" i="9" s="1"/>
  <c r="F453" i="9"/>
  <c r="C453" i="9"/>
  <c r="E453" i="9" s="1"/>
  <c r="F452" i="9"/>
  <c r="C452" i="9"/>
  <c r="E452" i="9" s="1"/>
  <c r="F451" i="9"/>
  <c r="C451" i="9"/>
  <c r="E451" i="9" s="1"/>
  <c r="F450" i="9"/>
  <c r="C450" i="9"/>
  <c r="E450" i="9" s="1"/>
  <c r="F449" i="9"/>
  <c r="E449" i="9"/>
  <c r="C449" i="9"/>
  <c r="F448" i="9"/>
  <c r="C448" i="9"/>
  <c r="E448" i="9" s="1"/>
  <c r="F447" i="9"/>
  <c r="C447" i="9"/>
  <c r="E447" i="9" s="1"/>
  <c r="F446" i="9"/>
  <c r="C446" i="9"/>
  <c r="E446" i="9" s="1"/>
  <c r="F445" i="9"/>
  <c r="E445" i="9"/>
  <c r="C445" i="9"/>
  <c r="F444" i="9"/>
  <c r="E444" i="9"/>
  <c r="C444" i="9"/>
  <c r="F443" i="9"/>
  <c r="C443" i="9"/>
  <c r="E443" i="9" s="1"/>
  <c r="F442" i="9"/>
  <c r="C442" i="9"/>
  <c r="E442" i="9" s="1"/>
  <c r="F441" i="9"/>
  <c r="E441" i="9"/>
  <c r="C441" i="9"/>
  <c r="F440" i="9"/>
  <c r="E440" i="9"/>
  <c r="C440" i="9"/>
  <c r="F439" i="9"/>
  <c r="E439" i="9"/>
  <c r="C439" i="9"/>
  <c r="F438" i="9"/>
  <c r="C438" i="9"/>
  <c r="E438" i="9" s="1"/>
  <c r="F437" i="9"/>
  <c r="E437" i="9"/>
  <c r="C437" i="9"/>
  <c r="F436" i="9"/>
  <c r="E436" i="9"/>
  <c r="C436" i="9"/>
  <c r="F435" i="9"/>
  <c r="C435" i="9"/>
  <c r="E435" i="9" s="1"/>
  <c r="F434" i="9"/>
  <c r="C434" i="9"/>
  <c r="E434" i="9" s="1"/>
  <c r="F433" i="9"/>
  <c r="C433" i="9"/>
  <c r="E433" i="9" s="1"/>
  <c r="F432" i="9"/>
  <c r="C432" i="9"/>
  <c r="E432" i="9" s="1"/>
  <c r="F431" i="9"/>
  <c r="C431" i="9"/>
  <c r="E431" i="9" s="1"/>
  <c r="F430" i="9"/>
  <c r="C430" i="9"/>
  <c r="E430" i="9" s="1"/>
  <c r="F429" i="9"/>
  <c r="E429" i="9"/>
  <c r="C429" i="9"/>
  <c r="F428" i="9"/>
  <c r="E428" i="9"/>
  <c r="C428" i="9"/>
  <c r="F427" i="9"/>
  <c r="C427" i="9"/>
  <c r="E427" i="9" s="1"/>
  <c r="F426" i="9"/>
  <c r="C426" i="9"/>
  <c r="E426" i="9" s="1"/>
  <c r="F425" i="9"/>
  <c r="C425" i="9"/>
  <c r="E425" i="9" s="1"/>
  <c r="F424" i="9"/>
  <c r="E424" i="9"/>
  <c r="C424" i="9"/>
  <c r="F423" i="9"/>
  <c r="C423" i="9"/>
  <c r="E423" i="9" s="1"/>
  <c r="F422" i="9"/>
  <c r="C422" i="9"/>
  <c r="E422" i="9" s="1"/>
  <c r="F421" i="9"/>
  <c r="C421" i="9"/>
  <c r="E421" i="9" s="1"/>
  <c r="F420" i="9"/>
  <c r="C420" i="9"/>
  <c r="E420" i="9" s="1"/>
  <c r="F419" i="9"/>
  <c r="C419" i="9"/>
  <c r="E419" i="9" s="1"/>
  <c r="F418" i="9"/>
  <c r="C418" i="9"/>
  <c r="E418" i="9" s="1"/>
  <c r="F417" i="9"/>
  <c r="C417" i="9"/>
  <c r="E417" i="9" s="1"/>
  <c r="F416" i="9"/>
  <c r="E416" i="9"/>
  <c r="C416" i="9"/>
  <c r="F415" i="9"/>
  <c r="C415" i="9"/>
  <c r="E415" i="9" s="1"/>
  <c r="F414" i="9"/>
  <c r="C414" i="9"/>
  <c r="E414" i="9" s="1"/>
  <c r="F413" i="9"/>
  <c r="C413" i="9"/>
  <c r="E413" i="9" s="1"/>
  <c r="F412" i="9"/>
  <c r="C412" i="9"/>
  <c r="E412" i="9" s="1"/>
  <c r="F411" i="9"/>
  <c r="C411" i="9"/>
  <c r="E411" i="9" s="1"/>
  <c r="F410" i="9"/>
  <c r="C410" i="9"/>
  <c r="E410" i="9" s="1"/>
  <c r="F409" i="9"/>
  <c r="E409" i="9"/>
  <c r="C409" i="9"/>
  <c r="F408" i="9"/>
  <c r="E408" i="9"/>
  <c r="C408" i="9"/>
  <c r="F407" i="9"/>
  <c r="C407" i="9"/>
  <c r="E407" i="9" s="1"/>
  <c r="F406" i="9"/>
  <c r="C406" i="9"/>
  <c r="E406" i="9" s="1"/>
  <c r="F405" i="9"/>
  <c r="C405" i="9"/>
  <c r="E405" i="9" s="1"/>
  <c r="F404" i="9"/>
  <c r="C404" i="9"/>
  <c r="E404" i="9" s="1"/>
  <c r="F403" i="9"/>
  <c r="C403" i="9"/>
  <c r="E403" i="9" s="1"/>
  <c r="F402" i="9"/>
  <c r="C402" i="9"/>
  <c r="E402" i="9" s="1"/>
  <c r="F401" i="9"/>
  <c r="E401" i="9"/>
  <c r="C401" i="9"/>
  <c r="F400" i="9"/>
  <c r="E400" i="9"/>
  <c r="C400" i="9"/>
  <c r="F399" i="9"/>
  <c r="C399" i="9"/>
  <c r="E399" i="9" s="1"/>
  <c r="F398" i="9"/>
  <c r="C398" i="9"/>
  <c r="E398" i="9" s="1"/>
  <c r="F397" i="9"/>
  <c r="C397" i="9"/>
  <c r="E397" i="9" s="1"/>
  <c r="F396" i="9"/>
  <c r="E396" i="9"/>
  <c r="C396" i="9"/>
  <c r="F395" i="9"/>
  <c r="C395" i="9"/>
  <c r="E395" i="9" s="1"/>
  <c r="F394" i="9"/>
  <c r="C394" i="9"/>
  <c r="E394" i="9" s="1"/>
  <c r="F393" i="9"/>
  <c r="C393" i="9"/>
  <c r="E393" i="9" s="1"/>
  <c r="F392" i="9"/>
  <c r="C392" i="9"/>
  <c r="E392" i="9" s="1"/>
  <c r="F391" i="9"/>
  <c r="C391" i="9"/>
  <c r="E391" i="9" s="1"/>
  <c r="F390" i="9"/>
  <c r="C390" i="9"/>
  <c r="E390" i="9" s="1"/>
  <c r="F389" i="9"/>
  <c r="C389" i="9"/>
  <c r="E389" i="9" s="1"/>
  <c r="F388" i="9"/>
  <c r="E388" i="9"/>
  <c r="C388" i="9"/>
  <c r="F387" i="9"/>
  <c r="C387" i="9"/>
  <c r="E387" i="9" s="1"/>
  <c r="F386" i="9"/>
  <c r="C386" i="9"/>
  <c r="E386" i="9" s="1"/>
  <c r="F385" i="9"/>
  <c r="C385" i="9"/>
  <c r="E385" i="9" s="1"/>
  <c r="F384" i="9"/>
  <c r="C384" i="9"/>
  <c r="E384" i="9" s="1"/>
  <c r="F383" i="9"/>
  <c r="C383" i="9"/>
  <c r="E383" i="9" s="1"/>
  <c r="F382" i="9"/>
  <c r="C382" i="9"/>
  <c r="E382" i="9" s="1"/>
  <c r="F381" i="9"/>
  <c r="E381" i="9"/>
  <c r="C381" i="9"/>
  <c r="F380" i="9"/>
  <c r="E380" i="9"/>
  <c r="C380" i="9"/>
  <c r="F379" i="9"/>
  <c r="C379" i="9"/>
  <c r="E379" i="9" s="1"/>
  <c r="F378" i="9"/>
  <c r="C378" i="9"/>
  <c r="E378" i="9" s="1"/>
  <c r="F377" i="9"/>
  <c r="C377" i="9"/>
  <c r="E377" i="9" s="1"/>
  <c r="F376" i="9"/>
  <c r="C376" i="9"/>
  <c r="E376" i="9" s="1"/>
  <c r="F375" i="9"/>
  <c r="C375" i="9"/>
  <c r="E375" i="9" s="1"/>
  <c r="F374" i="9"/>
  <c r="C374" i="9"/>
  <c r="E374" i="9" s="1"/>
  <c r="F373" i="9"/>
  <c r="E373" i="9"/>
  <c r="C373" i="9"/>
  <c r="F372" i="9"/>
  <c r="E372" i="9"/>
  <c r="C372" i="9"/>
  <c r="F371" i="9"/>
  <c r="C371" i="9"/>
  <c r="E371" i="9" s="1"/>
  <c r="F370" i="9"/>
  <c r="C370" i="9"/>
  <c r="E370" i="9" s="1"/>
  <c r="F369" i="9"/>
  <c r="C369" i="9"/>
  <c r="E369" i="9" s="1"/>
  <c r="F368" i="9"/>
  <c r="E368" i="9"/>
  <c r="C368" i="9"/>
  <c r="F367" i="9"/>
  <c r="C367" i="9"/>
  <c r="E367" i="9" s="1"/>
  <c r="F366" i="9"/>
  <c r="C366" i="9"/>
  <c r="E366" i="9" s="1"/>
  <c r="F365" i="9"/>
  <c r="C365" i="9"/>
  <c r="E365" i="9" s="1"/>
  <c r="F364" i="9"/>
  <c r="C364" i="9"/>
  <c r="E364" i="9" s="1"/>
  <c r="F363" i="9"/>
  <c r="C363" i="9"/>
  <c r="E363" i="9" s="1"/>
  <c r="F362" i="9"/>
  <c r="C362" i="9"/>
  <c r="E362" i="9" s="1"/>
  <c r="F361" i="9"/>
  <c r="E361" i="9"/>
  <c r="C361" i="9"/>
  <c r="F360" i="9"/>
  <c r="C360" i="9"/>
  <c r="E360" i="9" s="1"/>
  <c r="F359" i="9"/>
  <c r="C359" i="9"/>
  <c r="E359" i="9" s="1"/>
  <c r="F358" i="9"/>
  <c r="C358" i="9"/>
  <c r="E358" i="9" s="1"/>
  <c r="F357" i="9"/>
  <c r="E357" i="9"/>
  <c r="C357" i="9"/>
  <c r="F356" i="9"/>
  <c r="E356" i="9"/>
  <c r="C356" i="9"/>
  <c r="F355" i="9"/>
  <c r="C355" i="9"/>
  <c r="E355" i="9" s="1"/>
  <c r="F354" i="9"/>
  <c r="C354" i="9"/>
  <c r="E354" i="9" s="1"/>
  <c r="F353" i="9"/>
  <c r="E353" i="9"/>
  <c r="C353" i="9"/>
  <c r="F352" i="9"/>
  <c r="E352" i="9"/>
  <c r="C352" i="9"/>
  <c r="F351" i="9"/>
  <c r="E351" i="9"/>
  <c r="C351" i="9"/>
  <c r="F350" i="9"/>
  <c r="C350" i="9"/>
  <c r="E350" i="9" s="1"/>
  <c r="F349" i="9"/>
  <c r="E349" i="9"/>
  <c r="C349" i="9"/>
  <c r="F348" i="9"/>
  <c r="E348" i="9"/>
  <c r="C348" i="9"/>
  <c r="F347" i="9"/>
  <c r="E347" i="9"/>
  <c r="C347" i="9"/>
  <c r="F346" i="9"/>
  <c r="C346" i="9"/>
  <c r="E346" i="9" s="1"/>
  <c r="F345" i="9"/>
  <c r="E345" i="9"/>
  <c r="C345" i="9"/>
  <c r="F344" i="9"/>
  <c r="E344" i="9"/>
  <c r="C344" i="9"/>
  <c r="F343" i="9"/>
  <c r="E343" i="9"/>
  <c r="C343" i="9"/>
  <c r="F342" i="9"/>
  <c r="C342" i="9"/>
  <c r="E342" i="9" s="1"/>
  <c r="F341" i="9"/>
  <c r="C341" i="9"/>
  <c r="E341" i="9" s="1"/>
  <c r="F340" i="9"/>
  <c r="E340" i="9"/>
  <c r="C340" i="9"/>
  <c r="F339" i="9"/>
  <c r="E339" i="9"/>
  <c r="C339" i="9"/>
  <c r="F338" i="9"/>
  <c r="C338" i="9"/>
  <c r="E338" i="9" s="1"/>
  <c r="F337" i="9"/>
  <c r="E337" i="9"/>
  <c r="C337" i="9"/>
  <c r="F336" i="9"/>
  <c r="C336" i="9"/>
  <c r="E336" i="9" s="1"/>
  <c r="F335" i="9"/>
  <c r="E335" i="9"/>
  <c r="C335" i="9"/>
  <c r="F334" i="9"/>
  <c r="C334" i="9"/>
  <c r="E334" i="9" s="1"/>
  <c r="F333" i="9"/>
  <c r="C333" i="9"/>
  <c r="E333" i="9" s="1"/>
  <c r="F332" i="9"/>
  <c r="E332" i="9"/>
  <c r="C332" i="9"/>
  <c r="F331" i="9"/>
  <c r="C331" i="9"/>
  <c r="E331" i="9" s="1"/>
  <c r="F330" i="9"/>
  <c r="C330" i="9"/>
  <c r="E330" i="9" s="1"/>
  <c r="F329" i="9"/>
  <c r="C329" i="9"/>
  <c r="E329" i="9" s="1"/>
  <c r="F328" i="9"/>
  <c r="C328" i="9"/>
  <c r="E328" i="9" s="1"/>
  <c r="F327" i="9"/>
  <c r="C327" i="9"/>
  <c r="E327" i="9" s="1"/>
  <c r="F326" i="9"/>
  <c r="C326" i="9"/>
  <c r="E326" i="9" s="1"/>
  <c r="F325" i="9"/>
  <c r="C325" i="9"/>
  <c r="E325" i="9" s="1"/>
  <c r="F324" i="9"/>
  <c r="E324" i="9"/>
  <c r="C324" i="9"/>
  <c r="F323" i="9"/>
  <c r="C323" i="9"/>
  <c r="E323" i="9" s="1"/>
  <c r="F322" i="9"/>
  <c r="C322" i="9"/>
  <c r="E322" i="9" s="1"/>
  <c r="F321" i="9"/>
  <c r="C321" i="9"/>
  <c r="E321" i="9" s="1"/>
  <c r="F320" i="9"/>
  <c r="C320" i="9"/>
  <c r="E320" i="9" s="1"/>
  <c r="F319" i="9"/>
  <c r="C319" i="9"/>
  <c r="E319" i="9" s="1"/>
  <c r="F318" i="9"/>
  <c r="C318" i="9"/>
  <c r="E318" i="9" s="1"/>
  <c r="F317" i="9"/>
  <c r="E317" i="9"/>
  <c r="C317" i="9"/>
  <c r="F316" i="9"/>
  <c r="E316" i="9"/>
  <c r="C316" i="9"/>
  <c r="F315" i="9"/>
  <c r="C315" i="9"/>
  <c r="E315" i="9" s="1"/>
  <c r="F314" i="9"/>
  <c r="C314" i="9"/>
  <c r="E314" i="9" s="1"/>
  <c r="F313" i="9"/>
  <c r="C313" i="9"/>
  <c r="E313" i="9" s="1"/>
  <c r="F312" i="9"/>
  <c r="C312" i="9"/>
  <c r="E312" i="9" s="1"/>
  <c r="F311" i="9"/>
  <c r="C311" i="9"/>
  <c r="E311" i="9" s="1"/>
  <c r="F310" i="9"/>
  <c r="C310" i="9"/>
  <c r="E310" i="9" s="1"/>
  <c r="F309" i="9"/>
  <c r="E309" i="9"/>
  <c r="C309" i="9"/>
  <c r="F308" i="9"/>
  <c r="E308" i="9"/>
  <c r="C308" i="9"/>
  <c r="F307" i="9"/>
  <c r="C307" i="9"/>
  <c r="E307" i="9" s="1"/>
  <c r="F306" i="9"/>
  <c r="C306" i="9"/>
  <c r="E306" i="9" s="1"/>
  <c r="F305" i="9"/>
  <c r="C305" i="9"/>
  <c r="E305" i="9" s="1"/>
  <c r="F304" i="9"/>
  <c r="E304" i="9"/>
  <c r="C304" i="9"/>
  <c r="F303" i="9"/>
  <c r="C303" i="9"/>
  <c r="E303" i="9" s="1"/>
  <c r="F302" i="9"/>
  <c r="C302" i="9"/>
  <c r="E302" i="9" s="1"/>
  <c r="F301" i="9"/>
  <c r="C301" i="9"/>
  <c r="E301" i="9" s="1"/>
  <c r="F300" i="9"/>
  <c r="C300" i="9"/>
  <c r="E300" i="9" s="1"/>
  <c r="F299" i="9"/>
  <c r="C299" i="9"/>
  <c r="E299" i="9" s="1"/>
  <c r="F298" i="9"/>
  <c r="C298" i="9"/>
  <c r="E298" i="9" s="1"/>
  <c r="F297" i="9"/>
  <c r="C297" i="9"/>
  <c r="E297" i="9" s="1"/>
  <c r="F296" i="9"/>
  <c r="E296" i="9"/>
  <c r="C296" i="9"/>
  <c r="F295" i="9"/>
  <c r="E295" i="9"/>
  <c r="C295" i="9"/>
  <c r="F294" i="9"/>
  <c r="C294" i="9"/>
  <c r="E294" i="9" s="1"/>
  <c r="F293" i="9"/>
  <c r="E293" i="9"/>
  <c r="C293" i="9"/>
  <c r="F292" i="9"/>
  <c r="C292" i="9"/>
  <c r="E292" i="9" s="1"/>
  <c r="F291" i="9"/>
  <c r="E291" i="9"/>
  <c r="C291" i="9"/>
  <c r="F290" i="9"/>
  <c r="C290" i="9"/>
  <c r="E290" i="9" s="1"/>
  <c r="F289" i="9"/>
  <c r="C289" i="9"/>
  <c r="E289" i="9" s="1"/>
  <c r="F288" i="9"/>
  <c r="E288" i="9"/>
  <c r="C288" i="9"/>
  <c r="F287" i="9"/>
  <c r="C287" i="9"/>
  <c r="E287" i="9" s="1"/>
  <c r="F286" i="9"/>
  <c r="C286" i="9"/>
  <c r="E286" i="9" s="1"/>
  <c r="F285" i="9"/>
  <c r="C285" i="9"/>
  <c r="E285" i="9" s="1"/>
  <c r="F284" i="9"/>
  <c r="C284" i="9"/>
  <c r="E284" i="9" s="1"/>
  <c r="F283" i="9"/>
  <c r="E283" i="9"/>
  <c r="C283" i="9"/>
  <c r="F282" i="9"/>
  <c r="C282" i="9"/>
  <c r="E282" i="9" s="1"/>
  <c r="F281" i="9"/>
  <c r="C281" i="9"/>
  <c r="E281" i="9" s="1"/>
  <c r="F280" i="9"/>
  <c r="C280" i="9"/>
  <c r="E280" i="9" s="1"/>
  <c r="F279" i="9"/>
  <c r="C279" i="9"/>
  <c r="E279" i="9" s="1"/>
  <c r="F278" i="9"/>
  <c r="C278" i="9"/>
  <c r="E278" i="9" s="1"/>
  <c r="F277" i="9"/>
  <c r="E277" i="9"/>
  <c r="C277" i="9"/>
  <c r="F276" i="9"/>
  <c r="E276" i="9"/>
  <c r="C276" i="9"/>
  <c r="F275" i="9"/>
  <c r="C275" i="9"/>
  <c r="E275" i="9" s="1"/>
  <c r="F274" i="9"/>
  <c r="C274" i="9"/>
  <c r="E274" i="9" s="1"/>
  <c r="F273" i="9"/>
  <c r="C273" i="9"/>
  <c r="E273" i="9" s="1"/>
  <c r="F272" i="9"/>
  <c r="E272" i="9"/>
  <c r="C272" i="9"/>
  <c r="F271" i="9"/>
  <c r="C271" i="9"/>
  <c r="E271" i="9" s="1"/>
  <c r="F270" i="9"/>
  <c r="C270" i="9"/>
  <c r="E270" i="9" s="1"/>
  <c r="F269" i="9"/>
  <c r="C269" i="9"/>
  <c r="E269" i="9" s="1"/>
  <c r="F268" i="9"/>
  <c r="C268" i="9"/>
  <c r="E268" i="9" s="1"/>
  <c r="F267" i="9"/>
  <c r="C267" i="9"/>
  <c r="E267" i="9" s="1"/>
  <c r="F266" i="9"/>
  <c r="C266" i="9"/>
  <c r="E266" i="9" s="1"/>
  <c r="F265" i="9"/>
  <c r="E265" i="9"/>
  <c r="C265" i="9"/>
  <c r="F264" i="9"/>
  <c r="C264" i="9"/>
  <c r="E264" i="9" s="1"/>
  <c r="F263" i="9"/>
  <c r="C263" i="9"/>
  <c r="E263" i="9" s="1"/>
  <c r="F262" i="9"/>
  <c r="C262" i="9"/>
  <c r="E262" i="9" s="1"/>
  <c r="F261" i="9"/>
  <c r="E261" i="9"/>
  <c r="C261" i="9"/>
  <c r="F260" i="9"/>
  <c r="C260" i="9"/>
  <c r="E260" i="9" s="1"/>
  <c r="F259" i="9"/>
  <c r="C259" i="9"/>
  <c r="E259" i="9" s="1"/>
  <c r="F258" i="9"/>
  <c r="C258" i="9"/>
  <c r="E258" i="9" s="1"/>
  <c r="F257" i="9"/>
  <c r="C257" i="9"/>
  <c r="E257" i="9" s="1"/>
  <c r="F256" i="9"/>
  <c r="C256" i="9"/>
  <c r="E256" i="9" s="1"/>
  <c r="F255" i="9"/>
  <c r="C255" i="9"/>
  <c r="E255" i="9" s="1"/>
  <c r="F254" i="9"/>
  <c r="C254" i="9"/>
  <c r="E254" i="9" s="1"/>
  <c r="F253" i="9"/>
  <c r="E253" i="9"/>
  <c r="C253" i="9"/>
  <c r="F252" i="9"/>
  <c r="E252" i="9"/>
  <c r="C252" i="9"/>
  <c r="F251" i="9"/>
  <c r="C251" i="9"/>
  <c r="E251" i="9" s="1"/>
  <c r="F250" i="9"/>
  <c r="C250" i="9"/>
  <c r="E250" i="9" s="1"/>
  <c r="F249" i="9"/>
  <c r="C249" i="9"/>
  <c r="E249" i="9" s="1"/>
  <c r="F248" i="9"/>
  <c r="C248" i="9"/>
  <c r="E248" i="9" s="1"/>
  <c r="F247" i="9"/>
  <c r="C247" i="9"/>
  <c r="E247" i="9" s="1"/>
  <c r="F246" i="9"/>
  <c r="C246" i="9"/>
  <c r="E246" i="9" s="1"/>
  <c r="F245" i="9"/>
  <c r="E245" i="9"/>
  <c r="C245" i="9"/>
  <c r="F244" i="9"/>
  <c r="E244" i="9"/>
  <c r="C244" i="9"/>
  <c r="F243" i="9"/>
  <c r="C243" i="9"/>
  <c r="E243" i="9" s="1"/>
  <c r="F242" i="9"/>
  <c r="C242" i="9"/>
  <c r="E242" i="9" s="1"/>
  <c r="F241" i="9"/>
  <c r="C241" i="9"/>
  <c r="E241" i="9" s="1"/>
  <c r="F240" i="9"/>
  <c r="C240" i="9"/>
  <c r="E240" i="9" s="1"/>
  <c r="F239" i="9"/>
  <c r="C239" i="9"/>
  <c r="E239" i="9" s="1"/>
  <c r="F238" i="9"/>
  <c r="C238" i="9"/>
  <c r="E238" i="9" s="1"/>
  <c r="F237" i="9"/>
  <c r="E237" i="9"/>
  <c r="C237" i="9"/>
  <c r="F236" i="9"/>
  <c r="C236" i="9"/>
  <c r="E236" i="9" s="1"/>
  <c r="F235" i="9"/>
  <c r="C235" i="9"/>
  <c r="E235" i="9" s="1"/>
  <c r="F234" i="9"/>
  <c r="C234" i="9"/>
  <c r="E234" i="9" s="1"/>
  <c r="F233" i="9"/>
  <c r="E233" i="9"/>
  <c r="C233" i="9"/>
  <c r="F232" i="9"/>
  <c r="C232" i="9"/>
  <c r="E232" i="9" s="1"/>
  <c r="F231" i="9"/>
  <c r="C231" i="9"/>
  <c r="E231" i="9" s="1"/>
  <c r="F230" i="9"/>
  <c r="C230" i="9"/>
  <c r="E230" i="9" s="1"/>
  <c r="F229" i="9"/>
  <c r="C229" i="9"/>
  <c r="E229" i="9" s="1"/>
  <c r="F228" i="9"/>
  <c r="C228" i="9"/>
  <c r="E228" i="9" s="1"/>
  <c r="F227" i="9"/>
  <c r="C227" i="9"/>
  <c r="E227" i="9" s="1"/>
  <c r="F226" i="9"/>
  <c r="C226" i="9"/>
  <c r="E226" i="9" s="1"/>
  <c r="F225" i="9"/>
  <c r="E225" i="9"/>
  <c r="C225" i="9"/>
  <c r="F224" i="9"/>
  <c r="E224" i="9"/>
  <c r="C224" i="9"/>
  <c r="F223" i="9"/>
  <c r="C223" i="9"/>
  <c r="E223" i="9" s="1"/>
  <c r="F222" i="9"/>
  <c r="C222" i="9"/>
  <c r="E222" i="9" s="1"/>
  <c r="F221" i="9"/>
  <c r="C221" i="9"/>
  <c r="E221" i="9" s="1"/>
  <c r="F220" i="9"/>
  <c r="C220" i="9"/>
  <c r="E220" i="9" s="1"/>
  <c r="F219" i="9"/>
  <c r="C219" i="9"/>
  <c r="E219" i="9" s="1"/>
  <c r="F218" i="9"/>
  <c r="C218" i="9"/>
  <c r="E218" i="9" s="1"/>
  <c r="F217" i="9"/>
  <c r="E217" i="9"/>
  <c r="C217" i="9"/>
  <c r="F216" i="9"/>
  <c r="E216" i="9"/>
  <c r="C216" i="9"/>
  <c r="F215" i="9"/>
  <c r="C215" i="9"/>
  <c r="E215" i="9" s="1"/>
  <c r="F214" i="9"/>
  <c r="C214" i="9"/>
  <c r="E214" i="9" s="1"/>
  <c r="F213" i="9"/>
  <c r="C213" i="9"/>
  <c r="E213" i="9" s="1"/>
  <c r="F212" i="9"/>
  <c r="C212" i="9"/>
  <c r="E212" i="9" s="1"/>
  <c r="F211" i="9"/>
  <c r="C211" i="9"/>
  <c r="E211" i="9" s="1"/>
  <c r="F210" i="9"/>
  <c r="C210" i="9"/>
  <c r="E210" i="9" s="1"/>
  <c r="F209" i="9"/>
  <c r="E209" i="9"/>
  <c r="C209" i="9"/>
  <c r="F208" i="9"/>
  <c r="C208" i="9"/>
  <c r="E208" i="9" s="1"/>
  <c r="F207" i="9"/>
  <c r="C207" i="9"/>
  <c r="E207" i="9" s="1"/>
  <c r="F206" i="9"/>
  <c r="C206" i="9"/>
  <c r="E206" i="9" s="1"/>
  <c r="F205" i="9"/>
  <c r="E205" i="9"/>
  <c r="C205" i="9"/>
  <c r="F204" i="9"/>
  <c r="C204" i="9"/>
  <c r="E204" i="9" s="1"/>
  <c r="F203" i="9"/>
  <c r="C203" i="9"/>
  <c r="E203" i="9" s="1"/>
  <c r="F202" i="9"/>
  <c r="C202" i="9"/>
  <c r="E202" i="9" s="1"/>
  <c r="F201" i="9"/>
  <c r="C201" i="9"/>
  <c r="E201" i="9" s="1"/>
  <c r="F200" i="9"/>
  <c r="C200" i="9"/>
  <c r="E200" i="9" s="1"/>
  <c r="F199" i="9"/>
  <c r="C199" i="9"/>
  <c r="E199" i="9" s="1"/>
  <c r="F198" i="9"/>
  <c r="C198" i="9"/>
  <c r="E198" i="9" s="1"/>
  <c r="F197" i="9"/>
  <c r="E197" i="9"/>
  <c r="C197" i="9"/>
  <c r="F196" i="9"/>
  <c r="E196" i="9"/>
  <c r="C196" i="9"/>
  <c r="F195" i="9"/>
  <c r="C195" i="9"/>
  <c r="E195" i="9" s="1"/>
  <c r="F194" i="9"/>
  <c r="C194" i="9"/>
  <c r="E194" i="9" s="1"/>
  <c r="F193" i="9"/>
  <c r="C193" i="9"/>
  <c r="E193" i="9" s="1"/>
  <c r="F192" i="9"/>
  <c r="C192" i="9"/>
  <c r="E192" i="9" s="1"/>
  <c r="F191" i="9"/>
  <c r="C191" i="9"/>
  <c r="E191" i="9" s="1"/>
  <c r="F190" i="9"/>
  <c r="C190" i="9"/>
  <c r="E190" i="9" s="1"/>
  <c r="F189" i="9"/>
  <c r="E189" i="9"/>
  <c r="C189" i="9"/>
  <c r="F188" i="9"/>
  <c r="E188" i="9"/>
  <c r="C188" i="9"/>
  <c r="F187" i="9"/>
  <c r="C187" i="9"/>
  <c r="E187" i="9" s="1"/>
  <c r="F186" i="9"/>
  <c r="C186" i="9"/>
  <c r="E186" i="9" s="1"/>
  <c r="F185" i="9"/>
  <c r="C185" i="9"/>
  <c r="E185" i="9" s="1"/>
  <c r="F184" i="9"/>
  <c r="C184" i="9"/>
  <c r="E184" i="9" s="1"/>
  <c r="F183" i="9"/>
  <c r="C183" i="9"/>
  <c r="E183" i="9" s="1"/>
  <c r="F182" i="9"/>
  <c r="C182" i="9"/>
  <c r="E182" i="9" s="1"/>
  <c r="F181" i="9"/>
  <c r="E181" i="9"/>
  <c r="C181" i="9"/>
  <c r="F180" i="9"/>
  <c r="C180" i="9"/>
  <c r="E180" i="9" s="1"/>
  <c r="F179" i="9"/>
  <c r="C179" i="9"/>
  <c r="E179" i="9" s="1"/>
  <c r="F178" i="9"/>
  <c r="C178" i="9"/>
  <c r="E178" i="9" s="1"/>
  <c r="F177" i="9"/>
  <c r="E177" i="9"/>
  <c r="C177" i="9"/>
  <c r="F176" i="9"/>
  <c r="C176" i="9"/>
  <c r="E176" i="9" s="1"/>
  <c r="F175" i="9"/>
  <c r="C175" i="9"/>
  <c r="E175" i="9" s="1"/>
  <c r="F174" i="9"/>
  <c r="C174" i="9"/>
  <c r="E174" i="9" s="1"/>
  <c r="F173" i="9"/>
  <c r="E173" i="9"/>
  <c r="C173" i="9"/>
  <c r="F172" i="9"/>
  <c r="C172" i="9"/>
  <c r="E172" i="9" s="1"/>
  <c r="F171" i="9"/>
  <c r="C171" i="9"/>
  <c r="E171" i="9" s="1"/>
  <c r="F170" i="9"/>
  <c r="C170" i="9"/>
  <c r="E170" i="9" s="1"/>
  <c r="F169" i="9"/>
  <c r="E169" i="9"/>
  <c r="C169" i="9"/>
  <c r="F168" i="9"/>
  <c r="E168" i="9"/>
  <c r="C168" i="9"/>
  <c r="F167" i="9"/>
  <c r="C167" i="9"/>
  <c r="E167" i="9" s="1"/>
  <c r="F166" i="9"/>
  <c r="C166" i="9"/>
  <c r="E166" i="9" s="1"/>
  <c r="F165" i="9"/>
  <c r="C165" i="9"/>
  <c r="E165" i="9" s="1"/>
  <c r="F164" i="9"/>
  <c r="C164" i="9"/>
  <c r="E164" i="9" s="1"/>
  <c r="F163" i="9"/>
  <c r="C163" i="9"/>
  <c r="E163" i="9" s="1"/>
  <c r="F162" i="9"/>
  <c r="C162" i="9"/>
  <c r="E162" i="9" s="1"/>
  <c r="F161" i="9"/>
  <c r="E161" i="9"/>
  <c r="C161" i="9"/>
  <c r="F160" i="9"/>
  <c r="E160" i="9"/>
  <c r="C160" i="9"/>
  <c r="F159" i="9"/>
  <c r="C159" i="9"/>
  <c r="E159" i="9" s="1"/>
  <c r="F158" i="9"/>
  <c r="C158" i="9"/>
  <c r="E158" i="9" s="1"/>
  <c r="F157" i="9"/>
  <c r="C157" i="9"/>
  <c r="E157" i="9" s="1"/>
  <c r="F156" i="9"/>
  <c r="C156" i="9"/>
  <c r="E156" i="9" s="1"/>
  <c r="F155" i="9"/>
  <c r="C155" i="9"/>
  <c r="E155" i="9" s="1"/>
  <c r="F154" i="9"/>
  <c r="C154" i="9"/>
  <c r="E154" i="9" s="1"/>
  <c r="F153" i="9"/>
  <c r="E153" i="9"/>
  <c r="C153" i="9"/>
  <c r="F152" i="9"/>
  <c r="C152" i="9"/>
  <c r="E152" i="9" s="1"/>
  <c r="F151" i="9"/>
  <c r="C151" i="9"/>
  <c r="E151" i="9" s="1"/>
  <c r="F150" i="9"/>
  <c r="C150" i="9"/>
  <c r="E150" i="9" s="1"/>
  <c r="F149" i="9"/>
  <c r="E149" i="9"/>
  <c r="C149" i="9"/>
  <c r="F148" i="9"/>
  <c r="C148" i="9"/>
  <c r="E148" i="9" s="1"/>
  <c r="F147" i="9"/>
  <c r="C147" i="9"/>
  <c r="E147" i="9" s="1"/>
  <c r="F146" i="9"/>
  <c r="C146" i="9"/>
  <c r="E146" i="9" s="1"/>
  <c r="F145" i="9"/>
  <c r="E145" i="9"/>
  <c r="C145" i="9"/>
  <c r="F144" i="9"/>
  <c r="C144" i="9"/>
  <c r="E144" i="9" s="1"/>
  <c r="F143" i="9"/>
  <c r="C143" i="9"/>
  <c r="E143" i="9" s="1"/>
  <c r="F142" i="9"/>
  <c r="C142" i="9"/>
  <c r="E142" i="9" s="1"/>
  <c r="F141" i="9"/>
  <c r="E141" i="9"/>
  <c r="C141" i="9"/>
  <c r="F140" i="9"/>
  <c r="E140" i="9"/>
  <c r="C140" i="9"/>
  <c r="F139" i="9"/>
  <c r="C139" i="9"/>
  <c r="E139" i="9" s="1"/>
  <c r="F138" i="9"/>
  <c r="C138" i="9"/>
  <c r="E138" i="9" s="1"/>
  <c r="F137" i="9"/>
  <c r="C137" i="9"/>
  <c r="E137" i="9" s="1"/>
  <c r="F136" i="9"/>
  <c r="C136" i="9"/>
  <c r="E136" i="9" s="1"/>
  <c r="F135" i="9"/>
  <c r="C135" i="9"/>
  <c r="E135" i="9" s="1"/>
  <c r="F134" i="9"/>
  <c r="C134" i="9"/>
  <c r="E134" i="9" s="1"/>
  <c r="F133" i="9"/>
  <c r="E133" i="9"/>
  <c r="C133" i="9"/>
  <c r="F132" i="9"/>
  <c r="E132" i="9"/>
  <c r="C132" i="9"/>
  <c r="F131" i="9"/>
  <c r="C131" i="9"/>
  <c r="E131" i="9" s="1"/>
  <c r="F130" i="9"/>
  <c r="C130" i="9"/>
  <c r="E130" i="9" s="1"/>
  <c r="F129" i="9"/>
  <c r="C129" i="9"/>
  <c r="E129" i="9" s="1"/>
  <c r="F128" i="9"/>
  <c r="C128" i="9"/>
  <c r="E128" i="9" s="1"/>
  <c r="F127" i="9"/>
  <c r="C127" i="9"/>
  <c r="E127" i="9" s="1"/>
  <c r="F126" i="9"/>
  <c r="C126" i="9"/>
  <c r="E126" i="9" s="1"/>
  <c r="F125" i="9"/>
  <c r="E125" i="9"/>
  <c r="C125" i="9"/>
  <c r="F124" i="9"/>
  <c r="C124" i="9"/>
  <c r="E124" i="9" s="1"/>
  <c r="F123" i="9"/>
  <c r="C123" i="9"/>
  <c r="E123" i="9" s="1"/>
  <c r="F122" i="9"/>
  <c r="C122" i="9"/>
  <c r="E122" i="9" s="1"/>
  <c r="F121" i="9"/>
  <c r="E121" i="9"/>
  <c r="C121" i="9"/>
  <c r="F120" i="9"/>
  <c r="C120" i="9"/>
  <c r="E120" i="9" s="1"/>
  <c r="F119" i="9"/>
  <c r="C119" i="9"/>
  <c r="E119" i="9" s="1"/>
  <c r="F118" i="9"/>
  <c r="C118" i="9"/>
  <c r="E118" i="9" s="1"/>
  <c r="F117" i="9"/>
  <c r="C117" i="9"/>
  <c r="E117" i="9" s="1"/>
  <c r="F116" i="9"/>
  <c r="E116" i="9"/>
  <c r="C116" i="9"/>
  <c r="F115" i="9"/>
  <c r="C115" i="9"/>
  <c r="E115" i="9" s="1"/>
  <c r="F114" i="9"/>
  <c r="C114" i="9"/>
  <c r="E114" i="9" s="1"/>
  <c r="F113" i="9"/>
  <c r="C113" i="9"/>
  <c r="E113" i="9" s="1"/>
  <c r="F112" i="9"/>
  <c r="C112" i="9"/>
  <c r="E112" i="9" s="1"/>
  <c r="F111" i="9"/>
  <c r="C111" i="9"/>
  <c r="E111" i="9" s="1"/>
  <c r="F110" i="9"/>
  <c r="C110" i="9"/>
  <c r="E110" i="9" s="1"/>
  <c r="F109" i="9"/>
  <c r="C109" i="9"/>
  <c r="E109" i="9" s="1"/>
  <c r="F108" i="9"/>
  <c r="C108" i="9"/>
  <c r="E108" i="9" s="1"/>
  <c r="F107" i="9"/>
  <c r="C107" i="9"/>
  <c r="E107" i="9" s="1"/>
  <c r="F106" i="9"/>
  <c r="C106" i="9"/>
  <c r="E106" i="9" s="1"/>
  <c r="F105" i="9"/>
  <c r="E105" i="9"/>
  <c r="C105" i="9"/>
  <c r="F104" i="9"/>
  <c r="C104" i="9"/>
  <c r="E104" i="9" s="1"/>
  <c r="F103" i="9"/>
  <c r="C103" i="9"/>
  <c r="E103" i="9" s="1"/>
  <c r="F102" i="9"/>
  <c r="C102" i="9"/>
  <c r="E102" i="9" s="1"/>
  <c r="F101" i="9"/>
  <c r="C101" i="9"/>
  <c r="E101" i="9" s="1"/>
  <c r="F100" i="9"/>
  <c r="C100" i="9"/>
  <c r="E100" i="9" s="1"/>
  <c r="F99" i="9"/>
  <c r="C99" i="9"/>
  <c r="E99" i="9" s="1"/>
  <c r="F98" i="9"/>
  <c r="C98" i="9"/>
  <c r="E98" i="9" s="1"/>
  <c r="F97" i="9"/>
  <c r="E97" i="9"/>
  <c r="C97" i="9"/>
  <c r="F96" i="9"/>
  <c r="E96" i="9"/>
  <c r="C96" i="9"/>
  <c r="F95" i="9"/>
  <c r="C95" i="9"/>
  <c r="E95" i="9" s="1"/>
  <c r="F94" i="9"/>
  <c r="C94" i="9"/>
  <c r="E94" i="9" s="1"/>
  <c r="F93" i="9"/>
  <c r="C93" i="9"/>
  <c r="E93" i="9" s="1"/>
  <c r="F92" i="9"/>
  <c r="C92" i="9"/>
  <c r="E92" i="9" s="1"/>
  <c r="F91" i="9"/>
  <c r="C91" i="9"/>
  <c r="E91" i="9" s="1"/>
  <c r="F90" i="9"/>
  <c r="C90" i="9"/>
  <c r="E90" i="9" s="1"/>
  <c r="F89" i="9"/>
  <c r="E89" i="9"/>
  <c r="C89" i="9"/>
  <c r="F88" i="9"/>
  <c r="E88" i="9"/>
  <c r="C88" i="9"/>
  <c r="F87" i="9"/>
  <c r="C87" i="9"/>
  <c r="E87" i="9" s="1"/>
  <c r="F86" i="9"/>
  <c r="C86" i="9"/>
  <c r="E86" i="9" s="1"/>
  <c r="F85" i="9"/>
  <c r="C85" i="9"/>
  <c r="E85" i="9" s="1"/>
  <c r="F84" i="9"/>
  <c r="E84" i="9"/>
  <c r="C84" i="9"/>
  <c r="F83" i="9"/>
  <c r="C83" i="9"/>
  <c r="E83" i="9" s="1"/>
  <c r="F82" i="9"/>
  <c r="C82" i="9"/>
  <c r="E82" i="9" s="1"/>
  <c r="F81" i="9"/>
  <c r="C81" i="9"/>
  <c r="E81" i="9" s="1"/>
  <c r="F80" i="9"/>
  <c r="E80" i="9"/>
  <c r="C80" i="9"/>
  <c r="F79" i="9"/>
  <c r="C79" i="9"/>
  <c r="E79" i="9" s="1"/>
  <c r="F78" i="9"/>
  <c r="C78" i="9"/>
  <c r="E78" i="9" s="1"/>
  <c r="F77" i="9"/>
  <c r="C77" i="9"/>
  <c r="E77" i="9" s="1"/>
  <c r="F76" i="9"/>
  <c r="E76" i="9"/>
  <c r="C76" i="9"/>
  <c r="F75" i="9"/>
  <c r="C75" i="9"/>
  <c r="E75" i="9" s="1"/>
  <c r="F74" i="9"/>
  <c r="C74" i="9"/>
  <c r="E74" i="9" s="1"/>
  <c r="F73" i="9"/>
  <c r="C73" i="9"/>
  <c r="E73" i="9" s="1"/>
  <c r="F72" i="9"/>
  <c r="C72" i="9"/>
  <c r="E72" i="9" s="1"/>
  <c r="F71" i="9"/>
  <c r="C71" i="9"/>
  <c r="E71" i="9" s="1"/>
  <c r="F70" i="9"/>
  <c r="C70" i="9"/>
  <c r="E70" i="9" s="1"/>
  <c r="F69" i="9"/>
  <c r="C69" i="9"/>
  <c r="E69" i="9" s="1"/>
  <c r="F68" i="9"/>
  <c r="E68" i="9"/>
  <c r="C68" i="9"/>
  <c r="F67" i="9"/>
  <c r="C67" i="9"/>
  <c r="E67" i="9" s="1"/>
  <c r="F66" i="9"/>
  <c r="C66" i="9"/>
  <c r="E66" i="9" s="1"/>
  <c r="F65" i="9"/>
  <c r="C65" i="9"/>
  <c r="E65" i="9" s="1"/>
  <c r="F64" i="9"/>
  <c r="E64" i="9"/>
  <c r="C64" i="9"/>
  <c r="F63" i="9"/>
  <c r="C63" i="9"/>
  <c r="E63" i="9" s="1"/>
  <c r="F62" i="9"/>
  <c r="C62" i="9"/>
  <c r="E62" i="9" s="1"/>
  <c r="F61" i="9"/>
  <c r="C61" i="9"/>
  <c r="E61" i="9" s="1"/>
  <c r="F60" i="9"/>
  <c r="C60" i="9"/>
  <c r="E60" i="9" s="1"/>
  <c r="F59" i="9"/>
  <c r="C59" i="9"/>
  <c r="E59" i="9" s="1"/>
  <c r="F58" i="9"/>
  <c r="C58" i="9"/>
  <c r="E58" i="9" s="1"/>
  <c r="F57" i="9"/>
  <c r="E57" i="9"/>
  <c r="C57" i="9"/>
  <c r="F56" i="9"/>
  <c r="E56" i="9"/>
  <c r="C56" i="9"/>
  <c r="F55" i="9"/>
  <c r="C55" i="9"/>
  <c r="E55" i="9" s="1"/>
  <c r="F54" i="9"/>
  <c r="C54" i="9"/>
  <c r="E54" i="9" s="1"/>
  <c r="F53" i="9"/>
  <c r="C53" i="9"/>
  <c r="E53" i="9" s="1"/>
  <c r="F52" i="9"/>
  <c r="C52" i="9"/>
  <c r="E52" i="9" s="1"/>
  <c r="F51" i="9"/>
  <c r="C51" i="9"/>
  <c r="E51" i="9" s="1"/>
  <c r="F50" i="9"/>
  <c r="C50" i="9"/>
  <c r="E50" i="9" s="1"/>
  <c r="F49" i="9"/>
  <c r="C49" i="9"/>
  <c r="E49" i="9" s="1"/>
  <c r="F48" i="9"/>
  <c r="E48" i="9"/>
  <c r="C48" i="9"/>
  <c r="F47" i="9"/>
  <c r="C47" i="9"/>
  <c r="E47" i="9" s="1"/>
  <c r="F46" i="9"/>
  <c r="C46" i="9"/>
  <c r="E46" i="9" s="1"/>
  <c r="F45" i="9"/>
  <c r="C45" i="9"/>
  <c r="E45" i="9" s="1"/>
  <c r="F44" i="9"/>
  <c r="C44" i="9"/>
  <c r="E44" i="9" s="1"/>
  <c r="F43" i="9"/>
  <c r="C43" i="9"/>
  <c r="E43" i="9" s="1"/>
  <c r="F42" i="9"/>
  <c r="C42" i="9"/>
  <c r="E42" i="9" s="1"/>
  <c r="F41" i="9"/>
  <c r="C41" i="9"/>
  <c r="E41" i="9" s="1"/>
  <c r="F40" i="9"/>
  <c r="C40" i="9"/>
  <c r="E40" i="9" s="1"/>
  <c r="F39" i="9"/>
  <c r="C39" i="9"/>
  <c r="E39" i="9" s="1"/>
  <c r="F38" i="9"/>
  <c r="E38" i="9"/>
  <c r="C38" i="9"/>
  <c r="F37" i="9"/>
  <c r="C37" i="9"/>
  <c r="E37" i="9" s="1"/>
  <c r="F36" i="9"/>
  <c r="C36" i="9"/>
  <c r="E36" i="9" s="1"/>
  <c r="F35" i="9"/>
  <c r="C35" i="9"/>
  <c r="E35" i="9" s="1"/>
  <c r="F34" i="9"/>
  <c r="E34" i="9"/>
  <c r="C34" i="9"/>
  <c r="F33" i="9"/>
  <c r="C33" i="9"/>
  <c r="E33" i="9" s="1"/>
  <c r="F32" i="9"/>
  <c r="C32" i="9"/>
  <c r="E32" i="9" s="1"/>
  <c r="F31" i="9"/>
  <c r="C31" i="9"/>
  <c r="E31" i="9" s="1"/>
  <c r="F30" i="9"/>
  <c r="E30" i="9"/>
  <c r="C30" i="9"/>
  <c r="F29" i="9"/>
  <c r="C29" i="9"/>
  <c r="E29" i="9" s="1"/>
  <c r="F28" i="9"/>
  <c r="C28" i="9"/>
  <c r="E28" i="9" s="1"/>
  <c r="F27" i="9"/>
  <c r="C27" i="9"/>
  <c r="E27" i="9" s="1"/>
  <c r="F26" i="9"/>
  <c r="C26" i="9"/>
  <c r="E26" i="9" s="1"/>
  <c r="F25" i="9"/>
  <c r="C25" i="9"/>
  <c r="E25" i="9" s="1"/>
  <c r="F24" i="9"/>
  <c r="C24" i="9"/>
  <c r="E24" i="9" s="1"/>
  <c r="F23" i="9"/>
  <c r="C23" i="9"/>
  <c r="E23" i="9" s="1"/>
  <c r="F22" i="9"/>
  <c r="C22" i="9"/>
  <c r="E22" i="9" s="1"/>
  <c r="F21" i="9"/>
  <c r="C21" i="9"/>
  <c r="E21" i="9" s="1"/>
  <c r="F20" i="9"/>
  <c r="C20" i="9"/>
  <c r="E20" i="9" s="1"/>
  <c r="F19" i="9"/>
  <c r="C19" i="9"/>
  <c r="E19" i="9" s="1"/>
  <c r="F18" i="9"/>
  <c r="C18" i="9"/>
  <c r="E18" i="9" s="1"/>
  <c r="F17" i="9"/>
  <c r="C17" i="9"/>
  <c r="E17" i="9" s="1"/>
  <c r="F16" i="9"/>
  <c r="C16" i="9"/>
  <c r="E16" i="9" s="1"/>
  <c r="F15" i="9"/>
  <c r="C15" i="9"/>
  <c r="E15" i="9" s="1"/>
  <c r="F14" i="9"/>
  <c r="E14" i="9"/>
  <c r="C14" i="9"/>
  <c r="F13" i="9"/>
  <c r="C13" i="9"/>
  <c r="E13" i="9" s="1"/>
  <c r="F12" i="9"/>
  <c r="C12" i="9"/>
  <c r="E12" i="9" s="1"/>
  <c r="F11" i="9"/>
  <c r="C11" i="9"/>
  <c r="E11" i="9" s="1"/>
  <c r="F10" i="9"/>
  <c r="C10" i="9"/>
  <c r="E10" i="9" s="1"/>
  <c r="F9" i="9"/>
  <c r="C9" i="9"/>
  <c r="E9" i="9" s="1"/>
  <c r="F8" i="9"/>
  <c r="C8" i="9"/>
  <c r="E8" i="9" s="1"/>
  <c r="F7" i="9"/>
  <c r="C7" i="9"/>
  <c r="E7" i="9" s="1"/>
  <c r="F6" i="9"/>
  <c r="C6" i="9"/>
  <c r="E6" i="9" s="1"/>
  <c r="F5" i="9"/>
  <c r="C5" i="9"/>
  <c r="E5" i="9" s="1"/>
  <c r="F4" i="9"/>
  <c r="C4" i="9"/>
  <c r="E4" i="9" s="1"/>
  <c r="F3" i="9"/>
  <c r="C3" i="9"/>
  <c r="E3" i="9" s="1"/>
  <c r="F2" i="9"/>
  <c r="C2" i="9"/>
  <c r="E2" i="9" s="1"/>
  <c r="G32" i="4"/>
  <c r="G33" i="4" s="1"/>
  <c r="G34" i="4" s="1"/>
  <c r="G35" i="4" s="1"/>
  <c r="G36" i="4" s="1"/>
  <c r="G37" i="4" s="1"/>
  <c r="G38" i="4" s="1"/>
  <c r="G39" i="4" s="1"/>
  <c r="G40" i="4" s="1"/>
  <c r="G41" i="4" s="1"/>
  <c r="G42" i="4" s="1"/>
  <c r="G43" i="4" s="1"/>
  <c r="G44" i="4" s="1"/>
  <c r="G45" i="4" s="1"/>
  <c r="G46" i="4" s="1"/>
  <c r="G47" i="4" s="1"/>
  <c r="G48" i="4" s="1"/>
  <c r="G49" i="4" s="1"/>
  <c r="G50" i="4" s="1"/>
  <c r="G51" i="4" s="1"/>
  <c r="G52" i="4" s="1"/>
  <c r="G53" i="4" s="1"/>
  <c r="G54" i="4" s="1"/>
  <c r="G55" i="4" s="1"/>
  <c r="G56" i="4" s="1"/>
  <c r="G57" i="4" s="1"/>
  <c r="G58" i="4" s="1"/>
  <c r="G59" i="4" s="1"/>
  <c r="G60" i="4" s="1"/>
  <c r="G61" i="4" s="1"/>
  <c r="G3" i="4"/>
  <c r="G4" i="4" s="1"/>
  <c r="G5" i="4" s="1"/>
  <c r="G6" i="4" s="1"/>
  <c r="G7" i="4" s="1"/>
  <c r="G8" i="4" s="1"/>
  <c r="G9" i="4" s="1"/>
  <c r="G10" i="4" s="1"/>
  <c r="G11" i="4" s="1"/>
  <c r="G12" i="4" s="1"/>
  <c r="G13" i="4" s="1"/>
  <c r="G14" i="4" s="1"/>
  <c r="G15" i="4" s="1"/>
  <c r="G16" i="4" s="1"/>
  <c r="G17" i="4" s="1"/>
  <c r="G18" i="4" s="1"/>
  <c r="G19" i="4" s="1"/>
  <c r="G20" i="4" s="1"/>
  <c r="G21" i="4" s="1"/>
  <c r="G22" i="4" s="1"/>
  <c r="G23" i="4" s="1"/>
  <c r="G24" i="4" s="1"/>
  <c r="G25" i="4" s="1"/>
  <c r="G26" i="4" s="1"/>
  <c r="G27" i="4" s="1"/>
  <c r="G28" i="4" s="1"/>
  <c r="G29" i="4" s="1"/>
  <c r="J1001" i="9"/>
  <c r="J997" i="9"/>
  <c r="J993" i="9"/>
  <c r="J989" i="9"/>
  <c r="J985" i="9"/>
  <c r="J981" i="9"/>
  <c r="J977" i="9"/>
  <c r="J973" i="9"/>
  <c r="J969" i="9"/>
  <c r="J965" i="9"/>
  <c r="J961" i="9"/>
  <c r="J957" i="9"/>
  <c r="J953" i="9"/>
  <c r="J949" i="9"/>
  <c r="J945" i="9"/>
  <c r="J941" i="9"/>
  <c r="J937" i="9"/>
  <c r="J933" i="9"/>
  <c r="J929" i="9"/>
  <c r="J925" i="9"/>
  <c r="J921" i="9"/>
  <c r="J917" i="9"/>
  <c r="J913" i="9"/>
  <c r="J909" i="9"/>
  <c r="J905" i="9"/>
  <c r="J901" i="9"/>
  <c r="J897" i="9"/>
  <c r="J893" i="9"/>
  <c r="J889" i="9"/>
  <c r="J885" i="9"/>
  <c r="J881" i="9"/>
  <c r="J877" i="9"/>
  <c r="J873" i="9"/>
  <c r="J869" i="9"/>
  <c r="J865" i="9"/>
  <c r="J861" i="9"/>
  <c r="J857" i="9"/>
  <c r="J853" i="9"/>
  <c r="J849" i="9"/>
  <c r="J845" i="9"/>
  <c r="J841" i="9"/>
  <c r="J837" i="9"/>
  <c r="J833" i="9"/>
  <c r="J829" i="9"/>
  <c r="J825" i="9"/>
  <c r="J821" i="9"/>
  <c r="J817" i="9"/>
  <c r="J813" i="9"/>
  <c r="J809" i="9"/>
  <c r="J805" i="9"/>
  <c r="J801" i="9"/>
  <c r="J797" i="9"/>
  <c r="J793" i="9"/>
  <c r="J789" i="9"/>
  <c r="J785" i="9"/>
  <c r="J781" i="9"/>
  <c r="J777" i="9"/>
  <c r="J773" i="9"/>
  <c r="J769" i="9"/>
  <c r="J765" i="9"/>
  <c r="J761" i="9"/>
  <c r="J757" i="9"/>
  <c r="J753" i="9"/>
  <c r="J749" i="9"/>
  <c r="J745" i="9"/>
  <c r="J741" i="9"/>
  <c r="J737" i="9"/>
  <c r="J733" i="9"/>
  <c r="J729" i="9"/>
  <c r="J725" i="9"/>
  <c r="J721" i="9"/>
  <c r="J717" i="9"/>
  <c r="J1000" i="9"/>
  <c r="J999" i="9"/>
  <c r="J995" i="9"/>
  <c r="J991" i="9"/>
  <c r="J987" i="9"/>
  <c r="J983" i="9"/>
  <c r="J979" i="9"/>
  <c r="J975" i="9"/>
  <c r="J971" i="9"/>
  <c r="J967" i="9"/>
  <c r="J963" i="9"/>
  <c r="J959" i="9"/>
  <c r="J955" i="9"/>
  <c r="J951" i="9"/>
  <c r="J947" i="9"/>
  <c r="J943" i="9"/>
  <c r="J939" i="9"/>
  <c r="J935" i="9"/>
  <c r="J931" i="9"/>
  <c r="J927" i="9"/>
  <c r="J923" i="9"/>
  <c r="J919" i="9"/>
  <c r="J915" i="9"/>
  <c r="J911" i="9"/>
  <c r="J907" i="9"/>
  <c r="J903" i="9"/>
  <c r="J899" i="9"/>
  <c r="J895" i="9"/>
  <c r="J891" i="9"/>
  <c r="J887" i="9"/>
  <c r="J883" i="9"/>
  <c r="J879" i="9"/>
  <c r="J875" i="9"/>
  <c r="J871" i="9"/>
  <c r="J867" i="9"/>
  <c r="J863" i="9"/>
  <c r="J859" i="9"/>
  <c r="J855" i="9"/>
  <c r="J851" i="9"/>
  <c r="J847" i="9"/>
  <c r="J843" i="9"/>
  <c r="J839" i="9"/>
  <c r="J835" i="9"/>
  <c r="J831" i="9"/>
  <c r="J827" i="9"/>
  <c r="J823" i="9"/>
  <c r="J819" i="9"/>
  <c r="J815" i="9"/>
  <c r="J811" i="9"/>
  <c r="J807" i="9"/>
  <c r="J803" i="9"/>
  <c r="J799" i="9"/>
  <c r="J795" i="9"/>
  <c r="J791" i="9"/>
  <c r="J787" i="9"/>
  <c r="J783" i="9"/>
  <c r="J779" i="9"/>
  <c r="J775" i="9"/>
  <c r="J771" i="9"/>
  <c r="J767" i="9"/>
  <c r="J763" i="9"/>
  <c r="J759" i="9"/>
  <c r="J755" i="9"/>
  <c r="J998" i="9"/>
  <c r="J994" i="9"/>
  <c r="J990" i="9"/>
  <c r="J986" i="9"/>
  <c r="J982" i="9"/>
  <c r="J978" i="9"/>
  <c r="J974" i="9"/>
  <c r="J970" i="9"/>
  <c r="J966" i="9"/>
  <c r="J962" i="9"/>
  <c r="J958" i="9"/>
  <c r="J954" i="9"/>
  <c r="J950" i="9"/>
  <c r="J946" i="9"/>
  <c r="J942" i="9"/>
  <c r="J938" i="9"/>
  <c r="J934" i="9"/>
  <c r="J930" i="9"/>
  <c r="J926" i="9"/>
  <c r="J922" i="9"/>
  <c r="J918" i="9"/>
  <c r="J914" i="9"/>
  <c r="J910" i="9"/>
  <c r="J906" i="9"/>
  <c r="J902" i="9"/>
  <c r="J898" i="9"/>
  <c r="J894" i="9"/>
  <c r="J890" i="9"/>
  <c r="J886" i="9"/>
  <c r="J882" i="9"/>
  <c r="J878" i="9"/>
  <c r="J874" i="9"/>
  <c r="J870" i="9"/>
  <c r="J866" i="9"/>
  <c r="J862" i="9"/>
  <c r="J858" i="9"/>
  <c r="J854" i="9"/>
  <c r="J996" i="9"/>
  <c r="J992" i="9"/>
  <c r="J988" i="9"/>
  <c r="J984" i="9"/>
  <c r="J980" i="9"/>
  <c r="J976" i="9"/>
  <c r="J972" i="9"/>
  <c r="J968" i="9"/>
  <c r="J964" i="9"/>
  <c r="J960" i="9"/>
  <c r="J956" i="9"/>
  <c r="J952" i="9"/>
  <c r="J948" i="9"/>
  <c r="J944" i="9"/>
  <c r="J940" i="9"/>
  <c r="J936" i="9"/>
  <c r="J932" i="9"/>
  <c r="J928" i="9"/>
  <c r="J924" i="9"/>
  <c r="J920" i="9"/>
  <c r="J916" i="9"/>
  <c r="J912" i="9"/>
  <c r="J908" i="9"/>
  <c r="J904" i="9"/>
  <c r="J900" i="9"/>
  <c r="J896" i="9"/>
  <c r="J892" i="9"/>
  <c r="J888" i="9"/>
  <c r="J884" i="9"/>
  <c r="J880" i="9"/>
  <c r="J876" i="9"/>
  <c r="J872" i="9"/>
  <c r="J868" i="9"/>
  <c r="J864" i="9"/>
  <c r="J860" i="9"/>
  <c r="J856" i="9"/>
  <c r="J852" i="9"/>
  <c r="J846" i="9"/>
  <c r="J838" i="9"/>
  <c r="J830" i="9"/>
  <c r="J822" i="9"/>
  <c r="J814" i="9"/>
  <c r="J806" i="9"/>
  <c r="J798" i="9"/>
  <c r="J790" i="9"/>
  <c r="J782" i="9"/>
  <c r="J774" i="9"/>
  <c r="J766" i="9"/>
  <c r="J758" i="9"/>
  <c r="J746" i="9"/>
  <c r="J744" i="9"/>
  <c r="J743" i="9"/>
  <c r="J730" i="9"/>
  <c r="J728" i="9"/>
  <c r="J727" i="9"/>
  <c r="J715" i="9"/>
  <c r="J711" i="9"/>
  <c r="J707" i="9"/>
  <c r="J703" i="9"/>
  <c r="J699" i="9"/>
  <c r="J695" i="9"/>
  <c r="J691" i="9"/>
  <c r="J687" i="9"/>
  <c r="J683" i="9"/>
  <c r="J679" i="9"/>
  <c r="J675" i="9"/>
  <c r="J671" i="9"/>
  <c r="J667" i="9"/>
  <c r="J663" i="9"/>
  <c r="J659" i="9"/>
  <c r="J655" i="9"/>
  <c r="J651" i="9"/>
  <c r="J647" i="9"/>
  <c r="J643" i="9"/>
  <c r="J639" i="9"/>
  <c r="J635" i="9"/>
  <c r="J631" i="9"/>
  <c r="J627" i="9"/>
  <c r="J623" i="9"/>
  <c r="J619" i="9"/>
  <c r="J615" i="9"/>
  <c r="J611" i="9"/>
  <c r="J607" i="9"/>
  <c r="J603" i="9"/>
  <c r="J599" i="9"/>
  <c r="J595" i="9"/>
  <c r="J591" i="9"/>
  <c r="J587" i="9"/>
  <c r="J583" i="9"/>
  <c r="J579" i="9"/>
  <c r="J575" i="9"/>
  <c r="J571" i="9"/>
  <c r="J567" i="9"/>
  <c r="J563" i="9"/>
  <c r="J559" i="9"/>
  <c r="J555" i="9"/>
  <c r="J551" i="9"/>
  <c r="J547" i="9"/>
  <c r="J543" i="9"/>
  <c r="J539" i="9"/>
  <c r="J535" i="9"/>
  <c r="J531" i="9"/>
  <c r="J527" i="9"/>
  <c r="J523" i="9"/>
  <c r="J519" i="9"/>
  <c r="J848" i="9"/>
  <c r="J840" i="9"/>
  <c r="J832" i="9"/>
  <c r="J824" i="9"/>
  <c r="J816" i="9"/>
  <c r="J808" i="9"/>
  <c r="J800" i="9"/>
  <c r="J792" i="9"/>
  <c r="J784" i="9"/>
  <c r="J776" i="9"/>
  <c r="J768" i="9"/>
  <c r="J760" i="9"/>
  <c r="J742" i="9"/>
  <c r="J740" i="9"/>
  <c r="J739" i="9"/>
  <c r="J726" i="9"/>
  <c r="J724" i="9"/>
  <c r="J723" i="9"/>
  <c r="J714" i="9"/>
  <c r="J710" i="9"/>
  <c r="J706" i="9"/>
  <c r="J702" i="9"/>
  <c r="J698" i="9"/>
  <c r="J694" i="9"/>
  <c r="J690" i="9"/>
  <c r="J686" i="9"/>
  <c r="J682" i="9"/>
  <c r="J678" i="9"/>
  <c r="J674" i="9"/>
  <c r="J670" i="9"/>
  <c r="J666" i="9"/>
  <c r="J662" i="9"/>
  <c r="J658" i="9"/>
  <c r="J654" i="9"/>
  <c r="J650" i="9"/>
  <c r="J646" i="9"/>
  <c r="J642" i="9"/>
  <c r="J638" i="9"/>
  <c r="J634" i="9"/>
  <c r="J630" i="9"/>
  <c r="J626" i="9"/>
  <c r="J622" i="9"/>
  <c r="J618" i="9"/>
  <c r="J614" i="9"/>
  <c r="J610" i="9"/>
  <c r="J606" i="9"/>
  <c r="J602" i="9"/>
  <c r="J598" i="9"/>
  <c r="J594" i="9"/>
  <c r="J590" i="9"/>
  <c r="J586" i="9"/>
  <c r="J582" i="9"/>
  <c r="J578" i="9"/>
  <c r="J574" i="9"/>
  <c r="J570" i="9"/>
  <c r="J566" i="9"/>
  <c r="J562" i="9"/>
  <c r="J558" i="9"/>
  <c r="J554" i="9"/>
  <c r="J550" i="9"/>
  <c r="J546" i="9"/>
  <c r="J542" i="9"/>
  <c r="J538" i="9"/>
  <c r="J534" i="9"/>
  <c r="J530" i="9"/>
  <c r="J526" i="9"/>
  <c r="J522" i="9"/>
  <c r="J518" i="9"/>
  <c r="J850" i="9"/>
  <c r="J842" i="9"/>
  <c r="J834" i="9"/>
  <c r="J826" i="9"/>
  <c r="J818" i="9"/>
  <c r="J810" i="9"/>
  <c r="J802" i="9"/>
  <c r="J794" i="9"/>
  <c r="J786" i="9"/>
  <c r="J778" i="9"/>
  <c r="J770" i="9"/>
  <c r="J762" i="9"/>
  <c r="J754" i="9"/>
  <c r="J752" i="9"/>
  <c r="J751" i="9"/>
  <c r="J738" i="9"/>
  <c r="J736" i="9"/>
  <c r="J735" i="9"/>
  <c r="J722" i="9"/>
  <c r="J720" i="9"/>
  <c r="J719" i="9"/>
  <c r="J713" i="9"/>
  <c r="J709" i="9"/>
  <c r="J705" i="9"/>
  <c r="J701" i="9"/>
  <c r="J697" i="9"/>
  <c r="J693" i="9"/>
  <c r="J689" i="9"/>
  <c r="J685" i="9"/>
  <c r="J681" i="9"/>
  <c r="J677" i="9"/>
  <c r="J673" i="9"/>
  <c r="J669" i="9"/>
  <c r="J665" i="9"/>
  <c r="J661" i="9"/>
  <c r="J657" i="9"/>
  <c r="J653" i="9"/>
  <c r="J649" i="9"/>
  <c r="J645" i="9"/>
  <c r="J641" i="9"/>
  <c r="J637" i="9"/>
  <c r="J633" i="9"/>
  <c r="J629" i="9"/>
  <c r="J625" i="9"/>
  <c r="J621" i="9"/>
  <c r="J844" i="9"/>
  <c r="J828" i="9"/>
  <c r="J812" i="9"/>
  <c r="J796" i="9"/>
  <c r="J780" i="9"/>
  <c r="J764" i="9"/>
  <c r="J747" i="9"/>
  <c r="J734" i="9"/>
  <c r="J605" i="9"/>
  <c r="J604" i="9"/>
  <c r="J589" i="9"/>
  <c r="J588" i="9"/>
  <c r="J549" i="9"/>
  <c r="J548" i="9"/>
  <c r="J513" i="9"/>
  <c r="J509" i="9"/>
  <c r="J505" i="9"/>
  <c r="J501" i="9"/>
  <c r="J497" i="9"/>
  <c r="J493" i="9"/>
  <c r="J489" i="9"/>
  <c r="J485" i="9"/>
  <c r="J481" i="9"/>
  <c r="J477" i="9"/>
  <c r="J473" i="9"/>
  <c r="J469" i="9"/>
  <c r="J465" i="9"/>
  <c r="J461" i="9"/>
  <c r="J457" i="9"/>
  <c r="J453" i="9"/>
  <c r="J449" i="9"/>
  <c r="J445" i="9"/>
  <c r="J441" i="9"/>
  <c r="J437" i="9"/>
  <c r="J433" i="9"/>
  <c r="J429" i="9"/>
  <c r="J425" i="9"/>
  <c r="J421" i="9"/>
  <c r="J417" i="9"/>
  <c r="J413" i="9"/>
  <c r="J409" i="9"/>
  <c r="J405" i="9"/>
  <c r="J401" i="9"/>
  <c r="J397" i="9"/>
  <c r="J393" i="9"/>
  <c r="J389" i="9"/>
  <c r="J385" i="9"/>
  <c r="J381" i="9"/>
  <c r="J377" i="9"/>
  <c r="J373" i="9"/>
  <c r="J369" i="9"/>
  <c r="J365" i="9"/>
  <c r="J361" i="9"/>
  <c r="J357" i="9"/>
  <c r="J353" i="9"/>
  <c r="J349" i="9"/>
  <c r="J345" i="9"/>
  <c r="J341" i="9"/>
  <c r="J337" i="9"/>
  <c r="J333" i="9"/>
  <c r="J329" i="9"/>
  <c r="J325" i="9"/>
  <c r="J321" i="9"/>
  <c r="J317" i="9"/>
  <c r="J313" i="9"/>
  <c r="J309" i="9"/>
  <c r="J305" i="9"/>
  <c r="J301" i="9"/>
  <c r="J297" i="9"/>
  <c r="J293" i="9"/>
  <c r="J289" i="9"/>
  <c r="J285" i="9"/>
  <c r="J281" i="9"/>
  <c r="J277" i="9"/>
  <c r="J273" i="9"/>
  <c r="J269" i="9"/>
  <c r="J265" i="9"/>
  <c r="J261" i="9"/>
  <c r="J257" i="9"/>
  <c r="J253" i="9"/>
  <c r="J249" i="9"/>
  <c r="J245" i="9"/>
  <c r="J241" i="9"/>
  <c r="J237" i="9"/>
  <c r="J233" i="9"/>
  <c r="J229" i="9"/>
  <c r="J225" i="9"/>
  <c r="J221" i="9"/>
  <c r="J217" i="9"/>
  <c r="J213" i="9"/>
  <c r="J209" i="9"/>
  <c r="J205" i="9"/>
  <c r="J201" i="9"/>
  <c r="J197" i="9"/>
  <c r="J193" i="9"/>
  <c r="J189" i="9"/>
  <c r="J185" i="9"/>
  <c r="J181" i="9"/>
  <c r="J177" i="9"/>
  <c r="J173" i="9"/>
  <c r="J169" i="9"/>
  <c r="J165" i="9"/>
  <c r="J161" i="9"/>
  <c r="J157" i="9"/>
  <c r="J153" i="9"/>
  <c r="J149" i="9"/>
  <c r="J145" i="9"/>
  <c r="J141" i="9"/>
  <c r="J137" i="9"/>
  <c r="J133" i="9"/>
  <c r="J129" i="9"/>
  <c r="J125" i="9"/>
  <c r="J121" i="9"/>
  <c r="J117" i="9"/>
  <c r="J748" i="9"/>
  <c r="J716" i="9"/>
  <c r="J712" i="9"/>
  <c r="J708" i="9"/>
  <c r="J704" i="9"/>
  <c r="J700" i="9"/>
  <c r="J696" i="9"/>
  <c r="J692" i="9"/>
  <c r="J688" i="9"/>
  <c r="J684" i="9"/>
  <c r="J680" i="9"/>
  <c r="J676" i="9"/>
  <c r="J672" i="9"/>
  <c r="J668" i="9"/>
  <c r="J664" i="9"/>
  <c r="J660" i="9"/>
  <c r="J656" i="9"/>
  <c r="J652" i="9"/>
  <c r="J648" i="9"/>
  <c r="J644" i="9"/>
  <c r="J640" i="9"/>
  <c r="J636" i="9"/>
  <c r="J632" i="9"/>
  <c r="J628" i="9"/>
  <c r="J624" i="9"/>
  <c r="J620" i="9"/>
  <c r="J609" i="9"/>
  <c r="J608" i="9"/>
  <c r="J593" i="9"/>
  <c r="J592" i="9"/>
  <c r="J577" i="9"/>
  <c r="J576" i="9"/>
  <c r="J569" i="9"/>
  <c r="J568" i="9"/>
  <c r="J561" i="9"/>
  <c r="J560" i="9"/>
  <c r="J553" i="9"/>
  <c r="J552" i="9"/>
  <c r="J541" i="9"/>
  <c r="J540" i="9"/>
  <c r="J533" i="9"/>
  <c r="J532" i="9"/>
  <c r="J525" i="9"/>
  <c r="J524" i="9"/>
  <c r="J517" i="9"/>
  <c r="J516" i="9"/>
  <c r="J512" i="9"/>
  <c r="J508" i="9"/>
  <c r="J504" i="9"/>
  <c r="J500" i="9"/>
  <c r="J496" i="9"/>
  <c r="J492" i="9"/>
  <c r="J488" i="9"/>
  <c r="J484" i="9"/>
  <c r="J480" i="9"/>
  <c r="J476" i="9"/>
  <c r="J472" i="9"/>
  <c r="J468" i="9"/>
  <c r="J464" i="9"/>
  <c r="J460" i="9"/>
  <c r="J456" i="9"/>
  <c r="J452" i="9"/>
  <c r="J448" i="9"/>
  <c r="J444" i="9"/>
  <c r="J440" i="9"/>
  <c r="J436" i="9"/>
  <c r="J432" i="9"/>
  <c r="J428" i="9"/>
  <c r="J424" i="9"/>
  <c r="J420" i="9"/>
  <c r="J416" i="9"/>
  <c r="J412" i="9"/>
  <c r="J408" i="9"/>
  <c r="J404" i="9"/>
  <c r="J400" i="9"/>
  <c r="J396" i="9"/>
  <c r="J392" i="9"/>
  <c r="J388" i="9"/>
  <c r="J384" i="9"/>
  <c r="J380" i="9"/>
  <c r="J376" i="9"/>
  <c r="J372" i="9"/>
  <c r="J368" i="9"/>
  <c r="J364" i="9"/>
  <c r="J360" i="9"/>
  <c r="J356" i="9"/>
  <c r="J352" i="9"/>
  <c r="J348" i="9"/>
  <c r="J344" i="9"/>
  <c r="J340" i="9"/>
  <c r="J336" i="9"/>
  <c r="J332" i="9"/>
  <c r="J328" i="9"/>
  <c r="J324" i="9"/>
  <c r="J320" i="9"/>
  <c r="J316" i="9"/>
  <c r="J312" i="9"/>
  <c r="J308" i="9"/>
  <c r="J304" i="9"/>
  <c r="J300" i="9"/>
  <c r="J296" i="9"/>
  <c r="J292" i="9"/>
  <c r="J288" i="9"/>
  <c r="J284" i="9"/>
  <c r="J280" i="9"/>
  <c r="J276" i="9"/>
  <c r="J272" i="9"/>
  <c r="J268" i="9"/>
  <c r="J264" i="9"/>
  <c r="J260" i="9"/>
  <c r="J256" i="9"/>
  <c r="J252" i="9"/>
  <c r="J248" i="9"/>
  <c r="J244" i="9"/>
  <c r="J240" i="9"/>
  <c r="J236" i="9"/>
  <c r="J232" i="9"/>
  <c r="J228" i="9"/>
  <c r="J224" i="9"/>
  <c r="J220" i="9"/>
  <c r="J216" i="9"/>
  <c r="J212" i="9"/>
  <c r="J208" i="9"/>
  <c r="J204" i="9"/>
  <c r="J200" i="9"/>
  <c r="J196" i="9"/>
  <c r="J192" i="9"/>
  <c r="J188" i="9"/>
  <c r="J184" i="9"/>
  <c r="J180" i="9"/>
  <c r="J176" i="9"/>
  <c r="J172" i="9"/>
  <c r="J168" i="9"/>
  <c r="J164" i="9"/>
  <c r="J160" i="9"/>
  <c r="J156" i="9"/>
  <c r="J152" i="9"/>
  <c r="J148" i="9"/>
  <c r="J144" i="9"/>
  <c r="J140" i="9"/>
  <c r="J136" i="9"/>
  <c r="J132" i="9"/>
  <c r="J128" i="9"/>
  <c r="J124" i="9"/>
  <c r="J120" i="9"/>
  <c r="J116" i="9"/>
  <c r="J112" i="9"/>
  <c r="J108" i="9"/>
  <c r="J104" i="9"/>
  <c r="J100" i="9"/>
  <c r="J96" i="9"/>
  <c r="J92" i="9"/>
  <c r="J88" i="9"/>
  <c r="J84" i="9"/>
  <c r="J80" i="9"/>
  <c r="J76" i="9"/>
  <c r="J72" i="9"/>
  <c r="J68" i="9"/>
  <c r="J64" i="9"/>
  <c r="J60" i="9"/>
  <c r="J56" i="9"/>
  <c r="J52" i="9"/>
  <c r="J48" i="9"/>
  <c r="J836" i="9"/>
  <c r="J820" i="9"/>
  <c r="J804" i="9"/>
  <c r="J788" i="9"/>
  <c r="J772" i="9"/>
  <c r="J756" i="9"/>
  <c r="J750" i="9"/>
  <c r="J731" i="9"/>
  <c r="J718" i="9"/>
  <c r="J613" i="9"/>
  <c r="J612" i="9"/>
  <c r="J597" i="9"/>
  <c r="J596" i="9"/>
  <c r="J581" i="9"/>
  <c r="J580" i="9"/>
  <c r="J545" i="9"/>
  <c r="J544" i="9"/>
  <c r="J515" i="9"/>
  <c r="J511" i="9"/>
  <c r="J507" i="9"/>
  <c r="J503" i="9"/>
  <c r="J499" i="9"/>
  <c r="J495" i="9"/>
  <c r="J491" i="9"/>
  <c r="J487" i="9"/>
  <c r="J483" i="9"/>
  <c r="J479" i="9"/>
  <c r="J475" i="9"/>
  <c r="J471" i="9"/>
  <c r="J467" i="9"/>
  <c r="J463" i="9"/>
  <c r="J459" i="9"/>
  <c r="J455" i="9"/>
  <c r="J451" i="9"/>
  <c r="J447" i="9"/>
  <c r="J443" i="9"/>
  <c r="J439" i="9"/>
  <c r="J435" i="9"/>
  <c r="J431" i="9"/>
  <c r="J427" i="9"/>
  <c r="J423" i="9"/>
  <c r="J419" i="9"/>
  <c r="J415" i="9"/>
  <c r="J411" i="9"/>
  <c r="J407" i="9"/>
  <c r="J403" i="9"/>
  <c r="J399" i="9"/>
  <c r="J395" i="9"/>
  <c r="J391" i="9"/>
  <c r="J387" i="9"/>
  <c r="J383" i="9"/>
  <c r="J379" i="9"/>
  <c r="J375" i="9"/>
  <c r="J371" i="9"/>
  <c r="J367" i="9"/>
  <c r="J363" i="9"/>
  <c r="J359" i="9"/>
  <c r="J355" i="9"/>
  <c r="J351" i="9"/>
  <c r="J347" i="9"/>
  <c r="J343" i="9"/>
  <c r="J339" i="9"/>
  <c r="J335" i="9"/>
  <c r="J331" i="9"/>
  <c r="J327" i="9"/>
  <c r="J323" i="9"/>
  <c r="J319" i="9"/>
  <c r="J315" i="9"/>
  <c r="J311" i="9"/>
  <c r="J307" i="9"/>
  <c r="J303" i="9"/>
  <c r="J299" i="9"/>
  <c r="J295" i="9"/>
  <c r="J291" i="9"/>
  <c r="J287" i="9"/>
  <c r="J283" i="9"/>
  <c r="J279" i="9"/>
  <c r="J275" i="9"/>
  <c r="J271" i="9"/>
  <c r="J267" i="9"/>
  <c r="J263" i="9"/>
  <c r="J259" i="9"/>
  <c r="J255" i="9"/>
  <c r="J251" i="9"/>
  <c r="J247" i="9"/>
  <c r="J243" i="9"/>
  <c r="J239" i="9"/>
  <c r="J235" i="9"/>
  <c r="J231" i="9"/>
  <c r="J227" i="9"/>
  <c r="J223" i="9"/>
  <c r="J219" i="9"/>
  <c r="J215" i="9"/>
  <c r="J211" i="9"/>
  <c r="J207" i="9"/>
  <c r="J203" i="9"/>
  <c r="J199" i="9"/>
  <c r="J195" i="9"/>
  <c r="J191" i="9"/>
  <c r="J187" i="9"/>
  <c r="J183" i="9"/>
  <c r="J179" i="9"/>
  <c r="J175" i="9"/>
  <c r="J171" i="9"/>
  <c r="J167" i="9"/>
  <c r="J163" i="9"/>
  <c r="J159" i="9"/>
  <c r="J155" i="9"/>
  <c r="J151" i="9"/>
  <c r="J147" i="9"/>
  <c r="J143" i="9"/>
  <c r="J139" i="9"/>
  <c r="J135" i="9"/>
  <c r="J131" i="9"/>
  <c r="J127" i="9"/>
  <c r="J123" i="9"/>
  <c r="J119" i="9"/>
  <c r="J115" i="9"/>
  <c r="J111" i="9"/>
  <c r="J107" i="9"/>
  <c r="J103" i="9"/>
  <c r="J99" i="9"/>
  <c r="J95" i="9"/>
  <c r="J91" i="9"/>
  <c r="J87" i="9"/>
  <c r="J83" i="9"/>
  <c r="J79" i="9"/>
  <c r="J75" i="9"/>
  <c r="J71" i="9"/>
  <c r="J67" i="9"/>
  <c r="J63" i="9"/>
  <c r="J59" i="9"/>
  <c r="J55" i="9"/>
  <c r="J51" i="9"/>
  <c r="J47" i="9"/>
  <c r="J732" i="9"/>
  <c r="J617" i="9"/>
  <c r="J616" i="9"/>
  <c r="J601" i="9"/>
  <c r="J600" i="9"/>
  <c r="J585" i="9"/>
  <c r="J584" i="9"/>
  <c r="J573" i="9"/>
  <c r="J572" i="9"/>
  <c r="J565" i="9"/>
  <c r="J564" i="9"/>
  <c r="J557" i="9"/>
  <c r="J556" i="9"/>
  <c r="J537" i="9"/>
  <c r="J536" i="9"/>
  <c r="J529" i="9"/>
  <c r="J528" i="9"/>
  <c r="J521" i="9"/>
  <c r="J520" i="9"/>
  <c r="J514" i="9"/>
  <c r="J510" i="9"/>
  <c r="J506" i="9"/>
  <c r="J502" i="9"/>
  <c r="J498" i="9"/>
  <c r="J494" i="9"/>
  <c r="J490" i="9"/>
  <c r="J486" i="9"/>
  <c r="J482" i="9"/>
  <c r="J478" i="9"/>
  <c r="J474" i="9"/>
  <c r="J470" i="9"/>
  <c r="J466" i="9"/>
  <c r="J462" i="9"/>
  <c r="J458" i="9"/>
  <c r="J454" i="9"/>
  <c r="J450" i="9"/>
  <c r="J446" i="9"/>
  <c r="J442" i="9"/>
  <c r="J438" i="9"/>
  <c r="J434" i="9"/>
  <c r="J430" i="9"/>
  <c r="J426" i="9"/>
  <c r="J422" i="9"/>
  <c r="J418" i="9"/>
  <c r="J414" i="9"/>
  <c r="J410" i="9"/>
  <c r="J406" i="9"/>
  <c r="J402" i="9"/>
  <c r="J398" i="9"/>
  <c r="J394" i="9"/>
  <c r="J390" i="9"/>
  <c r="J386" i="9"/>
  <c r="J382" i="9"/>
  <c r="J378" i="9"/>
  <c r="J374" i="9"/>
  <c r="J370" i="9"/>
  <c r="J362" i="9"/>
  <c r="J346" i="9"/>
  <c r="J294" i="9"/>
  <c r="J270" i="9"/>
  <c r="J266" i="9"/>
  <c r="J262" i="9"/>
  <c r="J258" i="9"/>
  <c r="J254" i="9"/>
  <c r="J250" i="9"/>
  <c r="J246" i="9"/>
  <c r="J242" i="9"/>
  <c r="J238" i="9"/>
  <c r="J234" i="9"/>
  <c r="J230" i="9"/>
  <c r="J226" i="9"/>
  <c r="J222" i="9"/>
  <c r="J218" i="9"/>
  <c r="J214" i="9"/>
  <c r="J210" i="9"/>
  <c r="J206" i="9"/>
  <c r="J202" i="9"/>
  <c r="J198" i="9"/>
  <c r="J194" i="9"/>
  <c r="J190" i="9"/>
  <c r="J186" i="9"/>
  <c r="J182" i="9"/>
  <c r="J178" i="9"/>
  <c r="J174" i="9"/>
  <c r="J170" i="9"/>
  <c r="J166" i="9"/>
  <c r="J162" i="9"/>
  <c r="J158" i="9"/>
  <c r="J154" i="9"/>
  <c r="J150" i="9"/>
  <c r="J146" i="9"/>
  <c r="J142" i="9"/>
  <c r="J138" i="9"/>
  <c r="J134" i="9"/>
  <c r="J130" i="9"/>
  <c r="J126" i="9"/>
  <c r="J122" i="9"/>
  <c r="J118" i="9"/>
  <c r="J114" i="9"/>
  <c r="J113" i="9"/>
  <c r="J106" i="9"/>
  <c r="J105" i="9"/>
  <c r="J98" i="9"/>
  <c r="J97" i="9"/>
  <c r="J90" i="9"/>
  <c r="J89" i="9"/>
  <c r="J82" i="9"/>
  <c r="J81" i="9"/>
  <c r="J74" i="9"/>
  <c r="J73" i="9"/>
  <c r="J66" i="9"/>
  <c r="J65" i="9"/>
  <c r="J58" i="9"/>
  <c r="J57" i="9"/>
  <c r="J50" i="9"/>
  <c r="J49" i="9"/>
  <c r="J41" i="9"/>
  <c r="J37" i="9"/>
  <c r="J33" i="9"/>
  <c r="J29" i="9"/>
  <c r="J25" i="9"/>
  <c r="J21" i="9"/>
  <c r="J13" i="9"/>
  <c r="J5" i="9"/>
  <c r="J40" i="9"/>
  <c r="J32" i="9"/>
  <c r="J20" i="9"/>
  <c r="J8" i="9"/>
  <c r="J109" i="9"/>
  <c r="J94" i="9"/>
  <c r="J93" i="9"/>
  <c r="J70" i="9"/>
  <c r="J69" i="9"/>
  <c r="J39" i="9"/>
  <c r="J31" i="9"/>
  <c r="J11" i="9"/>
  <c r="J358" i="9"/>
  <c r="J342" i="9"/>
  <c r="J290" i="9"/>
  <c r="J24" i="9"/>
  <c r="J12" i="9"/>
  <c r="J3" i="9"/>
  <c r="J102" i="9"/>
  <c r="J78" i="9"/>
  <c r="J77" i="9"/>
  <c r="J62" i="9"/>
  <c r="J61" i="9"/>
  <c r="J53" i="9"/>
  <c r="J46" i="9"/>
  <c r="J45" i="9"/>
  <c r="J44" i="9"/>
  <c r="J43" i="9"/>
  <c r="J35" i="9"/>
  <c r="J7" i="9"/>
  <c r="J354" i="9"/>
  <c r="J338" i="9"/>
  <c r="J286" i="9"/>
  <c r="J110" i="9"/>
  <c r="J101" i="9"/>
  <c r="J86" i="9"/>
  <c r="J85" i="9"/>
  <c r="J54" i="9"/>
  <c r="J27" i="9"/>
  <c r="J23" i="9"/>
  <c r="J19" i="9"/>
  <c r="J15" i="9"/>
  <c r="J366" i="9"/>
  <c r="J350" i="9"/>
  <c r="J334" i="9"/>
  <c r="J330" i="9"/>
  <c r="J326" i="9"/>
  <c r="J322" i="9"/>
  <c r="J318" i="9"/>
  <c r="J314" i="9"/>
  <c r="J310" i="9"/>
  <c r="J306" i="9"/>
  <c r="J302" i="9"/>
  <c r="J298" i="9"/>
  <c r="J282" i="9"/>
  <c r="J278" i="9"/>
  <c r="J274" i="9"/>
  <c r="J42" i="9"/>
  <c r="J38" i="9"/>
  <c r="J34" i="9"/>
  <c r="J30" i="9"/>
  <c r="J26" i="9"/>
  <c r="J22" i="9"/>
  <c r="J18" i="9"/>
  <c r="J14" i="9"/>
  <c r="J10" i="9"/>
  <c r="J6" i="9"/>
  <c r="J17" i="9"/>
  <c r="J9" i="9"/>
  <c r="J36" i="9"/>
  <c r="J28" i="9"/>
  <c r="J16" i="9"/>
  <c r="J4" i="9"/>
  <c r="J2" i="9"/>
  <c r="I16" i="9" l="1"/>
  <c r="I28" i="9"/>
  <c r="I36" i="9"/>
  <c r="I9" i="9"/>
  <c r="I17" i="9"/>
  <c r="I6" i="9"/>
  <c r="I10" i="9"/>
  <c r="I14" i="9"/>
  <c r="I18" i="9"/>
  <c r="I22" i="9"/>
  <c r="I26" i="9"/>
  <c r="I30" i="9"/>
  <c r="I34" i="9"/>
  <c r="I38" i="9"/>
  <c r="I42" i="9"/>
  <c r="I274" i="9"/>
  <c r="I278" i="9"/>
  <c r="I282" i="9"/>
  <c r="I298" i="9"/>
  <c r="I302" i="9"/>
  <c r="I306" i="9"/>
  <c r="I310" i="9"/>
  <c r="I314" i="9"/>
  <c r="I318" i="9"/>
  <c r="I322" i="9"/>
  <c r="I326" i="9"/>
  <c r="I330" i="9"/>
  <c r="I334" i="9"/>
  <c r="I350" i="9"/>
  <c r="I366" i="9"/>
  <c r="I15" i="9"/>
  <c r="I19" i="9"/>
  <c r="I23" i="9"/>
  <c r="I27" i="9"/>
  <c r="I54" i="9"/>
  <c r="I85" i="9"/>
  <c r="I86" i="9"/>
  <c r="I101" i="9"/>
  <c r="I110" i="9"/>
  <c r="I286" i="9"/>
  <c r="I338" i="9"/>
  <c r="I354" i="9"/>
  <c r="I7" i="9"/>
  <c r="I35" i="9"/>
  <c r="I43" i="9"/>
  <c r="I44" i="9"/>
  <c r="I45" i="9"/>
  <c r="I46" i="9"/>
  <c r="I53" i="9"/>
  <c r="I61" i="9"/>
  <c r="I62" i="9"/>
  <c r="I77" i="9"/>
  <c r="I78" i="9"/>
  <c r="I102" i="9"/>
  <c r="I12" i="9"/>
  <c r="I24" i="9"/>
  <c r="I290" i="9"/>
  <c r="I342" i="9"/>
  <c r="I358" i="9"/>
  <c r="I11" i="9"/>
  <c r="I31" i="9"/>
  <c r="I39" i="9"/>
  <c r="I69" i="9"/>
  <c r="I70" i="9"/>
  <c r="I93" i="9"/>
  <c r="I94" i="9"/>
  <c r="I109" i="9"/>
  <c r="I8" i="9"/>
  <c r="I20" i="9"/>
  <c r="I32" i="9"/>
  <c r="I40" i="9"/>
  <c r="I5" i="9"/>
  <c r="I13" i="9"/>
  <c r="I21" i="9"/>
  <c r="I25" i="9"/>
  <c r="I29" i="9"/>
  <c r="I33" i="9"/>
  <c r="I37" i="9"/>
  <c r="I41" i="9"/>
  <c r="I49" i="9"/>
  <c r="I50" i="9"/>
  <c r="I57" i="9"/>
  <c r="I58" i="9"/>
  <c r="I65" i="9"/>
  <c r="I66" i="9"/>
  <c r="I73" i="9"/>
  <c r="I74" i="9"/>
  <c r="I81" i="9"/>
  <c r="I82" i="9"/>
  <c r="I89" i="9"/>
  <c r="I90" i="9"/>
  <c r="I97" i="9"/>
  <c r="I98" i="9"/>
  <c r="I105" i="9"/>
  <c r="I106" i="9"/>
  <c r="I113" i="9"/>
  <c r="I114" i="9"/>
  <c r="I118" i="9"/>
  <c r="I122" i="9"/>
  <c r="I126" i="9"/>
  <c r="I130" i="9"/>
  <c r="I134" i="9"/>
  <c r="I138" i="9"/>
  <c r="I142" i="9"/>
  <c r="I146" i="9"/>
  <c r="I150" i="9"/>
  <c r="I154" i="9"/>
  <c r="I158" i="9"/>
  <c r="I162" i="9"/>
  <c r="I166" i="9"/>
  <c r="I170" i="9"/>
  <c r="I174" i="9"/>
  <c r="I178" i="9"/>
  <c r="I182" i="9"/>
  <c r="I186" i="9"/>
  <c r="I190" i="9"/>
  <c r="I194" i="9"/>
  <c r="I198" i="9"/>
  <c r="I202" i="9"/>
  <c r="I206" i="9"/>
  <c r="I210" i="9"/>
  <c r="I214" i="9"/>
  <c r="I218" i="9"/>
  <c r="I222" i="9"/>
  <c r="I226" i="9"/>
  <c r="I230" i="9"/>
  <c r="I234" i="9"/>
  <c r="I238" i="9"/>
  <c r="I242" i="9"/>
  <c r="I246" i="9"/>
  <c r="I250" i="9"/>
  <c r="I254" i="9"/>
  <c r="I258" i="9"/>
  <c r="I262" i="9"/>
  <c r="I266" i="9"/>
  <c r="I270" i="9"/>
  <c r="I294" i="9"/>
  <c r="I346" i="9"/>
  <c r="I362" i="9"/>
  <c r="I370" i="9"/>
  <c r="I374" i="9"/>
  <c r="I378" i="9"/>
  <c r="I382" i="9"/>
  <c r="I386" i="9"/>
  <c r="I390" i="9"/>
  <c r="I394" i="9"/>
  <c r="I398" i="9"/>
  <c r="I402" i="9"/>
  <c r="I406" i="9"/>
  <c r="I410" i="9"/>
  <c r="I414" i="9"/>
  <c r="I418" i="9"/>
  <c r="I422" i="9"/>
  <c r="I426" i="9"/>
  <c r="I430" i="9"/>
  <c r="I434" i="9"/>
  <c r="I438" i="9"/>
  <c r="I442" i="9"/>
  <c r="I446" i="9"/>
  <c r="I450" i="9"/>
  <c r="I454" i="9"/>
  <c r="I458" i="9"/>
  <c r="I462" i="9"/>
  <c r="I466" i="9"/>
  <c r="I470" i="9"/>
  <c r="I474" i="9"/>
  <c r="I478" i="9"/>
  <c r="I482" i="9"/>
  <c r="I486" i="9"/>
  <c r="I490" i="9"/>
  <c r="I494" i="9"/>
  <c r="I498" i="9"/>
  <c r="I502" i="9"/>
  <c r="I506" i="9"/>
  <c r="I510" i="9"/>
  <c r="I514" i="9"/>
  <c r="I520" i="9"/>
  <c r="I521" i="9"/>
  <c r="I528" i="9"/>
  <c r="I529" i="9"/>
  <c r="I536" i="9"/>
  <c r="I537" i="9"/>
  <c r="I556" i="9"/>
  <c r="I557" i="9"/>
  <c r="I564" i="9"/>
  <c r="I565" i="9"/>
  <c r="I572" i="9"/>
  <c r="I573" i="9"/>
  <c r="I584" i="9"/>
  <c r="I585" i="9"/>
  <c r="I600" i="9"/>
  <c r="I601" i="9"/>
  <c r="I616" i="9"/>
  <c r="I617" i="9"/>
  <c r="I732" i="9"/>
  <c r="I47" i="9"/>
  <c r="I51" i="9"/>
  <c r="I55" i="9"/>
  <c r="I59" i="9"/>
  <c r="I63" i="9"/>
  <c r="I67" i="9"/>
  <c r="I71" i="9"/>
  <c r="I75" i="9"/>
  <c r="I79" i="9"/>
  <c r="I83" i="9"/>
  <c r="I87" i="9"/>
  <c r="I91" i="9"/>
  <c r="I95" i="9"/>
  <c r="I99" i="9"/>
  <c r="I103" i="9"/>
  <c r="I107" i="9"/>
  <c r="I111" i="9"/>
  <c r="I115" i="9"/>
  <c r="I119" i="9"/>
  <c r="I123" i="9"/>
  <c r="I127" i="9"/>
  <c r="I131" i="9"/>
  <c r="I135" i="9"/>
  <c r="I139" i="9"/>
  <c r="I143" i="9"/>
  <c r="I147" i="9"/>
  <c r="I151" i="9"/>
  <c r="I155" i="9"/>
  <c r="I159" i="9"/>
  <c r="I163" i="9"/>
  <c r="I167" i="9"/>
  <c r="I171" i="9"/>
  <c r="I175" i="9"/>
  <c r="I179" i="9"/>
  <c r="I183" i="9"/>
  <c r="I187" i="9"/>
  <c r="I191" i="9"/>
  <c r="I195" i="9"/>
  <c r="I199" i="9"/>
  <c r="I203" i="9"/>
  <c r="I207" i="9"/>
  <c r="I211" i="9"/>
  <c r="I215" i="9"/>
  <c r="I219" i="9"/>
  <c r="I223" i="9"/>
  <c r="I227" i="9"/>
  <c r="I231" i="9"/>
  <c r="I235" i="9"/>
  <c r="I239" i="9"/>
  <c r="I243" i="9"/>
  <c r="I247" i="9"/>
  <c r="I251" i="9"/>
  <c r="I255" i="9"/>
  <c r="I259" i="9"/>
  <c r="I263" i="9"/>
  <c r="I267" i="9"/>
  <c r="I271" i="9"/>
  <c r="I275" i="9"/>
  <c r="I279" i="9"/>
  <c r="I283" i="9"/>
  <c r="I287" i="9"/>
  <c r="I291" i="9"/>
  <c r="I295" i="9"/>
  <c r="I299" i="9"/>
  <c r="I303" i="9"/>
  <c r="I307" i="9"/>
  <c r="I311" i="9"/>
  <c r="I315" i="9"/>
  <c r="I319" i="9"/>
  <c r="I323" i="9"/>
  <c r="I327" i="9"/>
  <c r="I331" i="9"/>
  <c r="I335" i="9"/>
  <c r="I339" i="9"/>
  <c r="I343" i="9"/>
  <c r="I347" i="9"/>
  <c r="I351" i="9"/>
  <c r="I355" i="9"/>
  <c r="I359" i="9"/>
  <c r="I363" i="9"/>
  <c r="I367" i="9"/>
  <c r="I371" i="9"/>
  <c r="I375" i="9"/>
  <c r="I379" i="9"/>
  <c r="I383" i="9"/>
  <c r="I387" i="9"/>
  <c r="I391" i="9"/>
  <c r="I395" i="9"/>
  <c r="I399" i="9"/>
  <c r="I403" i="9"/>
  <c r="I407" i="9"/>
  <c r="I411" i="9"/>
  <c r="I415" i="9"/>
  <c r="I419" i="9"/>
  <c r="I423" i="9"/>
  <c r="I427" i="9"/>
  <c r="I431" i="9"/>
  <c r="I435" i="9"/>
  <c r="I439" i="9"/>
  <c r="I443" i="9"/>
  <c r="I447" i="9"/>
  <c r="I451" i="9"/>
  <c r="I455" i="9"/>
  <c r="I459" i="9"/>
  <c r="I463" i="9"/>
  <c r="I467" i="9"/>
  <c r="I471" i="9"/>
  <c r="I475" i="9"/>
  <c r="I479" i="9"/>
  <c r="I483" i="9"/>
  <c r="I487" i="9"/>
  <c r="I491" i="9"/>
  <c r="I495" i="9"/>
  <c r="I499" i="9"/>
  <c r="I503" i="9"/>
  <c r="I507" i="9"/>
  <c r="I511" i="9"/>
  <c r="I515" i="9"/>
  <c r="I544" i="9"/>
  <c r="I545" i="9"/>
  <c r="I580" i="9"/>
  <c r="I581" i="9"/>
  <c r="I596" i="9"/>
  <c r="I597" i="9"/>
  <c r="I612" i="9"/>
  <c r="I613" i="9"/>
  <c r="I718" i="9"/>
  <c r="I731" i="9"/>
  <c r="I750" i="9"/>
  <c r="I756" i="9"/>
  <c r="I772" i="9"/>
  <c r="I788" i="9"/>
  <c r="I804" i="9"/>
  <c r="I820" i="9"/>
  <c r="I836" i="9"/>
  <c r="I48" i="9"/>
  <c r="I52" i="9"/>
  <c r="I56" i="9"/>
  <c r="I60" i="9"/>
  <c r="I64" i="9"/>
  <c r="I68" i="9"/>
  <c r="I72" i="9"/>
  <c r="I76" i="9"/>
  <c r="I80" i="9"/>
  <c r="I84" i="9"/>
  <c r="I88" i="9"/>
  <c r="I92" i="9"/>
  <c r="I96" i="9"/>
  <c r="I100" i="9"/>
  <c r="I104" i="9"/>
  <c r="I108" i="9"/>
  <c r="I112" i="9"/>
  <c r="I116" i="9"/>
  <c r="I120" i="9"/>
  <c r="I124" i="9"/>
  <c r="I128" i="9"/>
  <c r="I132" i="9"/>
  <c r="I136" i="9"/>
  <c r="I140" i="9"/>
  <c r="I144" i="9"/>
  <c r="I148" i="9"/>
  <c r="I152" i="9"/>
  <c r="I156" i="9"/>
  <c r="I160" i="9"/>
  <c r="I164" i="9"/>
  <c r="I168" i="9"/>
  <c r="I172" i="9"/>
  <c r="I176" i="9"/>
  <c r="I180" i="9"/>
  <c r="I184" i="9"/>
  <c r="I188" i="9"/>
  <c r="I192" i="9"/>
  <c r="I196" i="9"/>
  <c r="I200" i="9"/>
  <c r="I204" i="9"/>
  <c r="I208" i="9"/>
  <c r="I212" i="9"/>
  <c r="I216" i="9"/>
  <c r="I220" i="9"/>
  <c r="I224" i="9"/>
  <c r="I228" i="9"/>
  <c r="I232" i="9"/>
  <c r="I236" i="9"/>
  <c r="I240" i="9"/>
  <c r="I244" i="9"/>
  <c r="I248" i="9"/>
  <c r="I252" i="9"/>
  <c r="I256" i="9"/>
  <c r="I260" i="9"/>
  <c r="I264" i="9"/>
  <c r="I268" i="9"/>
  <c r="I272" i="9"/>
  <c r="I276" i="9"/>
  <c r="I280" i="9"/>
  <c r="I284" i="9"/>
  <c r="I288" i="9"/>
  <c r="I292" i="9"/>
  <c r="I296" i="9"/>
  <c r="I300" i="9"/>
  <c r="I304" i="9"/>
  <c r="I308" i="9"/>
  <c r="I312" i="9"/>
  <c r="I316" i="9"/>
  <c r="I320" i="9"/>
  <c r="I324" i="9"/>
  <c r="I328" i="9"/>
  <c r="I332" i="9"/>
  <c r="I336" i="9"/>
  <c r="I340" i="9"/>
  <c r="I344" i="9"/>
  <c r="I348" i="9"/>
  <c r="I352" i="9"/>
  <c r="I356" i="9"/>
  <c r="I360" i="9"/>
  <c r="I364" i="9"/>
  <c r="I368" i="9"/>
  <c r="I372" i="9"/>
  <c r="I376" i="9"/>
  <c r="I380" i="9"/>
  <c r="I384" i="9"/>
  <c r="I388" i="9"/>
  <c r="I392" i="9"/>
  <c r="I396" i="9"/>
  <c r="I400" i="9"/>
  <c r="I404" i="9"/>
  <c r="I408" i="9"/>
  <c r="I412" i="9"/>
  <c r="I416" i="9"/>
  <c r="I420" i="9"/>
  <c r="I424" i="9"/>
  <c r="I428" i="9"/>
  <c r="I432" i="9"/>
  <c r="I436" i="9"/>
  <c r="I440" i="9"/>
  <c r="I444" i="9"/>
  <c r="I448" i="9"/>
  <c r="I452" i="9"/>
  <c r="I456" i="9"/>
  <c r="I460" i="9"/>
  <c r="I464" i="9"/>
  <c r="I468" i="9"/>
  <c r="I472" i="9"/>
  <c r="I476" i="9"/>
  <c r="I480" i="9"/>
  <c r="I484" i="9"/>
  <c r="I488" i="9"/>
  <c r="I492" i="9"/>
  <c r="I496" i="9"/>
  <c r="I500" i="9"/>
  <c r="I504" i="9"/>
  <c r="I508" i="9"/>
  <c r="I512" i="9"/>
  <c r="I516" i="9"/>
  <c r="I517" i="9"/>
  <c r="I524" i="9"/>
  <c r="I525" i="9"/>
  <c r="I532" i="9"/>
  <c r="I533" i="9"/>
  <c r="I540" i="9"/>
  <c r="I541" i="9"/>
  <c r="I552" i="9"/>
  <c r="I553" i="9"/>
  <c r="I560" i="9"/>
  <c r="I561" i="9"/>
  <c r="I568" i="9"/>
  <c r="I569" i="9"/>
  <c r="I576" i="9"/>
  <c r="I577" i="9"/>
  <c r="I592" i="9"/>
  <c r="I593" i="9"/>
  <c r="I608" i="9"/>
  <c r="I609" i="9"/>
  <c r="I620" i="9"/>
  <c r="I624" i="9"/>
  <c r="I628" i="9"/>
  <c r="I632" i="9"/>
  <c r="I636" i="9"/>
  <c r="I640" i="9"/>
  <c r="I644" i="9"/>
  <c r="I648" i="9"/>
  <c r="I652" i="9"/>
  <c r="I656" i="9"/>
  <c r="I660" i="9"/>
  <c r="I664" i="9"/>
  <c r="I668" i="9"/>
  <c r="I672" i="9"/>
  <c r="I676" i="9"/>
  <c r="I680" i="9"/>
  <c r="I684" i="9"/>
  <c r="I688" i="9"/>
  <c r="I692" i="9"/>
  <c r="I696" i="9"/>
  <c r="I700" i="9"/>
  <c r="I704" i="9"/>
  <c r="I708" i="9"/>
  <c r="I712" i="9"/>
  <c r="I716" i="9"/>
  <c r="I748" i="9"/>
  <c r="I117" i="9"/>
  <c r="I121" i="9"/>
  <c r="I125" i="9"/>
  <c r="I129" i="9"/>
  <c r="I133" i="9"/>
  <c r="I137" i="9"/>
  <c r="I141" i="9"/>
  <c r="I145" i="9"/>
  <c r="I149" i="9"/>
  <c r="I153" i="9"/>
  <c r="I157" i="9"/>
  <c r="I161" i="9"/>
  <c r="I165" i="9"/>
  <c r="I169" i="9"/>
  <c r="I173" i="9"/>
  <c r="I177" i="9"/>
  <c r="I181" i="9"/>
  <c r="I185" i="9"/>
  <c r="I189" i="9"/>
  <c r="I193" i="9"/>
  <c r="I197" i="9"/>
  <c r="I201" i="9"/>
  <c r="I205" i="9"/>
  <c r="I209" i="9"/>
  <c r="I213" i="9"/>
  <c r="I217" i="9"/>
  <c r="I221" i="9"/>
  <c r="I225" i="9"/>
  <c r="I229" i="9"/>
  <c r="I233" i="9"/>
  <c r="I237" i="9"/>
  <c r="I241" i="9"/>
  <c r="I245" i="9"/>
  <c r="I249" i="9"/>
  <c r="I253" i="9"/>
  <c r="I257" i="9"/>
  <c r="I261" i="9"/>
  <c r="I265" i="9"/>
  <c r="I269" i="9"/>
  <c r="I273" i="9"/>
  <c r="I277" i="9"/>
  <c r="I281" i="9"/>
  <c r="I285" i="9"/>
  <c r="I289" i="9"/>
  <c r="I293" i="9"/>
  <c r="I297" i="9"/>
  <c r="I301" i="9"/>
  <c r="I305" i="9"/>
  <c r="I309" i="9"/>
  <c r="I313" i="9"/>
  <c r="I317" i="9"/>
  <c r="I321" i="9"/>
  <c r="I325" i="9"/>
  <c r="I329" i="9"/>
  <c r="I333" i="9"/>
  <c r="I337" i="9"/>
  <c r="I341" i="9"/>
  <c r="I345" i="9"/>
  <c r="I349" i="9"/>
  <c r="I353" i="9"/>
  <c r="I357" i="9"/>
  <c r="I361" i="9"/>
  <c r="I365" i="9"/>
  <c r="I369" i="9"/>
  <c r="I373" i="9"/>
  <c r="I377" i="9"/>
  <c r="I381" i="9"/>
  <c r="I385" i="9"/>
  <c r="I389" i="9"/>
  <c r="I393" i="9"/>
  <c r="I397" i="9"/>
  <c r="I401" i="9"/>
  <c r="I405" i="9"/>
  <c r="I409" i="9"/>
  <c r="I413" i="9"/>
  <c r="I417" i="9"/>
  <c r="I421" i="9"/>
  <c r="I425" i="9"/>
  <c r="I429" i="9"/>
  <c r="I433" i="9"/>
  <c r="I437" i="9"/>
  <c r="I441" i="9"/>
  <c r="I445" i="9"/>
  <c r="I449" i="9"/>
  <c r="I453" i="9"/>
  <c r="I457" i="9"/>
  <c r="I461" i="9"/>
  <c r="I465" i="9"/>
  <c r="I469" i="9"/>
  <c r="I473" i="9"/>
  <c r="I477" i="9"/>
  <c r="I481" i="9"/>
  <c r="I485" i="9"/>
  <c r="I489" i="9"/>
  <c r="I493" i="9"/>
  <c r="I497" i="9"/>
  <c r="I501" i="9"/>
  <c r="I505" i="9"/>
  <c r="I509" i="9"/>
  <c r="I513" i="9"/>
  <c r="I548" i="9"/>
  <c r="I549" i="9"/>
  <c r="I588" i="9"/>
  <c r="I589" i="9"/>
  <c r="I604" i="9"/>
  <c r="I605" i="9"/>
  <c r="I734" i="9"/>
  <c r="I747" i="9"/>
  <c r="I764" i="9"/>
  <c r="I780" i="9"/>
  <c r="I796" i="9"/>
  <c r="I812" i="9"/>
  <c r="I828" i="9"/>
  <c r="I844" i="9"/>
  <c r="I621" i="9"/>
  <c r="I625" i="9"/>
  <c r="I629" i="9"/>
  <c r="I633" i="9"/>
  <c r="I637" i="9"/>
  <c r="I641" i="9"/>
  <c r="I645" i="9"/>
  <c r="I649" i="9"/>
  <c r="I653" i="9"/>
  <c r="I657" i="9"/>
  <c r="I661" i="9"/>
  <c r="I665" i="9"/>
  <c r="I669" i="9"/>
  <c r="I673" i="9"/>
  <c r="I677" i="9"/>
  <c r="I681" i="9"/>
  <c r="I685" i="9"/>
  <c r="I689" i="9"/>
  <c r="I693" i="9"/>
  <c r="I697" i="9"/>
  <c r="I701" i="9"/>
  <c r="I705" i="9"/>
  <c r="I709" i="9"/>
  <c r="I713" i="9"/>
  <c r="I719" i="9"/>
  <c r="I720" i="9"/>
  <c r="I722" i="9"/>
  <c r="I735" i="9"/>
  <c r="I736" i="9"/>
  <c r="I738" i="9"/>
  <c r="I751" i="9"/>
  <c r="I752" i="9"/>
  <c r="I754" i="9"/>
  <c r="I762" i="9"/>
  <c r="I770" i="9"/>
  <c r="I778" i="9"/>
  <c r="I786" i="9"/>
  <c r="I794" i="9"/>
  <c r="I802" i="9"/>
  <c r="I810" i="9"/>
  <c r="I818" i="9"/>
  <c r="I826" i="9"/>
  <c r="I834" i="9"/>
  <c r="I842" i="9"/>
  <c r="I850" i="9"/>
  <c r="I518" i="9"/>
  <c r="I522" i="9"/>
  <c r="I526" i="9"/>
  <c r="I530" i="9"/>
  <c r="I534" i="9"/>
  <c r="I538" i="9"/>
  <c r="I542" i="9"/>
  <c r="I546" i="9"/>
  <c r="I550" i="9"/>
  <c r="I554" i="9"/>
  <c r="I558" i="9"/>
  <c r="I562" i="9"/>
  <c r="I566" i="9"/>
  <c r="I570" i="9"/>
  <c r="I574" i="9"/>
  <c r="I578" i="9"/>
  <c r="I582" i="9"/>
  <c r="I586" i="9"/>
  <c r="I590" i="9"/>
  <c r="I594" i="9"/>
  <c r="I598" i="9"/>
  <c r="I602" i="9"/>
  <c r="I606" i="9"/>
  <c r="I610" i="9"/>
  <c r="I614" i="9"/>
  <c r="I618" i="9"/>
  <c r="I622" i="9"/>
  <c r="I626" i="9"/>
  <c r="I630" i="9"/>
  <c r="I634" i="9"/>
  <c r="I638" i="9"/>
  <c r="I642" i="9"/>
  <c r="I646" i="9"/>
  <c r="I650" i="9"/>
  <c r="I654" i="9"/>
  <c r="I658" i="9"/>
  <c r="I662" i="9"/>
  <c r="I666" i="9"/>
  <c r="I670" i="9"/>
  <c r="I674" i="9"/>
  <c r="I678" i="9"/>
  <c r="I682" i="9"/>
  <c r="I686" i="9"/>
  <c r="I690" i="9"/>
  <c r="I694" i="9"/>
  <c r="I698" i="9"/>
  <c r="I702" i="9"/>
  <c r="I706" i="9"/>
  <c r="I710" i="9"/>
  <c r="I714" i="9"/>
  <c r="I723" i="9"/>
  <c r="I724" i="9"/>
  <c r="I726" i="9"/>
  <c r="I739" i="9"/>
  <c r="I740" i="9"/>
  <c r="I742" i="9"/>
  <c r="I760" i="9"/>
  <c r="I768" i="9"/>
  <c r="I776" i="9"/>
  <c r="I784" i="9"/>
  <c r="I792" i="9"/>
  <c r="I800" i="9"/>
  <c r="I808" i="9"/>
  <c r="I816" i="9"/>
  <c r="I824" i="9"/>
  <c r="I832" i="9"/>
  <c r="I840" i="9"/>
  <c r="I848" i="9"/>
  <c r="I519" i="9"/>
  <c r="I523" i="9"/>
  <c r="I527" i="9"/>
  <c r="I531" i="9"/>
  <c r="I535" i="9"/>
  <c r="I539" i="9"/>
  <c r="I543" i="9"/>
  <c r="I547" i="9"/>
  <c r="I551" i="9"/>
  <c r="I555" i="9"/>
  <c r="I559" i="9"/>
  <c r="I563" i="9"/>
  <c r="I567" i="9"/>
  <c r="I571" i="9"/>
  <c r="I575" i="9"/>
  <c r="I579" i="9"/>
  <c r="I583" i="9"/>
  <c r="I587" i="9"/>
  <c r="I591" i="9"/>
  <c r="I595" i="9"/>
  <c r="I599" i="9"/>
  <c r="I603" i="9"/>
  <c r="I607" i="9"/>
  <c r="I611" i="9"/>
  <c r="I615" i="9"/>
  <c r="I619" i="9"/>
  <c r="I623" i="9"/>
  <c r="I627" i="9"/>
  <c r="I631" i="9"/>
  <c r="I635" i="9"/>
  <c r="I639" i="9"/>
  <c r="I643" i="9"/>
  <c r="I647" i="9"/>
  <c r="I651" i="9"/>
  <c r="I655" i="9"/>
  <c r="I659" i="9"/>
  <c r="I663" i="9"/>
  <c r="I667" i="9"/>
  <c r="I671" i="9"/>
  <c r="I675" i="9"/>
  <c r="I679" i="9"/>
  <c r="I683" i="9"/>
  <c r="I687" i="9"/>
  <c r="I691" i="9"/>
  <c r="I695" i="9"/>
  <c r="I699" i="9"/>
  <c r="I703" i="9"/>
  <c r="I707" i="9"/>
  <c r="I711" i="9"/>
  <c r="I715" i="9"/>
  <c r="I727" i="9"/>
  <c r="I728" i="9"/>
  <c r="I730" i="9"/>
  <c r="I743" i="9"/>
  <c r="I744" i="9"/>
  <c r="I746" i="9"/>
  <c r="I758" i="9"/>
  <c r="I766" i="9"/>
  <c r="I774" i="9"/>
  <c r="I782" i="9"/>
  <c r="I790" i="9"/>
  <c r="I798" i="9"/>
  <c r="I806" i="9"/>
  <c r="I814" i="9"/>
  <c r="I822" i="9"/>
  <c r="I830" i="9"/>
  <c r="I838" i="9"/>
  <c r="I846" i="9"/>
  <c r="I852" i="9"/>
  <c r="I856" i="9"/>
  <c r="I860" i="9"/>
  <c r="I864" i="9"/>
  <c r="I868" i="9"/>
  <c r="I872" i="9"/>
  <c r="I876" i="9"/>
  <c r="I880" i="9"/>
  <c r="I884" i="9"/>
  <c r="I888" i="9"/>
  <c r="I892" i="9"/>
  <c r="I896" i="9"/>
  <c r="I900" i="9"/>
  <c r="I904" i="9"/>
  <c r="I908" i="9"/>
  <c r="I912" i="9"/>
  <c r="I916" i="9"/>
  <c r="I920" i="9"/>
  <c r="I924" i="9"/>
  <c r="I928" i="9"/>
  <c r="I932" i="9"/>
  <c r="I936" i="9"/>
  <c r="I940" i="9"/>
  <c r="I944" i="9"/>
  <c r="I948" i="9"/>
  <c r="I952" i="9"/>
  <c r="I956" i="9"/>
  <c r="I960" i="9"/>
  <c r="I964" i="9"/>
  <c r="I968" i="9"/>
  <c r="I972" i="9"/>
  <c r="I976" i="9"/>
  <c r="I980" i="9"/>
  <c r="I984" i="9"/>
  <c r="I988" i="9"/>
  <c r="I992" i="9"/>
  <c r="I996" i="9"/>
  <c r="I854" i="9"/>
  <c r="I858" i="9"/>
  <c r="I862" i="9"/>
  <c r="I866" i="9"/>
  <c r="I870" i="9"/>
  <c r="I874" i="9"/>
  <c r="I878" i="9"/>
  <c r="I882" i="9"/>
  <c r="I886" i="9"/>
  <c r="I890" i="9"/>
  <c r="I894" i="9"/>
  <c r="I898" i="9"/>
  <c r="I902" i="9"/>
  <c r="I906" i="9"/>
  <c r="I910" i="9"/>
  <c r="I914" i="9"/>
  <c r="I918" i="9"/>
  <c r="I922" i="9"/>
  <c r="I926" i="9"/>
  <c r="I930" i="9"/>
  <c r="I934" i="9"/>
  <c r="I938" i="9"/>
  <c r="I942" i="9"/>
  <c r="I946" i="9"/>
  <c r="I950" i="9"/>
  <c r="I954" i="9"/>
  <c r="I958" i="9"/>
  <c r="I962" i="9"/>
  <c r="I966" i="9"/>
  <c r="I970" i="9"/>
  <c r="I974" i="9"/>
  <c r="I978" i="9"/>
  <c r="I982" i="9"/>
  <c r="I986" i="9"/>
  <c r="I990" i="9"/>
  <c r="I994" i="9"/>
  <c r="I998" i="9"/>
  <c r="I755" i="9"/>
  <c r="I759" i="9"/>
  <c r="I763" i="9"/>
  <c r="I767" i="9"/>
  <c r="I771" i="9"/>
  <c r="I775" i="9"/>
  <c r="I779" i="9"/>
  <c r="I783" i="9"/>
  <c r="I787" i="9"/>
  <c r="I791" i="9"/>
  <c r="I795" i="9"/>
  <c r="I799" i="9"/>
  <c r="I803" i="9"/>
  <c r="I807" i="9"/>
  <c r="I811" i="9"/>
  <c r="I815" i="9"/>
  <c r="I819" i="9"/>
  <c r="I823" i="9"/>
  <c r="I827" i="9"/>
  <c r="I831" i="9"/>
  <c r="I835" i="9"/>
  <c r="I839" i="9"/>
  <c r="I843" i="9"/>
  <c r="I847" i="9"/>
  <c r="I851" i="9"/>
  <c r="I855" i="9"/>
  <c r="I859" i="9"/>
  <c r="I863" i="9"/>
  <c r="I867" i="9"/>
  <c r="I871" i="9"/>
  <c r="I875" i="9"/>
  <c r="I879" i="9"/>
  <c r="I883" i="9"/>
  <c r="I887" i="9"/>
  <c r="I891" i="9"/>
  <c r="I895" i="9"/>
  <c r="I899" i="9"/>
  <c r="I903" i="9"/>
  <c r="I907" i="9"/>
  <c r="I911" i="9"/>
  <c r="I915" i="9"/>
  <c r="I919" i="9"/>
  <c r="I923" i="9"/>
  <c r="I927" i="9"/>
  <c r="I931" i="9"/>
  <c r="I935" i="9"/>
  <c r="I939" i="9"/>
  <c r="I943" i="9"/>
  <c r="I947" i="9"/>
  <c r="I951" i="9"/>
  <c r="I955" i="9"/>
  <c r="I959" i="9"/>
  <c r="I963" i="9"/>
  <c r="I967" i="9"/>
  <c r="I971" i="9"/>
  <c r="I975" i="9"/>
  <c r="I979" i="9"/>
  <c r="I983" i="9"/>
  <c r="I987" i="9"/>
  <c r="I991" i="9"/>
  <c r="I995" i="9"/>
  <c r="I999" i="9"/>
  <c r="I1000" i="9"/>
  <c r="I717" i="9"/>
  <c r="I721" i="9"/>
  <c r="I725" i="9"/>
  <c r="I729" i="9"/>
  <c r="I733" i="9"/>
  <c r="I737" i="9"/>
  <c r="I741" i="9"/>
  <c r="I745" i="9"/>
  <c r="I749" i="9"/>
  <c r="I753" i="9"/>
  <c r="I757" i="9"/>
  <c r="I761" i="9"/>
  <c r="I765" i="9"/>
  <c r="I769" i="9"/>
  <c r="I773" i="9"/>
  <c r="I777" i="9"/>
  <c r="I781" i="9"/>
  <c r="I785" i="9"/>
  <c r="I789" i="9"/>
  <c r="I793" i="9"/>
  <c r="I797" i="9"/>
  <c r="I801" i="9"/>
  <c r="I805" i="9"/>
  <c r="I809" i="9"/>
  <c r="I813" i="9"/>
  <c r="I817" i="9"/>
  <c r="I821" i="9"/>
  <c r="I825" i="9"/>
  <c r="I829" i="9"/>
  <c r="I833" i="9"/>
  <c r="I837" i="9"/>
  <c r="I841" i="9"/>
  <c r="I845" i="9"/>
  <c r="I849" i="9"/>
  <c r="I853" i="9"/>
  <c r="I857" i="9"/>
  <c r="I861" i="9"/>
  <c r="I865" i="9"/>
  <c r="I869" i="9"/>
  <c r="I873" i="9"/>
  <c r="I877" i="9"/>
  <c r="I881" i="9"/>
  <c r="I885" i="9"/>
  <c r="I889" i="9"/>
  <c r="I893" i="9"/>
  <c r="I897" i="9"/>
  <c r="I901" i="9"/>
  <c r="I905" i="9"/>
  <c r="I909" i="9"/>
  <c r="I913" i="9"/>
  <c r="I917" i="9"/>
  <c r="I921" i="9"/>
  <c r="I925" i="9"/>
  <c r="I929" i="9"/>
  <c r="I933" i="9"/>
  <c r="I937" i="9"/>
  <c r="I941" i="9"/>
  <c r="I945" i="9"/>
  <c r="I949" i="9"/>
  <c r="I953" i="9"/>
  <c r="I957" i="9"/>
  <c r="I961" i="9"/>
  <c r="I965" i="9"/>
  <c r="I969" i="9"/>
  <c r="I973" i="9"/>
  <c r="I977" i="9"/>
  <c r="I981" i="9"/>
  <c r="I985" i="9"/>
  <c r="I989" i="9"/>
  <c r="I993" i="9"/>
  <c r="I997" i="9"/>
  <c r="I1001" i="9"/>
  <c r="G10" i="18"/>
  <c r="E10" i="18" s="1"/>
  <c r="G6" i="18"/>
  <c r="E6" i="18" s="1"/>
  <c r="G2" i="18"/>
  <c r="E2" i="18" s="1"/>
  <c r="G11" i="18"/>
  <c r="E11" i="18" s="1"/>
  <c r="G7" i="18"/>
  <c r="E7" i="18" s="1"/>
  <c r="G3" i="18"/>
  <c r="E3" i="18" s="1"/>
  <c r="G12" i="18"/>
  <c r="E12" i="18" s="1"/>
  <c r="G8" i="18"/>
  <c r="E8" i="18" s="1"/>
  <c r="G4" i="18"/>
  <c r="E4" i="18" s="1"/>
  <c r="G9" i="18"/>
  <c r="E9" i="18" s="1"/>
  <c r="G5" i="18"/>
  <c r="E5" i="18" s="1"/>
  <c r="G58" i="18"/>
  <c r="E58" i="18" s="1"/>
  <c r="G54" i="18"/>
  <c r="E54" i="18" s="1"/>
  <c r="G50" i="18"/>
  <c r="E50" i="18" s="1"/>
  <c r="G59" i="18"/>
  <c r="E59" i="18" s="1"/>
  <c r="G55" i="18"/>
  <c r="E55" i="18" s="1"/>
  <c r="G51" i="18"/>
  <c r="E51" i="18" s="1"/>
  <c r="G60" i="18"/>
  <c r="E60" i="18" s="1"/>
  <c r="G56" i="18"/>
  <c r="E56" i="18" s="1"/>
  <c r="G52" i="18"/>
  <c r="E52" i="18" s="1"/>
  <c r="G57" i="18"/>
  <c r="E57" i="18" s="1"/>
  <c r="G53" i="18"/>
  <c r="E53" i="18" s="1"/>
  <c r="G49" i="18"/>
  <c r="E49" i="18" s="1"/>
  <c r="G106" i="18"/>
  <c r="E106" i="18" s="1"/>
  <c r="G102" i="18"/>
  <c r="E102" i="18" s="1"/>
  <c r="G98" i="18"/>
  <c r="E98" i="18" s="1"/>
  <c r="G107" i="18"/>
  <c r="E107" i="18" s="1"/>
  <c r="G103" i="18"/>
  <c r="E103" i="18" s="1"/>
  <c r="G99" i="18"/>
  <c r="E99" i="18" s="1"/>
  <c r="G108" i="18"/>
  <c r="E108" i="18" s="1"/>
  <c r="G104" i="18"/>
  <c r="E104" i="18" s="1"/>
  <c r="G100" i="18"/>
  <c r="E100" i="18" s="1"/>
  <c r="G105" i="18"/>
  <c r="E105" i="18" s="1"/>
  <c r="G101" i="18"/>
  <c r="E101" i="18" s="1"/>
  <c r="G97" i="18"/>
  <c r="E97" i="18" s="1"/>
  <c r="G154" i="18"/>
  <c r="E154" i="18" s="1"/>
  <c r="G150" i="18"/>
  <c r="E150" i="18" s="1"/>
  <c r="G146" i="18"/>
  <c r="E146" i="18" s="1"/>
  <c r="G155" i="18"/>
  <c r="E155" i="18" s="1"/>
  <c r="G151" i="18"/>
  <c r="E151" i="18" s="1"/>
  <c r="G147" i="18"/>
  <c r="E147" i="18" s="1"/>
  <c r="G156" i="18"/>
  <c r="E156" i="18" s="1"/>
  <c r="G152" i="18"/>
  <c r="E152" i="18" s="1"/>
  <c r="G148" i="18"/>
  <c r="E148" i="18" s="1"/>
  <c r="G153" i="18"/>
  <c r="E153" i="18" s="1"/>
  <c r="G149" i="18"/>
  <c r="E149" i="18" s="1"/>
  <c r="G145" i="18"/>
  <c r="E145" i="18" s="1"/>
  <c r="G202" i="18"/>
  <c r="E202" i="18" s="1"/>
  <c r="G198" i="18"/>
  <c r="E198" i="18" s="1"/>
  <c r="G194" i="18"/>
  <c r="E194" i="18" s="1"/>
  <c r="G203" i="18"/>
  <c r="E203" i="18" s="1"/>
  <c r="G199" i="18"/>
  <c r="E199" i="18" s="1"/>
  <c r="G195" i="18"/>
  <c r="E195" i="18" s="1"/>
  <c r="G204" i="18"/>
  <c r="E204" i="18" s="1"/>
  <c r="G200" i="18"/>
  <c r="E200" i="18" s="1"/>
  <c r="G196" i="18"/>
  <c r="E196" i="18" s="1"/>
  <c r="G201" i="18"/>
  <c r="E201" i="18" s="1"/>
  <c r="G197" i="18"/>
  <c r="E197" i="18" s="1"/>
  <c r="G193" i="18"/>
  <c r="E193" i="18" s="1"/>
  <c r="G250" i="18"/>
  <c r="E250" i="18" s="1"/>
  <c r="G246" i="18"/>
  <c r="E246" i="18" s="1"/>
  <c r="G242" i="18"/>
  <c r="E242" i="18" s="1"/>
  <c r="G251" i="18"/>
  <c r="E251" i="18" s="1"/>
  <c r="G247" i="18"/>
  <c r="E247" i="18" s="1"/>
  <c r="G243" i="18"/>
  <c r="E243" i="18" s="1"/>
  <c r="G252" i="18"/>
  <c r="E252" i="18" s="1"/>
  <c r="G248" i="18"/>
  <c r="E248" i="18" s="1"/>
  <c r="G244" i="18"/>
  <c r="E244" i="18" s="1"/>
  <c r="G249" i="18"/>
  <c r="E249" i="18" s="1"/>
  <c r="G245" i="18"/>
  <c r="E245" i="18" s="1"/>
  <c r="G241" i="18"/>
  <c r="E241" i="18" s="1"/>
  <c r="G300" i="18"/>
  <c r="E300" i="18" s="1"/>
  <c r="G299" i="18"/>
  <c r="E299" i="18" s="1"/>
  <c r="G298" i="18"/>
  <c r="E298" i="18" s="1"/>
  <c r="G297" i="18"/>
  <c r="E297" i="18" s="1"/>
  <c r="G296" i="18"/>
  <c r="E296" i="18" s="1"/>
  <c r="G295" i="18"/>
  <c r="E295" i="18" s="1"/>
  <c r="G294" i="18"/>
  <c r="E294" i="18" s="1"/>
  <c r="G293" i="18"/>
  <c r="E293" i="18" s="1"/>
  <c r="G292" i="18"/>
  <c r="E292" i="18" s="1"/>
  <c r="G291" i="18"/>
  <c r="E291" i="18" s="1"/>
  <c r="G290" i="18"/>
  <c r="E290" i="18" s="1"/>
  <c r="G289" i="18"/>
  <c r="E289" i="18" s="1"/>
  <c r="G348" i="18"/>
  <c r="E348" i="18" s="1"/>
  <c r="G347" i="18"/>
  <c r="E347" i="18" s="1"/>
  <c r="G346" i="18"/>
  <c r="E346" i="18" s="1"/>
  <c r="G345" i="18"/>
  <c r="E345" i="18" s="1"/>
  <c r="G344" i="18"/>
  <c r="E344" i="18" s="1"/>
  <c r="G343" i="18"/>
  <c r="E343" i="18" s="1"/>
  <c r="G342" i="18"/>
  <c r="E342" i="18" s="1"/>
  <c r="G341" i="18"/>
  <c r="E341" i="18" s="1"/>
  <c r="G340" i="18"/>
  <c r="E340" i="18" s="1"/>
  <c r="G339" i="18"/>
  <c r="E339" i="18" s="1"/>
  <c r="G338" i="18"/>
  <c r="E338" i="18" s="1"/>
  <c r="G337" i="18"/>
  <c r="E337" i="18" s="1"/>
  <c r="G396" i="18"/>
  <c r="E396" i="18" s="1"/>
  <c r="G395" i="18"/>
  <c r="E395" i="18" s="1"/>
  <c r="G394" i="18"/>
  <c r="E394" i="18" s="1"/>
  <c r="G393" i="18"/>
  <c r="E393" i="18" s="1"/>
  <c r="G392" i="18"/>
  <c r="E392" i="18" s="1"/>
  <c r="G391" i="18"/>
  <c r="E391" i="18" s="1"/>
  <c r="G390" i="18"/>
  <c r="E390" i="18" s="1"/>
  <c r="G389" i="18"/>
  <c r="E389" i="18" s="1"/>
  <c r="G388" i="18"/>
  <c r="E388" i="18" s="1"/>
  <c r="G387" i="18"/>
  <c r="E387" i="18" s="1"/>
  <c r="G386" i="18"/>
  <c r="E386" i="18" s="1"/>
  <c r="G385" i="18"/>
  <c r="E385" i="18" s="1"/>
  <c r="G444" i="18"/>
  <c r="E444" i="18" s="1"/>
  <c r="G443" i="18"/>
  <c r="E443" i="18" s="1"/>
  <c r="G442" i="18"/>
  <c r="E442" i="18" s="1"/>
  <c r="G441" i="18"/>
  <c r="E441" i="18" s="1"/>
  <c r="G440" i="18"/>
  <c r="E440" i="18" s="1"/>
  <c r="G439" i="18"/>
  <c r="E439" i="18" s="1"/>
  <c r="G438" i="18"/>
  <c r="E438" i="18" s="1"/>
  <c r="G437" i="18"/>
  <c r="E437" i="18" s="1"/>
  <c r="G436" i="18"/>
  <c r="E436" i="18" s="1"/>
  <c r="G435" i="18"/>
  <c r="E435" i="18" s="1"/>
  <c r="G434" i="18"/>
  <c r="E434" i="18" s="1"/>
  <c r="G433" i="18"/>
  <c r="E433" i="18" s="1"/>
  <c r="G492" i="18"/>
  <c r="E492" i="18" s="1"/>
  <c r="G491" i="18"/>
  <c r="E491" i="18" s="1"/>
  <c r="G490" i="18"/>
  <c r="E490" i="18" s="1"/>
  <c r="G489" i="18"/>
  <c r="E489" i="18" s="1"/>
  <c r="G488" i="18"/>
  <c r="E488" i="18" s="1"/>
  <c r="G487" i="18"/>
  <c r="E487" i="18" s="1"/>
  <c r="G486" i="18"/>
  <c r="E486" i="18" s="1"/>
  <c r="G485" i="18"/>
  <c r="E485" i="18" s="1"/>
  <c r="G484" i="18"/>
  <c r="E484" i="18" s="1"/>
  <c r="G483" i="18"/>
  <c r="E483" i="18" s="1"/>
  <c r="G482" i="18"/>
  <c r="E482" i="18" s="1"/>
  <c r="G481" i="18"/>
  <c r="E481" i="18" s="1"/>
  <c r="G540" i="18"/>
  <c r="E540" i="18" s="1"/>
  <c r="G539" i="18"/>
  <c r="E539" i="18" s="1"/>
  <c r="G538" i="18"/>
  <c r="E538" i="18" s="1"/>
  <c r="G537" i="18"/>
  <c r="E537" i="18" s="1"/>
  <c r="G536" i="18"/>
  <c r="E536" i="18" s="1"/>
  <c r="G535" i="18"/>
  <c r="E535" i="18" s="1"/>
  <c r="G534" i="18"/>
  <c r="E534" i="18" s="1"/>
  <c r="G533" i="18"/>
  <c r="E533" i="18" s="1"/>
  <c r="G532" i="18"/>
  <c r="E532" i="18" s="1"/>
  <c r="G531" i="18"/>
  <c r="E531" i="18" s="1"/>
  <c r="G530" i="18"/>
  <c r="E530" i="18" s="1"/>
  <c r="G529" i="18"/>
  <c r="E529" i="18" s="1"/>
  <c r="G584" i="18"/>
  <c r="E584" i="18" s="1"/>
  <c r="G580" i="18"/>
  <c r="E580" i="18" s="1"/>
  <c r="G576" i="18"/>
  <c r="E576" i="18" s="1"/>
  <c r="G585" i="18"/>
  <c r="E585" i="18" s="1"/>
  <c r="G581" i="18"/>
  <c r="E581" i="18" s="1"/>
  <c r="G577" i="18"/>
  <c r="E577" i="18" s="1"/>
  <c r="G586" i="18"/>
  <c r="E586" i="18" s="1"/>
  <c r="G582" i="18"/>
  <c r="E582" i="18" s="1"/>
  <c r="G578" i="18"/>
  <c r="E578" i="18" s="1"/>
  <c r="G587" i="18"/>
  <c r="E587" i="18" s="1"/>
  <c r="G583" i="18"/>
  <c r="E583" i="18" s="1"/>
  <c r="G579" i="18"/>
  <c r="E579" i="18" s="1"/>
  <c r="G620" i="18"/>
  <c r="E620" i="18" s="1"/>
  <c r="G616" i="18"/>
  <c r="E616" i="18" s="1"/>
  <c r="G612" i="18"/>
  <c r="E612" i="18" s="1"/>
  <c r="G617" i="18"/>
  <c r="E617" i="18" s="1"/>
  <c r="G613" i="18"/>
  <c r="E613" i="18" s="1"/>
  <c r="G609" i="18"/>
  <c r="E609" i="18" s="1"/>
  <c r="G618" i="18"/>
  <c r="E618" i="18" s="1"/>
  <c r="G614" i="18"/>
  <c r="E614" i="18" s="1"/>
  <c r="G610" i="18"/>
  <c r="E610" i="18" s="1"/>
  <c r="G619" i="18"/>
  <c r="E619" i="18" s="1"/>
  <c r="G615" i="18"/>
  <c r="E615" i="18" s="1"/>
  <c r="G611" i="18"/>
  <c r="E611" i="18" s="1"/>
  <c r="G664" i="18"/>
  <c r="E664" i="18" s="1"/>
  <c r="G660" i="18"/>
  <c r="E660" i="18" s="1"/>
  <c r="G656" i="18"/>
  <c r="E656" i="18" s="1"/>
  <c r="G665" i="18"/>
  <c r="E665" i="18" s="1"/>
  <c r="G661" i="18"/>
  <c r="E661" i="18" s="1"/>
  <c r="G657" i="18"/>
  <c r="E657" i="18" s="1"/>
  <c r="G666" i="18"/>
  <c r="E666" i="18" s="1"/>
  <c r="G662" i="18"/>
  <c r="E662" i="18" s="1"/>
  <c r="G658" i="18"/>
  <c r="E658" i="18" s="1"/>
  <c r="G667" i="18"/>
  <c r="E667" i="18" s="1"/>
  <c r="G663" i="18"/>
  <c r="E663" i="18" s="1"/>
  <c r="G659" i="18"/>
  <c r="E659" i="18" s="1"/>
  <c r="G676" i="18"/>
  <c r="E676" i="18" s="1"/>
  <c r="G672" i="18"/>
  <c r="E672" i="18" s="1"/>
  <c r="G668" i="18"/>
  <c r="E668" i="18" s="1"/>
  <c r="G677" i="18"/>
  <c r="E677" i="18" s="1"/>
  <c r="G673" i="18"/>
  <c r="E673" i="18" s="1"/>
  <c r="G669" i="18"/>
  <c r="E669" i="18" s="1"/>
  <c r="G678" i="18"/>
  <c r="E678" i="18" s="1"/>
  <c r="G674" i="18"/>
  <c r="E674" i="18" s="1"/>
  <c r="G670" i="18"/>
  <c r="E670" i="18" s="1"/>
  <c r="G679" i="18"/>
  <c r="E679" i="18" s="1"/>
  <c r="G675" i="18"/>
  <c r="E675" i="18" s="1"/>
  <c r="G671" i="18"/>
  <c r="E671" i="18" s="1"/>
  <c r="G688" i="18"/>
  <c r="E688" i="18" s="1"/>
  <c r="G684" i="18"/>
  <c r="E684" i="18" s="1"/>
  <c r="G680" i="18"/>
  <c r="E680" i="18" s="1"/>
  <c r="G689" i="18"/>
  <c r="E689" i="18" s="1"/>
  <c r="G685" i="18"/>
  <c r="E685" i="18" s="1"/>
  <c r="G681" i="18"/>
  <c r="E681" i="18" s="1"/>
  <c r="G690" i="18"/>
  <c r="E690" i="18" s="1"/>
  <c r="G686" i="18"/>
  <c r="E686" i="18" s="1"/>
  <c r="G682" i="18"/>
  <c r="E682" i="18" s="1"/>
  <c r="G691" i="18"/>
  <c r="E691" i="18" s="1"/>
  <c r="G687" i="18"/>
  <c r="E687" i="18" s="1"/>
  <c r="G683" i="18"/>
  <c r="E683" i="18" s="1"/>
  <c r="G696" i="18"/>
  <c r="E696" i="18" s="1"/>
  <c r="G692" i="18"/>
  <c r="E692" i="18" s="1"/>
  <c r="G697" i="18"/>
  <c r="E697" i="18" s="1"/>
  <c r="G693" i="18"/>
  <c r="E693" i="18" s="1"/>
  <c r="G694" i="18"/>
  <c r="E694" i="18" s="1"/>
  <c r="G695" i="18"/>
  <c r="E695" i="18" s="1"/>
  <c r="G735" i="18"/>
  <c r="E735" i="18" s="1"/>
  <c r="G734" i="18"/>
  <c r="E734" i="18" s="1"/>
  <c r="G778" i="18"/>
  <c r="E778" i="18" s="1"/>
  <c r="G774" i="18"/>
  <c r="E774" i="18" s="1"/>
  <c r="G770" i="18"/>
  <c r="E770" i="18" s="1"/>
  <c r="G779" i="18"/>
  <c r="E779" i="18" s="1"/>
  <c r="G780" i="18"/>
  <c r="E780" i="18" s="1"/>
  <c r="G776" i="18"/>
  <c r="E776" i="18" s="1"/>
  <c r="G781" i="18"/>
  <c r="E781" i="18" s="1"/>
  <c r="G777" i="18"/>
  <c r="E777" i="18" s="1"/>
  <c r="G773" i="18"/>
  <c r="E773" i="18" s="1"/>
  <c r="G775" i="18"/>
  <c r="E775" i="18" s="1"/>
  <c r="G771" i="18"/>
  <c r="E771" i="18" s="1"/>
  <c r="G772" i="18"/>
  <c r="E772" i="18" s="1"/>
  <c r="G786" i="18"/>
  <c r="E786" i="18" s="1"/>
  <c r="G782" i="18"/>
  <c r="E782" i="18" s="1"/>
  <c r="G787" i="18"/>
  <c r="E787" i="18" s="1"/>
  <c r="G783" i="18"/>
  <c r="E783" i="18" s="1"/>
  <c r="G784" i="18"/>
  <c r="E784" i="18" s="1"/>
  <c r="G785" i="18"/>
  <c r="E785" i="18" s="1"/>
  <c r="G806" i="18"/>
  <c r="E806" i="18" s="1"/>
  <c r="G802" i="18"/>
  <c r="E802" i="18" s="1"/>
  <c r="G798" i="18"/>
  <c r="E798" i="18" s="1"/>
  <c r="G807" i="18"/>
  <c r="E807" i="18" s="1"/>
  <c r="G799" i="18"/>
  <c r="E799" i="18" s="1"/>
  <c r="G808" i="18"/>
  <c r="E808" i="18" s="1"/>
  <c r="G804" i="18"/>
  <c r="E804" i="18" s="1"/>
  <c r="G800" i="18"/>
  <c r="E800" i="18" s="1"/>
  <c r="G805" i="18"/>
  <c r="E805" i="18" s="1"/>
  <c r="G801" i="18"/>
  <c r="E801" i="18" s="1"/>
  <c r="G838" i="18"/>
  <c r="E838" i="18" s="1"/>
  <c r="G839" i="18"/>
  <c r="E839" i="18" s="1"/>
  <c r="G840" i="18"/>
  <c r="E840" i="18" s="1"/>
  <c r="G841" i="18"/>
  <c r="E841" i="18" s="1"/>
  <c r="G888" i="18"/>
  <c r="E888" i="18" s="1"/>
  <c r="G884" i="18"/>
  <c r="E884" i="18" s="1"/>
  <c r="G880" i="18"/>
  <c r="E880" i="18" s="1"/>
  <c r="G889" i="18"/>
  <c r="E889" i="18" s="1"/>
  <c r="G885" i="18"/>
  <c r="E885" i="18" s="1"/>
  <c r="G881" i="18"/>
  <c r="E881" i="18" s="1"/>
  <c r="G890" i="18"/>
  <c r="E890" i="18" s="1"/>
  <c r="G886" i="18"/>
  <c r="E886" i="18" s="1"/>
  <c r="G882" i="18"/>
  <c r="E882" i="18" s="1"/>
  <c r="G891" i="18"/>
  <c r="E891" i="18" s="1"/>
  <c r="G887" i="18"/>
  <c r="E887" i="18" s="1"/>
  <c r="G883" i="18"/>
  <c r="E883" i="18" s="1"/>
  <c r="G920" i="18"/>
  <c r="E920" i="18" s="1"/>
  <c r="G916" i="18"/>
  <c r="E916" i="18" s="1"/>
  <c r="G912" i="18"/>
  <c r="E912" i="18" s="1"/>
  <c r="G921" i="18"/>
  <c r="E921" i="18" s="1"/>
  <c r="G917" i="18"/>
  <c r="E917" i="18" s="1"/>
  <c r="G913" i="18"/>
  <c r="E913" i="18" s="1"/>
  <c r="G922" i="18"/>
  <c r="E922" i="18" s="1"/>
  <c r="G918" i="18"/>
  <c r="E918" i="18" s="1"/>
  <c r="G914" i="18"/>
  <c r="E914" i="18" s="1"/>
  <c r="G923" i="18"/>
  <c r="E923" i="18" s="1"/>
  <c r="G919" i="18"/>
  <c r="E919" i="18" s="1"/>
  <c r="G915" i="18"/>
  <c r="E915" i="18" s="1"/>
  <c r="G952" i="18"/>
  <c r="E952" i="18" s="1"/>
  <c r="G953" i="18"/>
  <c r="E953" i="18" s="1"/>
  <c r="G954" i="18"/>
  <c r="E954" i="18" s="1"/>
  <c r="G955" i="18"/>
  <c r="E955" i="18" s="1"/>
  <c r="G951" i="18"/>
  <c r="E951" i="18" s="1"/>
  <c r="G1330" i="18"/>
  <c r="E1330" i="18" s="1"/>
  <c r="G1326" i="18"/>
  <c r="E1326" i="18" s="1"/>
  <c r="G1322" i="18"/>
  <c r="E1322" i="18" s="1"/>
  <c r="G1318" i="18"/>
  <c r="E1318" i="18" s="1"/>
  <c r="G1314" i="18"/>
  <c r="E1314" i="18" s="1"/>
  <c r="G1310" i="18"/>
  <c r="E1310" i="18" s="1"/>
  <c r="G1328" i="18"/>
  <c r="E1328" i="18" s="1"/>
  <c r="G1324" i="18"/>
  <c r="E1324" i="18" s="1"/>
  <c r="G1320" i="18"/>
  <c r="E1320" i="18" s="1"/>
  <c r="G1316" i="18"/>
  <c r="E1316" i="18" s="1"/>
  <c r="G1312" i="18"/>
  <c r="E1312" i="18" s="1"/>
  <c r="G1308" i="18"/>
  <c r="E1308" i="18" s="1"/>
  <c r="G1331" i="18"/>
  <c r="E1331" i="18" s="1"/>
  <c r="G1329" i="18"/>
  <c r="E1329" i="18" s="1"/>
  <c r="G1327" i="18"/>
  <c r="E1327" i="18" s="1"/>
  <c r="G1325" i="18"/>
  <c r="E1325" i="18" s="1"/>
  <c r="G1323" i="18"/>
  <c r="E1323" i="18" s="1"/>
  <c r="G1321" i="18"/>
  <c r="E1321" i="18" s="1"/>
  <c r="G1319" i="18"/>
  <c r="E1319" i="18" s="1"/>
  <c r="G1317" i="18"/>
  <c r="E1317" i="18" s="1"/>
  <c r="G1315" i="18"/>
  <c r="E1315" i="18" s="1"/>
  <c r="G1313" i="18"/>
  <c r="E1313" i="18" s="1"/>
  <c r="G1311" i="18"/>
  <c r="E1311" i="18" s="1"/>
  <c r="G1309" i="18"/>
  <c r="E1309" i="18" s="1"/>
  <c r="G1307" i="18"/>
  <c r="E1307" i="18" s="1"/>
  <c r="G1000" i="18"/>
  <c r="E1000" i="18" s="1"/>
  <c r="G996" i="18"/>
  <c r="E996" i="18" s="1"/>
  <c r="G992" i="18"/>
  <c r="E992" i="18" s="1"/>
  <c r="G1001" i="18"/>
  <c r="E1001" i="18" s="1"/>
  <c r="G997" i="18"/>
  <c r="E997" i="18" s="1"/>
  <c r="G993" i="18"/>
  <c r="E993" i="18" s="1"/>
  <c r="G1002" i="18"/>
  <c r="E1002" i="18" s="1"/>
  <c r="G998" i="18"/>
  <c r="E998" i="18" s="1"/>
  <c r="G994" i="18"/>
  <c r="E994" i="18" s="1"/>
  <c r="G999" i="18"/>
  <c r="E999" i="18" s="1"/>
  <c r="G995" i="18"/>
  <c r="E995" i="18" s="1"/>
  <c r="G991" i="18"/>
  <c r="E991" i="18" s="1"/>
  <c r="G1035" i="18"/>
  <c r="E1035" i="18" s="1"/>
  <c r="G1032" i="18"/>
  <c r="E1032" i="18" s="1"/>
  <c r="G1028" i="18"/>
  <c r="E1028" i="18" s="1"/>
  <c r="G1024" i="18"/>
  <c r="E1024" i="18" s="1"/>
  <c r="G1033" i="18"/>
  <c r="E1033" i="18" s="1"/>
  <c r="G1029" i="18"/>
  <c r="E1029" i="18" s="1"/>
  <c r="G1025" i="18"/>
  <c r="E1025" i="18" s="1"/>
  <c r="G1034" i="18"/>
  <c r="E1034" i="18" s="1"/>
  <c r="G1030" i="18"/>
  <c r="E1030" i="18" s="1"/>
  <c r="G1026" i="18"/>
  <c r="E1026" i="18" s="1"/>
  <c r="G1031" i="18"/>
  <c r="E1031" i="18" s="1"/>
  <c r="G1027" i="18"/>
  <c r="E1027" i="18" s="1"/>
  <c r="G1047" i="18"/>
  <c r="E1047" i="18" s="1"/>
  <c r="G1046" i="18"/>
  <c r="E1046" i="18" s="1"/>
  <c r="G1045" i="18"/>
  <c r="E1045" i="18" s="1"/>
  <c r="G1044" i="18"/>
  <c r="E1044" i="18" s="1"/>
  <c r="G1043" i="18"/>
  <c r="E1043" i="18" s="1"/>
  <c r="G1042" i="18"/>
  <c r="E1042" i="18" s="1"/>
  <c r="G1041" i="18"/>
  <c r="E1041" i="18" s="1"/>
  <c r="G1040" i="18"/>
  <c r="E1040" i="18" s="1"/>
  <c r="G1039" i="18"/>
  <c r="E1039" i="18" s="1"/>
  <c r="G1038" i="18"/>
  <c r="E1038" i="18" s="1"/>
  <c r="G1037" i="18"/>
  <c r="E1037" i="18" s="1"/>
  <c r="G1036" i="18"/>
  <c r="E1036" i="18" s="1"/>
  <c r="G1082" i="18"/>
  <c r="E1082" i="18" s="1"/>
  <c r="G1083" i="18"/>
  <c r="E1083" i="18" s="1"/>
  <c r="G1084" i="18"/>
  <c r="E1084" i="18" s="1"/>
  <c r="G1080" i="18"/>
  <c r="E1080" i="18" s="1"/>
  <c r="G1085" i="18"/>
  <c r="E1085" i="18" s="1"/>
  <c r="G1081" i="18"/>
  <c r="E1081" i="18" s="1"/>
  <c r="G1122" i="18"/>
  <c r="E1122" i="18" s="1"/>
  <c r="G1118" i="18"/>
  <c r="E1118" i="18" s="1"/>
  <c r="G1114" i="18"/>
  <c r="E1114" i="18" s="1"/>
  <c r="G1123" i="18"/>
  <c r="E1123" i="18" s="1"/>
  <c r="G1119" i="18"/>
  <c r="E1119" i="18" s="1"/>
  <c r="G1115" i="18"/>
  <c r="E1115" i="18" s="1"/>
  <c r="G1120" i="18"/>
  <c r="E1120" i="18" s="1"/>
  <c r="G1116" i="18"/>
  <c r="E1116" i="18" s="1"/>
  <c r="G1121" i="18"/>
  <c r="E1121" i="18" s="1"/>
  <c r="G1117" i="18"/>
  <c r="E1117" i="18" s="1"/>
  <c r="G34" i="18"/>
  <c r="E34" i="18" s="1"/>
  <c r="G30" i="18"/>
  <c r="E30" i="18" s="1"/>
  <c r="G26" i="18"/>
  <c r="E26" i="18" s="1"/>
  <c r="G35" i="18"/>
  <c r="E35" i="18" s="1"/>
  <c r="G31" i="18"/>
  <c r="E31" i="18" s="1"/>
  <c r="G27" i="18"/>
  <c r="E27" i="18" s="1"/>
  <c r="G36" i="18"/>
  <c r="E36" i="18" s="1"/>
  <c r="G32" i="18"/>
  <c r="E32" i="18" s="1"/>
  <c r="G28" i="18"/>
  <c r="E28" i="18" s="1"/>
  <c r="G33" i="18"/>
  <c r="E33" i="18" s="1"/>
  <c r="G29" i="18"/>
  <c r="E29" i="18" s="1"/>
  <c r="G25" i="18"/>
  <c r="E25" i="18" s="1"/>
  <c r="G82" i="18"/>
  <c r="E82" i="18" s="1"/>
  <c r="G78" i="18"/>
  <c r="E78" i="18" s="1"/>
  <c r="G74" i="18"/>
  <c r="E74" i="18" s="1"/>
  <c r="G83" i="18"/>
  <c r="E83" i="18" s="1"/>
  <c r="G79" i="18"/>
  <c r="E79" i="18" s="1"/>
  <c r="G75" i="18"/>
  <c r="E75" i="18" s="1"/>
  <c r="G84" i="18"/>
  <c r="E84" i="18" s="1"/>
  <c r="G80" i="18"/>
  <c r="E80" i="18" s="1"/>
  <c r="G76" i="18"/>
  <c r="E76" i="18" s="1"/>
  <c r="G81" i="18"/>
  <c r="E81" i="18" s="1"/>
  <c r="G77" i="18"/>
  <c r="E77" i="18" s="1"/>
  <c r="G73" i="18"/>
  <c r="E73" i="18" s="1"/>
  <c r="G130" i="18"/>
  <c r="E130" i="18" s="1"/>
  <c r="G126" i="18"/>
  <c r="E126" i="18" s="1"/>
  <c r="G122" i="18"/>
  <c r="E122" i="18" s="1"/>
  <c r="G131" i="18"/>
  <c r="E131" i="18" s="1"/>
  <c r="G127" i="18"/>
  <c r="E127" i="18" s="1"/>
  <c r="G123" i="18"/>
  <c r="E123" i="18" s="1"/>
  <c r="G132" i="18"/>
  <c r="E132" i="18" s="1"/>
  <c r="G128" i="18"/>
  <c r="E128" i="18" s="1"/>
  <c r="G124" i="18"/>
  <c r="E124" i="18" s="1"/>
  <c r="G129" i="18"/>
  <c r="E129" i="18" s="1"/>
  <c r="G125" i="18"/>
  <c r="E125" i="18" s="1"/>
  <c r="G121" i="18"/>
  <c r="E121" i="18" s="1"/>
  <c r="G178" i="18"/>
  <c r="E178" i="18" s="1"/>
  <c r="G174" i="18"/>
  <c r="E174" i="18" s="1"/>
  <c r="G170" i="18"/>
  <c r="E170" i="18" s="1"/>
  <c r="G179" i="18"/>
  <c r="E179" i="18" s="1"/>
  <c r="G175" i="18"/>
  <c r="E175" i="18" s="1"/>
  <c r="G171" i="18"/>
  <c r="E171" i="18" s="1"/>
  <c r="G180" i="18"/>
  <c r="E180" i="18" s="1"/>
  <c r="G176" i="18"/>
  <c r="E176" i="18" s="1"/>
  <c r="G172" i="18"/>
  <c r="E172" i="18" s="1"/>
  <c r="G177" i="18"/>
  <c r="E177" i="18" s="1"/>
  <c r="G173" i="18"/>
  <c r="E173" i="18" s="1"/>
  <c r="G169" i="18"/>
  <c r="E169" i="18" s="1"/>
  <c r="G226" i="18"/>
  <c r="E226" i="18" s="1"/>
  <c r="G222" i="18"/>
  <c r="E222" i="18" s="1"/>
  <c r="G218" i="18"/>
  <c r="E218" i="18" s="1"/>
  <c r="G227" i="18"/>
  <c r="E227" i="18" s="1"/>
  <c r="G223" i="18"/>
  <c r="E223" i="18" s="1"/>
  <c r="G219" i="18"/>
  <c r="E219" i="18" s="1"/>
  <c r="G228" i="18"/>
  <c r="E228" i="18" s="1"/>
  <c r="G224" i="18"/>
  <c r="E224" i="18" s="1"/>
  <c r="G220" i="18"/>
  <c r="E220" i="18" s="1"/>
  <c r="G225" i="18"/>
  <c r="E225" i="18" s="1"/>
  <c r="G221" i="18"/>
  <c r="E221" i="18" s="1"/>
  <c r="G217" i="18"/>
  <c r="E217" i="18" s="1"/>
  <c r="G276" i="18"/>
  <c r="E276" i="18" s="1"/>
  <c r="G275" i="18"/>
  <c r="E275" i="18" s="1"/>
  <c r="G274" i="18"/>
  <c r="E274" i="18" s="1"/>
  <c r="G273" i="18"/>
  <c r="E273" i="18" s="1"/>
  <c r="G270" i="18"/>
  <c r="E270" i="18" s="1"/>
  <c r="G266" i="18"/>
  <c r="E266" i="18" s="1"/>
  <c r="G271" i="18"/>
  <c r="E271" i="18" s="1"/>
  <c r="G267" i="18"/>
  <c r="E267" i="18" s="1"/>
  <c r="G272" i="18"/>
  <c r="E272" i="18" s="1"/>
  <c r="G268" i="18"/>
  <c r="E268" i="18" s="1"/>
  <c r="G269" i="18"/>
  <c r="E269" i="18" s="1"/>
  <c r="G265" i="18"/>
  <c r="E265" i="18" s="1"/>
  <c r="G324" i="18"/>
  <c r="E324" i="18" s="1"/>
  <c r="G323" i="18"/>
  <c r="E323" i="18" s="1"/>
  <c r="G322" i="18"/>
  <c r="E322" i="18" s="1"/>
  <c r="G321" i="18"/>
  <c r="E321" i="18" s="1"/>
  <c r="G320" i="18"/>
  <c r="E320" i="18" s="1"/>
  <c r="G319" i="18"/>
  <c r="E319" i="18" s="1"/>
  <c r="G318" i="18"/>
  <c r="E318" i="18" s="1"/>
  <c r="G317" i="18"/>
  <c r="E317" i="18" s="1"/>
  <c r="G316" i="18"/>
  <c r="E316" i="18" s="1"/>
  <c r="G315" i="18"/>
  <c r="E315" i="18" s="1"/>
  <c r="G314" i="18"/>
  <c r="E314" i="18" s="1"/>
  <c r="G313" i="18"/>
  <c r="E313" i="18" s="1"/>
  <c r="G372" i="18"/>
  <c r="E372" i="18" s="1"/>
  <c r="G371" i="18"/>
  <c r="E371" i="18" s="1"/>
  <c r="G370" i="18"/>
  <c r="E370" i="18" s="1"/>
  <c r="G369" i="18"/>
  <c r="E369" i="18" s="1"/>
  <c r="G368" i="18"/>
  <c r="E368" i="18" s="1"/>
  <c r="G367" i="18"/>
  <c r="E367" i="18" s="1"/>
  <c r="G366" i="18"/>
  <c r="E366" i="18" s="1"/>
  <c r="G365" i="18"/>
  <c r="E365" i="18" s="1"/>
  <c r="G364" i="18"/>
  <c r="E364" i="18" s="1"/>
  <c r="G363" i="18"/>
  <c r="E363" i="18" s="1"/>
  <c r="G362" i="18"/>
  <c r="E362" i="18" s="1"/>
  <c r="G361" i="18"/>
  <c r="E361" i="18" s="1"/>
  <c r="G420" i="18"/>
  <c r="E420" i="18" s="1"/>
  <c r="G419" i="18"/>
  <c r="E419" i="18" s="1"/>
  <c r="G418" i="18"/>
  <c r="E418" i="18" s="1"/>
  <c r="G417" i="18"/>
  <c r="E417" i="18" s="1"/>
  <c r="G416" i="18"/>
  <c r="E416" i="18" s="1"/>
  <c r="G415" i="18"/>
  <c r="E415" i="18" s="1"/>
  <c r="G414" i="18"/>
  <c r="E414" i="18" s="1"/>
  <c r="G413" i="18"/>
  <c r="E413" i="18" s="1"/>
  <c r="G412" i="18"/>
  <c r="E412" i="18" s="1"/>
  <c r="G411" i="18"/>
  <c r="E411" i="18" s="1"/>
  <c r="G410" i="18"/>
  <c r="E410" i="18" s="1"/>
  <c r="G409" i="18"/>
  <c r="E409" i="18" s="1"/>
  <c r="G468" i="18"/>
  <c r="E468" i="18" s="1"/>
  <c r="G467" i="18"/>
  <c r="E467" i="18" s="1"/>
  <c r="G466" i="18"/>
  <c r="E466" i="18" s="1"/>
  <c r="G465" i="18"/>
  <c r="E465" i="18" s="1"/>
  <c r="G464" i="18"/>
  <c r="E464" i="18" s="1"/>
  <c r="G463" i="18"/>
  <c r="E463" i="18" s="1"/>
  <c r="G462" i="18"/>
  <c r="E462" i="18" s="1"/>
  <c r="G461" i="18"/>
  <c r="E461" i="18" s="1"/>
  <c r="G460" i="18"/>
  <c r="E460" i="18" s="1"/>
  <c r="G459" i="18"/>
  <c r="E459" i="18" s="1"/>
  <c r="G458" i="18"/>
  <c r="E458" i="18" s="1"/>
  <c r="G457" i="18"/>
  <c r="E457" i="18" s="1"/>
  <c r="G516" i="18"/>
  <c r="E516" i="18" s="1"/>
  <c r="G515" i="18"/>
  <c r="E515" i="18" s="1"/>
  <c r="G514" i="18"/>
  <c r="E514" i="18" s="1"/>
  <c r="G513" i="18"/>
  <c r="E513" i="18" s="1"/>
  <c r="G512" i="18"/>
  <c r="E512" i="18" s="1"/>
  <c r="G511" i="18"/>
  <c r="E511" i="18" s="1"/>
  <c r="G510" i="18"/>
  <c r="E510" i="18" s="1"/>
  <c r="G509" i="18"/>
  <c r="E509" i="18" s="1"/>
  <c r="G508" i="18"/>
  <c r="E508" i="18" s="1"/>
  <c r="G507" i="18"/>
  <c r="E507" i="18" s="1"/>
  <c r="G506" i="18"/>
  <c r="E506" i="18" s="1"/>
  <c r="G505" i="18"/>
  <c r="E505" i="18" s="1"/>
  <c r="G564" i="18"/>
  <c r="E564" i="18" s="1"/>
  <c r="G563" i="18"/>
  <c r="E563" i="18" s="1"/>
  <c r="G562" i="18"/>
  <c r="E562" i="18" s="1"/>
  <c r="G561" i="18"/>
  <c r="E561" i="18" s="1"/>
  <c r="G560" i="18"/>
  <c r="E560" i="18" s="1"/>
  <c r="G559" i="18"/>
  <c r="E559" i="18" s="1"/>
  <c r="G558" i="18"/>
  <c r="E558" i="18" s="1"/>
  <c r="G557" i="18"/>
  <c r="E557" i="18" s="1"/>
  <c r="G556" i="18"/>
  <c r="E556" i="18" s="1"/>
  <c r="G555" i="18"/>
  <c r="E555" i="18" s="1"/>
  <c r="G554" i="18"/>
  <c r="E554" i="18" s="1"/>
  <c r="G553" i="18"/>
  <c r="E553" i="18" s="1"/>
  <c r="G596" i="18"/>
  <c r="E596" i="18" s="1"/>
  <c r="G594" i="18"/>
  <c r="E594" i="18" s="1"/>
  <c r="G595" i="18"/>
  <c r="E595" i="18" s="1"/>
  <c r="G644" i="18"/>
  <c r="E644" i="18" s="1"/>
  <c r="G640" i="18"/>
  <c r="E640" i="18" s="1"/>
  <c r="G636" i="18"/>
  <c r="E636" i="18" s="1"/>
  <c r="G641" i="18"/>
  <c r="E641" i="18" s="1"/>
  <c r="G637" i="18"/>
  <c r="E637" i="18" s="1"/>
  <c r="G633" i="18"/>
  <c r="E633" i="18" s="1"/>
  <c r="G642" i="18"/>
  <c r="E642" i="18" s="1"/>
  <c r="G638" i="18"/>
  <c r="E638" i="18" s="1"/>
  <c r="G634" i="18"/>
  <c r="E634" i="18" s="1"/>
  <c r="G643" i="18"/>
  <c r="E643" i="18" s="1"/>
  <c r="G639" i="18"/>
  <c r="E639" i="18" s="1"/>
  <c r="G635" i="18"/>
  <c r="E635" i="18" s="1"/>
  <c r="G720" i="18"/>
  <c r="E720" i="18" s="1"/>
  <c r="G716" i="18"/>
  <c r="E716" i="18" s="1"/>
  <c r="G712" i="18"/>
  <c r="E712" i="18" s="1"/>
  <c r="G721" i="18"/>
  <c r="E721" i="18" s="1"/>
  <c r="G717" i="18"/>
  <c r="E717" i="18" s="1"/>
  <c r="G713" i="18"/>
  <c r="E713" i="18" s="1"/>
  <c r="G718" i="18"/>
  <c r="E718" i="18" s="1"/>
  <c r="G714" i="18"/>
  <c r="E714" i="18" s="1"/>
  <c r="G710" i="18"/>
  <c r="E710" i="18" s="1"/>
  <c r="G719" i="18"/>
  <c r="E719" i="18" s="1"/>
  <c r="G715" i="18"/>
  <c r="E715" i="18" s="1"/>
  <c r="G711" i="18"/>
  <c r="E711" i="18" s="1"/>
  <c r="G758" i="18"/>
  <c r="E758" i="18" s="1"/>
  <c r="G757" i="18"/>
  <c r="E757" i="18" s="1"/>
  <c r="G759" i="18"/>
  <c r="E759" i="18" s="1"/>
  <c r="G753" i="18"/>
  <c r="E753" i="18" s="1"/>
  <c r="G749" i="18"/>
  <c r="E749" i="18" s="1"/>
  <c r="G754" i="18"/>
  <c r="E754" i="18" s="1"/>
  <c r="G750" i="18"/>
  <c r="E750" i="18" s="1"/>
  <c r="G755" i="18"/>
  <c r="E755" i="18" s="1"/>
  <c r="G751" i="18"/>
  <c r="E751" i="18" s="1"/>
  <c r="G756" i="18"/>
  <c r="E756" i="18" s="1"/>
  <c r="G752" i="18"/>
  <c r="E752" i="18" s="1"/>
  <c r="G748" i="18"/>
  <c r="E748" i="18" s="1"/>
  <c r="G790" i="18"/>
  <c r="E790" i="18" s="1"/>
  <c r="G791" i="18"/>
  <c r="E791" i="18" s="1"/>
  <c r="G822" i="18"/>
  <c r="E822" i="18" s="1"/>
  <c r="G818" i="18"/>
  <c r="E818" i="18" s="1"/>
  <c r="G814" i="18"/>
  <c r="E814" i="18" s="1"/>
  <c r="G823" i="18"/>
  <c r="E823" i="18" s="1"/>
  <c r="G819" i="18"/>
  <c r="E819" i="18" s="1"/>
  <c r="G815" i="18"/>
  <c r="E815" i="18" s="1"/>
  <c r="G824" i="18"/>
  <c r="E824" i="18" s="1"/>
  <c r="G820" i="18"/>
  <c r="E820" i="18" s="1"/>
  <c r="G816" i="18"/>
  <c r="E816" i="18" s="1"/>
  <c r="G825" i="18"/>
  <c r="E825" i="18" s="1"/>
  <c r="G821" i="18"/>
  <c r="E821" i="18" s="1"/>
  <c r="G817" i="18"/>
  <c r="E817" i="18" s="1"/>
  <c r="G830" i="18"/>
  <c r="E830" i="18" s="1"/>
  <c r="G826" i="18"/>
  <c r="E826" i="18" s="1"/>
  <c r="G831" i="18"/>
  <c r="E831" i="18" s="1"/>
  <c r="G827" i="18"/>
  <c r="E827" i="18" s="1"/>
  <c r="G828" i="18"/>
  <c r="E828" i="18" s="1"/>
  <c r="G829" i="18"/>
  <c r="E829" i="18" s="1"/>
  <c r="G862" i="18"/>
  <c r="E862" i="18" s="1"/>
  <c r="G858" i="18"/>
  <c r="E858" i="18" s="1"/>
  <c r="G854" i="18"/>
  <c r="E854" i="18" s="1"/>
  <c r="G863" i="18"/>
  <c r="E863" i="18" s="1"/>
  <c r="G859" i="18"/>
  <c r="E859" i="18" s="1"/>
  <c r="G855" i="18"/>
  <c r="E855" i="18" s="1"/>
  <c r="G864" i="18"/>
  <c r="E864" i="18" s="1"/>
  <c r="G860" i="18"/>
  <c r="E860" i="18" s="1"/>
  <c r="G856" i="18"/>
  <c r="E856" i="18" s="1"/>
  <c r="G865" i="18"/>
  <c r="E865" i="18" s="1"/>
  <c r="G861" i="18"/>
  <c r="E861" i="18" s="1"/>
  <c r="G857" i="18"/>
  <c r="E857" i="18" s="1"/>
  <c r="G1334" i="18"/>
  <c r="E1334" i="18" s="1"/>
  <c r="G866" i="18"/>
  <c r="E866" i="18" s="1"/>
  <c r="G867" i="18"/>
  <c r="E867" i="18" s="1"/>
  <c r="G896" i="18"/>
  <c r="E896" i="18" s="1"/>
  <c r="G892" i="18"/>
  <c r="E892" i="18" s="1"/>
  <c r="G897" i="18"/>
  <c r="E897" i="18" s="1"/>
  <c r="G893" i="18"/>
  <c r="E893" i="18" s="1"/>
  <c r="G898" i="18"/>
  <c r="E898" i="18" s="1"/>
  <c r="G894" i="18"/>
  <c r="E894" i="18" s="1"/>
  <c r="G899" i="18"/>
  <c r="E899" i="18" s="1"/>
  <c r="G895" i="18"/>
  <c r="E895" i="18" s="1"/>
  <c r="G964" i="18"/>
  <c r="E964" i="18" s="1"/>
  <c r="G960" i="18"/>
  <c r="E960" i="18" s="1"/>
  <c r="G956" i="18"/>
  <c r="E956" i="18" s="1"/>
  <c r="G965" i="18"/>
  <c r="E965" i="18" s="1"/>
  <c r="G961" i="18"/>
  <c r="E961" i="18" s="1"/>
  <c r="G957" i="18"/>
  <c r="E957" i="18" s="1"/>
  <c r="G966" i="18"/>
  <c r="E966" i="18" s="1"/>
  <c r="G962" i="18"/>
  <c r="E962" i="18" s="1"/>
  <c r="G958" i="18"/>
  <c r="E958" i="18" s="1"/>
  <c r="G967" i="18"/>
  <c r="E967" i="18" s="1"/>
  <c r="G963" i="18"/>
  <c r="E963" i="18" s="1"/>
  <c r="G959" i="18"/>
  <c r="E959" i="18" s="1"/>
  <c r="G988" i="18"/>
  <c r="E988" i="18" s="1"/>
  <c r="G989" i="18"/>
  <c r="E989" i="18" s="1"/>
  <c r="G990" i="18"/>
  <c r="E990" i="18" s="1"/>
  <c r="G986" i="18"/>
  <c r="E986" i="18" s="1"/>
  <c r="G987" i="18"/>
  <c r="E987" i="18" s="1"/>
  <c r="G1008" i="18"/>
  <c r="E1008" i="18" s="1"/>
  <c r="G1009" i="18"/>
  <c r="E1009" i="18" s="1"/>
  <c r="G1010" i="18"/>
  <c r="E1010" i="18" s="1"/>
  <c r="G1006" i="18"/>
  <c r="E1006" i="18" s="1"/>
  <c r="G1011" i="18"/>
  <c r="E1011" i="18" s="1"/>
  <c r="G1007" i="18"/>
  <c r="E1007" i="18" s="1"/>
  <c r="G1069" i="18"/>
  <c r="E1069" i="18" s="1"/>
  <c r="G1068" i="18"/>
  <c r="E1068" i="18" s="1"/>
  <c r="G1067" i="18"/>
  <c r="E1067" i="18" s="1"/>
  <c r="G1066" i="18"/>
  <c r="E1066" i="18" s="1"/>
  <c r="G1065" i="18"/>
  <c r="E1065" i="18" s="1"/>
  <c r="G1064" i="18"/>
  <c r="E1064" i="18" s="1"/>
  <c r="G1063" i="18"/>
  <c r="E1063" i="18" s="1"/>
  <c r="G1062" i="18"/>
  <c r="E1062" i="18" s="1"/>
  <c r="G1061" i="18"/>
  <c r="E1061" i="18" s="1"/>
  <c r="G1060" i="18"/>
  <c r="E1060" i="18" s="1"/>
  <c r="G1098" i="18"/>
  <c r="E1098" i="18" s="1"/>
  <c r="G1094" i="18"/>
  <c r="E1094" i="18" s="1"/>
  <c r="G1099" i="18"/>
  <c r="E1099" i="18" s="1"/>
  <c r="G1095" i="18"/>
  <c r="E1095" i="18" s="1"/>
  <c r="G1100" i="18"/>
  <c r="E1100" i="18" s="1"/>
  <c r="G1096" i="18"/>
  <c r="E1096" i="18" s="1"/>
  <c r="G1092" i="18"/>
  <c r="E1092" i="18" s="1"/>
  <c r="G1101" i="18"/>
  <c r="E1101" i="18" s="1"/>
  <c r="G1097" i="18"/>
  <c r="E1097" i="18" s="1"/>
  <c r="G1093" i="18"/>
  <c r="E1093" i="18" s="1"/>
  <c r="G1134" i="18"/>
  <c r="E1134" i="18" s="1"/>
  <c r="G1130" i="18"/>
  <c r="E1130" i="18" s="1"/>
  <c r="G1126" i="18"/>
  <c r="E1126" i="18" s="1"/>
  <c r="G1135" i="18"/>
  <c r="E1135" i="18" s="1"/>
  <c r="G1131" i="18"/>
  <c r="E1131" i="18" s="1"/>
  <c r="G1127" i="18"/>
  <c r="E1127" i="18" s="1"/>
  <c r="G1132" i="18"/>
  <c r="E1132" i="18" s="1"/>
  <c r="G1128" i="18"/>
  <c r="E1128" i="18" s="1"/>
  <c r="G1133" i="18"/>
  <c r="E1133" i="18" s="1"/>
  <c r="G1129" i="18"/>
  <c r="E1129" i="18" s="1"/>
  <c r="G46" i="18"/>
  <c r="E46" i="18" s="1"/>
  <c r="G42" i="18"/>
  <c r="E42" i="18" s="1"/>
  <c r="G38" i="18"/>
  <c r="E38" i="18" s="1"/>
  <c r="G47" i="18"/>
  <c r="E47" i="18" s="1"/>
  <c r="G43" i="18"/>
  <c r="E43" i="18" s="1"/>
  <c r="G39" i="18"/>
  <c r="E39" i="18" s="1"/>
  <c r="G48" i="18"/>
  <c r="E48" i="18" s="1"/>
  <c r="G44" i="18"/>
  <c r="E44" i="18" s="1"/>
  <c r="G40" i="18"/>
  <c r="E40" i="18" s="1"/>
  <c r="G45" i="18"/>
  <c r="E45" i="18" s="1"/>
  <c r="G41" i="18"/>
  <c r="E41" i="18" s="1"/>
  <c r="G37" i="18"/>
  <c r="E37" i="18" s="1"/>
  <c r="G94" i="18"/>
  <c r="E94" i="18" s="1"/>
  <c r="G90" i="18"/>
  <c r="E90" i="18" s="1"/>
  <c r="G86" i="18"/>
  <c r="E86" i="18" s="1"/>
  <c r="G95" i="18"/>
  <c r="E95" i="18" s="1"/>
  <c r="G91" i="18"/>
  <c r="E91" i="18" s="1"/>
  <c r="G87" i="18"/>
  <c r="E87" i="18" s="1"/>
  <c r="G96" i="18"/>
  <c r="E96" i="18" s="1"/>
  <c r="G92" i="18"/>
  <c r="E92" i="18" s="1"/>
  <c r="G88" i="18"/>
  <c r="E88" i="18" s="1"/>
  <c r="G93" i="18"/>
  <c r="E93" i="18" s="1"/>
  <c r="G89" i="18"/>
  <c r="E89" i="18" s="1"/>
  <c r="G85" i="18"/>
  <c r="E85" i="18" s="1"/>
  <c r="G142" i="18"/>
  <c r="E142" i="18" s="1"/>
  <c r="G138" i="18"/>
  <c r="E138" i="18" s="1"/>
  <c r="G134" i="18"/>
  <c r="E134" i="18" s="1"/>
  <c r="G143" i="18"/>
  <c r="E143" i="18" s="1"/>
  <c r="G139" i="18"/>
  <c r="E139" i="18" s="1"/>
  <c r="G135" i="18"/>
  <c r="E135" i="18" s="1"/>
  <c r="G144" i="18"/>
  <c r="E144" i="18" s="1"/>
  <c r="G140" i="18"/>
  <c r="E140" i="18" s="1"/>
  <c r="G136" i="18"/>
  <c r="E136" i="18" s="1"/>
  <c r="G141" i="18"/>
  <c r="E141" i="18" s="1"/>
  <c r="G137" i="18"/>
  <c r="E137" i="18" s="1"/>
  <c r="G133" i="18"/>
  <c r="E133" i="18" s="1"/>
  <c r="G190" i="18"/>
  <c r="E190" i="18" s="1"/>
  <c r="G186" i="18"/>
  <c r="E186" i="18" s="1"/>
  <c r="G182" i="18"/>
  <c r="E182" i="18" s="1"/>
  <c r="G191" i="18"/>
  <c r="E191" i="18" s="1"/>
  <c r="G187" i="18"/>
  <c r="E187" i="18" s="1"/>
  <c r="G183" i="18"/>
  <c r="E183" i="18" s="1"/>
  <c r="G192" i="18"/>
  <c r="E192" i="18" s="1"/>
  <c r="G188" i="18"/>
  <c r="E188" i="18" s="1"/>
  <c r="G184" i="18"/>
  <c r="E184" i="18" s="1"/>
  <c r="G189" i="18"/>
  <c r="E189" i="18" s="1"/>
  <c r="G185" i="18"/>
  <c r="E185" i="18" s="1"/>
  <c r="G181" i="18"/>
  <c r="E181" i="18" s="1"/>
  <c r="G238" i="18"/>
  <c r="E238" i="18" s="1"/>
  <c r="G234" i="18"/>
  <c r="E234" i="18" s="1"/>
  <c r="G230" i="18"/>
  <c r="E230" i="18" s="1"/>
  <c r="G239" i="18"/>
  <c r="E239" i="18" s="1"/>
  <c r="G235" i="18"/>
  <c r="E235" i="18" s="1"/>
  <c r="G231" i="18"/>
  <c r="E231" i="18" s="1"/>
  <c r="G240" i="18"/>
  <c r="E240" i="18" s="1"/>
  <c r="G236" i="18"/>
  <c r="E236" i="18" s="1"/>
  <c r="G232" i="18"/>
  <c r="E232" i="18" s="1"/>
  <c r="G237" i="18"/>
  <c r="E237" i="18" s="1"/>
  <c r="G233" i="18"/>
  <c r="E233" i="18" s="1"/>
  <c r="G229" i="18"/>
  <c r="E229" i="18" s="1"/>
  <c r="G288" i="18"/>
  <c r="E288" i="18" s="1"/>
  <c r="G287" i="18"/>
  <c r="E287" i="18" s="1"/>
  <c r="G286" i="18"/>
  <c r="E286" i="18" s="1"/>
  <c r="G285" i="18"/>
  <c r="E285" i="18" s="1"/>
  <c r="G284" i="18"/>
  <c r="E284" i="18" s="1"/>
  <c r="G283" i="18"/>
  <c r="E283" i="18" s="1"/>
  <c r="G282" i="18"/>
  <c r="E282" i="18" s="1"/>
  <c r="G281" i="18"/>
  <c r="E281" i="18" s="1"/>
  <c r="G280" i="18"/>
  <c r="E280" i="18" s="1"/>
  <c r="G279" i="18"/>
  <c r="E279" i="18" s="1"/>
  <c r="G278" i="18"/>
  <c r="E278" i="18" s="1"/>
  <c r="G277" i="18"/>
  <c r="E277" i="18" s="1"/>
  <c r="G336" i="18"/>
  <c r="E336" i="18" s="1"/>
  <c r="G335" i="18"/>
  <c r="E335" i="18" s="1"/>
  <c r="G334" i="18"/>
  <c r="E334" i="18" s="1"/>
  <c r="G333" i="18"/>
  <c r="E333" i="18" s="1"/>
  <c r="G332" i="18"/>
  <c r="E332" i="18" s="1"/>
  <c r="G331" i="18"/>
  <c r="E331" i="18" s="1"/>
  <c r="G330" i="18"/>
  <c r="E330" i="18" s="1"/>
  <c r="G329" i="18"/>
  <c r="E329" i="18" s="1"/>
  <c r="G328" i="18"/>
  <c r="E328" i="18" s="1"/>
  <c r="G327" i="18"/>
  <c r="E327" i="18" s="1"/>
  <c r="G326" i="18"/>
  <c r="E326" i="18" s="1"/>
  <c r="G325" i="18"/>
  <c r="E325" i="18" s="1"/>
  <c r="G384" i="18"/>
  <c r="E384" i="18" s="1"/>
  <c r="G383" i="18"/>
  <c r="E383" i="18" s="1"/>
  <c r="G382" i="18"/>
  <c r="E382" i="18" s="1"/>
  <c r="G381" i="18"/>
  <c r="E381" i="18" s="1"/>
  <c r="G380" i="18"/>
  <c r="E380" i="18" s="1"/>
  <c r="G379" i="18"/>
  <c r="E379" i="18" s="1"/>
  <c r="G378" i="18"/>
  <c r="E378" i="18" s="1"/>
  <c r="G377" i="18"/>
  <c r="E377" i="18" s="1"/>
  <c r="G376" i="18"/>
  <c r="E376" i="18" s="1"/>
  <c r="G375" i="18"/>
  <c r="E375" i="18" s="1"/>
  <c r="G374" i="18"/>
  <c r="E374" i="18" s="1"/>
  <c r="G373" i="18"/>
  <c r="E373" i="18" s="1"/>
  <c r="G432" i="18"/>
  <c r="E432" i="18" s="1"/>
  <c r="G431" i="18"/>
  <c r="E431" i="18" s="1"/>
  <c r="G430" i="18"/>
  <c r="E430" i="18" s="1"/>
  <c r="G429" i="18"/>
  <c r="E429" i="18" s="1"/>
  <c r="G428" i="18"/>
  <c r="E428" i="18" s="1"/>
  <c r="G427" i="18"/>
  <c r="E427" i="18" s="1"/>
  <c r="G426" i="18"/>
  <c r="E426" i="18" s="1"/>
  <c r="G425" i="18"/>
  <c r="E425" i="18" s="1"/>
  <c r="G424" i="18"/>
  <c r="E424" i="18" s="1"/>
  <c r="G423" i="18"/>
  <c r="E423" i="18" s="1"/>
  <c r="G422" i="18"/>
  <c r="E422" i="18" s="1"/>
  <c r="G421" i="18"/>
  <c r="E421" i="18" s="1"/>
  <c r="G480" i="18"/>
  <c r="E480" i="18" s="1"/>
  <c r="G479" i="18"/>
  <c r="E479" i="18" s="1"/>
  <c r="G478" i="18"/>
  <c r="E478" i="18" s="1"/>
  <c r="G477" i="18"/>
  <c r="E477" i="18" s="1"/>
  <c r="G476" i="18"/>
  <c r="E476" i="18" s="1"/>
  <c r="G475" i="18"/>
  <c r="E475" i="18" s="1"/>
  <c r="G474" i="18"/>
  <c r="E474" i="18" s="1"/>
  <c r="G473" i="18"/>
  <c r="E473" i="18" s="1"/>
  <c r="G472" i="18"/>
  <c r="E472" i="18" s="1"/>
  <c r="G471" i="18"/>
  <c r="E471" i="18" s="1"/>
  <c r="G470" i="18"/>
  <c r="E470" i="18" s="1"/>
  <c r="G469" i="18"/>
  <c r="E469" i="18" s="1"/>
  <c r="G528" i="18"/>
  <c r="E528" i="18" s="1"/>
  <c r="G527" i="18"/>
  <c r="E527" i="18" s="1"/>
  <c r="G526" i="18"/>
  <c r="E526" i="18" s="1"/>
  <c r="G525" i="18"/>
  <c r="E525" i="18" s="1"/>
  <c r="G524" i="18"/>
  <c r="E524" i="18" s="1"/>
  <c r="G523" i="18"/>
  <c r="E523" i="18" s="1"/>
  <c r="G522" i="18"/>
  <c r="E522" i="18" s="1"/>
  <c r="G521" i="18"/>
  <c r="E521" i="18" s="1"/>
  <c r="G520" i="18"/>
  <c r="E520" i="18" s="1"/>
  <c r="G519" i="18"/>
  <c r="E519" i="18" s="1"/>
  <c r="G518" i="18"/>
  <c r="E518" i="18" s="1"/>
  <c r="G517" i="18"/>
  <c r="E517" i="18" s="1"/>
  <c r="G803" i="18"/>
  <c r="E803" i="18" s="1"/>
  <c r="G575" i="18"/>
  <c r="E575" i="18" s="1"/>
  <c r="G574" i="18"/>
  <c r="E574" i="18" s="1"/>
  <c r="G573" i="18"/>
  <c r="E573" i="18" s="1"/>
  <c r="G572" i="18"/>
  <c r="E572" i="18" s="1"/>
  <c r="G571" i="18"/>
  <c r="E571" i="18" s="1"/>
  <c r="G570" i="18"/>
  <c r="E570" i="18" s="1"/>
  <c r="G569" i="18"/>
  <c r="E569" i="18" s="1"/>
  <c r="G568" i="18"/>
  <c r="E568" i="18" s="1"/>
  <c r="G567" i="18"/>
  <c r="E567" i="18" s="1"/>
  <c r="G566" i="18"/>
  <c r="E566" i="18" s="1"/>
  <c r="G565" i="18"/>
  <c r="E565" i="18" s="1"/>
  <c r="G608" i="18"/>
  <c r="E608" i="18" s="1"/>
  <c r="G604" i="18"/>
  <c r="E604" i="18" s="1"/>
  <c r="G600" i="18"/>
  <c r="E600" i="18" s="1"/>
  <c r="G605" i="18"/>
  <c r="E605" i="18" s="1"/>
  <c r="G601" i="18"/>
  <c r="E601" i="18" s="1"/>
  <c r="G597" i="18"/>
  <c r="E597" i="18" s="1"/>
  <c r="G606" i="18"/>
  <c r="E606" i="18" s="1"/>
  <c r="G602" i="18"/>
  <c r="E602" i="18" s="1"/>
  <c r="G598" i="18"/>
  <c r="E598" i="18" s="1"/>
  <c r="G607" i="18"/>
  <c r="E607" i="18" s="1"/>
  <c r="G603" i="18"/>
  <c r="E603" i="18" s="1"/>
  <c r="G599" i="18"/>
  <c r="E599" i="18" s="1"/>
  <c r="G652" i="18"/>
  <c r="E652" i="18" s="1"/>
  <c r="G648" i="18"/>
  <c r="E648" i="18" s="1"/>
  <c r="G653" i="18"/>
  <c r="E653" i="18" s="1"/>
  <c r="G649" i="18"/>
  <c r="E649" i="18" s="1"/>
  <c r="G645" i="18"/>
  <c r="E645" i="18" s="1"/>
  <c r="G654" i="18"/>
  <c r="E654" i="18" s="1"/>
  <c r="G650" i="18"/>
  <c r="E650" i="18" s="1"/>
  <c r="G646" i="18"/>
  <c r="E646" i="18" s="1"/>
  <c r="G655" i="18"/>
  <c r="E655" i="18" s="1"/>
  <c r="G651" i="18"/>
  <c r="E651" i="18" s="1"/>
  <c r="G647" i="18"/>
  <c r="E647" i="18" s="1"/>
  <c r="G733" i="18"/>
  <c r="E733" i="18" s="1"/>
  <c r="G732" i="18"/>
  <c r="E732" i="18" s="1"/>
  <c r="G731" i="18"/>
  <c r="E731" i="18" s="1"/>
  <c r="G730" i="18"/>
  <c r="E730" i="18" s="1"/>
  <c r="G729" i="18"/>
  <c r="E729" i="18" s="1"/>
  <c r="G728" i="18"/>
  <c r="E728" i="18" s="1"/>
  <c r="G727" i="18"/>
  <c r="E727" i="18" s="1"/>
  <c r="G724" i="18"/>
  <c r="E724" i="18" s="1"/>
  <c r="G725" i="18"/>
  <c r="E725" i="18" s="1"/>
  <c r="G726" i="18"/>
  <c r="E726" i="18" s="1"/>
  <c r="G722" i="18"/>
  <c r="E722" i="18" s="1"/>
  <c r="G723" i="18"/>
  <c r="E723" i="18" s="1"/>
  <c r="G766" i="18"/>
  <c r="E766" i="18" s="1"/>
  <c r="G762" i="18"/>
  <c r="E762" i="18" s="1"/>
  <c r="G769" i="18"/>
  <c r="E769" i="18" s="1"/>
  <c r="G765" i="18"/>
  <c r="E765" i="18" s="1"/>
  <c r="G761" i="18"/>
  <c r="E761" i="18" s="1"/>
  <c r="G767" i="18"/>
  <c r="E767" i="18" s="1"/>
  <c r="G768" i="18"/>
  <c r="E768" i="18" s="1"/>
  <c r="G760" i="18"/>
  <c r="E760" i="18" s="1"/>
  <c r="G763" i="18"/>
  <c r="E763" i="18" s="1"/>
  <c r="G764" i="18"/>
  <c r="E764" i="18" s="1"/>
  <c r="G794" i="18"/>
  <c r="E794" i="18" s="1"/>
  <c r="G795" i="18"/>
  <c r="E795" i="18" s="1"/>
  <c r="G796" i="18"/>
  <c r="E796" i="18" s="1"/>
  <c r="G792" i="18"/>
  <c r="E792" i="18" s="1"/>
  <c r="G797" i="18"/>
  <c r="E797" i="18" s="1"/>
  <c r="G793" i="18"/>
  <c r="E793" i="18" s="1"/>
  <c r="G834" i="18"/>
  <c r="E834" i="18" s="1"/>
  <c r="G835" i="18"/>
  <c r="E835" i="18" s="1"/>
  <c r="G836" i="18"/>
  <c r="E836" i="18" s="1"/>
  <c r="G832" i="18"/>
  <c r="E832" i="18" s="1"/>
  <c r="G837" i="18"/>
  <c r="E837" i="18" s="1"/>
  <c r="G833" i="18"/>
  <c r="E833" i="18" s="1"/>
  <c r="G876" i="18"/>
  <c r="E876" i="18" s="1"/>
  <c r="G877" i="18"/>
  <c r="E877" i="18" s="1"/>
  <c r="G878" i="18"/>
  <c r="E878" i="18" s="1"/>
  <c r="G874" i="18"/>
  <c r="E874" i="18" s="1"/>
  <c r="G879" i="18"/>
  <c r="E879" i="18" s="1"/>
  <c r="G875" i="18"/>
  <c r="E875" i="18" s="1"/>
  <c r="G908" i="18"/>
  <c r="E908" i="18" s="1"/>
  <c r="G904" i="18"/>
  <c r="E904" i="18" s="1"/>
  <c r="G900" i="18"/>
  <c r="E900" i="18" s="1"/>
  <c r="G909" i="18"/>
  <c r="E909" i="18" s="1"/>
  <c r="G905" i="18"/>
  <c r="E905" i="18" s="1"/>
  <c r="G901" i="18"/>
  <c r="E901" i="18" s="1"/>
  <c r="G910" i="18"/>
  <c r="E910" i="18" s="1"/>
  <c r="G906" i="18"/>
  <c r="E906" i="18" s="1"/>
  <c r="G902" i="18"/>
  <c r="E902" i="18" s="1"/>
  <c r="G911" i="18"/>
  <c r="E911" i="18" s="1"/>
  <c r="G907" i="18"/>
  <c r="E907" i="18" s="1"/>
  <c r="G903" i="18"/>
  <c r="E903" i="18" s="1"/>
  <c r="G936" i="18"/>
  <c r="E936" i="18" s="1"/>
  <c r="G932" i="18"/>
  <c r="E932" i="18" s="1"/>
  <c r="G928" i="18"/>
  <c r="E928" i="18" s="1"/>
  <c r="G937" i="18"/>
  <c r="E937" i="18" s="1"/>
  <c r="G933" i="18"/>
  <c r="E933" i="18" s="1"/>
  <c r="G929" i="18"/>
  <c r="E929" i="18" s="1"/>
  <c r="G938" i="18"/>
  <c r="E938" i="18" s="1"/>
  <c r="G934" i="18"/>
  <c r="E934" i="18" s="1"/>
  <c r="G930" i="18"/>
  <c r="E930" i="18" s="1"/>
  <c r="G935" i="18"/>
  <c r="E935" i="18" s="1"/>
  <c r="G931" i="18"/>
  <c r="E931" i="18" s="1"/>
  <c r="G927" i="18"/>
  <c r="E927" i="18" s="1"/>
  <c r="G948" i="18"/>
  <c r="E948" i="18" s="1"/>
  <c r="G944" i="18"/>
  <c r="E944" i="18" s="1"/>
  <c r="G940" i="18"/>
  <c r="E940" i="18" s="1"/>
  <c r="G945" i="18"/>
  <c r="E945" i="18" s="1"/>
  <c r="G941" i="18"/>
  <c r="E941" i="18" s="1"/>
  <c r="G946" i="18"/>
  <c r="E946" i="18" s="1"/>
  <c r="G942" i="18"/>
  <c r="E942" i="18" s="1"/>
  <c r="G947" i="18"/>
  <c r="E947" i="18" s="1"/>
  <c r="G943" i="18"/>
  <c r="E943" i="18" s="1"/>
  <c r="G939" i="18"/>
  <c r="E939" i="18" s="1"/>
  <c r="G1333" i="18"/>
  <c r="E1333" i="18" s="1"/>
  <c r="G1332" i="18"/>
  <c r="E1332" i="18" s="1"/>
  <c r="G949" i="18"/>
  <c r="E949" i="18" s="1"/>
  <c r="G950" i="18"/>
  <c r="E950" i="18" s="1"/>
  <c r="G972" i="18"/>
  <c r="E972" i="18" s="1"/>
  <c r="G968" i="18"/>
  <c r="E968" i="18" s="1"/>
  <c r="G973" i="18"/>
  <c r="E973" i="18" s="1"/>
  <c r="G969" i="18"/>
  <c r="E969" i="18" s="1"/>
  <c r="G970" i="18"/>
  <c r="E970" i="18" s="1"/>
  <c r="G971" i="18"/>
  <c r="E971" i="18" s="1"/>
  <c r="G1020" i="18"/>
  <c r="E1020" i="18" s="1"/>
  <c r="G1016" i="18"/>
  <c r="E1016" i="18" s="1"/>
  <c r="G1012" i="18"/>
  <c r="E1012" i="18" s="1"/>
  <c r="G1021" i="18"/>
  <c r="E1021" i="18" s="1"/>
  <c r="G1017" i="18"/>
  <c r="E1017" i="18" s="1"/>
  <c r="G1013" i="18"/>
  <c r="E1013" i="18" s="1"/>
  <c r="G1022" i="18"/>
  <c r="E1022" i="18" s="1"/>
  <c r="G1018" i="18"/>
  <c r="E1018" i="18" s="1"/>
  <c r="G1014" i="18"/>
  <c r="E1014" i="18" s="1"/>
  <c r="G1023" i="18"/>
  <c r="E1023" i="18" s="1"/>
  <c r="G1019" i="18"/>
  <c r="E1019" i="18" s="1"/>
  <c r="G1015" i="18"/>
  <c r="E1015" i="18" s="1"/>
  <c r="G1078" i="18"/>
  <c r="E1078" i="18" s="1"/>
  <c r="G1074" i="18"/>
  <c r="E1074" i="18" s="1"/>
  <c r="G1073" i="18"/>
  <c r="E1073" i="18" s="1"/>
  <c r="G1072" i="18"/>
  <c r="E1072" i="18" s="1"/>
  <c r="G1071" i="18"/>
  <c r="E1071" i="18" s="1"/>
  <c r="G1070" i="18"/>
  <c r="E1070" i="18" s="1"/>
  <c r="G1079" i="18"/>
  <c r="E1079" i="18" s="1"/>
  <c r="G1075" i="18"/>
  <c r="E1075" i="18" s="1"/>
  <c r="G1076" i="18"/>
  <c r="E1076" i="18" s="1"/>
  <c r="G1077" i="18"/>
  <c r="E1077" i="18" s="1"/>
  <c r="G1110" i="18"/>
  <c r="E1110" i="18" s="1"/>
  <c r="G1106" i="18"/>
  <c r="E1106" i="18" s="1"/>
  <c r="G1102" i="18"/>
  <c r="E1102" i="18" s="1"/>
  <c r="G1111" i="18"/>
  <c r="E1111" i="18" s="1"/>
  <c r="G1107" i="18"/>
  <c r="E1107" i="18" s="1"/>
  <c r="G1103" i="18"/>
  <c r="E1103" i="18" s="1"/>
  <c r="G1112" i="18"/>
  <c r="E1112" i="18" s="1"/>
  <c r="G1108" i="18"/>
  <c r="E1108" i="18" s="1"/>
  <c r="G1104" i="18"/>
  <c r="E1104" i="18" s="1"/>
  <c r="G1113" i="18"/>
  <c r="E1113" i="18" s="1"/>
  <c r="G1109" i="18"/>
  <c r="E1109" i="18" s="1"/>
  <c r="G1105" i="18"/>
  <c r="E1105" i="18" s="1"/>
  <c r="G1146" i="18"/>
  <c r="E1146" i="18" s="1"/>
  <c r="G1142" i="18"/>
  <c r="E1142" i="18" s="1"/>
  <c r="G1138" i="18"/>
  <c r="E1138" i="18" s="1"/>
  <c r="G1147" i="18"/>
  <c r="E1147" i="18" s="1"/>
  <c r="G1143" i="18"/>
  <c r="E1143" i="18" s="1"/>
  <c r="G1139" i="18"/>
  <c r="E1139" i="18" s="1"/>
  <c r="G1144" i="18"/>
  <c r="E1144" i="18" s="1"/>
  <c r="G1140" i="18"/>
  <c r="E1140" i="18" s="1"/>
  <c r="G1136" i="18"/>
  <c r="E1136" i="18" s="1"/>
  <c r="G1145" i="18"/>
  <c r="E1145" i="18" s="1"/>
  <c r="G1141" i="18"/>
  <c r="E1141" i="18" s="1"/>
  <c r="G1137" i="18"/>
  <c r="E1137" i="18" s="1"/>
  <c r="G1158" i="18"/>
  <c r="E1158" i="18" s="1"/>
  <c r="G1154" i="18"/>
  <c r="E1154" i="18" s="1"/>
  <c r="G1150" i="18"/>
  <c r="E1150" i="18" s="1"/>
  <c r="G1159" i="18"/>
  <c r="E1159" i="18" s="1"/>
  <c r="G1155" i="18"/>
  <c r="E1155" i="18" s="1"/>
  <c r="G1151" i="18"/>
  <c r="E1151" i="18" s="1"/>
  <c r="G1156" i="18"/>
  <c r="E1156" i="18" s="1"/>
  <c r="G1152" i="18"/>
  <c r="E1152" i="18" s="1"/>
  <c r="G1148" i="18"/>
  <c r="E1148" i="18" s="1"/>
  <c r="G1157" i="18"/>
  <c r="E1157" i="18" s="1"/>
  <c r="G1153" i="18"/>
  <c r="E1153" i="18" s="1"/>
  <c r="G1149" i="18"/>
  <c r="E1149" i="18" s="1"/>
  <c r="G1174" i="18"/>
  <c r="E1174" i="18" s="1"/>
  <c r="G1175" i="18"/>
  <c r="E1175" i="18" s="1"/>
  <c r="G1176" i="18"/>
  <c r="E1176" i="18" s="1"/>
  <c r="G1172" i="18"/>
  <c r="E1172" i="18" s="1"/>
  <c r="G1177" i="18"/>
  <c r="E1177" i="18" s="1"/>
  <c r="G1173" i="18"/>
  <c r="E1173" i="18" s="1"/>
  <c r="G1186" i="18"/>
  <c r="E1186" i="18" s="1"/>
  <c r="G1182" i="18"/>
  <c r="E1182" i="18" s="1"/>
  <c r="G1178" i="18"/>
  <c r="E1178" i="18" s="1"/>
  <c r="G1187" i="18"/>
  <c r="E1187" i="18" s="1"/>
  <c r="G1183" i="18"/>
  <c r="E1183" i="18" s="1"/>
  <c r="G1179" i="18"/>
  <c r="E1179" i="18" s="1"/>
  <c r="G1184" i="18"/>
  <c r="E1184" i="18" s="1"/>
  <c r="G1180" i="18"/>
  <c r="E1180" i="18" s="1"/>
  <c r="G1185" i="18"/>
  <c r="E1185" i="18" s="1"/>
  <c r="G1181" i="18"/>
  <c r="E1181" i="18" s="1"/>
  <c r="G1191" i="18"/>
  <c r="E1191" i="18" s="1"/>
  <c r="G1190" i="18"/>
  <c r="E1190" i="18" s="1"/>
  <c r="G1189" i="18"/>
  <c r="E1189" i="18" s="1"/>
  <c r="G1188" i="18"/>
  <c r="E1188" i="18" s="1"/>
  <c r="G1196" i="18"/>
  <c r="E1196" i="18" s="1"/>
  <c r="G1195" i="18"/>
  <c r="E1195" i="18" s="1"/>
  <c r="G1194" i="18"/>
  <c r="E1194" i="18" s="1"/>
  <c r="G1193" i="18"/>
  <c r="E1193" i="18" s="1"/>
  <c r="G1192" i="18"/>
  <c r="E1192" i="18" s="1"/>
  <c r="G1222" i="18"/>
  <c r="E1222" i="18" s="1"/>
  <c r="G1221" i="18"/>
  <c r="E1221" i="18" s="1"/>
  <c r="G1220" i="18"/>
  <c r="E1220" i="18" s="1"/>
  <c r="G1219" i="18"/>
  <c r="E1219" i="18" s="1"/>
  <c r="G1218" i="18"/>
  <c r="E1218" i="18" s="1"/>
  <c r="G1217" i="18"/>
  <c r="E1217" i="18" s="1"/>
  <c r="G1216" i="18"/>
  <c r="E1216" i="18" s="1"/>
  <c r="G1215" i="18"/>
  <c r="E1215" i="18" s="1"/>
  <c r="G1214" i="18"/>
  <c r="E1214" i="18" s="1"/>
  <c r="G1213" i="18"/>
  <c r="E1213" i="18" s="1"/>
  <c r="G1346" i="18"/>
  <c r="E1346" i="18" s="1"/>
  <c r="G1345" i="18"/>
  <c r="E1345" i="18" s="1"/>
  <c r="G1344" i="18"/>
  <c r="E1344" i="18" s="1"/>
  <c r="G1343" i="18"/>
  <c r="E1343" i="18" s="1"/>
  <c r="G1342" i="18"/>
  <c r="E1342" i="18" s="1"/>
  <c r="G1341" i="18"/>
  <c r="E1341" i="18" s="1"/>
  <c r="G1212" i="18"/>
  <c r="E1212" i="18" s="1"/>
  <c r="G1211" i="18"/>
  <c r="E1211" i="18" s="1"/>
  <c r="G1210" i="18"/>
  <c r="E1210" i="18" s="1"/>
  <c r="G1209" i="18"/>
  <c r="E1209" i="18" s="1"/>
  <c r="G1208" i="18"/>
  <c r="E1208" i="18" s="1"/>
  <c r="G1207" i="18"/>
  <c r="E1207" i="18" s="1"/>
  <c r="G1206" i="18"/>
  <c r="E1206" i="18" s="1"/>
  <c r="G1205" i="18"/>
  <c r="E1205" i="18" s="1"/>
  <c r="G1204" i="18"/>
  <c r="E1204" i="18" s="1"/>
  <c r="G1203" i="18"/>
  <c r="E1203" i="18" s="1"/>
  <c r="G13" i="18"/>
  <c r="E13" i="18" s="1"/>
  <c r="G17" i="18"/>
  <c r="E17" i="18" s="1"/>
  <c r="G21" i="18"/>
  <c r="E21" i="18" s="1"/>
  <c r="G61" i="18"/>
  <c r="E61" i="18" s="1"/>
  <c r="G65" i="18"/>
  <c r="E65" i="18" s="1"/>
  <c r="G69" i="18"/>
  <c r="E69" i="18" s="1"/>
  <c r="G109" i="18"/>
  <c r="E109" i="18" s="1"/>
  <c r="G113" i="18"/>
  <c r="E113" i="18" s="1"/>
  <c r="G117" i="18"/>
  <c r="E117" i="18" s="1"/>
  <c r="G157" i="18"/>
  <c r="E157" i="18" s="1"/>
  <c r="G161" i="18"/>
  <c r="E161" i="18" s="1"/>
  <c r="G165" i="18"/>
  <c r="E165" i="18" s="1"/>
  <c r="G205" i="18"/>
  <c r="E205" i="18" s="1"/>
  <c r="G209" i="18"/>
  <c r="E209" i="18" s="1"/>
  <c r="G213" i="18"/>
  <c r="E213" i="18" s="1"/>
  <c r="G253" i="18"/>
  <c r="E253" i="18" s="1"/>
  <c r="G257" i="18"/>
  <c r="E257" i="18" s="1"/>
  <c r="G261" i="18"/>
  <c r="E261" i="18" s="1"/>
  <c r="G1202" i="18"/>
  <c r="E1202" i="18" s="1"/>
  <c r="G1201" i="18"/>
  <c r="E1201" i="18" s="1"/>
  <c r="G1200" i="18"/>
  <c r="E1200" i="18" s="1"/>
  <c r="G1199" i="18"/>
  <c r="E1199" i="18" s="1"/>
  <c r="G1198" i="18"/>
  <c r="E1198" i="18" s="1"/>
  <c r="G1197" i="18"/>
  <c r="E1197" i="18" s="1"/>
  <c r="G1256" i="18"/>
  <c r="E1256" i="18" s="1"/>
  <c r="G1252" i="18"/>
  <c r="E1252" i="18" s="1"/>
  <c r="G1253" i="18"/>
  <c r="E1253" i="18" s="1"/>
  <c r="G1254" i="18"/>
  <c r="E1254" i="18" s="1"/>
  <c r="G1255" i="18"/>
  <c r="E1255" i="18" s="1"/>
  <c r="G1251" i="18"/>
  <c r="E1251" i="18" s="1"/>
  <c r="G1280" i="18"/>
  <c r="E1280" i="18" s="1"/>
  <c r="G1276" i="18"/>
  <c r="E1276" i="18" s="1"/>
  <c r="G1272" i="18"/>
  <c r="E1272" i="18" s="1"/>
  <c r="G1277" i="18"/>
  <c r="E1277" i="18" s="1"/>
  <c r="G1273" i="18"/>
  <c r="E1273" i="18" s="1"/>
  <c r="G1269" i="18"/>
  <c r="E1269" i="18" s="1"/>
  <c r="G1278" i="18"/>
  <c r="E1278" i="18" s="1"/>
  <c r="G1274" i="18"/>
  <c r="E1274" i="18" s="1"/>
  <c r="G1270" i="18"/>
  <c r="E1270" i="18" s="1"/>
  <c r="G1279" i="18"/>
  <c r="E1279" i="18" s="1"/>
  <c r="G1275" i="18"/>
  <c r="E1275" i="18" s="1"/>
  <c r="G1271" i="18"/>
  <c r="E1271" i="18" s="1"/>
  <c r="G1292" i="18"/>
  <c r="E1292" i="18" s="1"/>
  <c r="G1288" i="18"/>
  <c r="E1288" i="18" s="1"/>
  <c r="G1284" i="18"/>
  <c r="E1284" i="18" s="1"/>
  <c r="G1289" i="18"/>
  <c r="E1289" i="18" s="1"/>
  <c r="G1285" i="18"/>
  <c r="E1285" i="18" s="1"/>
  <c r="G1281" i="18"/>
  <c r="E1281" i="18" s="1"/>
  <c r="G1290" i="18"/>
  <c r="E1290" i="18" s="1"/>
  <c r="G1286" i="18"/>
  <c r="E1286" i="18" s="1"/>
  <c r="G1282" i="18"/>
  <c r="E1282" i="18" s="1"/>
  <c r="G1291" i="18"/>
  <c r="E1291" i="18" s="1"/>
  <c r="G1287" i="18"/>
  <c r="E1287" i="18" s="1"/>
  <c r="G1283" i="18"/>
  <c r="E1283" i="18" s="1"/>
  <c r="G16" i="18"/>
  <c r="E16" i="18" s="1"/>
  <c r="G20" i="18"/>
  <c r="E20" i="18" s="1"/>
  <c r="G24" i="18"/>
  <c r="E24" i="18" s="1"/>
  <c r="G64" i="18"/>
  <c r="E64" i="18" s="1"/>
  <c r="G68" i="18"/>
  <c r="E68" i="18" s="1"/>
  <c r="G72" i="18"/>
  <c r="E72" i="18" s="1"/>
  <c r="G112" i="18"/>
  <c r="E112" i="18" s="1"/>
  <c r="G116" i="18"/>
  <c r="E116" i="18" s="1"/>
  <c r="G120" i="18"/>
  <c r="E120" i="18" s="1"/>
  <c r="G160" i="18"/>
  <c r="E160" i="18" s="1"/>
  <c r="G164" i="18"/>
  <c r="E164" i="18" s="1"/>
  <c r="G168" i="18"/>
  <c r="E168" i="18" s="1"/>
  <c r="G208" i="18"/>
  <c r="E208" i="18" s="1"/>
  <c r="G212" i="18"/>
  <c r="E212" i="18" s="1"/>
  <c r="G216" i="18"/>
  <c r="E216" i="18" s="1"/>
  <c r="G256" i="18"/>
  <c r="E256" i="18" s="1"/>
  <c r="G260" i="18"/>
  <c r="E260" i="18" s="1"/>
  <c r="G264" i="18"/>
  <c r="E264" i="18" s="1"/>
  <c r="G312" i="18"/>
  <c r="E312" i="18" s="1"/>
  <c r="G311" i="18"/>
  <c r="E311" i="18" s="1"/>
  <c r="G310" i="18"/>
  <c r="E310" i="18" s="1"/>
  <c r="G309" i="18"/>
  <c r="E309" i="18" s="1"/>
  <c r="G308" i="18"/>
  <c r="E308" i="18" s="1"/>
  <c r="G307" i="18"/>
  <c r="E307" i="18" s="1"/>
  <c r="G306" i="18"/>
  <c r="E306" i="18" s="1"/>
  <c r="G305" i="18"/>
  <c r="E305" i="18" s="1"/>
  <c r="G304" i="18"/>
  <c r="E304" i="18" s="1"/>
  <c r="G303" i="18"/>
  <c r="E303" i="18" s="1"/>
  <c r="G302" i="18"/>
  <c r="E302" i="18" s="1"/>
  <c r="G301" i="18"/>
  <c r="E301" i="18" s="1"/>
  <c r="G360" i="18"/>
  <c r="E360" i="18" s="1"/>
  <c r="G359" i="18"/>
  <c r="E359" i="18" s="1"/>
  <c r="G358" i="18"/>
  <c r="E358" i="18" s="1"/>
  <c r="G357" i="18"/>
  <c r="E357" i="18" s="1"/>
  <c r="G356" i="18"/>
  <c r="E356" i="18" s="1"/>
  <c r="G355" i="18"/>
  <c r="E355" i="18" s="1"/>
  <c r="G354" i="18"/>
  <c r="E354" i="18" s="1"/>
  <c r="G353" i="18"/>
  <c r="E353" i="18" s="1"/>
  <c r="G352" i="18"/>
  <c r="E352" i="18" s="1"/>
  <c r="G351" i="18"/>
  <c r="E351" i="18" s="1"/>
  <c r="G350" i="18"/>
  <c r="E350" i="18" s="1"/>
  <c r="G349" i="18"/>
  <c r="E349" i="18" s="1"/>
  <c r="G408" i="18"/>
  <c r="E408" i="18" s="1"/>
  <c r="G407" i="18"/>
  <c r="E407" i="18" s="1"/>
  <c r="G406" i="18"/>
  <c r="E406" i="18" s="1"/>
  <c r="G405" i="18"/>
  <c r="E405" i="18" s="1"/>
  <c r="G404" i="18"/>
  <c r="E404" i="18" s="1"/>
  <c r="G403" i="18"/>
  <c r="E403" i="18" s="1"/>
  <c r="G402" i="18"/>
  <c r="E402" i="18" s="1"/>
  <c r="G401" i="18"/>
  <c r="E401" i="18" s="1"/>
  <c r="G400" i="18"/>
  <c r="E400" i="18" s="1"/>
  <c r="G399" i="18"/>
  <c r="E399" i="18" s="1"/>
  <c r="G398" i="18"/>
  <c r="E398" i="18" s="1"/>
  <c r="G397" i="18"/>
  <c r="E397" i="18" s="1"/>
  <c r="G456" i="18"/>
  <c r="E456" i="18" s="1"/>
  <c r="G455" i="18"/>
  <c r="E455" i="18" s="1"/>
  <c r="G454" i="18"/>
  <c r="E454" i="18" s="1"/>
  <c r="G453" i="18"/>
  <c r="E453" i="18" s="1"/>
  <c r="G452" i="18"/>
  <c r="E452" i="18" s="1"/>
  <c r="G451" i="18"/>
  <c r="E451" i="18" s="1"/>
  <c r="G450" i="18"/>
  <c r="E450" i="18" s="1"/>
  <c r="G449" i="18"/>
  <c r="E449" i="18" s="1"/>
  <c r="G448" i="18"/>
  <c r="E448" i="18" s="1"/>
  <c r="G447" i="18"/>
  <c r="E447" i="18" s="1"/>
  <c r="G446" i="18"/>
  <c r="E446" i="18" s="1"/>
  <c r="G445" i="18"/>
  <c r="E445" i="18" s="1"/>
  <c r="G504" i="18"/>
  <c r="E504" i="18" s="1"/>
  <c r="G503" i="18"/>
  <c r="E503" i="18" s="1"/>
  <c r="G502" i="18"/>
  <c r="E502" i="18" s="1"/>
  <c r="G501" i="18"/>
  <c r="E501" i="18" s="1"/>
  <c r="G500" i="18"/>
  <c r="E500" i="18" s="1"/>
  <c r="G499" i="18"/>
  <c r="E499" i="18" s="1"/>
  <c r="G498" i="18"/>
  <c r="E498" i="18" s="1"/>
  <c r="G497" i="18"/>
  <c r="E497" i="18" s="1"/>
  <c r="G496" i="18"/>
  <c r="E496" i="18" s="1"/>
  <c r="G495" i="18"/>
  <c r="E495" i="18" s="1"/>
  <c r="G494" i="18"/>
  <c r="E494" i="18" s="1"/>
  <c r="G493" i="18"/>
  <c r="E493" i="18" s="1"/>
  <c r="G552" i="18"/>
  <c r="E552" i="18" s="1"/>
  <c r="G551" i="18"/>
  <c r="E551" i="18" s="1"/>
  <c r="G550" i="18"/>
  <c r="E550" i="18" s="1"/>
  <c r="G549" i="18"/>
  <c r="E549" i="18" s="1"/>
  <c r="G548" i="18"/>
  <c r="E548" i="18" s="1"/>
  <c r="G547" i="18"/>
  <c r="E547" i="18" s="1"/>
  <c r="G546" i="18"/>
  <c r="E546" i="18" s="1"/>
  <c r="G545" i="18"/>
  <c r="E545" i="18" s="1"/>
  <c r="G544" i="18"/>
  <c r="E544" i="18" s="1"/>
  <c r="G543" i="18"/>
  <c r="E543" i="18" s="1"/>
  <c r="G542" i="18"/>
  <c r="E542" i="18" s="1"/>
  <c r="G541" i="18"/>
  <c r="E541" i="18" s="1"/>
  <c r="G592" i="18"/>
  <c r="E592" i="18" s="1"/>
  <c r="G588" i="18"/>
  <c r="E588" i="18" s="1"/>
  <c r="G593" i="18"/>
  <c r="E593" i="18" s="1"/>
  <c r="G589" i="18"/>
  <c r="E589" i="18" s="1"/>
  <c r="G590" i="18"/>
  <c r="E590" i="18" s="1"/>
  <c r="G591" i="18"/>
  <c r="E591" i="18" s="1"/>
  <c r="G632" i="18"/>
  <c r="E632" i="18" s="1"/>
  <c r="G628" i="18"/>
  <c r="E628" i="18" s="1"/>
  <c r="G624" i="18"/>
  <c r="E624" i="18" s="1"/>
  <c r="G629" i="18"/>
  <c r="E629" i="18" s="1"/>
  <c r="G625" i="18"/>
  <c r="E625" i="18" s="1"/>
  <c r="G621" i="18"/>
  <c r="E621" i="18" s="1"/>
  <c r="G630" i="18"/>
  <c r="E630" i="18" s="1"/>
  <c r="G626" i="18"/>
  <c r="E626" i="18" s="1"/>
  <c r="G622" i="18"/>
  <c r="E622" i="18" s="1"/>
  <c r="G631" i="18"/>
  <c r="E631" i="18" s="1"/>
  <c r="G627" i="18"/>
  <c r="E627" i="18" s="1"/>
  <c r="G623" i="18"/>
  <c r="E623" i="18" s="1"/>
  <c r="G708" i="18"/>
  <c r="E708" i="18" s="1"/>
  <c r="G704" i="18"/>
  <c r="E704" i="18" s="1"/>
  <c r="G700" i="18"/>
  <c r="E700" i="18" s="1"/>
  <c r="G709" i="18"/>
  <c r="E709" i="18" s="1"/>
  <c r="G705" i="18"/>
  <c r="E705" i="18" s="1"/>
  <c r="G701" i="18"/>
  <c r="E701" i="18" s="1"/>
  <c r="G706" i="18"/>
  <c r="E706" i="18" s="1"/>
  <c r="G702" i="18"/>
  <c r="E702" i="18" s="1"/>
  <c r="G698" i="18"/>
  <c r="E698" i="18" s="1"/>
  <c r="G707" i="18"/>
  <c r="E707" i="18" s="1"/>
  <c r="G703" i="18"/>
  <c r="E703" i="18" s="1"/>
  <c r="G699" i="18"/>
  <c r="E699" i="18" s="1"/>
  <c r="G745" i="18"/>
  <c r="E745" i="18" s="1"/>
  <c r="G741" i="18"/>
  <c r="E741" i="18" s="1"/>
  <c r="G746" i="18"/>
  <c r="E746" i="18" s="1"/>
  <c r="G742" i="18"/>
  <c r="E742" i="18" s="1"/>
  <c r="G747" i="18"/>
  <c r="E747" i="18" s="1"/>
  <c r="G743" i="18"/>
  <c r="E743" i="18" s="1"/>
  <c r="G739" i="18"/>
  <c r="E739" i="18" s="1"/>
  <c r="G738" i="18"/>
  <c r="E738" i="18" s="1"/>
  <c r="G737" i="18"/>
  <c r="E737" i="18" s="1"/>
  <c r="G736" i="18"/>
  <c r="E736" i="18" s="1"/>
  <c r="G744" i="18"/>
  <c r="E744" i="18" s="1"/>
  <c r="G740" i="18"/>
  <c r="E740" i="18" s="1"/>
  <c r="G788" i="18"/>
  <c r="E788" i="18" s="1"/>
  <c r="G789" i="18"/>
  <c r="E789" i="18" s="1"/>
  <c r="G810" i="18"/>
  <c r="E810" i="18" s="1"/>
  <c r="G811" i="18"/>
  <c r="E811" i="18" s="1"/>
  <c r="G812" i="18"/>
  <c r="E812" i="18" s="1"/>
  <c r="G813" i="18"/>
  <c r="E813" i="18" s="1"/>
  <c r="G809" i="18"/>
  <c r="E809" i="18" s="1"/>
  <c r="G850" i="18"/>
  <c r="E850" i="18" s="1"/>
  <c r="G846" i="18"/>
  <c r="E846" i="18" s="1"/>
  <c r="G842" i="18"/>
  <c r="E842" i="18" s="1"/>
  <c r="G851" i="18"/>
  <c r="E851" i="18" s="1"/>
  <c r="G847" i="18"/>
  <c r="E847" i="18" s="1"/>
  <c r="G843" i="18"/>
  <c r="E843" i="18" s="1"/>
  <c r="G852" i="18"/>
  <c r="E852" i="18" s="1"/>
  <c r="G848" i="18"/>
  <c r="E848" i="18" s="1"/>
  <c r="G844" i="18"/>
  <c r="E844" i="18" s="1"/>
  <c r="G853" i="18"/>
  <c r="E853" i="18" s="1"/>
  <c r="G849" i="18"/>
  <c r="E849" i="18" s="1"/>
  <c r="G845" i="18"/>
  <c r="E845" i="18" s="1"/>
  <c r="G924" i="18"/>
  <c r="E924" i="18" s="1"/>
  <c r="G925" i="18"/>
  <c r="E925" i="18" s="1"/>
  <c r="G926" i="18"/>
  <c r="E926" i="18" s="1"/>
  <c r="G984" i="18"/>
  <c r="E984" i="18" s="1"/>
  <c r="G980" i="18"/>
  <c r="E980" i="18" s="1"/>
  <c r="G976" i="18"/>
  <c r="E976" i="18" s="1"/>
  <c r="G985" i="18"/>
  <c r="E985" i="18" s="1"/>
  <c r="G981" i="18"/>
  <c r="E981" i="18" s="1"/>
  <c r="G977" i="18"/>
  <c r="E977" i="18" s="1"/>
  <c r="G982" i="18"/>
  <c r="E982" i="18" s="1"/>
  <c r="G978" i="18"/>
  <c r="E978" i="18" s="1"/>
  <c r="G974" i="18"/>
  <c r="E974" i="18" s="1"/>
  <c r="G983" i="18"/>
  <c r="E983" i="18" s="1"/>
  <c r="G979" i="18"/>
  <c r="E979" i="18" s="1"/>
  <c r="G975" i="18"/>
  <c r="E975" i="18" s="1"/>
  <c r="G1004" i="18"/>
  <c r="E1004" i="18" s="1"/>
  <c r="G1005" i="18"/>
  <c r="E1005" i="18" s="1"/>
  <c r="G1003" i="18"/>
  <c r="E1003" i="18" s="1"/>
  <c r="G1059" i="18"/>
  <c r="E1059" i="18" s="1"/>
  <c r="G1058" i="18"/>
  <c r="E1058" i="18" s="1"/>
  <c r="G1057" i="18"/>
  <c r="E1057" i="18" s="1"/>
  <c r="G1056" i="18"/>
  <c r="E1056" i="18" s="1"/>
  <c r="G1055" i="18"/>
  <c r="E1055" i="18" s="1"/>
  <c r="G1054" i="18"/>
  <c r="E1054" i="18" s="1"/>
  <c r="G1053" i="18"/>
  <c r="E1053" i="18" s="1"/>
  <c r="G1052" i="18"/>
  <c r="E1052" i="18" s="1"/>
  <c r="G1051" i="18"/>
  <c r="E1051" i="18" s="1"/>
  <c r="G1050" i="18"/>
  <c r="E1050" i="18" s="1"/>
  <c r="G1049" i="18"/>
  <c r="E1049" i="18" s="1"/>
  <c r="G1048" i="18"/>
  <c r="E1048" i="18" s="1"/>
  <c r="G1090" i="18"/>
  <c r="E1090" i="18" s="1"/>
  <c r="G1086" i="18"/>
  <c r="E1086" i="18" s="1"/>
  <c r="G1091" i="18"/>
  <c r="E1091" i="18" s="1"/>
  <c r="G1087" i="18"/>
  <c r="E1087" i="18" s="1"/>
  <c r="G1088" i="18"/>
  <c r="E1088" i="18" s="1"/>
  <c r="G1089" i="18"/>
  <c r="E1089" i="18" s="1"/>
  <c r="G1124" i="18"/>
  <c r="E1124" i="18" s="1"/>
  <c r="G1125" i="18"/>
  <c r="E1125" i="18" s="1"/>
  <c r="G1236" i="18"/>
  <c r="E1236" i="18" s="1"/>
  <c r="G1232" i="18"/>
  <c r="E1232" i="18" s="1"/>
  <c r="G1228" i="18"/>
  <c r="E1228" i="18" s="1"/>
  <c r="G1227" i="18"/>
  <c r="E1227" i="18" s="1"/>
  <c r="G1226" i="18"/>
  <c r="E1226" i="18" s="1"/>
  <c r="G1225" i="18"/>
  <c r="E1225" i="18" s="1"/>
  <c r="G1224" i="18"/>
  <c r="E1224" i="18" s="1"/>
  <c r="G1223" i="18"/>
  <c r="E1223" i="18" s="1"/>
  <c r="G1237" i="18"/>
  <c r="E1237" i="18" s="1"/>
  <c r="G1233" i="18"/>
  <c r="E1233" i="18" s="1"/>
  <c r="G1229" i="18"/>
  <c r="E1229" i="18" s="1"/>
  <c r="G1238" i="18"/>
  <c r="E1238" i="18" s="1"/>
  <c r="G1234" i="18"/>
  <c r="E1234" i="18" s="1"/>
  <c r="G1230" i="18"/>
  <c r="E1230" i="18" s="1"/>
  <c r="G1235" i="18"/>
  <c r="E1235" i="18" s="1"/>
  <c r="G1231" i="18"/>
  <c r="E1231" i="18" s="1"/>
  <c r="G1298" i="18"/>
  <c r="E1298" i="18" s="1"/>
  <c r="G1297" i="18"/>
  <c r="E1297" i="18" s="1"/>
  <c r="G1296" i="18"/>
  <c r="E1296" i="18" s="1"/>
  <c r="G1295" i="18"/>
  <c r="E1295" i="18" s="1"/>
  <c r="G1294" i="18"/>
  <c r="E1294" i="18" s="1"/>
  <c r="G1293" i="18"/>
  <c r="E1293" i="18" s="1"/>
  <c r="G1340" i="18"/>
  <c r="E1340" i="18" s="1"/>
  <c r="G1339" i="18"/>
  <c r="E1339" i="18" s="1"/>
  <c r="G1338" i="18"/>
  <c r="E1338" i="18" s="1"/>
  <c r="G1162" i="18"/>
  <c r="E1162" i="18" s="1"/>
  <c r="G1163" i="18"/>
  <c r="E1163" i="18" s="1"/>
  <c r="G1164" i="18"/>
  <c r="E1164" i="18" s="1"/>
  <c r="G1160" i="18"/>
  <c r="E1160" i="18" s="1"/>
  <c r="G1165" i="18"/>
  <c r="E1165" i="18" s="1"/>
  <c r="G1161" i="18"/>
  <c r="E1161" i="18" s="1"/>
  <c r="G1170" i="18"/>
  <c r="E1170" i="18" s="1"/>
  <c r="G1166" i="18"/>
  <c r="E1166" i="18" s="1"/>
  <c r="G1171" i="18"/>
  <c r="E1171" i="18" s="1"/>
  <c r="G1167" i="18"/>
  <c r="E1167" i="18" s="1"/>
  <c r="G1168" i="18"/>
  <c r="E1168" i="18" s="1"/>
  <c r="G1169" i="18"/>
  <c r="E1169" i="18" s="1"/>
  <c r="G15" i="18"/>
  <c r="E15" i="18" s="1"/>
  <c r="G19" i="18"/>
  <c r="E19" i="18" s="1"/>
  <c r="G23" i="18"/>
  <c r="E23" i="18" s="1"/>
  <c r="G63" i="18"/>
  <c r="E63" i="18" s="1"/>
  <c r="G67" i="18"/>
  <c r="E67" i="18" s="1"/>
  <c r="G71" i="18"/>
  <c r="E71" i="18" s="1"/>
  <c r="G111" i="18"/>
  <c r="E111" i="18" s="1"/>
  <c r="G115" i="18"/>
  <c r="E115" i="18" s="1"/>
  <c r="G119" i="18"/>
  <c r="E119" i="18" s="1"/>
  <c r="G159" i="18"/>
  <c r="E159" i="18" s="1"/>
  <c r="G163" i="18"/>
  <c r="E163" i="18" s="1"/>
  <c r="G167" i="18"/>
  <c r="E167" i="18" s="1"/>
  <c r="G207" i="18"/>
  <c r="E207" i="18" s="1"/>
  <c r="G211" i="18"/>
  <c r="E211" i="18" s="1"/>
  <c r="G215" i="18"/>
  <c r="E215" i="18" s="1"/>
  <c r="G255" i="18"/>
  <c r="E255" i="18" s="1"/>
  <c r="G259" i="18"/>
  <c r="E259" i="18" s="1"/>
  <c r="G263" i="18"/>
  <c r="E263" i="18" s="1"/>
  <c r="G1248" i="18"/>
  <c r="E1248" i="18" s="1"/>
  <c r="G1244" i="18"/>
  <c r="E1244" i="18" s="1"/>
  <c r="G1240" i="18"/>
  <c r="E1240" i="18" s="1"/>
  <c r="G1249" i="18"/>
  <c r="E1249" i="18" s="1"/>
  <c r="G1245" i="18"/>
  <c r="E1245" i="18" s="1"/>
  <c r="G1241" i="18"/>
  <c r="E1241" i="18" s="1"/>
  <c r="G1250" i="18"/>
  <c r="E1250" i="18" s="1"/>
  <c r="G1246" i="18"/>
  <c r="E1246" i="18" s="1"/>
  <c r="G1242" i="18"/>
  <c r="E1242" i="18" s="1"/>
  <c r="G1247" i="18"/>
  <c r="E1247" i="18" s="1"/>
  <c r="G1243" i="18"/>
  <c r="E1243" i="18" s="1"/>
  <c r="G1239" i="18"/>
  <c r="E1239" i="18" s="1"/>
  <c r="G1268" i="18"/>
  <c r="E1268" i="18" s="1"/>
  <c r="G1264" i="18"/>
  <c r="E1264" i="18" s="1"/>
  <c r="G1260" i="18"/>
  <c r="E1260" i="18" s="1"/>
  <c r="G1265" i="18"/>
  <c r="E1265" i="18" s="1"/>
  <c r="G1261" i="18"/>
  <c r="E1261" i="18" s="1"/>
  <c r="G1257" i="18"/>
  <c r="E1257" i="18" s="1"/>
  <c r="G1266" i="18"/>
  <c r="E1266" i="18" s="1"/>
  <c r="G1262" i="18"/>
  <c r="E1262" i="18" s="1"/>
  <c r="G1258" i="18"/>
  <c r="E1258" i="18" s="1"/>
  <c r="G1267" i="18"/>
  <c r="E1267" i="18" s="1"/>
  <c r="G1263" i="18"/>
  <c r="E1263" i="18" s="1"/>
  <c r="G1259" i="18"/>
  <c r="E1259" i="18" s="1"/>
  <c r="G14" i="18"/>
  <c r="E14" i="18" s="1"/>
  <c r="G18" i="18"/>
  <c r="E18" i="18" s="1"/>
  <c r="G62" i="18"/>
  <c r="E62" i="18" s="1"/>
  <c r="G66" i="18"/>
  <c r="E66" i="18" s="1"/>
  <c r="G110" i="18"/>
  <c r="E110" i="18" s="1"/>
  <c r="G114" i="18"/>
  <c r="E114" i="18" s="1"/>
  <c r="G158" i="18"/>
  <c r="E158" i="18" s="1"/>
  <c r="G162" i="18"/>
  <c r="E162" i="18" s="1"/>
  <c r="G206" i="18"/>
  <c r="E206" i="18" s="1"/>
  <c r="G210" i="18"/>
  <c r="E210" i="18" s="1"/>
  <c r="G254" i="18"/>
  <c r="E254" i="18" s="1"/>
  <c r="G258" i="18"/>
  <c r="E258"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 authorId="0" shapeId="0" xr:uid="{00000000-0006-0000-0300-000001000000}">
      <text>
        <r>
          <rPr>
            <sz val="11"/>
            <color theme="1"/>
            <rFont val="Calibri"/>
            <family val="2"/>
            <scheme val="minor"/>
          </rPr>
          <t>======
ID#AAABZibh2_U
tc={F3C4A143-54AC-C247-983D-96785D22BD2C}    (2024-11-30 11:54:16)
[Threaded comment]
Your version of Excel allows you to read this threaded comment; however, any edits to it will get removed if the file is opened in a newer version of Excel. Learn more: https://go.microsoft.com/fwlink/?linkid=870924
Comment:
    This column should be removed. Will be set in "Transaction" and then through JOIN joined.</t>
        </r>
      </text>
    </comment>
  </commentList>
  <extLst>
    <ext xmlns:r="http://schemas.openxmlformats.org/officeDocument/2006/relationships" uri="GoogleSheetsCustomDataVersion2">
      <go:sheetsCustomData xmlns:go="http://customooxmlschemas.google.com/" r:id="rId1" roundtripDataSignature="AMtx7mgyx3qrxdx63QhrrvyhYtneu7muT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400-000001000000}">
      <text>
        <r>
          <rPr>
            <sz val="11"/>
            <color theme="1"/>
            <rFont val="Calibri"/>
            <family val="2"/>
            <scheme val="minor"/>
          </rPr>
          <t>======
ID#AAABZibh2_Q
tc={776FD7E9-6949-A14E-9472-ED070CE8D5D7}    (2024-11-30 11:54:16)
[Threaded comment]
Your version of Excel allows you to read this threaded comment; however, any edits to it will get removed if the file is opened in a newer version of Excel. Learn more: https://go.microsoft.com/fwlink/?linkid=870924
Comment:
    This field can be used to easily sum up the number of students currently present.</t>
        </r>
      </text>
    </comment>
  </commentList>
  <extLst>
    <ext xmlns:r="http://schemas.openxmlformats.org/officeDocument/2006/relationships" uri="GoogleSheetsCustomDataVersion2">
      <go:sheetsCustomData xmlns:go="http://customooxmlschemas.google.com/" r:id="rId1" roundtripDataSignature="AMtx7mgFz+7NzXDbezqWhmOusaNx1jE17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900-000001000000}">
      <text>
        <r>
          <rPr>
            <sz val="11"/>
            <color theme="1"/>
            <rFont val="Calibri"/>
            <family val="2"/>
            <scheme val="minor"/>
          </rPr>
          <t>======
ID#AAABZibh2-w
tc={01BBC1D8-4282-D04A-9107-75370B78B08D}    (2024-11-30 11:54:16)
[Threaded comment]
Your version of Excel allows you to read this threaded comment; however, any edits to it will get removed if the file is opened in a newer version of Excel. Learn more: https://go.microsoft.com/fwlink/?linkid=870924
Comment:
    This needs to map to a Dates table containing each date and term and year</t>
        </r>
      </text>
    </comment>
  </commentList>
  <extLst>
    <ext xmlns:r="http://schemas.openxmlformats.org/officeDocument/2006/relationships" uri="GoogleSheetsCustomDataVersion2">
      <go:sheetsCustomData xmlns:go="http://customooxmlschemas.google.com/" r:id="rId1" roundtripDataSignature="AMtx7miADSmSf9eUlmAmUzTNLHJTL8qh8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E00-000001000000}">
      <text>
        <r>
          <rPr>
            <sz val="11"/>
            <color theme="1"/>
            <rFont val="Calibri"/>
            <family val="2"/>
            <scheme val="minor"/>
          </rPr>
          <t>======
ID#AAABZibh2_E
tc={9E87C762-5A6C-F84E-B892-9A1AE3D1B989}    (2024-11-30 11:54:16)
[Threaded comment]
Your version of Excel allows you to read this threaded comment; however, any edits to it will get removed if the file is opened in a newer version of Excel. Learn more: https://go.microsoft.com/fwlink/?linkid=870924
Comment:
    Let op. De CourseName **lijkt** vaak op de naam van het vak in "Course", maar dit is van een andere granulariteit. Zie noot bij Apologetics I</t>
        </r>
      </text>
    </comment>
    <comment ref="F1" authorId="0" shapeId="0" xr:uid="{00000000-0006-0000-0E00-000002000000}">
      <text>
        <r>
          <rPr>
            <sz val="11"/>
            <color theme="1"/>
            <rFont val="Calibri"/>
            <family val="2"/>
            <scheme val="minor"/>
          </rPr>
          <t>======
ID#AAABZibh2-4
tc={CFCB9A8A-0865-474E-8E37-143B88F870D0}    (2024-11-30 11:54:16)
[Threaded comment]
Your version of Excel allows you to read this threaded comment; however, any edits to it will get removed if the file is opened in a newer version of Excel. Learn more: https://go.microsoft.com/fwlink/?linkid=870924
Comment:
    I forgot why I created this column</t>
        </r>
      </text>
    </comment>
    <comment ref="H1" authorId="0" shapeId="0" xr:uid="{00000000-0006-0000-0E00-000003000000}">
      <text>
        <r>
          <rPr>
            <sz val="11"/>
            <color theme="1"/>
            <rFont val="Calibri"/>
            <family val="2"/>
            <scheme val="minor"/>
          </rPr>
          <t>======
ID#AAABZibh2-0
tc={8AAD9E12-8D82-C649-BE59-0FAD21ACAF53}    (2024-11-30 11:54:16)
[Threaded comment]
Your version of Excel allows you to read this threaded comment; however, any edits to it will get removed if the file is opened in a newer version of Excel. Learn more: https://go.microsoft.com/fwlink/?linkid=870924
Comment:
    This one needs to be finalized after the FCO has been chosen, because only then the subjectGroupID is known.</t>
        </r>
      </text>
    </comment>
    <comment ref="D15" authorId="0" shapeId="0" xr:uid="{00000000-0006-0000-0E00-000004000000}">
      <text>
        <r>
          <rPr>
            <sz val="11"/>
            <color theme="1"/>
            <rFont val="Calibri"/>
            <family val="2"/>
            <scheme val="minor"/>
          </rPr>
          <t>======
ID#AAABZibh2_c
tc={691C25E4-8B58-F543-B2DC-CDA552BDC68F}    (2024-11-30 11:54:16)
[Threaded comment]
Your version of Excel allows you to read this threaded comment; however, any edits to it will get removed if the file is opened in a newer version of Excel. Learn more: https://go.microsoft.com/fwlink/?linkid=870924
Comment:
    Why does it say "trig calc geo" on vSPC?</t>
        </r>
      </text>
    </comment>
  </commentList>
  <extLst>
    <ext xmlns:r="http://schemas.openxmlformats.org/officeDocument/2006/relationships" uri="GoogleSheetsCustomDataVersion2">
      <go:sheetsCustomData xmlns:go="http://customooxmlschemas.google.com/" r:id="rId1" roundtripDataSignature="AMtx7mgnayil2/9cyJLDFuebpuhh/T01Y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F00-000001000000}">
      <text>
        <r>
          <rPr>
            <sz val="11"/>
            <color theme="1"/>
            <rFont val="Calibri"/>
            <family val="2"/>
            <scheme val="minor"/>
          </rPr>
          <t>======
ID#AAABZibh2_I
Staff    (2024-11-30 11:54:16)
Still to make Ids of this</t>
        </r>
      </text>
    </comment>
    <comment ref="F49" authorId="0" shapeId="0" xr:uid="{00000000-0006-0000-0F00-000002000000}">
      <text>
        <r>
          <rPr>
            <sz val="11"/>
            <color theme="1"/>
            <rFont val="Calibri"/>
            <family val="2"/>
            <scheme val="minor"/>
          </rPr>
          <t>======
ID#AAABZibh2_Y
tc={2476259B-683F-4248-AD76-C39A1BC17B33}    (2024-11-30 11:54:16)
[Threaded comment]
Your version of Excel allows you to read this threaded comment; however, any edits to it will get removed if the file is opened in a newer version of Excel. Learn more: https://go.microsoft.com/fwlink/?linkid=870924
Comment:
    Er staat 74 op het blad</t>
        </r>
      </text>
    </comment>
    <comment ref="S69" authorId="0" shapeId="0" xr:uid="{00000000-0006-0000-0F00-000003000000}">
      <text>
        <r>
          <rPr>
            <sz val="11"/>
            <color theme="1"/>
            <rFont val="Calibri"/>
            <family val="2"/>
            <scheme val="minor"/>
          </rPr>
          <t>======
ID#AAABZibh2_g
tc={DD47C87E-9C8A-D946-8942-4EBCE5330F47}    (2024-11-30 11:54:16)
[Threaded comment]
Your version of Excel allows you to read this threaded comment; however, any edits to it will get removed if the file is opened in a newer version of Excel. Learn more: https://go.microsoft.com/fwlink/?linkid=870924
Comment:
    For students with dyslexia the threshold is 0.8.</t>
        </r>
      </text>
    </comment>
    <comment ref="E103" authorId="0" shapeId="0" xr:uid="{00000000-0006-0000-0F00-000004000000}">
      <text>
        <r>
          <rPr>
            <sz val="11"/>
            <color theme="1"/>
            <rFont val="Calibri"/>
            <family val="2"/>
            <scheme val="minor"/>
          </rPr>
          <t>======
ID#AAABZibh2_M
Staff    (2024-11-30 11:54:16)
level 11?</t>
        </r>
      </text>
    </comment>
  </commentList>
  <extLst>
    <ext xmlns:r="http://schemas.openxmlformats.org/officeDocument/2006/relationships" uri="GoogleSheetsCustomDataVersion2">
      <go:sheetsCustomData xmlns:go="http://customooxmlschemas.google.com/" r:id="rId1" roundtripDataSignature="AMtx7mjN/ZQ5QLWbrdAiJgg1sCaPYmcF4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tc={08602297-019B-1040-8EAB-1CF722762EFB}</author>
  </authors>
  <commentList>
    <comment ref="E1" authorId="0" shapeId="0" xr:uid="{00000000-0006-0000-1100-000001000000}">
      <text>
        <r>
          <rPr>
            <sz val="11"/>
            <color theme="1"/>
            <rFont val="Calibri"/>
            <family val="2"/>
            <scheme val="minor"/>
          </rPr>
          <t>======
ID#AAABZibh2_A
tc={BB5DA368-EED2-4547-8826-B8683BBA12F6}    (2024-11-30 11:54:16)
[Threaded comment]
Your version of Excel allows you to read this threaded comment; however, any edits to it will get removed if the file is opened in a newer version of Excel. Learn more: https://go.microsoft.com/fwlink/?linkid=870924
Comment:
    Code based on subject instead of course name</t>
        </r>
      </text>
    </comment>
    <comment ref="H1" authorId="0" shapeId="0" xr:uid="{00000000-0006-0000-1100-000002000000}">
      <text>
        <r>
          <rPr>
            <sz val="11"/>
            <color theme="1"/>
            <rFont val="Calibri"/>
            <family val="2"/>
            <scheme val="minor"/>
          </rPr>
          <t>======
ID#AAABZibh2-8
tc={1FAB2F44-2E45-5E4B-B054-C8DECEF20965}    (2024-11-30 11:54:16)
[Threaded comment]
Your version of Excel allows you to read this threaded comment; however, any edits to it will get removed if the file is opened in a newer version of Excel. Learn more: https://go.microsoft.com/fwlink/?linkid=870924
Comment:
    moet nog aangepast worden</t>
        </r>
      </text>
    </comment>
    <comment ref="C1335" authorId="1" shapeId="0" xr:uid="{08602297-019B-1040-8EAB-1CF722762EFB}">
      <text>
        <t>[Threaded comment]
Your version of Excel allows you to read this threaded comment; however, any edits to it will get removed if the file is opened in a newer version of Excel. Learn more: https://go.microsoft.com/fwlink/?linkid=870924
Comment:
    Dit is geen aparte PACE, maar wel iets dat gehaald moet worden</t>
      </text>
    </comment>
  </commentList>
  <extLst>
    <ext xmlns:r="http://schemas.openxmlformats.org/officeDocument/2006/relationships" uri="GoogleSheetsCustomDataVersion2">
      <go:sheetsCustomData xmlns:go="http://customooxmlschemas.google.com/" r:id="rId1" roundtripDataSignature="AMtx7mhe5g/ERRF8cN/K7uoFdpQFvGlxmw=="/>
    </ext>
  </extLst>
</comments>
</file>

<file path=xl/sharedStrings.xml><?xml version="1.0" encoding="utf-8"?>
<sst xmlns="http://schemas.openxmlformats.org/spreadsheetml/2006/main" count="6607" uniqueCount="2056">
  <si>
    <t>Pace</t>
  </si>
  <si>
    <t>Number</t>
  </si>
  <si>
    <t>Type</t>
  </si>
  <si>
    <t>Alias</t>
  </si>
  <si>
    <t>Version</t>
  </si>
  <si>
    <t>Useful</t>
  </si>
  <si>
    <t>Business Math</t>
  </si>
  <si>
    <t>PACE</t>
  </si>
  <si>
    <t>Health</t>
  </si>
  <si>
    <t>Basic Intro to Physical Science</t>
  </si>
  <si>
    <t>College Physical Science</t>
  </si>
  <si>
    <t>Basic History of Civilization</t>
  </si>
  <si>
    <t>OT Survey</t>
  </si>
  <si>
    <t>Biblical Studies II</t>
  </si>
  <si>
    <t>Biology Activity Pac</t>
  </si>
  <si>
    <t>Social Studies — US Civics</t>
  </si>
  <si>
    <t>Successful Living</t>
  </si>
  <si>
    <t>Apologetics</t>
  </si>
  <si>
    <t>1098-p</t>
  </si>
  <si>
    <t>1099-p</t>
  </si>
  <si>
    <t>1100-p</t>
  </si>
  <si>
    <t>Missions</t>
  </si>
  <si>
    <t>Basic Intro to Christian Counseling</t>
  </si>
  <si>
    <t>Basic Greek</t>
  </si>
  <si>
    <t>Spanish I</t>
  </si>
  <si>
    <t>Speech</t>
  </si>
  <si>
    <t>Basic Beginning Art</t>
  </si>
  <si>
    <t>Nutrition Science</t>
  </si>
  <si>
    <t>Science</t>
  </si>
  <si>
    <t>Test</t>
  </si>
  <si>
    <t>Word Building</t>
  </si>
  <si>
    <t>Algebra I-2</t>
  </si>
  <si>
    <t>Etymology</t>
  </si>
  <si>
    <t>Social Studies — World Geography</t>
  </si>
  <si>
    <t>Math</t>
  </si>
  <si>
    <t>Algebra I-3</t>
  </si>
  <si>
    <t>Algebra I-4</t>
  </si>
  <si>
    <t>Algebra-II-4</t>
  </si>
  <si>
    <t>Algebra-II-5</t>
  </si>
  <si>
    <t>Algebra-II-6</t>
  </si>
  <si>
    <t>Algebra-II-7</t>
  </si>
  <si>
    <t>Algebra-II-8</t>
  </si>
  <si>
    <t>English</t>
  </si>
  <si>
    <t>Old</t>
  </si>
  <si>
    <t>English I-2</t>
  </si>
  <si>
    <t>Physical Science — 3</t>
  </si>
  <si>
    <t>Physical Science — 4</t>
  </si>
  <si>
    <t>Physical Science — 5</t>
  </si>
  <si>
    <t>Physical Science — 6</t>
  </si>
  <si>
    <t>Physical Science — 7</t>
  </si>
  <si>
    <t>Physical Science — 8</t>
  </si>
  <si>
    <t>Physical Science — 9</t>
  </si>
  <si>
    <t>Physical Science — 10</t>
  </si>
  <si>
    <t>Physical Science — 11</t>
  </si>
  <si>
    <t>Physical Science — 12</t>
  </si>
  <si>
    <t>Literature</t>
  </si>
  <si>
    <t>ID</t>
  </si>
  <si>
    <t>Student</t>
  </si>
  <si>
    <t>Course</t>
  </si>
  <si>
    <t>Added</t>
  </si>
  <si>
    <t>Date</t>
  </si>
  <si>
    <t>Nathanaël</t>
  </si>
  <si>
    <t>Maths</t>
  </si>
  <si>
    <t>Social Studies</t>
  </si>
  <si>
    <t>Staatsinrichting</t>
  </si>
  <si>
    <t>Aron</t>
  </si>
  <si>
    <t>Algebra 1</t>
  </si>
  <si>
    <t>English 1</t>
  </si>
  <si>
    <t>Biology</t>
  </si>
  <si>
    <t>World Geography</t>
  </si>
  <si>
    <t>Music</t>
  </si>
  <si>
    <t>Dani</t>
  </si>
  <si>
    <t>Stijn</t>
  </si>
  <si>
    <t>Sam</t>
  </si>
  <si>
    <t>Geometry</t>
  </si>
  <si>
    <t>English II</t>
  </si>
  <si>
    <t>Physical Science</t>
  </si>
  <si>
    <t>112, 113, 114</t>
  </si>
  <si>
    <t>History of Civilization 1</t>
  </si>
  <si>
    <t>Greek 1</t>
  </si>
  <si>
    <t>125, 126</t>
  </si>
  <si>
    <t>NT Christ History</t>
  </si>
  <si>
    <t>Nathan</t>
  </si>
  <si>
    <t>Kevin</t>
  </si>
  <si>
    <t>American History</t>
  </si>
  <si>
    <t>Eleazar</t>
  </si>
  <si>
    <t>General Maths</t>
  </si>
  <si>
    <t>General English</t>
  </si>
  <si>
    <t>Earth Science</t>
  </si>
  <si>
    <t>World History</t>
  </si>
  <si>
    <t>British &amp; European History</t>
  </si>
  <si>
    <t>NT Survey</t>
  </si>
  <si>
    <t>Lukas</t>
  </si>
  <si>
    <t>Dorcas</t>
  </si>
  <si>
    <t>Noa</t>
  </si>
  <si>
    <t>Deborah</t>
  </si>
  <si>
    <t>Apologetics II</t>
  </si>
  <si>
    <t>State</t>
  </si>
  <si>
    <t>Reason</t>
  </si>
  <si>
    <t>Enrolled</t>
  </si>
  <si>
    <t>Unenrolled</t>
  </si>
  <si>
    <t>Moved to other location</t>
  </si>
  <si>
    <t>Disagreement</t>
  </si>
  <si>
    <t>Graduated</t>
  </si>
  <si>
    <t>Not Applicable</t>
  </si>
  <si>
    <t>Surname</t>
  </si>
  <si>
    <t>SurnamePrefix</t>
  </si>
  <si>
    <t>FirstNames</t>
  </si>
  <si>
    <t>CallName</t>
  </si>
  <si>
    <t>Email</t>
  </si>
  <si>
    <t>DateOfBirth</t>
  </si>
  <si>
    <t>AddressID</t>
  </si>
  <si>
    <t>Status</t>
  </si>
  <si>
    <t>ClassID</t>
  </si>
  <si>
    <t>FirstLanguageID</t>
  </si>
  <si>
    <t>SecondLanguageID</t>
  </si>
  <si>
    <t>StateID</t>
  </si>
  <si>
    <t>Baptized__</t>
  </si>
  <si>
    <t>Denomination</t>
  </si>
  <si>
    <t>Adeleke</t>
  </si>
  <si>
    <t>No</t>
  </si>
  <si>
    <t>Oluwatobi Samuel</t>
  </si>
  <si>
    <t>Oluwatobi</t>
  </si>
  <si>
    <t>Dorcas Mayowa Oluwatofarati Temitope Esther</t>
  </si>
  <si>
    <t>Benschop</t>
  </si>
  <si>
    <t>Jannetje Hendrika</t>
  </si>
  <si>
    <t>Hannah</t>
  </si>
  <si>
    <t>Boulahdaraj</t>
  </si>
  <si>
    <t>Zakariya</t>
  </si>
  <si>
    <t>Brand</t>
  </si>
  <si>
    <t>van den</t>
  </si>
  <si>
    <t>Ezra</t>
  </si>
  <si>
    <t>Lois-Daan</t>
  </si>
  <si>
    <t>Bruijne</t>
  </si>
  <si>
    <t>de</t>
  </si>
  <si>
    <t>Matthias</t>
  </si>
  <si>
    <t>Choi</t>
  </si>
  <si>
    <t>Byeol</t>
  </si>
  <si>
    <t>Gonzalez Rodriguez</t>
  </si>
  <si>
    <t>Eleazar Leonardo</t>
  </si>
  <si>
    <t>Gunnink</t>
  </si>
  <si>
    <t>Johannes David Bernardus</t>
  </si>
  <si>
    <t>Daan</t>
  </si>
  <si>
    <t>Yes, immersion</t>
  </si>
  <si>
    <t>Harkes</t>
  </si>
  <si>
    <t>Marinus Dirk Martijn</t>
  </si>
  <si>
    <t>Jonathan Anne Theodoor</t>
  </si>
  <si>
    <t>Jona</t>
  </si>
  <si>
    <t>Houweling</t>
  </si>
  <si>
    <t>van</t>
  </si>
  <si>
    <t>Benjamin Ezra</t>
  </si>
  <si>
    <t>Ben</t>
  </si>
  <si>
    <t>Noah Christian</t>
  </si>
  <si>
    <t>Noah</t>
  </si>
  <si>
    <t>Emma Rhodé</t>
  </si>
  <si>
    <t>Aimée</t>
  </si>
  <si>
    <t>Kleef</t>
  </si>
  <si>
    <t>Loïs Eunice</t>
  </si>
  <si>
    <t>Loïs</t>
  </si>
  <si>
    <t>Jonathan</t>
  </si>
  <si>
    <t xml:space="preserve">Lee </t>
  </si>
  <si>
    <t>Kang Kevin</t>
  </si>
  <si>
    <t>Myung</t>
  </si>
  <si>
    <t>Matthew</t>
  </si>
  <si>
    <t>Littel</t>
  </si>
  <si>
    <t>Beline Elizabeth</t>
  </si>
  <si>
    <t>Lina</t>
  </si>
  <si>
    <t>Simon Johannes</t>
  </si>
  <si>
    <t>Catharina Johanna</t>
  </si>
  <si>
    <t>Trimp</t>
  </si>
  <si>
    <t>Elbert Daniël</t>
  </si>
  <si>
    <t>Aron Pieter</t>
  </si>
  <si>
    <t>Verwoerd</t>
  </si>
  <si>
    <t>Cornelia Elisabeth</t>
  </si>
  <si>
    <t>Isolde</t>
  </si>
  <si>
    <t>Martinus Gerardus</t>
  </si>
  <si>
    <t>Magnus</t>
  </si>
  <si>
    <t>Visser</t>
  </si>
  <si>
    <t>Yong</t>
  </si>
  <si>
    <t>Joseph Nathan Andrew Jun-Yin</t>
  </si>
  <si>
    <t>Andrew</t>
  </si>
  <si>
    <t>a.yong@ceder.nl</t>
  </si>
  <si>
    <t>Monitor</t>
  </si>
  <si>
    <t>Yes, affusion</t>
  </si>
  <si>
    <t>Bezemer</t>
  </si>
  <si>
    <t>Simon</t>
  </si>
  <si>
    <t>s.bezemer@ceder.nl</t>
  </si>
  <si>
    <t>Supervisor</t>
  </si>
  <si>
    <t>Unknown</t>
  </si>
  <si>
    <t>Hanna</t>
  </si>
  <si>
    <t>h.visser@ceder.nl</t>
  </si>
  <si>
    <t>Annelies</t>
  </si>
  <si>
    <t>a.trimp@ceder.nl</t>
  </si>
  <si>
    <t>Westerhof</t>
  </si>
  <si>
    <t>Petra</t>
  </si>
  <si>
    <t>Johanna</t>
  </si>
  <si>
    <t>Bruin</t>
  </si>
  <si>
    <t>Ada</t>
  </si>
  <si>
    <t>Irene</t>
  </si>
  <si>
    <t>irene7416@naver.com</t>
  </si>
  <si>
    <t>Steenbeek</t>
  </si>
  <si>
    <t>Felicia (?)</t>
  </si>
  <si>
    <t>Anna</t>
  </si>
  <si>
    <t>Joost</t>
  </si>
  <si>
    <t>joostvandenbrand@gmail.com</t>
  </si>
  <si>
    <t>Parent</t>
  </si>
  <si>
    <t xml:space="preserve">F.J. </t>
  </si>
  <si>
    <t>Frannie</t>
  </si>
  <si>
    <t>harkesfj@gmail.com</t>
  </si>
  <si>
    <t>Claudia</t>
  </si>
  <si>
    <t>Dennis</t>
  </si>
  <si>
    <t>Rob</t>
  </si>
  <si>
    <t>rob@vhouwenling.nl</t>
  </si>
  <si>
    <t>Annemieke</t>
  </si>
  <si>
    <t>aplittel@hotmail.com</t>
  </si>
  <si>
    <t>Paul</t>
  </si>
  <si>
    <t>Hugo</t>
  </si>
  <si>
    <t>hugo@trimp.nl</t>
  </si>
  <si>
    <t>Robert</t>
  </si>
  <si>
    <t>robertsteenbeek@hotmail.com</t>
  </si>
  <si>
    <t>Wijngaarden</t>
  </si>
  <si>
    <t>Jan</t>
  </si>
  <si>
    <t>janvanwijngaarden@live.nl</t>
  </si>
  <si>
    <t>claudia@trimp.nl</t>
  </si>
  <si>
    <t>seai81@hotmail.com</t>
  </si>
  <si>
    <t>Hoogendoorn</t>
  </si>
  <si>
    <t>Boaz</t>
  </si>
  <si>
    <t>Refaja</t>
  </si>
  <si>
    <t>Gabriël</t>
  </si>
  <si>
    <t>Chen</t>
  </si>
  <si>
    <t>Sofia</t>
  </si>
  <si>
    <t>Eva</t>
  </si>
  <si>
    <t>Daniel</t>
  </si>
  <si>
    <t>Romeijn</t>
  </si>
  <si>
    <t>Ter Aar</t>
  </si>
  <si>
    <t>Harold</t>
  </si>
  <si>
    <t>Marith</t>
  </si>
  <si>
    <t>StudentID</t>
  </si>
  <si>
    <t>Graduation Type</t>
  </si>
  <si>
    <t>Remarks</t>
  </si>
  <si>
    <t>Count</t>
  </si>
  <si>
    <t>Registration new student</t>
  </si>
  <si>
    <t>To ABCs</t>
  </si>
  <si>
    <t>Left school without graduation</t>
  </si>
  <si>
    <t>Moved to Switzerland</t>
  </si>
  <si>
    <t>Graduation General Certificate</t>
  </si>
  <si>
    <t>Graduation Advanced Certificate</t>
  </si>
  <si>
    <t>To new class</t>
  </si>
  <si>
    <t>To Seniors</t>
  </si>
  <si>
    <t>To Juniors</t>
  </si>
  <si>
    <t>Moved to South-Korea</t>
  </si>
  <si>
    <t>CurrentDenomination</t>
  </si>
  <si>
    <t>Remark</t>
  </si>
  <si>
    <t>Dutch Reformed without certainty of salvation</t>
  </si>
  <si>
    <t>Such as Gereformeerde Gemeente</t>
  </si>
  <si>
    <t>Dutch Reformed with certainty of salvation</t>
  </si>
  <si>
    <t>Evangelical</t>
  </si>
  <si>
    <t>Non-denominational</t>
  </si>
  <si>
    <t>Pentecostal</t>
  </si>
  <si>
    <t>Reformed</t>
  </si>
  <si>
    <t>Other</t>
  </si>
  <si>
    <t>Language</t>
  </si>
  <si>
    <t>Dutch</t>
  </si>
  <si>
    <t>Spanish</t>
  </si>
  <si>
    <t>Mandarin Chinese</t>
  </si>
  <si>
    <t>Moroccan Tamazight</t>
  </si>
  <si>
    <t>Berbers</t>
  </si>
  <si>
    <t>Surname+</t>
  </si>
  <si>
    <t>Address</t>
  </si>
  <si>
    <t>HouseNumber</t>
  </si>
  <si>
    <t>Postal Code</t>
  </si>
  <si>
    <t>City</t>
  </si>
  <si>
    <t>TransactionDate</t>
  </si>
  <si>
    <t>Adres 1</t>
  </si>
  <si>
    <t>3459QA</t>
  </si>
  <si>
    <t>Amsterdam</t>
  </si>
  <si>
    <t>Adres 2</t>
  </si>
  <si>
    <t>4463MM</t>
  </si>
  <si>
    <t>Rotterdam</t>
  </si>
  <si>
    <t>Adres 3</t>
  </si>
  <si>
    <t>3654LR</t>
  </si>
  <si>
    <t>Alphen a/d Rijn</t>
  </si>
  <si>
    <t>Adres 4</t>
  </si>
  <si>
    <t>3767DT</t>
  </si>
  <si>
    <t>Capelle aan den IJssel</t>
  </si>
  <si>
    <t>Adres 5</t>
  </si>
  <si>
    <t>4915YR</t>
  </si>
  <si>
    <t>Boskoop</t>
  </si>
  <si>
    <t>Adres 6</t>
  </si>
  <si>
    <t>3477XR</t>
  </si>
  <si>
    <t>Adres 7</t>
  </si>
  <si>
    <t>4456XW</t>
  </si>
  <si>
    <t>Gouda</t>
  </si>
  <si>
    <t>Adres 8</t>
  </si>
  <si>
    <t>3901QI</t>
  </si>
  <si>
    <t>Woerden</t>
  </si>
  <si>
    <t>Adres 9</t>
  </si>
  <si>
    <t>4750LG</t>
  </si>
  <si>
    <t>Adres 10</t>
  </si>
  <si>
    <t>3278UE</t>
  </si>
  <si>
    <t>Den Haag</t>
  </si>
  <si>
    <t>Adres 11</t>
  </si>
  <si>
    <t>4283RT</t>
  </si>
  <si>
    <t>Leiderdorp</t>
  </si>
  <si>
    <t>Adres 12</t>
  </si>
  <si>
    <t>4953GR</t>
  </si>
  <si>
    <t>Adres 13</t>
  </si>
  <si>
    <t>4493GR</t>
  </si>
  <si>
    <t>Adres 14</t>
  </si>
  <si>
    <t>3065XL</t>
  </si>
  <si>
    <t>Waddinxveen</t>
  </si>
  <si>
    <t>Adres 15</t>
  </si>
  <si>
    <t>3372BL</t>
  </si>
  <si>
    <t>Adres 16</t>
  </si>
  <si>
    <t>3394BE</t>
  </si>
  <si>
    <t>Nieuwpoort</t>
  </si>
  <si>
    <t>Arent van 's-Gravesandestraat</t>
  </si>
  <si>
    <t>3067KA</t>
  </si>
  <si>
    <t>Adres 17</t>
  </si>
  <si>
    <t>Adres 18</t>
  </si>
  <si>
    <t>Adres 19</t>
  </si>
  <si>
    <t>Weekend</t>
  </si>
  <si>
    <t>Holiday</t>
  </si>
  <si>
    <t>DayOff</t>
  </si>
  <si>
    <t>WeekDay</t>
  </si>
  <si>
    <t>Term</t>
  </si>
  <si>
    <t>TermWeek</t>
  </si>
  <si>
    <t>Week</t>
  </si>
  <si>
    <t>Zomervakantie</t>
  </si>
  <si>
    <t>Najaarsvakantie</t>
  </si>
  <si>
    <t>Studiedag</t>
  </si>
  <si>
    <t>Kerstvakantie</t>
  </si>
  <si>
    <t>Voorjaarsvakantie</t>
  </si>
  <si>
    <t>Meivakantie</t>
  </si>
  <si>
    <t>Herfstvakantie</t>
  </si>
  <si>
    <t>PaceCourseID</t>
  </si>
  <si>
    <t>CourseName__</t>
  </si>
  <si>
    <t>PACE_ID</t>
  </si>
  <si>
    <t>Grade</t>
  </si>
  <si>
    <t>Test__</t>
  </si>
  <si>
    <t>Physics</t>
  </si>
  <si>
    <t>Life of Christ II</t>
  </si>
  <si>
    <t>Biology Apologia</t>
  </si>
  <si>
    <t>Algebra II</t>
  </si>
  <si>
    <t>Trigonometry</t>
  </si>
  <si>
    <t>Science Level 6</t>
  </si>
  <si>
    <t>Social Studies Level 6</t>
  </si>
  <si>
    <t>?</t>
  </si>
  <si>
    <t>Grammar</t>
  </si>
  <si>
    <t>Class</t>
  </si>
  <si>
    <t>Kindergarten</t>
  </si>
  <si>
    <t>ABCs</t>
  </si>
  <si>
    <t>Juniors</t>
  </si>
  <si>
    <t>Seniors</t>
  </si>
  <si>
    <t>Name</t>
  </si>
  <si>
    <t>order</t>
  </si>
  <si>
    <t>Christian Studies</t>
  </si>
  <si>
    <t>Core Academic Studies</t>
  </si>
  <si>
    <t>Core Expanded Studies</t>
  </si>
  <si>
    <t>Applied Studies</t>
  </si>
  <si>
    <t>Dutch Language</t>
  </si>
  <si>
    <t>Supplementary Activities</t>
  </si>
  <si>
    <t>Coursework</t>
  </si>
  <si>
    <t>Miscellaneous</t>
  </si>
  <si>
    <t>Colour</t>
  </si>
  <si>
    <t>SubjectLabel</t>
  </si>
  <si>
    <t>Abbreviation</t>
  </si>
  <si>
    <t>Yellow</t>
  </si>
  <si>
    <t>Academic</t>
  </si>
  <si>
    <t>MA</t>
  </si>
  <si>
    <t>Red</t>
  </si>
  <si>
    <t>LA</t>
  </si>
  <si>
    <t>Purple</t>
  </si>
  <si>
    <t>WB</t>
  </si>
  <si>
    <t>DarkRed</t>
  </si>
  <si>
    <t>LI</t>
  </si>
  <si>
    <t>Blue</t>
  </si>
  <si>
    <t>SC</t>
  </si>
  <si>
    <t>Green</t>
  </si>
  <si>
    <t>SS</t>
  </si>
  <si>
    <t>Biblical Studies</t>
  </si>
  <si>
    <t>SandOrange</t>
  </si>
  <si>
    <t>Christian</t>
  </si>
  <si>
    <t>BS</t>
  </si>
  <si>
    <t>Electives</t>
  </si>
  <si>
    <t>Grey</t>
  </si>
  <si>
    <t>Elective</t>
  </si>
  <si>
    <t>EL</t>
  </si>
  <si>
    <t>Orange</t>
  </si>
  <si>
    <t>NL</t>
  </si>
  <si>
    <t>Supplementary</t>
  </si>
  <si>
    <t>White</t>
  </si>
  <si>
    <t>SU</t>
  </si>
  <si>
    <t>Certificate</t>
  </si>
  <si>
    <t>Vocational Level 7</t>
  </si>
  <si>
    <t>General Level 9</t>
  </si>
  <si>
    <t>Intermediate</t>
  </si>
  <si>
    <t>Advanced</t>
  </si>
  <si>
    <t>Advanced Higher</t>
  </si>
  <si>
    <t>Advanced Maths Bias</t>
  </si>
  <si>
    <t>Advanced Social Studies Bias</t>
  </si>
  <si>
    <t>Advanced Science Bias</t>
  </si>
  <si>
    <t>General Level 8</t>
  </si>
  <si>
    <t>Level 2</t>
  </si>
  <si>
    <t>Level 3</t>
  </si>
  <si>
    <t>Level 4</t>
  </si>
  <si>
    <t>Level 5</t>
  </si>
  <si>
    <t>Level 6</t>
  </si>
  <si>
    <t>CertificateID</t>
  </si>
  <si>
    <t>CourseName</t>
  </si>
  <si>
    <t>needChoice</t>
  </si>
  <si>
    <t>SubjectGroup</t>
  </si>
  <si>
    <t>SubjectGroupID</t>
  </si>
  <si>
    <t>StarValue</t>
  </si>
  <si>
    <t>Note</t>
  </si>
  <si>
    <t>Order</t>
  </si>
  <si>
    <t>NT Church History / Life of Christ</t>
  </si>
  <si>
    <t>T</t>
  </si>
  <si>
    <t>Apologetics III</t>
  </si>
  <si>
    <t>F</t>
  </si>
  <si>
    <t>English III / English IV</t>
  </si>
  <si>
    <t>Chemistry / Physics</t>
  </si>
  <si>
    <t>Chemistry</t>
  </si>
  <si>
    <t>History of Civilisation II</t>
  </si>
  <si>
    <t>Further Credit Option</t>
  </si>
  <si>
    <t>Coursework 1</t>
  </si>
  <si>
    <t>Coursework 2</t>
  </si>
  <si>
    <t>Coursework 3</t>
  </si>
  <si>
    <t>Higher Maths</t>
  </si>
  <si>
    <t>College Maths I</t>
  </si>
  <si>
    <t>College Maths II</t>
  </si>
  <si>
    <t>ICT Course</t>
  </si>
  <si>
    <t>English III</t>
  </si>
  <si>
    <t>English Composition II</t>
  </si>
  <si>
    <t>Andere nummers in PACE</t>
  </si>
  <si>
    <t>Economics and Civics</t>
  </si>
  <si>
    <t>Andere naam dan in FCO</t>
  </si>
  <si>
    <t>Biology (Apologia)</t>
  </si>
  <si>
    <t>Maths Level 7</t>
  </si>
  <si>
    <t>English Level 7</t>
  </si>
  <si>
    <t>Beginning Art</t>
  </si>
  <si>
    <t>Word Building Level 7</t>
  </si>
  <si>
    <t>Literature Level 7</t>
  </si>
  <si>
    <t>Science Level 7</t>
  </si>
  <si>
    <t>Social Studies Level 7</t>
  </si>
  <si>
    <t>Word Building Level 8</t>
  </si>
  <si>
    <t>Literature Level 8</t>
  </si>
  <si>
    <t>Biology Level 8</t>
  </si>
  <si>
    <t>British and European History /  World History</t>
  </si>
  <si>
    <t>New Testament Survey</t>
  </si>
  <si>
    <t>Algebra I</t>
  </si>
  <si>
    <t>English I</t>
  </si>
  <si>
    <t>ICCE Literature Level 9 / Literature Level 9</t>
  </si>
  <si>
    <t>Biology Level 9</t>
  </si>
  <si>
    <t>Apologetics I</t>
  </si>
  <si>
    <t>Voor de "Enrollment-Course" van "Apologetics I" moet er een vak gekozen worden, "Apologetics I-A" of "Apologetics I-B". Let op dat de oude namen van deze twee vakken respectievelijk zijn "Apologetics I" en "Apologetics II".</t>
  </si>
  <si>
    <t>Voor de "Enrollment-Course" van "Apologetics II" moet er een vak gekozen worden, "Apologetics I-A" of "Apologetics I-B". Let op dat de oude namen van deze twee vakken respectievelijk zijn "Apologetics I" en "Apologetics II".</t>
  </si>
  <si>
    <t>Old Testament Survey</t>
  </si>
  <si>
    <t>History of Civilisation I</t>
  </si>
  <si>
    <t>ICCE-Alias</t>
  </si>
  <si>
    <t>Level</t>
  </si>
  <si>
    <t>PaceNrStart</t>
  </si>
  <si>
    <t>PaceNrEnd</t>
  </si>
  <si>
    <t>PaceCount__</t>
  </si>
  <si>
    <t>SubjectID</t>
  </si>
  <si>
    <t>Subject_temp</t>
  </si>
  <si>
    <t>SubjectAbb</t>
  </si>
  <si>
    <t>Specification</t>
  </si>
  <si>
    <t>SubjectGroup__</t>
  </si>
  <si>
    <t>CourseType</t>
  </si>
  <si>
    <t>PassThreshold</t>
  </si>
  <si>
    <t>Maths Reading Readiness</t>
  </si>
  <si>
    <t>RR</t>
  </si>
  <si>
    <t>Core</t>
  </si>
  <si>
    <t>Maths Level 1</t>
  </si>
  <si>
    <t>English Level 1</t>
  </si>
  <si>
    <t>EN</t>
  </si>
  <si>
    <t>Word Building Level 1</t>
  </si>
  <si>
    <t>Literature and Creative Writing Level 1</t>
  </si>
  <si>
    <t>LC</t>
  </si>
  <si>
    <t>Science 1</t>
  </si>
  <si>
    <t>Science Level 1</t>
  </si>
  <si>
    <t>Social Studies Level 1</t>
  </si>
  <si>
    <t>Bible Reading Level 1</t>
  </si>
  <si>
    <t>BR</t>
  </si>
  <si>
    <t>Maths Level 2</t>
  </si>
  <si>
    <t>English Level 2</t>
  </si>
  <si>
    <t>Word Building Level 2</t>
  </si>
  <si>
    <t>Literature and Creative Writing Level 2</t>
  </si>
  <si>
    <t>Science 2</t>
  </si>
  <si>
    <t>Science Level 2</t>
  </si>
  <si>
    <t>Social Studies Level 2</t>
  </si>
  <si>
    <t>Bible Reading Level 2</t>
  </si>
  <si>
    <t>Maths Level 3</t>
  </si>
  <si>
    <t>English Level 3</t>
  </si>
  <si>
    <t>Word Building Level 3</t>
  </si>
  <si>
    <t>Literature and Creative Writing Level 3</t>
  </si>
  <si>
    <t>Science 3</t>
  </si>
  <si>
    <t>Science Level 3</t>
  </si>
  <si>
    <t>Social Studies Level 3</t>
  </si>
  <si>
    <t>Bible Reading Level 3</t>
  </si>
  <si>
    <t>Maths Level 4</t>
  </si>
  <si>
    <t>English Level 4</t>
  </si>
  <si>
    <t>Word Building Level 4</t>
  </si>
  <si>
    <t>Literature and Creative Writing Level 4</t>
  </si>
  <si>
    <t>Science 4</t>
  </si>
  <si>
    <t>Science Level 4</t>
  </si>
  <si>
    <t>Social Studies Level 4</t>
  </si>
  <si>
    <t>Bible Reading Level 4</t>
  </si>
  <si>
    <t>Maths Level 5</t>
  </si>
  <si>
    <t>English Level 5</t>
  </si>
  <si>
    <t>Word Building Level 5</t>
  </si>
  <si>
    <t>Literature and Creative Writing Level 5</t>
  </si>
  <si>
    <t>Science 5</t>
  </si>
  <si>
    <t>Science Level 5</t>
  </si>
  <si>
    <t>Social Studies Level 5</t>
  </si>
  <si>
    <t>Bible Reading Level 5</t>
  </si>
  <si>
    <t>Maths Level 6</t>
  </si>
  <si>
    <t>English Level 6</t>
  </si>
  <si>
    <t>Word Building Level 6</t>
  </si>
  <si>
    <t>Literature and Creative Writing Level 6</t>
  </si>
  <si>
    <t>Science 6</t>
  </si>
  <si>
    <t>Bible Reading Level 6</t>
  </si>
  <si>
    <t>BA</t>
  </si>
  <si>
    <t>Alleen even getallen hebben PACE beschikbaar</t>
  </si>
  <si>
    <t>Science 7</t>
  </si>
  <si>
    <t>Deze zes PACEs gaan over "Career" en de volgende zes (79-84) over "American Constitution", maar die worden niet gedaan in Nederland. In plaats daarvan worden drie PACEs "Staatsinrichting" gedaan.</t>
  </si>
  <si>
    <t xml:space="preserve">Bij bestellen rekening houden dat dit 1 boek is. </t>
  </si>
  <si>
    <t>SI</t>
  </si>
  <si>
    <t>Bible Reading Level 7</t>
  </si>
  <si>
    <t xml:space="preserve">Dit bestaat nog niet. Misschien komt er later nog materiaal beschikbaar voor dit niveau. </t>
  </si>
  <si>
    <t>GM</t>
  </si>
  <si>
    <t>Science 8</t>
  </si>
  <si>
    <t>ES</t>
  </si>
  <si>
    <t>Science Level 8</t>
  </si>
  <si>
    <t>British and European History</t>
  </si>
  <si>
    <t>Social Studies I-B</t>
  </si>
  <si>
    <t>SS Level 8 bestaat uit History en Geography. Binnen History moet gekozen worden voor dit vak (British European) OF voor American History. Daarna volgt World Geography</t>
  </si>
  <si>
    <t>UK</t>
  </si>
  <si>
    <t>Social Studies Level 8 British and European History</t>
  </si>
  <si>
    <t>Social Studies II-B</t>
  </si>
  <si>
    <t>Dit was tot 1/1/2024 een optie voor het Enrollment-Course "British and European History /  World History" binnen General (level 8), waarbij de leerling mag kiezen tussen Eur. of World History (alleen de 3rd Edition mocht dan gebruikt worden). Na deze periode is dit een keuzevak geworden binnen Intermediate (level 10) en alleen met de 4th Editions.</t>
  </si>
  <si>
    <t>WH</t>
  </si>
  <si>
    <t>Social Studies Level 9 World History</t>
  </si>
  <si>
    <t>Inactive</t>
  </si>
  <si>
    <t>Biblical Studies I: New Testament Survey</t>
  </si>
  <si>
    <t>NT</t>
  </si>
  <si>
    <t>Mathematics-IA</t>
  </si>
  <si>
    <t>AL</t>
  </si>
  <si>
    <t>French I</t>
  </si>
  <si>
    <t>FR</t>
  </si>
  <si>
    <t>Rosetta Stone Level 9</t>
  </si>
  <si>
    <t>Extended Levels only</t>
  </si>
  <si>
    <t>RS</t>
  </si>
  <si>
    <t>Advanced Art</t>
  </si>
  <si>
    <t>AA</t>
  </si>
  <si>
    <t>Complete Art</t>
  </si>
  <si>
    <t>CA</t>
  </si>
  <si>
    <t>Word Building / Etymology</t>
  </si>
  <si>
    <t>ET</t>
  </si>
  <si>
    <t>Word Building Level 9</t>
  </si>
  <si>
    <t>MU</t>
  </si>
  <si>
    <t>Music Theory/Performance Grade 5</t>
  </si>
  <si>
    <t>MT</t>
  </si>
  <si>
    <t>Music Theory/Performance</t>
  </si>
  <si>
    <t>Is duplicate of 70? Or perhaps the other one is theory and this one is performance</t>
  </si>
  <si>
    <t>SP</t>
  </si>
  <si>
    <t>ICCE Literature Level 9</t>
  </si>
  <si>
    <t>Voor Essays vanaf een bepaald niveau worden er geen sterren gegeven. Dit vak heeft geen lesmateriaal. Het zijn gewoon vier boeken waar een essay voor moet worden geschreven.</t>
  </si>
  <si>
    <t>I9</t>
  </si>
  <si>
    <t>Astronomy</t>
  </si>
  <si>
    <t>AS</t>
  </si>
  <si>
    <t>Science 9</t>
  </si>
  <si>
    <t>Biology / Science Level 9</t>
  </si>
  <si>
    <t>BI</t>
  </si>
  <si>
    <t>Science Level 9</t>
  </si>
  <si>
    <t>HE</t>
  </si>
  <si>
    <t>NS</t>
  </si>
  <si>
    <t>Sport + Health</t>
  </si>
  <si>
    <t>Is een combinatie vak dat alleen met Health samen gedaan kan worden? ON HOLD Informatie moet nog bevestigd worden</t>
  </si>
  <si>
    <t>A.C.E. Training</t>
  </si>
  <si>
    <t>AC</t>
  </si>
  <si>
    <t>Social Studies I-C</t>
  </si>
  <si>
    <t>WG</t>
  </si>
  <si>
    <t>Social Studies Level 9 World Geography</t>
  </si>
  <si>
    <t>AP</t>
  </si>
  <si>
    <t>MI</t>
  </si>
  <si>
    <t>Vroeger kwam dit na BS Level 9 (NTS). Dit is vanaf 2024-01 een keuze voor General en Intermediate geworden (verplichting is vervallen). In plaats daarvan is ICCE Phys Science verplicht geworden in Level 9.</t>
  </si>
  <si>
    <t>SL</t>
  </si>
  <si>
    <t>A.C.E. Training + 30 hours of service</t>
  </si>
  <si>
    <t>AT</t>
  </si>
  <si>
    <t>ECDL Course</t>
  </si>
  <si>
    <t xml:space="preserve">Wat is dit? </t>
  </si>
  <si>
    <t>ED</t>
  </si>
  <si>
    <t>Mathematics-IIA</t>
  </si>
  <si>
    <t>GE</t>
  </si>
  <si>
    <t>Rosetta Stone Level 10</t>
  </si>
  <si>
    <t>Each six stars</t>
  </si>
  <si>
    <t>Music Theory/Performance Grade 6</t>
  </si>
  <si>
    <t>Science 10</t>
  </si>
  <si>
    <t>Dat klopt</t>
  </si>
  <si>
    <t>PS</t>
  </si>
  <si>
    <t>Science Level 10</t>
  </si>
  <si>
    <t>HC</t>
  </si>
  <si>
    <t>Social Studies Level 10</t>
  </si>
  <si>
    <t>Christian Counselling I</t>
  </si>
  <si>
    <t>Correct gespeld? Is Amerikaans materiaal maar Britse spelling?</t>
  </si>
  <si>
    <t>CC</t>
  </si>
  <si>
    <t>Life of Christ I</t>
  </si>
  <si>
    <t>Biblical Studies II: Old Testament Survey ICCE-C25</t>
  </si>
  <si>
    <t>Ik kan alleen PACEs 1-10 vinden, zijn waarschijnlijk oude edities</t>
  </si>
  <si>
    <t>OT</t>
  </si>
  <si>
    <t>Auto Mechanics</t>
  </si>
  <si>
    <t>AM</t>
  </si>
  <si>
    <t>From approved list</t>
  </si>
  <si>
    <t>IC</t>
  </si>
  <si>
    <t>British Literature</t>
  </si>
  <si>
    <t>BL</t>
  </si>
  <si>
    <t>Dutch Language Staatsexamen HAVO</t>
  </si>
  <si>
    <t>Staatsexamen Havo, where is VWO?</t>
  </si>
  <si>
    <t>ICCE Literature 10 Part 1</t>
  </si>
  <si>
    <t xml:space="preserve">Beide vakken hebben dezelfde naam. Specification is niet duidelijk, is moeilijk met twee karakters. Beter is "I10" vs "I09". </t>
  </si>
  <si>
    <t>I1</t>
  </si>
  <si>
    <t>ICCE Literature 10</t>
  </si>
  <si>
    <t>Overlap with the previous one and the same name</t>
  </si>
  <si>
    <t>N.T. Greek I</t>
  </si>
  <si>
    <t>GR</t>
  </si>
  <si>
    <t>Science 11</t>
  </si>
  <si>
    <t>CH</t>
  </si>
  <si>
    <t>Science Level 11</t>
  </si>
  <si>
    <t>Basic New Testament Church History</t>
  </si>
  <si>
    <t>New Testament Church History</t>
  </si>
  <si>
    <t>ICCE-C26</t>
  </si>
  <si>
    <t>NC</t>
  </si>
  <si>
    <t>Accounting (US)</t>
  </si>
  <si>
    <t>Basic Mathematics I</t>
  </si>
  <si>
    <t>CM</t>
  </si>
  <si>
    <t>Basic Mathematics II Precalculus</t>
  </si>
  <si>
    <t>HM</t>
  </si>
  <si>
    <t>TR</t>
  </si>
  <si>
    <t>Where is English Composition I?</t>
  </si>
  <si>
    <t>EC</t>
  </si>
  <si>
    <t>English IV</t>
  </si>
  <si>
    <t xml:space="preserve">mogelijk English IV te kiezen als III nog niet gedaan is? </t>
  </si>
  <si>
    <t>N.T. Greek II</t>
  </si>
  <si>
    <t>Nieuwe nummering?</t>
  </si>
  <si>
    <t>Music Theory/Performance Grade 7/8</t>
  </si>
  <si>
    <t>Basic Intro. to Physical Science</t>
  </si>
  <si>
    <t>CP</t>
  </si>
  <si>
    <t>Science 12</t>
  </si>
  <si>
    <t>PH</t>
  </si>
  <si>
    <t>Science Level 12</t>
  </si>
  <si>
    <t>Social Studies I-A</t>
  </si>
  <si>
    <t>Credit Option</t>
  </si>
  <si>
    <t>AH</t>
  </si>
  <si>
    <t>Social Studies Level 8 American History</t>
  </si>
  <si>
    <t>Civics and Economics</t>
  </si>
  <si>
    <t>Is een combinatie van twee vakken</t>
  </si>
  <si>
    <t>CE</t>
  </si>
  <si>
    <t>Social Studies Level 12</t>
  </si>
  <si>
    <t>Collectivism</t>
  </si>
  <si>
    <t>Over communisme en zo</t>
  </si>
  <si>
    <t>CO</t>
  </si>
  <si>
    <t>Social Studies Level 12 Collectivism</t>
  </si>
  <si>
    <t>Dit staat ook onder FCO, maar is verplicht!?</t>
  </si>
  <si>
    <t>Social Studies Level 11</t>
  </si>
  <si>
    <t>US Constitution</t>
  </si>
  <si>
    <t>UC</t>
  </si>
  <si>
    <t>Social Studies Level 12 US Constitution</t>
  </si>
  <si>
    <t>Christian Counselling II</t>
  </si>
  <si>
    <t>Apologetics option only?</t>
  </si>
  <si>
    <t>Basic Christian Growth</t>
  </si>
  <si>
    <t>Christian Growth</t>
  </si>
  <si>
    <t>ICCE-C48</t>
  </si>
  <si>
    <t>CG</t>
  </si>
  <si>
    <t>Only possible to choose this as an option for Apologetics III</t>
  </si>
  <si>
    <t>New Testament Church History II</t>
  </si>
  <si>
    <t>Active</t>
  </si>
  <si>
    <t>English Composition I</t>
  </si>
  <si>
    <t>Welk level? Staat niet op het blad</t>
  </si>
  <si>
    <t>ICCE Biology</t>
  </si>
  <si>
    <t>IB</t>
  </si>
  <si>
    <t>Life of Christ</t>
  </si>
  <si>
    <t>Dutch Language Staatsexamen VMBO</t>
  </si>
  <si>
    <t>Social Studies Essay General</t>
  </si>
  <si>
    <t>CourseWork</t>
  </si>
  <si>
    <t>Science Essay General</t>
  </si>
  <si>
    <t>Biblical Studies Essay Intermediate</t>
  </si>
  <si>
    <t>English Essay Intermediate</t>
  </si>
  <si>
    <t>Social Studies Essay Intermediate</t>
  </si>
  <si>
    <t>Science Essay Intermediate</t>
  </si>
  <si>
    <t>Biblical Studies Essay Advanced</t>
  </si>
  <si>
    <t>Maths Paper Advanced</t>
  </si>
  <si>
    <t>English Essay Advanced</t>
  </si>
  <si>
    <t>Social Studies Essay Advanced</t>
  </si>
  <si>
    <t>Sciences Project Advanced</t>
  </si>
  <si>
    <t>PR</t>
  </si>
  <si>
    <t>Sciences Essay Advanced</t>
  </si>
  <si>
    <t>English III Dissertation</t>
  </si>
  <si>
    <t>DS</t>
  </si>
  <si>
    <t>Literature Level 9</t>
  </si>
  <si>
    <t xml:space="preserve">Alleen even getallen hebben PACE beschikbaar. 106 is niet meer te verkrijgen, dus is vervangen door Poetry of After the Flood. Daarom staat er ipv 106 "106P". Er moeten zes PACEs in totaal worden gedaan met de keuze uit deze vijf beschikbare, of Poetry 1 of 2, of After the Flood. </t>
  </si>
  <si>
    <t>UK Social Studies</t>
  </si>
  <si>
    <t>Social Studies Level 5 UK</t>
  </si>
  <si>
    <t>US History</t>
  </si>
  <si>
    <t>UH</t>
  </si>
  <si>
    <t>Social Studies Level 10 American History</t>
  </si>
  <si>
    <t>Animal Science</t>
  </si>
  <si>
    <t>Science Level 2 Animal</t>
  </si>
  <si>
    <t>English Grammar</t>
  </si>
  <si>
    <t>EG</t>
  </si>
  <si>
    <t>Social Studies Level 12 World History</t>
  </si>
  <si>
    <t>Algebra I &amp; Geometry I</t>
  </si>
  <si>
    <t>Mathematics-IB</t>
  </si>
  <si>
    <t xml:space="preserve">Dit is een nieuwe optie waarbij de leerling de eerste helft van Algebra 1 en Geometry I mag doen, en dan bij Intermediate de tweede helft van Algebra 1 en Geometry. </t>
  </si>
  <si>
    <t>Algebra I &amp; Geometry II</t>
  </si>
  <si>
    <t>Mathematics-IIB</t>
  </si>
  <si>
    <t>De naamgeving is misleidend, er staat "Geometry II" maar hiermee wordt bedoeld de tweede helft van Geometry</t>
  </si>
  <si>
    <t>ICCE Physical Science</t>
  </si>
  <si>
    <t>AEE Physical Science I-B (part 1)</t>
  </si>
  <si>
    <t xml:space="preserve">Dit is verplicht vanaf 2024-01 voor General. De formele naam is "ICCE …" maar de publisher is "AEE", dit is samen met vak ID=160 één vak. </t>
  </si>
  <si>
    <t>AEE Physical Science</t>
  </si>
  <si>
    <t>AEE Physical Science I-B (part 2)</t>
  </si>
  <si>
    <t xml:space="preserve">Dit is verplicht vanaf 2024-01 voor General. De formele naam is "ICCE …" maar de publisher is "AEE", dit is samen met vak ID=159 één vak. </t>
  </si>
  <si>
    <t>Rosetta Stone Language X</t>
  </si>
  <si>
    <t>Moet ik dit toevoegen voor elke unit en taal?</t>
  </si>
  <si>
    <t>New Testament Church History I</t>
  </si>
  <si>
    <t>Only possible to choose this as an option for Apologetics II</t>
  </si>
  <si>
    <t>Basic Biographies of Christians</t>
  </si>
  <si>
    <t>Biographies of Christians</t>
  </si>
  <si>
    <t>BC</t>
  </si>
  <si>
    <t>College Basic Old Testament Survey</t>
  </si>
  <si>
    <t>College Old Testament Survey</t>
  </si>
  <si>
    <t>COTS</t>
  </si>
  <si>
    <t>U.S. Civics</t>
  </si>
  <si>
    <t>Civics</t>
  </si>
  <si>
    <t>USCI</t>
  </si>
  <si>
    <t>Economics</t>
  </si>
  <si>
    <t>ECON</t>
  </si>
  <si>
    <t>PaceID</t>
  </si>
  <si>
    <t>CourseID</t>
  </si>
  <si>
    <t>Alias__</t>
  </si>
  <si>
    <t>Number__</t>
  </si>
  <si>
    <t>Code__</t>
  </si>
  <si>
    <t>CreditValuePace</t>
  </si>
  <si>
    <t>PassThreshold__</t>
  </si>
  <si>
    <t>MA02RR03PT</t>
  </si>
  <si>
    <t>MA03RR03PT</t>
  </si>
  <si>
    <t>MA04RR03PT</t>
  </si>
  <si>
    <t>MA05RR03PT</t>
  </si>
  <si>
    <t>MA06RR03PT</t>
  </si>
  <si>
    <t>MA07RR03PT</t>
  </si>
  <si>
    <t>MA08RR03PT</t>
  </si>
  <si>
    <t>MA09RR03PT</t>
  </si>
  <si>
    <t>MA10RR03PT</t>
  </si>
  <si>
    <t>MA11RR03PT</t>
  </si>
  <si>
    <t>MA12RR03PT</t>
  </si>
  <si>
    <t>MA01MA03PT</t>
  </si>
  <si>
    <t>MA02MA03PT</t>
  </si>
  <si>
    <t>MA03MA03PT</t>
  </si>
  <si>
    <t>MA04MA03PT</t>
  </si>
  <si>
    <t>MA05MA03PT</t>
  </si>
  <si>
    <t>MA06MA03PT</t>
  </si>
  <si>
    <t>MA07MA03PT</t>
  </si>
  <si>
    <t>MA08MA03PT</t>
  </si>
  <si>
    <t>MA09MA03PT</t>
  </si>
  <si>
    <t>MA10MA03PT</t>
  </si>
  <si>
    <t>MA11MA03PT</t>
  </si>
  <si>
    <t>MA12MA03PT</t>
  </si>
  <si>
    <t>LA01EN03PT</t>
  </si>
  <si>
    <t>LA02EN03PT</t>
  </si>
  <si>
    <t>LA03EN03PT</t>
  </si>
  <si>
    <t>LA04EN03PT</t>
  </si>
  <si>
    <t>LA05EN03PT</t>
  </si>
  <si>
    <t>LA06EN03PT</t>
  </si>
  <si>
    <t>LA07EN03PT</t>
  </si>
  <si>
    <t>LA08EN03PT</t>
  </si>
  <si>
    <t>LA09EN03PT</t>
  </si>
  <si>
    <t>LA10EN03PT</t>
  </si>
  <si>
    <t>LA11EN03PT</t>
  </si>
  <si>
    <t>LA12EN03PT</t>
  </si>
  <si>
    <t>WB01WB03PT</t>
  </si>
  <si>
    <t>WB02WB03PT</t>
  </si>
  <si>
    <t>WB03WB03PT</t>
  </si>
  <si>
    <t>WB04WB03PT</t>
  </si>
  <si>
    <t>WB05WB03PT</t>
  </si>
  <si>
    <t>WB06WB03PT</t>
  </si>
  <si>
    <t>WB07WB03PT</t>
  </si>
  <si>
    <t>WB08WB03PT</t>
  </si>
  <si>
    <t>WB09WB03PT</t>
  </si>
  <si>
    <t>WB10WB03PT</t>
  </si>
  <si>
    <t>WB11WB03PT</t>
  </si>
  <si>
    <t>WB12WB03PT</t>
  </si>
  <si>
    <t>LI01LC03PT</t>
  </si>
  <si>
    <t>LI02LC03PT</t>
  </si>
  <si>
    <t>LI03LC03PT</t>
  </si>
  <si>
    <t>LI04LC03PT</t>
  </si>
  <si>
    <t>LI05LC03PT</t>
  </si>
  <si>
    <t>LI06LC03PT</t>
  </si>
  <si>
    <t>LI07LC03PT</t>
  </si>
  <si>
    <t>LI08LC03PT</t>
  </si>
  <si>
    <t>LI09LC03PT</t>
  </si>
  <si>
    <t>LI10LC03PT</t>
  </si>
  <si>
    <t>LI11LC03PT</t>
  </si>
  <si>
    <t>LI12LC03PT</t>
  </si>
  <si>
    <t>SC01SC03PT</t>
  </si>
  <si>
    <t>SC02SC03PT</t>
  </si>
  <si>
    <t>SC03SC03PT</t>
  </si>
  <si>
    <t>SC04SC03PT</t>
  </si>
  <si>
    <t>SC05SC03PT</t>
  </si>
  <si>
    <t>SC06SC03PT</t>
  </si>
  <si>
    <t>SC07SC03PT</t>
  </si>
  <si>
    <t>SC08SC03PT</t>
  </si>
  <si>
    <t>SC09SC03PT</t>
  </si>
  <si>
    <t>SC10SC03PT</t>
  </si>
  <si>
    <t>SC11SC03PT</t>
  </si>
  <si>
    <t>SC12SC03PT</t>
  </si>
  <si>
    <t>SS01SS03PT</t>
  </si>
  <si>
    <t>SS02SS03PT</t>
  </si>
  <si>
    <t>SS03SS03PT</t>
  </si>
  <si>
    <t>SS04SS03PT</t>
  </si>
  <si>
    <t>SS05SS03PT</t>
  </si>
  <si>
    <t>SS06SS03PT</t>
  </si>
  <si>
    <t>SS07SS03PT</t>
  </si>
  <si>
    <t>SS08SS03PT</t>
  </si>
  <si>
    <t>SS09SS03PT</t>
  </si>
  <si>
    <t>SS10SS03PT</t>
  </si>
  <si>
    <t>SS11SS03PT</t>
  </si>
  <si>
    <t>SS12SS03PT</t>
  </si>
  <si>
    <t>BS01BR03PT</t>
  </si>
  <si>
    <t>BS02BR03PT</t>
  </si>
  <si>
    <t>BS03BR03PT</t>
  </si>
  <si>
    <t>BS04BR03PT</t>
  </si>
  <si>
    <t>BS05BR03PT</t>
  </si>
  <si>
    <t>BS06BR03PT</t>
  </si>
  <si>
    <t>BS07BR03PT</t>
  </si>
  <si>
    <t>BS08BR03PT</t>
  </si>
  <si>
    <t>BS09BR03PT</t>
  </si>
  <si>
    <t>BS10BR03PT</t>
  </si>
  <si>
    <t>BS11BR03PT</t>
  </si>
  <si>
    <t>BS12BR03PT</t>
  </si>
  <si>
    <t>MA13MA03PT</t>
  </si>
  <si>
    <t>MA14MA03PT</t>
  </si>
  <si>
    <t>MA15MA03PT</t>
  </si>
  <si>
    <t>MA16MA03PT</t>
  </si>
  <si>
    <t>MA17MA03PT</t>
  </si>
  <si>
    <t>MA18MA03PT</t>
  </si>
  <si>
    <t>MA19MA03PT</t>
  </si>
  <si>
    <t>MA20MA03PT</t>
  </si>
  <si>
    <t>MA21MA03PT</t>
  </si>
  <si>
    <t>MA22MA03PT</t>
  </si>
  <si>
    <t>MA23MA03PT</t>
  </si>
  <si>
    <t>MA24MA03PT</t>
  </si>
  <si>
    <t>LA13EN03PT</t>
  </si>
  <si>
    <t>LA14EN03PT</t>
  </si>
  <si>
    <t>LA15EN03PT</t>
  </si>
  <si>
    <t>LA16EN03PT</t>
  </si>
  <si>
    <t>LA17EN03PT</t>
  </si>
  <si>
    <t>LA18EN03PT</t>
  </si>
  <si>
    <t>LA19EN03PT</t>
  </si>
  <si>
    <t>LA20EN03PT</t>
  </si>
  <si>
    <t>LA21EN03PT</t>
  </si>
  <si>
    <t>LA22EN03PT</t>
  </si>
  <si>
    <t>LA23EN03PT</t>
  </si>
  <si>
    <t>LA24EN03PT</t>
  </si>
  <si>
    <t>WB13WB03PT</t>
  </si>
  <si>
    <t>WB14WB03PT</t>
  </si>
  <si>
    <t>WB15WB03PT</t>
  </si>
  <si>
    <t>WB16WB03PT</t>
  </si>
  <si>
    <t>WB17WB03PT</t>
  </si>
  <si>
    <t>WB18WB03PT</t>
  </si>
  <si>
    <t>WB19WB03PT</t>
  </si>
  <si>
    <t>WB20WB03PT</t>
  </si>
  <si>
    <t>WB21WB03PT</t>
  </si>
  <si>
    <t>WB22WB03PT</t>
  </si>
  <si>
    <t>WB23WB03PT</t>
  </si>
  <si>
    <t>WB24WB03PT</t>
  </si>
  <si>
    <t>LI13LC03PT</t>
  </si>
  <si>
    <t>LI14LC03PT</t>
  </si>
  <si>
    <t>LI15LC03PT</t>
  </si>
  <si>
    <t>LI16LC03PT</t>
  </si>
  <si>
    <t>LI17LC03PT</t>
  </si>
  <si>
    <t>LI18LC03PT</t>
  </si>
  <si>
    <t>LI19LC03PT</t>
  </si>
  <si>
    <t>LI20LC03PT</t>
  </si>
  <si>
    <t>LI21LC03PT</t>
  </si>
  <si>
    <t>LI22LC03PT</t>
  </si>
  <si>
    <t>LI23LC03PT</t>
  </si>
  <si>
    <t>LI24LC03PT</t>
  </si>
  <si>
    <t>SC13SC03PT</t>
  </si>
  <si>
    <t>SC14SC03PT</t>
  </si>
  <si>
    <t>SC15SC03PT</t>
  </si>
  <si>
    <t>SC16SC03PT</t>
  </si>
  <si>
    <t>SC17SC03PT</t>
  </si>
  <si>
    <t>SC18SC03PT</t>
  </si>
  <si>
    <t>SC19SC03PT</t>
  </si>
  <si>
    <t>SC20SC03PT</t>
  </si>
  <si>
    <t>SC21SC03PT</t>
  </si>
  <si>
    <t>SC22SC03PT</t>
  </si>
  <si>
    <t>SC23SC03PT</t>
  </si>
  <si>
    <t>SC24SC03PT</t>
  </si>
  <si>
    <t>SS13SS03PT</t>
  </si>
  <si>
    <t>SS14SS03PT</t>
  </si>
  <si>
    <t>SS15SS03PT</t>
  </si>
  <si>
    <t>SS16SS03PT</t>
  </si>
  <si>
    <t>SS17SS03PT</t>
  </si>
  <si>
    <t>SS18SS03PT</t>
  </si>
  <si>
    <t>SS19SS03PT</t>
  </si>
  <si>
    <t>SS20SS03PT</t>
  </si>
  <si>
    <t>SS21SS03PT</t>
  </si>
  <si>
    <t>SS22SS03PT</t>
  </si>
  <si>
    <t>SS23SS03PT</t>
  </si>
  <si>
    <t>SS24SS03PT</t>
  </si>
  <si>
    <t>BS13BR03PT</t>
  </si>
  <si>
    <t>BS14BR03PT</t>
  </si>
  <si>
    <t>BS15BR03PT</t>
  </si>
  <si>
    <t>BS16BR03PT</t>
  </si>
  <si>
    <t>BS17BR03PT</t>
  </si>
  <si>
    <t>BS18BR03PT</t>
  </si>
  <si>
    <t>BS19BR03PT</t>
  </si>
  <si>
    <t>BS20BR03PT</t>
  </si>
  <si>
    <t>BS21BR03PT</t>
  </si>
  <si>
    <t>BS22BR03PT</t>
  </si>
  <si>
    <t>BS23BR03PT</t>
  </si>
  <si>
    <t>BS24BR03PT</t>
  </si>
  <si>
    <t>MA25MA03PT</t>
  </si>
  <si>
    <t>MA26MA03PT</t>
  </si>
  <si>
    <t>MA27MA03PT</t>
  </si>
  <si>
    <t>MA28MA03PT</t>
  </si>
  <si>
    <t>MA29MA03PT</t>
  </si>
  <si>
    <t>MA30MA03PT</t>
  </si>
  <si>
    <t>MA31MA03PT</t>
  </si>
  <si>
    <t>MA32MA03PT</t>
  </si>
  <si>
    <t>MA33MA03PT</t>
  </si>
  <si>
    <t>MA34MA03PT</t>
  </si>
  <si>
    <t>MA35MA03PT</t>
  </si>
  <si>
    <t>MA36MA03PT</t>
  </si>
  <si>
    <t>LA25EN03PT</t>
  </si>
  <si>
    <t>LA26EN03PT</t>
  </si>
  <si>
    <t>LA27EN03PT</t>
  </si>
  <si>
    <t>LA28EN03PT</t>
  </si>
  <si>
    <t>LA29EN03PT</t>
  </si>
  <si>
    <t>LA30EN03PT</t>
  </si>
  <si>
    <t>LA31EN03PT</t>
  </si>
  <si>
    <t>LA32EN03PT</t>
  </si>
  <si>
    <t>LA33EN03PT</t>
  </si>
  <si>
    <t>LA34EN03PT</t>
  </si>
  <si>
    <t>LA35EN03PT</t>
  </si>
  <si>
    <t>LA36EN03PT</t>
  </si>
  <si>
    <t>WB25WB03PT</t>
  </si>
  <si>
    <t>WB26WB03PT</t>
  </si>
  <si>
    <t>WB27WB03PT</t>
  </si>
  <si>
    <t>WB28WB03PT</t>
  </si>
  <si>
    <t>WB29WB03PT</t>
  </si>
  <si>
    <t>WB30WB03PT</t>
  </si>
  <si>
    <t>WB31WB03PT</t>
  </si>
  <si>
    <t>WB32WB03PT</t>
  </si>
  <si>
    <t>WB33WB03PT</t>
  </si>
  <si>
    <t>WB34WB03PT</t>
  </si>
  <si>
    <t>WB35WB03PT</t>
  </si>
  <si>
    <t>WB36WB03PT</t>
  </si>
  <si>
    <t>LI25LC03PT</t>
  </si>
  <si>
    <t>LI26LC03PT</t>
  </si>
  <si>
    <t>LI27LC03PT</t>
  </si>
  <si>
    <t>LI28LC03PT</t>
  </si>
  <si>
    <t>LI29LC03PT</t>
  </si>
  <si>
    <t>LI30LC03PT</t>
  </si>
  <si>
    <t>LI31LC03PT</t>
  </si>
  <si>
    <t>LI32LC03PT</t>
  </si>
  <si>
    <t>LI33LC03PT</t>
  </si>
  <si>
    <t>LI34LC03PT</t>
  </si>
  <si>
    <t>LI35LC03PT</t>
  </si>
  <si>
    <t>LI36LC03PT</t>
  </si>
  <si>
    <t>SC25SC03PT</t>
  </si>
  <si>
    <t>SC26SC03PT</t>
  </si>
  <si>
    <t>SC27SC03PT</t>
  </si>
  <si>
    <t>SC28SC03PT</t>
  </si>
  <si>
    <t>SC29SC03PT</t>
  </si>
  <si>
    <t>SC30SC03PT</t>
  </si>
  <si>
    <t>SC31SC03PT</t>
  </si>
  <si>
    <t>SC32SC03PT</t>
  </si>
  <si>
    <t>SC33SC03PT</t>
  </si>
  <si>
    <t>SC34SC03PT</t>
  </si>
  <si>
    <t>SC35SC03PT</t>
  </si>
  <si>
    <t>SC36SC03PT</t>
  </si>
  <si>
    <t>SS25SS03PT</t>
  </si>
  <si>
    <t>SS26SS03PT</t>
  </si>
  <si>
    <t>SS27SS03PT</t>
  </si>
  <si>
    <t>SS28SS03PT</t>
  </si>
  <si>
    <t>SS29SS03PT</t>
  </si>
  <si>
    <t>SS30SS03PT</t>
  </si>
  <si>
    <t>SS31SS03PT</t>
  </si>
  <si>
    <t>SS32SS03PT</t>
  </si>
  <si>
    <t>SS33SS03PT</t>
  </si>
  <si>
    <t>SS34SS03PT</t>
  </si>
  <si>
    <t>SS35SS03PT</t>
  </si>
  <si>
    <t>SS36SS03PT</t>
  </si>
  <si>
    <t>BS25BR03PT</t>
  </si>
  <si>
    <t>BS26BR03PT</t>
  </si>
  <si>
    <t>BS27BR03PT</t>
  </si>
  <si>
    <t>BS28BR03PT</t>
  </si>
  <si>
    <t>BS29BR03PT</t>
  </si>
  <si>
    <t>BS30BR03PT</t>
  </si>
  <si>
    <t>BS31BR03PT</t>
  </si>
  <si>
    <t>BS32BR03PT</t>
  </si>
  <si>
    <t>BS33BR03PT</t>
  </si>
  <si>
    <t>BS34BR03PT</t>
  </si>
  <si>
    <t>BS35BR03PT</t>
  </si>
  <si>
    <t>BS36BR03PT</t>
  </si>
  <si>
    <t>MA37MA03PT</t>
  </si>
  <si>
    <t>MA38MA03PT</t>
  </si>
  <si>
    <t>MA39MA03PT</t>
  </si>
  <si>
    <t>MA40MA03PT</t>
  </si>
  <si>
    <t>MA41MA03PT</t>
  </si>
  <si>
    <t>MA42MA03PT</t>
  </si>
  <si>
    <t>MA43MA03PT</t>
  </si>
  <si>
    <t>MA44MA03PT</t>
  </si>
  <si>
    <t>MA45MA03PT</t>
  </si>
  <si>
    <t>MA46MA03PT</t>
  </si>
  <si>
    <t>MA47MA03PT</t>
  </si>
  <si>
    <t>MA48MA03PT</t>
  </si>
  <si>
    <t>LA37EN03PT</t>
  </si>
  <si>
    <t>LA38EN03PT</t>
  </si>
  <si>
    <t>LA39EN03PT</t>
  </si>
  <si>
    <t>LA40EN03PT</t>
  </si>
  <si>
    <t>LA41EN03PT</t>
  </si>
  <si>
    <t>LA42EN03PT</t>
  </si>
  <si>
    <t>LA43EN03PT</t>
  </si>
  <si>
    <t>LA44EN03PT</t>
  </si>
  <si>
    <t>LA45EN03PT</t>
  </si>
  <si>
    <t>LA46EN03PT</t>
  </si>
  <si>
    <t>LA47EN03PT</t>
  </si>
  <si>
    <t>LA48EN03PT</t>
  </si>
  <si>
    <t>WB37WB03PT</t>
  </si>
  <si>
    <t>WB38WB03PT</t>
  </si>
  <si>
    <t>WB39WB03PT</t>
  </si>
  <si>
    <t>WB40WB03PT</t>
  </si>
  <si>
    <t>WB41WB03PT</t>
  </si>
  <si>
    <t>WB42WB03PT</t>
  </si>
  <si>
    <t>WB43WB03PT</t>
  </si>
  <si>
    <t>WB44WB03PT</t>
  </si>
  <si>
    <t>WB45WB03PT</t>
  </si>
  <si>
    <t>WB46WB03PT</t>
  </si>
  <si>
    <t>WB47WB03PT</t>
  </si>
  <si>
    <t>WB48WB03PT</t>
  </si>
  <si>
    <t>LI37LC03PT</t>
  </si>
  <si>
    <t>LI38LC03PT</t>
  </si>
  <si>
    <t>LI39LC03PT</t>
  </si>
  <si>
    <t>LI40LC03PT</t>
  </si>
  <si>
    <t>LI41LC03PT</t>
  </si>
  <si>
    <t>LI42LC03PT</t>
  </si>
  <si>
    <t>LI43LC03PT</t>
  </si>
  <si>
    <t>LI44LC03PT</t>
  </si>
  <si>
    <t>LI45LC03PT</t>
  </si>
  <si>
    <t>LI46LC03PT</t>
  </si>
  <si>
    <t>LI47LC03PT</t>
  </si>
  <si>
    <t>LI48LC03PT</t>
  </si>
  <si>
    <t>SC37SC03PT</t>
  </si>
  <si>
    <t>SC38SC03PT</t>
  </si>
  <si>
    <t>SC39SC03PT</t>
  </si>
  <si>
    <t>SC40SC03PT</t>
  </si>
  <si>
    <t>SC41SC03PT</t>
  </si>
  <si>
    <t>SC42SC03PT</t>
  </si>
  <si>
    <t>SC43SC03PT</t>
  </si>
  <si>
    <t>SC44SC03PT</t>
  </si>
  <si>
    <t>SC45SC03PT</t>
  </si>
  <si>
    <t>SC46SC03PT</t>
  </si>
  <si>
    <t>SC47SC03PT</t>
  </si>
  <si>
    <t>SC48SC03PT</t>
  </si>
  <si>
    <t>SS37SS03PT</t>
  </si>
  <si>
    <t>SS38SS03PT</t>
  </si>
  <si>
    <t>SS39SS03PT</t>
  </si>
  <si>
    <t>SS40SS03PT</t>
  </si>
  <si>
    <t>SS41SS03PT</t>
  </si>
  <si>
    <t>SS42SS03PT</t>
  </si>
  <si>
    <t>SS43SS03PT</t>
  </si>
  <si>
    <t>SS44SS03PT</t>
  </si>
  <si>
    <t>SS45SS03PT</t>
  </si>
  <si>
    <t>SS46SS03PT</t>
  </si>
  <si>
    <t>SS47SS03PT</t>
  </si>
  <si>
    <t>SS48SS03PT</t>
  </si>
  <si>
    <t>BS37BR03PT</t>
  </si>
  <si>
    <t>BS38BR03PT</t>
  </si>
  <si>
    <t>BS39BR03PT</t>
  </si>
  <si>
    <t>BS40BR03PT</t>
  </si>
  <si>
    <t>BS41BR03PT</t>
  </si>
  <si>
    <t>BS42BR03PT</t>
  </si>
  <si>
    <t>BS43BR03PT</t>
  </si>
  <si>
    <t>BS44BR03PT</t>
  </si>
  <si>
    <t>BS45BR03PT</t>
  </si>
  <si>
    <t>BS46BR03PT</t>
  </si>
  <si>
    <t>BS47BR03PT</t>
  </si>
  <si>
    <t>BS48BR03PT</t>
  </si>
  <si>
    <t>MA49MA03PT</t>
  </si>
  <si>
    <t>MA50MA03PT</t>
  </si>
  <si>
    <t>MA51MA03PT</t>
  </si>
  <si>
    <t>MA52MA03PT</t>
  </si>
  <si>
    <t>MA53MA03PT</t>
  </si>
  <si>
    <t>MA54MA03PT</t>
  </si>
  <si>
    <t>MA55MA03PT</t>
  </si>
  <si>
    <t>MA56MA03PT</t>
  </si>
  <si>
    <t>MA57MA03PT</t>
  </si>
  <si>
    <t>MA58MA03PT</t>
  </si>
  <si>
    <t>MA59MA03PT</t>
  </si>
  <si>
    <t>MA60MA03PT</t>
  </si>
  <si>
    <t>LA49EN03PT</t>
  </si>
  <si>
    <t>LA50EN03PT</t>
  </si>
  <si>
    <t>LA51EN03PT</t>
  </si>
  <si>
    <t>LA52EN03PT</t>
  </si>
  <si>
    <t>LA53EN03PT</t>
  </si>
  <si>
    <t>LA54EN03PT</t>
  </si>
  <si>
    <t>LA55EN03PT</t>
  </si>
  <si>
    <t>LA56EN03PT</t>
  </si>
  <si>
    <t>LA57EN03PT</t>
  </si>
  <si>
    <t>LA58EN03PT</t>
  </si>
  <si>
    <t>LA59EN03PT</t>
  </si>
  <si>
    <t>LA60EN03PT</t>
  </si>
  <si>
    <t>WB49WB03PT</t>
  </si>
  <si>
    <t>WB50WB03PT</t>
  </si>
  <si>
    <t>WB51WB03PT</t>
  </si>
  <si>
    <t>WB52WB03PT</t>
  </si>
  <si>
    <t>WB53WB03PT</t>
  </si>
  <si>
    <t>WB54WB03PT</t>
  </si>
  <si>
    <t>WB55WB03PT</t>
  </si>
  <si>
    <t>WB56WB03PT</t>
  </si>
  <si>
    <t>WB57WB03PT</t>
  </si>
  <si>
    <t>WB58WB03PT</t>
  </si>
  <si>
    <t>WB59WB03PT</t>
  </si>
  <si>
    <t>WB60WB03PT</t>
  </si>
  <si>
    <t>LI49LC03PT</t>
  </si>
  <si>
    <t>LI50LC03PT</t>
  </si>
  <si>
    <t>LI51LC03PT</t>
  </si>
  <si>
    <t>LI52LC03PT</t>
  </si>
  <si>
    <t>LI53LC03PT</t>
  </si>
  <si>
    <t>LI54LC03PT</t>
  </si>
  <si>
    <t>LI55LC03PT</t>
  </si>
  <si>
    <t>LI56LC03PT</t>
  </si>
  <si>
    <t>LI57LC03PT</t>
  </si>
  <si>
    <t>LI58LC03PT</t>
  </si>
  <si>
    <t>LI59LC03PT</t>
  </si>
  <si>
    <t>LI60LC03PT</t>
  </si>
  <si>
    <t>SC49SC03PT</t>
  </si>
  <si>
    <t>SC50SC03PT</t>
  </si>
  <si>
    <t>SC51SC03PT</t>
  </si>
  <si>
    <t>SC52SC03PT</t>
  </si>
  <si>
    <t>SC53SC03PT</t>
  </si>
  <si>
    <t>SC54SC03PT</t>
  </si>
  <si>
    <t>SC55SC03PT</t>
  </si>
  <si>
    <t>SC56SC03PT</t>
  </si>
  <si>
    <t>SC57SC03PT</t>
  </si>
  <si>
    <t>SC58SC03PT</t>
  </si>
  <si>
    <t>SC59SC03PT</t>
  </si>
  <si>
    <t>SC60SC03PT</t>
  </si>
  <si>
    <t>SS49SS03PT</t>
  </si>
  <si>
    <t>SS50SS03PT</t>
  </si>
  <si>
    <t>SS51SS03PT</t>
  </si>
  <si>
    <t>SS52SS03PT</t>
  </si>
  <si>
    <t>SS53SS03PT</t>
  </si>
  <si>
    <t>SS54SS03PT</t>
  </si>
  <si>
    <t>SS55SS03PT</t>
  </si>
  <si>
    <t>SS56SS03PT</t>
  </si>
  <si>
    <t>SS57SS03PT</t>
  </si>
  <si>
    <t>SS58SS03PT</t>
  </si>
  <si>
    <t>SS59SS03PT</t>
  </si>
  <si>
    <t>SS60SS03PT</t>
  </si>
  <si>
    <t>BS49BR03PT</t>
  </si>
  <si>
    <t>BS50BR03PT</t>
  </si>
  <si>
    <t>BS51BR03PT</t>
  </si>
  <si>
    <t>BS52BR03PT</t>
  </si>
  <si>
    <t>BS53BR03PT</t>
  </si>
  <si>
    <t>BS54BR03PT</t>
  </si>
  <si>
    <t>BS55BR03PT</t>
  </si>
  <si>
    <t>BS56BR03PT</t>
  </si>
  <si>
    <t>BS57BR03PT</t>
  </si>
  <si>
    <t>BS58BR03PT</t>
  </si>
  <si>
    <t>BS59BR03PT</t>
  </si>
  <si>
    <t>BS60BR03PT</t>
  </si>
  <si>
    <t>MA61MA03PT</t>
  </si>
  <si>
    <t>MA62MA03PT</t>
  </si>
  <si>
    <t>MA63MA03PT</t>
  </si>
  <si>
    <t>MA64MA03PT</t>
  </si>
  <si>
    <t>MA65MA03PT</t>
  </si>
  <si>
    <t>MA66MA03PT</t>
  </si>
  <si>
    <t>MA67MA03PT</t>
  </si>
  <si>
    <t>MA68MA03PT</t>
  </si>
  <si>
    <t>MA69MA03PT</t>
  </si>
  <si>
    <t>MA70MA03PT</t>
  </si>
  <si>
    <t>MA71MA03PT</t>
  </si>
  <si>
    <t>MA72MA03PT</t>
  </si>
  <si>
    <t>LA61EN03PT</t>
  </si>
  <si>
    <t>LA62EN03PT</t>
  </si>
  <si>
    <t>LA63EN03PT</t>
  </si>
  <si>
    <t>LA64EN03PT</t>
  </si>
  <si>
    <t>LA65EN03PT</t>
  </si>
  <si>
    <t>LA66EN03PT</t>
  </si>
  <si>
    <t>LA67EN03PT</t>
  </si>
  <si>
    <t>LA68EN03PT</t>
  </si>
  <si>
    <t>LA69EN03PT</t>
  </si>
  <si>
    <t>LA70EN03PT</t>
  </si>
  <si>
    <t>LA71EN03PT</t>
  </si>
  <si>
    <t>LA72EN03PT</t>
  </si>
  <si>
    <t>WB61WB03PT</t>
  </si>
  <si>
    <t>WB62WB03PT</t>
  </si>
  <si>
    <t>WB63WB03PT</t>
  </si>
  <si>
    <t>WB64WB03PT</t>
  </si>
  <si>
    <t>WB65WB03PT</t>
  </si>
  <si>
    <t>WB66WB03PT</t>
  </si>
  <si>
    <t>WB67WB03PT</t>
  </si>
  <si>
    <t>WB68WB03PT</t>
  </si>
  <si>
    <t>WB69WB03PT</t>
  </si>
  <si>
    <t>WB70WB03PT</t>
  </si>
  <si>
    <t>WB71WB03PT</t>
  </si>
  <si>
    <t>WB72WB03PT</t>
  </si>
  <si>
    <t>LI61LC03PT</t>
  </si>
  <si>
    <t>LI62LC03PT</t>
  </si>
  <si>
    <t>LI63LC03PT</t>
  </si>
  <si>
    <t>LI64LC03PT</t>
  </si>
  <si>
    <t>LI65LC03PT</t>
  </si>
  <si>
    <t>LI66LC03PT</t>
  </si>
  <si>
    <t>LI67LC03PT</t>
  </si>
  <si>
    <t>LI68LC03PT</t>
  </si>
  <si>
    <t>LI69LC03PT</t>
  </si>
  <si>
    <t>LI70LC03PT</t>
  </si>
  <si>
    <t>LI71LC03PT</t>
  </si>
  <si>
    <t>LI72LC03PT</t>
  </si>
  <si>
    <t>SC61SC03PT</t>
  </si>
  <si>
    <t>SC62SC03PT</t>
  </si>
  <si>
    <t>SC63SC03PT</t>
  </si>
  <si>
    <t>SC64SC03PT</t>
  </si>
  <si>
    <t>SC65SC03PT</t>
  </si>
  <si>
    <t>SC66SC03PT</t>
  </si>
  <si>
    <t>SC67SC03PT</t>
  </si>
  <si>
    <t>SC68SC03PT</t>
  </si>
  <si>
    <t>SC69SC03PT</t>
  </si>
  <si>
    <t>SC70SC03PT</t>
  </si>
  <si>
    <t>SC71SC03PT</t>
  </si>
  <si>
    <t>SC72SC03PT</t>
  </si>
  <si>
    <t>SS61SS03PT</t>
  </si>
  <si>
    <t>SS62SS03PT</t>
  </si>
  <si>
    <t>SS63SS03PT</t>
  </si>
  <si>
    <t>SS64SS03PT</t>
  </si>
  <si>
    <t>SS65SS03PT</t>
  </si>
  <si>
    <t>SS66SS03PT</t>
  </si>
  <si>
    <t>SS67SS03PT</t>
  </si>
  <si>
    <t>SS68SS03PT</t>
  </si>
  <si>
    <t>SS69SS03PT</t>
  </si>
  <si>
    <t>SS70SS03PT</t>
  </si>
  <si>
    <t>SS71SS03PT</t>
  </si>
  <si>
    <t>SS72SS03PT</t>
  </si>
  <si>
    <t>BS61BR03PT</t>
  </si>
  <si>
    <t>BS62BR03PT</t>
  </si>
  <si>
    <t>BS63BR03PT</t>
  </si>
  <si>
    <t>BS64BR03PT</t>
  </si>
  <si>
    <t>BS65BR03PT</t>
  </si>
  <si>
    <t>BS66BR03PT</t>
  </si>
  <si>
    <t>BS67BR03PT</t>
  </si>
  <si>
    <t>BS68BR03PT</t>
  </si>
  <si>
    <t>BS69BR03PT</t>
  </si>
  <si>
    <t>BS70BR03PT</t>
  </si>
  <si>
    <t>BS71BR03PT</t>
  </si>
  <si>
    <t>BS72BR03PT</t>
  </si>
  <si>
    <t>MA73MA03PT</t>
  </si>
  <si>
    <t>MA74MA03PT</t>
  </si>
  <si>
    <t>MA75MA03PT</t>
  </si>
  <si>
    <t>MA76MA03PT</t>
  </si>
  <si>
    <t>MA77MA03PT</t>
  </si>
  <si>
    <t>MA78MA03PT</t>
  </si>
  <si>
    <t>MA79MA03PT</t>
  </si>
  <si>
    <t>MA80MA03PT</t>
  </si>
  <si>
    <t>MA81MA03PT</t>
  </si>
  <si>
    <t>MA82MA03PT</t>
  </si>
  <si>
    <t>MA83MA03PT</t>
  </si>
  <si>
    <t>MA84MA03PT</t>
  </si>
  <si>
    <t>LA73EN03PT</t>
  </si>
  <si>
    <t>LA74EN03PT</t>
  </si>
  <si>
    <t>LA75EN03PT</t>
  </si>
  <si>
    <t>LA76EN03PT</t>
  </si>
  <si>
    <t>LA77EN03PT</t>
  </si>
  <si>
    <t>LA78EN03PT</t>
  </si>
  <si>
    <t>LA79EN03PT</t>
  </si>
  <si>
    <t>LA80EN03PT</t>
  </si>
  <si>
    <t>LA81EN03PT</t>
  </si>
  <si>
    <t>LA82EN03PT</t>
  </si>
  <si>
    <t>LA83EN03PT</t>
  </si>
  <si>
    <t>LA84EN03PT</t>
  </si>
  <si>
    <t>WB73BA03PT</t>
  </si>
  <si>
    <t>WB74BA03PT</t>
  </si>
  <si>
    <t>WB75BA03PT</t>
  </si>
  <si>
    <t>WB76BA03PT</t>
  </si>
  <si>
    <t>WB77BA03PT</t>
  </si>
  <si>
    <t>WB78BA03PT</t>
  </si>
  <si>
    <t>WB79BA03PT</t>
  </si>
  <si>
    <t>WB80BA03PT</t>
  </si>
  <si>
    <t>WB81BA03PT</t>
  </si>
  <si>
    <t>WB82BA03PT</t>
  </si>
  <si>
    <t>WB83BA03PT</t>
  </si>
  <si>
    <t>WB84BA03PT</t>
  </si>
  <si>
    <t>WB73WB03PT</t>
  </si>
  <si>
    <t>WB74WB03PT</t>
  </si>
  <si>
    <t>WB75WB03PT</t>
  </si>
  <si>
    <t>WB76WB03PT</t>
  </si>
  <si>
    <t>WB77WB03PT</t>
  </si>
  <si>
    <t>WB78WB03PT</t>
  </si>
  <si>
    <t>WB79WB03PT</t>
  </si>
  <si>
    <t>WB80WB03PT</t>
  </si>
  <si>
    <t>WB81WB03PT</t>
  </si>
  <si>
    <t>WB82WB03PT</t>
  </si>
  <si>
    <t>WB83WB03PT</t>
  </si>
  <si>
    <t>WB84WB03PT</t>
  </si>
  <si>
    <t>LI74LC03PT</t>
  </si>
  <si>
    <t>LI76LC03PT</t>
  </si>
  <si>
    <t>LI78LC03PT</t>
  </si>
  <si>
    <t>LI80LC03PT</t>
  </si>
  <si>
    <t>LI82LC03PT</t>
  </si>
  <si>
    <t>LI84LC03PT</t>
  </si>
  <si>
    <t>SC73SC03PT</t>
  </si>
  <si>
    <t>SC74SC03PT</t>
  </si>
  <si>
    <t>SC75SC03PT</t>
  </si>
  <si>
    <t>SC76SC03PT</t>
  </si>
  <si>
    <t>SC77SC03PT</t>
  </si>
  <si>
    <t>SC78SC03PT</t>
  </si>
  <si>
    <t>SC79SC03PT</t>
  </si>
  <si>
    <t>SC80SC03PT</t>
  </si>
  <si>
    <t>SC81SC03PT</t>
  </si>
  <si>
    <t>SC82SC03PT</t>
  </si>
  <si>
    <t>SC83SC03PT</t>
  </si>
  <si>
    <t>SC84SC03PT</t>
  </si>
  <si>
    <t>SS73SS03PT</t>
  </si>
  <si>
    <t>SS74SS03PT</t>
  </si>
  <si>
    <t>SS75SS03PT</t>
  </si>
  <si>
    <t>SS76SS03PT</t>
  </si>
  <si>
    <t>SS77SS03PT</t>
  </si>
  <si>
    <t>SS78SS03PT</t>
  </si>
  <si>
    <t>SS01SI03PT</t>
  </si>
  <si>
    <t>SS02SI03PT</t>
  </si>
  <si>
    <t>SS03SI03PT</t>
  </si>
  <si>
    <t>BI73BR03PT</t>
  </si>
  <si>
    <t>BI74BR03PT</t>
  </si>
  <si>
    <t>BI75BR03PT</t>
  </si>
  <si>
    <t>BI76BR03PT</t>
  </si>
  <si>
    <t>BI77BR03PT</t>
  </si>
  <si>
    <t>BI78BR03PT</t>
  </si>
  <si>
    <t>BI79BR03PT</t>
  </si>
  <si>
    <t>BI80BR03PT</t>
  </si>
  <si>
    <t>BI81BR03PT</t>
  </si>
  <si>
    <t>BI82BR03PT</t>
  </si>
  <si>
    <t>BI83BR03PT</t>
  </si>
  <si>
    <t>BI84BR03PT</t>
  </si>
  <si>
    <t>MA85GM03PT</t>
  </si>
  <si>
    <t>MA86GM03PT</t>
  </si>
  <si>
    <t>MA87GM03PT</t>
  </si>
  <si>
    <t>MA88GM03PT</t>
  </si>
  <si>
    <t>MA89GM03PT</t>
  </si>
  <si>
    <t>MA90GM03PT</t>
  </si>
  <si>
    <t>MA91GM03PT</t>
  </si>
  <si>
    <t>MA92GM03PT</t>
  </si>
  <si>
    <t>MA93GM03PT</t>
  </si>
  <si>
    <t>MA94GM03PT</t>
  </si>
  <si>
    <t>MA95GM03PT</t>
  </si>
  <si>
    <t>MA96GM03PT</t>
  </si>
  <si>
    <t>LA85EN03PT</t>
  </si>
  <si>
    <t>LA86EN03PT</t>
  </si>
  <si>
    <t>LA87EN03PT</t>
  </si>
  <si>
    <t>LA88EN03PT</t>
  </si>
  <si>
    <t>LA89EN03PT</t>
  </si>
  <si>
    <t>LA90EN03PT</t>
  </si>
  <si>
    <t>LA91EN03PT</t>
  </si>
  <si>
    <t>LA92EN03PT</t>
  </si>
  <si>
    <t>LA93EN03PT</t>
  </si>
  <si>
    <t>LA94EN03PT</t>
  </si>
  <si>
    <t>LA95EN03PT</t>
  </si>
  <si>
    <t>LA96EN03PT</t>
  </si>
  <si>
    <t>WB85WB03PT</t>
  </si>
  <si>
    <t>WB86WB03PT</t>
  </si>
  <si>
    <t>WB87WB03PT</t>
  </si>
  <si>
    <t>WB88WB03PT</t>
  </si>
  <si>
    <t>WB89WB03PT</t>
  </si>
  <si>
    <t>WB90WB03PT</t>
  </si>
  <si>
    <t>WB91WB03PT</t>
  </si>
  <si>
    <t>WB92WB03PT</t>
  </si>
  <si>
    <t>WB93WB03PT</t>
  </si>
  <si>
    <t>WB94WB03PT</t>
  </si>
  <si>
    <t>WB95WB03PT</t>
  </si>
  <si>
    <t>WB96WB03PT</t>
  </si>
  <si>
    <t>LI86LC03PT</t>
  </si>
  <si>
    <t>LI88LC03PT</t>
  </si>
  <si>
    <t>LI90LC03PT</t>
  </si>
  <si>
    <t>LI92LC03PT</t>
  </si>
  <si>
    <t>LI94LC03PT</t>
  </si>
  <si>
    <t>LI96LC03PT</t>
  </si>
  <si>
    <t>SC85ES03PT</t>
  </si>
  <si>
    <t>SC86ES03PT</t>
  </si>
  <si>
    <t>SC87ES03PT</t>
  </si>
  <si>
    <t>SC88ES03PT</t>
  </si>
  <si>
    <t>SC89ES03PT</t>
  </si>
  <si>
    <t>SC90ES03PT</t>
  </si>
  <si>
    <t>SC91ES03PT</t>
  </si>
  <si>
    <t>SC92ES03PT</t>
  </si>
  <si>
    <t>SC93ES03PT</t>
  </si>
  <si>
    <t>SC94ES03PT</t>
  </si>
  <si>
    <t>SC95ES03PT</t>
  </si>
  <si>
    <t>SC96ES03PT</t>
  </si>
  <si>
    <t>SS85UK03PT</t>
  </si>
  <si>
    <t>SS86UK03PT</t>
  </si>
  <si>
    <t>SS87UK03PT</t>
  </si>
  <si>
    <t>SS88UK03PT</t>
  </si>
  <si>
    <t>SS89UK03PT</t>
  </si>
  <si>
    <t>SS90UK03PT</t>
  </si>
  <si>
    <t>SS91UK03PT</t>
  </si>
  <si>
    <t>SS92UK03PT</t>
  </si>
  <si>
    <t>SS93UK03PT</t>
  </si>
  <si>
    <t>SS94UK03PT</t>
  </si>
  <si>
    <t>SS95UK03PT</t>
  </si>
  <si>
    <t>SS96UK03PT</t>
  </si>
  <si>
    <t>World History 3rd Edition</t>
  </si>
  <si>
    <t>SS85WH03PT</t>
  </si>
  <si>
    <t>SS86WH03PT</t>
  </si>
  <si>
    <t>SS87WH03PT</t>
  </si>
  <si>
    <t>SS88WH03PT</t>
  </si>
  <si>
    <t>SS89WH03PT</t>
  </si>
  <si>
    <t>SS90WH03PT</t>
  </si>
  <si>
    <t>SS91WH03PT</t>
  </si>
  <si>
    <t>SS92WH03PT</t>
  </si>
  <si>
    <t>SS93WH03PT</t>
  </si>
  <si>
    <t>SS94WH03PT</t>
  </si>
  <si>
    <t>SS95WH03PT</t>
  </si>
  <si>
    <t>SS96WH03PT</t>
  </si>
  <si>
    <t>BS97NT03PT</t>
  </si>
  <si>
    <t>BS98NT03PT</t>
  </si>
  <si>
    <t>BS99NT03PT</t>
  </si>
  <si>
    <t>BS00NT03PT</t>
  </si>
  <si>
    <t>BS01NT03PT</t>
  </si>
  <si>
    <t>BS02NT03PT</t>
  </si>
  <si>
    <t>MA97AL03PT</t>
  </si>
  <si>
    <t>MA98AL03PT</t>
  </si>
  <si>
    <t>MA99AL03PT</t>
  </si>
  <si>
    <t>MA00AL03PT</t>
  </si>
  <si>
    <t>MA01AL03PT</t>
  </si>
  <si>
    <t>MA02AL03PT</t>
  </si>
  <si>
    <t>MA03AL03PT</t>
  </si>
  <si>
    <t>MA04AL03PT</t>
  </si>
  <si>
    <t>MA05AL03PT</t>
  </si>
  <si>
    <t>MA06AL03PT</t>
  </si>
  <si>
    <t>MA07AL03PT</t>
  </si>
  <si>
    <t>MA08AL03PT</t>
  </si>
  <si>
    <t>LA97EN03PT</t>
  </si>
  <si>
    <t>LA98EN03PT</t>
  </si>
  <si>
    <t>LA99EN03PT</t>
  </si>
  <si>
    <t>LA00EN03PT</t>
  </si>
  <si>
    <t>LA97FR03PT</t>
  </si>
  <si>
    <t>LA98FR03PT</t>
  </si>
  <si>
    <t>LA99FR03PT</t>
  </si>
  <si>
    <t>LA00FR03PT</t>
  </si>
  <si>
    <t>LA01FR03PT</t>
  </si>
  <si>
    <t>LA02FR03PT</t>
  </si>
  <si>
    <t>LA03FR03PT</t>
  </si>
  <si>
    <t>LA04FR03PT</t>
  </si>
  <si>
    <t>LA05FR03PT</t>
  </si>
  <si>
    <t>LA06FR03PT</t>
  </si>
  <si>
    <t>LA07FR03PT</t>
  </si>
  <si>
    <t>LA08FR03PT</t>
  </si>
  <si>
    <t>LA01RS03PT</t>
  </si>
  <si>
    <t>LA02RS03PT</t>
  </si>
  <si>
    <t>LA01ES03PT</t>
  </si>
  <si>
    <t>LA02ES03PT</t>
  </si>
  <si>
    <t>LA03ES03PT</t>
  </si>
  <si>
    <t>LA04ES03PT</t>
  </si>
  <si>
    <t>LA05ES03PT</t>
  </si>
  <si>
    <t>LA06ES03PT</t>
  </si>
  <si>
    <t>LA07ES03PT</t>
  </si>
  <si>
    <t>LA08ES03PT</t>
  </si>
  <si>
    <t>LA09ES03PT</t>
  </si>
  <si>
    <t>LA10ES03PT</t>
  </si>
  <si>
    <t>LA11ES03PT</t>
  </si>
  <si>
    <t>LA12ES03PT</t>
  </si>
  <si>
    <t>SU97AA03PT</t>
  </si>
  <si>
    <t>SU98AA03PT</t>
  </si>
  <si>
    <t>SU99AA03PT</t>
  </si>
  <si>
    <t>SU00AA03PT</t>
  </si>
  <si>
    <t>SU01AA03PT</t>
  </si>
  <si>
    <t>SU02AA03PT</t>
  </si>
  <si>
    <t>SU03AA03PT</t>
  </si>
  <si>
    <t>SU04AA03PT</t>
  </si>
  <si>
    <t>SU05AA03PT</t>
  </si>
  <si>
    <t>SU06AA03PT</t>
  </si>
  <si>
    <t>SU07AA03PT</t>
  </si>
  <si>
    <t>SU08AA03PT</t>
  </si>
  <si>
    <t>SU01CA03PT</t>
  </si>
  <si>
    <t>SU02CA03PT</t>
  </si>
  <si>
    <t>SU03CA03PT</t>
  </si>
  <si>
    <t>SU04CA03PT</t>
  </si>
  <si>
    <t>SU05CA03PT</t>
  </si>
  <si>
    <t>SU06CA03PT</t>
  </si>
  <si>
    <t>SU07CA03PT</t>
  </si>
  <si>
    <t>SU08CA03PT</t>
  </si>
  <si>
    <t>SU09CA03PT</t>
  </si>
  <si>
    <t>SU10CA03PT</t>
  </si>
  <si>
    <t>WB97ET03PT</t>
  </si>
  <si>
    <t>WB98ET03PT</t>
  </si>
  <si>
    <t>WB99ET03PT</t>
  </si>
  <si>
    <t>WB00ET03PT</t>
  </si>
  <si>
    <t>WB01ET03PT</t>
  </si>
  <si>
    <t>WB02ET03PT</t>
  </si>
  <si>
    <t>WB03ET03PT</t>
  </si>
  <si>
    <t>WB04ET03PT</t>
  </si>
  <si>
    <t>WB05ET03PT</t>
  </si>
  <si>
    <t>WB06ET03PT</t>
  </si>
  <si>
    <t>WB07ET03PT</t>
  </si>
  <si>
    <t>WB08ET03PT</t>
  </si>
  <si>
    <t>SU01MU03PT</t>
  </si>
  <si>
    <t>SU02MU03PT</t>
  </si>
  <si>
    <t>SU03MU03PT</t>
  </si>
  <si>
    <t>SU04MU03PT</t>
  </si>
  <si>
    <t>SU05MU03PT</t>
  </si>
  <si>
    <t>SU06MU03PT</t>
  </si>
  <si>
    <t>SU05MT03PT</t>
  </si>
  <si>
    <t>SU06MT03PT</t>
  </si>
  <si>
    <t>WB01SP03PT</t>
  </si>
  <si>
    <t>WB02SP03PT</t>
  </si>
  <si>
    <t>WB03SP03PT</t>
  </si>
  <si>
    <t>WB04SP03PT</t>
  </si>
  <si>
    <t>WB05SP03PT</t>
  </si>
  <si>
    <t>WB06SP03PT</t>
  </si>
  <si>
    <t>LI01I903PT</t>
  </si>
  <si>
    <t>LI02I903PT</t>
  </si>
  <si>
    <t>LI03I903PT</t>
  </si>
  <si>
    <t>LI04I903PT</t>
  </si>
  <si>
    <t>LI98LC03PT</t>
  </si>
  <si>
    <t>LI00LC03PT</t>
  </si>
  <si>
    <t>SC01AS03PT</t>
  </si>
  <si>
    <t>SC02AS03PT</t>
  </si>
  <si>
    <t>SC03AS03PT</t>
  </si>
  <si>
    <t>SC04AS03PT</t>
  </si>
  <si>
    <t>SC05AS03PT</t>
  </si>
  <si>
    <t>SC97BI03PT</t>
  </si>
  <si>
    <t>SC98BI03PT</t>
  </si>
  <si>
    <t>SC99BI03PT</t>
  </si>
  <si>
    <t>SC00BI03PT</t>
  </si>
  <si>
    <t>SC01BI03PT</t>
  </si>
  <si>
    <t>SC02BI03PT</t>
  </si>
  <si>
    <t>SC03BI03PT</t>
  </si>
  <si>
    <t>SC04BI03PT</t>
  </si>
  <si>
    <t>SC05BI03PT</t>
  </si>
  <si>
    <t>SC06BI03PT</t>
  </si>
  <si>
    <t>SC07BI03PT</t>
  </si>
  <si>
    <t>SC08BI03PT</t>
  </si>
  <si>
    <t>SC01HE03PT</t>
  </si>
  <si>
    <t>SC02HE03PT</t>
  </si>
  <si>
    <t>SC03HE03PT</t>
  </si>
  <si>
    <t>SC04HE03PT</t>
  </si>
  <si>
    <t>SC05HE03PT</t>
  </si>
  <si>
    <t>SC06HE03PT</t>
  </si>
  <si>
    <t>SC01NS03PT</t>
  </si>
  <si>
    <t>SC02NS03PT</t>
  </si>
  <si>
    <t>SC03NS03PT</t>
  </si>
  <si>
    <t>SC04NS03PT</t>
  </si>
  <si>
    <t>SC05NS03PT</t>
  </si>
  <si>
    <t>SC06NS03PT</t>
  </si>
  <si>
    <t>SC01SP03PT</t>
  </si>
  <si>
    <t>SC02SP03PT</t>
  </si>
  <si>
    <t>SC03SP03PT</t>
  </si>
  <si>
    <t>SC04SP03PT</t>
  </si>
  <si>
    <t>SS97UK03PT</t>
  </si>
  <si>
    <t>SS98UK03PT</t>
  </si>
  <si>
    <t>SS99UK03PT</t>
  </si>
  <si>
    <t>SS00UK03PT</t>
  </si>
  <si>
    <t>SS01UK03PT</t>
  </si>
  <si>
    <t>SS02UK03PT</t>
  </si>
  <si>
    <t>SS03UK03PT</t>
  </si>
  <si>
    <t>SS04UK03PT</t>
  </si>
  <si>
    <t>SS05UK03PT</t>
  </si>
  <si>
    <t>SS06UK03PT</t>
  </si>
  <si>
    <t>SS07UK03PT</t>
  </si>
  <si>
    <t>SS08UK03PT</t>
  </si>
  <si>
    <t>SS97WG03PT</t>
  </si>
  <si>
    <t>SS98WG03PT</t>
  </si>
  <si>
    <t>SS99WG03PT</t>
  </si>
  <si>
    <t>SS00WG03PT</t>
  </si>
  <si>
    <t>SS01WG03PT</t>
  </si>
  <si>
    <t>SS02WG03PT</t>
  </si>
  <si>
    <t>SS03WG03PT</t>
  </si>
  <si>
    <t>SS04WG03PT</t>
  </si>
  <si>
    <t>SS05WG03PT</t>
  </si>
  <si>
    <t>SS06WG03PT</t>
  </si>
  <si>
    <t>SS07WG03PT</t>
  </si>
  <si>
    <t>SS08WG03PT</t>
  </si>
  <si>
    <t>BS97AP18PT</t>
  </si>
  <si>
    <t>BS98AP18PT</t>
  </si>
  <si>
    <t>BS99AP18PT</t>
  </si>
  <si>
    <t>BS00AP18PT</t>
  </si>
  <si>
    <t>BS01AP18PT</t>
  </si>
  <si>
    <t>BS02AP18PT</t>
  </si>
  <si>
    <t>BS01MI03PT</t>
  </si>
  <si>
    <t>BS02MI03PT</t>
  </si>
  <si>
    <t>BS03MI03PT</t>
  </si>
  <si>
    <t>BS04MI03PT</t>
  </si>
  <si>
    <t>BS05MI03PT</t>
  </si>
  <si>
    <t>BS06MI03PT</t>
  </si>
  <si>
    <t>BS01SL03PT</t>
  </si>
  <si>
    <t>BS02SL03PT</t>
  </si>
  <si>
    <t>BS03SL03PT</t>
  </si>
  <si>
    <t>BS04SL03PT</t>
  </si>
  <si>
    <t>BS05SL03PT</t>
  </si>
  <si>
    <t>BS06SL03PT</t>
  </si>
  <si>
    <t>BS07SL03PT</t>
  </si>
  <si>
    <t>BS08SL03PT</t>
  </si>
  <si>
    <t>BS09SL03PT</t>
  </si>
  <si>
    <t>BS10SL03PT</t>
  </si>
  <si>
    <t>BS11SL03PT</t>
  </si>
  <si>
    <t>BS12SL03PT</t>
  </si>
  <si>
    <t>SU01ED03PT</t>
  </si>
  <si>
    <t>SU02ED03PT</t>
  </si>
  <si>
    <t>SU03ED03PT</t>
  </si>
  <si>
    <t>SU04ED03PT</t>
  </si>
  <si>
    <t>SU05ED03PT</t>
  </si>
  <si>
    <t>SU06ED03PT</t>
  </si>
  <si>
    <t>SU07ED03PT</t>
  </si>
  <si>
    <t>SU08ED03PT</t>
  </si>
  <si>
    <t>MA09GE03PT</t>
  </si>
  <si>
    <t>MA10GE03PT</t>
  </si>
  <si>
    <t>MA11GE03PT</t>
  </si>
  <si>
    <t>MA12GE03PT</t>
  </si>
  <si>
    <t>MA13GE03PT</t>
  </si>
  <si>
    <t>MA14GE03PT</t>
  </si>
  <si>
    <t>MA15GE03PT</t>
  </si>
  <si>
    <t>MA16GE03PT</t>
  </si>
  <si>
    <t>MA17GE03PT</t>
  </si>
  <si>
    <t>MA18GE03PT</t>
  </si>
  <si>
    <t>MA19GE03PT</t>
  </si>
  <si>
    <t>MA20GE03PT</t>
  </si>
  <si>
    <t>LA03RS03PT</t>
  </si>
  <si>
    <t>LA04RS03PT</t>
  </si>
  <si>
    <t>LA05RS03PT</t>
  </si>
  <si>
    <t>SC09PS03PT</t>
  </si>
  <si>
    <t>SC10PS03PT</t>
  </si>
  <si>
    <t>SC11PS03PT</t>
  </si>
  <si>
    <t>SC12PS03PT</t>
  </si>
  <si>
    <t>SC13PS03PT</t>
  </si>
  <si>
    <t>SC14PS03PT</t>
  </si>
  <si>
    <t>SC15PS03PT</t>
  </si>
  <si>
    <t>SC16PS03PT</t>
  </si>
  <si>
    <t>SC17PS03PT</t>
  </si>
  <si>
    <t>SC18PS03PT</t>
  </si>
  <si>
    <t>SC19PS03PT</t>
  </si>
  <si>
    <t>SC20PS03PT</t>
  </si>
  <si>
    <t>SS01HC03PT</t>
  </si>
  <si>
    <t>SS02HC03PT</t>
  </si>
  <si>
    <t>SS03HC03PT</t>
  </si>
  <si>
    <t>SS04HC03PT</t>
  </si>
  <si>
    <t>SS05HC03PT</t>
  </si>
  <si>
    <t>SS06HC03PT</t>
  </si>
  <si>
    <t>SS07HC03PT</t>
  </si>
  <si>
    <t>SS08HC03PT</t>
  </si>
  <si>
    <t>SS09HC03PT</t>
  </si>
  <si>
    <t>SS10HC03PT</t>
  </si>
  <si>
    <t>BS01CC03PT</t>
  </si>
  <si>
    <t>BS02CC03PT</t>
  </si>
  <si>
    <t>BS03CC03PT</t>
  </si>
  <si>
    <t>BS04CC03PT</t>
  </si>
  <si>
    <t>BS05CC03PT</t>
  </si>
  <si>
    <t>BS33LC03PT</t>
  </si>
  <si>
    <t>BS34LC03PT</t>
  </si>
  <si>
    <t>BS35LC03PT</t>
  </si>
  <si>
    <t>BS36LC03PT</t>
  </si>
  <si>
    <t>BS37LC03PT</t>
  </si>
  <si>
    <t>BS38LC03PT</t>
  </si>
  <si>
    <t>BS09OT03PT</t>
  </si>
  <si>
    <t>BS10OT03PT</t>
  </si>
  <si>
    <t>BS11OT03PT</t>
  </si>
  <si>
    <t>BS12OT03PT</t>
  </si>
  <si>
    <t>BS13OT03PT</t>
  </si>
  <si>
    <t>BS14OT03PT</t>
  </si>
  <si>
    <t>BS15OT03PT</t>
  </si>
  <si>
    <t>BS16OT03PT</t>
  </si>
  <si>
    <t>BS17OT03PT</t>
  </si>
  <si>
    <t>BS18OT03PT</t>
  </si>
  <si>
    <t>BS19OT03PT</t>
  </si>
  <si>
    <t>BS20OT03PT</t>
  </si>
  <si>
    <t>SU09AM03PT</t>
  </si>
  <si>
    <t>SU10AM03PT</t>
  </si>
  <si>
    <t>SU11AM03PT</t>
  </si>
  <si>
    <t>SU12AM03PT</t>
  </si>
  <si>
    <t>SU13AM03PT</t>
  </si>
  <si>
    <t>SU14AM03PT</t>
  </si>
  <si>
    <t>MA21AL03PT</t>
  </si>
  <si>
    <t>MA22AL03PT</t>
  </si>
  <si>
    <t>MA23AL03PT</t>
  </si>
  <si>
    <t>MA24AL03PT</t>
  </si>
  <si>
    <t>MA25AL03PT</t>
  </si>
  <si>
    <t>MA26AL03PT</t>
  </si>
  <si>
    <t>MA27AL03PT</t>
  </si>
  <si>
    <t>MA28AL03PT</t>
  </si>
  <si>
    <t>MA29AL03PT</t>
  </si>
  <si>
    <t>MA30AL03PT</t>
  </si>
  <si>
    <t>MA31AL03PT</t>
  </si>
  <si>
    <t>MA32AL03PT</t>
  </si>
  <si>
    <t>LA01BL03PT</t>
  </si>
  <si>
    <t>LA02BL03PT</t>
  </si>
  <si>
    <t>LA03BL03PT</t>
  </si>
  <si>
    <t>LA04BL03PT</t>
  </si>
  <si>
    <t>LA05BL03PT</t>
  </si>
  <si>
    <t>LI01I103PT</t>
  </si>
  <si>
    <t>LI02I103PT</t>
  </si>
  <si>
    <t>LI03I103PT</t>
  </si>
  <si>
    <t>LI04I103PT</t>
  </si>
  <si>
    <t>LI05I103PT</t>
  </si>
  <si>
    <t>LI06I103PT</t>
  </si>
  <si>
    <t>LA21GR03PT</t>
  </si>
  <si>
    <t>LA22GR03PT</t>
  </si>
  <si>
    <t>LA23GR03PT</t>
  </si>
  <si>
    <t>LA24GR03PT</t>
  </si>
  <si>
    <t>LA25GR03PT</t>
  </si>
  <si>
    <t>LA26GR03PT</t>
  </si>
  <si>
    <t>LA27GR03PT</t>
  </si>
  <si>
    <t>LA28GR03PT</t>
  </si>
  <si>
    <t>LA29GR03PT</t>
  </si>
  <si>
    <t>LA30GR03PT</t>
  </si>
  <si>
    <t>LA31GR03PT</t>
  </si>
  <si>
    <t>LA32GR03PT</t>
  </si>
  <si>
    <t>SC21CH03PT</t>
  </si>
  <si>
    <t>SC22CH03PT</t>
  </si>
  <si>
    <t>SC23CH03PT</t>
  </si>
  <si>
    <t>SC24CH03PT</t>
  </si>
  <si>
    <t>SC25CH03PT</t>
  </si>
  <si>
    <t>SC26CH03PT</t>
  </si>
  <si>
    <t>SC27CH03PT</t>
  </si>
  <si>
    <t>SC28CH03PT</t>
  </si>
  <si>
    <t>SC29CH03PT</t>
  </si>
  <si>
    <t>SC30CH03PT</t>
  </si>
  <si>
    <t>SC31CH03PT</t>
  </si>
  <si>
    <t>SC32CH03PT</t>
  </si>
  <si>
    <t>BS21NC03PT</t>
  </si>
  <si>
    <t>BS22NC03PT</t>
  </si>
  <si>
    <t>BS23NC03PT</t>
  </si>
  <si>
    <t>BS24NC03PT</t>
  </si>
  <si>
    <t>BS25NC03PT</t>
  </si>
  <si>
    <t>BS26NC03PT</t>
  </si>
  <si>
    <t>BS27NC03PT</t>
  </si>
  <si>
    <t>BS28NC03PT</t>
  </si>
  <si>
    <t>BS29NC03PT</t>
  </si>
  <si>
    <t>BS30NC03PT</t>
  </si>
  <si>
    <t>BS31NC03PT</t>
  </si>
  <si>
    <t>BS32NC03PT</t>
  </si>
  <si>
    <t>MA21AC03PT</t>
  </si>
  <si>
    <t>MA22AC03PT</t>
  </si>
  <si>
    <t>MA23AC03PT</t>
  </si>
  <si>
    <t>MA24AC03PT</t>
  </si>
  <si>
    <t>MA25AC03PT</t>
  </si>
  <si>
    <t>MA26AC03PT</t>
  </si>
  <si>
    <t>MA27AC03PT</t>
  </si>
  <si>
    <t>MA28AC03PT</t>
  </si>
  <si>
    <t>MA29AC03PT</t>
  </si>
  <si>
    <t>MA30AC03PT</t>
  </si>
  <si>
    <t>MA31AC03PT</t>
  </si>
  <si>
    <t>MA32AC03PT</t>
  </si>
  <si>
    <t>MA01CM03PT</t>
  </si>
  <si>
    <t>MA02CM03PT</t>
  </si>
  <si>
    <t>MA03CM03PT</t>
  </si>
  <si>
    <t>MA04CM03PT</t>
  </si>
  <si>
    <t>MA05CM03PT</t>
  </si>
  <si>
    <t>MA06CM03PT</t>
  </si>
  <si>
    <t>MA07CM03PT</t>
  </si>
  <si>
    <t>MA08CM03PT</t>
  </si>
  <si>
    <t>MA09CM03PT</t>
  </si>
  <si>
    <t>MA10CM03PT</t>
  </si>
  <si>
    <t>MA11CM03PT</t>
  </si>
  <si>
    <t>MA12CM03PT</t>
  </si>
  <si>
    <t>MA13CM03PT</t>
  </si>
  <si>
    <t>MA14CM03PT</t>
  </si>
  <si>
    <t>MA15CM03PT</t>
  </si>
  <si>
    <t>MA16CM03PT</t>
  </si>
  <si>
    <t>MA17CM03PT</t>
  </si>
  <si>
    <t>MA18CM03PT</t>
  </si>
  <si>
    <t>MA19CM03PT</t>
  </si>
  <si>
    <t>MA20CM03PT</t>
  </si>
  <si>
    <t>MA39HM03PT</t>
  </si>
  <si>
    <t>MA40HM03PT</t>
  </si>
  <si>
    <t>MA41HM03PT</t>
  </si>
  <si>
    <t>MA42HM03PT</t>
  </si>
  <si>
    <t>MA43HM03PT</t>
  </si>
  <si>
    <t>MA44HM03PT</t>
  </si>
  <si>
    <t>MA33TR03PT</t>
  </si>
  <si>
    <t>MA34TR03PT</t>
  </si>
  <si>
    <t>MA35TR03PT</t>
  </si>
  <si>
    <t>MA36TR03PT</t>
  </si>
  <si>
    <t>MA37TR03PT</t>
  </si>
  <si>
    <t>MA38TR03PT</t>
  </si>
  <si>
    <t>LA11EC03PT</t>
  </si>
  <si>
    <t>LA12EC03PT</t>
  </si>
  <si>
    <t>LA13EC03PT</t>
  </si>
  <si>
    <t>LA14EC03PT</t>
  </si>
  <si>
    <t>LA15EC03PT</t>
  </si>
  <si>
    <t>LA16EC03PT</t>
  </si>
  <si>
    <t>LA17EC03PT</t>
  </si>
  <si>
    <t>LA18EC03PT</t>
  </si>
  <si>
    <t>LA19EC03PT</t>
  </si>
  <si>
    <t>LA20EC03PT</t>
  </si>
  <si>
    <t>LA11GR03PT</t>
  </si>
  <si>
    <t>LA12GR03PT</t>
  </si>
  <si>
    <t>LA13GR03PT</t>
  </si>
  <si>
    <t>LA14GR03PT</t>
  </si>
  <si>
    <t>LA15GR03PT</t>
  </si>
  <si>
    <t>LA16GR03PT</t>
  </si>
  <si>
    <t>LA17GR03PT</t>
  </si>
  <si>
    <t>LA18GR03PT</t>
  </si>
  <si>
    <t>LA19GR03PT</t>
  </si>
  <si>
    <t>LA20GR03PT</t>
  </si>
  <si>
    <t>SU07MT03PT</t>
  </si>
  <si>
    <t>SU08MT03PT</t>
  </si>
  <si>
    <t>SC01CP03PT</t>
  </si>
  <si>
    <t>SC02CP03PT</t>
  </si>
  <si>
    <t>SC03CP03PT</t>
  </si>
  <si>
    <t>SC04CP03PT</t>
  </si>
  <si>
    <t>SC05CP03PT</t>
  </si>
  <si>
    <t>SC06CP03PT</t>
  </si>
  <si>
    <t>SC07CP03PT</t>
  </si>
  <si>
    <t>SC08CP03PT</t>
  </si>
  <si>
    <t>SC09CP03PT</t>
  </si>
  <si>
    <t>SC10CP03PT</t>
  </si>
  <si>
    <t>SC33PH03PT</t>
  </si>
  <si>
    <t>SC34PH03PT</t>
  </si>
  <si>
    <t>SC35PH03PT</t>
  </si>
  <si>
    <t>SC36PH03PT</t>
  </si>
  <si>
    <t>SC37PH03PT</t>
  </si>
  <si>
    <t>SC38PH03PT</t>
  </si>
  <si>
    <t>SC39PH03PT</t>
  </si>
  <si>
    <t>SC40PH03PT</t>
  </si>
  <si>
    <t>SC41PH03PT</t>
  </si>
  <si>
    <t>SC42PH03PT</t>
  </si>
  <si>
    <t>SC43PH03PT</t>
  </si>
  <si>
    <t>SC44PH03PT</t>
  </si>
  <si>
    <t>SS85AH03PT</t>
  </si>
  <si>
    <t>SS86AH03PT</t>
  </si>
  <si>
    <t>SS87AH03PT</t>
  </si>
  <si>
    <t>SS88AH03PT</t>
  </si>
  <si>
    <t>SS89AH03PT</t>
  </si>
  <si>
    <t>SS90AH03PT</t>
  </si>
  <si>
    <t>SS91AH03PT</t>
  </si>
  <si>
    <t>SS92AH03PT</t>
  </si>
  <si>
    <t>SS93AH03PT</t>
  </si>
  <si>
    <t>SS94AH03PT</t>
  </si>
  <si>
    <t>SS95AH03PT</t>
  </si>
  <si>
    <t>SS96AH03PT</t>
  </si>
  <si>
    <t>SS33CE03PT</t>
  </si>
  <si>
    <t>SS34CE03PT</t>
  </si>
  <si>
    <t>SS35CE03PT</t>
  </si>
  <si>
    <t>SS36CE03PT</t>
  </si>
  <si>
    <t>SS37CE03PT</t>
  </si>
  <si>
    <t>SS38CE03PT</t>
  </si>
  <si>
    <t>SS39CE03PT</t>
  </si>
  <si>
    <t>SS40CE03PT</t>
  </si>
  <si>
    <t>SS41CE03PT</t>
  </si>
  <si>
    <t>SS42CE03PT</t>
  </si>
  <si>
    <t>SS43CE03PT</t>
  </si>
  <si>
    <t>SS44CE03PT</t>
  </si>
  <si>
    <t>SS33CO03PT</t>
  </si>
  <si>
    <t>SS34CO03PT</t>
  </si>
  <si>
    <t>SS35CO03PT</t>
  </si>
  <si>
    <t>SS36CO03PT</t>
  </si>
  <si>
    <t>SS37CO03PT</t>
  </si>
  <si>
    <t>SS38CO03PT</t>
  </si>
  <si>
    <t>SS11HC03PT</t>
  </si>
  <si>
    <t>SS12HC03PT</t>
  </si>
  <si>
    <t>SS13HC03PT</t>
  </si>
  <si>
    <t>SS14HC03PT</t>
  </si>
  <si>
    <t>SS15HC03PT</t>
  </si>
  <si>
    <t>SS16HC03PT</t>
  </si>
  <si>
    <t>SS17HC03PT</t>
  </si>
  <si>
    <t>SS18HC03PT</t>
  </si>
  <si>
    <t>SS19HC03PT</t>
  </si>
  <si>
    <t>SS20HC03PT</t>
  </si>
  <si>
    <t>SS33UC03PT</t>
  </si>
  <si>
    <t>SS34UC03PT</t>
  </si>
  <si>
    <t>SS35UC03PT</t>
  </si>
  <si>
    <t>SS36UC03PT</t>
  </si>
  <si>
    <t>BS06CC03PT</t>
  </si>
  <si>
    <t>BS07CC03PT</t>
  </si>
  <si>
    <t>BS08CC03PT</t>
  </si>
  <si>
    <t>BS09CC03PT</t>
  </si>
  <si>
    <t>BS10CC03PT</t>
  </si>
  <si>
    <t>BS33CG03PT</t>
  </si>
  <si>
    <t>BS34CG03PT</t>
  </si>
  <si>
    <t>BS35CG03PT</t>
  </si>
  <si>
    <t>BS36CG03PT</t>
  </si>
  <si>
    <t>BS37CG03PT</t>
  </si>
  <si>
    <t>BS38CG03PT</t>
  </si>
  <si>
    <t>BS39LC03PT</t>
  </si>
  <si>
    <t>BS40LC03PT</t>
  </si>
  <si>
    <t>BS41LC03PT</t>
  </si>
  <si>
    <t>BS42LC03PT</t>
  </si>
  <si>
    <t>BS43LC03PT</t>
  </si>
  <si>
    <t>BS44LC03PT</t>
  </si>
  <si>
    <t>BI33LC03PT</t>
  </si>
  <si>
    <t>BI34LC03PT</t>
  </si>
  <si>
    <t>BI35LC03PT</t>
  </si>
  <si>
    <t>BI36LC03PT</t>
  </si>
  <si>
    <t>BI37LC03PT</t>
  </si>
  <si>
    <t>BI38LC03PT</t>
  </si>
  <si>
    <t>BI39LC03PT</t>
  </si>
  <si>
    <t>BI40LC03PT</t>
  </si>
  <si>
    <t>BI41LC03PT</t>
  </si>
  <si>
    <t>BI42LC03PT</t>
  </si>
  <si>
    <t>BI43LC03PT</t>
  </si>
  <si>
    <t>BI44LC03PT</t>
  </si>
  <si>
    <t>ICT Digital Savvy</t>
  </si>
  <si>
    <t>Poetry 1</t>
  </si>
  <si>
    <t>Poetry 2</t>
  </si>
  <si>
    <t>After the Flood</t>
  </si>
  <si>
    <t>SpecificationAbb</t>
  </si>
  <si>
    <t>Code2</t>
  </si>
  <si>
    <t>Subject</t>
  </si>
  <si>
    <t>Edition</t>
  </si>
  <si>
    <t>EditionOrder</t>
  </si>
  <si>
    <t>Year</t>
  </si>
  <si>
    <t>SubjectGroupID__</t>
  </si>
  <si>
    <t>PT</t>
  </si>
  <si>
    <t>APv2</t>
  </si>
  <si>
    <t>heeft toets (1 star) en essay (2 stars). Deze regel staat voor de toets</t>
  </si>
  <si>
    <t>Deze heeft ook drie sterren, voor één PACE?</t>
  </si>
  <si>
    <t>Apologetics I-A</t>
  </si>
  <si>
    <t>Apologetics I-B</t>
  </si>
  <si>
    <t>6 sterren verdeeld over vier PACEs, vandaar om en om 1 en 2 sterren.</t>
  </si>
  <si>
    <t>TODO</t>
  </si>
  <si>
    <t>PACE + Activity Pac</t>
  </si>
  <si>
    <t>US</t>
  </si>
  <si>
    <t xml:space="preserve">Did Man Just Happen? Deprecated. </t>
  </si>
  <si>
    <t>ICT</t>
  </si>
  <si>
    <t>1E</t>
  </si>
  <si>
    <t>heeft toets (1 star) en essay (2 stars). Deze regel staat voor het essay</t>
  </si>
  <si>
    <t>97E</t>
  </si>
  <si>
    <t>heeft toets (1 star) en essay (2 stars). ?</t>
  </si>
  <si>
    <t>https://shop.christian.education/</t>
  </si>
  <si>
    <t>https://www.icce.education/course-list</t>
  </si>
  <si>
    <t>Certificate+</t>
  </si>
  <si>
    <t>Course+</t>
  </si>
  <si>
    <t>EnrollmentID</t>
  </si>
  <si>
    <t>EnrollmentName</t>
  </si>
  <si>
    <t>UnitID</t>
  </si>
  <si>
    <t>Score</t>
  </si>
  <si>
    <t>SubjectId</t>
  </si>
  <si>
    <t>CreditValue</t>
  </si>
  <si>
    <t>ScoreType</t>
  </si>
  <si>
    <t>percent</t>
  </si>
  <si>
    <t>Rosetta Stone V3 Levels 1&amp;2</t>
  </si>
  <si>
    <t>completed</t>
  </si>
  <si>
    <t>State Exam Dutch Vmbo</t>
  </si>
  <si>
    <t>number</t>
  </si>
  <si>
    <t>State Exam Dutch Havo</t>
  </si>
  <si>
    <t>State Exam Dutch Vwo</t>
  </si>
  <si>
    <t>Rosetta Stone V3 Level 3</t>
  </si>
  <si>
    <t>Rosetta Stone V3 Level 4</t>
  </si>
  <si>
    <t>Rosetta Stone V3 Level 5</t>
  </si>
  <si>
    <t>Typemaster</t>
  </si>
  <si>
    <t>Social Studies Essay</t>
  </si>
  <si>
    <t>title</t>
  </si>
  <si>
    <t>Science Project</t>
  </si>
  <si>
    <t>Biblical Studies Essay</t>
  </si>
  <si>
    <t>English Essay</t>
  </si>
  <si>
    <t>Science Essay</t>
  </si>
  <si>
    <t>Mathematics Paper</t>
  </si>
  <si>
    <t>English Dissertation</t>
  </si>
  <si>
    <t>Stars</t>
  </si>
  <si>
    <t>ReplacedById</t>
  </si>
  <si>
    <t>L1U1</t>
  </si>
  <si>
    <t>R.S.</t>
  </si>
  <si>
    <t>L1U2</t>
  </si>
  <si>
    <t>L1U3</t>
  </si>
  <si>
    <t>L1U4</t>
  </si>
  <si>
    <t>L2U1</t>
  </si>
  <si>
    <t>L2U2</t>
  </si>
  <si>
    <t>L2U3</t>
  </si>
  <si>
    <t>L2U4</t>
  </si>
  <si>
    <t>L3U1</t>
  </si>
  <si>
    <t>L3U2</t>
  </si>
  <si>
    <t>L3U3</t>
  </si>
  <si>
    <t>L3U4</t>
  </si>
  <si>
    <t>L4U1</t>
  </si>
  <si>
    <t>L4U2</t>
  </si>
  <si>
    <t>L4U3</t>
  </si>
  <si>
    <t>L4U4</t>
  </si>
  <si>
    <t>L5U1</t>
  </si>
  <si>
    <t>L5U2</t>
  </si>
  <si>
    <t>L5U3</t>
  </si>
  <si>
    <t>L5U4</t>
  </si>
  <si>
    <t>Vmbo</t>
  </si>
  <si>
    <t>Havo</t>
  </si>
  <si>
    <t>Vwo</t>
  </si>
  <si>
    <t>TypeM</t>
  </si>
  <si>
    <t>S.S.Ess.</t>
  </si>
  <si>
    <t>CW</t>
  </si>
  <si>
    <t>Sc.Proj.</t>
  </si>
  <si>
    <t>Bi.St.Ess.</t>
  </si>
  <si>
    <t>EN.Ess.</t>
  </si>
  <si>
    <t>Sc.Ess.</t>
  </si>
  <si>
    <t>Ma.Ppr.</t>
  </si>
  <si>
    <t>EN.Diss.</t>
  </si>
  <si>
    <t>Arts / Crafts</t>
  </si>
  <si>
    <t>letter</t>
  </si>
  <si>
    <t>Sports</t>
  </si>
  <si>
    <t>RepeatCourseUnitID</t>
  </si>
  <si>
    <t>Schoolyear</t>
  </si>
  <si>
    <t>2020-2021</t>
  </si>
  <si>
    <t>N</t>
  </si>
  <si>
    <t>S</t>
  </si>
  <si>
    <t>G</t>
  </si>
  <si>
    <t>Id</t>
  </si>
  <si>
    <t>Description</t>
  </si>
  <si>
    <t>Taalvaardigheid</t>
  </si>
  <si>
    <t>schrijvuh</t>
  </si>
  <si>
    <t>spelluhtjes</t>
  </si>
  <si>
    <t>mondelingh</t>
  </si>
  <si>
    <t>litaruurtjuh</t>
  </si>
  <si>
    <t>DutchCourseId</t>
  </si>
  <si>
    <t>StudentId</t>
  </si>
  <si>
    <t>type</t>
  </si>
  <si>
    <t>weight</t>
  </si>
  <si>
    <t>5,5</t>
  </si>
  <si>
    <t>mo</t>
  </si>
  <si>
    <t>so</t>
  </si>
  <si>
    <t>7,6</t>
  </si>
  <si>
    <t>rep</t>
  </si>
  <si>
    <t>EnrolemntID</t>
  </si>
  <si>
    <t>studentID</t>
  </si>
  <si>
    <t>SubjectGroupId</t>
  </si>
  <si>
    <t>EnrolmentDate</t>
  </si>
  <si>
    <t>active</t>
  </si>
  <si>
    <t>TermNo</t>
  </si>
  <si>
    <t>Start</t>
  </si>
  <si>
    <t>End</t>
  </si>
  <si>
    <t>SchoolYearId</t>
  </si>
  <si>
    <t>Terms</t>
  </si>
  <si>
    <t>2021/2022</t>
  </si>
  <si>
    <t>2020/2021</t>
  </si>
  <si>
    <t>2019/2020</t>
  </si>
  <si>
    <t>2018/2019</t>
  </si>
  <si>
    <t>2017/2018</t>
  </si>
  <si>
    <t>2016/2017</t>
  </si>
  <si>
    <t>2015/2016</t>
  </si>
  <si>
    <t>2014/2015</t>
  </si>
  <si>
    <t>2013/2014</t>
  </si>
  <si>
    <t>2012/2013</t>
  </si>
  <si>
    <t>2011/2012</t>
  </si>
  <si>
    <t>Dit lijkt op ID59 maar zie opmerking daar. Dit valt ook onder een andere SubjectGroupID (klopt dat?). Is in ieder geval niet hetzelfde als ID59</t>
  </si>
  <si>
    <t>World History 4th Edition</t>
  </si>
  <si>
    <t>Alfa Omega</t>
  </si>
  <si>
    <t>NA</t>
  </si>
  <si>
    <t>Dit zijn alleen de twee PACE's 97 en 102. Vroeger waren dit aparte PACEs, maar nu gebundeld in één PACE "Apologetics 01".</t>
  </si>
  <si>
    <t>Apologetics I-A (2022) (ICCE-C17)</t>
  </si>
  <si>
    <t>Apologetics I-A (2019) (ICCE-C17)</t>
  </si>
  <si>
    <t>Apologetics I-B (2022) (ICCE-C18)</t>
  </si>
  <si>
    <t>Apologetics I-B (2019) (ICCE-C18)</t>
  </si>
  <si>
    <t>Essay</t>
  </si>
  <si>
    <t xml:space="preserve">krijgen de leerlingen 6 sterren voor de PACEs en dan nog eens drie voor één essay? </t>
  </si>
  <si>
    <t xml:space="preserve">Dit zijn alleen vier PACE's 98-101. Vroeger waren dit aparte PACEs, maar nu gebundeld in één PACE "Apologetics 02".De sterren worden niet gegeven voor de toetsen maar voor de essays voor de boeken die ze moeten lezen. Zijn dit dan drie essays die ze moeten maken? Zijn er vakken waarbij het voldoende is om slechts boekjes 7-8 te doen en niet 9-10 en essays? </t>
  </si>
  <si>
    <t>Zie opmerking bij 152. Hier mag gekozen worden voor het VAK "Apologetics II" (i.e. boekjes 7-10) of een ander vak uit Groep 1 (i.e. Christian Studies, van Intermediate). Er zijn geen toetsen bij Apologetics II, maar wel een essay, waar drie sterren voor wordt gegeven.</t>
  </si>
  <si>
    <t>2 sterren voor de twee toetsen, en 1 ster voor het essay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</si>
</sst>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yyyy/mm/dd"/>
  </numFmts>
  <fonts count="8"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u/>
      <sz val="11"/>
      <color theme="10"/>
      <name val="Calibri"/>
      <family val="2"/>
    </font>
    <font>
      <b/>
      <sz val="11"/>
      <color rgb="FF000000"/>
      <name val="Calibri"/>
      <family val="2"/>
    </font>
    <font>
      <sz val="11"/>
      <color rgb="FF000000"/>
      <name val="Calibri"/>
      <family val="2"/>
    </font>
    <font>
      <u/>
      <sz val="11"/>
      <color theme="10"/>
      <name val="Calibri"/>
      <family val="2"/>
    </font>
  </fonts>
  <fills count="7">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theme="0"/>
        <bgColor theme="0"/>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14" fontId="3" fillId="0" borderId="0" xfId="0" applyNumberFormat="1" applyFont="1"/>
    <xf numFmtId="164" fontId="3" fillId="0" borderId="0" xfId="0" applyNumberFormat="1" applyFont="1"/>
    <xf numFmtId="0" fontId="4" fillId="0" borderId="0" xfId="0" applyFont="1"/>
    <xf numFmtId="0" fontId="5" fillId="0" borderId="0" xfId="0" applyFont="1"/>
    <xf numFmtId="0" fontId="6" fillId="0" borderId="0" xfId="0" applyFont="1"/>
    <xf numFmtId="165" fontId="3" fillId="0" borderId="0" xfId="0" applyNumberFormat="1" applyFont="1"/>
    <xf numFmtId="0" fontId="3" fillId="2" borderId="1" xfId="0" applyFont="1" applyFill="1" applyBorder="1"/>
    <xf numFmtId="49" fontId="1" fillId="0" borderId="0" xfId="0" applyNumberFormat="1" applyFont="1"/>
    <xf numFmtId="0" fontId="3" fillId="0" borderId="0" xfId="0" applyFont="1" applyAlignment="1">
      <alignment horizontal="left"/>
    </xf>
    <xf numFmtId="49" fontId="3" fillId="0" borderId="0" xfId="0" applyNumberFormat="1" applyFont="1"/>
    <xf numFmtId="0" fontId="1" fillId="0" borderId="0" xfId="0" applyFont="1" applyAlignment="1">
      <alignment wrapText="1"/>
    </xf>
    <xf numFmtId="0" fontId="3" fillId="0" borderId="0" xfId="0" applyFont="1" applyAlignment="1">
      <alignment wrapText="1"/>
    </xf>
    <xf numFmtId="0" fontId="3" fillId="2" borderId="1" xfId="0" applyFont="1" applyFill="1" applyBorder="1" applyAlignment="1">
      <alignment wrapText="1"/>
    </xf>
    <xf numFmtId="0" fontId="3" fillId="3" borderId="1" xfId="0" applyFont="1" applyFill="1" applyBorder="1"/>
    <xf numFmtId="0" fontId="1" fillId="4" borderId="1" xfId="0" applyFont="1" applyFill="1" applyBorder="1" applyAlignment="1">
      <alignment wrapText="1"/>
    </xf>
    <xf numFmtId="0" fontId="1" fillId="2" borderId="1" xfId="0" applyFont="1" applyFill="1" applyBorder="1" applyAlignment="1">
      <alignment wrapText="1"/>
    </xf>
    <xf numFmtId="0" fontId="3" fillId="5" borderId="1" xfId="0" applyFont="1" applyFill="1" applyBorder="1" applyAlignment="1">
      <alignment wrapText="1"/>
    </xf>
    <xf numFmtId="10" fontId="1" fillId="0" borderId="0" xfId="0" applyNumberFormat="1" applyFont="1"/>
    <xf numFmtId="10" fontId="3" fillId="0" borderId="0" xfId="0" applyNumberFormat="1" applyFont="1"/>
    <xf numFmtId="0" fontId="1" fillId="3" borderId="1" xfId="0" applyFont="1" applyFill="1" applyBorder="1"/>
    <xf numFmtId="0" fontId="1" fillId="4" borderId="1" xfId="0" applyFont="1" applyFill="1" applyBorder="1"/>
    <xf numFmtId="0" fontId="7" fillId="0" borderId="0" xfId="0" applyFont="1" applyAlignment="1">
      <alignment wrapText="1"/>
    </xf>
    <xf numFmtId="166" fontId="1" fillId="0" borderId="0" xfId="0" applyNumberFormat="1" applyFont="1"/>
    <xf numFmtId="166" fontId="3" fillId="0" borderId="0" xfId="0" applyNumberFormat="1" applyFont="1"/>
    <xf numFmtId="1" fontId="1" fillId="0" borderId="0" xfId="0" applyNumberFormat="1" applyFont="1"/>
    <xf numFmtId="1" fontId="3" fillId="0" borderId="0" xfId="0" applyNumberFormat="1" applyFont="1"/>
    <xf numFmtId="0" fontId="2" fillId="6" borderId="0" xfId="0" applyFont="1" applyFill="1"/>
    <xf numFmtId="0" fontId="3" fillId="0" borderId="1" xfId="0" applyFont="1" applyBorder="1"/>
    <xf numFmtId="0" fontId="3"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customschemas.google.com/relationships/workbookmetadata" Target="metadata"/><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s>
</file>

<file path=xl/persons/person.xml><?xml version="1.0" encoding="utf-8"?>
<personList xmlns="http://schemas.microsoft.com/office/spreadsheetml/2018/threadedcomments" xmlns:x="http://schemas.openxmlformats.org/spreadsheetml/2006/main">
  <person displayName="Andrew Yong" id="{2C8E56BB-A1D2-8846-8AD5-3F6525C8737F}" userId="25d555228554b6a1"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335" dT="2025-01-09T14:49:44.06" personId="{2C8E56BB-A1D2-8846-8AD5-3F6525C8737F}" id="{08602297-019B-1040-8EAB-1CF722762EFB}">
    <text>Dit is geen aparte PACE, maar wel iets dat gehaald moet worden</text>
  </threadedComment>
</ThreadedComments>
</file>

<file path=xl/worksheets/_rels/sheet4.xml.rels><?xml version="1.0" encoding="UTF-8" standalone="yes"?>
<Relationships xmlns="http://schemas.openxmlformats.org/package/2006/relationships"><Relationship Id="rId3" Type="http://schemas.openxmlformats.org/officeDocument/2006/relationships/hyperlink" Target="mailto:h.visser@ceder.nl" TargetMode="External"/><Relationship Id="rId2" Type="http://schemas.openxmlformats.org/officeDocument/2006/relationships/hyperlink" Target="mailto:s.bezemer@ceder.nl" TargetMode="External"/><Relationship Id="rId1" Type="http://schemas.openxmlformats.org/officeDocument/2006/relationships/hyperlink" Target="mailto:a.yong@ceder.n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mailto:a.trimp@ceder.nl"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workbookViewId="0">
      <selection activeCell="B4" sqref="B4"/>
    </sheetView>
  </sheetViews>
  <sheetFormatPr baseColWidth="10" defaultColWidth="14.5" defaultRowHeight="15" customHeight="1" x14ac:dyDescent="0.2"/>
  <cols>
    <col min="1" max="1" width="11.5" customWidth="1"/>
    <col min="2" max="2" width="24" customWidth="1"/>
    <col min="3" max="26" width="11.5" customWidth="1"/>
  </cols>
  <sheetData>
    <row r="1" spans="1:7" x14ac:dyDescent="0.2">
      <c r="A1" s="1"/>
      <c r="B1" s="1" t="s">
        <v>0</v>
      </c>
      <c r="C1" s="1" t="s">
        <v>1</v>
      </c>
      <c r="D1" s="1" t="s">
        <v>2</v>
      </c>
      <c r="E1" s="1" t="s">
        <v>3</v>
      </c>
      <c r="F1" s="1" t="s">
        <v>4</v>
      </c>
      <c r="G1" s="1" t="s">
        <v>5</v>
      </c>
    </row>
    <row r="2" spans="1:7" x14ac:dyDescent="0.2">
      <c r="A2" s="2">
        <v>1</v>
      </c>
      <c r="B2" s="2" t="s">
        <v>6</v>
      </c>
      <c r="C2" s="2">
        <v>3</v>
      </c>
      <c r="D2" s="2" t="s">
        <v>7</v>
      </c>
    </row>
    <row r="3" spans="1:7" x14ac:dyDescent="0.2">
      <c r="A3" s="2">
        <v>2</v>
      </c>
      <c r="B3" s="2" t="s">
        <v>6</v>
      </c>
      <c r="C3" s="2">
        <v>4</v>
      </c>
      <c r="D3" s="2" t="s">
        <v>7</v>
      </c>
    </row>
    <row r="4" spans="1:7" x14ac:dyDescent="0.2">
      <c r="A4" s="2">
        <v>3</v>
      </c>
      <c r="B4" s="2" t="s">
        <v>6</v>
      </c>
      <c r="C4" s="2">
        <v>6</v>
      </c>
      <c r="D4" s="2" t="s">
        <v>7</v>
      </c>
    </row>
    <row r="5" spans="1:7" x14ac:dyDescent="0.2">
      <c r="A5" s="2">
        <v>4</v>
      </c>
      <c r="B5" s="2" t="s">
        <v>6</v>
      </c>
      <c r="C5" s="2">
        <v>7</v>
      </c>
      <c r="D5" s="2" t="s">
        <v>7</v>
      </c>
    </row>
    <row r="6" spans="1:7" x14ac:dyDescent="0.2">
      <c r="A6" s="2">
        <v>5</v>
      </c>
      <c r="B6" s="2" t="s">
        <v>6</v>
      </c>
      <c r="C6" s="2">
        <v>8</v>
      </c>
      <c r="D6" s="2" t="s">
        <v>7</v>
      </c>
    </row>
    <row r="7" spans="1:7" x14ac:dyDescent="0.2">
      <c r="A7" s="2">
        <v>6</v>
      </c>
      <c r="B7" s="2" t="s">
        <v>8</v>
      </c>
      <c r="C7" s="2">
        <v>1</v>
      </c>
      <c r="D7" s="2" t="s">
        <v>7</v>
      </c>
    </row>
    <row r="8" spans="1:7" x14ac:dyDescent="0.2">
      <c r="A8" s="2">
        <v>7</v>
      </c>
      <c r="B8" s="2" t="s">
        <v>9</v>
      </c>
      <c r="C8" s="2">
        <v>10</v>
      </c>
      <c r="D8" s="2" t="s">
        <v>7</v>
      </c>
      <c r="E8" s="2" t="s">
        <v>10</v>
      </c>
    </row>
    <row r="9" spans="1:7" x14ac:dyDescent="0.2">
      <c r="A9" s="2">
        <v>8</v>
      </c>
      <c r="B9" s="2" t="s">
        <v>11</v>
      </c>
      <c r="C9" s="2">
        <v>11</v>
      </c>
      <c r="D9" s="2" t="s">
        <v>7</v>
      </c>
    </row>
    <row r="10" spans="1:7" x14ac:dyDescent="0.2">
      <c r="A10" s="2">
        <v>9</v>
      </c>
      <c r="B10" s="2" t="s">
        <v>12</v>
      </c>
      <c r="C10" s="2">
        <v>109</v>
      </c>
      <c r="D10" s="2" t="s">
        <v>7</v>
      </c>
      <c r="E10" s="2" t="s">
        <v>13</v>
      </c>
    </row>
    <row r="11" spans="1:7" x14ac:dyDescent="0.2">
      <c r="A11" s="2">
        <v>10</v>
      </c>
      <c r="B11" s="2" t="s">
        <v>14</v>
      </c>
      <c r="C11" s="2">
        <v>1</v>
      </c>
      <c r="D11" s="2" t="s">
        <v>7</v>
      </c>
    </row>
    <row r="12" spans="1:7" x14ac:dyDescent="0.2">
      <c r="A12" s="2">
        <v>11</v>
      </c>
      <c r="B12" s="2" t="s">
        <v>14</v>
      </c>
      <c r="C12" s="2">
        <v>2</v>
      </c>
      <c r="D12" s="2" t="s">
        <v>7</v>
      </c>
    </row>
    <row r="13" spans="1:7" x14ac:dyDescent="0.2">
      <c r="A13" s="2">
        <v>12</v>
      </c>
      <c r="B13" s="2" t="s">
        <v>14</v>
      </c>
      <c r="C13" s="2">
        <v>3</v>
      </c>
      <c r="D13" s="2" t="s">
        <v>7</v>
      </c>
    </row>
    <row r="14" spans="1:7" x14ac:dyDescent="0.2">
      <c r="A14" s="2">
        <v>13</v>
      </c>
      <c r="B14" s="2" t="s">
        <v>14</v>
      </c>
      <c r="C14" s="2">
        <v>4</v>
      </c>
      <c r="D14" s="2" t="s">
        <v>7</v>
      </c>
    </row>
    <row r="15" spans="1:7" x14ac:dyDescent="0.2">
      <c r="A15" s="2">
        <v>14</v>
      </c>
      <c r="B15" s="2" t="s">
        <v>14</v>
      </c>
      <c r="C15" s="2">
        <v>5</v>
      </c>
      <c r="D15" s="2" t="s">
        <v>7</v>
      </c>
    </row>
    <row r="16" spans="1:7" x14ac:dyDescent="0.2">
      <c r="A16" s="2">
        <v>15</v>
      </c>
      <c r="B16" s="2" t="s">
        <v>14</v>
      </c>
      <c r="C16" s="2">
        <v>6</v>
      </c>
      <c r="D16" s="2" t="s">
        <v>7</v>
      </c>
    </row>
    <row r="17" spans="1:4" x14ac:dyDescent="0.2">
      <c r="A17" s="2">
        <v>16</v>
      </c>
      <c r="B17" s="2" t="s">
        <v>15</v>
      </c>
      <c r="C17" s="2">
        <v>4</v>
      </c>
      <c r="D17" s="2" t="s">
        <v>7</v>
      </c>
    </row>
    <row r="18" spans="1:4" x14ac:dyDescent="0.2">
      <c r="A18" s="2">
        <v>17</v>
      </c>
      <c r="B18" s="2" t="s">
        <v>16</v>
      </c>
      <c r="C18" s="2">
        <v>1</v>
      </c>
      <c r="D18" s="2" t="s">
        <v>7</v>
      </c>
    </row>
    <row r="19" spans="1:4" x14ac:dyDescent="0.2">
      <c r="A19" s="2">
        <v>18</v>
      </c>
      <c r="B19" s="2" t="s">
        <v>16</v>
      </c>
      <c r="C19" s="2">
        <v>2</v>
      </c>
      <c r="D19" s="2" t="s">
        <v>7</v>
      </c>
    </row>
    <row r="20" spans="1:4" x14ac:dyDescent="0.2">
      <c r="A20" s="2">
        <v>19</v>
      </c>
      <c r="B20" s="2" t="s">
        <v>16</v>
      </c>
      <c r="C20" s="2">
        <v>3</v>
      </c>
      <c r="D20" s="2" t="s">
        <v>7</v>
      </c>
    </row>
    <row r="21" spans="1:4" ht="15.75" customHeight="1" x14ac:dyDescent="0.2">
      <c r="A21" s="2">
        <v>20</v>
      </c>
      <c r="B21" s="2" t="s">
        <v>16</v>
      </c>
      <c r="C21" s="2">
        <v>5</v>
      </c>
      <c r="D21" s="2" t="s">
        <v>7</v>
      </c>
    </row>
    <row r="22" spans="1:4" ht="15.75" customHeight="1" x14ac:dyDescent="0.2">
      <c r="A22" s="2">
        <v>21</v>
      </c>
      <c r="B22" s="2" t="s">
        <v>17</v>
      </c>
      <c r="C22" s="2">
        <v>1097</v>
      </c>
      <c r="D22" s="2" t="s">
        <v>7</v>
      </c>
    </row>
    <row r="23" spans="1:4" ht="15.75" customHeight="1" x14ac:dyDescent="0.2">
      <c r="A23" s="2">
        <v>22</v>
      </c>
      <c r="B23" s="2" t="s">
        <v>17</v>
      </c>
      <c r="C23" s="2" t="s">
        <v>18</v>
      </c>
      <c r="D23" s="2" t="s">
        <v>7</v>
      </c>
    </row>
    <row r="24" spans="1:4" ht="15.75" customHeight="1" x14ac:dyDescent="0.2">
      <c r="A24" s="2">
        <v>23</v>
      </c>
      <c r="B24" s="2" t="s">
        <v>17</v>
      </c>
      <c r="C24" s="2" t="s">
        <v>19</v>
      </c>
      <c r="D24" s="2" t="s">
        <v>7</v>
      </c>
    </row>
    <row r="25" spans="1:4" ht="15.75" customHeight="1" x14ac:dyDescent="0.2">
      <c r="A25" s="2">
        <v>24</v>
      </c>
      <c r="B25" s="2" t="s">
        <v>17</v>
      </c>
      <c r="C25" s="2" t="s">
        <v>20</v>
      </c>
      <c r="D25" s="2" t="s">
        <v>7</v>
      </c>
    </row>
    <row r="26" spans="1:4" ht="15.75" customHeight="1" x14ac:dyDescent="0.2">
      <c r="A26" s="2">
        <v>25</v>
      </c>
      <c r="B26" s="2" t="s">
        <v>21</v>
      </c>
      <c r="C26" s="2">
        <v>1</v>
      </c>
      <c r="D26" s="2" t="s">
        <v>7</v>
      </c>
    </row>
    <row r="27" spans="1:4" ht="15.75" customHeight="1" x14ac:dyDescent="0.2">
      <c r="A27" s="2">
        <v>26</v>
      </c>
      <c r="B27" s="2" t="s">
        <v>22</v>
      </c>
      <c r="C27" s="2">
        <v>6</v>
      </c>
      <c r="D27" s="2" t="s">
        <v>7</v>
      </c>
    </row>
    <row r="28" spans="1:4" ht="15.75" customHeight="1" x14ac:dyDescent="0.2">
      <c r="A28" s="2">
        <v>27</v>
      </c>
      <c r="B28" s="2" t="s">
        <v>23</v>
      </c>
      <c r="C28" s="2">
        <v>122</v>
      </c>
      <c r="D28" s="2" t="s">
        <v>7</v>
      </c>
    </row>
    <row r="29" spans="1:4" ht="15.75" customHeight="1" x14ac:dyDescent="0.2">
      <c r="A29" s="2">
        <v>28</v>
      </c>
      <c r="B29" s="2" t="s">
        <v>23</v>
      </c>
      <c r="C29" s="2">
        <v>123</v>
      </c>
      <c r="D29" s="2" t="s">
        <v>7</v>
      </c>
    </row>
    <row r="30" spans="1:4" ht="15.75" customHeight="1" x14ac:dyDescent="0.2">
      <c r="A30" s="2">
        <v>29</v>
      </c>
      <c r="B30" s="2" t="s">
        <v>23</v>
      </c>
      <c r="C30" s="2">
        <v>125</v>
      </c>
      <c r="D30" s="2" t="s">
        <v>7</v>
      </c>
    </row>
    <row r="31" spans="1:4" ht="15.75" customHeight="1" x14ac:dyDescent="0.2">
      <c r="A31" s="2">
        <v>30</v>
      </c>
      <c r="B31" s="2" t="s">
        <v>23</v>
      </c>
      <c r="C31" s="2">
        <v>126</v>
      </c>
      <c r="D31" s="2" t="s">
        <v>7</v>
      </c>
    </row>
    <row r="32" spans="1:4" ht="15.75" customHeight="1" x14ac:dyDescent="0.2">
      <c r="A32" s="2">
        <v>31</v>
      </c>
      <c r="B32" s="2" t="s">
        <v>24</v>
      </c>
      <c r="C32" s="2">
        <v>2</v>
      </c>
      <c r="D32" s="2" t="s">
        <v>7</v>
      </c>
    </row>
    <row r="33" spans="1:4" ht="15.75" customHeight="1" x14ac:dyDescent="0.2">
      <c r="A33" s="2">
        <v>32</v>
      </c>
      <c r="B33" s="2" t="s">
        <v>25</v>
      </c>
      <c r="C33" s="2">
        <v>1</v>
      </c>
      <c r="D33" s="2" t="s">
        <v>7</v>
      </c>
    </row>
    <row r="34" spans="1:4" ht="15.75" customHeight="1" x14ac:dyDescent="0.2">
      <c r="A34" s="2">
        <v>33</v>
      </c>
      <c r="B34" s="2" t="s">
        <v>26</v>
      </c>
      <c r="C34" s="2">
        <v>77</v>
      </c>
      <c r="D34" s="2" t="s">
        <v>7</v>
      </c>
    </row>
    <row r="35" spans="1:4" ht="15.75" customHeight="1" x14ac:dyDescent="0.2">
      <c r="A35" s="2">
        <v>34</v>
      </c>
      <c r="B35" s="2" t="s">
        <v>26</v>
      </c>
      <c r="C35" s="2">
        <v>78</v>
      </c>
      <c r="D35" s="2" t="s">
        <v>7</v>
      </c>
    </row>
    <row r="36" spans="1:4" ht="15.75" customHeight="1" x14ac:dyDescent="0.2">
      <c r="A36" s="2">
        <v>35</v>
      </c>
      <c r="B36" s="2" t="s">
        <v>27</v>
      </c>
      <c r="C36" s="2">
        <v>1</v>
      </c>
      <c r="D36" s="2" t="s">
        <v>7</v>
      </c>
    </row>
    <row r="37" spans="1:4" ht="15.75" customHeight="1" x14ac:dyDescent="0.2">
      <c r="A37" s="2">
        <v>36</v>
      </c>
      <c r="B37" s="2" t="s">
        <v>27</v>
      </c>
      <c r="C37" s="2">
        <v>2</v>
      </c>
      <c r="D37" s="2" t="s">
        <v>7</v>
      </c>
    </row>
    <row r="38" spans="1:4" ht="15.75" customHeight="1" x14ac:dyDescent="0.2">
      <c r="A38" s="2">
        <v>37</v>
      </c>
      <c r="B38" s="2" t="s">
        <v>27</v>
      </c>
      <c r="C38" s="2">
        <v>3</v>
      </c>
      <c r="D38" s="2" t="s">
        <v>7</v>
      </c>
    </row>
    <row r="39" spans="1:4" ht="15.75" customHeight="1" x14ac:dyDescent="0.2">
      <c r="A39" s="2">
        <v>38</v>
      </c>
      <c r="B39" s="2" t="s">
        <v>27</v>
      </c>
      <c r="C39" s="2">
        <v>4</v>
      </c>
      <c r="D39" s="2" t="s">
        <v>7</v>
      </c>
    </row>
    <row r="40" spans="1:4" ht="15.75" customHeight="1" x14ac:dyDescent="0.2">
      <c r="A40" s="2">
        <v>39</v>
      </c>
      <c r="B40" s="2" t="s">
        <v>27</v>
      </c>
      <c r="C40" s="2">
        <v>5</v>
      </c>
      <c r="D40" s="2" t="s">
        <v>7</v>
      </c>
    </row>
    <row r="41" spans="1:4" ht="15.75" customHeight="1" x14ac:dyDescent="0.2">
      <c r="A41" s="2">
        <v>40</v>
      </c>
      <c r="B41" s="2" t="s">
        <v>28</v>
      </c>
      <c r="C41" s="2">
        <v>102</v>
      </c>
      <c r="D41" s="2" t="s">
        <v>29</v>
      </c>
    </row>
    <row r="42" spans="1:4" ht="15.75" customHeight="1" x14ac:dyDescent="0.2">
      <c r="A42" s="2">
        <v>41</v>
      </c>
      <c r="B42" s="2" t="s">
        <v>30</v>
      </c>
      <c r="C42" s="2">
        <v>73</v>
      </c>
      <c r="D42" s="2" t="s">
        <v>29</v>
      </c>
    </row>
    <row r="43" spans="1:4" ht="15.75" customHeight="1" x14ac:dyDescent="0.2">
      <c r="A43" s="2">
        <v>42</v>
      </c>
      <c r="B43" s="2" t="s">
        <v>30</v>
      </c>
      <c r="C43" s="2">
        <v>98</v>
      </c>
      <c r="D43" s="2" t="s">
        <v>29</v>
      </c>
    </row>
    <row r="44" spans="1:4" ht="15.75" customHeight="1" x14ac:dyDescent="0.2">
      <c r="A44" s="2">
        <v>43</v>
      </c>
      <c r="B44" s="2" t="s">
        <v>31</v>
      </c>
      <c r="C44" s="2">
        <v>98</v>
      </c>
      <c r="D44" s="2" t="s">
        <v>29</v>
      </c>
    </row>
    <row r="45" spans="1:4" ht="15.75" customHeight="1" x14ac:dyDescent="0.2">
      <c r="A45" s="2">
        <v>44</v>
      </c>
      <c r="B45" s="2" t="s">
        <v>32</v>
      </c>
      <c r="C45" s="2">
        <v>99</v>
      </c>
      <c r="D45" s="2" t="s">
        <v>29</v>
      </c>
    </row>
    <row r="46" spans="1:4" ht="15.75" customHeight="1" x14ac:dyDescent="0.2">
      <c r="A46" s="2">
        <v>45</v>
      </c>
      <c r="B46" s="2" t="s">
        <v>33</v>
      </c>
      <c r="C46" s="2">
        <v>108</v>
      </c>
      <c r="D46" s="2" t="s">
        <v>29</v>
      </c>
    </row>
    <row r="47" spans="1:4" ht="15.75" customHeight="1" x14ac:dyDescent="0.2">
      <c r="A47" s="2">
        <v>46</v>
      </c>
      <c r="B47" s="2" t="s">
        <v>17</v>
      </c>
      <c r="C47" s="2">
        <v>97</v>
      </c>
      <c r="D47" s="2" t="s">
        <v>29</v>
      </c>
    </row>
    <row r="48" spans="1:4" ht="15.75" customHeight="1" x14ac:dyDescent="0.2">
      <c r="A48" s="2">
        <v>47</v>
      </c>
      <c r="B48" s="2" t="s">
        <v>34</v>
      </c>
      <c r="C48" s="2">
        <v>81</v>
      </c>
      <c r="D48" s="2" t="s">
        <v>7</v>
      </c>
    </row>
    <row r="49" spans="1:7" ht="15.75" customHeight="1" x14ac:dyDescent="0.2">
      <c r="A49" s="2">
        <v>48</v>
      </c>
      <c r="B49" s="2" t="s">
        <v>35</v>
      </c>
      <c r="C49" s="2">
        <v>99</v>
      </c>
      <c r="D49" s="2" t="s">
        <v>7</v>
      </c>
    </row>
    <row r="50" spans="1:7" ht="15.75" customHeight="1" x14ac:dyDescent="0.2">
      <c r="A50" s="2">
        <v>49</v>
      </c>
      <c r="B50" s="2" t="s">
        <v>36</v>
      </c>
      <c r="C50" s="2">
        <v>100</v>
      </c>
      <c r="D50" s="2" t="s">
        <v>7</v>
      </c>
    </row>
    <row r="51" spans="1:7" ht="15.75" customHeight="1" x14ac:dyDescent="0.2">
      <c r="A51" s="2">
        <v>50</v>
      </c>
      <c r="B51" s="2" t="s">
        <v>37</v>
      </c>
      <c r="C51" s="2">
        <v>124</v>
      </c>
      <c r="D51" s="2" t="s">
        <v>7</v>
      </c>
    </row>
    <row r="52" spans="1:7" ht="15.75" customHeight="1" x14ac:dyDescent="0.2">
      <c r="A52" s="2">
        <v>51</v>
      </c>
      <c r="B52" s="2" t="s">
        <v>38</v>
      </c>
      <c r="C52" s="2">
        <v>125</v>
      </c>
      <c r="D52" s="2" t="s">
        <v>7</v>
      </c>
    </row>
    <row r="53" spans="1:7" ht="15.75" customHeight="1" x14ac:dyDescent="0.2">
      <c r="A53" s="2">
        <v>52</v>
      </c>
      <c r="B53" s="2" t="s">
        <v>39</v>
      </c>
      <c r="C53" s="2">
        <v>126</v>
      </c>
      <c r="D53" s="2" t="s">
        <v>7</v>
      </c>
    </row>
    <row r="54" spans="1:7" ht="15.75" customHeight="1" x14ac:dyDescent="0.2">
      <c r="A54" s="2">
        <v>53</v>
      </c>
      <c r="B54" s="2" t="s">
        <v>40</v>
      </c>
      <c r="C54" s="2">
        <v>127</v>
      </c>
      <c r="D54" s="2" t="s">
        <v>7</v>
      </c>
    </row>
    <row r="55" spans="1:7" ht="15.75" customHeight="1" x14ac:dyDescent="0.2">
      <c r="A55" s="2">
        <v>54</v>
      </c>
      <c r="B55" s="2" t="s">
        <v>41</v>
      </c>
      <c r="C55" s="2">
        <v>128</v>
      </c>
      <c r="D55" s="2" t="s">
        <v>7</v>
      </c>
    </row>
    <row r="56" spans="1:7" ht="15.75" customHeight="1" x14ac:dyDescent="0.2">
      <c r="A56" s="2">
        <v>55</v>
      </c>
      <c r="B56" s="2" t="s">
        <v>42</v>
      </c>
      <c r="C56" s="2">
        <v>83</v>
      </c>
      <c r="D56" s="2" t="s">
        <v>7</v>
      </c>
      <c r="F56" s="2" t="s">
        <v>43</v>
      </c>
      <c r="G56" s="2">
        <v>1</v>
      </c>
    </row>
    <row r="57" spans="1:7" ht="15.75" customHeight="1" x14ac:dyDescent="0.2">
      <c r="A57" s="2">
        <v>56</v>
      </c>
      <c r="B57" s="2" t="s">
        <v>44</v>
      </c>
      <c r="C57" s="2">
        <v>98</v>
      </c>
      <c r="D57" s="2" t="s">
        <v>7</v>
      </c>
    </row>
    <row r="58" spans="1:7" ht="15.75" customHeight="1" x14ac:dyDescent="0.2">
      <c r="A58" s="2">
        <v>57</v>
      </c>
      <c r="B58" s="2" t="s">
        <v>30</v>
      </c>
      <c r="C58" s="2">
        <v>93</v>
      </c>
      <c r="D58" s="2" t="s">
        <v>7</v>
      </c>
    </row>
    <row r="59" spans="1:7" ht="15.75" customHeight="1" x14ac:dyDescent="0.2">
      <c r="A59" s="2">
        <v>58</v>
      </c>
      <c r="B59" s="2" t="s">
        <v>30</v>
      </c>
      <c r="C59" s="2">
        <v>97</v>
      </c>
      <c r="D59" s="2" t="s">
        <v>7</v>
      </c>
    </row>
    <row r="60" spans="1:7" ht="15.75" customHeight="1" x14ac:dyDescent="0.2">
      <c r="A60" s="2">
        <v>59</v>
      </c>
      <c r="B60" s="2" t="s">
        <v>30</v>
      </c>
      <c r="C60" s="2">
        <v>99</v>
      </c>
      <c r="D60" s="2" t="s">
        <v>7</v>
      </c>
    </row>
    <row r="61" spans="1:7" ht="15.75" customHeight="1" x14ac:dyDescent="0.2">
      <c r="A61" s="2">
        <v>60</v>
      </c>
      <c r="B61" s="2" t="s">
        <v>30</v>
      </c>
      <c r="C61" s="2">
        <v>100</v>
      </c>
      <c r="D61" s="2" t="s">
        <v>7</v>
      </c>
    </row>
    <row r="62" spans="1:7" ht="15.75" customHeight="1" x14ac:dyDescent="0.2">
      <c r="A62" s="2">
        <v>61</v>
      </c>
      <c r="B62" s="2" t="s">
        <v>45</v>
      </c>
      <c r="C62" s="2">
        <v>111</v>
      </c>
      <c r="D62" s="2" t="s">
        <v>7</v>
      </c>
    </row>
    <row r="63" spans="1:7" ht="15.75" customHeight="1" x14ac:dyDescent="0.2">
      <c r="A63" s="2">
        <v>62</v>
      </c>
      <c r="B63" s="2" t="s">
        <v>46</v>
      </c>
      <c r="C63" s="2">
        <v>112</v>
      </c>
      <c r="D63" s="2" t="s">
        <v>7</v>
      </c>
    </row>
    <row r="64" spans="1:7" ht="15.75" customHeight="1" x14ac:dyDescent="0.2">
      <c r="A64" s="2">
        <v>63</v>
      </c>
      <c r="B64" s="2" t="s">
        <v>47</v>
      </c>
      <c r="C64" s="2">
        <v>113</v>
      </c>
      <c r="D64" s="2" t="s">
        <v>7</v>
      </c>
    </row>
    <row r="65" spans="1:4" ht="15.75" customHeight="1" x14ac:dyDescent="0.2">
      <c r="A65" s="2">
        <v>64</v>
      </c>
      <c r="B65" s="2" t="s">
        <v>48</v>
      </c>
      <c r="C65" s="2">
        <v>114</v>
      </c>
      <c r="D65" s="2" t="s">
        <v>7</v>
      </c>
    </row>
    <row r="66" spans="1:4" ht="15.75" customHeight="1" x14ac:dyDescent="0.2">
      <c r="A66" s="2">
        <v>65</v>
      </c>
      <c r="B66" s="2" t="s">
        <v>49</v>
      </c>
      <c r="C66" s="2">
        <v>115</v>
      </c>
      <c r="D66" s="2" t="s">
        <v>7</v>
      </c>
    </row>
    <row r="67" spans="1:4" ht="15.75" customHeight="1" x14ac:dyDescent="0.2">
      <c r="A67" s="2">
        <v>66</v>
      </c>
      <c r="B67" s="2" t="s">
        <v>50</v>
      </c>
      <c r="C67" s="2">
        <v>116</v>
      </c>
      <c r="D67" s="2" t="s">
        <v>7</v>
      </c>
    </row>
    <row r="68" spans="1:4" ht="15.75" customHeight="1" x14ac:dyDescent="0.2">
      <c r="A68" s="2">
        <v>67</v>
      </c>
      <c r="B68" s="2" t="s">
        <v>51</v>
      </c>
      <c r="C68" s="2">
        <v>117</v>
      </c>
      <c r="D68" s="2" t="s">
        <v>7</v>
      </c>
    </row>
    <row r="69" spans="1:4" ht="15.75" customHeight="1" x14ac:dyDescent="0.2">
      <c r="A69" s="2">
        <v>68</v>
      </c>
      <c r="B69" s="2" t="s">
        <v>52</v>
      </c>
      <c r="C69" s="2">
        <v>118</v>
      </c>
      <c r="D69" s="2" t="s">
        <v>7</v>
      </c>
    </row>
    <row r="70" spans="1:4" ht="15.75" customHeight="1" x14ac:dyDescent="0.2">
      <c r="A70" s="2">
        <v>69</v>
      </c>
      <c r="B70" s="2" t="s">
        <v>53</v>
      </c>
      <c r="C70" s="2">
        <v>119</v>
      </c>
      <c r="D70" s="2" t="s">
        <v>7</v>
      </c>
    </row>
    <row r="71" spans="1:4" ht="15.75" customHeight="1" x14ac:dyDescent="0.2">
      <c r="A71" s="2">
        <v>70</v>
      </c>
      <c r="B71" s="2" t="s">
        <v>54</v>
      </c>
      <c r="C71" s="2">
        <v>120</v>
      </c>
      <c r="D71" s="2" t="s">
        <v>7</v>
      </c>
    </row>
    <row r="72" spans="1:4" ht="15.75" customHeight="1" x14ac:dyDescent="0.2">
      <c r="A72" s="2">
        <v>71</v>
      </c>
      <c r="B72" s="2" t="s">
        <v>55</v>
      </c>
      <c r="C72" s="2">
        <v>86</v>
      </c>
      <c r="D72" s="2" t="s">
        <v>29</v>
      </c>
    </row>
    <row r="73" spans="1:4" ht="15.75" customHeight="1" x14ac:dyDescent="0.2">
      <c r="A73" s="2">
        <v>72</v>
      </c>
      <c r="B73" s="2" t="s">
        <v>55</v>
      </c>
      <c r="C73" s="2">
        <v>88</v>
      </c>
      <c r="D73" s="2" t="s">
        <v>29</v>
      </c>
    </row>
    <row r="74" spans="1:4" ht="15.75" customHeight="1" x14ac:dyDescent="0.2">
      <c r="A74" s="2">
        <v>73</v>
      </c>
      <c r="B74" s="2" t="s">
        <v>55</v>
      </c>
      <c r="C74" s="2">
        <v>90</v>
      </c>
      <c r="D74" s="2" t="s">
        <v>29</v>
      </c>
    </row>
    <row r="75" spans="1:4" ht="15.75" customHeight="1" x14ac:dyDescent="0.2">
      <c r="A75" s="2">
        <v>74</v>
      </c>
      <c r="B75" s="2" t="s">
        <v>55</v>
      </c>
      <c r="C75" s="2">
        <v>94</v>
      </c>
      <c r="D75" s="2" t="s">
        <v>29</v>
      </c>
    </row>
    <row r="76" spans="1:4" ht="15.75" customHeight="1" x14ac:dyDescent="0.2">
      <c r="A76" s="2">
        <v>75</v>
      </c>
      <c r="B76" s="2" t="s">
        <v>55</v>
      </c>
      <c r="C76" s="2">
        <v>96</v>
      </c>
      <c r="D76" s="2" t="s">
        <v>29</v>
      </c>
    </row>
    <row r="77" spans="1:4" ht="15.75" customHeight="1" x14ac:dyDescent="0.2">
      <c r="A77" s="2">
        <v>76</v>
      </c>
      <c r="B77" s="2" t="s">
        <v>55</v>
      </c>
      <c r="C77" s="2">
        <v>8</v>
      </c>
      <c r="D77" s="2" t="s">
        <v>7</v>
      </c>
    </row>
    <row r="78" spans="1:4" ht="15.75" customHeight="1" x14ac:dyDescent="0.2">
      <c r="A78" s="2">
        <v>77</v>
      </c>
      <c r="B78" s="2" t="s">
        <v>55</v>
      </c>
      <c r="C78" s="2">
        <v>96</v>
      </c>
      <c r="D78" s="2" t="s">
        <v>7</v>
      </c>
    </row>
    <row r="79" spans="1:4" ht="15.75" customHeight="1" x14ac:dyDescent="0.2"/>
    <row r="80" spans="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G57" xr:uid="{00000000-0009-0000-0000-000000000000}"/>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5" defaultRowHeight="15" customHeight="1" x14ac:dyDescent="0.2"/>
  <cols>
    <col min="1" max="2" width="11.5" customWidth="1"/>
    <col min="3" max="3" width="12.6640625" customWidth="1"/>
    <col min="4" max="26" width="11.5" customWidth="1"/>
  </cols>
  <sheetData>
    <row r="1" spans="1:6" x14ac:dyDescent="0.2">
      <c r="A1" s="1" t="s">
        <v>56</v>
      </c>
      <c r="B1" s="1" t="s">
        <v>57</v>
      </c>
      <c r="C1" s="1" t="s">
        <v>58</v>
      </c>
      <c r="D1" s="1" t="s">
        <v>7</v>
      </c>
      <c r="E1" s="1" t="s">
        <v>59</v>
      </c>
      <c r="F1" s="1" t="s">
        <v>60</v>
      </c>
    </row>
    <row r="2" spans="1:6" x14ac:dyDescent="0.2">
      <c r="A2" s="2">
        <v>1</v>
      </c>
      <c r="B2" s="2" t="s">
        <v>61</v>
      </c>
      <c r="C2" s="2" t="s">
        <v>62</v>
      </c>
      <c r="D2" s="2">
        <v>79</v>
      </c>
      <c r="F2" s="3">
        <v>45245</v>
      </c>
    </row>
    <row r="3" spans="1:6" x14ac:dyDescent="0.2">
      <c r="A3" s="2">
        <v>2</v>
      </c>
      <c r="B3" s="2" t="s">
        <v>61</v>
      </c>
      <c r="C3" s="2" t="s">
        <v>42</v>
      </c>
      <c r="D3" s="2">
        <v>83</v>
      </c>
      <c r="F3" s="3">
        <v>45245</v>
      </c>
    </row>
    <row r="4" spans="1:6" x14ac:dyDescent="0.2">
      <c r="A4" s="2">
        <v>3</v>
      </c>
      <c r="B4" s="2" t="s">
        <v>61</v>
      </c>
      <c r="C4" s="2" t="s">
        <v>30</v>
      </c>
      <c r="D4" s="2">
        <v>84</v>
      </c>
      <c r="F4" s="3">
        <v>45245</v>
      </c>
    </row>
    <row r="5" spans="1:6" x14ac:dyDescent="0.2">
      <c r="A5" s="2">
        <v>4</v>
      </c>
      <c r="B5" s="2" t="s">
        <v>61</v>
      </c>
      <c r="C5" s="2" t="s">
        <v>55</v>
      </c>
      <c r="D5" s="2">
        <v>78</v>
      </c>
      <c r="F5" s="3">
        <v>45245</v>
      </c>
    </row>
    <row r="6" spans="1:6" x14ac:dyDescent="0.2">
      <c r="A6" s="2">
        <v>5</v>
      </c>
      <c r="B6" s="2" t="s">
        <v>61</v>
      </c>
      <c r="C6" s="2" t="s">
        <v>28</v>
      </c>
      <c r="D6" s="2">
        <v>83</v>
      </c>
      <c r="F6" s="3">
        <v>45245</v>
      </c>
    </row>
    <row r="7" spans="1:6" x14ac:dyDescent="0.2">
      <c r="A7" s="2">
        <v>6</v>
      </c>
      <c r="B7" s="2" t="s">
        <v>61</v>
      </c>
      <c r="C7" s="2" t="s">
        <v>63</v>
      </c>
      <c r="F7" s="3">
        <v>45245</v>
      </c>
    </row>
    <row r="8" spans="1:6" x14ac:dyDescent="0.2">
      <c r="A8" s="2">
        <v>8</v>
      </c>
      <c r="B8" s="2" t="s">
        <v>61</v>
      </c>
      <c r="C8" s="2" t="s">
        <v>17</v>
      </c>
      <c r="F8" s="3">
        <v>45245</v>
      </c>
    </row>
    <row r="9" spans="1:6" x14ac:dyDescent="0.2">
      <c r="A9" s="2">
        <v>9</v>
      </c>
      <c r="B9" s="2" t="s">
        <v>61</v>
      </c>
      <c r="C9" s="2" t="s">
        <v>64</v>
      </c>
      <c r="D9" s="2">
        <v>3</v>
      </c>
      <c r="F9" s="3">
        <v>45245</v>
      </c>
    </row>
    <row r="10" spans="1:6" x14ac:dyDescent="0.2">
      <c r="A10" s="2">
        <v>10</v>
      </c>
      <c r="B10" s="2" t="s">
        <v>65</v>
      </c>
      <c r="C10" s="2" t="s">
        <v>66</v>
      </c>
      <c r="D10" s="2">
        <v>105</v>
      </c>
      <c r="F10" s="3">
        <v>45245</v>
      </c>
    </row>
    <row r="11" spans="1:6" x14ac:dyDescent="0.2">
      <c r="A11" s="2">
        <v>11</v>
      </c>
      <c r="B11" s="2" t="s">
        <v>65</v>
      </c>
      <c r="C11" s="2" t="s">
        <v>67</v>
      </c>
      <c r="D11" s="2">
        <v>105</v>
      </c>
      <c r="F11" s="3">
        <v>45245</v>
      </c>
    </row>
    <row r="12" spans="1:6" x14ac:dyDescent="0.2">
      <c r="A12" s="2">
        <v>12</v>
      </c>
      <c r="B12" s="2" t="s">
        <v>65</v>
      </c>
      <c r="C12" s="2" t="s">
        <v>32</v>
      </c>
      <c r="D12" s="2">
        <v>106</v>
      </c>
      <c r="F12" s="3">
        <v>45245</v>
      </c>
    </row>
    <row r="13" spans="1:6" x14ac:dyDescent="0.2">
      <c r="A13" s="2">
        <v>13</v>
      </c>
      <c r="B13" s="2" t="s">
        <v>65</v>
      </c>
      <c r="C13" s="2" t="s">
        <v>55</v>
      </c>
      <c r="D13" s="2">
        <v>108</v>
      </c>
      <c r="F13" s="3">
        <v>45245</v>
      </c>
    </row>
    <row r="14" spans="1:6" x14ac:dyDescent="0.2">
      <c r="A14" s="2">
        <v>14</v>
      </c>
      <c r="B14" s="2" t="s">
        <v>65</v>
      </c>
      <c r="C14" s="2" t="s">
        <v>68</v>
      </c>
      <c r="D14" s="2">
        <v>105</v>
      </c>
      <c r="F14" s="3">
        <v>45245</v>
      </c>
    </row>
    <row r="15" spans="1:6" x14ac:dyDescent="0.2">
      <c r="A15" s="2">
        <v>15</v>
      </c>
      <c r="B15" s="2" t="s">
        <v>65</v>
      </c>
      <c r="C15" s="2" t="s">
        <v>69</v>
      </c>
      <c r="D15" s="2">
        <v>105</v>
      </c>
      <c r="F15" s="3">
        <v>45245</v>
      </c>
    </row>
    <row r="16" spans="1:6" x14ac:dyDescent="0.2">
      <c r="A16" s="2">
        <v>16</v>
      </c>
      <c r="B16" s="2" t="s">
        <v>65</v>
      </c>
      <c r="C16" s="2" t="s">
        <v>16</v>
      </c>
      <c r="D16" s="2">
        <v>11</v>
      </c>
      <c r="F16" s="3">
        <v>45245</v>
      </c>
    </row>
    <row r="17" spans="1:6" x14ac:dyDescent="0.2">
      <c r="A17" s="2">
        <v>17</v>
      </c>
      <c r="B17" s="2" t="s">
        <v>65</v>
      </c>
      <c r="C17" s="2" t="s">
        <v>17</v>
      </c>
      <c r="D17" s="2">
        <v>11</v>
      </c>
      <c r="F17" s="3">
        <v>45245</v>
      </c>
    </row>
    <row r="18" spans="1:6" x14ac:dyDescent="0.2">
      <c r="A18" s="2">
        <v>18</v>
      </c>
      <c r="B18" s="2" t="s">
        <v>65</v>
      </c>
      <c r="C18" s="2" t="s">
        <v>70</v>
      </c>
      <c r="D18" s="2">
        <v>5</v>
      </c>
      <c r="F18" s="3">
        <v>45245</v>
      </c>
    </row>
    <row r="19" spans="1:6" x14ac:dyDescent="0.2">
      <c r="A19" s="2">
        <v>19</v>
      </c>
      <c r="B19" s="2" t="s">
        <v>71</v>
      </c>
      <c r="C19" s="2" t="s">
        <v>62</v>
      </c>
      <c r="D19" s="2">
        <v>75</v>
      </c>
      <c r="E19" s="2">
        <v>81</v>
      </c>
      <c r="F19" s="3">
        <v>45245</v>
      </c>
    </row>
    <row r="20" spans="1:6" x14ac:dyDescent="0.2">
      <c r="A20" s="2">
        <v>20</v>
      </c>
      <c r="B20" s="2" t="s">
        <v>71</v>
      </c>
      <c r="C20" s="2" t="s">
        <v>42</v>
      </c>
      <c r="D20" s="2">
        <v>80</v>
      </c>
      <c r="F20" s="3">
        <v>45245</v>
      </c>
    </row>
    <row r="21" spans="1:6" ht="15.75" customHeight="1" x14ac:dyDescent="0.2">
      <c r="A21" s="2">
        <v>21</v>
      </c>
      <c r="B21" s="2" t="s">
        <v>71</v>
      </c>
      <c r="C21" s="2" t="s">
        <v>30</v>
      </c>
      <c r="D21" s="2">
        <v>82</v>
      </c>
      <c r="E21" s="2">
        <v>88</v>
      </c>
      <c r="F21" s="3">
        <v>45245</v>
      </c>
    </row>
    <row r="22" spans="1:6" ht="15.75" customHeight="1" x14ac:dyDescent="0.2">
      <c r="A22" s="2">
        <v>22</v>
      </c>
      <c r="B22" s="2" t="s">
        <v>71</v>
      </c>
      <c r="C22" s="2" t="s">
        <v>55</v>
      </c>
      <c r="D22" s="2">
        <v>74</v>
      </c>
      <c r="F22" s="3">
        <v>45245</v>
      </c>
    </row>
    <row r="23" spans="1:6" ht="15.75" customHeight="1" x14ac:dyDescent="0.2">
      <c r="A23" s="2">
        <v>23</v>
      </c>
      <c r="B23" s="2" t="s">
        <v>71</v>
      </c>
      <c r="C23" s="2" t="s">
        <v>28</v>
      </c>
      <c r="D23" s="2">
        <v>82</v>
      </c>
      <c r="F23" s="3">
        <v>45245</v>
      </c>
    </row>
    <row r="24" spans="1:6" ht="15.75" customHeight="1" x14ac:dyDescent="0.2">
      <c r="A24" s="2">
        <v>24</v>
      </c>
      <c r="B24" s="2" t="s">
        <v>71</v>
      </c>
      <c r="C24" s="2" t="s">
        <v>64</v>
      </c>
      <c r="D24" s="2">
        <v>3</v>
      </c>
      <c r="F24" s="3">
        <v>45245</v>
      </c>
    </row>
    <row r="25" spans="1:6" ht="15.75" customHeight="1" x14ac:dyDescent="0.2">
      <c r="A25" s="2">
        <v>25</v>
      </c>
      <c r="B25" s="2" t="s">
        <v>72</v>
      </c>
      <c r="C25" s="2" t="s">
        <v>66</v>
      </c>
      <c r="D25" s="2">
        <v>103</v>
      </c>
      <c r="F25" s="3">
        <v>45245</v>
      </c>
    </row>
    <row r="26" spans="1:6" ht="15.75" customHeight="1" x14ac:dyDescent="0.2">
      <c r="A26" s="2">
        <v>26</v>
      </c>
      <c r="B26" s="2" t="s">
        <v>72</v>
      </c>
      <c r="C26" s="2" t="s">
        <v>67</v>
      </c>
      <c r="D26" s="2">
        <v>104</v>
      </c>
      <c r="F26" s="3">
        <v>45245</v>
      </c>
    </row>
    <row r="27" spans="1:6" ht="15.75" customHeight="1" x14ac:dyDescent="0.2">
      <c r="A27" s="2">
        <v>27</v>
      </c>
      <c r="B27" s="2" t="s">
        <v>72</v>
      </c>
      <c r="C27" s="2" t="s">
        <v>32</v>
      </c>
      <c r="D27" s="2">
        <v>103</v>
      </c>
      <c r="F27" s="3">
        <v>45245</v>
      </c>
    </row>
    <row r="28" spans="1:6" ht="15.75" customHeight="1" x14ac:dyDescent="0.2">
      <c r="A28" s="2">
        <v>28</v>
      </c>
      <c r="B28" s="2" t="s">
        <v>72</v>
      </c>
      <c r="C28" s="2" t="s">
        <v>55</v>
      </c>
      <c r="D28" s="2">
        <v>104</v>
      </c>
      <c r="F28" s="3">
        <v>45245</v>
      </c>
    </row>
    <row r="29" spans="1:6" ht="15.75" customHeight="1" x14ac:dyDescent="0.2">
      <c r="A29" s="2">
        <v>29</v>
      </c>
      <c r="B29" s="2" t="s">
        <v>72</v>
      </c>
      <c r="C29" s="2" t="s">
        <v>68</v>
      </c>
      <c r="D29" s="2">
        <v>102</v>
      </c>
      <c r="F29" s="3">
        <v>45245</v>
      </c>
    </row>
    <row r="30" spans="1:6" ht="15.75" customHeight="1" x14ac:dyDescent="0.2">
      <c r="A30" s="2">
        <v>30</v>
      </c>
      <c r="B30" s="2" t="s">
        <v>72</v>
      </c>
      <c r="C30" s="2" t="s">
        <v>69</v>
      </c>
      <c r="D30" s="2">
        <v>103</v>
      </c>
      <c r="F30" s="3">
        <v>45245</v>
      </c>
    </row>
    <row r="31" spans="1:6" ht="15.75" customHeight="1" x14ac:dyDescent="0.2">
      <c r="A31" s="2">
        <v>31</v>
      </c>
      <c r="B31" s="2" t="s">
        <v>72</v>
      </c>
      <c r="C31" s="2" t="s">
        <v>16</v>
      </c>
      <c r="D31" s="2">
        <v>8</v>
      </c>
      <c r="E31" s="2">
        <v>9</v>
      </c>
      <c r="F31" s="3">
        <v>45245</v>
      </c>
    </row>
    <row r="32" spans="1:6" ht="15.75" customHeight="1" x14ac:dyDescent="0.2">
      <c r="A32" s="2">
        <v>32</v>
      </c>
      <c r="B32" s="2" t="s">
        <v>72</v>
      </c>
      <c r="C32" s="2" t="s">
        <v>17</v>
      </c>
      <c r="D32" s="2">
        <v>97</v>
      </c>
      <c r="F32" s="3">
        <v>45245</v>
      </c>
    </row>
    <row r="33" spans="1:6" ht="15.75" customHeight="1" x14ac:dyDescent="0.2">
      <c r="A33" s="2">
        <v>33</v>
      </c>
      <c r="B33" s="2" t="s">
        <v>73</v>
      </c>
      <c r="C33" s="2" t="s">
        <v>74</v>
      </c>
      <c r="D33" s="2">
        <v>109</v>
      </c>
      <c r="F33" s="3">
        <v>45245</v>
      </c>
    </row>
    <row r="34" spans="1:6" ht="15.75" customHeight="1" x14ac:dyDescent="0.2">
      <c r="A34" s="2">
        <v>34</v>
      </c>
      <c r="B34" s="2" t="s">
        <v>73</v>
      </c>
      <c r="C34" s="2" t="s">
        <v>75</v>
      </c>
      <c r="D34" s="2">
        <v>108</v>
      </c>
      <c r="F34" s="3">
        <v>45245</v>
      </c>
    </row>
    <row r="35" spans="1:6" ht="15.75" customHeight="1" x14ac:dyDescent="0.2">
      <c r="A35" s="2">
        <v>35</v>
      </c>
      <c r="B35" s="2" t="s">
        <v>73</v>
      </c>
      <c r="C35" s="2" t="s">
        <v>68</v>
      </c>
      <c r="D35" s="2">
        <v>108</v>
      </c>
      <c r="F35" s="3">
        <v>45245</v>
      </c>
    </row>
    <row r="36" spans="1:6" ht="15.75" customHeight="1" x14ac:dyDescent="0.2">
      <c r="A36" s="2">
        <v>36</v>
      </c>
      <c r="B36" s="2" t="s">
        <v>73</v>
      </c>
      <c r="C36" s="2" t="s">
        <v>76</v>
      </c>
      <c r="D36" s="2">
        <v>108</v>
      </c>
      <c r="E36" s="2" t="s">
        <v>77</v>
      </c>
      <c r="F36" s="3">
        <v>45245</v>
      </c>
    </row>
    <row r="37" spans="1:6" ht="15.75" customHeight="1" x14ac:dyDescent="0.2">
      <c r="A37" s="2">
        <v>37</v>
      </c>
      <c r="B37" s="2" t="s">
        <v>73</v>
      </c>
      <c r="C37" s="2" t="s">
        <v>69</v>
      </c>
      <c r="D37" s="2">
        <v>108</v>
      </c>
      <c r="F37" s="3">
        <v>45245</v>
      </c>
    </row>
    <row r="38" spans="1:6" ht="15.75" customHeight="1" x14ac:dyDescent="0.2">
      <c r="A38" s="2">
        <v>38</v>
      </c>
      <c r="B38" s="2" t="s">
        <v>73</v>
      </c>
      <c r="C38" s="2" t="s">
        <v>78</v>
      </c>
      <c r="D38" s="2">
        <v>0</v>
      </c>
      <c r="E38" s="2">
        <v>9</v>
      </c>
      <c r="F38" s="3">
        <v>45245</v>
      </c>
    </row>
    <row r="39" spans="1:6" ht="15.75" customHeight="1" x14ac:dyDescent="0.2">
      <c r="A39" s="2">
        <v>39</v>
      </c>
      <c r="B39" s="2" t="s">
        <v>73</v>
      </c>
      <c r="C39" s="2" t="s">
        <v>79</v>
      </c>
      <c r="D39" s="2">
        <v>121</v>
      </c>
      <c r="E39" s="2" t="s">
        <v>80</v>
      </c>
      <c r="F39" s="3">
        <v>45245</v>
      </c>
    </row>
    <row r="40" spans="1:6" ht="15.75" customHeight="1" x14ac:dyDescent="0.2">
      <c r="A40" s="2">
        <v>40</v>
      </c>
      <c r="B40" s="2" t="s">
        <v>73</v>
      </c>
      <c r="C40" s="2" t="s">
        <v>81</v>
      </c>
      <c r="D40" s="2">
        <v>121</v>
      </c>
      <c r="F40" s="3">
        <v>45245</v>
      </c>
    </row>
    <row r="41" spans="1:6" ht="15.75" customHeight="1" x14ac:dyDescent="0.2">
      <c r="A41" s="2">
        <v>41</v>
      </c>
      <c r="B41" s="2" t="s">
        <v>82</v>
      </c>
      <c r="C41" s="2" t="s">
        <v>62</v>
      </c>
      <c r="D41" s="2">
        <v>74</v>
      </c>
      <c r="F41" s="3">
        <v>45245</v>
      </c>
    </row>
    <row r="42" spans="1:6" ht="15.75" customHeight="1" x14ac:dyDescent="0.2">
      <c r="A42" s="2">
        <v>42</v>
      </c>
      <c r="B42" s="2" t="s">
        <v>82</v>
      </c>
      <c r="C42" s="2" t="s">
        <v>42</v>
      </c>
      <c r="D42" s="2">
        <v>75</v>
      </c>
      <c r="F42" s="3">
        <v>45245</v>
      </c>
    </row>
    <row r="43" spans="1:6" ht="15.75" customHeight="1" x14ac:dyDescent="0.2">
      <c r="A43" s="2">
        <v>43</v>
      </c>
      <c r="B43" s="2" t="s">
        <v>82</v>
      </c>
      <c r="C43" s="2" t="s">
        <v>30</v>
      </c>
      <c r="D43" s="2">
        <v>75</v>
      </c>
      <c r="E43" s="2">
        <v>81</v>
      </c>
      <c r="F43" s="3">
        <v>45245</v>
      </c>
    </row>
    <row r="44" spans="1:6" ht="15.75" customHeight="1" x14ac:dyDescent="0.2">
      <c r="A44" s="2">
        <v>44</v>
      </c>
      <c r="B44" s="2" t="s">
        <v>82</v>
      </c>
      <c r="C44" s="2" t="s">
        <v>55</v>
      </c>
      <c r="D44" s="2">
        <v>74</v>
      </c>
      <c r="E44" s="2">
        <v>8</v>
      </c>
      <c r="F44" s="3">
        <v>45245</v>
      </c>
    </row>
    <row r="45" spans="1:6" ht="15.75" customHeight="1" x14ac:dyDescent="0.2">
      <c r="A45" s="2">
        <v>45</v>
      </c>
      <c r="B45" s="2" t="s">
        <v>82</v>
      </c>
      <c r="C45" s="2" t="s">
        <v>28</v>
      </c>
      <c r="D45" s="2">
        <v>76</v>
      </c>
      <c r="F45" s="3">
        <v>45245</v>
      </c>
    </row>
    <row r="46" spans="1:6" ht="15.75" customHeight="1" x14ac:dyDescent="0.2">
      <c r="A46" s="2">
        <v>46</v>
      </c>
      <c r="B46" s="2" t="s">
        <v>82</v>
      </c>
      <c r="C46" s="2" t="s">
        <v>63</v>
      </c>
      <c r="D46" s="2">
        <v>76</v>
      </c>
      <c r="F46" s="3">
        <v>45245</v>
      </c>
    </row>
    <row r="47" spans="1:6" ht="15.75" customHeight="1" x14ac:dyDescent="0.2">
      <c r="A47" s="2">
        <v>47</v>
      </c>
      <c r="B47" s="2" t="s">
        <v>83</v>
      </c>
      <c r="C47" s="2" t="s">
        <v>66</v>
      </c>
      <c r="D47" s="2">
        <v>99</v>
      </c>
      <c r="F47" s="3">
        <v>45245</v>
      </c>
    </row>
    <row r="48" spans="1:6" ht="15.75" customHeight="1" x14ac:dyDescent="0.2">
      <c r="A48" s="2">
        <v>48</v>
      </c>
      <c r="B48" s="2" t="s">
        <v>83</v>
      </c>
      <c r="C48" s="2" t="s">
        <v>67</v>
      </c>
      <c r="D48" s="2">
        <v>100</v>
      </c>
      <c r="F48" s="3">
        <v>45245</v>
      </c>
    </row>
    <row r="49" spans="1:6" ht="15.75" customHeight="1" x14ac:dyDescent="0.2">
      <c r="A49" s="2">
        <v>49</v>
      </c>
      <c r="B49" s="2" t="s">
        <v>83</v>
      </c>
      <c r="C49" s="2" t="s">
        <v>32</v>
      </c>
      <c r="D49" s="2">
        <v>100</v>
      </c>
      <c r="F49" s="3">
        <v>45245</v>
      </c>
    </row>
    <row r="50" spans="1:6" ht="15.75" customHeight="1" x14ac:dyDescent="0.2">
      <c r="A50" s="2">
        <v>50</v>
      </c>
      <c r="B50" s="2" t="s">
        <v>83</v>
      </c>
      <c r="C50" s="2" t="s">
        <v>55</v>
      </c>
      <c r="D50" s="2">
        <v>98</v>
      </c>
      <c r="F50" s="3">
        <v>45245</v>
      </c>
    </row>
    <row r="51" spans="1:6" ht="15.75" customHeight="1" x14ac:dyDescent="0.2">
      <c r="A51" s="2">
        <v>51</v>
      </c>
      <c r="B51" s="2" t="s">
        <v>83</v>
      </c>
      <c r="C51" s="2" t="s">
        <v>68</v>
      </c>
      <c r="D51" s="2">
        <v>100</v>
      </c>
      <c r="F51" s="3">
        <v>45245</v>
      </c>
    </row>
    <row r="52" spans="1:6" ht="15.75" customHeight="1" x14ac:dyDescent="0.2">
      <c r="A52" s="2">
        <v>52</v>
      </c>
      <c r="B52" s="2" t="s">
        <v>83</v>
      </c>
      <c r="C52" s="2" t="s">
        <v>69</v>
      </c>
      <c r="D52" s="2">
        <v>100</v>
      </c>
      <c r="F52" s="3">
        <v>45245</v>
      </c>
    </row>
    <row r="53" spans="1:6" ht="15.75" customHeight="1" x14ac:dyDescent="0.2">
      <c r="A53" s="2">
        <v>53</v>
      </c>
      <c r="B53" s="2" t="s">
        <v>83</v>
      </c>
      <c r="C53" s="2" t="s">
        <v>16</v>
      </c>
      <c r="D53" s="2">
        <v>5</v>
      </c>
      <c r="E53" s="2">
        <v>8</v>
      </c>
      <c r="F53" s="3">
        <v>45245</v>
      </c>
    </row>
    <row r="54" spans="1:6" ht="15.75" customHeight="1" x14ac:dyDescent="0.2">
      <c r="A54" s="2">
        <v>54</v>
      </c>
      <c r="B54" s="2" t="s">
        <v>83</v>
      </c>
      <c r="C54" s="2" t="s">
        <v>17</v>
      </c>
      <c r="F54" s="3">
        <v>45245</v>
      </c>
    </row>
    <row r="55" spans="1:6" ht="15.75" customHeight="1" x14ac:dyDescent="0.2">
      <c r="A55" s="2">
        <v>55</v>
      </c>
      <c r="B55" s="2" t="s">
        <v>83</v>
      </c>
      <c r="C55" s="2" t="s">
        <v>70</v>
      </c>
      <c r="D55" s="2">
        <v>5</v>
      </c>
      <c r="F55" s="3">
        <v>45245</v>
      </c>
    </row>
    <row r="56" spans="1:6" ht="15.75" customHeight="1" x14ac:dyDescent="0.2">
      <c r="A56" s="2">
        <v>56</v>
      </c>
      <c r="B56" s="2" t="s">
        <v>83</v>
      </c>
      <c r="C56" s="2" t="s">
        <v>84</v>
      </c>
      <c r="D56" s="2">
        <v>88</v>
      </c>
      <c r="F56" s="3">
        <v>45245</v>
      </c>
    </row>
    <row r="57" spans="1:6" ht="15.75" customHeight="1" x14ac:dyDescent="0.2">
      <c r="A57" s="2">
        <v>57</v>
      </c>
      <c r="B57" s="2" t="s">
        <v>85</v>
      </c>
      <c r="C57" s="2" t="s">
        <v>86</v>
      </c>
      <c r="D57" s="2">
        <v>91</v>
      </c>
      <c r="F57" s="3">
        <v>45245</v>
      </c>
    </row>
    <row r="58" spans="1:6" ht="15.75" customHeight="1" x14ac:dyDescent="0.2">
      <c r="A58" s="2">
        <v>58</v>
      </c>
      <c r="B58" s="2" t="s">
        <v>85</v>
      </c>
      <c r="C58" s="2" t="s">
        <v>87</v>
      </c>
      <c r="D58" s="2">
        <v>92</v>
      </c>
      <c r="F58" s="3">
        <v>45245</v>
      </c>
    </row>
    <row r="59" spans="1:6" ht="15.75" customHeight="1" x14ac:dyDescent="0.2">
      <c r="A59" s="2">
        <v>59</v>
      </c>
      <c r="B59" s="2" t="s">
        <v>85</v>
      </c>
      <c r="C59" s="2" t="s">
        <v>30</v>
      </c>
      <c r="D59" s="2">
        <v>95</v>
      </c>
      <c r="F59" s="3">
        <v>45245</v>
      </c>
    </row>
    <row r="60" spans="1:6" ht="15.75" customHeight="1" x14ac:dyDescent="0.2">
      <c r="A60" s="2">
        <v>60</v>
      </c>
      <c r="B60" s="2" t="s">
        <v>85</v>
      </c>
      <c r="C60" s="2" t="s">
        <v>55</v>
      </c>
      <c r="D60" s="2">
        <v>88</v>
      </c>
      <c r="F60" s="3">
        <v>45245</v>
      </c>
    </row>
    <row r="61" spans="1:6" ht="15.75" customHeight="1" x14ac:dyDescent="0.2">
      <c r="A61" s="2">
        <v>61</v>
      </c>
      <c r="B61" s="2" t="s">
        <v>85</v>
      </c>
      <c r="C61" s="2" t="s">
        <v>88</v>
      </c>
      <c r="D61" s="2">
        <v>93</v>
      </c>
      <c r="F61" s="3">
        <v>45245</v>
      </c>
    </row>
    <row r="62" spans="1:6" ht="15.75" customHeight="1" x14ac:dyDescent="0.2">
      <c r="A62" s="2">
        <v>62</v>
      </c>
      <c r="B62" s="2" t="s">
        <v>85</v>
      </c>
      <c r="C62" s="2" t="s">
        <v>89</v>
      </c>
      <c r="D62" s="2">
        <v>101</v>
      </c>
      <c r="F62" s="3">
        <v>45245</v>
      </c>
    </row>
    <row r="63" spans="1:6" ht="15.75" customHeight="1" x14ac:dyDescent="0.2">
      <c r="A63" s="2">
        <v>63</v>
      </c>
      <c r="B63" s="2" t="s">
        <v>85</v>
      </c>
      <c r="C63" s="2" t="s">
        <v>90</v>
      </c>
      <c r="D63" s="2">
        <v>88</v>
      </c>
      <c r="F63" s="3">
        <v>45245</v>
      </c>
    </row>
    <row r="64" spans="1:6" ht="15.75" customHeight="1" x14ac:dyDescent="0.2">
      <c r="A64" s="2">
        <v>64</v>
      </c>
      <c r="B64" s="2" t="s">
        <v>85</v>
      </c>
      <c r="C64" s="2" t="s">
        <v>91</v>
      </c>
      <c r="D64" s="2">
        <v>102</v>
      </c>
      <c r="F64" s="3">
        <v>45245</v>
      </c>
    </row>
    <row r="65" spans="1:6" ht="15.75" customHeight="1" x14ac:dyDescent="0.2">
      <c r="A65" s="2">
        <v>65</v>
      </c>
      <c r="B65" s="2" t="s">
        <v>92</v>
      </c>
      <c r="C65" s="2" t="s">
        <v>86</v>
      </c>
      <c r="D65" s="2">
        <v>84</v>
      </c>
      <c r="F65" s="3">
        <v>45245</v>
      </c>
    </row>
    <row r="66" spans="1:6" ht="15.75" customHeight="1" x14ac:dyDescent="0.2">
      <c r="A66" s="2">
        <v>66</v>
      </c>
      <c r="B66" s="2" t="s">
        <v>92</v>
      </c>
      <c r="C66" s="2" t="s">
        <v>87</v>
      </c>
      <c r="D66" s="2">
        <v>86</v>
      </c>
      <c r="F66" s="3">
        <v>45245</v>
      </c>
    </row>
    <row r="67" spans="1:6" ht="15.75" customHeight="1" x14ac:dyDescent="0.2">
      <c r="A67" s="2">
        <v>67</v>
      </c>
      <c r="B67" s="2" t="s">
        <v>92</v>
      </c>
      <c r="C67" s="2" t="s">
        <v>30</v>
      </c>
      <c r="D67" s="2">
        <v>87</v>
      </c>
      <c r="F67" s="3">
        <v>45245</v>
      </c>
    </row>
    <row r="68" spans="1:6" ht="15.75" customHeight="1" x14ac:dyDescent="0.2">
      <c r="A68" s="2">
        <v>68</v>
      </c>
      <c r="B68" s="2" t="s">
        <v>92</v>
      </c>
      <c r="C68" s="2" t="s">
        <v>55</v>
      </c>
      <c r="D68" s="2">
        <v>84</v>
      </c>
      <c r="F68" s="3">
        <v>45245</v>
      </c>
    </row>
    <row r="69" spans="1:6" ht="15.75" customHeight="1" x14ac:dyDescent="0.2">
      <c r="A69" s="2">
        <v>69</v>
      </c>
      <c r="B69" s="2" t="s">
        <v>92</v>
      </c>
      <c r="C69" s="2" t="s">
        <v>88</v>
      </c>
      <c r="D69" s="2">
        <v>86</v>
      </c>
      <c r="F69" s="3">
        <v>45245</v>
      </c>
    </row>
    <row r="70" spans="1:6" ht="15.75" customHeight="1" x14ac:dyDescent="0.2">
      <c r="A70" s="2">
        <v>70</v>
      </c>
      <c r="B70" s="2" t="s">
        <v>92</v>
      </c>
      <c r="C70" s="2" t="s">
        <v>89</v>
      </c>
      <c r="D70" s="2">
        <v>98</v>
      </c>
      <c r="F70" s="3">
        <v>45245</v>
      </c>
    </row>
    <row r="71" spans="1:6" ht="15.75" customHeight="1" x14ac:dyDescent="0.2">
      <c r="A71" s="2">
        <v>72</v>
      </c>
      <c r="B71" s="2" t="s">
        <v>92</v>
      </c>
      <c r="C71" s="2" t="s">
        <v>91</v>
      </c>
      <c r="D71" s="2">
        <v>98</v>
      </c>
      <c r="F71" s="3">
        <v>45245</v>
      </c>
    </row>
    <row r="72" spans="1:6" ht="15.75" customHeight="1" x14ac:dyDescent="0.2">
      <c r="A72" s="2">
        <v>73</v>
      </c>
      <c r="B72" s="2" t="s">
        <v>93</v>
      </c>
      <c r="C72" s="2" t="s">
        <v>86</v>
      </c>
      <c r="D72" s="2">
        <v>89</v>
      </c>
      <c r="F72" s="3">
        <v>45245</v>
      </c>
    </row>
    <row r="73" spans="1:6" ht="15.75" customHeight="1" x14ac:dyDescent="0.2">
      <c r="A73" s="2">
        <v>74</v>
      </c>
      <c r="B73" s="2" t="s">
        <v>93</v>
      </c>
      <c r="C73" s="2" t="s">
        <v>87</v>
      </c>
      <c r="D73" s="2">
        <v>92</v>
      </c>
      <c r="F73" s="3">
        <v>45245</v>
      </c>
    </row>
    <row r="74" spans="1:6" ht="15.75" customHeight="1" x14ac:dyDescent="0.2">
      <c r="A74" s="2">
        <v>75</v>
      </c>
      <c r="B74" s="2" t="s">
        <v>93</v>
      </c>
      <c r="C74" s="2" t="s">
        <v>30</v>
      </c>
      <c r="D74" s="2">
        <v>92</v>
      </c>
      <c r="F74" s="3">
        <v>45245</v>
      </c>
    </row>
    <row r="75" spans="1:6" ht="15.75" customHeight="1" x14ac:dyDescent="0.2">
      <c r="A75" s="2">
        <v>76</v>
      </c>
      <c r="B75" s="2" t="s">
        <v>93</v>
      </c>
      <c r="C75" s="2" t="s">
        <v>55</v>
      </c>
      <c r="D75" s="2">
        <v>94</v>
      </c>
      <c r="F75" s="3">
        <v>45245</v>
      </c>
    </row>
    <row r="76" spans="1:6" ht="15.75" customHeight="1" x14ac:dyDescent="0.2">
      <c r="A76" s="2">
        <v>77</v>
      </c>
      <c r="B76" s="2" t="s">
        <v>93</v>
      </c>
      <c r="C76" s="2" t="s">
        <v>88</v>
      </c>
      <c r="D76" s="2">
        <v>92</v>
      </c>
      <c r="F76" s="3">
        <v>45245</v>
      </c>
    </row>
    <row r="77" spans="1:6" ht="15.75" customHeight="1" x14ac:dyDescent="0.2">
      <c r="A77" s="2">
        <v>78</v>
      </c>
      <c r="B77" s="2" t="s">
        <v>93</v>
      </c>
      <c r="C77" s="2" t="s">
        <v>89</v>
      </c>
      <c r="D77" s="2">
        <v>103</v>
      </c>
      <c r="F77" s="3">
        <v>45245</v>
      </c>
    </row>
    <row r="78" spans="1:6" ht="15.75" customHeight="1" x14ac:dyDescent="0.2">
      <c r="A78" s="2">
        <v>80</v>
      </c>
      <c r="B78" s="2" t="s">
        <v>93</v>
      </c>
      <c r="C78" s="2" t="s">
        <v>91</v>
      </c>
      <c r="D78" s="2">
        <v>104</v>
      </c>
      <c r="F78" s="3">
        <v>45245</v>
      </c>
    </row>
    <row r="79" spans="1:6" ht="15.75" customHeight="1" x14ac:dyDescent="0.2">
      <c r="A79" s="2">
        <v>81</v>
      </c>
      <c r="B79" s="2" t="s">
        <v>94</v>
      </c>
      <c r="C79" s="2" t="s">
        <v>66</v>
      </c>
      <c r="D79" s="2">
        <v>97</v>
      </c>
      <c r="E79" s="2">
        <v>102</v>
      </c>
      <c r="F79" s="3">
        <v>45245</v>
      </c>
    </row>
    <row r="80" spans="1:6" ht="15.75" customHeight="1" x14ac:dyDescent="0.2">
      <c r="A80" s="2">
        <v>82</v>
      </c>
      <c r="B80" s="2" t="s">
        <v>94</v>
      </c>
      <c r="C80" s="2" t="s">
        <v>67</v>
      </c>
      <c r="D80" s="2">
        <v>98</v>
      </c>
      <c r="F80" s="3">
        <v>45245</v>
      </c>
    </row>
    <row r="81" spans="1:6" ht="15.75" customHeight="1" x14ac:dyDescent="0.2">
      <c r="A81" s="2">
        <v>83</v>
      </c>
      <c r="B81" s="2" t="s">
        <v>94</v>
      </c>
      <c r="C81" s="2" t="s">
        <v>32</v>
      </c>
      <c r="D81" s="2">
        <v>97</v>
      </c>
      <c r="F81" s="3">
        <v>45245</v>
      </c>
    </row>
    <row r="82" spans="1:6" ht="15.75" customHeight="1" x14ac:dyDescent="0.2">
      <c r="A82" s="2">
        <v>84</v>
      </c>
      <c r="B82" s="2" t="s">
        <v>94</v>
      </c>
      <c r="C82" s="2" t="s">
        <v>55</v>
      </c>
      <c r="D82" s="2">
        <v>99</v>
      </c>
      <c r="F82" s="3">
        <v>45245</v>
      </c>
    </row>
    <row r="83" spans="1:6" ht="15.75" customHeight="1" x14ac:dyDescent="0.2">
      <c r="A83" s="2">
        <v>85</v>
      </c>
      <c r="B83" s="2" t="s">
        <v>94</v>
      </c>
      <c r="C83" s="2" t="s">
        <v>68</v>
      </c>
      <c r="D83" s="2">
        <v>97</v>
      </c>
      <c r="F83" s="3">
        <v>45245</v>
      </c>
    </row>
    <row r="84" spans="1:6" ht="15.75" customHeight="1" x14ac:dyDescent="0.2">
      <c r="A84" s="2">
        <v>86</v>
      </c>
      <c r="B84" s="2" t="s">
        <v>94</v>
      </c>
      <c r="C84" s="2" t="s">
        <v>69</v>
      </c>
      <c r="D84" s="2">
        <v>97</v>
      </c>
      <c r="F84" s="3">
        <v>45245</v>
      </c>
    </row>
    <row r="85" spans="1:6" ht="15.75" customHeight="1" x14ac:dyDescent="0.2">
      <c r="A85" s="2">
        <v>87</v>
      </c>
      <c r="B85" s="2" t="s">
        <v>94</v>
      </c>
      <c r="C85" s="2" t="s">
        <v>17</v>
      </c>
      <c r="D85" s="2">
        <v>1</v>
      </c>
      <c r="F85" s="3">
        <v>45245</v>
      </c>
    </row>
    <row r="86" spans="1:6" ht="15.75" customHeight="1" x14ac:dyDescent="0.2">
      <c r="A86" s="2">
        <v>88</v>
      </c>
      <c r="B86" s="2" t="s">
        <v>95</v>
      </c>
      <c r="C86" s="2" t="s">
        <v>74</v>
      </c>
      <c r="D86" s="2">
        <v>109</v>
      </c>
      <c r="F86" s="3">
        <v>45245</v>
      </c>
    </row>
    <row r="87" spans="1:6" ht="15.75" customHeight="1" x14ac:dyDescent="0.2">
      <c r="A87" s="2">
        <v>89</v>
      </c>
      <c r="B87" s="2" t="s">
        <v>95</v>
      </c>
      <c r="C87" s="2" t="s">
        <v>75</v>
      </c>
      <c r="D87" s="2">
        <v>109</v>
      </c>
      <c r="F87" s="3">
        <v>45245</v>
      </c>
    </row>
    <row r="88" spans="1:6" ht="15.75" customHeight="1" x14ac:dyDescent="0.2">
      <c r="A88" s="2">
        <v>90</v>
      </c>
      <c r="B88" s="2" t="s">
        <v>95</v>
      </c>
      <c r="C88" s="2" t="s">
        <v>76</v>
      </c>
      <c r="D88" s="2">
        <v>108</v>
      </c>
      <c r="F88" s="3">
        <v>45245</v>
      </c>
    </row>
    <row r="89" spans="1:6" ht="15.75" customHeight="1" x14ac:dyDescent="0.2">
      <c r="A89" s="2">
        <v>91</v>
      </c>
      <c r="B89" s="2" t="s">
        <v>95</v>
      </c>
      <c r="C89" s="2" t="s">
        <v>78</v>
      </c>
      <c r="D89" s="2">
        <v>1</v>
      </c>
      <c r="F89" s="3">
        <v>45245</v>
      </c>
    </row>
    <row r="90" spans="1:6" ht="15.75" customHeight="1" x14ac:dyDescent="0.2">
      <c r="A90" s="2">
        <v>91</v>
      </c>
      <c r="B90" s="2" t="s">
        <v>73</v>
      </c>
      <c r="C90" s="2" t="s">
        <v>22</v>
      </c>
      <c r="D90" s="2">
        <v>1</v>
      </c>
      <c r="E90" s="2">
        <v>6</v>
      </c>
      <c r="F90" s="3">
        <v>45245</v>
      </c>
    </row>
    <row r="91" spans="1:6" ht="15.75" customHeight="1" x14ac:dyDescent="0.2">
      <c r="A91" s="2">
        <v>92</v>
      </c>
      <c r="B91" s="2" t="s">
        <v>95</v>
      </c>
      <c r="C91" s="2" t="s">
        <v>12</v>
      </c>
      <c r="D91" s="2">
        <v>110</v>
      </c>
      <c r="F91" s="3">
        <v>45245</v>
      </c>
    </row>
    <row r="92" spans="1:6" ht="15.75" customHeight="1" x14ac:dyDescent="0.2">
      <c r="A92" s="2">
        <v>93</v>
      </c>
      <c r="B92" s="2" t="s">
        <v>95</v>
      </c>
      <c r="C92" s="2" t="s">
        <v>96</v>
      </c>
      <c r="D92" s="2">
        <v>1</v>
      </c>
      <c r="F92" s="3">
        <v>45245</v>
      </c>
    </row>
    <row r="93" spans="1:6" ht="15.75" customHeight="1" x14ac:dyDescent="0.2"/>
    <row r="94" spans="1:6" ht="15.75" customHeight="1" x14ac:dyDescent="0.2"/>
    <row r="95" spans="1:6" ht="15.75" customHeight="1" x14ac:dyDescent="0.2"/>
    <row r="96" spans="1: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E92"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baseColWidth="10" defaultColWidth="14.5" defaultRowHeight="15" customHeight="1" x14ac:dyDescent="0.2"/>
  <cols>
    <col min="1" max="1" width="2.83203125" customWidth="1"/>
    <col min="2" max="2" width="12.33203125" customWidth="1"/>
    <col min="3" max="3" width="19.6640625" customWidth="1"/>
    <col min="4" max="26" width="11.5" customWidth="1"/>
  </cols>
  <sheetData>
    <row r="1" spans="1:3" x14ac:dyDescent="0.2">
      <c r="A1" s="1" t="s">
        <v>56</v>
      </c>
      <c r="B1" s="1" t="s">
        <v>97</v>
      </c>
      <c r="C1" s="1" t="s">
        <v>98</v>
      </c>
    </row>
    <row r="2" spans="1:3" x14ac:dyDescent="0.2">
      <c r="A2" s="2">
        <v>1</v>
      </c>
      <c r="B2" s="2" t="s">
        <v>99</v>
      </c>
    </row>
    <row r="3" spans="1:3" x14ac:dyDescent="0.2">
      <c r="A3" s="2">
        <v>2</v>
      </c>
      <c r="B3" s="2" t="s">
        <v>100</v>
      </c>
      <c r="C3" s="2" t="s">
        <v>101</v>
      </c>
    </row>
    <row r="4" spans="1:3" x14ac:dyDescent="0.2">
      <c r="A4" s="2">
        <v>3</v>
      </c>
      <c r="B4" s="2" t="s">
        <v>100</v>
      </c>
      <c r="C4" s="2" t="s">
        <v>102</v>
      </c>
    </row>
    <row r="5" spans="1:3" x14ac:dyDescent="0.2">
      <c r="A5" s="2">
        <v>4</v>
      </c>
      <c r="B5" s="2" t="s">
        <v>100</v>
      </c>
      <c r="C5" s="2" t="s">
        <v>103</v>
      </c>
    </row>
    <row r="6" spans="1:3" x14ac:dyDescent="0.2">
      <c r="A6" s="2">
        <v>0</v>
      </c>
      <c r="B6" s="2" t="s">
        <v>104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O1000"/>
  <sheetViews>
    <sheetView workbookViewId="0"/>
  </sheetViews>
  <sheetFormatPr baseColWidth="10" defaultColWidth="14.5" defaultRowHeight="15" customHeight="1" x14ac:dyDescent="0.2"/>
  <cols>
    <col min="1" max="1" width="5.33203125" customWidth="1"/>
    <col min="2" max="2" width="15.6640625" customWidth="1"/>
    <col min="3" max="3" width="14.33203125" customWidth="1"/>
    <col min="4" max="4" width="24.5" customWidth="1"/>
    <col min="5" max="5" width="10.33203125" customWidth="1"/>
    <col min="6" max="6" width="28.5" customWidth="1"/>
    <col min="7" max="7" width="12.83203125" customWidth="1"/>
    <col min="8" max="8" width="11.5" customWidth="1"/>
    <col min="9" max="9" width="8.83203125" customWidth="1"/>
    <col min="10" max="10" width="9" customWidth="1"/>
    <col min="11" max="11" width="13.5" customWidth="1"/>
    <col min="12" max="12" width="16.1640625" customWidth="1"/>
    <col min="13" max="14" width="8.83203125" customWidth="1"/>
    <col min="15" max="15" width="12.33203125" customWidth="1"/>
    <col min="16" max="26" width="8.83203125" customWidth="1"/>
  </cols>
  <sheetData>
    <row r="1" spans="1:15" x14ac:dyDescent="0.2">
      <c r="A1" s="1" t="s">
        <v>56</v>
      </c>
      <c r="B1" s="1" t="s">
        <v>105</v>
      </c>
      <c r="C1" s="1" t="s">
        <v>106</v>
      </c>
      <c r="D1" s="1" t="s">
        <v>107</v>
      </c>
      <c r="E1" s="1" t="s">
        <v>108</v>
      </c>
      <c r="F1" s="1" t="s">
        <v>109</v>
      </c>
      <c r="G1" s="1" t="s">
        <v>110</v>
      </c>
      <c r="H1" s="1" t="s">
        <v>111</v>
      </c>
      <c r="I1" s="1" t="s">
        <v>112</v>
      </c>
      <c r="J1" s="1" t="s">
        <v>113</v>
      </c>
      <c r="K1" s="1" t="s">
        <v>114</v>
      </c>
      <c r="L1" s="1" t="s">
        <v>115</v>
      </c>
      <c r="M1" s="1" t="s">
        <v>116</v>
      </c>
      <c r="N1" s="1" t="s">
        <v>117</v>
      </c>
      <c r="O1" s="1" t="s">
        <v>118</v>
      </c>
    </row>
    <row r="2" spans="1:15" x14ac:dyDescent="0.2">
      <c r="A2" s="2">
        <v>1</v>
      </c>
      <c r="B2" s="2" t="s">
        <v>119</v>
      </c>
      <c r="D2" s="2" t="s">
        <v>95</v>
      </c>
      <c r="E2" s="2" t="s">
        <v>95</v>
      </c>
      <c r="G2" s="4">
        <v>39083</v>
      </c>
      <c r="H2" s="2">
        <v>1</v>
      </c>
      <c r="I2" s="2" t="s">
        <v>57</v>
      </c>
      <c r="J2" s="2">
        <v>4</v>
      </c>
      <c r="K2" s="2">
        <v>2</v>
      </c>
      <c r="L2" s="2">
        <v>1</v>
      </c>
      <c r="M2" s="2">
        <v>1</v>
      </c>
      <c r="N2" s="2" t="s">
        <v>120</v>
      </c>
      <c r="O2" s="2">
        <v>5</v>
      </c>
    </row>
    <row r="3" spans="1:15" x14ac:dyDescent="0.2">
      <c r="A3" s="2">
        <v>2</v>
      </c>
      <c r="B3" s="2" t="s">
        <v>119</v>
      </c>
      <c r="D3" s="2" t="s">
        <v>121</v>
      </c>
      <c r="E3" s="2" t="s">
        <v>122</v>
      </c>
      <c r="G3" s="4">
        <f t="shared" ref="G3:G29" ca="1" si="0">G2+3*RANDBETWEEN(-365, 365)</f>
        <v>39200</v>
      </c>
      <c r="H3" s="2">
        <v>1</v>
      </c>
      <c r="I3" s="2" t="s">
        <v>57</v>
      </c>
      <c r="J3" s="2">
        <v>4</v>
      </c>
      <c r="K3" s="2">
        <v>2</v>
      </c>
      <c r="L3" s="2">
        <v>1</v>
      </c>
      <c r="M3" s="2">
        <v>1</v>
      </c>
      <c r="N3" s="2" t="s">
        <v>120</v>
      </c>
      <c r="O3" s="2">
        <v>5</v>
      </c>
    </row>
    <row r="4" spans="1:15" x14ac:dyDescent="0.2">
      <c r="A4" s="2">
        <v>3</v>
      </c>
      <c r="B4" s="2" t="s">
        <v>119</v>
      </c>
      <c r="D4" s="2" t="s">
        <v>123</v>
      </c>
      <c r="E4" s="2" t="s">
        <v>93</v>
      </c>
      <c r="G4" s="4">
        <f t="shared" ca="1" si="0"/>
        <v>38480</v>
      </c>
      <c r="H4" s="2">
        <v>1</v>
      </c>
      <c r="I4" s="2" t="s">
        <v>57</v>
      </c>
      <c r="J4" s="2">
        <v>4</v>
      </c>
      <c r="K4" s="2">
        <v>2</v>
      </c>
      <c r="L4" s="2">
        <v>1</v>
      </c>
      <c r="M4" s="2">
        <v>1</v>
      </c>
      <c r="N4" s="2" t="s">
        <v>120</v>
      </c>
      <c r="O4" s="2">
        <v>5</v>
      </c>
    </row>
    <row r="5" spans="1:15" x14ac:dyDescent="0.2">
      <c r="A5" s="2">
        <v>4</v>
      </c>
      <c r="B5" s="2" t="s">
        <v>124</v>
      </c>
      <c r="D5" s="2" t="s">
        <v>125</v>
      </c>
      <c r="E5" s="2" t="s">
        <v>126</v>
      </c>
      <c r="G5" s="4">
        <f t="shared" ca="1" si="0"/>
        <v>38825</v>
      </c>
      <c r="H5" s="2">
        <v>2</v>
      </c>
      <c r="I5" s="2" t="s">
        <v>57</v>
      </c>
      <c r="J5" s="2">
        <v>4</v>
      </c>
      <c r="K5" s="2">
        <v>1</v>
      </c>
      <c r="L5" s="2">
        <v>2</v>
      </c>
      <c r="M5" s="2">
        <v>4</v>
      </c>
      <c r="N5" s="2" t="s">
        <v>120</v>
      </c>
      <c r="O5" s="2">
        <v>0</v>
      </c>
    </row>
    <row r="6" spans="1:15" x14ac:dyDescent="0.2">
      <c r="A6" s="2">
        <v>5</v>
      </c>
      <c r="B6" s="2" t="s">
        <v>127</v>
      </c>
      <c r="D6" s="2" t="s">
        <v>128</v>
      </c>
      <c r="E6" s="2" t="s">
        <v>128</v>
      </c>
      <c r="G6" s="4">
        <f t="shared" ca="1" si="0"/>
        <v>39836</v>
      </c>
      <c r="H6" s="2">
        <v>3</v>
      </c>
      <c r="I6" s="2" t="s">
        <v>57</v>
      </c>
      <c r="J6" s="2">
        <v>4</v>
      </c>
      <c r="K6" s="2">
        <v>1</v>
      </c>
      <c r="L6" s="2">
        <v>5</v>
      </c>
      <c r="M6" s="2">
        <v>1</v>
      </c>
      <c r="N6" s="2" t="s">
        <v>120</v>
      </c>
      <c r="O6" s="2">
        <v>0</v>
      </c>
    </row>
    <row r="7" spans="1:15" x14ac:dyDescent="0.2">
      <c r="A7" s="2">
        <v>6</v>
      </c>
      <c r="B7" s="2" t="s">
        <v>129</v>
      </c>
      <c r="C7" s="2" t="s">
        <v>130</v>
      </c>
      <c r="D7" s="2" t="s">
        <v>131</v>
      </c>
      <c r="E7" s="2" t="s">
        <v>131</v>
      </c>
      <c r="G7" s="4">
        <f t="shared" ca="1" si="0"/>
        <v>39899</v>
      </c>
      <c r="H7" s="2">
        <v>4</v>
      </c>
      <c r="I7" s="2" t="s">
        <v>57</v>
      </c>
      <c r="J7" s="2">
        <v>4</v>
      </c>
      <c r="K7" s="2">
        <v>1</v>
      </c>
      <c r="L7" s="2">
        <v>2</v>
      </c>
      <c r="M7" s="2">
        <v>1</v>
      </c>
      <c r="N7" s="2" t="s">
        <v>120</v>
      </c>
      <c r="O7" s="2">
        <v>0</v>
      </c>
    </row>
    <row r="8" spans="1:15" x14ac:dyDescent="0.2">
      <c r="A8" s="2">
        <v>7</v>
      </c>
      <c r="B8" s="2" t="s">
        <v>129</v>
      </c>
      <c r="C8" s="2" t="s">
        <v>130</v>
      </c>
      <c r="D8" s="2" t="s">
        <v>132</v>
      </c>
      <c r="E8" s="2" t="s">
        <v>132</v>
      </c>
      <c r="G8" s="4">
        <f t="shared" ca="1" si="0"/>
        <v>39383</v>
      </c>
      <c r="H8" s="2">
        <v>4</v>
      </c>
      <c r="I8" s="2" t="s">
        <v>57</v>
      </c>
      <c r="J8" s="2">
        <v>4</v>
      </c>
      <c r="K8" s="2">
        <v>1</v>
      </c>
      <c r="L8" s="2">
        <v>2</v>
      </c>
      <c r="M8" s="2">
        <v>1</v>
      </c>
      <c r="N8" s="2" t="s">
        <v>120</v>
      </c>
      <c r="O8" s="2">
        <v>0</v>
      </c>
    </row>
    <row r="9" spans="1:15" x14ac:dyDescent="0.2">
      <c r="A9" s="2">
        <v>8</v>
      </c>
      <c r="B9" s="2" t="s">
        <v>133</v>
      </c>
      <c r="C9" s="2" t="s">
        <v>134</v>
      </c>
      <c r="D9" s="2" t="s">
        <v>135</v>
      </c>
      <c r="E9" s="2" t="s">
        <v>135</v>
      </c>
      <c r="G9" s="4">
        <f t="shared" ca="1" si="0"/>
        <v>39248</v>
      </c>
      <c r="H9" s="2">
        <v>5</v>
      </c>
      <c r="I9" s="2" t="s">
        <v>57</v>
      </c>
      <c r="J9" s="2">
        <v>4</v>
      </c>
      <c r="K9" s="2">
        <v>1</v>
      </c>
      <c r="L9" s="2">
        <v>2</v>
      </c>
      <c r="M9" s="2">
        <v>1</v>
      </c>
      <c r="N9" s="2" t="s">
        <v>120</v>
      </c>
      <c r="O9" s="2">
        <v>0</v>
      </c>
    </row>
    <row r="10" spans="1:15" x14ac:dyDescent="0.2">
      <c r="A10" s="2">
        <v>9</v>
      </c>
      <c r="B10" s="2" t="s">
        <v>136</v>
      </c>
      <c r="D10" s="2" t="s">
        <v>137</v>
      </c>
      <c r="E10" s="2" t="s">
        <v>137</v>
      </c>
      <c r="G10" s="4">
        <f t="shared" ca="1" si="0"/>
        <v>39335</v>
      </c>
      <c r="H10" s="2">
        <v>6</v>
      </c>
      <c r="I10" s="2" t="s">
        <v>57</v>
      </c>
      <c r="J10" s="2">
        <v>4</v>
      </c>
      <c r="K10" s="2">
        <v>1</v>
      </c>
      <c r="L10" s="2">
        <v>2</v>
      </c>
      <c r="M10" s="2">
        <v>2</v>
      </c>
      <c r="N10" s="2" t="s">
        <v>120</v>
      </c>
      <c r="O10" s="2">
        <v>6</v>
      </c>
    </row>
    <row r="11" spans="1:15" x14ac:dyDescent="0.2">
      <c r="A11" s="2">
        <v>10</v>
      </c>
      <c r="B11" s="2" t="s">
        <v>138</v>
      </c>
      <c r="D11" s="2" t="s">
        <v>139</v>
      </c>
      <c r="E11" s="2" t="s">
        <v>85</v>
      </c>
      <c r="G11" s="4">
        <f t="shared" ca="1" si="0"/>
        <v>38444</v>
      </c>
      <c r="H11" s="2">
        <v>7</v>
      </c>
      <c r="I11" s="2" t="s">
        <v>57</v>
      </c>
      <c r="J11" s="2">
        <v>4</v>
      </c>
      <c r="K11" s="2">
        <v>1</v>
      </c>
      <c r="L11" s="2">
        <v>3</v>
      </c>
      <c r="M11" s="2">
        <v>1</v>
      </c>
      <c r="N11" s="2" t="s">
        <v>120</v>
      </c>
      <c r="O11" s="2">
        <v>3</v>
      </c>
    </row>
    <row r="12" spans="1:15" x14ac:dyDescent="0.2">
      <c r="A12" s="2">
        <v>11</v>
      </c>
      <c r="B12" s="2" t="s">
        <v>140</v>
      </c>
      <c r="D12" s="2" t="s">
        <v>141</v>
      </c>
      <c r="E12" s="2" t="s">
        <v>142</v>
      </c>
      <c r="G12" s="4">
        <f t="shared" ca="1" si="0"/>
        <v>38735</v>
      </c>
      <c r="H12" s="2">
        <v>8</v>
      </c>
      <c r="I12" s="2" t="s">
        <v>57</v>
      </c>
      <c r="J12" s="2">
        <v>4</v>
      </c>
      <c r="K12" s="2">
        <v>1</v>
      </c>
      <c r="L12" s="2">
        <v>2</v>
      </c>
      <c r="M12" s="2">
        <v>4</v>
      </c>
      <c r="N12" s="2" t="s">
        <v>143</v>
      </c>
      <c r="O12" s="2">
        <v>4</v>
      </c>
    </row>
    <row r="13" spans="1:15" x14ac:dyDescent="0.2">
      <c r="A13" s="2">
        <v>12</v>
      </c>
      <c r="B13" s="2" t="s">
        <v>144</v>
      </c>
      <c r="D13" s="2" t="s">
        <v>145</v>
      </c>
      <c r="E13" s="2" t="s">
        <v>72</v>
      </c>
      <c r="G13" s="4">
        <f t="shared" ca="1" si="0"/>
        <v>37745</v>
      </c>
      <c r="H13" s="2">
        <v>9</v>
      </c>
      <c r="I13" s="2" t="s">
        <v>57</v>
      </c>
      <c r="J13" s="2">
        <v>4</v>
      </c>
      <c r="K13" s="2">
        <v>1</v>
      </c>
      <c r="L13" s="2">
        <v>2</v>
      </c>
      <c r="M13" s="2">
        <v>1</v>
      </c>
      <c r="N13" s="2" t="s">
        <v>120</v>
      </c>
      <c r="O13" s="2">
        <v>1</v>
      </c>
    </row>
    <row r="14" spans="1:15" x14ac:dyDescent="0.2">
      <c r="A14" s="2">
        <v>13</v>
      </c>
      <c r="B14" s="2" t="s">
        <v>144</v>
      </c>
      <c r="D14" s="2" t="s">
        <v>146</v>
      </c>
      <c r="E14" s="2" t="s">
        <v>147</v>
      </c>
      <c r="G14" s="4">
        <f t="shared" ca="1" si="0"/>
        <v>37883</v>
      </c>
      <c r="H14" s="2">
        <v>9</v>
      </c>
      <c r="I14" s="2" t="s">
        <v>57</v>
      </c>
      <c r="J14" s="2">
        <v>4</v>
      </c>
      <c r="K14" s="2">
        <v>1</v>
      </c>
      <c r="L14" s="2">
        <v>2</v>
      </c>
      <c r="M14" s="2">
        <v>1</v>
      </c>
      <c r="N14" s="2" t="s">
        <v>120</v>
      </c>
      <c r="O14" s="2">
        <v>1</v>
      </c>
    </row>
    <row r="15" spans="1:15" x14ac:dyDescent="0.2">
      <c r="A15" s="2">
        <v>14</v>
      </c>
      <c r="B15" s="2" t="s">
        <v>148</v>
      </c>
      <c r="C15" s="2" t="s">
        <v>149</v>
      </c>
      <c r="D15" s="2" t="s">
        <v>150</v>
      </c>
      <c r="E15" s="2" t="s">
        <v>151</v>
      </c>
      <c r="G15" s="4">
        <f t="shared" ca="1" si="0"/>
        <v>37868</v>
      </c>
      <c r="H15" s="2">
        <v>10</v>
      </c>
      <c r="I15" s="2" t="s">
        <v>57</v>
      </c>
      <c r="J15" s="2">
        <v>4</v>
      </c>
      <c r="K15" s="2">
        <v>1</v>
      </c>
      <c r="L15" s="2">
        <v>2</v>
      </c>
      <c r="M15" s="2">
        <v>1</v>
      </c>
      <c r="N15" s="2" t="s">
        <v>120</v>
      </c>
      <c r="O15" s="2">
        <v>0</v>
      </c>
    </row>
    <row r="16" spans="1:15" x14ac:dyDescent="0.2">
      <c r="A16" s="2">
        <v>15</v>
      </c>
      <c r="B16" s="2" t="s">
        <v>148</v>
      </c>
      <c r="C16" s="2" t="s">
        <v>149</v>
      </c>
      <c r="D16" s="2" t="s">
        <v>152</v>
      </c>
      <c r="E16" s="2" t="s">
        <v>153</v>
      </c>
      <c r="G16" s="4">
        <f t="shared" ca="1" si="0"/>
        <v>37964</v>
      </c>
      <c r="H16" s="2">
        <v>10</v>
      </c>
      <c r="I16" s="2" t="s">
        <v>57</v>
      </c>
      <c r="J16" s="2">
        <v>4</v>
      </c>
      <c r="K16" s="2">
        <v>1</v>
      </c>
      <c r="L16" s="2">
        <v>2</v>
      </c>
      <c r="M16" s="2">
        <v>1</v>
      </c>
      <c r="N16" s="2" t="s">
        <v>120</v>
      </c>
      <c r="O16" s="2">
        <v>0</v>
      </c>
    </row>
    <row r="17" spans="1:15" x14ac:dyDescent="0.2">
      <c r="A17" s="2">
        <v>16</v>
      </c>
      <c r="B17" s="2" t="s">
        <v>148</v>
      </c>
      <c r="C17" s="2" t="s">
        <v>149</v>
      </c>
      <c r="D17" s="2" t="s">
        <v>154</v>
      </c>
      <c r="E17" s="2" t="s">
        <v>155</v>
      </c>
      <c r="G17" s="4">
        <f t="shared" ca="1" si="0"/>
        <v>37013</v>
      </c>
      <c r="H17" s="2">
        <v>10</v>
      </c>
      <c r="I17" s="2" t="s">
        <v>57</v>
      </c>
      <c r="J17" s="2">
        <v>4</v>
      </c>
      <c r="K17" s="2">
        <v>1</v>
      </c>
      <c r="L17" s="2">
        <v>2</v>
      </c>
      <c r="M17" s="2">
        <v>1</v>
      </c>
      <c r="N17" s="2" t="s">
        <v>120</v>
      </c>
      <c r="O17" s="2">
        <v>0</v>
      </c>
    </row>
    <row r="18" spans="1:15" x14ac:dyDescent="0.2">
      <c r="A18" s="2">
        <v>17</v>
      </c>
      <c r="B18" s="2" t="s">
        <v>156</v>
      </c>
      <c r="C18" s="2" t="s">
        <v>149</v>
      </c>
      <c r="D18" s="2" t="s">
        <v>157</v>
      </c>
      <c r="E18" s="2" t="s">
        <v>158</v>
      </c>
      <c r="G18" s="4">
        <f t="shared" ca="1" si="0"/>
        <v>36428</v>
      </c>
      <c r="H18" s="2">
        <v>11</v>
      </c>
      <c r="I18" s="2" t="s">
        <v>57</v>
      </c>
      <c r="J18" s="2">
        <v>4</v>
      </c>
      <c r="K18" s="2">
        <v>1</v>
      </c>
      <c r="L18" s="2">
        <v>2</v>
      </c>
      <c r="M18" s="2">
        <v>3</v>
      </c>
      <c r="N18" s="2" t="s">
        <v>120</v>
      </c>
      <c r="O18" s="2">
        <v>0</v>
      </c>
    </row>
    <row r="19" spans="1:15" x14ac:dyDescent="0.2">
      <c r="A19" s="2">
        <v>18</v>
      </c>
      <c r="B19" s="2" t="s">
        <v>156</v>
      </c>
      <c r="C19" s="2" t="s">
        <v>149</v>
      </c>
      <c r="D19" s="2" t="s">
        <v>159</v>
      </c>
      <c r="E19" s="2" t="s">
        <v>159</v>
      </c>
      <c r="G19" s="4">
        <f t="shared" ca="1" si="0"/>
        <v>37352</v>
      </c>
      <c r="H19" s="2">
        <v>11</v>
      </c>
      <c r="I19" s="2" t="s">
        <v>57</v>
      </c>
      <c r="J19" s="2">
        <v>4</v>
      </c>
      <c r="K19" s="2">
        <v>1</v>
      </c>
      <c r="L19" s="2">
        <v>2</v>
      </c>
      <c r="M19" s="2">
        <v>3</v>
      </c>
      <c r="N19" s="2" t="s">
        <v>120</v>
      </c>
      <c r="O19" s="2">
        <v>0</v>
      </c>
    </row>
    <row r="20" spans="1:15" x14ac:dyDescent="0.2">
      <c r="A20" s="2">
        <v>19</v>
      </c>
      <c r="B20" s="2" t="s">
        <v>160</v>
      </c>
      <c r="D20" s="2" t="s">
        <v>161</v>
      </c>
      <c r="E20" s="2" t="s">
        <v>83</v>
      </c>
      <c r="G20" s="4">
        <f t="shared" ca="1" si="0"/>
        <v>37655</v>
      </c>
      <c r="H20" s="2">
        <v>12</v>
      </c>
      <c r="I20" s="2" t="s">
        <v>57</v>
      </c>
      <c r="J20" s="2">
        <v>4</v>
      </c>
      <c r="K20" s="2">
        <v>6</v>
      </c>
      <c r="L20" s="2">
        <v>2</v>
      </c>
      <c r="M20" s="2">
        <v>1</v>
      </c>
      <c r="N20" s="2" t="s">
        <v>120</v>
      </c>
      <c r="O20" s="2">
        <v>0</v>
      </c>
    </row>
    <row r="21" spans="1:15" ht="15.75" customHeight="1" x14ac:dyDescent="0.2">
      <c r="A21" s="2">
        <v>20</v>
      </c>
      <c r="B21" s="2" t="s">
        <v>160</v>
      </c>
      <c r="D21" s="2" t="s">
        <v>162</v>
      </c>
      <c r="E21" s="2" t="s">
        <v>163</v>
      </c>
      <c r="G21" s="4">
        <f t="shared" ca="1" si="0"/>
        <v>37022</v>
      </c>
      <c r="H21" s="2">
        <v>12</v>
      </c>
      <c r="I21" s="2" t="s">
        <v>57</v>
      </c>
      <c r="J21" s="2">
        <v>4</v>
      </c>
      <c r="K21" s="2">
        <v>6</v>
      </c>
      <c r="L21" s="2">
        <v>2</v>
      </c>
      <c r="M21" s="2">
        <v>1</v>
      </c>
      <c r="N21" s="2" t="s">
        <v>120</v>
      </c>
      <c r="O21" s="2">
        <v>0</v>
      </c>
    </row>
    <row r="22" spans="1:15" ht="15.75" customHeight="1" x14ac:dyDescent="0.2">
      <c r="A22" s="2">
        <v>21</v>
      </c>
      <c r="B22" s="2" t="s">
        <v>164</v>
      </c>
      <c r="D22" s="2" t="s">
        <v>165</v>
      </c>
      <c r="E22" s="2" t="s">
        <v>166</v>
      </c>
      <c r="G22" s="4">
        <f t="shared" ca="1" si="0"/>
        <v>36176</v>
      </c>
      <c r="H22" s="2">
        <v>13</v>
      </c>
      <c r="I22" s="2" t="s">
        <v>57</v>
      </c>
      <c r="J22" s="2">
        <v>4</v>
      </c>
      <c r="K22" s="2">
        <v>1</v>
      </c>
      <c r="L22" s="2">
        <v>2</v>
      </c>
      <c r="M22" s="2">
        <v>1</v>
      </c>
      <c r="N22" s="2" t="s">
        <v>120</v>
      </c>
      <c r="O22" s="2">
        <v>4</v>
      </c>
    </row>
    <row r="23" spans="1:15" ht="15.75" customHeight="1" x14ac:dyDescent="0.2">
      <c r="A23" s="2">
        <v>22</v>
      </c>
      <c r="B23" s="2" t="s">
        <v>164</v>
      </c>
      <c r="D23" s="2" t="s">
        <v>167</v>
      </c>
      <c r="E23" s="2" t="s">
        <v>73</v>
      </c>
      <c r="G23" s="4">
        <f t="shared" ca="1" si="0"/>
        <v>35474</v>
      </c>
      <c r="H23" s="2">
        <v>13</v>
      </c>
      <c r="I23" s="2" t="s">
        <v>57</v>
      </c>
      <c r="J23" s="2">
        <v>4</v>
      </c>
      <c r="K23" s="2">
        <v>1</v>
      </c>
      <c r="L23" s="2">
        <v>2</v>
      </c>
      <c r="M23" s="2">
        <v>1</v>
      </c>
      <c r="N23" s="2" t="s">
        <v>143</v>
      </c>
      <c r="O23" s="2">
        <v>4</v>
      </c>
    </row>
    <row r="24" spans="1:15" ht="15.75" customHeight="1" x14ac:dyDescent="0.2">
      <c r="A24" s="2">
        <v>23</v>
      </c>
      <c r="B24" s="2" t="s">
        <v>164</v>
      </c>
      <c r="D24" s="2" t="s">
        <v>168</v>
      </c>
      <c r="E24" s="2" t="s">
        <v>94</v>
      </c>
      <c r="G24" s="4">
        <f t="shared" ca="1" si="0"/>
        <v>34745</v>
      </c>
      <c r="H24" s="2">
        <v>13</v>
      </c>
      <c r="I24" s="2" t="s">
        <v>57</v>
      </c>
      <c r="J24" s="2">
        <v>4</v>
      </c>
      <c r="K24" s="2">
        <v>1</v>
      </c>
      <c r="L24" s="2">
        <v>2</v>
      </c>
      <c r="M24" s="2">
        <v>1</v>
      </c>
      <c r="N24" s="2" t="s">
        <v>143</v>
      </c>
      <c r="O24" s="2">
        <v>4</v>
      </c>
    </row>
    <row r="25" spans="1:15" ht="15.75" customHeight="1" x14ac:dyDescent="0.2">
      <c r="A25" s="2">
        <v>24</v>
      </c>
      <c r="B25" s="2" t="s">
        <v>169</v>
      </c>
      <c r="D25" s="2" t="s">
        <v>170</v>
      </c>
      <c r="E25" s="2" t="s">
        <v>71</v>
      </c>
      <c r="G25" s="4">
        <f t="shared" ca="1" si="0"/>
        <v>34757</v>
      </c>
      <c r="H25" s="2">
        <v>14</v>
      </c>
      <c r="I25" s="2" t="s">
        <v>57</v>
      </c>
      <c r="J25" s="2">
        <v>4</v>
      </c>
      <c r="K25" s="2">
        <v>1</v>
      </c>
      <c r="L25" s="2">
        <v>3</v>
      </c>
      <c r="M25" s="2">
        <v>1</v>
      </c>
      <c r="N25" s="2" t="s">
        <v>120</v>
      </c>
      <c r="O25" s="2">
        <v>4</v>
      </c>
    </row>
    <row r="26" spans="1:15" ht="15.75" customHeight="1" x14ac:dyDescent="0.2">
      <c r="A26" s="2">
        <v>25</v>
      </c>
      <c r="B26" s="2" t="s">
        <v>169</v>
      </c>
      <c r="D26" s="2" t="s">
        <v>171</v>
      </c>
      <c r="E26" s="2" t="s">
        <v>65</v>
      </c>
      <c r="G26" s="4">
        <f t="shared" ca="1" si="0"/>
        <v>34553</v>
      </c>
      <c r="H26" s="2">
        <v>14</v>
      </c>
      <c r="I26" s="2" t="s">
        <v>57</v>
      </c>
      <c r="J26" s="2">
        <v>4</v>
      </c>
      <c r="K26" s="2">
        <v>1</v>
      </c>
      <c r="L26" s="2">
        <v>3</v>
      </c>
      <c r="M26" s="2">
        <v>1</v>
      </c>
      <c r="N26" s="2" t="s">
        <v>120</v>
      </c>
      <c r="O26" s="2">
        <v>4</v>
      </c>
    </row>
    <row r="27" spans="1:15" ht="15.75" customHeight="1" x14ac:dyDescent="0.2">
      <c r="A27" s="2">
        <v>26</v>
      </c>
      <c r="B27" s="2" t="s">
        <v>172</v>
      </c>
      <c r="D27" s="2" t="s">
        <v>173</v>
      </c>
      <c r="E27" s="2" t="s">
        <v>174</v>
      </c>
      <c r="G27" s="4">
        <f t="shared" ca="1" si="0"/>
        <v>35150</v>
      </c>
      <c r="H27" s="2">
        <v>15</v>
      </c>
      <c r="I27" s="2" t="s">
        <v>57</v>
      </c>
      <c r="J27" s="2">
        <v>4</v>
      </c>
      <c r="K27" s="2">
        <v>1</v>
      </c>
      <c r="L27" s="2">
        <v>2</v>
      </c>
      <c r="M27" s="2">
        <v>4</v>
      </c>
      <c r="N27" s="2" t="s">
        <v>120</v>
      </c>
      <c r="O27" s="2">
        <v>0</v>
      </c>
    </row>
    <row r="28" spans="1:15" ht="15.75" customHeight="1" x14ac:dyDescent="0.2">
      <c r="A28" s="2">
        <v>27</v>
      </c>
      <c r="B28" s="2" t="s">
        <v>172</v>
      </c>
      <c r="D28" s="2" t="s">
        <v>175</v>
      </c>
      <c r="E28" s="2" t="s">
        <v>176</v>
      </c>
      <c r="G28" s="4">
        <f t="shared" ca="1" si="0"/>
        <v>35249</v>
      </c>
      <c r="H28" s="2">
        <v>15</v>
      </c>
      <c r="I28" s="2" t="s">
        <v>57</v>
      </c>
      <c r="J28" s="2">
        <v>4</v>
      </c>
      <c r="K28" s="2">
        <v>1</v>
      </c>
      <c r="L28" s="2">
        <v>2</v>
      </c>
      <c r="M28" s="2">
        <v>4</v>
      </c>
      <c r="N28" s="2" t="s">
        <v>120</v>
      </c>
      <c r="O28" s="2">
        <v>0</v>
      </c>
    </row>
    <row r="29" spans="1:15" ht="15.75" customHeight="1" x14ac:dyDescent="0.2">
      <c r="A29" s="2">
        <v>28</v>
      </c>
      <c r="B29" s="2" t="s">
        <v>177</v>
      </c>
      <c r="D29" s="2" t="s">
        <v>158</v>
      </c>
      <c r="E29" s="2" t="s">
        <v>158</v>
      </c>
      <c r="G29" s="4">
        <f t="shared" ca="1" si="0"/>
        <v>35900</v>
      </c>
      <c r="H29" s="2">
        <v>16</v>
      </c>
      <c r="I29" s="2" t="s">
        <v>57</v>
      </c>
      <c r="J29" s="2">
        <v>4</v>
      </c>
      <c r="K29" s="2">
        <v>1</v>
      </c>
      <c r="L29" s="2">
        <v>2</v>
      </c>
      <c r="M29" s="2">
        <v>4</v>
      </c>
      <c r="N29" s="2" t="s">
        <v>120</v>
      </c>
      <c r="O29" s="2">
        <v>0</v>
      </c>
    </row>
    <row r="30" spans="1:15" ht="15.75" customHeight="1" x14ac:dyDescent="0.2">
      <c r="A30" s="2">
        <v>29</v>
      </c>
      <c r="B30" s="2" t="s">
        <v>178</v>
      </c>
      <c r="D30" s="2" t="s">
        <v>179</v>
      </c>
      <c r="E30" s="2" t="s">
        <v>82</v>
      </c>
      <c r="G30" s="4">
        <v>40453</v>
      </c>
      <c r="H30" s="2">
        <v>17</v>
      </c>
      <c r="I30" s="2" t="s">
        <v>57</v>
      </c>
      <c r="J30" s="2">
        <v>4</v>
      </c>
      <c r="K30" s="2">
        <v>1</v>
      </c>
      <c r="L30" s="2">
        <v>4</v>
      </c>
      <c r="M30" s="2">
        <v>1</v>
      </c>
      <c r="N30" s="2" t="s">
        <v>120</v>
      </c>
      <c r="O30" s="2">
        <v>4</v>
      </c>
    </row>
    <row r="31" spans="1:15" ht="15.75" customHeight="1" x14ac:dyDescent="0.2">
      <c r="A31" s="2">
        <v>30</v>
      </c>
      <c r="B31" s="2" t="s">
        <v>178</v>
      </c>
      <c r="D31" s="2" t="s">
        <v>180</v>
      </c>
      <c r="E31" s="2" t="s">
        <v>180</v>
      </c>
      <c r="F31" s="5" t="s">
        <v>181</v>
      </c>
      <c r="G31" s="4">
        <v>30584</v>
      </c>
      <c r="H31" s="2">
        <v>17</v>
      </c>
      <c r="I31" s="2" t="s">
        <v>182</v>
      </c>
      <c r="J31" s="2">
        <v>0</v>
      </c>
      <c r="K31" s="2">
        <v>1</v>
      </c>
      <c r="L31" s="2">
        <v>2</v>
      </c>
      <c r="M31" s="2">
        <v>0</v>
      </c>
      <c r="N31" s="2" t="s">
        <v>183</v>
      </c>
      <c r="O31" s="2">
        <v>4</v>
      </c>
    </row>
    <row r="32" spans="1:15" ht="15.75" customHeight="1" x14ac:dyDescent="0.2">
      <c r="A32" s="2">
        <v>31</v>
      </c>
      <c r="B32" s="2" t="s">
        <v>184</v>
      </c>
      <c r="D32" s="2" t="s">
        <v>185</v>
      </c>
      <c r="E32" s="2" t="s">
        <v>185</v>
      </c>
      <c r="F32" s="5" t="s">
        <v>186</v>
      </c>
      <c r="G32" s="4">
        <f t="shared" ref="G32:G61" ca="1" si="1">G31+3*RANDBETWEEN(-365, 365)</f>
        <v>30983</v>
      </c>
      <c r="H32" s="2">
        <v>20</v>
      </c>
      <c r="I32" s="2" t="s">
        <v>187</v>
      </c>
      <c r="J32" s="2">
        <v>0</v>
      </c>
      <c r="K32" s="2">
        <v>1</v>
      </c>
      <c r="L32" s="2">
        <v>2</v>
      </c>
      <c r="M32" s="2">
        <v>0</v>
      </c>
      <c r="N32" s="2" t="s">
        <v>188</v>
      </c>
      <c r="O32" s="2">
        <v>0</v>
      </c>
    </row>
    <row r="33" spans="1:15" ht="15.75" customHeight="1" x14ac:dyDescent="0.2">
      <c r="A33" s="2">
        <v>32</v>
      </c>
      <c r="B33" s="2" t="s">
        <v>177</v>
      </c>
      <c r="D33" s="2" t="s">
        <v>189</v>
      </c>
      <c r="E33" s="2" t="s">
        <v>189</v>
      </c>
      <c r="F33" s="5" t="s">
        <v>190</v>
      </c>
      <c r="G33" s="4">
        <f t="shared" ca="1" si="1"/>
        <v>32060</v>
      </c>
      <c r="H33" s="2">
        <v>16</v>
      </c>
      <c r="I33" s="2" t="s">
        <v>187</v>
      </c>
      <c r="J33" s="2">
        <v>3</v>
      </c>
      <c r="K33" s="2">
        <v>1</v>
      </c>
      <c r="L33" s="2">
        <v>2</v>
      </c>
      <c r="M33" s="2">
        <v>0</v>
      </c>
      <c r="N33" s="2" t="s">
        <v>188</v>
      </c>
      <c r="O33" s="2">
        <v>0</v>
      </c>
    </row>
    <row r="34" spans="1:15" ht="15.75" customHeight="1" x14ac:dyDescent="0.2">
      <c r="A34" s="2">
        <v>33</v>
      </c>
      <c r="B34" s="2" t="s">
        <v>169</v>
      </c>
      <c r="D34" s="2" t="s">
        <v>191</v>
      </c>
      <c r="E34" s="2" t="s">
        <v>191</v>
      </c>
      <c r="F34" s="5" t="s">
        <v>192</v>
      </c>
      <c r="G34" s="4">
        <f t="shared" ca="1" si="1"/>
        <v>31634</v>
      </c>
      <c r="H34" s="2">
        <v>14</v>
      </c>
      <c r="I34" s="2" t="s">
        <v>187</v>
      </c>
      <c r="J34" s="2">
        <v>1</v>
      </c>
      <c r="K34" s="2">
        <v>1</v>
      </c>
      <c r="L34" s="2">
        <v>2</v>
      </c>
      <c r="M34" s="2">
        <v>0</v>
      </c>
      <c r="N34" s="2" t="s">
        <v>188</v>
      </c>
      <c r="O34" s="2">
        <v>0</v>
      </c>
    </row>
    <row r="35" spans="1:15" ht="15.75" customHeight="1" x14ac:dyDescent="0.2">
      <c r="A35" s="2">
        <v>34</v>
      </c>
      <c r="B35" s="2" t="s">
        <v>193</v>
      </c>
      <c r="D35" s="2" t="s">
        <v>194</v>
      </c>
      <c r="E35" s="2" t="s">
        <v>194</v>
      </c>
      <c r="G35" s="4">
        <f t="shared" ca="1" si="1"/>
        <v>31757</v>
      </c>
      <c r="H35" s="2">
        <v>20</v>
      </c>
      <c r="I35" s="2" t="s">
        <v>182</v>
      </c>
      <c r="J35" s="2">
        <v>0</v>
      </c>
      <c r="K35" s="2">
        <v>1</v>
      </c>
      <c r="L35" s="2">
        <v>2</v>
      </c>
      <c r="M35" s="2">
        <v>0</v>
      </c>
      <c r="N35" s="2" t="s">
        <v>188</v>
      </c>
      <c r="O35" s="2">
        <v>0</v>
      </c>
    </row>
    <row r="36" spans="1:15" ht="15.75" customHeight="1" x14ac:dyDescent="0.2">
      <c r="A36" s="2">
        <v>35</v>
      </c>
      <c r="B36" s="2" t="s">
        <v>156</v>
      </c>
      <c r="C36" s="2" t="s">
        <v>149</v>
      </c>
      <c r="D36" s="2" t="s">
        <v>195</v>
      </c>
      <c r="E36" s="2" t="s">
        <v>195</v>
      </c>
      <c r="G36" s="4">
        <f t="shared" ca="1" si="1"/>
        <v>31937</v>
      </c>
      <c r="H36" s="2">
        <v>20</v>
      </c>
      <c r="I36" s="2" t="s">
        <v>187</v>
      </c>
      <c r="J36" s="2">
        <v>2</v>
      </c>
      <c r="K36" s="2">
        <v>1</v>
      </c>
      <c r="L36" s="2">
        <v>2</v>
      </c>
      <c r="M36" s="2">
        <v>0</v>
      </c>
      <c r="N36" s="2" t="s">
        <v>188</v>
      </c>
      <c r="O36" s="2">
        <v>0</v>
      </c>
    </row>
    <row r="37" spans="1:15" ht="15.75" customHeight="1" x14ac:dyDescent="0.2">
      <c r="A37" s="2">
        <v>36</v>
      </c>
      <c r="B37" s="2" t="s">
        <v>196</v>
      </c>
      <c r="C37" s="2" t="s">
        <v>134</v>
      </c>
      <c r="D37" s="2" t="s">
        <v>197</v>
      </c>
      <c r="E37" s="2" t="s">
        <v>197</v>
      </c>
      <c r="G37" s="4">
        <f t="shared" ca="1" si="1"/>
        <v>32885</v>
      </c>
      <c r="H37" s="2">
        <v>21</v>
      </c>
      <c r="I37" s="2" t="s">
        <v>187</v>
      </c>
      <c r="J37" s="2">
        <v>0</v>
      </c>
      <c r="K37" s="2">
        <v>1</v>
      </c>
      <c r="L37" s="2">
        <v>2</v>
      </c>
      <c r="M37" s="2">
        <v>0</v>
      </c>
      <c r="N37" s="2" t="s">
        <v>188</v>
      </c>
      <c r="O37" s="2">
        <v>0</v>
      </c>
    </row>
    <row r="38" spans="1:15" ht="15.75" customHeight="1" x14ac:dyDescent="0.2">
      <c r="A38" s="2">
        <v>37</v>
      </c>
      <c r="B38" s="2" t="s">
        <v>160</v>
      </c>
      <c r="D38" s="2" t="s">
        <v>198</v>
      </c>
      <c r="E38" s="2" t="s">
        <v>198</v>
      </c>
      <c r="F38" s="2" t="s">
        <v>199</v>
      </c>
      <c r="G38" s="4">
        <f t="shared" ca="1" si="1"/>
        <v>32657</v>
      </c>
      <c r="H38" s="2">
        <v>12</v>
      </c>
      <c r="I38" s="2" t="s">
        <v>182</v>
      </c>
      <c r="J38" s="2">
        <v>0</v>
      </c>
      <c r="K38" s="2">
        <v>6</v>
      </c>
      <c r="L38" s="2">
        <v>2</v>
      </c>
      <c r="M38" s="2">
        <v>0</v>
      </c>
      <c r="N38" s="2" t="s">
        <v>188</v>
      </c>
      <c r="O38" s="2">
        <v>0</v>
      </c>
    </row>
    <row r="39" spans="1:15" ht="15.75" customHeight="1" x14ac:dyDescent="0.2">
      <c r="A39" s="2">
        <v>38</v>
      </c>
      <c r="B39" s="2" t="s">
        <v>200</v>
      </c>
      <c r="D39" s="2" t="s">
        <v>92</v>
      </c>
      <c r="E39" s="2" t="s">
        <v>92</v>
      </c>
      <c r="G39" s="4">
        <f t="shared" ca="1" si="1"/>
        <v>33590</v>
      </c>
      <c r="H39" s="2">
        <v>18</v>
      </c>
      <c r="I39" s="2" t="s">
        <v>57</v>
      </c>
      <c r="J39" s="2">
        <v>4</v>
      </c>
      <c r="K39" s="2">
        <v>1</v>
      </c>
      <c r="L39" s="2">
        <v>2</v>
      </c>
      <c r="M39" s="2">
        <v>0</v>
      </c>
      <c r="N39" s="2" t="s">
        <v>188</v>
      </c>
      <c r="O39" s="2">
        <v>0</v>
      </c>
    </row>
    <row r="40" spans="1:15" ht="15.75" customHeight="1" x14ac:dyDescent="0.2">
      <c r="A40" s="2">
        <v>39</v>
      </c>
      <c r="B40" s="2" t="s">
        <v>200</v>
      </c>
      <c r="D40" s="2" t="s">
        <v>61</v>
      </c>
      <c r="E40" s="2" t="s">
        <v>61</v>
      </c>
      <c r="G40" s="4">
        <f t="shared" ca="1" si="1"/>
        <v>33101</v>
      </c>
      <c r="H40" s="2">
        <v>18</v>
      </c>
      <c r="I40" s="2" t="s">
        <v>57</v>
      </c>
      <c r="J40" s="2">
        <v>4</v>
      </c>
      <c r="K40" s="2">
        <v>1</v>
      </c>
      <c r="L40" s="2">
        <v>2</v>
      </c>
      <c r="M40" s="2">
        <v>0</v>
      </c>
      <c r="N40" s="2" t="s">
        <v>188</v>
      </c>
      <c r="O40" s="2">
        <v>0</v>
      </c>
    </row>
    <row r="41" spans="1:15" ht="15.75" customHeight="1" x14ac:dyDescent="0.2">
      <c r="A41" s="2">
        <v>40</v>
      </c>
      <c r="B41" s="2" t="s">
        <v>200</v>
      </c>
      <c r="D41" s="2" t="s">
        <v>201</v>
      </c>
      <c r="E41" s="2" t="s">
        <v>202</v>
      </c>
      <c r="G41" s="4">
        <f t="shared" ca="1" si="1"/>
        <v>34016</v>
      </c>
      <c r="H41" s="2">
        <v>18</v>
      </c>
      <c r="I41" s="2" t="s">
        <v>57</v>
      </c>
      <c r="J41" s="2">
        <v>3</v>
      </c>
      <c r="K41" s="2">
        <v>1</v>
      </c>
      <c r="L41" s="2">
        <v>2</v>
      </c>
      <c r="M41" s="2">
        <v>0</v>
      </c>
      <c r="N41" s="2" t="s">
        <v>188</v>
      </c>
      <c r="O41" s="2">
        <v>0</v>
      </c>
    </row>
    <row r="42" spans="1:15" ht="15.75" customHeight="1" x14ac:dyDescent="0.2">
      <c r="A42" s="2">
        <v>41</v>
      </c>
      <c r="B42" s="2" t="s">
        <v>129</v>
      </c>
      <c r="C42" s="2" t="s">
        <v>130</v>
      </c>
      <c r="D42" s="2" t="s">
        <v>203</v>
      </c>
      <c r="E42" s="2" t="s">
        <v>203</v>
      </c>
      <c r="F42" s="2" t="s">
        <v>204</v>
      </c>
      <c r="G42" s="4">
        <f t="shared" ca="1" si="1"/>
        <v>33107</v>
      </c>
      <c r="H42" s="2">
        <v>4</v>
      </c>
      <c r="I42" s="2" t="s">
        <v>205</v>
      </c>
      <c r="J42" s="2">
        <v>0</v>
      </c>
      <c r="K42" s="2">
        <v>1</v>
      </c>
      <c r="L42" s="2">
        <v>2</v>
      </c>
      <c r="M42" s="2">
        <v>0</v>
      </c>
      <c r="N42" s="2" t="s">
        <v>188</v>
      </c>
      <c r="O42" s="2">
        <v>0</v>
      </c>
    </row>
    <row r="43" spans="1:15" ht="15.75" customHeight="1" x14ac:dyDescent="0.2">
      <c r="A43" s="2">
        <v>42</v>
      </c>
      <c r="B43" s="2" t="s">
        <v>144</v>
      </c>
      <c r="D43" s="2" t="s">
        <v>206</v>
      </c>
      <c r="E43" s="2" t="s">
        <v>207</v>
      </c>
      <c r="F43" s="2" t="s">
        <v>208</v>
      </c>
      <c r="G43" s="4">
        <f t="shared" ca="1" si="1"/>
        <v>34019</v>
      </c>
      <c r="H43" s="2">
        <v>9</v>
      </c>
      <c r="I43" s="2" t="s">
        <v>205</v>
      </c>
      <c r="J43" s="2">
        <v>0</v>
      </c>
      <c r="K43" s="2">
        <v>1</v>
      </c>
      <c r="L43" s="2">
        <v>2</v>
      </c>
      <c r="M43" s="2">
        <v>0</v>
      </c>
      <c r="N43" s="2" t="s">
        <v>188</v>
      </c>
      <c r="O43" s="2">
        <v>0</v>
      </c>
    </row>
    <row r="44" spans="1:15" ht="15.75" customHeight="1" x14ac:dyDescent="0.2">
      <c r="A44" s="2">
        <v>43</v>
      </c>
      <c r="B44" s="2" t="s">
        <v>144</v>
      </c>
      <c r="D44" s="2" t="s">
        <v>209</v>
      </c>
      <c r="E44" s="2" t="s">
        <v>210</v>
      </c>
      <c r="G44" s="4">
        <f t="shared" ca="1" si="1"/>
        <v>33470</v>
      </c>
      <c r="H44" s="2">
        <v>9</v>
      </c>
      <c r="I44" s="2" t="s">
        <v>205</v>
      </c>
      <c r="J44" s="2">
        <v>0</v>
      </c>
      <c r="K44" s="2">
        <v>1</v>
      </c>
      <c r="M44" s="2">
        <v>0</v>
      </c>
      <c r="N44" s="2" t="s">
        <v>188</v>
      </c>
      <c r="O44" s="2">
        <v>0</v>
      </c>
    </row>
    <row r="45" spans="1:15" ht="15.75" customHeight="1" x14ac:dyDescent="0.2">
      <c r="A45" s="2">
        <v>44</v>
      </c>
      <c r="B45" s="2" t="s">
        <v>148</v>
      </c>
      <c r="C45" s="2" t="s">
        <v>149</v>
      </c>
      <c r="D45" s="2" t="s">
        <v>211</v>
      </c>
      <c r="E45" s="2" t="s">
        <v>211</v>
      </c>
      <c r="F45" s="2" t="s">
        <v>212</v>
      </c>
      <c r="G45" s="4">
        <f t="shared" ca="1" si="1"/>
        <v>32990</v>
      </c>
      <c r="H45" s="2">
        <v>10</v>
      </c>
      <c r="I45" s="2" t="s">
        <v>205</v>
      </c>
      <c r="J45" s="2">
        <v>0</v>
      </c>
      <c r="K45" s="2">
        <v>1</v>
      </c>
      <c r="L45" s="2">
        <v>2</v>
      </c>
      <c r="M45" s="2">
        <v>0</v>
      </c>
      <c r="N45" s="2" t="s">
        <v>188</v>
      </c>
      <c r="O45" s="2">
        <v>0</v>
      </c>
    </row>
    <row r="46" spans="1:15" ht="15.75" customHeight="1" x14ac:dyDescent="0.2">
      <c r="A46" s="2">
        <v>45</v>
      </c>
      <c r="B46" s="2" t="s">
        <v>164</v>
      </c>
      <c r="D46" s="2" t="s">
        <v>213</v>
      </c>
      <c r="E46" s="2" t="s">
        <v>213</v>
      </c>
      <c r="F46" s="2" t="s">
        <v>214</v>
      </c>
      <c r="G46" s="4">
        <f t="shared" ca="1" si="1"/>
        <v>32840</v>
      </c>
      <c r="H46" s="2">
        <v>13</v>
      </c>
      <c r="I46" s="2" t="s">
        <v>205</v>
      </c>
      <c r="J46" s="2">
        <v>0</v>
      </c>
      <c r="K46" s="2">
        <v>1</v>
      </c>
      <c r="L46" s="2">
        <v>2</v>
      </c>
      <c r="M46" s="2">
        <v>0</v>
      </c>
      <c r="N46" s="2" t="s">
        <v>188</v>
      </c>
      <c r="O46" s="2">
        <v>0</v>
      </c>
    </row>
    <row r="47" spans="1:15" ht="15.75" customHeight="1" x14ac:dyDescent="0.2">
      <c r="A47" s="2">
        <v>46</v>
      </c>
      <c r="B47" s="2" t="s">
        <v>164</v>
      </c>
      <c r="D47" s="2" t="s">
        <v>215</v>
      </c>
      <c r="E47" s="2" t="s">
        <v>215</v>
      </c>
      <c r="F47" s="2" t="s">
        <v>214</v>
      </c>
      <c r="G47" s="4">
        <f t="shared" ca="1" si="1"/>
        <v>32252</v>
      </c>
      <c r="H47" s="2">
        <v>13</v>
      </c>
      <c r="I47" s="2" t="s">
        <v>205</v>
      </c>
      <c r="J47" s="2">
        <v>0</v>
      </c>
      <c r="K47" s="2">
        <v>1</v>
      </c>
      <c r="L47" s="2">
        <v>2</v>
      </c>
      <c r="M47" s="2">
        <v>0</v>
      </c>
      <c r="N47" s="2" t="s">
        <v>188</v>
      </c>
      <c r="O47" s="2">
        <v>0</v>
      </c>
    </row>
    <row r="48" spans="1:15" ht="15.75" customHeight="1" x14ac:dyDescent="0.2">
      <c r="A48" s="2">
        <v>47</v>
      </c>
      <c r="B48" s="2" t="s">
        <v>169</v>
      </c>
      <c r="D48" s="2" t="s">
        <v>216</v>
      </c>
      <c r="E48" s="2" t="s">
        <v>216</v>
      </c>
      <c r="F48" s="2" t="s">
        <v>217</v>
      </c>
      <c r="G48" s="4">
        <f t="shared" ca="1" si="1"/>
        <v>32981</v>
      </c>
      <c r="H48" s="2">
        <v>14</v>
      </c>
      <c r="I48" s="2" t="s">
        <v>205</v>
      </c>
      <c r="J48" s="2">
        <v>0</v>
      </c>
      <c r="K48" s="2">
        <v>1</v>
      </c>
      <c r="L48" s="2">
        <v>2</v>
      </c>
      <c r="M48" s="2">
        <v>0</v>
      </c>
      <c r="N48" s="2" t="s">
        <v>188</v>
      </c>
      <c r="O48" s="2">
        <v>0</v>
      </c>
    </row>
    <row r="49" spans="1:15" ht="15.75" customHeight="1" x14ac:dyDescent="0.2">
      <c r="A49" s="2">
        <v>48</v>
      </c>
      <c r="B49" s="2" t="s">
        <v>200</v>
      </c>
      <c r="D49" s="2" t="s">
        <v>218</v>
      </c>
      <c r="E49" s="2" t="s">
        <v>218</v>
      </c>
      <c r="F49" s="2" t="s">
        <v>219</v>
      </c>
      <c r="G49" s="4">
        <f t="shared" ca="1" si="1"/>
        <v>31958</v>
      </c>
      <c r="H49" s="2">
        <v>18</v>
      </c>
      <c r="I49" s="2" t="s">
        <v>205</v>
      </c>
      <c r="J49" s="2">
        <v>0</v>
      </c>
      <c r="K49" s="2">
        <v>1</v>
      </c>
      <c r="L49" s="2">
        <v>2</v>
      </c>
      <c r="M49" s="2">
        <v>0</v>
      </c>
      <c r="N49" s="2" t="s">
        <v>188</v>
      </c>
      <c r="O49" s="2">
        <v>0</v>
      </c>
    </row>
    <row r="50" spans="1:15" ht="15.75" customHeight="1" x14ac:dyDescent="0.2">
      <c r="A50" s="2">
        <v>49</v>
      </c>
      <c r="B50" s="2" t="s">
        <v>220</v>
      </c>
      <c r="C50" s="2" t="s">
        <v>149</v>
      </c>
      <c r="D50" s="2" t="s">
        <v>221</v>
      </c>
      <c r="E50" s="2" t="s">
        <v>221</v>
      </c>
      <c r="F50" s="2" t="s">
        <v>222</v>
      </c>
      <c r="G50" s="4">
        <f t="shared" ca="1" si="1"/>
        <v>32615</v>
      </c>
      <c r="H50" s="2">
        <v>22</v>
      </c>
      <c r="I50" s="2" t="s">
        <v>205</v>
      </c>
      <c r="J50" s="2">
        <v>0</v>
      </c>
      <c r="K50" s="2">
        <v>1</v>
      </c>
      <c r="L50" s="2">
        <v>2</v>
      </c>
      <c r="M50" s="2">
        <v>0</v>
      </c>
      <c r="N50" s="2" t="s">
        <v>188</v>
      </c>
      <c r="O50" s="2">
        <v>0</v>
      </c>
    </row>
    <row r="51" spans="1:15" ht="15.75" customHeight="1" x14ac:dyDescent="0.2">
      <c r="A51" s="2">
        <v>50</v>
      </c>
      <c r="B51" s="2" t="s">
        <v>169</v>
      </c>
      <c r="D51" s="2" t="s">
        <v>209</v>
      </c>
      <c r="E51" s="2" t="s">
        <v>209</v>
      </c>
      <c r="F51" s="2" t="s">
        <v>223</v>
      </c>
      <c r="G51" s="4">
        <f t="shared" ca="1" si="1"/>
        <v>32063</v>
      </c>
      <c r="H51" s="2">
        <v>23</v>
      </c>
      <c r="I51" s="2" t="s">
        <v>205</v>
      </c>
      <c r="J51" s="2">
        <v>0</v>
      </c>
      <c r="K51" s="2">
        <v>1</v>
      </c>
      <c r="L51" s="2">
        <v>2</v>
      </c>
      <c r="M51" s="2">
        <v>0</v>
      </c>
      <c r="N51" s="2" t="s">
        <v>188</v>
      </c>
      <c r="O51" s="2">
        <v>0</v>
      </c>
    </row>
    <row r="52" spans="1:15" ht="15.75" customHeight="1" x14ac:dyDescent="0.2">
      <c r="A52" s="2">
        <v>51</v>
      </c>
      <c r="B52" s="2" t="s">
        <v>188</v>
      </c>
      <c r="D52" s="2" t="s">
        <v>188</v>
      </c>
      <c r="E52" s="2" t="s">
        <v>188</v>
      </c>
      <c r="F52" s="2" t="s">
        <v>224</v>
      </c>
      <c r="G52" s="4">
        <f t="shared" ca="1" si="1"/>
        <v>32426</v>
      </c>
      <c r="H52" s="2">
        <v>24</v>
      </c>
      <c r="I52" s="2" t="s">
        <v>205</v>
      </c>
      <c r="J52" s="2">
        <v>0</v>
      </c>
      <c r="K52" s="2">
        <v>1</v>
      </c>
      <c r="L52" s="2">
        <v>2</v>
      </c>
      <c r="M52" s="2">
        <v>0</v>
      </c>
      <c r="N52" s="2" t="s">
        <v>188</v>
      </c>
      <c r="O52" s="2">
        <v>0</v>
      </c>
    </row>
    <row r="53" spans="1:15" ht="15.75" customHeight="1" x14ac:dyDescent="0.2">
      <c r="A53" s="2">
        <v>52</v>
      </c>
      <c r="B53" s="2" t="s">
        <v>225</v>
      </c>
      <c r="D53" s="2" t="s">
        <v>209</v>
      </c>
      <c r="E53" s="2" t="s">
        <v>209</v>
      </c>
      <c r="G53" s="4">
        <f t="shared" ca="1" si="1"/>
        <v>32918</v>
      </c>
      <c r="H53" s="2">
        <v>25</v>
      </c>
      <c r="I53" s="2" t="s">
        <v>205</v>
      </c>
      <c r="J53" s="2">
        <v>0</v>
      </c>
      <c r="K53" s="2">
        <v>1</v>
      </c>
      <c r="M53" s="2">
        <v>0</v>
      </c>
      <c r="N53" s="2" t="s">
        <v>188</v>
      </c>
      <c r="O53" s="2">
        <v>0</v>
      </c>
    </row>
    <row r="54" spans="1:15" ht="15.75" customHeight="1" x14ac:dyDescent="0.2">
      <c r="A54" s="2">
        <v>53</v>
      </c>
      <c r="B54" s="2" t="s">
        <v>225</v>
      </c>
      <c r="D54" s="2" t="s">
        <v>226</v>
      </c>
      <c r="E54" s="2" t="s">
        <v>226</v>
      </c>
      <c r="G54" s="4">
        <f t="shared" ca="1" si="1"/>
        <v>31994</v>
      </c>
      <c r="H54" s="2">
        <v>25</v>
      </c>
      <c r="I54" s="2" t="s">
        <v>57</v>
      </c>
      <c r="J54" s="2">
        <v>3</v>
      </c>
      <c r="K54" s="2">
        <v>1</v>
      </c>
      <c r="M54" s="2">
        <v>1</v>
      </c>
      <c r="N54" s="2" t="s">
        <v>188</v>
      </c>
      <c r="O54" s="2">
        <v>0</v>
      </c>
    </row>
    <row r="55" spans="1:15" ht="15.75" customHeight="1" x14ac:dyDescent="0.2">
      <c r="A55" s="2">
        <v>54</v>
      </c>
      <c r="B55" s="2" t="s">
        <v>200</v>
      </c>
      <c r="E55" s="2" t="s">
        <v>227</v>
      </c>
      <c r="G55" s="4">
        <f t="shared" ca="1" si="1"/>
        <v>31844</v>
      </c>
      <c r="H55" s="2">
        <v>18</v>
      </c>
      <c r="I55" s="2" t="s">
        <v>57</v>
      </c>
      <c r="J55" s="2">
        <v>1</v>
      </c>
      <c r="K55" s="2">
        <v>1</v>
      </c>
      <c r="M55" s="2">
        <v>1</v>
      </c>
      <c r="N55" s="2" t="s">
        <v>188</v>
      </c>
      <c r="O55" s="2">
        <v>0</v>
      </c>
    </row>
    <row r="56" spans="1:15" ht="15.75" customHeight="1" x14ac:dyDescent="0.2">
      <c r="A56" s="2">
        <v>55</v>
      </c>
      <c r="B56" s="2" t="s">
        <v>200</v>
      </c>
      <c r="D56" s="2" t="s">
        <v>228</v>
      </c>
      <c r="E56" s="2" t="s">
        <v>228</v>
      </c>
      <c r="G56" s="4">
        <f t="shared" ca="1" si="1"/>
        <v>31862</v>
      </c>
      <c r="H56" s="2">
        <v>18</v>
      </c>
      <c r="I56" s="2" t="s">
        <v>57</v>
      </c>
      <c r="J56" s="2">
        <v>2</v>
      </c>
      <c r="K56" s="2">
        <v>1</v>
      </c>
      <c r="M56" s="2">
        <v>1</v>
      </c>
      <c r="N56" s="2" t="s">
        <v>188</v>
      </c>
      <c r="O56" s="2">
        <v>0</v>
      </c>
    </row>
    <row r="57" spans="1:15" ht="15.75" customHeight="1" x14ac:dyDescent="0.2">
      <c r="A57" s="2">
        <v>56</v>
      </c>
      <c r="B57" s="2" t="s">
        <v>229</v>
      </c>
      <c r="E57" s="2" t="s">
        <v>230</v>
      </c>
      <c r="G57" s="4">
        <f t="shared" ca="1" si="1"/>
        <v>32216</v>
      </c>
      <c r="H57" s="2">
        <v>26</v>
      </c>
      <c r="I57" s="2" t="s">
        <v>57</v>
      </c>
      <c r="J57" s="2">
        <v>1</v>
      </c>
      <c r="K57" s="2">
        <v>6</v>
      </c>
      <c r="L57" s="2">
        <v>1</v>
      </c>
      <c r="M57" s="2">
        <v>1</v>
      </c>
      <c r="N57" s="2" t="s">
        <v>188</v>
      </c>
      <c r="O57" s="2">
        <v>0</v>
      </c>
    </row>
    <row r="58" spans="1:15" ht="15.75" customHeight="1" x14ac:dyDescent="0.2">
      <c r="A58" s="2">
        <v>57</v>
      </c>
      <c r="B58" s="2" t="s">
        <v>148</v>
      </c>
      <c r="C58" s="2" t="s">
        <v>149</v>
      </c>
      <c r="E58" s="2" t="s">
        <v>231</v>
      </c>
      <c r="G58" s="4">
        <f t="shared" ca="1" si="1"/>
        <v>32393</v>
      </c>
      <c r="H58" s="2">
        <v>10</v>
      </c>
      <c r="I58" s="2" t="s">
        <v>57</v>
      </c>
      <c r="J58" s="2">
        <v>1</v>
      </c>
      <c r="K58" s="2">
        <v>1</v>
      </c>
      <c r="M58" s="2">
        <v>1</v>
      </c>
      <c r="N58" s="2" t="s">
        <v>188</v>
      </c>
      <c r="O58" s="2">
        <v>0</v>
      </c>
    </row>
    <row r="59" spans="1:15" ht="15.75" customHeight="1" x14ac:dyDescent="0.2">
      <c r="A59" s="2">
        <v>58</v>
      </c>
      <c r="B59" s="2" t="s">
        <v>136</v>
      </c>
      <c r="D59" s="2" t="s">
        <v>232</v>
      </c>
      <c r="E59" s="2" t="s">
        <v>232</v>
      </c>
      <c r="G59" s="4">
        <f t="shared" ca="1" si="1"/>
        <v>31541</v>
      </c>
      <c r="H59" s="2">
        <v>6</v>
      </c>
      <c r="I59" s="2" t="s">
        <v>57</v>
      </c>
      <c r="J59" s="2">
        <v>3</v>
      </c>
      <c r="K59" s="2">
        <v>1</v>
      </c>
      <c r="L59" s="2">
        <v>2</v>
      </c>
      <c r="M59" s="2">
        <v>2</v>
      </c>
      <c r="N59" s="2" t="s">
        <v>188</v>
      </c>
      <c r="O59" s="2">
        <v>0</v>
      </c>
    </row>
    <row r="60" spans="1:15" ht="15.75" customHeight="1" x14ac:dyDescent="0.2">
      <c r="A60" s="2">
        <v>59</v>
      </c>
      <c r="B60" s="2" t="s">
        <v>233</v>
      </c>
      <c r="C60" s="2" t="s">
        <v>234</v>
      </c>
      <c r="D60" s="2" t="s">
        <v>235</v>
      </c>
      <c r="E60" s="2" t="s">
        <v>235</v>
      </c>
      <c r="G60" s="4">
        <f t="shared" ca="1" si="1"/>
        <v>30833</v>
      </c>
      <c r="H60" s="2">
        <v>27</v>
      </c>
      <c r="I60" s="2" t="s">
        <v>57</v>
      </c>
      <c r="J60" s="2">
        <v>3</v>
      </c>
      <c r="K60" s="2">
        <v>1</v>
      </c>
    </row>
    <row r="61" spans="1:15" ht="15.75" customHeight="1" x14ac:dyDescent="0.2">
      <c r="A61" s="2">
        <v>60</v>
      </c>
      <c r="B61" s="2" t="s">
        <v>233</v>
      </c>
      <c r="C61" s="2" t="s">
        <v>234</v>
      </c>
      <c r="D61" s="2" t="s">
        <v>236</v>
      </c>
      <c r="E61" s="2" t="s">
        <v>236</v>
      </c>
      <c r="G61" s="4">
        <f t="shared" ca="1" si="1"/>
        <v>30968</v>
      </c>
      <c r="H61" s="2">
        <v>27</v>
      </c>
      <c r="I61" s="2" t="s">
        <v>57</v>
      </c>
      <c r="J61" s="2">
        <v>2</v>
      </c>
      <c r="K61" s="2">
        <v>1</v>
      </c>
    </row>
    <row r="62" spans="1:15" ht="15.75" customHeight="1" x14ac:dyDescent="0.2"/>
    <row r="63" spans="1:15" ht="15.75" customHeight="1" x14ac:dyDescent="0.2"/>
    <row r="64" spans="1:15"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O61" xr:uid="{00000000-0009-0000-0000-000003000000}"/>
  <hyperlinks>
    <hyperlink ref="F31" r:id="rId1" xr:uid="{00000000-0004-0000-0300-000000000000}"/>
    <hyperlink ref="F32" r:id="rId2" xr:uid="{00000000-0004-0000-0300-000001000000}"/>
    <hyperlink ref="F33" r:id="rId3" xr:uid="{00000000-0004-0000-0300-000002000000}"/>
    <hyperlink ref="F34" r:id="rId4" xr:uid="{00000000-0004-0000-0300-000003000000}"/>
  </hyperlinks>
  <pageMargins left="0.7" right="0.7" top="0.75" bottom="0.75" header="0" footer="0"/>
  <pageSetup paperSize="9" orientation="portrait"/>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baseColWidth="10" defaultColWidth="14.5" defaultRowHeight="15" customHeight="1" x14ac:dyDescent="0.2"/>
  <cols>
    <col min="1" max="1" width="3.1640625" customWidth="1"/>
    <col min="2" max="3" width="11.5" customWidth="1"/>
    <col min="4" max="5" width="24.83203125" customWidth="1"/>
    <col min="6" max="6" width="18.1640625" customWidth="1"/>
    <col min="7" max="26" width="11.5" customWidth="1"/>
  </cols>
  <sheetData>
    <row r="1" spans="1:7" x14ac:dyDescent="0.2">
      <c r="A1" s="1" t="s">
        <v>56</v>
      </c>
      <c r="B1" s="1" t="s">
        <v>237</v>
      </c>
      <c r="C1" s="1" t="s">
        <v>60</v>
      </c>
      <c r="D1" s="1" t="s">
        <v>2</v>
      </c>
      <c r="E1" s="1" t="s">
        <v>238</v>
      </c>
      <c r="F1" s="1" t="s">
        <v>239</v>
      </c>
      <c r="G1" s="1" t="s">
        <v>240</v>
      </c>
    </row>
    <row r="2" spans="1:7" x14ac:dyDescent="0.2">
      <c r="A2" s="2">
        <v>1</v>
      </c>
      <c r="B2" s="2">
        <v>57</v>
      </c>
      <c r="C2" s="3">
        <v>45159</v>
      </c>
      <c r="D2" s="2" t="s">
        <v>241</v>
      </c>
      <c r="E2" s="2" t="s">
        <v>242</v>
      </c>
      <c r="G2" s="2">
        <v>1</v>
      </c>
    </row>
    <row r="3" spans="1:7" x14ac:dyDescent="0.2">
      <c r="A3" s="2">
        <v>2</v>
      </c>
      <c r="B3" s="2">
        <v>56</v>
      </c>
      <c r="C3" s="3">
        <v>45159</v>
      </c>
      <c r="D3" s="2" t="s">
        <v>241</v>
      </c>
      <c r="E3" s="2" t="s">
        <v>242</v>
      </c>
      <c r="G3" s="2">
        <v>1</v>
      </c>
    </row>
    <row r="4" spans="1:7" x14ac:dyDescent="0.2">
      <c r="A4" s="2">
        <v>3</v>
      </c>
      <c r="B4" s="2">
        <v>9</v>
      </c>
      <c r="C4" s="3">
        <v>45108</v>
      </c>
      <c r="D4" s="2" t="s">
        <v>243</v>
      </c>
      <c r="F4" s="2" t="s">
        <v>244</v>
      </c>
      <c r="G4" s="2">
        <v>-1</v>
      </c>
    </row>
    <row r="5" spans="1:7" x14ac:dyDescent="0.2">
      <c r="A5" s="2">
        <v>4</v>
      </c>
      <c r="B5" s="2">
        <v>58</v>
      </c>
      <c r="C5" s="3">
        <v>45108</v>
      </c>
      <c r="D5" s="2" t="s">
        <v>243</v>
      </c>
      <c r="F5" s="2" t="s">
        <v>244</v>
      </c>
      <c r="G5" s="2">
        <v>-1</v>
      </c>
    </row>
    <row r="6" spans="1:7" x14ac:dyDescent="0.2">
      <c r="A6" s="2">
        <v>5</v>
      </c>
      <c r="B6" s="2">
        <v>28</v>
      </c>
      <c r="C6" s="3">
        <v>45108</v>
      </c>
      <c r="D6" s="2" t="s">
        <v>245</v>
      </c>
      <c r="G6" s="2">
        <v>-1</v>
      </c>
    </row>
    <row r="7" spans="1:7" x14ac:dyDescent="0.2">
      <c r="A7" s="2">
        <v>6</v>
      </c>
      <c r="B7" s="2">
        <v>1</v>
      </c>
      <c r="C7" s="3">
        <v>45108</v>
      </c>
      <c r="D7" s="2" t="s">
        <v>246</v>
      </c>
      <c r="G7" s="2">
        <v>-1</v>
      </c>
    </row>
    <row r="8" spans="1:7" x14ac:dyDescent="0.2">
      <c r="A8" s="2">
        <v>7</v>
      </c>
      <c r="B8" s="2">
        <v>29</v>
      </c>
      <c r="C8" s="3">
        <v>45159</v>
      </c>
      <c r="D8" s="2" t="s">
        <v>247</v>
      </c>
      <c r="E8" s="2" t="s">
        <v>248</v>
      </c>
      <c r="G8" s="2">
        <v>0</v>
      </c>
    </row>
    <row r="9" spans="1:7" x14ac:dyDescent="0.2">
      <c r="A9" s="2">
        <v>8</v>
      </c>
      <c r="B9" s="2">
        <v>39</v>
      </c>
      <c r="C9" s="3">
        <v>45159</v>
      </c>
      <c r="D9" s="2" t="s">
        <v>247</v>
      </c>
      <c r="E9" s="2" t="s">
        <v>248</v>
      </c>
      <c r="G9" s="2">
        <v>0</v>
      </c>
    </row>
    <row r="10" spans="1:7" x14ac:dyDescent="0.2">
      <c r="A10" s="2">
        <v>9</v>
      </c>
      <c r="B10" s="2">
        <v>24</v>
      </c>
      <c r="C10" s="3">
        <v>45159</v>
      </c>
      <c r="D10" s="2" t="s">
        <v>247</v>
      </c>
      <c r="E10" s="2" t="s">
        <v>248</v>
      </c>
      <c r="G10" s="2">
        <v>0</v>
      </c>
    </row>
    <row r="11" spans="1:7" x14ac:dyDescent="0.2">
      <c r="A11" s="2">
        <v>10</v>
      </c>
      <c r="B11" s="2">
        <v>5</v>
      </c>
      <c r="C11" s="3">
        <v>45159</v>
      </c>
      <c r="D11" s="2" t="s">
        <v>247</v>
      </c>
      <c r="E11" s="2" t="s">
        <v>248</v>
      </c>
      <c r="G11" s="2">
        <v>0</v>
      </c>
    </row>
    <row r="12" spans="1:7" x14ac:dyDescent="0.2">
      <c r="A12" s="2">
        <v>11</v>
      </c>
      <c r="B12" s="2">
        <v>59</v>
      </c>
      <c r="C12" s="3">
        <v>45159</v>
      </c>
      <c r="D12" s="2" t="s">
        <v>247</v>
      </c>
      <c r="E12" s="2" t="s">
        <v>249</v>
      </c>
      <c r="G12" s="2">
        <v>0</v>
      </c>
    </row>
    <row r="13" spans="1:7" x14ac:dyDescent="0.2">
      <c r="A13" s="2">
        <v>12</v>
      </c>
      <c r="B13" s="2">
        <v>6</v>
      </c>
      <c r="C13" s="3">
        <v>45108</v>
      </c>
      <c r="D13" s="2" t="s">
        <v>243</v>
      </c>
      <c r="F13" s="2" t="s">
        <v>250</v>
      </c>
      <c r="G13" s="2">
        <v>-1</v>
      </c>
    </row>
    <row r="14" spans="1:7" x14ac:dyDescent="0.2">
      <c r="A14" s="2">
        <v>13</v>
      </c>
      <c r="B14" s="2">
        <v>7</v>
      </c>
      <c r="C14" s="3">
        <v>45108</v>
      </c>
      <c r="D14" s="2" t="s">
        <v>243</v>
      </c>
      <c r="F14" s="2" t="s">
        <v>250</v>
      </c>
      <c r="G14" s="2">
        <v>-1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G15" xr:uid="{00000000-0009-0000-0000-000004000000}"/>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baseColWidth="10" defaultColWidth="14.5" defaultRowHeight="15" customHeight="1" x14ac:dyDescent="0.2"/>
  <cols>
    <col min="1" max="1" width="11.5" customWidth="1"/>
    <col min="2" max="2" width="37" customWidth="1"/>
    <col min="3" max="26" width="11.5" customWidth="1"/>
  </cols>
  <sheetData>
    <row r="1" spans="1:3" x14ac:dyDescent="0.2">
      <c r="A1" s="1" t="s">
        <v>56</v>
      </c>
      <c r="B1" s="1" t="s">
        <v>251</v>
      </c>
      <c r="C1" s="1" t="s">
        <v>252</v>
      </c>
    </row>
    <row r="2" spans="1:3" x14ac:dyDescent="0.2">
      <c r="A2" s="2">
        <v>0</v>
      </c>
      <c r="B2" s="2" t="s">
        <v>188</v>
      </c>
    </row>
    <row r="3" spans="1:3" x14ac:dyDescent="0.2">
      <c r="A3" s="2">
        <v>1</v>
      </c>
      <c r="B3" s="2" t="s">
        <v>253</v>
      </c>
      <c r="C3" s="2" t="s">
        <v>254</v>
      </c>
    </row>
    <row r="4" spans="1:3" x14ac:dyDescent="0.2">
      <c r="A4" s="2">
        <v>2</v>
      </c>
      <c r="B4" s="2" t="s">
        <v>255</v>
      </c>
    </row>
    <row r="5" spans="1:3" x14ac:dyDescent="0.2">
      <c r="A5" s="2">
        <v>3</v>
      </c>
      <c r="B5" s="2" t="s">
        <v>256</v>
      </c>
    </row>
    <row r="6" spans="1:3" x14ac:dyDescent="0.2">
      <c r="A6" s="2">
        <v>4</v>
      </c>
      <c r="B6" s="2" t="s">
        <v>257</v>
      </c>
    </row>
    <row r="7" spans="1:3" x14ac:dyDescent="0.2">
      <c r="A7" s="2">
        <v>5</v>
      </c>
      <c r="B7" s="2" t="s">
        <v>258</v>
      </c>
    </row>
    <row r="8" spans="1:3" x14ac:dyDescent="0.2">
      <c r="A8" s="2">
        <v>6</v>
      </c>
      <c r="B8" s="2" t="s">
        <v>259</v>
      </c>
      <c r="C8" s="2" t="s">
        <v>260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baseColWidth="10" defaultColWidth="14.5" defaultRowHeight="15" customHeight="1" x14ac:dyDescent="0.2"/>
  <cols>
    <col min="1" max="1" width="11.5" customWidth="1"/>
    <col min="2" max="2" width="17" customWidth="1"/>
    <col min="3" max="26" width="11.5" customWidth="1"/>
  </cols>
  <sheetData>
    <row r="1" spans="1:3" x14ac:dyDescent="0.2">
      <c r="A1" s="1" t="s">
        <v>56</v>
      </c>
      <c r="B1" s="1" t="s">
        <v>261</v>
      </c>
      <c r="C1" s="1" t="s">
        <v>252</v>
      </c>
    </row>
    <row r="2" spans="1:3" x14ac:dyDescent="0.2">
      <c r="A2" s="2">
        <v>1</v>
      </c>
      <c r="B2" s="2" t="s">
        <v>262</v>
      </c>
    </row>
    <row r="3" spans="1:3" x14ac:dyDescent="0.2">
      <c r="A3" s="2">
        <v>2</v>
      </c>
      <c r="B3" s="2" t="s">
        <v>42</v>
      </c>
    </row>
    <row r="4" spans="1:3" x14ac:dyDescent="0.2">
      <c r="A4" s="2">
        <v>3</v>
      </c>
      <c r="B4" s="2" t="s">
        <v>263</v>
      </c>
    </row>
    <row r="5" spans="1:3" x14ac:dyDescent="0.2">
      <c r="A5" s="2">
        <v>4</v>
      </c>
      <c r="B5" s="2" t="s">
        <v>264</v>
      </c>
    </row>
    <row r="6" spans="1:3" x14ac:dyDescent="0.2">
      <c r="A6" s="2">
        <v>5</v>
      </c>
      <c r="B6" s="2" t="s">
        <v>265</v>
      </c>
      <c r="C6" s="2" t="s">
        <v>266</v>
      </c>
    </row>
    <row r="7" spans="1:3" x14ac:dyDescent="0.2">
      <c r="A7" s="2">
        <v>6</v>
      </c>
    </row>
    <row r="8" spans="1:3" x14ac:dyDescent="0.2">
      <c r="A8" s="2">
        <v>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heetViews>
  <sheetFormatPr baseColWidth="10" defaultColWidth="14.5" defaultRowHeight="15" customHeight="1" x14ac:dyDescent="0.2"/>
  <cols>
    <col min="1" max="1" width="3.1640625" customWidth="1"/>
    <col min="2" max="2" width="15.6640625" customWidth="1"/>
    <col min="3" max="3" width="23.5" customWidth="1"/>
    <col min="4" max="4" width="14.83203125" customWidth="1"/>
    <col min="5" max="5" width="11.5" customWidth="1"/>
    <col min="6" max="6" width="17.1640625" customWidth="1"/>
    <col min="7" max="7" width="16.1640625" customWidth="1"/>
    <col min="8" max="26" width="11.5" customWidth="1"/>
  </cols>
  <sheetData>
    <row r="1" spans="1:7" x14ac:dyDescent="0.2">
      <c r="A1" s="1" t="s">
        <v>56</v>
      </c>
      <c r="B1" s="6" t="s">
        <v>267</v>
      </c>
      <c r="C1" s="1" t="s">
        <v>268</v>
      </c>
      <c r="D1" s="1" t="s">
        <v>269</v>
      </c>
      <c r="E1" s="1" t="s">
        <v>270</v>
      </c>
      <c r="F1" s="1" t="s">
        <v>271</v>
      </c>
      <c r="G1" s="1" t="s">
        <v>272</v>
      </c>
    </row>
    <row r="2" spans="1:7" x14ac:dyDescent="0.2">
      <c r="A2" s="2">
        <v>1</v>
      </c>
      <c r="B2" s="7" t="s">
        <v>119</v>
      </c>
      <c r="C2" s="2" t="s">
        <v>273</v>
      </c>
      <c r="D2" s="2">
        <v>95</v>
      </c>
      <c r="E2" s="2" t="s">
        <v>274</v>
      </c>
      <c r="F2" s="2" t="s">
        <v>275</v>
      </c>
      <c r="G2" s="4">
        <v>44951</v>
      </c>
    </row>
    <row r="3" spans="1:7" x14ac:dyDescent="0.2">
      <c r="A3" s="2">
        <v>2</v>
      </c>
      <c r="B3" s="7" t="s">
        <v>124</v>
      </c>
      <c r="C3" s="2" t="s">
        <v>276</v>
      </c>
      <c r="D3" s="2">
        <v>41</v>
      </c>
      <c r="E3" s="2" t="s">
        <v>277</v>
      </c>
      <c r="F3" s="2" t="s">
        <v>278</v>
      </c>
      <c r="G3" s="4">
        <v>44951</v>
      </c>
    </row>
    <row r="4" spans="1:7" x14ac:dyDescent="0.2">
      <c r="A4" s="2">
        <v>3</v>
      </c>
      <c r="B4" s="7" t="s">
        <v>127</v>
      </c>
      <c r="C4" s="2" t="s">
        <v>279</v>
      </c>
      <c r="D4" s="2">
        <v>46</v>
      </c>
      <c r="E4" s="2" t="s">
        <v>280</v>
      </c>
      <c r="F4" s="2" t="s">
        <v>281</v>
      </c>
      <c r="G4" s="4">
        <v>44951</v>
      </c>
    </row>
    <row r="5" spans="1:7" x14ac:dyDescent="0.2">
      <c r="A5" s="2">
        <v>4</v>
      </c>
      <c r="B5" s="7" t="s">
        <v>129</v>
      </c>
      <c r="C5" s="2" t="s">
        <v>282</v>
      </c>
      <c r="D5" s="2">
        <v>10</v>
      </c>
      <c r="E5" s="2" t="s">
        <v>283</v>
      </c>
      <c r="F5" s="2" t="s">
        <v>284</v>
      </c>
      <c r="G5" s="4">
        <v>44951</v>
      </c>
    </row>
    <row r="6" spans="1:7" x14ac:dyDescent="0.2">
      <c r="A6" s="2">
        <v>5</v>
      </c>
      <c r="B6" s="7" t="s">
        <v>133</v>
      </c>
      <c r="C6" s="2" t="s">
        <v>285</v>
      </c>
      <c r="D6" s="2">
        <v>85</v>
      </c>
      <c r="E6" s="2" t="s">
        <v>286</v>
      </c>
      <c r="F6" s="2" t="s">
        <v>287</v>
      </c>
      <c r="G6" s="4">
        <v>44951</v>
      </c>
    </row>
    <row r="7" spans="1:7" x14ac:dyDescent="0.2">
      <c r="A7" s="2">
        <v>6</v>
      </c>
      <c r="B7" s="7" t="s">
        <v>136</v>
      </c>
      <c r="C7" s="2" t="s">
        <v>288</v>
      </c>
      <c r="D7" s="2">
        <v>73</v>
      </c>
      <c r="E7" s="2" t="s">
        <v>289</v>
      </c>
      <c r="F7" s="2" t="s">
        <v>287</v>
      </c>
      <c r="G7" s="4">
        <v>44951</v>
      </c>
    </row>
    <row r="8" spans="1:7" x14ac:dyDescent="0.2">
      <c r="A8" s="2">
        <v>7</v>
      </c>
      <c r="B8" s="7" t="s">
        <v>138</v>
      </c>
      <c r="C8" s="2" t="s">
        <v>290</v>
      </c>
      <c r="D8" s="2">
        <v>96</v>
      </c>
      <c r="E8" s="2" t="s">
        <v>291</v>
      </c>
      <c r="F8" s="2" t="s">
        <v>292</v>
      </c>
      <c r="G8" s="4">
        <v>44951</v>
      </c>
    </row>
    <row r="9" spans="1:7" x14ac:dyDescent="0.2">
      <c r="A9" s="2">
        <v>8</v>
      </c>
      <c r="B9" s="7" t="s">
        <v>140</v>
      </c>
      <c r="C9" s="2" t="s">
        <v>293</v>
      </c>
      <c r="D9" s="2">
        <v>11</v>
      </c>
      <c r="E9" s="2" t="s">
        <v>294</v>
      </c>
      <c r="F9" s="2" t="s">
        <v>295</v>
      </c>
      <c r="G9" s="4">
        <v>44951</v>
      </c>
    </row>
    <row r="10" spans="1:7" x14ac:dyDescent="0.2">
      <c r="A10" s="2">
        <v>9</v>
      </c>
      <c r="B10" s="7" t="s">
        <v>144</v>
      </c>
      <c r="C10" s="2" t="s">
        <v>296</v>
      </c>
      <c r="D10" s="2">
        <v>45</v>
      </c>
      <c r="E10" s="2" t="s">
        <v>297</v>
      </c>
      <c r="F10" s="2" t="s">
        <v>278</v>
      </c>
      <c r="G10" s="4">
        <v>44951</v>
      </c>
    </row>
    <row r="11" spans="1:7" x14ac:dyDescent="0.2">
      <c r="A11" s="2">
        <v>10</v>
      </c>
      <c r="B11" s="7" t="s">
        <v>148</v>
      </c>
      <c r="C11" s="2" t="s">
        <v>298</v>
      </c>
      <c r="D11" s="2">
        <v>59</v>
      </c>
      <c r="E11" s="2" t="s">
        <v>299</v>
      </c>
      <c r="F11" s="2" t="s">
        <v>300</v>
      </c>
      <c r="G11" s="4">
        <v>44951</v>
      </c>
    </row>
    <row r="12" spans="1:7" x14ac:dyDescent="0.2">
      <c r="A12" s="2">
        <v>11</v>
      </c>
      <c r="B12" s="7" t="s">
        <v>156</v>
      </c>
      <c r="C12" s="2" t="s">
        <v>301</v>
      </c>
      <c r="D12" s="2">
        <v>73</v>
      </c>
      <c r="E12" s="2" t="s">
        <v>302</v>
      </c>
      <c r="F12" s="2" t="s">
        <v>303</v>
      </c>
      <c r="G12" s="4">
        <v>44951</v>
      </c>
    </row>
    <row r="13" spans="1:7" x14ac:dyDescent="0.2">
      <c r="A13" s="2">
        <v>12</v>
      </c>
      <c r="B13" s="7" t="s">
        <v>160</v>
      </c>
      <c r="C13" s="2" t="s">
        <v>304</v>
      </c>
      <c r="D13" s="2">
        <v>50</v>
      </c>
      <c r="E13" s="2" t="s">
        <v>305</v>
      </c>
      <c r="F13" s="2" t="s">
        <v>303</v>
      </c>
      <c r="G13" s="4">
        <v>44951</v>
      </c>
    </row>
    <row r="14" spans="1:7" x14ac:dyDescent="0.2">
      <c r="A14" s="2">
        <v>13</v>
      </c>
      <c r="B14" s="7" t="s">
        <v>164</v>
      </c>
      <c r="C14" s="2" t="s">
        <v>306</v>
      </c>
      <c r="D14" s="2">
        <v>51</v>
      </c>
      <c r="E14" s="2" t="s">
        <v>307</v>
      </c>
      <c r="F14" s="2" t="s">
        <v>281</v>
      </c>
      <c r="G14" s="4">
        <v>44951</v>
      </c>
    </row>
    <row r="15" spans="1:7" x14ac:dyDescent="0.2">
      <c r="A15" s="2">
        <v>14</v>
      </c>
      <c r="B15" s="7" t="s">
        <v>169</v>
      </c>
      <c r="C15" s="2" t="s">
        <v>308</v>
      </c>
      <c r="D15" s="2">
        <v>79</v>
      </c>
      <c r="E15" s="2" t="s">
        <v>309</v>
      </c>
      <c r="F15" s="2" t="s">
        <v>310</v>
      </c>
      <c r="G15" s="4">
        <v>44951</v>
      </c>
    </row>
    <row r="16" spans="1:7" x14ac:dyDescent="0.2">
      <c r="A16" s="2">
        <v>15</v>
      </c>
      <c r="B16" s="7" t="s">
        <v>172</v>
      </c>
      <c r="C16" s="2" t="s">
        <v>311</v>
      </c>
      <c r="D16" s="2">
        <v>22</v>
      </c>
      <c r="E16" s="2" t="s">
        <v>312</v>
      </c>
      <c r="F16" s="2" t="s">
        <v>310</v>
      </c>
      <c r="G16" s="4">
        <v>44951</v>
      </c>
    </row>
    <row r="17" spans="1:7" x14ac:dyDescent="0.2">
      <c r="A17" s="2">
        <v>16</v>
      </c>
      <c r="B17" s="7" t="s">
        <v>177</v>
      </c>
      <c r="C17" s="2" t="s">
        <v>313</v>
      </c>
      <c r="D17" s="2">
        <v>77</v>
      </c>
      <c r="E17" s="2" t="s">
        <v>314</v>
      </c>
      <c r="F17" s="2" t="s">
        <v>315</v>
      </c>
      <c r="G17" s="4">
        <v>44951</v>
      </c>
    </row>
    <row r="18" spans="1:7" x14ac:dyDescent="0.2">
      <c r="A18" s="2">
        <v>17</v>
      </c>
      <c r="B18" s="7" t="s">
        <v>178</v>
      </c>
      <c r="C18" s="2" t="s">
        <v>316</v>
      </c>
      <c r="D18" s="2">
        <v>29</v>
      </c>
      <c r="E18" s="2" t="s">
        <v>317</v>
      </c>
      <c r="F18" s="2" t="s">
        <v>278</v>
      </c>
      <c r="G18" s="4">
        <v>44951</v>
      </c>
    </row>
    <row r="19" spans="1:7" x14ac:dyDescent="0.2">
      <c r="A19" s="2">
        <v>18</v>
      </c>
      <c r="B19" s="7" t="s">
        <v>200</v>
      </c>
      <c r="C19" s="2" t="s">
        <v>318</v>
      </c>
      <c r="D19" s="2">
        <v>29</v>
      </c>
      <c r="E19" s="2" t="s">
        <v>317</v>
      </c>
      <c r="F19" s="2" t="s">
        <v>278</v>
      </c>
      <c r="G19" s="4">
        <v>44951</v>
      </c>
    </row>
    <row r="20" spans="1:7" x14ac:dyDescent="0.2">
      <c r="A20" s="2">
        <v>19</v>
      </c>
      <c r="B20" s="7" t="s">
        <v>225</v>
      </c>
      <c r="C20" s="2" t="s">
        <v>319</v>
      </c>
      <c r="D20" s="2">
        <v>29</v>
      </c>
      <c r="E20" s="2" t="s">
        <v>317</v>
      </c>
      <c r="F20" s="2" t="s">
        <v>278</v>
      </c>
      <c r="G20" s="4">
        <v>44951</v>
      </c>
    </row>
    <row r="21" spans="1:7" ht="15.75" customHeight="1" x14ac:dyDescent="0.2">
      <c r="A21" s="2">
        <v>20</v>
      </c>
      <c r="B21" s="7" t="s">
        <v>184</v>
      </c>
      <c r="C21" s="2" t="s">
        <v>320</v>
      </c>
    </row>
    <row r="22" spans="1:7" ht="15.75" customHeight="1" x14ac:dyDescent="0.2"/>
    <row r="23" spans="1:7" ht="15.75" customHeight="1" x14ac:dyDescent="0.2"/>
    <row r="24" spans="1:7" ht="15.75" customHeight="1" x14ac:dyDescent="0.2"/>
    <row r="25" spans="1:7" ht="15.75" customHeight="1" x14ac:dyDescent="0.2"/>
    <row r="26" spans="1:7" ht="15.75" customHeight="1" x14ac:dyDescent="0.2"/>
    <row r="27" spans="1:7" ht="15.75" customHeight="1" x14ac:dyDescent="0.2"/>
    <row r="28" spans="1:7" ht="15.75" customHeight="1" x14ac:dyDescent="0.2"/>
    <row r="29" spans="1:7" ht="15.75" customHeight="1" x14ac:dyDescent="0.2"/>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G18" xr:uid="{00000000-0009-0000-0000-000007000000}"/>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1"/>
  <sheetViews>
    <sheetView workbookViewId="0"/>
  </sheetViews>
  <sheetFormatPr baseColWidth="10" defaultColWidth="14.5" defaultRowHeight="15" customHeight="1" x14ac:dyDescent="0.2"/>
  <cols>
    <col min="1" max="6" width="11.5" customWidth="1"/>
    <col min="7" max="7" width="14.6640625" customWidth="1"/>
    <col min="8" max="26" width="11.5" customWidth="1"/>
  </cols>
  <sheetData>
    <row r="1" spans="1:10" x14ac:dyDescent="0.2">
      <c r="A1" s="1" t="s">
        <v>56</v>
      </c>
      <c r="B1" s="1" t="s">
        <v>60</v>
      </c>
      <c r="C1" s="1" t="s">
        <v>321</v>
      </c>
      <c r="D1" s="1" t="s">
        <v>322</v>
      </c>
      <c r="E1" s="1" t="s">
        <v>323</v>
      </c>
      <c r="F1" s="1" t="s">
        <v>324</v>
      </c>
      <c r="G1" s="1" t="s">
        <v>252</v>
      </c>
      <c r="H1" s="1" t="s">
        <v>325</v>
      </c>
      <c r="I1" s="1" t="s">
        <v>326</v>
      </c>
      <c r="J1" s="1" t="s">
        <v>327</v>
      </c>
    </row>
    <row r="2" spans="1:10" x14ac:dyDescent="0.2">
      <c r="A2" s="2">
        <v>1</v>
      </c>
      <c r="B2" s="4">
        <v>44792</v>
      </c>
      <c r="C2" s="2">
        <f t="shared" ref="C2:C256" si="0">IF(OR(WEEKDAY(B2) = 7, WEEKDAY(B2) = 1), 1, 0)</f>
        <v>0</v>
      </c>
      <c r="D2" s="2">
        <v>1</v>
      </c>
      <c r="E2" s="2">
        <f t="shared" ref="E2:E256" si="1">IF((C2+D2)&gt;0, 1, 0)</f>
        <v>1</v>
      </c>
      <c r="F2" s="2" t="str">
        <f t="shared" ref="F2:F256" si="2">TEXT(B2, "dddd")</f>
        <v>Friday</v>
      </c>
      <c r="G2" s="2" t="s">
        <v>328</v>
      </c>
      <c r="H2" s="2">
        <v>5</v>
      </c>
      <c r="I2" s="2">
        <v>5</v>
      </c>
      <c r="J2" s="2" t="e">
        <f t="shared" ref="J2:J256" ca="1" si="3">_xludf.ISOWEEKNUM(B2)</f>
        <v>#NAME?</v>
      </c>
    </row>
    <row r="3" spans="1:10" x14ac:dyDescent="0.2">
      <c r="A3" s="2">
        <v>2</v>
      </c>
      <c r="B3" s="4">
        <v>44793</v>
      </c>
      <c r="C3" s="2">
        <f t="shared" si="0"/>
        <v>1</v>
      </c>
      <c r="D3" s="2">
        <v>1</v>
      </c>
      <c r="E3" s="2">
        <f t="shared" si="1"/>
        <v>1</v>
      </c>
      <c r="F3" s="2" t="str">
        <f t="shared" si="2"/>
        <v>Saturday</v>
      </c>
      <c r="G3" s="2" t="s">
        <v>328</v>
      </c>
      <c r="H3" s="2">
        <v>5</v>
      </c>
      <c r="I3" s="2">
        <v>5</v>
      </c>
      <c r="J3" s="2" t="e">
        <f t="shared" ca="1" si="3"/>
        <v>#NAME?</v>
      </c>
    </row>
    <row r="4" spans="1:10" x14ac:dyDescent="0.2">
      <c r="A4" s="2">
        <v>3</v>
      </c>
      <c r="B4" s="4">
        <v>44794</v>
      </c>
      <c r="C4" s="2">
        <f t="shared" si="0"/>
        <v>1</v>
      </c>
      <c r="D4" s="2">
        <v>1</v>
      </c>
      <c r="E4" s="2">
        <f t="shared" si="1"/>
        <v>1</v>
      </c>
      <c r="F4" s="2" t="str">
        <f t="shared" si="2"/>
        <v>Sunday</v>
      </c>
      <c r="G4" s="2" t="s">
        <v>328</v>
      </c>
      <c r="H4" s="2">
        <v>5</v>
      </c>
      <c r="I4" s="2">
        <v>5</v>
      </c>
      <c r="J4" s="2" t="e">
        <f t="shared" ca="1" si="3"/>
        <v>#NAME?</v>
      </c>
    </row>
    <row r="5" spans="1:10" x14ac:dyDescent="0.2">
      <c r="A5" s="2">
        <v>4</v>
      </c>
      <c r="B5" s="4">
        <v>44795</v>
      </c>
      <c r="C5" s="2">
        <f t="shared" si="0"/>
        <v>0</v>
      </c>
      <c r="D5" s="2">
        <v>0</v>
      </c>
      <c r="E5" s="2">
        <f t="shared" si="1"/>
        <v>0</v>
      </c>
      <c r="F5" s="2" t="str">
        <f t="shared" si="2"/>
        <v>Monday</v>
      </c>
      <c r="G5" s="1"/>
      <c r="H5" s="2">
        <v>1</v>
      </c>
      <c r="I5" s="2" t="e">
        <f t="shared" ref="I5:I259" ca="1" si="4">IF(J5&gt;J4, IF(H5&lt;&gt;H4,1, I4+1),I4)</f>
        <v>#NAME?</v>
      </c>
      <c r="J5" s="2" t="e">
        <f t="shared" ca="1" si="3"/>
        <v>#NAME?</v>
      </c>
    </row>
    <row r="6" spans="1:10" x14ac:dyDescent="0.2">
      <c r="A6" s="2">
        <v>5</v>
      </c>
      <c r="B6" s="4">
        <v>44796</v>
      </c>
      <c r="C6" s="2">
        <f t="shared" si="0"/>
        <v>0</v>
      </c>
      <c r="D6" s="2">
        <v>0</v>
      </c>
      <c r="E6" s="2">
        <f t="shared" si="1"/>
        <v>0</v>
      </c>
      <c r="F6" s="2" t="str">
        <f t="shared" si="2"/>
        <v>Tuesday</v>
      </c>
      <c r="G6" s="1"/>
      <c r="H6" s="2">
        <v>1</v>
      </c>
      <c r="I6" s="2" t="e">
        <f t="shared" ca="1" si="4"/>
        <v>#NAME?</v>
      </c>
      <c r="J6" s="2" t="e">
        <f t="shared" ca="1" si="3"/>
        <v>#NAME?</v>
      </c>
    </row>
    <row r="7" spans="1:10" x14ac:dyDescent="0.2">
      <c r="A7" s="2">
        <v>6</v>
      </c>
      <c r="B7" s="4">
        <v>44797</v>
      </c>
      <c r="C7" s="2">
        <f t="shared" si="0"/>
        <v>0</v>
      </c>
      <c r="D7" s="2">
        <v>0</v>
      </c>
      <c r="E7" s="2">
        <f t="shared" si="1"/>
        <v>0</v>
      </c>
      <c r="F7" s="2" t="str">
        <f t="shared" si="2"/>
        <v>Wednesday</v>
      </c>
      <c r="G7" s="1"/>
      <c r="H7" s="2">
        <v>1</v>
      </c>
      <c r="I7" s="2" t="e">
        <f t="shared" ca="1" si="4"/>
        <v>#NAME?</v>
      </c>
      <c r="J7" s="2" t="e">
        <f t="shared" ca="1" si="3"/>
        <v>#NAME?</v>
      </c>
    </row>
    <row r="8" spans="1:10" x14ac:dyDescent="0.2">
      <c r="A8" s="2">
        <v>7</v>
      </c>
      <c r="B8" s="4">
        <v>44798</v>
      </c>
      <c r="C8" s="2">
        <f t="shared" si="0"/>
        <v>0</v>
      </c>
      <c r="D8" s="2">
        <v>0</v>
      </c>
      <c r="E8" s="2">
        <f t="shared" si="1"/>
        <v>0</v>
      </c>
      <c r="F8" s="2" t="str">
        <f t="shared" si="2"/>
        <v>Thursday</v>
      </c>
      <c r="G8" s="1"/>
      <c r="H8" s="2">
        <v>1</v>
      </c>
      <c r="I8" s="2" t="e">
        <f t="shared" ca="1" si="4"/>
        <v>#NAME?</v>
      </c>
      <c r="J8" s="2" t="e">
        <f t="shared" ca="1" si="3"/>
        <v>#NAME?</v>
      </c>
    </row>
    <row r="9" spans="1:10" x14ac:dyDescent="0.2">
      <c r="A9" s="2">
        <v>8</v>
      </c>
      <c r="B9" s="4">
        <v>44799</v>
      </c>
      <c r="C9" s="2">
        <f t="shared" si="0"/>
        <v>0</v>
      </c>
      <c r="D9" s="2">
        <v>0</v>
      </c>
      <c r="E9" s="2">
        <f t="shared" si="1"/>
        <v>0</v>
      </c>
      <c r="F9" s="2" t="str">
        <f t="shared" si="2"/>
        <v>Friday</v>
      </c>
      <c r="G9" s="1"/>
      <c r="H9" s="2">
        <v>1</v>
      </c>
      <c r="I9" s="2" t="e">
        <f t="shared" ca="1" si="4"/>
        <v>#NAME?</v>
      </c>
      <c r="J9" s="2" t="e">
        <f t="shared" ca="1" si="3"/>
        <v>#NAME?</v>
      </c>
    </row>
    <row r="10" spans="1:10" x14ac:dyDescent="0.2">
      <c r="A10" s="2">
        <v>9</v>
      </c>
      <c r="B10" s="4">
        <v>44800</v>
      </c>
      <c r="C10" s="2">
        <f t="shared" si="0"/>
        <v>1</v>
      </c>
      <c r="D10" s="2">
        <v>0</v>
      </c>
      <c r="E10" s="2">
        <f t="shared" si="1"/>
        <v>1</v>
      </c>
      <c r="F10" s="2" t="str">
        <f t="shared" si="2"/>
        <v>Saturday</v>
      </c>
      <c r="G10" s="1"/>
      <c r="H10" s="2">
        <v>1</v>
      </c>
      <c r="I10" s="2" t="e">
        <f t="shared" ca="1" si="4"/>
        <v>#NAME?</v>
      </c>
      <c r="J10" s="2" t="e">
        <f t="shared" ca="1" si="3"/>
        <v>#NAME?</v>
      </c>
    </row>
    <row r="11" spans="1:10" x14ac:dyDescent="0.2">
      <c r="A11" s="2">
        <v>10</v>
      </c>
      <c r="B11" s="4">
        <v>44801</v>
      </c>
      <c r="C11" s="2">
        <f t="shared" si="0"/>
        <v>1</v>
      </c>
      <c r="D11" s="2">
        <v>0</v>
      </c>
      <c r="E11" s="2">
        <f t="shared" si="1"/>
        <v>1</v>
      </c>
      <c r="F11" s="2" t="str">
        <f t="shared" si="2"/>
        <v>Sunday</v>
      </c>
      <c r="G11" s="1"/>
      <c r="H11" s="2">
        <v>1</v>
      </c>
      <c r="I11" s="2" t="e">
        <f t="shared" ca="1" si="4"/>
        <v>#NAME?</v>
      </c>
      <c r="J11" s="2" t="e">
        <f t="shared" ca="1" si="3"/>
        <v>#NAME?</v>
      </c>
    </row>
    <row r="12" spans="1:10" x14ac:dyDescent="0.2">
      <c r="A12" s="2">
        <v>11</v>
      </c>
      <c r="B12" s="4">
        <v>44802</v>
      </c>
      <c r="C12" s="2">
        <f t="shared" si="0"/>
        <v>0</v>
      </c>
      <c r="D12" s="2">
        <v>0</v>
      </c>
      <c r="E12" s="2">
        <f t="shared" si="1"/>
        <v>0</v>
      </c>
      <c r="F12" s="2" t="str">
        <f t="shared" si="2"/>
        <v>Monday</v>
      </c>
      <c r="H12" s="2">
        <v>1</v>
      </c>
      <c r="I12" s="2" t="e">
        <f t="shared" ca="1" si="4"/>
        <v>#NAME?</v>
      </c>
      <c r="J12" s="2" t="e">
        <f t="shared" ca="1" si="3"/>
        <v>#NAME?</v>
      </c>
    </row>
    <row r="13" spans="1:10" x14ac:dyDescent="0.2">
      <c r="A13" s="2">
        <v>12</v>
      </c>
      <c r="B13" s="4">
        <v>44803</v>
      </c>
      <c r="C13" s="2">
        <f t="shared" si="0"/>
        <v>0</v>
      </c>
      <c r="D13" s="2">
        <v>0</v>
      </c>
      <c r="E13" s="2">
        <f t="shared" si="1"/>
        <v>0</v>
      </c>
      <c r="F13" s="2" t="str">
        <f t="shared" si="2"/>
        <v>Tuesday</v>
      </c>
      <c r="H13" s="2">
        <v>1</v>
      </c>
      <c r="I13" s="2" t="e">
        <f t="shared" ca="1" si="4"/>
        <v>#NAME?</v>
      </c>
      <c r="J13" s="2" t="e">
        <f t="shared" ca="1" si="3"/>
        <v>#NAME?</v>
      </c>
    </row>
    <row r="14" spans="1:10" x14ac:dyDescent="0.2">
      <c r="A14" s="2">
        <v>13</v>
      </c>
      <c r="B14" s="4">
        <v>44804</v>
      </c>
      <c r="C14" s="2">
        <f t="shared" si="0"/>
        <v>0</v>
      </c>
      <c r="D14" s="2">
        <v>0</v>
      </c>
      <c r="E14" s="2">
        <f t="shared" si="1"/>
        <v>0</v>
      </c>
      <c r="F14" s="2" t="str">
        <f t="shared" si="2"/>
        <v>Wednesday</v>
      </c>
      <c r="H14" s="2">
        <v>1</v>
      </c>
      <c r="I14" s="2" t="e">
        <f t="shared" ca="1" si="4"/>
        <v>#NAME?</v>
      </c>
      <c r="J14" s="2" t="e">
        <f t="shared" ca="1" si="3"/>
        <v>#NAME?</v>
      </c>
    </row>
    <row r="15" spans="1:10" x14ac:dyDescent="0.2">
      <c r="A15" s="2">
        <v>14</v>
      </c>
      <c r="B15" s="4">
        <v>44805</v>
      </c>
      <c r="C15" s="2">
        <f t="shared" si="0"/>
        <v>0</v>
      </c>
      <c r="D15" s="2">
        <v>0</v>
      </c>
      <c r="E15" s="2">
        <f t="shared" si="1"/>
        <v>0</v>
      </c>
      <c r="F15" s="2" t="str">
        <f t="shared" si="2"/>
        <v>Thursday</v>
      </c>
      <c r="H15" s="2">
        <v>1</v>
      </c>
      <c r="I15" s="2" t="e">
        <f t="shared" ca="1" si="4"/>
        <v>#NAME?</v>
      </c>
      <c r="J15" s="2" t="e">
        <f t="shared" ca="1" si="3"/>
        <v>#NAME?</v>
      </c>
    </row>
    <row r="16" spans="1:10" x14ac:dyDescent="0.2">
      <c r="A16" s="2">
        <v>15</v>
      </c>
      <c r="B16" s="4">
        <v>44806</v>
      </c>
      <c r="C16" s="2">
        <f t="shared" si="0"/>
        <v>0</v>
      </c>
      <c r="D16" s="2">
        <v>0</v>
      </c>
      <c r="E16" s="2">
        <f t="shared" si="1"/>
        <v>0</v>
      </c>
      <c r="F16" s="2" t="str">
        <f t="shared" si="2"/>
        <v>Friday</v>
      </c>
      <c r="H16" s="2">
        <v>1</v>
      </c>
      <c r="I16" s="2" t="e">
        <f t="shared" ca="1" si="4"/>
        <v>#NAME?</v>
      </c>
      <c r="J16" s="2" t="e">
        <f t="shared" ca="1" si="3"/>
        <v>#NAME?</v>
      </c>
    </row>
    <row r="17" spans="1:10" x14ac:dyDescent="0.2">
      <c r="A17" s="2">
        <v>16</v>
      </c>
      <c r="B17" s="4">
        <v>44807</v>
      </c>
      <c r="C17" s="2">
        <f t="shared" si="0"/>
        <v>1</v>
      </c>
      <c r="D17" s="2">
        <v>0</v>
      </c>
      <c r="E17" s="2">
        <f t="shared" si="1"/>
        <v>1</v>
      </c>
      <c r="F17" s="2" t="str">
        <f t="shared" si="2"/>
        <v>Saturday</v>
      </c>
      <c r="H17" s="2">
        <v>1</v>
      </c>
      <c r="I17" s="2" t="e">
        <f t="shared" ca="1" si="4"/>
        <v>#NAME?</v>
      </c>
      <c r="J17" s="2" t="e">
        <f t="shared" ca="1" si="3"/>
        <v>#NAME?</v>
      </c>
    </row>
    <row r="18" spans="1:10" x14ac:dyDescent="0.2">
      <c r="A18" s="2">
        <v>17</v>
      </c>
      <c r="B18" s="4">
        <v>44808</v>
      </c>
      <c r="C18" s="2">
        <f t="shared" si="0"/>
        <v>1</v>
      </c>
      <c r="D18" s="2">
        <v>0</v>
      </c>
      <c r="E18" s="2">
        <f t="shared" si="1"/>
        <v>1</v>
      </c>
      <c r="F18" s="2" t="str">
        <f t="shared" si="2"/>
        <v>Sunday</v>
      </c>
      <c r="H18" s="2">
        <v>1</v>
      </c>
      <c r="I18" s="2" t="e">
        <f t="shared" ca="1" si="4"/>
        <v>#NAME?</v>
      </c>
      <c r="J18" s="2" t="e">
        <f t="shared" ca="1" si="3"/>
        <v>#NAME?</v>
      </c>
    </row>
    <row r="19" spans="1:10" x14ac:dyDescent="0.2">
      <c r="A19" s="2">
        <v>18</v>
      </c>
      <c r="B19" s="4">
        <v>44809</v>
      </c>
      <c r="C19" s="2">
        <f t="shared" si="0"/>
        <v>0</v>
      </c>
      <c r="D19" s="2">
        <v>0</v>
      </c>
      <c r="E19" s="2">
        <f t="shared" si="1"/>
        <v>0</v>
      </c>
      <c r="F19" s="2" t="str">
        <f t="shared" si="2"/>
        <v>Monday</v>
      </c>
      <c r="H19" s="2">
        <v>1</v>
      </c>
      <c r="I19" s="2" t="e">
        <f t="shared" ca="1" si="4"/>
        <v>#NAME?</v>
      </c>
      <c r="J19" s="2" t="e">
        <f t="shared" ca="1" si="3"/>
        <v>#NAME?</v>
      </c>
    </row>
    <row r="20" spans="1:10" x14ac:dyDescent="0.2">
      <c r="A20" s="2">
        <v>19</v>
      </c>
      <c r="B20" s="4">
        <v>44810</v>
      </c>
      <c r="C20" s="2">
        <f t="shared" si="0"/>
        <v>0</v>
      </c>
      <c r="D20" s="2">
        <v>0</v>
      </c>
      <c r="E20" s="2">
        <f t="shared" si="1"/>
        <v>0</v>
      </c>
      <c r="F20" s="2" t="str">
        <f t="shared" si="2"/>
        <v>Tuesday</v>
      </c>
      <c r="H20" s="2">
        <v>1</v>
      </c>
      <c r="I20" s="2" t="e">
        <f t="shared" ca="1" si="4"/>
        <v>#NAME?</v>
      </c>
      <c r="J20" s="2" t="e">
        <f t="shared" ca="1" si="3"/>
        <v>#NAME?</v>
      </c>
    </row>
    <row r="21" spans="1:10" ht="15.75" customHeight="1" x14ac:dyDescent="0.2">
      <c r="A21" s="2">
        <v>20</v>
      </c>
      <c r="B21" s="4">
        <v>44811</v>
      </c>
      <c r="C21" s="2">
        <f t="shared" si="0"/>
        <v>0</v>
      </c>
      <c r="D21" s="2">
        <v>0</v>
      </c>
      <c r="E21" s="2">
        <f t="shared" si="1"/>
        <v>0</v>
      </c>
      <c r="F21" s="2" t="str">
        <f t="shared" si="2"/>
        <v>Wednesday</v>
      </c>
      <c r="H21" s="2">
        <v>1</v>
      </c>
      <c r="I21" s="2" t="e">
        <f t="shared" ca="1" si="4"/>
        <v>#NAME?</v>
      </c>
      <c r="J21" s="2" t="e">
        <f t="shared" ca="1" si="3"/>
        <v>#NAME?</v>
      </c>
    </row>
    <row r="22" spans="1:10" ht="15.75" customHeight="1" x14ac:dyDescent="0.2">
      <c r="A22" s="2">
        <v>21</v>
      </c>
      <c r="B22" s="4">
        <v>44812</v>
      </c>
      <c r="C22" s="2">
        <f t="shared" si="0"/>
        <v>0</v>
      </c>
      <c r="D22" s="2">
        <v>0</v>
      </c>
      <c r="E22" s="2">
        <f t="shared" si="1"/>
        <v>0</v>
      </c>
      <c r="F22" s="2" t="str">
        <f t="shared" si="2"/>
        <v>Thursday</v>
      </c>
      <c r="H22" s="2">
        <v>1</v>
      </c>
      <c r="I22" s="2" t="e">
        <f t="shared" ca="1" si="4"/>
        <v>#NAME?</v>
      </c>
      <c r="J22" s="2" t="e">
        <f t="shared" ca="1" si="3"/>
        <v>#NAME?</v>
      </c>
    </row>
    <row r="23" spans="1:10" ht="15.75" customHeight="1" x14ac:dyDescent="0.2">
      <c r="A23" s="2">
        <v>22</v>
      </c>
      <c r="B23" s="4">
        <v>44813</v>
      </c>
      <c r="C23" s="2">
        <f t="shared" si="0"/>
        <v>0</v>
      </c>
      <c r="D23" s="2">
        <v>0</v>
      </c>
      <c r="E23" s="2">
        <f t="shared" si="1"/>
        <v>0</v>
      </c>
      <c r="F23" s="2" t="str">
        <f t="shared" si="2"/>
        <v>Friday</v>
      </c>
      <c r="H23" s="2">
        <v>1</v>
      </c>
      <c r="I23" s="2" t="e">
        <f t="shared" ca="1" si="4"/>
        <v>#NAME?</v>
      </c>
      <c r="J23" s="2" t="e">
        <f t="shared" ca="1" si="3"/>
        <v>#NAME?</v>
      </c>
    </row>
    <row r="24" spans="1:10" ht="15.75" customHeight="1" x14ac:dyDescent="0.2">
      <c r="A24" s="2">
        <v>23</v>
      </c>
      <c r="B24" s="4">
        <v>44814</v>
      </c>
      <c r="C24" s="2">
        <f t="shared" si="0"/>
        <v>1</v>
      </c>
      <c r="D24" s="2">
        <v>0</v>
      </c>
      <c r="E24" s="2">
        <f t="shared" si="1"/>
        <v>1</v>
      </c>
      <c r="F24" s="2" t="str">
        <f t="shared" si="2"/>
        <v>Saturday</v>
      </c>
      <c r="H24" s="2">
        <v>1</v>
      </c>
      <c r="I24" s="2" t="e">
        <f t="shared" ca="1" si="4"/>
        <v>#NAME?</v>
      </c>
      <c r="J24" s="2" t="e">
        <f t="shared" ca="1" si="3"/>
        <v>#NAME?</v>
      </c>
    </row>
    <row r="25" spans="1:10" ht="15.75" customHeight="1" x14ac:dyDescent="0.2">
      <c r="A25" s="2">
        <v>24</v>
      </c>
      <c r="B25" s="4">
        <v>44815</v>
      </c>
      <c r="C25" s="2">
        <f t="shared" si="0"/>
        <v>1</v>
      </c>
      <c r="D25" s="2">
        <v>0</v>
      </c>
      <c r="E25" s="2">
        <f t="shared" si="1"/>
        <v>1</v>
      </c>
      <c r="F25" s="2" t="str">
        <f t="shared" si="2"/>
        <v>Sunday</v>
      </c>
      <c r="H25" s="2">
        <v>1</v>
      </c>
      <c r="I25" s="2" t="e">
        <f t="shared" ca="1" si="4"/>
        <v>#NAME?</v>
      </c>
      <c r="J25" s="2" t="e">
        <f t="shared" ca="1" si="3"/>
        <v>#NAME?</v>
      </c>
    </row>
    <row r="26" spans="1:10" ht="15.75" customHeight="1" x14ac:dyDescent="0.2">
      <c r="A26" s="2">
        <v>25</v>
      </c>
      <c r="B26" s="4">
        <v>44816</v>
      </c>
      <c r="C26" s="2">
        <f t="shared" si="0"/>
        <v>0</v>
      </c>
      <c r="D26" s="2">
        <v>0</v>
      </c>
      <c r="E26" s="2">
        <f t="shared" si="1"/>
        <v>0</v>
      </c>
      <c r="F26" s="2" t="str">
        <f t="shared" si="2"/>
        <v>Monday</v>
      </c>
      <c r="H26" s="2">
        <v>1</v>
      </c>
      <c r="I26" s="2" t="e">
        <f t="shared" ca="1" si="4"/>
        <v>#NAME?</v>
      </c>
      <c r="J26" s="2" t="e">
        <f t="shared" ca="1" si="3"/>
        <v>#NAME?</v>
      </c>
    </row>
    <row r="27" spans="1:10" ht="15.75" customHeight="1" x14ac:dyDescent="0.2">
      <c r="A27" s="2">
        <v>26</v>
      </c>
      <c r="B27" s="4">
        <v>44817</v>
      </c>
      <c r="C27" s="2">
        <f t="shared" si="0"/>
        <v>0</v>
      </c>
      <c r="D27" s="2">
        <v>0</v>
      </c>
      <c r="E27" s="2">
        <f t="shared" si="1"/>
        <v>0</v>
      </c>
      <c r="F27" s="2" t="str">
        <f t="shared" si="2"/>
        <v>Tuesday</v>
      </c>
      <c r="H27" s="2">
        <v>1</v>
      </c>
      <c r="I27" s="2" t="e">
        <f t="shared" ca="1" si="4"/>
        <v>#NAME?</v>
      </c>
      <c r="J27" s="2" t="e">
        <f t="shared" ca="1" si="3"/>
        <v>#NAME?</v>
      </c>
    </row>
    <row r="28" spans="1:10" ht="15.75" customHeight="1" x14ac:dyDescent="0.2">
      <c r="A28" s="2">
        <v>27</v>
      </c>
      <c r="B28" s="4">
        <v>44818</v>
      </c>
      <c r="C28" s="2">
        <f t="shared" si="0"/>
        <v>0</v>
      </c>
      <c r="D28" s="2">
        <v>0</v>
      </c>
      <c r="E28" s="2">
        <f t="shared" si="1"/>
        <v>0</v>
      </c>
      <c r="F28" s="2" t="str">
        <f t="shared" si="2"/>
        <v>Wednesday</v>
      </c>
      <c r="H28" s="2">
        <v>1</v>
      </c>
      <c r="I28" s="2" t="e">
        <f t="shared" ca="1" si="4"/>
        <v>#NAME?</v>
      </c>
      <c r="J28" s="2" t="e">
        <f t="shared" ca="1" si="3"/>
        <v>#NAME?</v>
      </c>
    </row>
    <row r="29" spans="1:10" ht="15.75" customHeight="1" x14ac:dyDescent="0.2">
      <c r="A29" s="2">
        <v>28</v>
      </c>
      <c r="B29" s="4">
        <v>44819</v>
      </c>
      <c r="C29" s="2">
        <f t="shared" si="0"/>
        <v>0</v>
      </c>
      <c r="D29" s="2">
        <v>0</v>
      </c>
      <c r="E29" s="2">
        <f t="shared" si="1"/>
        <v>0</v>
      </c>
      <c r="F29" s="2" t="str">
        <f t="shared" si="2"/>
        <v>Thursday</v>
      </c>
      <c r="H29" s="2">
        <v>1</v>
      </c>
      <c r="I29" s="2" t="e">
        <f t="shared" ca="1" si="4"/>
        <v>#NAME?</v>
      </c>
      <c r="J29" s="2" t="e">
        <f t="shared" ca="1" si="3"/>
        <v>#NAME?</v>
      </c>
    </row>
    <row r="30" spans="1:10" ht="15.75" customHeight="1" x14ac:dyDescent="0.2">
      <c r="A30" s="2">
        <v>29</v>
      </c>
      <c r="B30" s="4">
        <v>44820</v>
      </c>
      <c r="C30" s="2">
        <f t="shared" si="0"/>
        <v>0</v>
      </c>
      <c r="D30" s="2">
        <v>0</v>
      </c>
      <c r="E30" s="2">
        <f t="shared" si="1"/>
        <v>0</v>
      </c>
      <c r="F30" s="2" t="str">
        <f t="shared" si="2"/>
        <v>Friday</v>
      </c>
      <c r="H30" s="2">
        <v>1</v>
      </c>
      <c r="I30" s="2" t="e">
        <f t="shared" ca="1" si="4"/>
        <v>#NAME?</v>
      </c>
      <c r="J30" s="2" t="e">
        <f t="shared" ca="1" si="3"/>
        <v>#NAME?</v>
      </c>
    </row>
    <row r="31" spans="1:10" ht="15.75" customHeight="1" x14ac:dyDescent="0.2">
      <c r="A31" s="2">
        <v>30</v>
      </c>
      <c r="B31" s="4">
        <v>44821</v>
      </c>
      <c r="C31" s="2">
        <f t="shared" si="0"/>
        <v>1</v>
      </c>
      <c r="D31" s="2">
        <v>0</v>
      </c>
      <c r="E31" s="2">
        <f t="shared" si="1"/>
        <v>1</v>
      </c>
      <c r="F31" s="2" t="str">
        <f t="shared" si="2"/>
        <v>Saturday</v>
      </c>
      <c r="H31" s="2">
        <v>1</v>
      </c>
      <c r="I31" s="2" t="e">
        <f t="shared" ca="1" si="4"/>
        <v>#NAME?</v>
      </c>
      <c r="J31" s="2" t="e">
        <f t="shared" ca="1" si="3"/>
        <v>#NAME?</v>
      </c>
    </row>
    <row r="32" spans="1:10" ht="15.75" customHeight="1" x14ac:dyDescent="0.2">
      <c r="A32" s="2">
        <v>31</v>
      </c>
      <c r="B32" s="4">
        <v>44822</v>
      </c>
      <c r="C32" s="2">
        <f t="shared" si="0"/>
        <v>1</v>
      </c>
      <c r="D32" s="2">
        <v>0</v>
      </c>
      <c r="E32" s="2">
        <f t="shared" si="1"/>
        <v>1</v>
      </c>
      <c r="F32" s="2" t="str">
        <f t="shared" si="2"/>
        <v>Sunday</v>
      </c>
      <c r="H32" s="2">
        <v>1</v>
      </c>
      <c r="I32" s="2" t="e">
        <f t="shared" ca="1" si="4"/>
        <v>#NAME?</v>
      </c>
      <c r="J32" s="2" t="e">
        <f t="shared" ca="1" si="3"/>
        <v>#NAME?</v>
      </c>
    </row>
    <row r="33" spans="1:10" ht="15.75" customHeight="1" x14ac:dyDescent="0.2">
      <c r="A33" s="2">
        <v>32</v>
      </c>
      <c r="B33" s="4">
        <v>44823</v>
      </c>
      <c r="C33" s="2">
        <f t="shared" si="0"/>
        <v>0</v>
      </c>
      <c r="D33" s="2">
        <v>0</v>
      </c>
      <c r="E33" s="2">
        <f t="shared" si="1"/>
        <v>0</v>
      </c>
      <c r="F33" s="2" t="str">
        <f t="shared" si="2"/>
        <v>Monday</v>
      </c>
      <c r="H33" s="2">
        <v>1</v>
      </c>
      <c r="I33" s="2" t="e">
        <f t="shared" ca="1" si="4"/>
        <v>#NAME?</v>
      </c>
      <c r="J33" s="2" t="e">
        <f t="shared" ca="1" si="3"/>
        <v>#NAME?</v>
      </c>
    </row>
    <row r="34" spans="1:10" ht="15.75" customHeight="1" x14ac:dyDescent="0.2">
      <c r="A34" s="2">
        <v>33</v>
      </c>
      <c r="B34" s="4">
        <v>44824</v>
      </c>
      <c r="C34" s="2">
        <f t="shared" si="0"/>
        <v>0</v>
      </c>
      <c r="D34" s="2">
        <v>0</v>
      </c>
      <c r="E34" s="2">
        <f t="shared" si="1"/>
        <v>0</v>
      </c>
      <c r="F34" s="2" t="str">
        <f t="shared" si="2"/>
        <v>Tuesday</v>
      </c>
      <c r="H34" s="2">
        <v>1</v>
      </c>
      <c r="I34" s="2" t="e">
        <f t="shared" ca="1" si="4"/>
        <v>#NAME?</v>
      </c>
      <c r="J34" s="2" t="e">
        <f t="shared" ca="1" si="3"/>
        <v>#NAME?</v>
      </c>
    </row>
    <row r="35" spans="1:10" ht="15.75" customHeight="1" x14ac:dyDescent="0.2">
      <c r="A35" s="2">
        <v>34</v>
      </c>
      <c r="B35" s="4">
        <v>44825</v>
      </c>
      <c r="C35" s="2">
        <f t="shared" si="0"/>
        <v>0</v>
      </c>
      <c r="D35" s="2">
        <v>0</v>
      </c>
      <c r="E35" s="2">
        <f t="shared" si="1"/>
        <v>0</v>
      </c>
      <c r="F35" s="2" t="str">
        <f t="shared" si="2"/>
        <v>Wednesday</v>
      </c>
      <c r="H35" s="2">
        <v>1</v>
      </c>
      <c r="I35" s="2" t="e">
        <f t="shared" ca="1" si="4"/>
        <v>#NAME?</v>
      </c>
      <c r="J35" s="2" t="e">
        <f t="shared" ca="1" si="3"/>
        <v>#NAME?</v>
      </c>
    </row>
    <row r="36" spans="1:10" ht="15.75" customHeight="1" x14ac:dyDescent="0.2">
      <c r="A36" s="2">
        <v>35</v>
      </c>
      <c r="B36" s="4">
        <v>44826</v>
      </c>
      <c r="C36" s="2">
        <f t="shared" si="0"/>
        <v>0</v>
      </c>
      <c r="D36" s="2">
        <v>0</v>
      </c>
      <c r="E36" s="2">
        <f t="shared" si="1"/>
        <v>0</v>
      </c>
      <c r="F36" s="2" t="str">
        <f t="shared" si="2"/>
        <v>Thursday</v>
      </c>
      <c r="H36" s="2">
        <v>1</v>
      </c>
      <c r="I36" s="2" t="e">
        <f t="shared" ca="1" si="4"/>
        <v>#NAME?</v>
      </c>
      <c r="J36" s="2" t="e">
        <f t="shared" ca="1" si="3"/>
        <v>#NAME?</v>
      </c>
    </row>
    <row r="37" spans="1:10" ht="15.75" customHeight="1" x14ac:dyDescent="0.2">
      <c r="A37" s="2">
        <v>36</v>
      </c>
      <c r="B37" s="4">
        <v>44827</v>
      </c>
      <c r="C37" s="2">
        <f t="shared" si="0"/>
        <v>0</v>
      </c>
      <c r="D37" s="2">
        <v>0</v>
      </c>
      <c r="E37" s="2">
        <f t="shared" si="1"/>
        <v>0</v>
      </c>
      <c r="F37" s="2" t="str">
        <f t="shared" si="2"/>
        <v>Friday</v>
      </c>
      <c r="H37" s="2">
        <v>1</v>
      </c>
      <c r="I37" s="2" t="e">
        <f t="shared" ca="1" si="4"/>
        <v>#NAME?</v>
      </c>
      <c r="J37" s="2" t="e">
        <f t="shared" ca="1" si="3"/>
        <v>#NAME?</v>
      </c>
    </row>
    <row r="38" spans="1:10" ht="15.75" customHeight="1" x14ac:dyDescent="0.2">
      <c r="A38" s="2">
        <v>37</v>
      </c>
      <c r="B38" s="4">
        <v>44828</v>
      </c>
      <c r="C38" s="2">
        <f t="shared" si="0"/>
        <v>1</v>
      </c>
      <c r="D38" s="2">
        <v>0</v>
      </c>
      <c r="E38" s="2">
        <f t="shared" si="1"/>
        <v>1</v>
      </c>
      <c r="F38" s="2" t="str">
        <f t="shared" si="2"/>
        <v>Saturday</v>
      </c>
      <c r="H38" s="2">
        <v>1</v>
      </c>
      <c r="I38" s="2" t="e">
        <f t="shared" ca="1" si="4"/>
        <v>#NAME?</v>
      </c>
      <c r="J38" s="2" t="e">
        <f t="shared" ca="1" si="3"/>
        <v>#NAME?</v>
      </c>
    </row>
    <row r="39" spans="1:10" ht="15.75" customHeight="1" x14ac:dyDescent="0.2">
      <c r="A39" s="2">
        <v>38</v>
      </c>
      <c r="B39" s="4">
        <v>44829</v>
      </c>
      <c r="C39" s="2">
        <f t="shared" si="0"/>
        <v>1</v>
      </c>
      <c r="D39" s="2">
        <v>0</v>
      </c>
      <c r="E39" s="2">
        <f t="shared" si="1"/>
        <v>1</v>
      </c>
      <c r="F39" s="2" t="str">
        <f t="shared" si="2"/>
        <v>Sunday</v>
      </c>
      <c r="H39" s="2">
        <v>1</v>
      </c>
      <c r="I39" s="2" t="e">
        <f t="shared" ca="1" si="4"/>
        <v>#NAME?</v>
      </c>
      <c r="J39" s="2" t="e">
        <f t="shared" ca="1" si="3"/>
        <v>#NAME?</v>
      </c>
    </row>
    <row r="40" spans="1:10" ht="15.75" customHeight="1" x14ac:dyDescent="0.2">
      <c r="A40" s="2">
        <v>39</v>
      </c>
      <c r="B40" s="4">
        <v>44830</v>
      </c>
      <c r="C40" s="2">
        <f t="shared" si="0"/>
        <v>0</v>
      </c>
      <c r="D40" s="2">
        <v>0</v>
      </c>
      <c r="E40" s="2">
        <f t="shared" si="1"/>
        <v>0</v>
      </c>
      <c r="F40" s="2" t="str">
        <f t="shared" si="2"/>
        <v>Monday</v>
      </c>
      <c r="H40" s="2">
        <v>1</v>
      </c>
      <c r="I40" s="2" t="e">
        <f t="shared" ca="1" si="4"/>
        <v>#NAME?</v>
      </c>
      <c r="J40" s="2" t="e">
        <f t="shared" ca="1" si="3"/>
        <v>#NAME?</v>
      </c>
    </row>
    <row r="41" spans="1:10" ht="15.75" customHeight="1" x14ac:dyDescent="0.2">
      <c r="A41" s="2">
        <v>40</v>
      </c>
      <c r="B41" s="4">
        <v>44831</v>
      </c>
      <c r="C41" s="2">
        <f t="shared" si="0"/>
        <v>0</v>
      </c>
      <c r="D41" s="2">
        <v>0</v>
      </c>
      <c r="E41" s="2">
        <f t="shared" si="1"/>
        <v>0</v>
      </c>
      <c r="F41" s="2" t="str">
        <f t="shared" si="2"/>
        <v>Tuesday</v>
      </c>
      <c r="H41" s="2">
        <v>1</v>
      </c>
      <c r="I41" s="2" t="e">
        <f t="shared" ca="1" si="4"/>
        <v>#NAME?</v>
      </c>
      <c r="J41" s="2" t="e">
        <f t="shared" ca="1" si="3"/>
        <v>#NAME?</v>
      </c>
    </row>
    <row r="42" spans="1:10" ht="15.75" customHeight="1" x14ac:dyDescent="0.2">
      <c r="A42" s="2">
        <v>41</v>
      </c>
      <c r="B42" s="4">
        <v>44832</v>
      </c>
      <c r="C42" s="2">
        <f t="shared" si="0"/>
        <v>0</v>
      </c>
      <c r="D42" s="2">
        <v>0</v>
      </c>
      <c r="E42" s="2">
        <f t="shared" si="1"/>
        <v>0</v>
      </c>
      <c r="F42" s="2" t="str">
        <f t="shared" si="2"/>
        <v>Wednesday</v>
      </c>
      <c r="H42" s="2">
        <v>1</v>
      </c>
      <c r="I42" s="2" t="e">
        <f t="shared" ca="1" si="4"/>
        <v>#NAME?</v>
      </c>
      <c r="J42" s="2" t="e">
        <f t="shared" ca="1" si="3"/>
        <v>#NAME?</v>
      </c>
    </row>
    <row r="43" spans="1:10" ht="15.75" customHeight="1" x14ac:dyDescent="0.2">
      <c r="A43" s="2">
        <v>42</v>
      </c>
      <c r="B43" s="4">
        <v>44833</v>
      </c>
      <c r="C43" s="2">
        <f t="shared" si="0"/>
        <v>0</v>
      </c>
      <c r="D43" s="2">
        <v>0</v>
      </c>
      <c r="E43" s="2">
        <f t="shared" si="1"/>
        <v>0</v>
      </c>
      <c r="F43" s="2" t="str">
        <f t="shared" si="2"/>
        <v>Thursday</v>
      </c>
      <c r="H43" s="2">
        <v>1</v>
      </c>
      <c r="I43" s="2" t="e">
        <f t="shared" ca="1" si="4"/>
        <v>#NAME?</v>
      </c>
      <c r="J43" s="2" t="e">
        <f t="shared" ca="1" si="3"/>
        <v>#NAME?</v>
      </c>
    </row>
    <row r="44" spans="1:10" ht="15.75" customHeight="1" x14ac:dyDescent="0.2">
      <c r="A44" s="2">
        <v>43</v>
      </c>
      <c r="B44" s="4">
        <v>44834</v>
      </c>
      <c r="C44" s="2">
        <f t="shared" si="0"/>
        <v>0</v>
      </c>
      <c r="D44" s="2">
        <v>0</v>
      </c>
      <c r="E44" s="2">
        <f t="shared" si="1"/>
        <v>0</v>
      </c>
      <c r="F44" s="2" t="str">
        <f t="shared" si="2"/>
        <v>Friday</v>
      </c>
      <c r="H44" s="2">
        <v>1</v>
      </c>
      <c r="I44" s="2" t="e">
        <f t="shared" ca="1" si="4"/>
        <v>#NAME?</v>
      </c>
      <c r="J44" s="2" t="e">
        <f t="shared" ca="1" si="3"/>
        <v>#NAME?</v>
      </c>
    </row>
    <row r="45" spans="1:10" ht="15.75" customHeight="1" x14ac:dyDescent="0.2">
      <c r="A45" s="2">
        <v>44</v>
      </c>
      <c r="B45" s="4">
        <v>44835</v>
      </c>
      <c r="C45" s="2">
        <f t="shared" si="0"/>
        <v>1</v>
      </c>
      <c r="D45" s="2">
        <v>0</v>
      </c>
      <c r="E45" s="2">
        <f t="shared" si="1"/>
        <v>1</v>
      </c>
      <c r="F45" s="2" t="str">
        <f t="shared" si="2"/>
        <v>Saturday</v>
      </c>
      <c r="H45" s="2">
        <v>1</v>
      </c>
      <c r="I45" s="2" t="e">
        <f t="shared" ca="1" si="4"/>
        <v>#NAME?</v>
      </c>
      <c r="J45" s="2" t="e">
        <f t="shared" ca="1" si="3"/>
        <v>#NAME?</v>
      </c>
    </row>
    <row r="46" spans="1:10" ht="15.75" customHeight="1" x14ac:dyDescent="0.2">
      <c r="A46" s="2">
        <v>45</v>
      </c>
      <c r="B46" s="4">
        <v>44836</v>
      </c>
      <c r="C46" s="2">
        <f t="shared" si="0"/>
        <v>1</v>
      </c>
      <c r="D46" s="2">
        <v>0</v>
      </c>
      <c r="E46" s="2">
        <f t="shared" si="1"/>
        <v>1</v>
      </c>
      <c r="F46" s="2" t="str">
        <f t="shared" si="2"/>
        <v>Sunday</v>
      </c>
      <c r="H46" s="2">
        <v>1</v>
      </c>
      <c r="I46" s="2" t="e">
        <f t="shared" ca="1" si="4"/>
        <v>#NAME?</v>
      </c>
      <c r="J46" s="2" t="e">
        <f t="shared" ca="1" si="3"/>
        <v>#NAME?</v>
      </c>
    </row>
    <row r="47" spans="1:10" ht="15.75" customHeight="1" x14ac:dyDescent="0.2">
      <c r="A47" s="2">
        <v>46</v>
      </c>
      <c r="B47" s="4">
        <v>44837</v>
      </c>
      <c r="C47" s="2">
        <f t="shared" si="0"/>
        <v>0</v>
      </c>
      <c r="D47" s="2">
        <v>0</v>
      </c>
      <c r="E47" s="2">
        <f t="shared" si="1"/>
        <v>0</v>
      </c>
      <c r="F47" s="2" t="str">
        <f t="shared" si="2"/>
        <v>Monday</v>
      </c>
      <c r="H47" s="2">
        <v>1</v>
      </c>
      <c r="I47" s="2" t="e">
        <f t="shared" ca="1" si="4"/>
        <v>#NAME?</v>
      </c>
      <c r="J47" s="2" t="e">
        <f t="shared" ca="1" si="3"/>
        <v>#NAME?</v>
      </c>
    </row>
    <row r="48" spans="1:10" ht="15.75" customHeight="1" x14ac:dyDescent="0.2">
      <c r="A48" s="2">
        <v>47</v>
      </c>
      <c r="B48" s="4">
        <v>44838</v>
      </c>
      <c r="C48" s="2">
        <f t="shared" si="0"/>
        <v>0</v>
      </c>
      <c r="D48" s="2">
        <v>0</v>
      </c>
      <c r="E48" s="2">
        <f t="shared" si="1"/>
        <v>0</v>
      </c>
      <c r="F48" s="2" t="str">
        <f t="shared" si="2"/>
        <v>Tuesday</v>
      </c>
      <c r="H48" s="2">
        <v>1</v>
      </c>
      <c r="I48" s="2" t="e">
        <f t="shared" ca="1" si="4"/>
        <v>#NAME?</v>
      </c>
      <c r="J48" s="2" t="e">
        <f t="shared" ca="1" si="3"/>
        <v>#NAME?</v>
      </c>
    </row>
    <row r="49" spans="1:10" ht="15.75" customHeight="1" x14ac:dyDescent="0.2">
      <c r="A49" s="2">
        <v>48</v>
      </c>
      <c r="B49" s="4">
        <v>44839</v>
      </c>
      <c r="C49" s="2">
        <f t="shared" si="0"/>
        <v>0</v>
      </c>
      <c r="D49" s="2">
        <v>0</v>
      </c>
      <c r="E49" s="2">
        <f t="shared" si="1"/>
        <v>0</v>
      </c>
      <c r="F49" s="2" t="str">
        <f t="shared" si="2"/>
        <v>Wednesday</v>
      </c>
      <c r="H49" s="2">
        <v>1</v>
      </c>
      <c r="I49" s="2" t="e">
        <f t="shared" ca="1" si="4"/>
        <v>#NAME?</v>
      </c>
      <c r="J49" s="2" t="e">
        <f t="shared" ca="1" si="3"/>
        <v>#NAME?</v>
      </c>
    </row>
    <row r="50" spans="1:10" ht="15.75" customHeight="1" x14ac:dyDescent="0.2">
      <c r="A50" s="2">
        <v>49</v>
      </c>
      <c r="B50" s="4">
        <v>44840</v>
      </c>
      <c r="C50" s="2">
        <f t="shared" si="0"/>
        <v>0</v>
      </c>
      <c r="D50" s="2">
        <v>0</v>
      </c>
      <c r="E50" s="2">
        <f t="shared" si="1"/>
        <v>0</v>
      </c>
      <c r="F50" s="2" t="str">
        <f t="shared" si="2"/>
        <v>Thursday</v>
      </c>
      <c r="H50" s="2">
        <v>1</v>
      </c>
      <c r="I50" s="2" t="e">
        <f t="shared" ca="1" si="4"/>
        <v>#NAME?</v>
      </c>
      <c r="J50" s="2" t="e">
        <f t="shared" ca="1" si="3"/>
        <v>#NAME?</v>
      </c>
    </row>
    <row r="51" spans="1:10" ht="15.75" customHeight="1" x14ac:dyDescent="0.2">
      <c r="A51" s="2">
        <v>50</v>
      </c>
      <c r="B51" s="4">
        <v>44841</v>
      </c>
      <c r="C51" s="2">
        <f t="shared" si="0"/>
        <v>0</v>
      </c>
      <c r="D51" s="2">
        <v>0</v>
      </c>
      <c r="E51" s="2">
        <f t="shared" si="1"/>
        <v>0</v>
      </c>
      <c r="F51" s="2" t="str">
        <f t="shared" si="2"/>
        <v>Friday</v>
      </c>
      <c r="H51" s="2">
        <v>1</v>
      </c>
      <c r="I51" s="2" t="e">
        <f t="shared" ca="1" si="4"/>
        <v>#NAME?</v>
      </c>
      <c r="J51" s="2" t="e">
        <f t="shared" ca="1" si="3"/>
        <v>#NAME?</v>
      </c>
    </row>
    <row r="52" spans="1:10" ht="15.75" customHeight="1" x14ac:dyDescent="0.2">
      <c r="A52" s="2">
        <v>51</v>
      </c>
      <c r="B52" s="4">
        <v>44842</v>
      </c>
      <c r="C52" s="2">
        <f t="shared" si="0"/>
        <v>1</v>
      </c>
      <c r="D52" s="2">
        <v>0</v>
      </c>
      <c r="E52" s="2">
        <f t="shared" si="1"/>
        <v>1</v>
      </c>
      <c r="F52" s="2" t="str">
        <f t="shared" si="2"/>
        <v>Saturday</v>
      </c>
      <c r="H52" s="2">
        <v>1</v>
      </c>
      <c r="I52" s="2" t="e">
        <f t="shared" ca="1" si="4"/>
        <v>#NAME?</v>
      </c>
      <c r="J52" s="2" t="e">
        <f t="shared" ca="1" si="3"/>
        <v>#NAME?</v>
      </c>
    </row>
    <row r="53" spans="1:10" ht="15.75" customHeight="1" x14ac:dyDescent="0.2">
      <c r="A53" s="2">
        <v>52</v>
      </c>
      <c r="B53" s="4">
        <v>44843</v>
      </c>
      <c r="C53" s="2">
        <f t="shared" si="0"/>
        <v>1</v>
      </c>
      <c r="D53" s="2">
        <v>0</v>
      </c>
      <c r="E53" s="2">
        <f t="shared" si="1"/>
        <v>1</v>
      </c>
      <c r="F53" s="2" t="str">
        <f t="shared" si="2"/>
        <v>Sunday</v>
      </c>
      <c r="H53" s="2">
        <v>1</v>
      </c>
      <c r="I53" s="2" t="e">
        <f t="shared" ca="1" si="4"/>
        <v>#NAME?</v>
      </c>
      <c r="J53" s="2" t="e">
        <f t="shared" ca="1" si="3"/>
        <v>#NAME?</v>
      </c>
    </row>
    <row r="54" spans="1:10" ht="15.75" customHeight="1" x14ac:dyDescent="0.2">
      <c r="A54" s="2">
        <v>53</v>
      </c>
      <c r="B54" s="4">
        <v>44844</v>
      </c>
      <c r="C54" s="2">
        <f t="shared" si="0"/>
        <v>0</v>
      </c>
      <c r="D54" s="2">
        <v>0</v>
      </c>
      <c r="E54" s="2">
        <f t="shared" si="1"/>
        <v>0</v>
      </c>
      <c r="F54" s="2" t="str">
        <f t="shared" si="2"/>
        <v>Monday</v>
      </c>
      <c r="H54" s="2">
        <v>1</v>
      </c>
      <c r="I54" s="2" t="e">
        <f t="shared" ca="1" si="4"/>
        <v>#NAME?</v>
      </c>
      <c r="J54" s="2" t="e">
        <f t="shared" ca="1" si="3"/>
        <v>#NAME?</v>
      </c>
    </row>
    <row r="55" spans="1:10" ht="15.75" customHeight="1" x14ac:dyDescent="0.2">
      <c r="A55" s="2">
        <v>54</v>
      </c>
      <c r="B55" s="4">
        <v>44845</v>
      </c>
      <c r="C55" s="2">
        <f t="shared" si="0"/>
        <v>0</v>
      </c>
      <c r="D55" s="2">
        <v>0</v>
      </c>
      <c r="E55" s="2">
        <f t="shared" si="1"/>
        <v>0</v>
      </c>
      <c r="F55" s="2" t="str">
        <f t="shared" si="2"/>
        <v>Tuesday</v>
      </c>
      <c r="H55" s="2">
        <v>1</v>
      </c>
      <c r="I55" s="2" t="e">
        <f t="shared" ca="1" si="4"/>
        <v>#NAME?</v>
      </c>
      <c r="J55" s="2" t="e">
        <f t="shared" ca="1" si="3"/>
        <v>#NAME?</v>
      </c>
    </row>
    <row r="56" spans="1:10" ht="15.75" customHeight="1" x14ac:dyDescent="0.2">
      <c r="A56" s="2">
        <v>55</v>
      </c>
      <c r="B56" s="4">
        <v>44846</v>
      </c>
      <c r="C56" s="2">
        <f t="shared" si="0"/>
        <v>0</v>
      </c>
      <c r="D56" s="2">
        <v>0</v>
      </c>
      <c r="E56" s="2">
        <f t="shared" si="1"/>
        <v>0</v>
      </c>
      <c r="F56" s="2" t="str">
        <f t="shared" si="2"/>
        <v>Wednesday</v>
      </c>
      <c r="H56" s="2">
        <v>1</v>
      </c>
      <c r="I56" s="2" t="e">
        <f t="shared" ca="1" si="4"/>
        <v>#NAME?</v>
      </c>
      <c r="J56" s="2" t="e">
        <f t="shared" ca="1" si="3"/>
        <v>#NAME?</v>
      </c>
    </row>
    <row r="57" spans="1:10" ht="15.75" customHeight="1" x14ac:dyDescent="0.2">
      <c r="A57" s="2">
        <v>56</v>
      </c>
      <c r="B57" s="4">
        <v>44847</v>
      </c>
      <c r="C57" s="2">
        <f t="shared" si="0"/>
        <v>0</v>
      </c>
      <c r="D57" s="2">
        <v>0</v>
      </c>
      <c r="E57" s="2">
        <f t="shared" si="1"/>
        <v>0</v>
      </c>
      <c r="F57" s="2" t="str">
        <f t="shared" si="2"/>
        <v>Thursday</v>
      </c>
      <c r="H57" s="2">
        <v>1</v>
      </c>
      <c r="I57" s="2" t="e">
        <f t="shared" ca="1" si="4"/>
        <v>#NAME?</v>
      </c>
      <c r="J57" s="2" t="e">
        <f t="shared" ca="1" si="3"/>
        <v>#NAME?</v>
      </c>
    </row>
    <row r="58" spans="1:10" ht="15.75" customHeight="1" x14ac:dyDescent="0.2">
      <c r="A58" s="2">
        <v>57</v>
      </c>
      <c r="B58" s="4">
        <v>44848</v>
      </c>
      <c r="C58" s="2">
        <f t="shared" si="0"/>
        <v>0</v>
      </c>
      <c r="D58" s="2">
        <v>0</v>
      </c>
      <c r="E58" s="2">
        <f t="shared" si="1"/>
        <v>0</v>
      </c>
      <c r="F58" s="2" t="str">
        <f t="shared" si="2"/>
        <v>Friday</v>
      </c>
      <c r="H58" s="2">
        <v>1</v>
      </c>
      <c r="I58" s="2" t="e">
        <f t="shared" ca="1" si="4"/>
        <v>#NAME?</v>
      </c>
      <c r="J58" s="2" t="e">
        <f t="shared" ca="1" si="3"/>
        <v>#NAME?</v>
      </c>
    </row>
    <row r="59" spans="1:10" ht="15.75" customHeight="1" x14ac:dyDescent="0.2">
      <c r="A59" s="2">
        <v>58</v>
      </c>
      <c r="B59" s="4">
        <v>44849</v>
      </c>
      <c r="C59" s="2">
        <f t="shared" si="0"/>
        <v>1</v>
      </c>
      <c r="D59" s="2">
        <v>0</v>
      </c>
      <c r="E59" s="2">
        <f t="shared" si="1"/>
        <v>1</v>
      </c>
      <c r="F59" s="2" t="str">
        <f t="shared" si="2"/>
        <v>Saturday</v>
      </c>
      <c r="H59" s="2">
        <v>1</v>
      </c>
      <c r="I59" s="2" t="e">
        <f t="shared" ca="1" si="4"/>
        <v>#NAME?</v>
      </c>
      <c r="J59" s="2" t="e">
        <f t="shared" ca="1" si="3"/>
        <v>#NAME?</v>
      </c>
    </row>
    <row r="60" spans="1:10" ht="15.75" customHeight="1" x14ac:dyDescent="0.2">
      <c r="A60" s="2">
        <v>59</v>
      </c>
      <c r="B60" s="4">
        <v>44850</v>
      </c>
      <c r="C60" s="2">
        <f t="shared" si="0"/>
        <v>1</v>
      </c>
      <c r="D60" s="2">
        <v>0</v>
      </c>
      <c r="E60" s="2">
        <f t="shared" si="1"/>
        <v>1</v>
      </c>
      <c r="F60" s="2" t="str">
        <f t="shared" si="2"/>
        <v>Sunday</v>
      </c>
      <c r="H60" s="2">
        <v>1</v>
      </c>
      <c r="I60" s="2" t="e">
        <f t="shared" ca="1" si="4"/>
        <v>#NAME?</v>
      </c>
      <c r="J60" s="2" t="e">
        <f t="shared" ca="1" si="3"/>
        <v>#NAME?</v>
      </c>
    </row>
    <row r="61" spans="1:10" ht="15.75" customHeight="1" x14ac:dyDescent="0.2">
      <c r="A61" s="2">
        <v>60</v>
      </c>
      <c r="B61" s="4">
        <v>44851</v>
      </c>
      <c r="C61" s="2">
        <f t="shared" si="0"/>
        <v>0</v>
      </c>
      <c r="D61" s="2">
        <v>0</v>
      </c>
      <c r="E61" s="2">
        <f t="shared" si="1"/>
        <v>0</v>
      </c>
      <c r="F61" s="2" t="str">
        <f t="shared" si="2"/>
        <v>Monday</v>
      </c>
      <c r="H61" s="2">
        <v>1</v>
      </c>
      <c r="I61" s="2" t="e">
        <f t="shared" ca="1" si="4"/>
        <v>#NAME?</v>
      </c>
      <c r="J61" s="2" t="e">
        <f t="shared" ca="1" si="3"/>
        <v>#NAME?</v>
      </c>
    </row>
    <row r="62" spans="1:10" ht="15.75" customHeight="1" x14ac:dyDescent="0.2">
      <c r="A62" s="2">
        <v>61</v>
      </c>
      <c r="B62" s="4">
        <v>44852</v>
      </c>
      <c r="C62" s="2">
        <f t="shared" si="0"/>
        <v>0</v>
      </c>
      <c r="D62" s="2">
        <v>0</v>
      </c>
      <c r="E62" s="2">
        <f t="shared" si="1"/>
        <v>0</v>
      </c>
      <c r="F62" s="2" t="str">
        <f t="shared" si="2"/>
        <v>Tuesday</v>
      </c>
      <c r="H62" s="2">
        <v>1</v>
      </c>
      <c r="I62" s="2" t="e">
        <f t="shared" ca="1" si="4"/>
        <v>#NAME?</v>
      </c>
      <c r="J62" s="2" t="e">
        <f t="shared" ca="1" si="3"/>
        <v>#NAME?</v>
      </c>
    </row>
    <row r="63" spans="1:10" ht="15.75" customHeight="1" x14ac:dyDescent="0.2">
      <c r="A63" s="2">
        <v>62</v>
      </c>
      <c r="B63" s="4">
        <v>44853</v>
      </c>
      <c r="C63" s="2">
        <f t="shared" si="0"/>
        <v>0</v>
      </c>
      <c r="D63" s="2">
        <v>0</v>
      </c>
      <c r="E63" s="2">
        <f t="shared" si="1"/>
        <v>0</v>
      </c>
      <c r="F63" s="2" t="str">
        <f t="shared" si="2"/>
        <v>Wednesday</v>
      </c>
      <c r="H63" s="2">
        <v>1</v>
      </c>
      <c r="I63" s="2" t="e">
        <f t="shared" ca="1" si="4"/>
        <v>#NAME?</v>
      </c>
      <c r="J63" s="2" t="e">
        <f t="shared" ca="1" si="3"/>
        <v>#NAME?</v>
      </c>
    </row>
    <row r="64" spans="1:10" ht="15.75" customHeight="1" x14ac:dyDescent="0.2">
      <c r="A64" s="2">
        <v>63</v>
      </c>
      <c r="B64" s="4">
        <v>44854</v>
      </c>
      <c r="C64" s="2">
        <f t="shared" si="0"/>
        <v>0</v>
      </c>
      <c r="D64" s="2">
        <v>0</v>
      </c>
      <c r="E64" s="2">
        <f t="shared" si="1"/>
        <v>0</v>
      </c>
      <c r="F64" s="2" t="str">
        <f t="shared" si="2"/>
        <v>Thursday</v>
      </c>
      <c r="H64" s="2">
        <v>1</v>
      </c>
      <c r="I64" s="2" t="e">
        <f t="shared" ca="1" si="4"/>
        <v>#NAME?</v>
      </c>
      <c r="J64" s="2" t="e">
        <f t="shared" ca="1" si="3"/>
        <v>#NAME?</v>
      </c>
    </row>
    <row r="65" spans="1:10" ht="15.75" customHeight="1" x14ac:dyDescent="0.2">
      <c r="A65" s="2">
        <v>64</v>
      </c>
      <c r="B65" s="4">
        <v>44855</v>
      </c>
      <c r="C65" s="2">
        <f t="shared" si="0"/>
        <v>0</v>
      </c>
      <c r="D65" s="2">
        <v>0</v>
      </c>
      <c r="E65" s="2">
        <f t="shared" si="1"/>
        <v>0</v>
      </c>
      <c r="F65" s="2" t="str">
        <f t="shared" si="2"/>
        <v>Friday</v>
      </c>
      <c r="H65" s="2">
        <v>1</v>
      </c>
      <c r="I65" s="2" t="e">
        <f t="shared" ca="1" si="4"/>
        <v>#NAME?</v>
      </c>
      <c r="J65" s="2" t="e">
        <f t="shared" ca="1" si="3"/>
        <v>#NAME?</v>
      </c>
    </row>
    <row r="66" spans="1:10" ht="15.75" customHeight="1" x14ac:dyDescent="0.2">
      <c r="A66" s="2">
        <v>65</v>
      </c>
      <c r="B66" s="4">
        <v>44856</v>
      </c>
      <c r="C66" s="2">
        <f t="shared" si="0"/>
        <v>1</v>
      </c>
      <c r="D66" s="2">
        <v>0</v>
      </c>
      <c r="E66" s="2">
        <f t="shared" si="1"/>
        <v>1</v>
      </c>
      <c r="F66" s="2" t="str">
        <f t="shared" si="2"/>
        <v>Saturday</v>
      </c>
      <c r="H66" s="2">
        <v>1</v>
      </c>
      <c r="I66" s="2" t="e">
        <f t="shared" ca="1" si="4"/>
        <v>#NAME?</v>
      </c>
      <c r="J66" s="2" t="e">
        <f t="shared" ca="1" si="3"/>
        <v>#NAME?</v>
      </c>
    </row>
    <row r="67" spans="1:10" ht="15.75" customHeight="1" x14ac:dyDescent="0.2">
      <c r="A67" s="2">
        <v>66</v>
      </c>
      <c r="B67" s="4">
        <v>44857</v>
      </c>
      <c r="C67" s="2">
        <f t="shared" si="0"/>
        <v>1</v>
      </c>
      <c r="D67" s="2">
        <v>0</v>
      </c>
      <c r="E67" s="2">
        <f t="shared" si="1"/>
        <v>1</v>
      </c>
      <c r="F67" s="2" t="str">
        <f t="shared" si="2"/>
        <v>Sunday</v>
      </c>
      <c r="H67" s="2">
        <v>1</v>
      </c>
      <c r="I67" s="2" t="e">
        <f t="shared" ca="1" si="4"/>
        <v>#NAME?</v>
      </c>
      <c r="J67" s="2" t="e">
        <f t="shared" ca="1" si="3"/>
        <v>#NAME?</v>
      </c>
    </row>
    <row r="68" spans="1:10" ht="15.75" customHeight="1" x14ac:dyDescent="0.2">
      <c r="A68" s="2">
        <v>67</v>
      </c>
      <c r="B68" s="4">
        <v>44858</v>
      </c>
      <c r="C68" s="2">
        <f t="shared" si="0"/>
        <v>0</v>
      </c>
      <c r="D68" s="2">
        <v>1</v>
      </c>
      <c r="E68" s="2">
        <f t="shared" si="1"/>
        <v>1</v>
      </c>
      <c r="F68" s="2" t="str">
        <f t="shared" si="2"/>
        <v>Monday</v>
      </c>
      <c r="G68" s="2" t="s">
        <v>329</v>
      </c>
      <c r="H68" s="2">
        <v>1</v>
      </c>
      <c r="I68" s="2" t="e">
        <f t="shared" ca="1" si="4"/>
        <v>#NAME?</v>
      </c>
      <c r="J68" s="2" t="e">
        <f t="shared" ca="1" si="3"/>
        <v>#NAME?</v>
      </c>
    </row>
    <row r="69" spans="1:10" ht="15.75" customHeight="1" x14ac:dyDescent="0.2">
      <c r="A69" s="2">
        <v>68</v>
      </c>
      <c r="B69" s="4">
        <v>44859</v>
      </c>
      <c r="C69" s="2">
        <f t="shared" si="0"/>
        <v>0</v>
      </c>
      <c r="D69" s="2">
        <v>1</v>
      </c>
      <c r="E69" s="2">
        <f t="shared" si="1"/>
        <v>1</v>
      </c>
      <c r="F69" s="2" t="str">
        <f t="shared" si="2"/>
        <v>Tuesday</v>
      </c>
      <c r="G69" s="2" t="s">
        <v>329</v>
      </c>
      <c r="H69" s="2">
        <v>1</v>
      </c>
      <c r="I69" s="2" t="e">
        <f t="shared" ca="1" si="4"/>
        <v>#NAME?</v>
      </c>
      <c r="J69" s="2" t="e">
        <f t="shared" ca="1" si="3"/>
        <v>#NAME?</v>
      </c>
    </row>
    <row r="70" spans="1:10" ht="15.75" customHeight="1" x14ac:dyDescent="0.2">
      <c r="A70" s="2">
        <v>69</v>
      </c>
      <c r="B70" s="4">
        <v>44860</v>
      </c>
      <c r="C70" s="2">
        <f t="shared" si="0"/>
        <v>0</v>
      </c>
      <c r="D70" s="2">
        <v>1</v>
      </c>
      <c r="E70" s="2">
        <f t="shared" si="1"/>
        <v>1</v>
      </c>
      <c r="F70" s="2" t="str">
        <f t="shared" si="2"/>
        <v>Wednesday</v>
      </c>
      <c r="G70" s="2" t="s">
        <v>329</v>
      </c>
      <c r="H70" s="2">
        <v>1</v>
      </c>
      <c r="I70" s="2" t="e">
        <f t="shared" ca="1" si="4"/>
        <v>#NAME?</v>
      </c>
      <c r="J70" s="2" t="e">
        <f t="shared" ca="1" si="3"/>
        <v>#NAME?</v>
      </c>
    </row>
    <row r="71" spans="1:10" ht="15.75" customHeight="1" x14ac:dyDescent="0.2">
      <c r="A71" s="2">
        <v>70</v>
      </c>
      <c r="B71" s="4">
        <v>44861</v>
      </c>
      <c r="C71" s="2">
        <f t="shared" si="0"/>
        <v>0</v>
      </c>
      <c r="D71" s="2">
        <v>1</v>
      </c>
      <c r="E71" s="2">
        <f t="shared" si="1"/>
        <v>1</v>
      </c>
      <c r="F71" s="2" t="str">
        <f t="shared" si="2"/>
        <v>Thursday</v>
      </c>
      <c r="G71" s="2" t="s">
        <v>329</v>
      </c>
      <c r="H71" s="2">
        <v>1</v>
      </c>
      <c r="I71" s="2" t="e">
        <f t="shared" ca="1" si="4"/>
        <v>#NAME?</v>
      </c>
      <c r="J71" s="2" t="e">
        <f t="shared" ca="1" si="3"/>
        <v>#NAME?</v>
      </c>
    </row>
    <row r="72" spans="1:10" ht="15.75" customHeight="1" x14ac:dyDescent="0.2">
      <c r="A72" s="2">
        <v>71</v>
      </c>
      <c r="B72" s="4">
        <v>44862</v>
      </c>
      <c r="C72" s="2">
        <f t="shared" si="0"/>
        <v>0</v>
      </c>
      <c r="D72" s="2">
        <v>1</v>
      </c>
      <c r="E72" s="2">
        <f t="shared" si="1"/>
        <v>1</v>
      </c>
      <c r="F72" s="2" t="str">
        <f t="shared" si="2"/>
        <v>Friday</v>
      </c>
      <c r="G72" s="2" t="s">
        <v>329</v>
      </c>
      <c r="H72" s="2">
        <v>1</v>
      </c>
      <c r="I72" s="2" t="e">
        <f t="shared" ca="1" si="4"/>
        <v>#NAME?</v>
      </c>
      <c r="J72" s="2" t="e">
        <f t="shared" ca="1" si="3"/>
        <v>#NAME?</v>
      </c>
    </row>
    <row r="73" spans="1:10" ht="15.75" customHeight="1" x14ac:dyDescent="0.2">
      <c r="A73" s="2">
        <v>72</v>
      </c>
      <c r="B73" s="4">
        <v>44863</v>
      </c>
      <c r="C73" s="2">
        <f t="shared" si="0"/>
        <v>1</v>
      </c>
      <c r="D73" s="2">
        <v>1</v>
      </c>
      <c r="E73" s="2">
        <f t="shared" si="1"/>
        <v>1</v>
      </c>
      <c r="F73" s="2" t="str">
        <f t="shared" si="2"/>
        <v>Saturday</v>
      </c>
      <c r="G73" s="2" t="s">
        <v>329</v>
      </c>
      <c r="H73" s="2">
        <v>1</v>
      </c>
      <c r="I73" s="2" t="e">
        <f t="shared" ca="1" si="4"/>
        <v>#NAME?</v>
      </c>
      <c r="J73" s="2" t="e">
        <f t="shared" ca="1" si="3"/>
        <v>#NAME?</v>
      </c>
    </row>
    <row r="74" spans="1:10" ht="15.75" customHeight="1" x14ac:dyDescent="0.2">
      <c r="A74" s="2">
        <v>73</v>
      </c>
      <c r="B74" s="4">
        <v>44864</v>
      </c>
      <c r="C74" s="2">
        <f t="shared" si="0"/>
        <v>1</v>
      </c>
      <c r="D74" s="2">
        <v>1</v>
      </c>
      <c r="E74" s="2">
        <f t="shared" si="1"/>
        <v>1</v>
      </c>
      <c r="F74" s="2" t="str">
        <f t="shared" si="2"/>
        <v>Sunday</v>
      </c>
      <c r="G74" s="2" t="s">
        <v>329</v>
      </c>
      <c r="H74" s="2">
        <v>1</v>
      </c>
      <c r="I74" s="2" t="e">
        <f t="shared" ca="1" si="4"/>
        <v>#NAME?</v>
      </c>
      <c r="J74" s="2" t="e">
        <f t="shared" ca="1" si="3"/>
        <v>#NAME?</v>
      </c>
    </row>
    <row r="75" spans="1:10" ht="15.75" customHeight="1" x14ac:dyDescent="0.2">
      <c r="A75" s="2">
        <v>74</v>
      </c>
      <c r="B75" s="4">
        <v>44865</v>
      </c>
      <c r="C75" s="2">
        <f t="shared" si="0"/>
        <v>0</v>
      </c>
      <c r="D75" s="2">
        <v>1</v>
      </c>
      <c r="E75" s="2">
        <f t="shared" si="1"/>
        <v>1</v>
      </c>
      <c r="F75" s="2" t="str">
        <f t="shared" si="2"/>
        <v>Monday</v>
      </c>
      <c r="G75" s="2" t="s">
        <v>330</v>
      </c>
      <c r="H75" s="2">
        <v>2</v>
      </c>
      <c r="I75" s="2" t="e">
        <f t="shared" ca="1" si="4"/>
        <v>#NAME?</v>
      </c>
      <c r="J75" s="2" t="e">
        <f t="shared" ca="1" si="3"/>
        <v>#NAME?</v>
      </c>
    </row>
    <row r="76" spans="1:10" ht="15.75" customHeight="1" x14ac:dyDescent="0.2">
      <c r="A76" s="2">
        <v>75</v>
      </c>
      <c r="B76" s="4">
        <v>44866</v>
      </c>
      <c r="C76" s="2">
        <f t="shared" si="0"/>
        <v>0</v>
      </c>
      <c r="D76" s="2">
        <v>0</v>
      </c>
      <c r="E76" s="2">
        <f t="shared" si="1"/>
        <v>0</v>
      </c>
      <c r="F76" s="2" t="str">
        <f t="shared" si="2"/>
        <v>Tuesday</v>
      </c>
      <c r="H76" s="2">
        <v>2</v>
      </c>
      <c r="I76" s="2" t="e">
        <f t="shared" ca="1" si="4"/>
        <v>#NAME?</v>
      </c>
      <c r="J76" s="2" t="e">
        <f t="shared" ca="1" si="3"/>
        <v>#NAME?</v>
      </c>
    </row>
    <row r="77" spans="1:10" ht="15.75" customHeight="1" x14ac:dyDescent="0.2">
      <c r="A77" s="2">
        <v>76</v>
      </c>
      <c r="B77" s="4">
        <v>44867</v>
      </c>
      <c r="C77" s="2">
        <f t="shared" si="0"/>
        <v>0</v>
      </c>
      <c r="D77" s="2">
        <v>0</v>
      </c>
      <c r="E77" s="2">
        <f t="shared" si="1"/>
        <v>0</v>
      </c>
      <c r="F77" s="2" t="str">
        <f t="shared" si="2"/>
        <v>Wednesday</v>
      </c>
      <c r="H77" s="2">
        <v>2</v>
      </c>
      <c r="I77" s="2" t="e">
        <f t="shared" ca="1" si="4"/>
        <v>#NAME?</v>
      </c>
      <c r="J77" s="2" t="e">
        <f t="shared" ca="1" si="3"/>
        <v>#NAME?</v>
      </c>
    </row>
    <row r="78" spans="1:10" ht="15.75" customHeight="1" x14ac:dyDescent="0.2">
      <c r="A78" s="2">
        <v>77</v>
      </c>
      <c r="B78" s="4">
        <v>44868</v>
      </c>
      <c r="C78" s="2">
        <f t="shared" si="0"/>
        <v>0</v>
      </c>
      <c r="D78" s="2">
        <v>0</v>
      </c>
      <c r="E78" s="2">
        <f t="shared" si="1"/>
        <v>0</v>
      </c>
      <c r="F78" s="2" t="str">
        <f t="shared" si="2"/>
        <v>Thursday</v>
      </c>
      <c r="H78" s="2">
        <v>2</v>
      </c>
      <c r="I78" s="2" t="e">
        <f t="shared" ca="1" si="4"/>
        <v>#NAME?</v>
      </c>
      <c r="J78" s="2" t="e">
        <f t="shared" ca="1" si="3"/>
        <v>#NAME?</v>
      </c>
    </row>
    <row r="79" spans="1:10" ht="15.75" customHeight="1" x14ac:dyDescent="0.2">
      <c r="A79" s="2">
        <v>78</v>
      </c>
      <c r="B79" s="4">
        <v>44869</v>
      </c>
      <c r="C79" s="2">
        <f t="shared" si="0"/>
        <v>0</v>
      </c>
      <c r="D79" s="2">
        <v>0</v>
      </c>
      <c r="E79" s="2">
        <f t="shared" si="1"/>
        <v>0</v>
      </c>
      <c r="F79" s="2" t="str">
        <f t="shared" si="2"/>
        <v>Friday</v>
      </c>
      <c r="H79" s="2">
        <v>2</v>
      </c>
      <c r="I79" s="2" t="e">
        <f t="shared" ca="1" si="4"/>
        <v>#NAME?</v>
      </c>
      <c r="J79" s="2" t="e">
        <f t="shared" ca="1" si="3"/>
        <v>#NAME?</v>
      </c>
    </row>
    <row r="80" spans="1:10" ht="15.75" customHeight="1" x14ac:dyDescent="0.2">
      <c r="A80" s="2">
        <v>79</v>
      </c>
      <c r="B80" s="4">
        <v>44870</v>
      </c>
      <c r="C80" s="2">
        <f t="shared" si="0"/>
        <v>1</v>
      </c>
      <c r="D80" s="2">
        <v>0</v>
      </c>
      <c r="E80" s="2">
        <f t="shared" si="1"/>
        <v>1</v>
      </c>
      <c r="F80" s="2" t="str">
        <f t="shared" si="2"/>
        <v>Saturday</v>
      </c>
      <c r="H80" s="2">
        <v>2</v>
      </c>
      <c r="I80" s="2" t="e">
        <f t="shared" ca="1" si="4"/>
        <v>#NAME?</v>
      </c>
      <c r="J80" s="2" t="e">
        <f t="shared" ca="1" si="3"/>
        <v>#NAME?</v>
      </c>
    </row>
    <row r="81" spans="1:10" ht="15.75" customHeight="1" x14ac:dyDescent="0.2">
      <c r="A81" s="2">
        <v>80</v>
      </c>
      <c r="B81" s="4">
        <v>44871</v>
      </c>
      <c r="C81" s="2">
        <f t="shared" si="0"/>
        <v>1</v>
      </c>
      <c r="D81" s="2">
        <v>0</v>
      </c>
      <c r="E81" s="2">
        <f t="shared" si="1"/>
        <v>1</v>
      </c>
      <c r="F81" s="2" t="str">
        <f t="shared" si="2"/>
        <v>Sunday</v>
      </c>
      <c r="H81" s="2">
        <v>2</v>
      </c>
      <c r="I81" s="2" t="e">
        <f t="shared" ca="1" si="4"/>
        <v>#NAME?</v>
      </c>
      <c r="J81" s="2" t="e">
        <f t="shared" ca="1" si="3"/>
        <v>#NAME?</v>
      </c>
    </row>
    <row r="82" spans="1:10" ht="15.75" customHeight="1" x14ac:dyDescent="0.2">
      <c r="A82" s="2">
        <v>81</v>
      </c>
      <c r="B82" s="4">
        <v>44872</v>
      </c>
      <c r="C82" s="2">
        <f t="shared" si="0"/>
        <v>0</v>
      </c>
      <c r="D82" s="2">
        <v>0</v>
      </c>
      <c r="E82" s="2">
        <f t="shared" si="1"/>
        <v>0</v>
      </c>
      <c r="F82" s="2" t="str">
        <f t="shared" si="2"/>
        <v>Monday</v>
      </c>
      <c r="H82" s="2">
        <v>2</v>
      </c>
      <c r="I82" s="2" t="e">
        <f t="shared" ca="1" si="4"/>
        <v>#NAME?</v>
      </c>
      <c r="J82" s="2" t="e">
        <f t="shared" ca="1" si="3"/>
        <v>#NAME?</v>
      </c>
    </row>
    <row r="83" spans="1:10" ht="15.75" customHeight="1" x14ac:dyDescent="0.2">
      <c r="A83" s="2">
        <v>82</v>
      </c>
      <c r="B83" s="4">
        <v>44873</v>
      </c>
      <c r="C83" s="2">
        <f t="shared" si="0"/>
        <v>0</v>
      </c>
      <c r="D83" s="2">
        <v>0</v>
      </c>
      <c r="E83" s="2">
        <f t="shared" si="1"/>
        <v>0</v>
      </c>
      <c r="F83" s="2" t="str">
        <f t="shared" si="2"/>
        <v>Tuesday</v>
      </c>
      <c r="H83" s="2">
        <v>2</v>
      </c>
      <c r="I83" s="2" t="e">
        <f t="shared" ca="1" si="4"/>
        <v>#NAME?</v>
      </c>
      <c r="J83" s="2" t="e">
        <f t="shared" ca="1" si="3"/>
        <v>#NAME?</v>
      </c>
    </row>
    <row r="84" spans="1:10" ht="15.75" customHeight="1" x14ac:dyDescent="0.2">
      <c r="A84" s="2">
        <v>83</v>
      </c>
      <c r="B84" s="4">
        <v>44874</v>
      </c>
      <c r="C84" s="2">
        <f t="shared" si="0"/>
        <v>0</v>
      </c>
      <c r="D84" s="2">
        <v>0</v>
      </c>
      <c r="E84" s="2">
        <f t="shared" si="1"/>
        <v>0</v>
      </c>
      <c r="F84" s="2" t="str">
        <f t="shared" si="2"/>
        <v>Wednesday</v>
      </c>
      <c r="H84" s="2">
        <v>2</v>
      </c>
      <c r="I84" s="2" t="e">
        <f t="shared" ca="1" si="4"/>
        <v>#NAME?</v>
      </c>
      <c r="J84" s="2" t="e">
        <f t="shared" ca="1" si="3"/>
        <v>#NAME?</v>
      </c>
    </row>
    <row r="85" spans="1:10" ht="15.75" customHeight="1" x14ac:dyDescent="0.2">
      <c r="A85" s="2">
        <v>84</v>
      </c>
      <c r="B85" s="4">
        <v>44875</v>
      </c>
      <c r="C85" s="2">
        <f t="shared" si="0"/>
        <v>0</v>
      </c>
      <c r="D85" s="2">
        <v>0</v>
      </c>
      <c r="E85" s="2">
        <f t="shared" si="1"/>
        <v>0</v>
      </c>
      <c r="F85" s="2" t="str">
        <f t="shared" si="2"/>
        <v>Thursday</v>
      </c>
      <c r="H85" s="2">
        <v>2</v>
      </c>
      <c r="I85" s="2" t="e">
        <f t="shared" ca="1" si="4"/>
        <v>#NAME?</v>
      </c>
      <c r="J85" s="2" t="e">
        <f t="shared" ca="1" si="3"/>
        <v>#NAME?</v>
      </c>
    </row>
    <row r="86" spans="1:10" ht="15.75" customHeight="1" x14ac:dyDescent="0.2">
      <c r="A86" s="2">
        <v>85</v>
      </c>
      <c r="B86" s="4">
        <v>44876</v>
      </c>
      <c r="C86" s="2">
        <f t="shared" si="0"/>
        <v>0</v>
      </c>
      <c r="D86" s="2">
        <v>0</v>
      </c>
      <c r="E86" s="2">
        <f t="shared" si="1"/>
        <v>0</v>
      </c>
      <c r="F86" s="2" t="str">
        <f t="shared" si="2"/>
        <v>Friday</v>
      </c>
      <c r="H86" s="2">
        <v>2</v>
      </c>
      <c r="I86" s="2" t="e">
        <f t="shared" ca="1" si="4"/>
        <v>#NAME?</v>
      </c>
      <c r="J86" s="2" t="e">
        <f t="shared" ca="1" si="3"/>
        <v>#NAME?</v>
      </c>
    </row>
    <row r="87" spans="1:10" ht="15.75" customHeight="1" x14ac:dyDescent="0.2">
      <c r="A87" s="2">
        <v>86</v>
      </c>
      <c r="B87" s="4">
        <v>44877</v>
      </c>
      <c r="C87" s="2">
        <f t="shared" si="0"/>
        <v>1</v>
      </c>
      <c r="D87" s="2">
        <v>0</v>
      </c>
      <c r="E87" s="2">
        <f t="shared" si="1"/>
        <v>1</v>
      </c>
      <c r="F87" s="2" t="str">
        <f t="shared" si="2"/>
        <v>Saturday</v>
      </c>
      <c r="H87" s="2">
        <v>2</v>
      </c>
      <c r="I87" s="2" t="e">
        <f t="shared" ca="1" si="4"/>
        <v>#NAME?</v>
      </c>
      <c r="J87" s="2" t="e">
        <f t="shared" ca="1" si="3"/>
        <v>#NAME?</v>
      </c>
    </row>
    <row r="88" spans="1:10" ht="15.75" customHeight="1" x14ac:dyDescent="0.2">
      <c r="A88" s="2">
        <v>87</v>
      </c>
      <c r="B88" s="4">
        <v>44878</v>
      </c>
      <c r="C88" s="2">
        <f t="shared" si="0"/>
        <v>1</v>
      </c>
      <c r="D88" s="2">
        <v>0</v>
      </c>
      <c r="E88" s="2">
        <f t="shared" si="1"/>
        <v>1</v>
      </c>
      <c r="F88" s="2" t="str">
        <f t="shared" si="2"/>
        <v>Sunday</v>
      </c>
      <c r="H88" s="2">
        <v>2</v>
      </c>
      <c r="I88" s="2" t="e">
        <f t="shared" ca="1" si="4"/>
        <v>#NAME?</v>
      </c>
      <c r="J88" s="2" t="e">
        <f t="shared" ca="1" si="3"/>
        <v>#NAME?</v>
      </c>
    </row>
    <row r="89" spans="1:10" ht="15.75" customHeight="1" x14ac:dyDescent="0.2">
      <c r="A89" s="2">
        <v>88</v>
      </c>
      <c r="B89" s="4">
        <v>44879</v>
      </c>
      <c r="C89" s="2">
        <f t="shared" si="0"/>
        <v>0</v>
      </c>
      <c r="D89" s="2">
        <v>0</v>
      </c>
      <c r="E89" s="2">
        <f t="shared" si="1"/>
        <v>0</v>
      </c>
      <c r="F89" s="2" t="str">
        <f t="shared" si="2"/>
        <v>Monday</v>
      </c>
      <c r="H89" s="2">
        <v>2</v>
      </c>
      <c r="I89" s="2" t="e">
        <f t="shared" ca="1" si="4"/>
        <v>#NAME?</v>
      </c>
      <c r="J89" s="2" t="e">
        <f t="shared" ca="1" si="3"/>
        <v>#NAME?</v>
      </c>
    </row>
    <row r="90" spans="1:10" ht="15.75" customHeight="1" x14ac:dyDescent="0.2">
      <c r="A90" s="2">
        <v>89</v>
      </c>
      <c r="B90" s="4">
        <v>44880</v>
      </c>
      <c r="C90" s="2">
        <f t="shared" si="0"/>
        <v>0</v>
      </c>
      <c r="D90" s="2">
        <v>0</v>
      </c>
      <c r="E90" s="2">
        <f t="shared" si="1"/>
        <v>0</v>
      </c>
      <c r="F90" s="2" t="str">
        <f t="shared" si="2"/>
        <v>Tuesday</v>
      </c>
      <c r="H90" s="2">
        <v>2</v>
      </c>
      <c r="I90" s="2" t="e">
        <f t="shared" ca="1" si="4"/>
        <v>#NAME?</v>
      </c>
      <c r="J90" s="2" t="e">
        <f t="shared" ca="1" si="3"/>
        <v>#NAME?</v>
      </c>
    </row>
    <row r="91" spans="1:10" ht="15.75" customHeight="1" x14ac:dyDescent="0.2">
      <c r="A91" s="2">
        <v>90</v>
      </c>
      <c r="B91" s="4">
        <v>44881</v>
      </c>
      <c r="C91" s="2">
        <f t="shared" si="0"/>
        <v>0</v>
      </c>
      <c r="D91" s="2">
        <v>0</v>
      </c>
      <c r="E91" s="2">
        <f t="shared" si="1"/>
        <v>0</v>
      </c>
      <c r="F91" s="2" t="str">
        <f t="shared" si="2"/>
        <v>Wednesday</v>
      </c>
      <c r="H91" s="2">
        <v>2</v>
      </c>
      <c r="I91" s="2" t="e">
        <f t="shared" ca="1" si="4"/>
        <v>#NAME?</v>
      </c>
      <c r="J91" s="2" t="e">
        <f t="shared" ca="1" si="3"/>
        <v>#NAME?</v>
      </c>
    </row>
    <row r="92" spans="1:10" ht="15.75" customHeight="1" x14ac:dyDescent="0.2">
      <c r="A92" s="2">
        <v>91</v>
      </c>
      <c r="B92" s="4">
        <v>44882</v>
      </c>
      <c r="C92" s="2">
        <f t="shared" si="0"/>
        <v>0</v>
      </c>
      <c r="D92" s="2">
        <v>0</v>
      </c>
      <c r="E92" s="2">
        <f t="shared" si="1"/>
        <v>0</v>
      </c>
      <c r="F92" s="2" t="str">
        <f t="shared" si="2"/>
        <v>Thursday</v>
      </c>
      <c r="H92" s="2">
        <v>2</v>
      </c>
      <c r="I92" s="2" t="e">
        <f t="shared" ca="1" si="4"/>
        <v>#NAME?</v>
      </c>
      <c r="J92" s="2" t="e">
        <f t="shared" ca="1" si="3"/>
        <v>#NAME?</v>
      </c>
    </row>
    <row r="93" spans="1:10" ht="15.75" customHeight="1" x14ac:dyDescent="0.2">
      <c r="A93" s="2">
        <v>92</v>
      </c>
      <c r="B93" s="4">
        <v>44883</v>
      </c>
      <c r="C93" s="2">
        <f t="shared" si="0"/>
        <v>0</v>
      </c>
      <c r="D93" s="2">
        <v>0</v>
      </c>
      <c r="E93" s="2">
        <f t="shared" si="1"/>
        <v>0</v>
      </c>
      <c r="F93" s="2" t="str">
        <f t="shared" si="2"/>
        <v>Friday</v>
      </c>
      <c r="H93" s="2">
        <v>2</v>
      </c>
      <c r="I93" s="2" t="e">
        <f t="shared" ca="1" si="4"/>
        <v>#NAME?</v>
      </c>
      <c r="J93" s="2" t="e">
        <f t="shared" ca="1" si="3"/>
        <v>#NAME?</v>
      </c>
    </row>
    <row r="94" spans="1:10" ht="15.75" customHeight="1" x14ac:dyDescent="0.2">
      <c r="A94" s="2">
        <v>93</v>
      </c>
      <c r="B94" s="4">
        <v>44884</v>
      </c>
      <c r="C94" s="2">
        <f t="shared" si="0"/>
        <v>1</v>
      </c>
      <c r="D94" s="2">
        <v>0</v>
      </c>
      <c r="E94" s="2">
        <f t="shared" si="1"/>
        <v>1</v>
      </c>
      <c r="F94" s="2" t="str">
        <f t="shared" si="2"/>
        <v>Saturday</v>
      </c>
      <c r="H94" s="2">
        <v>2</v>
      </c>
      <c r="I94" s="2" t="e">
        <f t="shared" ca="1" si="4"/>
        <v>#NAME?</v>
      </c>
      <c r="J94" s="2" t="e">
        <f t="shared" ca="1" si="3"/>
        <v>#NAME?</v>
      </c>
    </row>
    <row r="95" spans="1:10" ht="15.75" customHeight="1" x14ac:dyDescent="0.2">
      <c r="A95" s="2">
        <v>94</v>
      </c>
      <c r="B95" s="4">
        <v>44885</v>
      </c>
      <c r="C95" s="2">
        <f t="shared" si="0"/>
        <v>1</v>
      </c>
      <c r="D95" s="2">
        <v>0</v>
      </c>
      <c r="E95" s="2">
        <f t="shared" si="1"/>
        <v>1</v>
      </c>
      <c r="F95" s="2" t="str">
        <f t="shared" si="2"/>
        <v>Sunday</v>
      </c>
      <c r="H95" s="2">
        <v>2</v>
      </c>
      <c r="I95" s="2" t="e">
        <f t="shared" ca="1" si="4"/>
        <v>#NAME?</v>
      </c>
      <c r="J95" s="2" t="e">
        <f t="shared" ca="1" si="3"/>
        <v>#NAME?</v>
      </c>
    </row>
    <row r="96" spans="1:10" ht="15.75" customHeight="1" x14ac:dyDescent="0.2">
      <c r="A96" s="2">
        <v>95</v>
      </c>
      <c r="B96" s="4">
        <v>44886</v>
      </c>
      <c r="C96" s="2">
        <f t="shared" si="0"/>
        <v>0</v>
      </c>
      <c r="D96" s="2">
        <v>0</v>
      </c>
      <c r="E96" s="2">
        <f t="shared" si="1"/>
        <v>0</v>
      </c>
      <c r="F96" s="2" t="str">
        <f t="shared" si="2"/>
        <v>Monday</v>
      </c>
      <c r="H96" s="2">
        <v>2</v>
      </c>
      <c r="I96" s="2" t="e">
        <f t="shared" ca="1" si="4"/>
        <v>#NAME?</v>
      </c>
      <c r="J96" s="2" t="e">
        <f t="shared" ca="1" si="3"/>
        <v>#NAME?</v>
      </c>
    </row>
    <row r="97" spans="1:10" ht="15.75" customHeight="1" x14ac:dyDescent="0.2">
      <c r="A97" s="2">
        <v>96</v>
      </c>
      <c r="B97" s="4">
        <v>44887</v>
      </c>
      <c r="C97" s="2">
        <f t="shared" si="0"/>
        <v>0</v>
      </c>
      <c r="D97" s="2">
        <v>0</v>
      </c>
      <c r="E97" s="2">
        <f t="shared" si="1"/>
        <v>0</v>
      </c>
      <c r="F97" s="2" t="str">
        <f t="shared" si="2"/>
        <v>Tuesday</v>
      </c>
      <c r="H97" s="2">
        <v>2</v>
      </c>
      <c r="I97" s="2" t="e">
        <f t="shared" ca="1" si="4"/>
        <v>#NAME?</v>
      </c>
      <c r="J97" s="2" t="e">
        <f t="shared" ca="1" si="3"/>
        <v>#NAME?</v>
      </c>
    </row>
    <row r="98" spans="1:10" ht="15.75" customHeight="1" x14ac:dyDescent="0.2">
      <c r="A98" s="2">
        <v>97</v>
      </c>
      <c r="B98" s="4">
        <v>44888</v>
      </c>
      <c r="C98" s="2">
        <f t="shared" si="0"/>
        <v>0</v>
      </c>
      <c r="D98" s="2">
        <v>0</v>
      </c>
      <c r="E98" s="2">
        <f t="shared" si="1"/>
        <v>0</v>
      </c>
      <c r="F98" s="2" t="str">
        <f t="shared" si="2"/>
        <v>Wednesday</v>
      </c>
      <c r="H98" s="2">
        <v>2</v>
      </c>
      <c r="I98" s="2" t="e">
        <f t="shared" ca="1" si="4"/>
        <v>#NAME?</v>
      </c>
      <c r="J98" s="2" t="e">
        <f t="shared" ca="1" si="3"/>
        <v>#NAME?</v>
      </c>
    </row>
    <row r="99" spans="1:10" ht="15.75" customHeight="1" x14ac:dyDescent="0.2">
      <c r="A99" s="2">
        <v>98</v>
      </c>
      <c r="B99" s="4">
        <v>44889</v>
      </c>
      <c r="C99" s="2">
        <f t="shared" si="0"/>
        <v>0</v>
      </c>
      <c r="D99" s="2">
        <v>0</v>
      </c>
      <c r="E99" s="2">
        <f t="shared" si="1"/>
        <v>0</v>
      </c>
      <c r="F99" s="2" t="str">
        <f t="shared" si="2"/>
        <v>Thursday</v>
      </c>
      <c r="H99" s="2">
        <v>2</v>
      </c>
      <c r="I99" s="2" t="e">
        <f t="shared" ca="1" si="4"/>
        <v>#NAME?</v>
      </c>
      <c r="J99" s="2" t="e">
        <f t="shared" ca="1" si="3"/>
        <v>#NAME?</v>
      </c>
    </row>
    <row r="100" spans="1:10" ht="15.75" customHeight="1" x14ac:dyDescent="0.2">
      <c r="A100" s="2">
        <v>99</v>
      </c>
      <c r="B100" s="4">
        <v>44890</v>
      </c>
      <c r="C100" s="2">
        <f t="shared" si="0"/>
        <v>0</v>
      </c>
      <c r="D100" s="2">
        <v>0</v>
      </c>
      <c r="E100" s="2">
        <f t="shared" si="1"/>
        <v>0</v>
      </c>
      <c r="F100" s="2" t="str">
        <f t="shared" si="2"/>
        <v>Friday</v>
      </c>
      <c r="H100" s="2">
        <v>2</v>
      </c>
      <c r="I100" s="2" t="e">
        <f t="shared" ca="1" si="4"/>
        <v>#NAME?</v>
      </c>
      <c r="J100" s="2" t="e">
        <f t="shared" ca="1" si="3"/>
        <v>#NAME?</v>
      </c>
    </row>
    <row r="101" spans="1:10" ht="15.75" customHeight="1" x14ac:dyDescent="0.2">
      <c r="A101" s="2">
        <v>100</v>
      </c>
      <c r="B101" s="4">
        <v>44891</v>
      </c>
      <c r="C101" s="2">
        <f t="shared" si="0"/>
        <v>1</v>
      </c>
      <c r="D101" s="2">
        <v>0</v>
      </c>
      <c r="E101" s="2">
        <f t="shared" si="1"/>
        <v>1</v>
      </c>
      <c r="F101" s="2" t="str">
        <f t="shared" si="2"/>
        <v>Saturday</v>
      </c>
      <c r="H101" s="2">
        <v>2</v>
      </c>
      <c r="I101" s="2" t="e">
        <f t="shared" ca="1" si="4"/>
        <v>#NAME?</v>
      </c>
      <c r="J101" s="2" t="e">
        <f t="shared" ca="1" si="3"/>
        <v>#NAME?</v>
      </c>
    </row>
    <row r="102" spans="1:10" ht="15.75" customHeight="1" x14ac:dyDescent="0.2">
      <c r="A102" s="2">
        <v>101</v>
      </c>
      <c r="B102" s="4">
        <v>44892</v>
      </c>
      <c r="C102" s="2">
        <f t="shared" si="0"/>
        <v>1</v>
      </c>
      <c r="D102" s="2">
        <v>0</v>
      </c>
      <c r="E102" s="2">
        <f t="shared" si="1"/>
        <v>1</v>
      </c>
      <c r="F102" s="2" t="str">
        <f t="shared" si="2"/>
        <v>Sunday</v>
      </c>
      <c r="H102" s="2">
        <v>2</v>
      </c>
      <c r="I102" s="2" t="e">
        <f t="shared" ca="1" si="4"/>
        <v>#NAME?</v>
      </c>
      <c r="J102" s="2" t="e">
        <f t="shared" ca="1" si="3"/>
        <v>#NAME?</v>
      </c>
    </row>
    <row r="103" spans="1:10" ht="15.75" customHeight="1" x14ac:dyDescent="0.2">
      <c r="A103" s="2">
        <v>102</v>
      </c>
      <c r="B103" s="4">
        <v>44893</v>
      </c>
      <c r="C103" s="2">
        <f t="shared" si="0"/>
        <v>0</v>
      </c>
      <c r="D103" s="2">
        <v>0</v>
      </c>
      <c r="E103" s="2">
        <f t="shared" si="1"/>
        <v>0</v>
      </c>
      <c r="F103" s="2" t="str">
        <f t="shared" si="2"/>
        <v>Monday</v>
      </c>
      <c r="H103" s="2">
        <v>2</v>
      </c>
      <c r="I103" s="2" t="e">
        <f t="shared" ca="1" si="4"/>
        <v>#NAME?</v>
      </c>
      <c r="J103" s="2" t="e">
        <f t="shared" ca="1" si="3"/>
        <v>#NAME?</v>
      </c>
    </row>
    <row r="104" spans="1:10" ht="15.75" customHeight="1" x14ac:dyDescent="0.2">
      <c r="A104" s="2">
        <v>103</v>
      </c>
      <c r="B104" s="4">
        <v>44894</v>
      </c>
      <c r="C104" s="2">
        <f t="shared" si="0"/>
        <v>0</v>
      </c>
      <c r="D104" s="2">
        <v>0</v>
      </c>
      <c r="E104" s="2">
        <f t="shared" si="1"/>
        <v>0</v>
      </c>
      <c r="F104" s="2" t="str">
        <f t="shared" si="2"/>
        <v>Tuesday</v>
      </c>
      <c r="H104" s="2">
        <v>2</v>
      </c>
      <c r="I104" s="2" t="e">
        <f t="shared" ca="1" si="4"/>
        <v>#NAME?</v>
      </c>
      <c r="J104" s="2" t="e">
        <f t="shared" ca="1" si="3"/>
        <v>#NAME?</v>
      </c>
    </row>
    <row r="105" spans="1:10" ht="15.75" customHeight="1" x14ac:dyDescent="0.2">
      <c r="A105" s="2">
        <v>104</v>
      </c>
      <c r="B105" s="4">
        <v>44895</v>
      </c>
      <c r="C105" s="2">
        <f t="shared" si="0"/>
        <v>0</v>
      </c>
      <c r="D105" s="2">
        <v>0</v>
      </c>
      <c r="E105" s="2">
        <f t="shared" si="1"/>
        <v>0</v>
      </c>
      <c r="F105" s="2" t="str">
        <f t="shared" si="2"/>
        <v>Wednesday</v>
      </c>
      <c r="H105" s="2">
        <v>2</v>
      </c>
      <c r="I105" s="2" t="e">
        <f t="shared" ca="1" si="4"/>
        <v>#NAME?</v>
      </c>
      <c r="J105" s="2" t="e">
        <f t="shared" ca="1" si="3"/>
        <v>#NAME?</v>
      </c>
    </row>
    <row r="106" spans="1:10" ht="15.75" customHeight="1" x14ac:dyDescent="0.2">
      <c r="A106" s="2">
        <v>105</v>
      </c>
      <c r="B106" s="4">
        <v>44896</v>
      </c>
      <c r="C106" s="2">
        <f t="shared" si="0"/>
        <v>0</v>
      </c>
      <c r="D106" s="2">
        <v>0</v>
      </c>
      <c r="E106" s="2">
        <f t="shared" si="1"/>
        <v>0</v>
      </c>
      <c r="F106" s="2" t="str">
        <f t="shared" si="2"/>
        <v>Thursday</v>
      </c>
      <c r="H106" s="2">
        <v>2</v>
      </c>
      <c r="I106" s="2" t="e">
        <f t="shared" ca="1" si="4"/>
        <v>#NAME?</v>
      </c>
      <c r="J106" s="2" t="e">
        <f t="shared" ca="1" si="3"/>
        <v>#NAME?</v>
      </c>
    </row>
    <row r="107" spans="1:10" ht="15.75" customHeight="1" x14ac:dyDescent="0.2">
      <c r="A107" s="2">
        <v>106</v>
      </c>
      <c r="B107" s="4">
        <v>44897</v>
      </c>
      <c r="C107" s="2">
        <f t="shared" si="0"/>
        <v>0</v>
      </c>
      <c r="D107" s="2">
        <v>0</v>
      </c>
      <c r="E107" s="2">
        <f t="shared" si="1"/>
        <v>0</v>
      </c>
      <c r="F107" s="2" t="str">
        <f t="shared" si="2"/>
        <v>Friday</v>
      </c>
      <c r="H107" s="2">
        <v>2</v>
      </c>
      <c r="I107" s="2" t="e">
        <f t="shared" ca="1" si="4"/>
        <v>#NAME?</v>
      </c>
      <c r="J107" s="2" t="e">
        <f t="shared" ca="1" si="3"/>
        <v>#NAME?</v>
      </c>
    </row>
    <row r="108" spans="1:10" ht="15.75" customHeight="1" x14ac:dyDescent="0.2">
      <c r="A108" s="2">
        <v>107</v>
      </c>
      <c r="B108" s="4">
        <v>44898</v>
      </c>
      <c r="C108" s="2">
        <f t="shared" si="0"/>
        <v>1</v>
      </c>
      <c r="D108" s="2">
        <v>0</v>
      </c>
      <c r="E108" s="2">
        <f t="shared" si="1"/>
        <v>1</v>
      </c>
      <c r="F108" s="2" t="str">
        <f t="shared" si="2"/>
        <v>Saturday</v>
      </c>
      <c r="H108" s="2">
        <v>2</v>
      </c>
      <c r="I108" s="2" t="e">
        <f t="shared" ca="1" si="4"/>
        <v>#NAME?</v>
      </c>
      <c r="J108" s="2" t="e">
        <f t="shared" ca="1" si="3"/>
        <v>#NAME?</v>
      </c>
    </row>
    <row r="109" spans="1:10" ht="15.75" customHeight="1" x14ac:dyDescent="0.2">
      <c r="A109" s="2">
        <v>108</v>
      </c>
      <c r="B109" s="4">
        <v>44899</v>
      </c>
      <c r="C109" s="2">
        <f t="shared" si="0"/>
        <v>1</v>
      </c>
      <c r="D109" s="2">
        <v>0</v>
      </c>
      <c r="E109" s="2">
        <f t="shared" si="1"/>
        <v>1</v>
      </c>
      <c r="F109" s="2" t="str">
        <f t="shared" si="2"/>
        <v>Sunday</v>
      </c>
      <c r="H109" s="2">
        <v>2</v>
      </c>
      <c r="I109" s="2" t="e">
        <f t="shared" ca="1" si="4"/>
        <v>#NAME?</v>
      </c>
      <c r="J109" s="2" t="e">
        <f t="shared" ca="1" si="3"/>
        <v>#NAME?</v>
      </c>
    </row>
    <row r="110" spans="1:10" ht="15.75" customHeight="1" x14ac:dyDescent="0.2">
      <c r="A110" s="2">
        <v>109</v>
      </c>
      <c r="B110" s="4">
        <v>44900</v>
      </c>
      <c r="C110" s="2">
        <f t="shared" si="0"/>
        <v>0</v>
      </c>
      <c r="D110" s="2">
        <v>0</v>
      </c>
      <c r="E110" s="2">
        <f t="shared" si="1"/>
        <v>0</v>
      </c>
      <c r="F110" s="2" t="str">
        <f t="shared" si="2"/>
        <v>Monday</v>
      </c>
      <c r="H110" s="2">
        <v>2</v>
      </c>
      <c r="I110" s="2" t="e">
        <f t="shared" ca="1" si="4"/>
        <v>#NAME?</v>
      </c>
      <c r="J110" s="2" t="e">
        <f t="shared" ca="1" si="3"/>
        <v>#NAME?</v>
      </c>
    </row>
    <row r="111" spans="1:10" ht="15.75" customHeight="1" x14ac:dyDescent="0.2">
      <c r="A111" s="2">
        <v>110</v>
      </c>
      <c r="B111" s="4">
        <v>44901</v>
      </c>
      <c r="C111" s="2">
        <f t="shared" si="0"/>
        <v>0</v>
      </c>
      <c r="D111" s="2">
        <v>0</v>
      </c>
      <c r="E111" s="2">
        <f t="shared" si="1"/>
        <v>0</v>
      </c>
      <c r="F111" s="2" t="str">
        <f t="shared" si="2"/>
        <v>Tuesday</v>
      </c>
      <c r="H111" s="2">
        <v>2</v>
      </c>
      <c r="I111" s="2" t="e">
        <f t="shared" ca="1" si="4"/>
        <v>#NAME?</v>
      </c>
      <c r="J111" s="2" t="e">
        <f t="shared" ca="1" si="3"/>
        <v>#NAME?</v>
      </c>
    </row>
    <row r="112" spans="1:10" ht="15.75" customHeight="1" x14ac:dyDescent="0.2">
      <c r="A112" s="2">
        <v>111</v>
      </c>
      <c r="B112" s="4">
        <v>44902</v>
      </c>
      <c r="C112" s="2">
        <f t="shared" si="0"/>
        <v>0</v>
      </c>
      <c r="D112" s="2">
        <v>0</v>
      </c>
      <c r="E112" s="2">
        <f t="shared" si="1"/>
        <v>0</v>
      </c>
      <c r="F112" s="2" t="str">
        <f t="shared" si="2"/>
        <v>Wednesday</v>
      </c>
      <c r="H112" s="2">
        <v>2</v>
      </c>
      <c r="I112" s="2" t="e">
        <f t="shared" ca="1" si="4"/>
        <v>#NAME?</v>
      </c>
      <c r="J112" s="2" t="e">
        <f t="shared" ca="1" si="3"/>
        <v>#NAME?</v>
      </c>
    </row>
    <row r="113" spans="1:10" ht="15.75" customHeight="1" x14ac:dyDescent="0.2">
      <c r="A113" s="2">
        <v>112</v>
      </c>
      <c r="B113" s="4">
        <v>44903</v>
      </c>
      <c r="C113" s="2">
        <f t="shared" si="0"/>
        <v>0</v>
      </c>
      <c r="D113" s="2">
        <v>0</v>
      </c>
      <c r="E113" s="2">
        <f t="shared" si="1"/>
        <v>0</v>
      </c>
      <c r="F113" s="2" t="str">
        <f t="shared" si="2"/>
        <v>Thursday</v>
      </c>
      <c r="H113" s="2">
        <v>2</v>
      </c>
      <c r="I113" s="2" t="e">
        <f t="shared" ca="1" si="4"/>
        <v>#NAME?</v>
      </c>
      <c r="J113" s="2" t="e">
        <f t="shared" ca="1" si="3"/>
        <v>#NAME?</v>
      </c>
    </row>
    <row r="114" spans="1:10" ht="15.75" customHeight="1" x14ac:dyDescent="0.2">
      <c r="A114" s="2">
        <v>113</v>
      </c>
      <c r="B114" s="4">
        <v>44904</v>
      </c>
      <c r="C114" s="2">
        <f t="shared" si="0"/>
        <v>0</v>
      </c>
      <c r="D114" s="2">
        <v>0</v>
      </c>
      <c r="E114" s="2">
        <f t="shared" si="1"/>
        <v>0</v>
      </c>
      <c r="F114" s="2" t="str">
        <f t="shared" si="2"/>
        <v>Friday</v>
      </c>
      <c r="H114" s="2">
        <v>2</v>
      </c>
      <c r="I114" s="2" t="e">
        <f t="shared" ca="1" si="4"/>
        <v>#NAME?</v>
      </c>
      <c r="J114" s="2" t="e">
        <f t="shared" ca="1" si="3"/>
        <v>#NAME?</v>
      </c>
    </row>
    <row r="115" spans="1:10" ht="15.75" customHeight="1" x14ac:dyDescent="0.2">
      <c r="A115" s="2">
        <v>114</v>
      </c>
      <c r="B115" s="4">
        <v>44905</v>
      </c>
      <c r="C115" s="2">
        <f t="shared" si="0"/>
        <v>1</v>
      </c>
      <c r="D115" s="2">
        <v>0</v>
      </c>
      <c r="E115" s="2">
        <f t="shared" si="1"/>
        <v>1</v>
      </c>
      <c r="F115" s="2" t="str">
        <f t="shared" si="2"/>
        <v>Saturday</v>
      </c>
      <c r="H115" s="2">
        <v>2</v>
      </c>
      <c r="I115" s="2" t="e">
        <f t="shared" ca="1" si="4"/>
        <v>#NAME?</v>
      </c>
      <c r="J115" s="2" t="e">
        <f t="shared" ca="1" si="3"/>
        <v>#NAME?</v>
      </c>
    </row>
    <row r="116" spans="1:10" ht="15.75" customHeight="1" x14ac:dyDescent="0.2">
      <c r="A116" s="2">
        <v>115</v>
      </c>
      <c r="B116" s="4">
        <v>44906</v>
      </c>
      <c r="C116" s="2">
        <f t="shared" si="0"/>
        <v>1</v>
      </c>
      <c r="D116" s="2">
        <v>0</v>
      </c>
      <c r="E116" s="2">
        <f t="shared" si="1"/>
        <v>1</v>
      </c>
      <c r="F116" s="2" t="str">
        <f t="shared" si="2"/>
        <v>Sunday</v>
      </c>
      <c r="H116" s="2">
        <v>2</v>
      </c>
      <c r="I116" s="2" t="e">
        <f t="shared" ca="1" si="4"/>
        <v>#NAME?</v>
      </c>
      <c r="J116" s="2" t="e">
        <f t="shared" ca="1" si="3"/>
        <v>#NAME?</v>
      </c>
    </row>
    <row r="117" spans="1:10" ht="15.75" customHeight="1" x14ac:dyDescent="0.2">
      <c r="A117" s="2">
        <v>116</v>
      </c>
      <c r="B117" s="4">
        <v>44907</v>
      </c>
      <c r="C117" s="2">
        <f t="shared" si="0"/>
        <v>0</v>
      </c>
      <c r="D117" s="2">
        <v>0</v>
      </c>
      <c r="E117" s="2">
        <f t="shared" si="1"/>
        <v>0</v>
      </c>
      <c r="F117" s="2" t="str">
        <f t="shared" si="2"/>
        <v>Monday</v>
      </c>
      <c r="H117" s="2">
        <v>2</v>
      </c>
      <c r="I117" s="2" t="e">
        <f t="shared" ca="1" si="4"/>
        <v>#NAME?</v>
      </c>
      <c r="J117" s="2" t="e">
        <f t="shared" ca="1" si="3"/>
        <v>#NAME?</v>
      </c>
    </row>
    <row r="118" spans="1:10" ht="15.75" customHeight="1" x14ac:dyDescent="0.2">
      <c r="A118" s="2">
        <v>117</v>
      </c>
      <c r="B118" s="4">
        <v>44908</v>
      </c>
      <c r="C118" s="2">
        <f t="shared" si="0"/>
        <v>0</v>
      </c>
      <c r="D118" s="2">
        <v>0</v>
      </c>
      <c r="E118" s="2">
        <f t="shared" si="1"/>
        <v>0</v>
      </c>
      <c r="F118" s="2" t="str">
        <f t="shared" si="2"/>
        <v>Tuesday</v>
      </c>
      <c r="H118" s="2">
        <v>2</v>
      </c>
      <c r="I118" s="2" t="e">
        <f t="shared" ca="1" si="4"/>
        <v>#NAME?</v>
      </c>
      <c r="J118" s="2" t="e">
        <f t="shared" ca="1" si="3"/>
        <v>#NAME?</v>
      </c>
    </row>
    <row r="119" spans="1:10" ht="15.75" customHeight="1" x14ac:dyDescent="0.2">
      <c r="A119" s="2">
        <v>118</v>
      </c>
      <c r="B119" s="4">
        <v>44909</v>
      </c>
      <c r="C119" s="2">
        <f t="shared" si="0"/>
        <v>0</v>
      </c>
      <c r="D119" s="2">
        <v>0</v>
      </c>
      <c r="E119" s="2">
        <f t="shared" si="1"/>
        <v>0</v>
      </c>
      <c r="F119" s="2" t="str">
        <f t="shared" si="2"/>
        <v>Wednesday</v>
      </c>
      <c r="H119" s="2">
        <v>2</v>
      </c>
      <c r="I119" s="2" t="e">
        <f t="shared" ca="1" si="4"/>
        <v>#NAME?</v>
      </c>
      <c r="J119" s="2" t="e">
        <f t="shared" ca="1" si="3"/>
        <v>#NAME?</v>
      </c>
    </row>
    <row r="120" spans="1:10" ht="15.75" customHeight="1" x14ac:dyDescent="0.2">
      <c r="A120" s="2">
        <v>119</v>
      </c>
      <c r="B120" s="4">
        <v>44910</v>
      </c>
      <c r="C120" s="2">
        <f t="shared" si="0"/>
        <v>0</v>
      </c>
      <c r="D120" s="2">
        <v>0</v>
      </c>
      <c r="E120" s="2">
        <f t="shared" si="1"/>
        <v>0</v>
      </c>
      <c r="F120" s="2" t="str">
        <f t="shared" si="2"/>
        <v>Thursday</v>
      </c>
      <c r="H120" s="2">
        <v>2</v>
      </c>
      <c r="I120" s="2" t="e">
        <f t="shared" ca="1" si="4"/>
        <v>#NAME?</v>
      </c>
      <c r="J120" s="2" t="e">
        <f t="shared" ca="1" si="3"/>
        <v>#NAME?</v>
      </c>
    </row>
    <row r="121" spans="1:10" ht="15.75" customHeight="1" x14ac:dyDescent="0.2">
      <c r="A121" s="2">
        <v>120</v>
      </c>
      <c r="B121" s="4">
        <v>44911</v>
      </c>
      <c r="C121" s="2">
        <f t="shared" si="0"/>
        <v>0</v>
      </c>
      <c r="D121" s="2">
        <v>0</v>
      </c>
      <c r="E121" s="2">
        <f t="shared" si="1"/>
        <v>0</v>
      </c>
      <c r="F121" s="2" t="str">
        <f t="shared" si="2"/>
        <v>Friday</v>
      </c>
      <c r="H121" s="2">
        <v>2</v>
      </c>
      <c r="I121" s="2" t="e">
        <f t="shared" ca="1" si="4"/>
        <v>#NAME?</v>
      </c>
      <c r="J121" s="2" t="e">
        <f t="shared" ca="1" si="3"/>
        <v>#NAME?</v>
      </c>
    </row>
    <row r="122" spans="1:10" ht="15.75" customHeight="1" x14ac:dyDescent="0.2">
      <c r="A122" s="2">
        <v>121</v>
      </c>
      <c r="B122" s="4">
        <v>44912</v>
      </c>
      <c r="C122" s="2">
        <f t="shared" si="0"/>
        <v>1</v>
      </c>
      <c r="D122" s="2">
        <v>0</v>
      </c>
      <c r="E122" s="2">
        <f t="shared" si="1"/>
        <v>1</v>
      </c>
      <c r="F122" s="2" t="str">
        <f t="shared" si="2"/>
        <v>Saturday</v>
      </c>
      <c r="H122" s="2">
        <v>2</v>
      </c>
      <c r="I122" s="2" t="e">
        <f t="shared" ca="1" si="4"/>
        <v>#NAME?</v>
      </c>
      <c r="J122" s="2" t="e">
        <f t="shared" ca="1" si="3"/>
        <v>#NAME?</v>
      </c>
    </row>
    <row r="123" spans="1:10" ht="15.75" customHeight="1" x14ac:dyDescent="0.2">
      <c r="A123" s="2">
        <v>122</v>
      </c>
      <c r="B123" s="4">
        <v>44913</v>
      </c>
      <c r="C123" s="2">
        <f t="shared" si="0"/>
        <v>1</v>
      </c>
      <c r="D123" s="2">
        <v>0</v>
      </c>
      <c r="E123" s="2">
        <f t="shared" si="1"/>
        <v>1</v>
      </c>
      <c r="F123" s="2" t="str">
        <f t="shared" si="2"/>
        <v>Sunday</v>
      </c>
      <c r="H123" s="2">
        <v>2</v>
      </c>
      <c r="I123" s="2" t="e">
        <f t="shared" ca="1" si="4"/>
        <v>#NAME?</v>
      </c>
      <c r="J123" s="2" t="e">
        <f t="shared" ca="1" si="3"/>
        <v>#NAME?</v>
      </c>
    </row>
    <row r="124" spans="1:10" ht="15.75" customHeight="1" x14ac:dyDescent="0.2">
      <c r="A124" s="2">
        <v>123</v>
      </c>
      <c r="B124" s="4">
        <v>44914</v>
      </c>
      <c r="C124" s="2">
        <f t="shared" si="0"/>
        <v>0</v>
      </c>
      <c r="D124" s="2">
        <v>0</v>
      </c>
      <c r="E124" s="2">
        <f t="shared" si="1"/>
        <v>0</v>
      </c>
      <c r="F124" s="2" t="str">
        <f t="shared" si="2"/>
        <v>Monday</v>
      </c>
      <c r="H124" s="2">
        <v>2</v>
      </c>
      <c r="I124" s="2" t="e">
        <f t="shared" ca="1" si="4"/>
        <v>#NAME?</v>
      </c>
      <c r="J124" s="2" t="e">
        <f t="shared" ca="1" si="3"/>
        <v>#NAME?</v>
      </c>
    </row>
    <row r="125" spans="1:10" ht="15.75" customHeight="1" x14ac:dyDescent="0.2">
      <c r="A125" s="2">
        <v>124</v>
      </c>
      <c r="B125" s="4">
        <v>44915</v>
      </c>
      <c r="C125" s="2">
        <f t="shared" si="0"/>
        <v>0</v>
      </c>
      <c r="D125" s="2">
        <v>0</v>
      </c>
      <c r="E125" s="2">
        <f t="shared" si="1"/>
        <v>0</v>
      </c>
      <c r="F125" s="2" t="str">
        <f t="shared" si="2"/>
        <v>Tuesday</v>
      </c>
      <c r="H125" s="2">
        <v>2</v>
      </c>
      <c r="I125" s="2" t="e">
        <f t="shared" ca="1" si="4"/>
        <v>#NAME?</v>
      </c>
      <c r="J125" s="2" t="e">
        <f t="shared" ca="1" si="3"/>
        <v>#NAME?</v>
      </c>
    </row>
    <row r="126" spans="1:10" ht="15.75" customHeight="1" x14ac:dyDescent="0.2">
      <c r="A126" s="2">
        <v>125</v>
      </c>
      <c r="B126" s="4">
        <v>44916</v>
      </c>
      <c r="C126" s="2">
        <f t="shared" si="0"/>
        <v>0</v>
      </c>
      <c r="D126" s="2">
        <v>0</v>
      </c>
      <c r="E126" s="2">
        <f t="shared" si="1"/>
        <v>0</v>
      </c>
      <c r="F126" s="2" t="str">
        <f t="shared" si="2"/>
        <v>Wednesday</v>
      </c>
      <c r="H126" s="2">
        <v>2</v>
      </c>
      <c r="I126" s="2" t="e">
        <f t="shared" ca="1" si="4"/>
        <v>#NAME?</v>
      </c>
      <c r="J126" s="2" t="e">
        <f t="shared" ca="1" si="3"/>
        <v>#NAME?</v>
      </c>
    </row>
    <row r="127" spans="1:10" ht="15.75" customHeight="1" x14ac:dyDescent="0.2">
      <c r="A127" s="2">
        <v>126</v>
      </c>
      <c r="B127" s="4">
        <v>44917</v>
      </c>
      <c r="C127" s="2">
        <f t="shared" si="0"/>
        <v>0</v>
      </c>
      <c r="D127" s="2">
        <v>0</v>
      </c>
      <c r="E127" s="2">
        <f t="shared" si="1"/>
        <v>0</v>
      </c>
      <c r="F127" s="2" t="str">
        <f t="shared" si="2"/>
        <v>Thursday</v>
      </c>
      <c r="H127" s="2">
        <v>2</v>
      </c>
      <c r="I127" s="2" t="e">
        <f t="shared" ca="1" si="4"/>
        <v>#NAME?</v>
      </c>
      <c r="J127" s="2" t="e">
        <f t="shared" ca="1" si="3"/>
        <v>#NAME?</v>
      </c>
    </row>
    <row r="128" spans="1:10" ht="15.75" customHeight="1" x14ac:dyDescent="0.2">
      <c r="A128" s="2">
        <v>127</v>
      </c>
      <c r="B128" s="4">
        <v>44918</v>
      </c>
      <c r="C128" s="2">
        <f t="shared" si="0"/>
        <v>0</v>
      </c>
      <c r="D128" s="2">
        <v>0</v>
      </c>
      <c r="E128" s="2">
        <f t="shared" si="1"/>
        <v>0</v>
      </c>
      <c r="F128" s="2" t="str">
        <f t="shared" si="2"/>
        <v>Friday</v>
      </c>
      <c r="H128" s="2">
        <v>2</v>
      </c>
      <c r="I128" s="2" t="e">
        <f t="shared" ca="1" si="4"/>
        <v>#NAME?</v>
      </c>
      <c r="J128" s="2" t="e">
        <f t="shared" ca="1" si="3"/>
        <v>#NAME?</v>
      </c>
    </row>
    <row r="129" spans="1:10" ht="15.75" customHeight="1" x14ac:dyDescent="0.2">
      <c r="A129" s="2">
        <v>128</v>
      </c>
      <c r="B129" s="4">
        <v>44919</v>
      </c>
      <c r="C129" s="2">
        <f t="shared" si="0"/>
        <v>1</v>
      </c>
      <c r="D129" s="2">
        <v>0</v>
      </c>
      <c r="E129" s="2">
        <f t="shared" si="1"/>
        <v>1</v>
      </c>
      <c r="F129" s="2" t="str">
        <f t="shared" si="2"/>
        <v>Saturday</v>
      </c>
      <c r="H129" s="2">
        <v>2</v>
      </c>
      <c r="I129" s="2" t="e">
        <f t="shared" ca="1" si="4"/>
        <v>#NAME?</v>
      </c>
      <c r="J129" s="2" t="e">
        <f t="shared" ca="1" si="3"/>
        <v>#NAME?</v>
      </c>
    </row>
    <row r="130" spans="1:10" ht="15.75" customHeight="1" x14ac:dyDescent="0.2">
      <c r="A130" s="2">
        <v>129</v>
      </c>
      <c r="B130" s="4">
        <v>44920</v>
      </c>
      <c r="C130" s="2">
        <f t="shared" si="0"/>
        <v>1</v>
      </c>
      <c r="D130" s="2">
        <v>1</v>
      </c>
      <c r="E130" s="2">
        <f t="shared" si="1"/>
        <v>1</v>
      </c>
      <c r="F130" s="2" t="str">
        <f t="shared" si="2"/>
        <v>Sunday</v>
      </c>
      <c r="G130" s="2" t="s">
        <v>331</v>
      </c>
      <c r="H130" s="2">
        <v>2</v>
      </c>
      <c r="I130" s="2" t="e">
        <f t="shared" ca="1" si="4"/>
        <v>#NAME?</v>
      </c>
      <c r="J130" s="2" t="e">
        <f t="shared" ca="1" si="3"/>
        <v>#NAME?</v>
      </c>
    </row>
    <row r="131" spans="1:10" ht="15.75" customHeight="1" x14ac:dyDescent="0.2">
      <c r="A131" s="2">
        <v>130</v>
      </c>
      <c r="B131" s="4">
        <v>44921</v>
      </c>
      <c r="C131" s="2">
        <f t="shared" si="0"/>
        <v>0</v>
      </c>
      <c r="D131" s="2">
        <v>1</v>
      </c>
      <c r="E131" s="2">
        <f t="shared" si="1"/>
        <v>1</v>
      </c>
      <c r="F131" s="2" t="str">
        <f t="shared" si="2"/>
        <v>Monday</v>
      </c>
      <c r="G131" s="2" t="s">
        <v>331</v>
      </c>
      <c r="H131" s="2">
        <v>2</v>
      </c>
      <c r="I131" s="2" t="e">
        <f t="shared" ca="1" si="4"/>
        <v>#NAME?</v>
      </c>
      <c r="J131" s="2" t="e">
        <f t="shared" ca="1" si="3"/>
        <v>#NAME?</v>
      </c>
    </row>
    <row r="132" spans="1:10" ht="15.75" customHeight="1" x14ac:dyDescent="0.2">
      <c r="A132" s="2">
        <v>131</v>
      </c>
      <c r="B132" s="4">
        <v>44922</v>
      </c>
      <c r="C132" s="2">
        <f t="shared" si="0"/>
        <v>0</v>
      </c>
      <c r="D132" s="2">
        <v>1</v>
      </c>
      <c r="E132" s="2">
        <f t="shared" si="1"/>
        <v>1</v>
      </c>
      <c r="F132" s="2" t="str">
        <f t="shared" si="2"/>
        <v>Tuesday</v>
      </c>
      <c r="G132" s="2" t="s">
        <v>331</v>
      </c>
      <c r="H132" s="2">
        <v>2</v>
      </c>
      <c r="I132" s="2" t="e">
        <f t="shared" ca="1" si="4"/>
        <v>#NAME?</v>
      </c>
      <c r="J132" s="2" t="e">
        <f t="shared" ca="1" si="3"/>
        <v>#NAME?</v>
      </c>
    </row>
    <row r="133" spans="1:10" ht="15.75" customHeight="1" x14ac:dyDescent="0.2">
      <c r="A133" s="2">
        <v>132</v>
      </c>
      <c r="B133" s="4">
        <v>44923</v>
      </c>
      <c r="C133" s="2">
        <f t="shared" si="0"/>
        <v>0</v>
      </c>
      <c r="D133" s="2">
        <v>1</v>
      </c>
      <c r="E133" s="2">
        <f t="shared" si="1"/>
        <v>1</v>
      </c>
      <c r="F133" s="2" t="str">
        <f t="shared" si="2"/>
        <v>Wednesday</v>
      </c>
      <c r="G133" s="2" t="s">
        <v>331</v>
      </c>
      <c r="H133" s="2">
        <v>2</v>
      </c>
      <c r="I133" s="2" t="e">
        <f t="shared" ca="1" si="4"/>
        <v>#NAME?</v>
      </c>
      <c r="J133" s="2" t="e">
        <f t="shared" ca="1" si="3"/>
        <v>#NAME?</v>
      </c>
    </row>
    <row r="134" spans="1:10" ht="15.75" customHeight="1" x14ac:dyDescent="0.2">
      <c r="A134" s="2">
        <v>133</v>
      </c>
      <c r="B134" s="4">
        <v>44924</v>
      </c>
      <c r="C134" s="2">
        <f t="shared" si="0"/>
        <v>0</v>
      </c>
      <c r="D134" s="2">
        <v>1</v>
      </c>
      <c r="E134" s="2">
        <f t="shared" si="1"/>
        <v>1</v>
      </c>
      <c r="F134" s="2" t="str">
        <f t="shared" si="2"/>
        <v>Thursday</v>
      </c>
      <c r="G134" s="2" t="s">
        <v>331</v>
      </c>
      <c r="H134" s="2">
        <v>2</v>
      </c>
      <c r="I134" s="2" t="e">
        <f t="shared" ca="1" si="4"/>
        <v>#NAME?</v>
      </c>
      <c r="J134" s="2" t="e">
        <f t="shared" ca="1" si="3"/>
        <v>#NAME?</v>
      </c>
    </row>
    <row r="135" spans="1:10" ht="15.75" customHeight="1" x14ac:dyDescent="0.2">
      <c r="A135" s="2">
        <v>134</v>
      </c>
      <c r="B135" s="4">
        <v>44925</v>
      </c>
      <c r="C135" s="2">
        <f t="shared" si="0"/>
        <v>0</v>
      </c>
      <c r="D135" s="2">
        <v>1</v>
      </c>
      <c r="E135" s="2">
        <f t="shared" si="1"/>
        <v>1</v>
      </c>
      <c r="F135" s="2" t="str">
        <f t="shared" si="2"/>
        <v>Friday</v>
      </c>
      <c r="G135" s="2" t="s">
        <v>331</v>
      </c>
      <c r="H135" s="2">
        <v>2</v>
      </c>
      <c r="I135" s="2" t="e">
        <f t="shared" ca="1" si="4"/>
        <v>#NAME?</v>
      </c>
      <c r="J135" s="2" t="e">
        <f t="shared" ca="1" si="3"/>
        <v>#NAME?</v>
      </c>
    </row>
    <row r="136" spans="1:10" ht="15.75" customHeight="1" x14ac:dyDescent="0.2">
      <c r="A136" s="2">
        <v>135</v>
      </c>
      <c r="B136" s="4">
        <v>44926</v>
      </c>
      <c r="C136" s="2">
        <f t="shared" si="0"/>
        <v>1</v>
      </c>
      <c r="D136" s="2">
        <v>1</v>
      </c>
      <c r="E136" s="2">
        <f t="shared" si="1"/>
        <v>1</v>
      </c>
      <c r="F136" s="2" t="str">
        <f t="shared" si="2"/>
        <v>Saturday</v>
      </c>
      <c r="G136" s="2" t="s">
        <v>331</v>
      </c>
      <c r="H136" s="2">
        <v>2</v>
      </c>
      <c r="I136" s="2" t="e">
        <f t="shared" ca="1" si="4"/>
        <v>#NAME?</v>
      </c>
      <c r="J136" s="2" t="e">
        <f t="shared" ca="1" si="3"/>
        <v>#NAME?</v>
      </c>
    </row>
    <row r="137" spans="1:10" ht="15.75" customHeight="1" x14ac:dyDescent="0.2">
      <c r="A137" s="2">
        <v>136</v>
      </c>
      <c r="B137" s="4">
        <v>44927</v>
      </c>
      <c r="C137" s="2">
        <f t="shared" si="0"/>
        <v>1</v>
      </c>
      <c r="D137" s="2">
        <v>1</v>
      </c>
      <c r="E137" s="2">
        <f t="shared" si="1"/>
        <v>1</v>
      </c>
      <c r="F137" s="2" t="str">
        <f t="shared" si="2"/>
        <v>Sunday</v>
      </c>
      <c r="G137" s="2" t="s">
        <v>331</v>
      </c>
      <c r="H137" s="2">
        <v>2</v>
      </c>
      <c r="I137" s="2" t="e">
        <f t="shared" ca="1" si="4"/>
        <v>#NAME?</v>
      </c>
      <c r="J137" s="2" t="e">
        <f t="shared" ca="1" si="3"/>
        <v>#NAME?</v>
      </c>
    </row>
    <row r="138" spans="1:10" ht="15.75" customHeight="1" x14ac:dyDescent="0.2">
      <c r="A138" s="2">
        <v>137</v>
      </c>
      <c r="B138" s="4">
        <v>44928</v>
      </c>
      <c r="C138" s="2">
        <f t="shared" si="0"/>
        <v>0</v>
      </c>
      <c r="D138" s="2">
        <v>1</v>
      </c>
      <c r="E138" s="2">
        <f t="shared" si="1"/>
        <v>1</v>
      </c>
      <c r="F138" s="2" t="str">
        <f t="shared" si="2"/>
        <v>Monday</v>
      </c>
      <c r="G138" s="2" t="s">
        <v>331</v>
      </c>
      <c r="H138" s="2">
        <v>2</v>
      </c>
      <c r="I138" s="2" t="e">
        <f t="shared" ca="1" si="4"/>
        <v>#NAME?</v>
      </c>
      <c r="J138" s="2" t="e">
        <f t="shared" ca="1" si="3"/>
        <v>#NAME?</v>
      </c>
    </row>
    <row r="139" spans="1:10" ht="15.75" customHeight="1" x14ac:dyDescent="0.2">
      <c r="A139" s="2">
        <v>138</v>
      </c>
      <c r="B139" s="4">
        <v>44929</v>
      </c>
      <c r="C139" s="2">
        <f t="shared" si="0"/>
        <v>0</v>
      </c>
      <c r="D139" s="2">
        <v>1</v>
      </c>
      <c r="E139" s="2">
        <f t="shared" si="1"/>
        <v>1</v>
      </c>
      <c r="F139" s="2" t="str">
        <f t="shared" si="2"/>
        <v>Tuesday</v>
      </c>
      <c r="G139" s="2" t="s">
        <v>331</v>
      </c>
      <c r="H139" s="2">
        <v>2</v>
      </c>
      <c r="I139" s="2" t="e">
        <f t="shared" ca="1" si="4"/>
        <v>#NAME?</v>
      </c>
      <c r="J139" s="2" t="e">
        <f t="shared" ca="1" si="3"/>
        <v>#NAME?</v>
      </c>
    </row>
    <row r="140" spans="1:10" ht="15.75" customHeight="1" x14ac:dyDescent="0.2">
      <c r="A140" s="2">
        <v>139</v>
      </c>
      <c r="B140" s="4">
        <v>44930</v>
      </c>
      <c r="C140" s="2">
        <f t="shared" si="0"/>
        <v>0</v>
      </c>
      <c r="D140" s="2">
        <v>1</v>
      </c>
      <c r="E140" s="2">
        <f t="shared" si="1"/>
        <v>1</v>
      </c>
      <c r="F140" s="2" t="str">
        <f t="shared" si="2"/>
        <v>Wednesday</v>
      </c>
      <c r="G140" s="2" t="s">
        <v>331</v>
      </c>
      <c r="H140" s="2">
        <v>2</v>
      </c>
      <c r="I140" s="2" t="e">
        <f t="shared" ca="1" si="4"/>
        <v>#NAME?</v>
      </c>
      <c r="J140" s="2" t="e">
        <f t="shared" ca="1" si="3"/>
        <v>#NAME?</v>
      </c>
    </row>
    <row r="141" spans="1:10" ht="15.75" customHeight="1" x14ac:dyDescent="0.2">
      <c r="A141" s="2">
        <v>140</v>
      </c>
      <c r="B141" s="4">
        <v>44931</v>
      </c>
      <c r="C141" s="2">
        <f t="shared" si="0"/>
        <v>0</v>
      </c>
      <c r="D141" s="2">
        <v>1</v>
      </c>
      <c r="E141" s="2">
        <f t="shared" si="1"/>
        <v>1</v>
      </c>
      <c r="F141" s="2" t="str">
        <f t="shared" si="2"/>
        <v>Thursday</v>
      </c>
      <c r="G141" s="2" t="s">
        <v>331</v>
      </c>
      <c r="H141" s="2">
        <v>2</v>
      </c>
      <c r="I141" s="2" t="e">
        <f t="shared" ca="1" si="4"/>
        <v>#NAME?</v>
      </c>
      <c r="J141" s="2" t="e">
        <f t="shared" ca="1" si="3"/>
        <v>#NAME?</v>
      </c>
    </row>
    <row r="142" spans="1:10" ht="15.75" customHeight="1" x14ac:dyDescent="0.2">
      <c r="A142" s="2">
        <v>141</v>
      </c>
      <c r="B142" s="4">
        <v>44932</v>
      </c>
      <c r="C142" s="2">
        <f t="shared" si="0"/>
        <v>0</v>
      </c>
      <c r="D142" s="2">
        <v>1</v>
      </c>
      <c r="E142" s="2">
        <f t="shared" si="1"/>
        <v>1</v>
      </c>
      <c r="F142" s="2" t="str">
        <f t="shared" si="2"/>
        <v>Friday</v>
      </c>
      <c r="G142" s="2" t="s">
        <v>331</v>
      </c>
      <c r="H142" s="2">
        <v>2</v>
      </c>
      <c r="I142" s="2" t="e">
        <f t="shared" ca="1" si="4"/>
        <v>#NAME?</v>
      </c>
      <c r="J142" s="2" t="e">
        <f t="shared" ca="1" si="3"/>
        <v>#NAME?</v>
      </c>
    </row>
    <row r="143" spans="1:10" ht="15.75" customHeight="1" x14ac:dyDescent="0.2">
      <c r="A143" s="2">
        <v>142</v>
      </c>
      <c r="B143" s="4">
        <v>44933</v>
      </c>
      <c r="C143" s="2">
        <f t="shared" si="0"/>
        <v>1</v>
      </c>
      <c r="D143" s="2">
        <v>1</v>
      </c>
      <c r="E143" s="2">
        <f t="shared" si="1"/>
        <v>1</v>
      </c>
      <c r="F143" s="2" t="str">
        <f t="shared" si="2"/>
        <v>Saturday</v>
      </c>
      <c r="G143" s="2" t="s">
        <v>331</v>
      </c>
      <c r="H143" s="2">
        <v>2</v>
      </c>
      <c r="I143" s="2" t="e">
        <f t="shared" ca="1" si="4"/>
        <v>#NAME?</v>
      </c>
      <c r="J143" s="2" t="e">
        <f t="shared" ca="1" si="3"/>
        <v>#NAME?</v>
      </c>
    </row>
    <row r="144" spans="1:10" ht="15.75" customHeight="1" x14ac:dyDescent="0.2">
      <c r="A144" s="2">
        <v>143</v>
      </c>
      <c r="B144" s="4">
        <v>44934</v>
      </c>
      <c r="C144" s="2">
        <f t="shared" si="0"/>
        <v>1</v>
      </c>
      <c r="D144" s="2">
        <v>1</v>
      </c>
      <c r="E144" s="2">
        <f t="shared" si="1"/>
        <v>1</v>
      </c>
      <c r="F144" s="2" t="str">
        <f t="shared" si="2"/>
        <v>Sunday</v>
      </c>
      <c r="G144" s="2" t="s">
        <v>331</v>
      </c>
      <c r="H144" s="2">
        <v>2</v>
      </c>
      <c r="I144" s="2" t="e">
        <f t="shared" ca="1" si="4"/>
        <v>#NAME?</v>
      </c>
      <c r="J144" s="2" t="e">
        <f t="shared" ca="1" si="3"/>
        <v>#NAME?</v>
      </c>
    </row>
    <row r="145" spans="1:10" ht="15.75" customHeight="1" x14ac:dyDescent="0.2">
      <c r="A145" s="2">
        <v>144</v>
      </c>
      <c r="B145" s="4">
        <v>44935</v>
      </c>
      <c r="C145" s="2">
        <f t="shared" si="0"/>
        <v>0</v>
      </c>
      <c r="D145" s="2">
        <v>1</v>
      </c>
      <c r="E145" s="2">
        <f t="shared" si="1"/>
        <v>1</v>
      </c>
      <c r="F145" s="2" t="str">
        <f t="shared" si="2"/>
        <v>Monday</v>
      </c>
      <c r="G145" s="2" t="s">
        <v>330</v>
      </c>
      <c r="H145" s="2">
        <v>3</v>
      </c>
      <c r="I145" s="2" t="e">
        <f t="shared" ca="1" si="4"/>
        <v>#NAME?</v>
      </c>
      <c r="J145" s="2" t="e">
        <f t="shared" ca="1" si="3"/>
        <v>#NAME?</v>
      </c>
    </row>
    <row r="146" spans="1:10" ht="15.75" customHeight="1" x14ac:dyDescent="0.2">
      <c r="A146" s="2">
        <v>145</v>
      </c>
      <c r="B146" s="4">
        <v>44936</v>
      </c>
      <c r="C146" s="2">
        <f t="shared" si="0"/>
        <v>0</v>
      </c>
      <c r="D146" s="2">
        <v>0</v>
      </c>
      <c r="E146" s="2">
        <f t="shared" si="1"/>
        <v>0</v>
      </c>
      <c r="F146" s="2" t="str">
        <f t="shared" si="2"/>
        <v>Tuesday</v>
      </c>
      <c r="H146" s="2">
        <v>3</v>
      </c>
      <c r="I146" s="2" t="e">
        <f t="shared" ca="1" si="4"/>
        <v>#NAME?</v>
      </c>
      <c r="J146" s="2" t="e">
        <f t="shared" ca="1" si="3"/>
        <v>#NAME?</v>
      </c>
    </row>
    <row r="147" spans="1:10" ht="15.75" customHeight="1" x14ac:dyDescent="0.2">
      <c r="A147" s="2">
        <v>146</v>
      </c>
      <c r="B147" s="4">
        <v>44937</v>
      </c>
      <c r="C147" s="2">
        <f t="shared" si="0"/>
        <v>0</v>
      </c>
      <c r="D147" s="2">
        <v>0</v>
      </c>
      <c r="E147" s="2">
        <f t="shared" si="1"/>
        <v>0</v>
      </c>
      <c r="F147" s="2" t="str">
        <f t="shared" si="2"/>
        <v>Wednesday</v>
      </c>
      <c r="H147" s="2">
        <v>3</v>
      </c>
      <c r="I147" s="2" t="e">
        <f t="shared" ca="1" si="4"/>
        <v>#NAME?</v>
      </c>
      <c r="J147" s="2" t="e">
        <f t="shared" ca="1" si="3"/>
        <v>#NAME?</v>
      </c>
    </row>
    <row r="148" spans="1:10" ht="15.75" customHeight="1" x14ac:dyDescent="0.2">
      <c r="A148" s="2">
        <v>147</v>
      </c>
      <c r="B148" s="4">
        <v>44938</v>
      </c>
      <c r="C148" s="2">
        <f t="shared" si="0"/>
        <v>0</v>
      </c>
      <c r="D148" s="2">
        <v>0</v>
      </c>
      <c r="E148" s="2">
        <f t="shared" si="1"/>
        <v>0</v>
      </c>
      <c r="F148" s="2" t="str">
        <f t="shared" si="2"/>
        <v>Thursday</v>
      </c>
      <c r="H148" s="2">
        <v>3</v>
      </c>
      <c r="I148" s="2" t="e">
        <f t="shared" ca="1" si="4"/>
        <v>#NAME?</v>
      </c>
      <c r="J148" s="2" t="e">
        <f t="shared" ca="1" si="3"/>
        <v>#NAME?</v>
      </c>
    </row>
    <row r="149" spans="1:10" ht="15.75" customHeight="1" x14ac:dyDescent="0.2">
      <c r="A149" s="2">
        <v>148</v>
      </c>
      <c r="B149" s="4">
        <v>44939</v>
      </c>
      <c r="C149" s="2">
        <f t="shared" si="0"/>
        <v>0</v>
      </c>
      <c r="D149" s="2">
        <v>0</v>
      </c>
      <c r="E149" s="2">
        <f t="shared" si="1"/>
        <v>0</v>
      </c>
      <c r="F149" s="2" t="str">
        <f t="shared" si="2"/>
        <v>Friday</v>
      </c>
      <c r="H149" s="2">
        <v>3</v>
      </c>
      <c r="I149" s="2" t="e">
        <f t="shared" ca="1" si="4"/>
        <v>#NAME?</v>
      </c>
      <c r="J149" s="2" t="e">
        <f t="shared" ca="1" si="3"/>
        <v>#NAME?</v>
      </c>
    </row>
    <row r="150" spans="1:10" ht="15.75" customHeight="1" x14ac:dyDescent="0.2">
      <c r="A150" s="2">
        <v>149</v>
      </c>
      <c r="B150" s="4">
        <v>44940</v>
      </c>
      <c r="C150" s="2">
        <f t="shared" si="0"/>
        <v>1</v>
      </c>
      <c r="D150" s="2">
        <v>0</v>
      </c>
      <c r="E150" s="2">
        <f t="shared" si="1"/>
        <v>1</v>
      </c>
      <c r="F150" s="2" t="str">
        <f t="shared" si="2"/>
        <v>Saturday</v>
      </c>
      <c r="H150" s="2">
        <v>3</v>
      </c>
      <c r="I150" s="2" t="e">
        <f t="shared" ca="1" si="4"/>
        <v>#NAME?</v>
      </c>
      <c r="J150" s="2" t="e">
        <f t="shared" ca="1" si="3"/>
        <v>#NAME?</v>
      </c>
    </row>
    <row r="151" spans="1:10" ht="15.75" customHeight="1" x14ac:dyDescent="0.2">
      <c r="A151" s="2">
        <v>150</v>
      </c>
      <c r="B151" s="4">
        <v>44941</v>
      </c>
      <c r="C151" s="2">
        <f t="shared" si="0"/>
        <v>1</v>
      </c>
      <c r="D151" s="2">
        <v>0</v>
      </c>
      <c r="E151" s="2">
        <f t="shared" si="1"/>
        <v>1</v>
      </c>
      <c r="F151" s="2" t="str">
        <f t="shared" si="2"/>
        <v>Sunday</v>
      </c>
      <c r="H151" s="2">
        <v>3</v>
      </c>
      <c r="I151" s="2" t="e">
        <f t="shared" ca="1" si="4"/>
        <v>#NAME?</v>
      </c>
      <c r="J151" s="2" t="e">
        <f t="shared" ca="1" si="3"/>
        <v>#NAME?</v>
      </c>
    </row>
    <row r="152" spans="1:10" ht="15.75" customHeight="1" x14ac:dyDescent="0.2">
      <c r="A152" s="2">
        <v>151</v>
      </c>
      <c r="B152" s="4">
        <v>44942</v>
      </c>
      <c r="C152" s="2">
        <f t="shared" si="0"/>
        <v>0</v>
      </c>
      <c r="D152" s="2">
        <v>0</v>
      </c>
      <c r="E152" s="2">
        <f t="shared" si="1"/>
        <v>0</v>
      </c>
      <c r="F152" s="2" t="str">
        <f t="shared" si="2"/>
        <v>Monday</v>
      </c>
      <c r="H152" s="2">
        <v>3</v>
      </c>
      <c r="I152" s="2" t="e">
        <f t="shared" ca="1" si="4"/>
        <v>#NAME?</v>
      </c>
      <c r="J152" s="2" t="e">
        <f t="shared" ca="1" si="3"/>
        <v>#NAME?</v>
      </c>
    </row>
    <row r="153" spans="1:10" ht="15.75" customHeight="1" x14ac:dyDescent="0.2">
      <c r="A153" s="2">
        <v>152</v>
      </c>
      <c r="B153" s="4">
        <v>44943</v>
      </c>
      <c r="C153" s="2">
        <f t="shared" si="0"/>
        <v>0</v>
      </c>
      <c r="D153" s="2">
        <v>0</v>
      </c>
      <c r="E153" s="2">
        <f t="shared" si="1"/>
        <v>0</v>
      </c>
      <c r="F153" s="2" t="str">
        <f t="shared" si="2"/>
        <v>Tuesday</v>
      </c>
      <c r="H153" s="2">
        <v>3</v>
      </c>
      <c r="I153" s="2" t="e">
        <f t="shared" ca="1" si="4"/>
        <v>#NAME?</v>
      </c>
      <c r="J153" s="2" t="e">
        <f t="shared" ca="1" si="3"/>
        <v>#NAME?</v>
      </c>
    </row>
    <row r="154" spans="1:10" ht="15.75" customHeight="1" x14ac:dyDescent="0.2">
      <c r="A154" s="2">
        <v>153</v>
      </c>
      <c r="B154" s="4">
        <v>44944</v>
      </c>
      <c r="C154" s="2">
        <f t="shared" si="0"/>
        <v>0</v>
      </c>
      <c r="D154" s="2">
        <v>0</v>
      </c>
      <c r="E154" s="2">
        <f t="shared" si="1"/>
        <v>0</v>
      </c>
      <c r="F154" s="2" t="str">
        <f t="shared" si="2"/>
        <v>Wednesday</v>
      </c>
      <c r="H154" s="2">
        <v>3</v>
      </c>
      <c r="I154" s="2" t="e">
        <f t="shared" ca="1" si="4"/>
        <v>#NAME?</v>
      </c>
      <c r="J154" s="2" t="e">
        <f t="shared" ca="1" si="3"/>
        <v>#NAME?</v>
      </c>
    </row>
    <row r="155" spans="1:10" ht="15.75" customHeight="1" x14ac:dyDescent="0.2">
      <c r="A155" s="2">
        <v>154</v>
      </c>
      <c r="B155" s="4">
        <v>44945</v>
      </c>
      <c r="C155" s="2">
        <f t="shared" si="0"/>
        <v>0</v>
      </c>
      <c r="D155" s="2">
        <v>0</v>
      </c>
      <c r="E155" s="2">
        <f t="shared" si="1"/>
        <v>0</v>
      </c>
      <c r="F155" s="2" t="str">
        <f t="shared" si="2"/>
        <v>Thursday</v>
      </c>
      <c r="H155" s="2">
        <v>3</v>
      </c>
      <c r="I155" s="2" t="e">
        <f t="shared" ca="1" si="4"/>
        <v>#NAME?</v>
      </c>
      <c r="J155" s="2" t="e">
        <f t="shared" ca="1" si="3"/>
        <v>#NAME?</v>
      </c>
    </row>
    <row r="156" spans="1:10" ht="15.75" customHeight="1" x14ac:dyDescent="0.2">
      <c r="A156" s="2">
        <v>155</v>
      </c>
      <c r="B156" s="4">
        <v>44946</v>
      </c>
      <c r="C156" s="2">
        <f t="shared" si="0"/>
        <v>0</v>
      </c>
      <c r="D156" s="2">
        <v>0</v>
      </c>
      <c r="E156" s="2">
        <f t="shared" si="1"/>
        <v>0</v>
      </c>
      <c r="F156" s="2" t="str">
        <f t="shared" si="2"/>
        <v>Friday</v>
      </c>
      <c r="H156" s="2">
        <v>3</v>
      </c>
      <c r="I156" s="2" t="e">
        <f t="shared" ca="1" si="4"/>
        <v>#NAME?</v>
      </c>
      <c r="J156" s="2" t="e">
        <f t="shared" ca="1" si="3"/>
        <v>#NAME?</v>
      </c>
    </row>
    <row r="157" spans="1:10" ht="15.75" customHeight="1" x14ac:dyDescent="0.2">
      <c r="A157" s="2">
        <v>156</v>
      </c>
      <c r="B157" s="4">
        <v>44947</v>
      </c>
      <c r="C157" s="2">
        <f t="shared" si="0"/>
        <v>1</v>
      </c>
      <c r="D157" s="2">
        <v>0</v>
      </c>
      <c r="E157" s="2">
        <f t="shared" si="1"/>
        <v>1</v>
      </c>
      <c r="F157" s="2" t="str">
        <f t="shared" si="2"/>
        <v>Saturday</v>
      </c>
      <c r="H157" s="2">
        <v>3</v>
      </c>
      <c r="I157" s="2" t="e">
        <f t="shared" ca="1" si="4"/>
        <v>#NAME?</v>
      </c>
      <c r="J157" s="2" t="e">
        <f t="shared" ca="1" si="3"/>
        <v>#NAME?</v>
      </c>
    </row>
    <row r="158" spans="1:10" ht="15.75" customHeight="1" x14ac:dyDescent="0.2">
      <c r="A158" s="2">
        <v>157</v>
      </c>
      <c r="B158" s="4">
        <v>44948</v>
      </c>
      <c r="C158" s="2">
        <f t="shared" si="0"/>
        <v>1</v>
      </c>
      <c r="D158" s="2">
        <v>0</v>
      </c>
      <c r="E158" s="2">
        <f t="shared" si="1"/>
        <v>1</v>
      </c>
      <c r="F158" s="2" t="str">
        <f t="shared" si="2"/>
        <v>Sunday</v>
      </c>
      <c r="H158" s="2">
        <v>3</v>
      </c>
      <c r="I158" s="2" t="e">
        <f t="shared" ca="1" si="4"/>
        <v>#NAME?</v>
      </c>
      <c r="J158" s="2" t="e">
        <f t="shared" ca="1" si="3"/>
        <v>#NAME?</v>
      </c>
    </row>
    <row r="159" spans="1:10" ht="15.75" customHeight="1" x14ac:dyDescent="0.2">
      <c r="A159" s="2">
        <v>158</v>
      </c>
      <c r="B159" s="4">
        <v>44949</v>
      </c>
      <c r="C159" s="2">
        <f t="shared" si="0"/>
        <v>0</v>
      </c>
      <c r="D159" s="2">
        <v>0</v>
      </c>
      <c r="E159" s="2">
        <f t="shared" si="1"/>
        <v>0</v>
      </c>
      <c r="F159" s="2" t="str">
        <f t="shared" si="2"/>
        <v>Monday</v>
      </c>
      <c r="H159" s="2">
        <v>3</v>
      </c>
      <c r="I159" s="2" t="e">
        <f t="shared" ca="1" si="4"/>
        <v>#NAME?</v>
      </c>
      <c r="J159" s="2" t="e">
        <f t="shared" ca="1" si="3"/>
        <v>#NAME?</v>
      </c>
    </row>
    <row r="160" spans="1:10" ht="15.75" customHeight="1" x14ac:dyDescent="0.2">
      <c r="A160" s="2">
        <v>159</v>
      </c>
      <c r="B160" s="4">
        <v>44950</v>
      </c>
      <c r="C160" s="2">
        <f t="shared" si="0"/>
        <v>0</v>
      </c>
      <c r="D160" s="2">
        <v>0</v>
      </c>
      <c r="E160" s="2">
        <f t="shared" si="1"/>
        <v>0</v>
      </c>
      <c r="F160" s="2" t="str">
        <f t="shared" si="2"/>
        <v>Tuesday</v>
      </c>
      <c r="H160" s="2">
        <v>3</v>
      </c>
      <c r="I160" s="2" t="e">
        <f t="shared" ca="1" si="4"/>
        <v>#NAME?</v>
      </c>
      <c r="J160" s="2" t="e">
        <f t="shared" ca="1" si="3"/>
        <v>#NAME?</v>
      </c>
    </row>
    <row r="161" spans="1:10" ht="15.75" customHeight="1" x14ac:dyDescent="0.2">
      <c r="A161" s="2">
        <v>160</v>
      </c>
      <c r="B161" s="4">
        <v>44951</v>
      </c>
      <c r="C161" s="2">
        <f t="shared" si="0"/>
        <v>0</v>
      </c>
      <c r="D161" s="2">
        <v>0</v>
      </c>
      <c r="E161" s="2">
        <f t="shared" si="1"/>
        <v>0</v>
      </c>
      <c r="F161" s="2" t="str">
        <f t="shared" si="2"/>
        <v>Wednesday</v>
      </c>
      <c r="H161" s="2">
        <v>3</v>
      </c>
      <c r="I161" s="2" t="e">
        <f t="shared" ca="1" si="4"/>
        <v>#NAME?</v>
      </c>
      <c r="J161" s="2" t="e">
        <f t="shared" ca="1" si="3"/>
        <v>#NAME?</v>
      </c>
    </row>
    <row r="162" spans="1:10" ht="15.75" customHeight="1" x14ac:dyDescent="0.2">
      <c r="A162" s="2">
        <v>161</v>
      </c>
      <c r="B162" s="4">
        <v>44952</v>
      </c>
      <c r="C162" s="2">
        <f t="shared" si="0"/>
        <v>0</v>
      </c>
      <c r="D162" s="2">
        <v>0</v>
      </c>
      <c r="E162" s="2">
        <f t="shared" si="1"/>
        <v>0</v>
      </c>
      <c r="F162" s="2" t="str">
        <f t="shared" si="2"/>
        <v>Thursday</v>
      </c>
      <c r="H162" s="2">
        <v>3</v>
      </c>
      <c r="I162" s="2" t="e">
        <f t="shared" ca="1" si="4"/>
        <v>#NAME?</v>
      </c>
      <c r="J162" s="2" t="e">
        <f t="shared" ca="1" si="3"/>
        <v>#NAME?</v>
      </c>
    </row>
    <row r="163" spans="1:10" ht="15.75" customHeight="1" x14ac:dyDescent="0.2">
      <c r="A163" s="2">
        <v>162</v>
      </c>
      <c r="B163" s="4">
        <v>44953</v>
      </c>
      <c r="C163" s="2">
        <f t="shared" si="0"/>
        <v>0</v>
      </c>
      <c r="D163" s="2">
        <v>0</v>
      </c>
      <c r="E163" s="2">
        <f t="shared" si="1"/>
        <v>0</v>
      </c>
      <c r="F163" s="2" t="str">
        <f t="shared" si="2"/>
        <v>Friday</v>
      </c>
      <c r="H163" s="2">
        <v>3</v>
      </c>
      <c r="I163" s="2" t="e">
        <f t="shared" ca="1" si="4"/>
        <v>#NAME?</v>
      </c>
      <c r="J163" s="2" t="e">
        <f t="shared" ca="1" si="3"/>
        <v>#NAME?</v>
      </c>
    </row>
    <row r="164" spans="1:10" ht="15.75" customHeight="1" x14ac:dyDescent="0.2">
      <c r="A164" s="2">
        <v>163</v>
      </c>
      <c r="B164" s="4">
        <v>44954</v>
      </c>
      <c r="C164" s="2">
        <f t="shared" si="0"/>
        <v>1</v>
      </c>
      <c r="D164" s="2">
        <v>0</v>
      </c>
      <c r="E164" s="2">
        <f t="shared" si="1"/>
        <v>1</v>
      </c>
      <c r="F164" s="2" t="str">
        <f t="shared" si="2"/>
        <v>Saturday</v>
      </c>
      <c r="H164" s="2">
        <v>3</v>
      </c>
      <c r="I164" s="2" t="e">
        <f t="shared" ca="1" si="4"/>
        <v>#NAME?</v>
      </c>
      <c r="J164" s="2" t="e">
        <f t="shared" ca="1" si="3"/>
        <v>#NAME?</v>
      </c>
    </row>
    <row r="165" spans="1:10" ht="15.75" customHeight="1" x14ac:dyDescent="0.2">
      <c r="A165" s="2">
        <v>164</v>
      </c>
      <c r="B165" s="4">
        <v>44955</v>
      </c>
      <c r="C165" s="2">
        <f t="shared" si="0"/>
        <v>1</v>
      </c>
      <c r="D165" s="2">
        <v>0</v>
      </c>
      <c r="E165" s="2">
        <f t="shared" si="1"/>
        <v>1</v>
      </c>
      <c r="F165" s="2" t="str">
        <f t="shared" si="2"/>
        <v>Sunday</v>
      </c>
      <c r="H165" s="2">
        <v>3</v>
      </c>
      <c r="I165" s="2" t="e">
        <f t="shared" ca="1" si="4"/>
        <v>#NAME?</v>
      </c>
      <c r="J165" s="2" t="e">
        <f t="shared" ca="1" si="3"/>
        <v>#NAME?</v>
      </c>
    </row>
    <row r="166" spans="1:10" ht="15.75" customHeight="1" x14ac:dyDescent="0.2">
      <c r="A166" s="2">
        <v>165</v>
      </c>
      <c r="B166" s="4">
        <v>44956</v>
      </c>
      <c r="C166" s="2">
        <f t="shared" si="0"/>
        <v>0</v>
      </c>
      <c r="D166" s="2">
        <v>0</v>
      </c>
      <c r="E166" s="2">
        <f t="shared" si="1"/>
        <v>0</v>
      </c>
      <c r="F166" s="2" t="str">
        <f t="shared" si="2"/>
        <v>Monday</v>
      </c>
      <c r="H166" s="2">
        <v>3</v>
      </c>
      <c r="I166" s="2" t="e">
        <f t="shared" ca="1" si="4"/>
        <v>#NAME?</v>
      </c>
      <c r="J166" s="2" t="e">
        <f t="shared" ca="1" si="3"/>
        <v>#NAME?</v>
      </c>
    </row>
    <row r="167" spans="1:10" ht="15.75" customHeight="1" x14ac:dyDescent="0.2">
      <c r="A167" s="2">
        <v>166</v>
      </c>
      <c r="B167" s="4">
        <v>44957</v>
      </c>
      <c r="C167" s="2">
        <f t="shared" si="0"/>
        <v>0</v>
      </c>
      <c r="D167" s="2">
        <v>0</v>
      </c>
      <c r="E167" s="2">
        <f t="shared" si="1"/>
        <v>0</v>
      </c>
      <c r="F167" s="2" t="str">
        <f t="shared" si="2"/>
        <v>Tuesday</v>
      </c>
      <c r="H167" s="2">
        <v>3</v>
      </c>
      <c r="I167" s="2" t="e">
        <f t="shared" ca="1" si="4"/>
        <v>#NAME?</v>
      </c>
      <c r="J167" s="2" t="e">
        <f t="shared" ca="1" si="3"/>
        <v>#NAME?</v>
      </c>
    </row>
    <row r="168" spans="1:10" ht="15.75" customHeight="1" x14ac:dyDescent="0.2">
      <c r="A168" s="2">
        <v>167</v>
      </c>
      <c r="B168" s="4">
        <v>44958</v>
      </c>
      <c r="C168" s="2">
        <f t="shared" si="0"/>
        <v>0</v>
      </c>
      <c r="D168" s="2">
        <v>0</v>
      </c>
      <c r="E168" s="2">
        <f t="shared" si="1"/>
        <v>0</v>
      </c>
      <c r="F168" s="2" t="str">
        <f t="shared" si="2"/>
        <v>Wednesday</v>
      </c>
      <c r="H168" s="2">
        <v>3</v>
      </c>
      <c r="I168" s="2" t="e">
        <f t="shared" ca="1" si="4"/>
        <v>#NAME?</v>
      </c>
      <c r="J168" s="2" t="e">
        <f t="shared" ca="1" si="3"/>
        <v>#NAME?</v>
      </c>
    </row>
    <row r="169" spans="1:10" ht="15.75" customHeight="1" x14ac:dyDescent="0.2">
      <c r="A169" s="2">
        <v>168</v>
      </c>
      <c r="B169" s="4">
        <v>44959</v>
      </c>
      <c r="C169" s="2">
        <f t="shared" si="0"/>
        <v>0</v>
      </c>
      <c r="D169" s="2">
        <v>0</v>
      </c>
      <c r="E169" s="2">
        <f t="shared" si="1"/>
        <v>0</v>
      </c>
      <c r="F169" s="2" t="str">
        <f t="shared" si="2"/>
        <v>Thursday</v>
      </c>
      <c r="H169" s="2">
        <v>3</v>
      </c>
      <c r="I169" s="2" t="e">
        <f t="shared" ca="1" si="4"/>
        <v>#NAME?</v>
      </c>
      <c r="J169" s="2" t="e">
        <f t="shared" ca="1" si="3"/>
        <v>#NAME?</v>
      </c>
    </row>
    <row r="170" spans="1:10" ht="15.75" customHeight="1" x14ac:dyDescent="0.2">
      <c r="A170" s="2">
        <v>169</v>
      </c>
      <c r="B170" s="4">
        <v>44960</v>
      </c>
      <c r="C170" s="2">
        <f t="shared" si="0"/>
        <v>0</v>
      </c>
      <c r="D170" s="2">
        <v>0</v>
      </c>
      <c r="E170" s="2">
        <f t="shared" si="1"/>
        <v>0</v>
      </c>
      <c r="F170" s="2" t="str">
        <f t="shared" si="2"/>
        <v>Friday</v>
      </c>
      <c r="H170" s="2">
        <v>3</v>
      </c>
      <c r="I170" s="2" t="e">
        <f t="shared" ca="1" si="4"/>
        <v>#NAME?</v>
      </c>
      <c r="J170" s="2" t="e">
        <f t="shared" ca="1" si="3"/>
        <v>#NAME?</v>
      </c>
    </row>
    <row r="171" spans="1:10" ht="15.75" customHeight="1" x14ac:dyDescent="0.2">
      <c r="A171" s="2">
        <v>170</v>
      </c>
      <c r="B171" s="4">
        <v>44961</v>
      </c>
      <c r="C171" s="2">
        <f t="shared" si="0"/>
        <v>1</v>
      </c>
      <c r="D171" s="2">
        <v>0</v>
      </c>
      <c r="E171" s="2">
        <f t="shared" si="1"/>
        <v>1</v>
      </c>
      <c r="F171" s="2" t="str">
        <f t="shared" si="2"/>
        <v>Saturday</v>
      </c>
      <c r="H171" s="2">
        <v>3</v>
      </c>
      <c r="I171" s="2" t="e">
        <f t="shared" ca="1" si="4"/>
        <v>#NAME?</v>
      </c>
      <c r="J171" s="2" t="e">
        <f t="shared" ca="1" si="3"/>
        <v>#NAME?</v>
      </c>
    </row>
    <row r="172" spans="1:10" ht="15.75" customHeight="1" x14ac:dyDescent="0.2">
      <c r="A172" s="2">
        <v>171</v>
      </c>
      <c r="B172" s="4">
        <v>44962</v>
      </c>
      <c r="C172" s="2">
        <f t="shared" si="0"/>
        <v>1</v>
      </c>
      <c r="D172" s="2">
        <v>0</v>
      </c>
      <c r="E172" s="2">
        <f t="shared" si="1"/>
        <v>1</v>
      </c>
      <c r="F172" s="2" t="str">
        <f t="shared" si="2"/>
        <v>Sunday</v>
      </c>
      <c r="H172" s="2">
        <v>3</v>
      </c>
      <c r="I172" s="2" t="e">
        <f t="shared" ca="1" si="4"/>
        <v>#NAME?</v>
      </c>
      <c r="J172" s="2" t="e">
        <f t="shared" ca="1" si="3"/>
        <v>#NAME?</v>
      </c>
    </row>
    <row r="173" spans="1:10" ht="15.75" customHeight="1" x14ac:dyDescent="0.2">
      <c r="A173" s="2">
        <v>172</v>
      </c>
      <c r="B173" s="4">
        <v>44963</v>
      </c>
      <c r="C173" s="2">
        <f t="shared" si="0"/>
        <v>0</v>
      </c>
      <c r="D173" s="2">
        <v>0</v>
      </c>
      <c r="E173" s="2">
        <f t="shared" si="1"/>
        <v>0</v>
      </c>
      <c r="F173" s="2" t="str">
        <f t="shared" si="2"/>
        <v>Monday</v>
      </c>
      <c r="H173" s="2">
        <v>3</v>
      </c>
      <c r="I173" s="2" t="e">
        <f t="shared" ca="1" si="4"/>
        <v>#NAME?</v>
      </c>
      <c r="J173" s="2" t="e">
        <f t="shared" ca="1" si="3"/>
        <v>#NAME?</v>
      </c>
    </row>
    <row r="174" spans="1:10" ht="15.75" customHeight="1" x14ac:dyDescent="0.2">
      <c r="A174" s="2">
        <v>173</v>
      </c>
      <c r="B174" s="4">
        <v>44964</v>
      </c>
      <c r="C174" s="2">
        <f t="shared" si="0"/>
        <v>0</v>
      </c>
      <c r="D174" s="2">
        <v>0</v>
      </c>
      <c r="E174" s="2">
        <f t="shared" si="1"/>
        <v>0</v>
      </c>
      <c r="F174" s="2" t="str">
        <f t="shared" si="2"/>
        <v>Tuesday</v>
      </c>
      <c r="H174" s="2">
        <v>3</v>
      </c>
      <c r="I174" s="2" t="e">
        <f t="shared" ca="1" si="4"/>
        <v>#NAME?</v>
      </c>
      <c r="J174" s="2" t="e">
        <f t="shared" ca="1" si="3"/>
        <v>#NAME?</v>
      </c>
    </row>
    <row r="175" spans="1:10" ht="15.75" customHeight="1" x14ac:dyDescent="0.2">
      <c r="A175" s="2">
        <v>174</v>
      </c>
      <c r="B175" s="4">
        <v>44965</v>
      </c>
      <c r="C175" s="2">
        <f t="shared" si="0"/>
        <v>0</v>
      </c>
      <c r="D175" s="2">
        <v>0</v>
      </c>
      <c r="E175" s="2">
        <f t="shared" si="1"/>
        <v>0</v>
      </c>
      <c r="F175" s="2" t="str">
        <f t="shared" si="2"/>
        <v>Wednesday</v>
      </c>
      <c r="H175" s="2">
        <v>3</v>
      </c>
      <c r="I175" s="2" t="e">
        <f t="shared" ca="1" si="4"/>
        <v>#NAME?</v>
      </c>
      <c r="J175" s="2" t="e">
        <f t="shared" ca="1" si="3"/>
        <v>#NAME?</v>
      </c>
    </row>
    <row r="176" spans="1:10" ht="15.75" customHeight="1" x14ac:dyDescent="0.2">
      <c r="A176" s="2">
        <v>175</v>
      </c>
      <c r="B176" s="4">
        <v>44966</v>
      </c>
      <c r="C176" s="2">
        <f t="shared" si="0"/>
        <v>0</v>
      </c>
      <c r="D176" s="2">
        <v>0</v>
      </c>
      <c r="E176" s="2">
        <f t="shared" si="1"/>
        <v>0</v>
      </c>
      <c r="F176" s="2" t="str">
        <f t="shared" si="2"/>
        <v>Thursday</v>
      </c>
      <c r="H176" s="2">
        <v>3</v>
      </c>
      <c r="I176" s="2" t="e">
        <f t="shared" ca="1" si="4"/>
        <v>#NAME?</v>
      </c>
      <c r="J176" s="2" t="e">
        <f t="shared" ca="1" si="3"/>
        <v>#NAME?</v>
      </c>
    </row>
    <row r="177" spans="1:10" ht="15.75" customHeight="1" x14ac:dyDescent="0.2">
      <c r="A177" s="2">
        <v>176</v>
      </c>
      <c r="B177" s="4">
        <v>44967</v>
      </c>
      <c r="C177" s="2">
        <f t="shared" si="0"/>
        <v>0</v>
      </c>
      <c r="D177" s="2">
        <v>0</v>
      </c>
      <c r="E177" s="2">
        <f t="shared" si="1"/>
        <v>0</v>
      </c>
      <c r="F177" s="2" t="str">
        <f t="shared" si="2"/>
        <v>Friday</v>
      </c>
      <c r="H177" s="2">
        <v>3</v>
      </c>
      <c r="I177" s="2" t="e">
        <f t="shared" ca="1" si="4"/>
        <v>#NAME?</v>
      </c>
      <c r="J177" s="2" t="e">
        <f t="shared" ca="1" si="3"/>
        <v>#NAME?</v>
      </c>
    </row>
    <row r="178" spans="1:10" ht="15.75" customHeight="1" x14ac:dyDescent="0.2">
      <c r="A178" s="2">
        <v>177</v>
      </c>
      <c r="B178" s="4">
        <v>44968</v>
      </c>
      <c r="C178" s="2">
        <f t="shared" si="0"/>
        <v>1</v>
      </c>
      <c r="D178" s="2">
        <v>0</v>
      </c>
      <c r="E178" s="2">
        <f t="shared" si="1"/>
        <v>1</v>
      </c>
      <c r="F178" s="2" t="str">
        <f t="shared" si="2"/>
        <v>Saturday</v>
      </c>
      <c r="H178" s="2">
        <v>3</v>
      </c>
      <c r="I178" s="2" t="e">
        <f t="shared" ca="1" si="4"/>
        <v>#NAME?</v>
      </c>
      <c r="J178" s="2" t="e">
        <f t="shared" ca="1" si="3"/>
        <v>#NAME?</v>
      </c>
    </row>
    <row r="179" spans="1:10" ht="15.75" customHeight="1" x14ac:dyDescent="0.2">
      <c r="A179" s="2">
        <v>178</v>
      </c>
      <c r="B179" s="4">
        <v>44969</v>
      </c>
      <c r="C179" s="2">
        <f t="shared" si="0"/>
        <v>1</v>
      </c>
      <c r="D179" s="2">
        <v>0</v>
      </c>
      <c r="E179" s="2">
        <f t="shared" si="1"/>
        <v>1</v>
      </c>
      <c r="F179" s="2" t="str">
        <f t="shared" si="2"/>
        <v>Sunday</v>
      </c>
      <c r="H179" s="2">
        <v>3</v>
      </c>
      <c r="I179" s="2" t="e">
        <f t="shared" ca="1" si="4"/>
        <v>#NAME?</v>
      </c>
      <c r="J179" s="2" t="e">
        <f t="shared" ca="1" si="3"/>
        <v>#NAME?</v>
      </c>
    </row>
    <row r="180" spans="1:10" ht="15.75" customHeight="1" x14ac:dyDescent="0.2">
      <c r="A180" s="2">
        <v>179</v>
      </c>
      <c r="B180" s="4">
        <v>44970</v>
      </c>
      <c r="C180" s="2">
        <f t="shared" si="0"/>
        <v>0</v>
      </c>
      <c r="D180" s="2">
        <v>0</v>
      </c>
      <c r="E180" s="2">
        <f t="shared" si="1"/>
        <v>0</v>
      </c>
      <c r="F180" s="2" t="str">
        <f t="shared" si="2"/>
        <v>Monday</v>
      </c>
      <c r="H180" s="2">
        <v>3</v>
      </c>
      <c r="I180" s="2" t="e">
        <f t="shared" ca="1" si="4"/>
        <v>#NAME?</v>
      </c>
      <c r="J180" s="2" t="e">
        <f t="shared" ca="1" si="3"/>
        <v>#NAME?</v>
      </c>
    </row>
    <row r="181" spans="1:10" ht="15.75" customHeight="1" x14ac:dyDescent="0.2">
      <c r="A181" s="2">
        <v>180</v>
      </c>
      <c r="B181" s="4">
        <v>44971</v>
      </c>
      <c r="C181" s="2">
        <f t="shared" si="0"/>
        <v>0</v>
      </c>
      <c r="D181" s="2">
        <v>0</v>
      </c>
      <c r="E181" s="2">
        <f t="shared" si="1"/>
        <v>0</v>
      </c>
      <c r="F181" s="2" t="str">
        <f t="shared" si="2"/>
        <v>Tuesday</v>
      </c>
      <c r="H181" s="2">
        <v>3</v>
      </c>
      <c r="I181" s="2" t="e">
        <f t="shared" ca="1" si="4"/>
        <v>#NAME?</v>
      </c>
      <c r="J181" s="2" t="e">
        <f t="shared" ca="1" si="3"/>
        <v>#NAME?</v>
      </c>
    </row>
    <row r="182" spans="1:10" ht="15.75" customHeight="1" x14ac:dyDescent="0.2">
      <c r="A182" s="2">
        <v>181</v>
      </c>
      <c r="B182" s="4">
        <v>44972</v>
      </c>
      <c r="C182" s="2">
        <f t="shared" si="0"/>
        <v>0</v>
      </c>
      <c r="D182" s="2">
        <v>0</v>
      </c>
      <c r="E182" s="2">
        <f t="shared" si="1"/>
        <v>0</v>
      </c>
      <c r="F182" s="2" t="str">
        <f t="shared" si="2"/>
        <v>Wednesday</v>
      </c>
      <c r="H182" s="2">
        <v>3</v>
      </c>
      <c r="I182" s="2" t="e">
        <f t="shared" ca="1" si="4"/>
        <v>#NAME?</v>
      </c>
      <c r="J182" s="2" t="e">
        <f t="shared" ca="1" si="3"/>
        <v>#NAME?</v>
      </c>
    </row>
    <row r="183" spans="1:10" ht="15.75" customHeight="1" x14ac:dyDescent="0.2">
      <c r="A183" s="2">
        <v>182</v>
      </c>
      <c r="B183" s="4">
        <v>44973</v>
      </c>
      <c r="C183" s="2">
        <f t="shared" si="0"/>
        <v>0</v>
      </c>
      <c r="D183" s="2">
        <v>0</v>
      </c>
      <c r="E183" s="2">
        <f t="shared" si="1"/>
        <v>0</v>
      </c>
      <c r="F183" s="2" t="str">
        <f t="shared" si="2"/>
        <v>Thursday</v>
      </c>
      <c r="H183" s="2">
        <v>3</v>
      </c>
      <c r="I183" s="2" t="e">
        <f t="shared" ca="1" si="4"/>
        <v>#NAME?</v>
      </c>
      <c r="J183" s="2" t="e">
        <f t="shared" ca="1" si="3"/>
        <v>#NAME?</v>
      </c>
    </row>
    <row r="184" spans="1:10" ht="15.75" customHeight="1" x14ac:dyDescent="0.2">
      <c r="A184" s="2">
        <v>183</v>
      </c>
      <c r="B184" s="4">
        <v>44974</v>
      </c>
      <c r="C184" s="2">
        <f t="shared" si="0"/>
        <v>0</v>
      </c>
      <c r="D184" s="2">
        <v>0</v>
      </c>
      <c r="E184" s="2">
        <f t="shared" si="1"/>
        <v>0</v>
      </c>
      <c r="F184" s="2" t="str">
        <f t="shared" si="2"/>
        <v>Friday</v>
      </c>
      <c r="H184" s="2">
        <v>3</v>
      </c>
      <c r="I184" s="2" t="e">
        <f t="shared" ca="1" si="4"/>
        <v>#NAME?</v>
      </c>
      <c r="J184" s="2" t="e">
        <f t="shared" ca="1" si="3"/>
        <v>#NAME?</v>
      </c>
    </row>
    <row r="185" spans="1:10" ht="15.75" customHeight="1" x14ac:dyDescent="0.2">
      <c r="A185" s="2">
        <v>184</v>
      </c>
      <c r="B185" s="4">
        <v>44975</v>
      </c>
      <c r="C185" s="2">
        <f t="shared" si="0"/>
        <v>1</v>
      </c>
      <c r="D185" s="2">
        <v>0</v>
      </c>
      <c r="E185" s="2">
        <f t="shared" si="1"/>
        <v>1</v>
      </c>
      <c r="F185" s="2" t="str">
        <f t="shared" si="2"/>
        <v>Saturday</v>
      </c>
      <c r="H185" s="2">
        <v>3</v>
      </c>
      <c r="I185" s="2" t="e">
        <f t="shared" ca="1" si="4"/>
        <v>#NAME?</v>
      </c>
      <c r="J185" s="2" t="e">
        <f t="shared" ca="1" si="3"/>
        <v>#NAME?</v>
      </c>
    </row>
    <row r="186" spans="1:10" ht="15.75" customHeight="1" x14ac:dyDescent="0.2">
      <c r="A186" s="2">
        <v>185</v>
      </c>
      <c r="B186" s="4">
        <v>44976</v>
      </c>
      <c r="C186" s="2">
        <f t="shared" si="0"/>
        <v>1</v>
      </c>
      <c r="D186" s="2">
        <v>0</v>
      </c>
      <c r="E186" s="2">
        <f t="shared" si="1"/>
        <v>1</v>
      </c>
      <c r="F186" s="2" t="str">
        <f t="shared" si="2"/>
        <v>Sunday</v>
      </c>
      <c r="H186" s="2">
        <v>3</v>
      </c>
      <c r="I186" s="2" t="e">
        <f t="shared" ca="1" si="4"/>
        <v>#NAME?</v>
      </c>
      <c r="J186" s="2" t="e">
        <f t="shared" ca="1" si="3"/>
        <v>#NAME?</v>
      </c>
    </row>
    <row r="187" spans="1:10" ht="15.75" customHeight="1" x14ac:dyDescent="0.2">
      <c r="A187" s="2">
        <v>186</v>
      </c>
      <c r="B187" s="4">
        <v>44977</v>
      </c>
      <c r="C187" s="2">
        <f t="shared" si="0"/>
        <v>0</v>
      </c>
      <c r="D187" s="2">
        <v>0</v>
      </c>
      <c r="E187" s="2">
        <f t="shared" si="1"/>
        <v>0</v>
      </c>
      <c r="F187" s="2" t="str">
        <f t="shared" si="2"/>
        <v>Monday</v>
      </c>
      <c r="H187" s="2">
        <v>3</v>
      </c>
      <c r="I187" s="2" t="e">
        <f t="shared" ca="1" si="4"/>
        <v>#NAME?</v>
      </c>
      <c r="J187" s="2" t="e">
        <f t="shared" ca="1" si="3"/>
        <v>#NAME?</v>
      </c>
    </row>
    <row r="188" spans="1:10" ht="15.75" customHeight="1" x14ac:dyDescent="0.2">
      <c r="A188" s="2">
        <v>187</v>
      </c>
      <c r="B188" s="4">
        <v>44978</v>
      </c>
      <c r="C188" s="2">
        <f t="shared" si="0"/>
        <v>0</v>
      </c>
      <c r="D188" s="2">
        <v>0</v>
      </c>
      <c r="E188" s="2">
        <f t="shared" si="1"/>
        <v>0</v>
      </c>
      <c r="F188" s="2" t="str">
        <f t="shared" si="2"/>
        <v>Tuesday</v>
      </c>
      <c r="H188" s="2">
        <v>3</v>
      </c>
      <c r="I188" s="2" t="e">
        <f t="shared" ca="1" si="4"/>
        <v>#NAME?</v>
      </c>
      <c r="J188" s="2" t="e">
        <f t="shared" ca="1" si="3"/>
        <v>#NAME?</v>
      </c>
    </row>
    <row r="189" spans="1:10" ht="15.75" customHeight="1" x14ac:dyDescent="0.2">
      <c r="A189" s="2">
        <v>188</v>
      </c>
      <c r="B189" s="4">
        <v>44979</v>
      </c>
      <c r="C189" s="2">
        <f t="shared" si="0"/>
        <v>0</v>
      </c>
      <c r="D189" s="2">
        <v>0</v>
      </c>
      <c r="E189" s="2">
        <f t="shared" si="1"/>
        <v>0</v>
      </c>
      <c r="F189" s="2" t="str">
        <f t="shared" si="2"/>
        <v>Wednesday</v>
      </c>
      <c r="H189" s="2">
        <v>3</v>
      </c>
      <c r="I189" s="2" t="e">
        <f t="shared" ca="1" si="4"/>
        <v>#NAME?</v>
      </c>
      <c r="J189" s="2" t="e">
        <f t="shared" ca="1" si="3"/>
        <v>#NAME?</v>
      </c>
    </row>
    <row r="190" spans="1:10" ht="15.75" customHeight="1" x14ac:dyDescent="0.2">
      <c r="A190" s="2">
        <v>189</v>
      </c>
      <c r="B190" s="4">
        <v>44980</v>
      </c>
      <c r="C190" s="2">
        <f t="shared" si="0"/>
        <v>0</v>
      </c>
      <c r="D190" s="2">
        <v>0</v>
      </c>
      <c r="E190" s="2">
        <f t="shared" si="1"/>
        <v>0</v>
      </c>
      <c r="F190" s="2" t="str">
        <f t="shared" si="2"/>
        <v>Thursday</v>
      </c>
      <c r="H190" s="2">
        <v>3</v>
      </c>
      <c r="I190" s="2" t="e">
        <f t="shared" ca="1" si="4"/>
        <v>#NAME?</v>
      </c>
      <c r="J190" s="2" t="e">
        <f t="shared" ca="1" si="3"/>
        <v>#NAME?</v>
      </c>
    </row>
    <row r="191" spans="1:10" ht="15.75" customHeight="1" x14ac:dyDescent="0.2">
      <c r="A191" s="2">
        <v>190</v>
      </c>
      <c r="B191" s="4">
        <v>44981</v>
      </c>
      <c r="C191" s="2">
        <f t="shared" si="0"/>
        <v>0</v>
      </c>
      <c r="D191" s="2">
        <v>0</v>
      </c>
      <c r="E191" s="2">
        <f t="shared" si="1"/>
        <v>0</v>
      </c>
      <c r="F191" s="2" t="str">
        <f t="shared" si="2"/>
        <v>Friday</v>
      </c>
      <c r="H191" s="2">
        <v>3</v>
      </c>
      <c r="I191" s="2" t="e">
        <f t="shared" ca="1" si="4"/>
        <v>#NAME?</v>
      </c>
      <c r="J191" s="2" t="e">
        <f t="shared" ca="1" si="3"/>
        <v>#NAME?</v>
      </c>
    </row>
    <row r="192" spans="1:10" ht="15.75" customHeight="1" x14ac:dyDescent="0.2">
      <c r="A192" s="2">
        <v>191</v>
      </c>
      <c r="B192" s="4">
        <v>44982</v>
      </c>
      <c r="C192" s="2">
        <f t="shared" si="0"/>
        <v>1</v>
      </c>
      <c r="D192" s="2">
        <v>0</v>
      </c>
      <c r="E192" s="2">
        <f t="shared" si="1"/>
        <v>1</v>
      </c>
      <c r="F192" s="2" t="str">
        <f t="shared" si="2"/>
        <v>Saturday</v>
      </c>
      <c r="H192" s="2">
        <v>3</v>
      </c>
      <c r="I192" s="2" t="e">
        <f t="shared" ca="1" si="4"/>
        <v>#NAME?</v>
      </c>
      <c r="J192" s="2" t="e">
        <f t="shared" ca="1" si="3"/>
        <v>#NAME?</v>
      </c>
    </row>
    <row r="193" spans="1:10" ht="15.75" customHeight="1" x14ac:dyDescent="0.2">
      <c r="A193" s="2">
        <v>192</v>
      </c>
      <c r="B193" s="4">
        <v>44983</v>
      </c>
      <c r="C193" s="2">
        <f t="shared" si="0"/>
        <v>1</v>
      </c>
      <c r="D193" s="2">
        <v>0</v>
      </c>
      <c r="E193" s="2">
        <f t="shared" si="1"/>
        <v>1</v>
      </c>
      <c r="F193" s="2" t="str">
        <f t="shared" si="2"/>
        <v>Sunday</v>
      </c>
      <c r="H193" s="2">
        <v>3</v>
      </c>
      <c r="I193" s="2" t="e">
        <f t="shared" ca="1" si="4"/>
        <v>#NAME?</v>
      </c>
      <c r="J193" s="2" t="e">
        <f t="shared" ca="1" si="3"/>
        <v>#NAME?</v>
      </c>
    </row>
    <row r="194" spans="1:10" ht="15.75" customHeight="1" x14ac:dyDescent="0.2">
      <c r="A194" s="2">
        <v>193</v>
      </c>
      <c r="B194" s="4">
        <v>44984</v>
      </c>
      <c r="C194" s="2">
        <f t="shared" si="0"/>
        <v>0</v>
      </c>
      <c r="D194" s="2">
        <v>1</v>
      </c>
      <c r="E194" s="2">
        <f t="shared" si="1"/>
        <v>1</v>
      </c>
      <c r="F194" s="2" t="str">
        <f t="shared" si="2"/>
        <v>Monday</v>
      </c>
      <c r="G194" s="2" t="s">
        <v>332</v>
      </c>
      <c r="H194" s="2">
        <v>3</v>
      </c>
      <c r="I194" s="2" t="e">
        <f t="shared" ca="1" si="4"/>
        <v>#NAME?</v>
      </c>
      <c r="J194" s="2" t="e">
        <f t="shared" ca="1" si="3"/>
        <v>#NAME?</v>
      </c>
    </row>
    <row r="195" spans="1:10" ht="15.75" customHeight="1" x14ac:dyDescent="0.2">
      <c r="A195" s="2">
        <v>194</v>
      </c>
      <c r="B195" s="4">
        <v>44985</v>
      </c>
      <c r="C195" s="2">
        <f t="shared" si="0"/>
        <v>0</v>
      </c>
      <c r="D195" s="2">
        <v>1</v>
      </c>
      <c r="E195" s="2">
        <f t="shared" si="1"/>
        <v>1</v>
      </c>
      <c r="F195" s="2" t="str">
        <f t="shared" si="2"/>
        <v>Tuesday</v>
      </c>
      <c r="G195" s="2" t="s">
        <v>332</v>
      </c>
      <c r="H195" s="2">
        <v>3</v>
      </c>
      <c r="I195" s="2" t="e">
        <f t="shared" ca="1" si="4"/>
        <v>#NAME?</v>
      </c>
      <c r="J195" s="2" t="e">
        <f t="shared" ca="1" si="3"/>
        <v>#NAME?</v>
      </c>
    </row>
    <row r="196" spans="1:10" ht="15.75" customHeight="1" x14ac:dyDescent="0.2">
      <c r="A196" s="2">
        <v>195</v>
      </c>
      <c r="B196" s="4">
        <v>44986</v>
      </c>
      <c r="C196" s="2">
        <f t="shared" si="0"/>
        <v>0</v>
      </c>
      <c r="D196" s="2">
        <v>1</v>
      </c>
      <c r="E196" s="2">
        <f t="shared" si="1"/>
        <v>1</v>
      </c>
      <c r="F196" s="2" t="str">
        <f t="shared" si="2"/>
        <v>Wednesday</v>
      </c>
      <c r="G196" s="2" t="s">
        <v>332</v>
      </c>
      <c r="H196" s="2">
        <v>3</v>
      </c>
      <c r="I196" s="2" t="e">
        <f t="shared" ca="1" si="4"/>
        <v>#NAME?</v>
      </c>
      <c r="J196" s="2" t="e">
        <f t="shared" ca="1" si="3"/>
        <v>#NAME?</v>
      </c>
    </row>
    <row r="197" spans="1:10" ht="15.75" customHeight="1" x14ac:dyDescent="0.2">
      <c r="A197" s="2">
        <v>196</v>
      </c>
      <c r="B197" s="4">
        <v>44987</v>
      </c>
      <c r="C197" s="2">
        <f t="shared" si="0"/>
        <v>0</v>
      </c>
      <c r="D197" s="2">
        <v>1</v>
      </c>
      <c r="E197" s="2">
        <f t="shared" si="1"/>
        <v>1</v>
      </c>
      <c r="F197" s="2" t="str">
        <f t="shared" si="2"/>
        <v>Thursday</v>
      </c>
      <c r="G197" s="2" t="s">
        <v>332</v>
      </c>
      <c r="H197" s="2">
        <v>3</v>
      </c>
      <c r="I197" s="2" t="e">
        <f t="shared" ca="1" si="4"/>
        <v>#NAME?</v>
      </c>
      <c r="J197" s="2" t="e">
        <f t="shared" ca="1" si="3"/>
        <v>#NAME?</v>
      </c>
    </row>
    <row r="198" spans="1:10" ht="15.75" customHeight="1" x14ac:dyDescent="0.2">
      <c r="A198" s="2">
        <v>197</v>
      </c>
      <c r="B198" s="4">
        <v>44988</v>
      </c>
      <c r="C198" s="2">
        <f t="shared" si="0"/>
        <v>0</v>
      </c>
      <c r="D198" s="2">
        <v>1</v>
      </c>
      <c r="E198" s="2">
        <f t="shared" si="1"/>
        <v>1</v>
      </c>
      <c r="F198" s="2" t="str">
        <f t="shared" si="2"/>
        <v>Friday</v>
      </c>
      <c r="G198" s="2" t="s">
        <v>332</v>
      </c>
      <c r="H198" s="2">
        <v>3</v>
      </c>
      <c r="I198" s="2" t="e">
        <f t="shared" ca="1" si="4"/>
        <v>#NAME?</v>
      </c>
      <c r="J198" s="2" t="e">
        <f t="shared" ca="1" si="3"/>
        <v>#NAME?</v>
      </c>
    </row>
    <row r="199" spans="1:10" ht="15.75" customHeight="1" x14ac:dyDescent="0.2">
      <c r="A199" s="2">
        <v>198</v>
      </c>
      <c r="B199" s="4">
        <v>44989</v>
      </c>
      <c r="C199" s="2">
        <f t="shared" si="0"/>
        <v>1</v>
      </c>
      <c r="D199" s="2">
        <v>1</v>
      </c>
      <c r="E199" s="2">
        <f t="shared" si="1"/>
        <v>1</v>
      </c>
      <c r="F199" s="2" t="str">
        <f t="shared" si="2"/>
        <v>Saturday</v>
      </c>
      <c r="G199" s="2" t="s">
        <v>332</v>
      </c>
      <c r="H199" s="2">
        <v>3</v>
      </c>
      <c r="I199" s="2" t="e">
        <f t="shared" ca="1" si="4"/>
        <v>#NAME?</v>
      </c>
      <c r="J199" s="2" t="e">
        <f t="shared" ca="1" si="3"/>
        <v>#NAME?</v>
      </c>
    </row>
    <row r="200" spans="1:10" ht="15.75" customHeight="1" x14ac:dyDescent="0.2">
      <c r="A200" s="2">
        <v>199</v>
      </c>
      <c r="B200" s="4">
        <v>44990</v>
      </c>
      <c r="C200" s="2">
        <f t="shared" si="0"/>
        <v>1</v>
      </c>
      <c r="D200" s="2">
        <v>1</v>
      </c>
      <c r="E200" s="2">
        <f t="shared" si="1"/>
        <v>1</v>
      </c>
      <c r="F200" s="2" t="str">
        <f t="shared" si="2"/>
        <v>Sunday</v>
      </c>
      <c r="G200" s="2" t="s">
        <v>332</v>
      </c>
      <c r="H200" s="2">
        <v>3</v>
      </c>
      <c r="I200" s="2" t="e">
        <f t="shared" ca="1" si="4"/>
        <v>#NAME?</v>
      </c>
      <c r="J200" s="2" t="e">
        <f t="shared" ca="1" si="3"/>
        <v>#NAME?</v>
      </c>
    </row>
    <row r="201" spans="1:10" ht="15.75" customHeight="1" x14ac:dyDescent="0.2">
      <c r="A201" s="2">
        <v>200</v>
      </c>
      <c r="B201" s="4">
        <v>44991</v>
      </c>
      <c r="C201" s="2">
        <f t="shared" si="0"/>
        <v>0</v>
      </c>
      <c r="D201" s="2">
        <v>1</v>
      </c>
      <c r="E201" s="2">
        <f t="shared" si="1"/>
        <v>1</v>
      </c>
      <c r="F201" s="2" t="str">
        <f t="shared" si="2"/>
        <v>Monday</v>
      </c>
      <c r="G201" s="2" t="s">
        <v>330</v>
      </c>
      <c r="H201" s="2">
        <v>4</v>
      </c>
      <c r="I201" s="2" t="e">
        <f t="shared" ca="1" si="4"/>
        <v>#NAME?</v>
      </c>
      <c r="J201" s="2" t="e">
        <f t="shared" ca="1" si="3"/>
        <v>#NAME?</v>
      </c>
    </row>
    <row r="202" spans="1:10" ht="15.75" customHeight="1" x14ac:dyDescent="0.2">
      <c r="A202" s="2">
        <v>201</v>
      </c>
      <c r="B202" s="4">
        <v>44992</v>
      </c>
      <c r="C202" s="2">
        <f t="shared" si="0"/>
        <v>0</v>
      </c>
      <c r="D202" s="2">
        <v>0</v>
      </c>
      <c r="E202" s="2">
        <f t="shared" si="1"/>
        <v>0</v>
      </c>
      <c r="F202" s="2" t="str">
        <f t="shared" si="2"/>
        <v>Tuesday</v>
      </c>
      <c r="H202" s="2">
        <v>4</v>
      </c>
      <c r="I202" s="2" t="e">
        <f t="shared" ca="1" si="4"/>
        <v>#NAME?</v>
      </c>
      <c r="J202" s="2" t="e">
        <f t="shared" ca="1" si="3"/>
        <v>#NAME?</v>
      </c>
    </row>
    <row r="203" spans="1:10" ht="15.75" customHeight="1" x14ac:dyDescent="0.2">
      <c r="A203" s="2">
        <v>202</v>
      </c>
      <c r="B203" s="4">
        <v>44993</v>
      </c>
      <c r="C203" s="2">
        <f t="shared" si="0"/>
        <v>0</v>
      </c>
      <c r="D203" s="2">
        <v>0</v>
      </c>
      <c r="E203" s="2">
        <f t="shared" si="1"/>
        <v>0</v>
      </c>
      <c r="F203" s="2" t="str">
        <f t="shared" si="2"/>
        <v>Wednesday</v>
      </c>
      <c r="H203" s="2">
        <v>4</v>
      </c>
      <c r="I203" s="2" t="e">
        <f t="shared" ca="1" si="4"/>
        <v>#NAME?</v>
      </c>
      <c r="J203" s="2" t="e">
        <f t="shared" ca="1" si="3"/>
        <v>#NAME?</v>
      </c>
    </row>
    <row r="204" spans="1:10" ht="15.75" customHeight="1" x14ac:dyDescent="0.2">
      <c r="A204" s="2">
        <v>203</v>
      </c>
      <c r="B204" s="4">
        <v>44994</v>
      </c>
      <c r="C204" s="2">
        <f t="shared" si="0"/>
        <v>0</v>
      </c>
      <c r="D204" s="2">
        <v>0</v>
      </c>
      <c r="E204" s="2">
        <f t="shared" si="1"/>
        <v>0</v>
      </c>
      <c r="F204" s="2" t="str">
        <f t="shared" si="2"/>
        <v>Thursday</v>
      </c>
      <c r="H204" s="2">
        <v>4</v>
      </c>
      <c r="I204" s="2" t="e">
        <f t="shared" ca="1" si="4"/>
        <v>#NAME?</v>
      </c>
      <c r="J204" s="2" t="e">
        <f t="shared" ca="1" si="3"/>
        <v>#NAME?</v>
      </c>
    </row>
    <row r="205" spans="1:10" ht="15.75" customHeight="1" x14ac:dyDescent="0.2">
      <c r="A205" s="2">
        <v>204</v>
      </c>
      <c r="B205" s="4">
        <v>44995</v>
      </c>
      <c r="C205" s="2">
        <f t="shared" si="0"/>
        <v>0</v>
      </c>
      <c r="D205" s="2">
        <v>0</v>
      </c>
      <c r="E205" s="2">
        <f t="shared" si="1"/>
        <v>0</v>
      </c>
      <c r="F205" s="2" t="str">
        <f t="shared" si="2"/>
        <v>Friday</v>
      </c>
      <c r="H205" s="2">
        <v>4</v>
      </c>
      <c r="I205" s="2" t="e">
        <f t="shared" ca="1" si="4"/>
        <v>#NAME?</v>
      </c>
      <c r="J205" s="2" t="e">
        <f t="shared" ca="1" si="3"/>
        <v>#NAME?</v>
      </c>
    </row>
    <row r="206" spans="1:10" ht="15.75" customHeight="1" x14ac:dyDescent="0.2">
      <c r="A206" s="2">
        <v>205</v>
      </c>
      <c r="B206" s="4">
        <v>44996</v>
      </c>
      <c r="C206" s="2">
        <f t="shared" si="0"/>
        <v>1</v>
      </c>
      <c r="D206" s="2">
        <v>0</v>
      </c>
      <c r="E206" s="2">
        <f t="shared" si="1"/>
        <v>1</v>
      </c>
      <c r="F206" s="2" t="str">
        <f t="shared" si="2"/>
        <v>Saturday</v>
      </c>
      <c r="H206" s="2">
        <v>4</v>
      </c>
      <c r="I206" s="2" t="e">
        <f t="shared" ca="1" si="4"/>
        <v>#NAME?</v>
      </c>
      <c r="J206" s="2" t="e">
        <f t="shared" ca="1" si="3"/>
        <v>#NAME?</v>
      </c>
    </row>
    <row r="207" spans="1:10" ht="15.75" customHeight="1" x14ac:dyDescent="0.2">
      <c r="A207" s="2">
        <v>206</v>
      </c>
      <c r="B207" s="4">
        <v>44997</v>
      </c>
      <c r="C207" s="2">
        <f t="shared" si="0"/>
        <v>1</v>
      </c>
      <c r="D207" s="2">
        <v>0</v>
      </c>
      <c r="E207" s="2">
        <f t="shared" si="1"/>
        <v>1</v>
      </c>
      <c r="F207" s="2" t="str">
        <f t="shared" si="2"/>
        <v>Sunday</v>
      </c>
      <c r="H207" s="2">
        <v>4</v>
      </c>
      <c r="I207" s="2" t="e">
        <f t="shared" ca="1" si="4"/>
        <v>#NAME?</v>
      </c>
      <c r="J207" s="2" t="e">
        <f t="shared" ca="1" si="3"/>
        <v>#NAME?</v>
      </c>
    </row>
    <row r="208" spans="1:10" ht="15.75" customHeight="1" x14ac:dyDescent="0.2">
      <c r="A208" s="2">
        <v>207</v>
      </c>
      <c r="B208" s="4">
        <v>44998</v>
      </c>
      <c r="C208" s="2">
        <f t="shared" si="0"/>
        <v>0</v>
      </c>
      <c r="D208" s="2">
        <v>0</v>
      </c>
      <c r="E208" s="2">
        <f t="shared" si="1"/>
        <v>0</v>
      </c>
      <c r="F208" s="2" t="str">
        <f t="shared" si="2"/>
        <v>Monday</v>
      </c>
      <c r="H208" s="2">
        <v>4</v>
      </c>
      <c r="I208" s="2" t="e">
        <f t="shared" ca="1" si="4"/>
        <v>#NAME?</v>
      </c>
      <c r="J208" s="2" t="e">
        <f t="shared" ca="1" si="3"/>
        <v>#NAME?</v>
      </c>
    </row>
    <row r="209" spans="1:10" ht="15.75" customHeight="1" x14ac:dyDescent="0.2">
      <c r="A209" s="2">
        <v>208</v>
      </c>
      <c r="B209" s="4">
        <v>44999</v>
      </c>
      <c r="C209" s="2">
        <f t="shared" si="0"/>
        <v>0</v>
      </c>
      <c r="D209" s="2">
        <v>0</v>
      </c>
      <c r="E209" s="2">
        <f t="shared" si="1"/>
        <v>0</v>
      </c>
      <c r="F209" s="2" t="str">
        <f t="shared" si="2"/>
        <v>Tuesday</v>
      </c>
      <c r="H209" s="2">
        <v>4</v>
      </c>
      <c r="I209" s="2" t="e">
        <f t="shared" ca="1" si="4"/>
        <v>#NAME?</v>
      </c>
      <c r="J209" s="2" t="e">
        <f t="shared" ca="1" si="3"/>
        <v>#NAME?</v>
      </c>
    </row>
    <row r="210" spans="1:10" ht="15.75" customHeight="1" x14ac:dyDescent="0.2">
      <c r="A210" s="2">
        <v>209</v>
      </c>
      <c r="B210" s="4">
        <v>45000</v>
      </c>
      <c r="C210" s="2">
        <f t="shared" si="0"/>
        <v>0</v>
      </c>
      <c r="D210" s="2">
        <v>0</v>
      </c>
      <c r="E210" s="2">
        <f t="shared" si="1"/>
        <v>0</v>
      </c>
      <c r="F210" s="2" t="str">
        <f t="shared" si="2"/>
        <v>Wednesday</v>
      </c>
      <c r="H210" s="2">
        <v>4</v>
      </c>
      <c r="I210" s="2" t="e">
        <f t="shared" ca="1" si="4"/>
        <v>#NAME?</v>
      </c>
      <c r="J210" s="2" t="e">
        <f t="shared" ca="1" si="3"/>
        <v>#NAME?</v>
      </c>
    </row>
    <row r="211" spans="1:10" ht="15.75" customHeight="1" x14ac:dyDescent="0.2">
      <c r="A211" s="2">
        <v>210</v>
      </c>
      <c r="B211" s="4">
        <v>45001</v>
      </c>
      <c r="C211" s="2">
        <f t="shared" si="0"/>
        <v>0</v>
      </c>
      <c r="D211" s="2">
        <v>0</v>
      </c>
      <c r="E211" s="2">
        <f t="shared" si="1"/>
        <v>0</v>
      </c>
      <c r="F211" s="2" t="str">
        <f t="shared" si="2"/>
        <v>Thursday</v>
      </c>
      <c r="H211" s="2">
        <v>4</v>
      </c>
      <c r="I211" s="2" t="e">
        <f t="shared" ca="1" si="4"/>
        <v>#NAME?</v>
      </c>
      <c r="J211" s="2" t="e">
        <f t="shared" ca="1" si="3"/>
        <v>#NAME?</v>
      </c>
    </row>
    <row r="212" spans="1:10" ht="15.75" customHeight="1" x14ac:dyDescent="0.2">
      <c r="A212" s="2">
        <v>211</v>
      </c>
      <c r="B212" s="4">
        <v>45002</v>
      </c>
      <c r="C212" s="2">
        <f t="shared" si="0"/>
        <v>0</v>
      </c>
      <c r="D212" s="2">
        <v>0</v>
      </c>
      <c r="E212" s="2">
        <f t="shared" si="1"/>
        <v>0</v>
      </c>
      <c r="F212" s="2" t="str">
        <f t="shared" si="2"/>
        <v>Friday</v>
      </c>
      <c r="H212" s="2">
        <v>4</v>
      </c>
      <c r="I212" s="2" t="e">
        <f t="shared" ca="1" si="4"/>
        <v>#NAME?</v>
      </c>
      <c r="J212" s="2" t="e">
        <f t="shared" ca="1" si="3"/>
        <v>#NAME?</v>
      </c>
    </row>
    <row r="213" spans="1:10" ht="15.75" customHeight="1" x14ac:dyDescent="0.2">
      <c r="A213" s="2">
        <v>212</v>
      </c>
      <c r="B213" s="4">
        <v>45003</v>
      </c>
      <c r="C213" s="2">
        <f t="shared" si="0"/>
        <v>1</v>
      </c>
      <c r="D213" s="2">
        <v>0</v>
      </c>
      <c r="E213" s="2">
        <f t="shared" si="1"/>
        <v>1</v>
      </c>
      <c r="F213" s="2" t="str">
        <f t="shared" si="2"/>
        <v>Saturday</v>
      </c>
      <c r="H213" s="2">
        <v>4</v>
      </c>
      <c r="I213" s="2" t="e">
        <f t="shared" ca="1" si="4"/>
        <v>#NAME?</v>
      </c>
      <c r="J213" s="2" t="e">
        <f t="shared" ca="1" si="3"/>
        <v>#NAME?</v>
      </c>
    </row>
    <row r="214" spans="1:10" ht="15.75" customHeight="1" x14ac:dyDescent="0.2">
      <c r="A214" s="2">
        <v>213</v>
      </c>
      <c r="B214" s="4">
        <v>45004</v>
      </c>
      <c r="C214" s="2">
        <f t="shared" si="0"/>
        <v>1</v>
      </c>
      <c r="D214" s="2">
        <v>0</v>
      </c>
      <c r="E214" s="2">
        <f t="shared" si="1"/>
        <v>1</v>
      </c>
      <c r="F214" s="2" t="str">
        <f t="shared" si="2"/>
        <v>Sunday</v>
      </c>
      <c r="H214" s="2">
        <v>4</v>
      </c>
      <c r="I214" s="2" t="e">
        <f t="shared" ca="1" si="4"/>
        <v>#NAME?</v>
      </c>
      <c r="J214" s="2" t="e">
        <f t="shared" ca="1" si="3"/>
        <v>#NAME?</v>
      </c>
    </row>
    <row r="215" spans="1:10" ht="15.75" customHeight="1" x14ac:dyDescent="0.2">
      <c r="A215" s="2">
        <v>214</v>
      </c>
      <c r="B215" s="4">
        <v>45005</v>
      </c>
      <c r="C215" s="2">
        <f t="shared" si="0"/>
        <v>0</v>
      </c>
      <c r="D215" s="2">
        <v>0</v>
      </c>
      <c r="E215" s="2">
        <f t="shared" si="1"/>
        <v>0</v>
      </c>
      <c r="F215" s="2" t="str">
        <f t="shared" si="2"/>
        <v>Monday</v>
      </c>
      <c r="H215" s="2">
        <v>4</v>
      </c>
      <c r="I215" s="2" t="e">
        <f t="shared" ca="1" si="4"/>
        <v>#NAME?</v>
      </c>
      <c r="J215" s="2" t="e">
        <f t="shared" ca="1" si="3"/>
        <v>#NAME?</v>
      </c>
    </row>
    <row r="216" spans="1:10" ht="15.75" customHeight="1" x14ac:dyDescent="0.2">
      <c r="A216" s="2">
        <v>215</v>
      </c>
      <c r="B216" s="4">
        <v>45006</v>
      </c>
      <c r="C216" s="2">
        <f t="shared" si="0"/>
        <v>0</v>
      </c>
      <c r="D216" s="2">
        <v>0</v>
      </c>
      <c r="E216" s="2">
        <f t="shared" si="1"/>
        <v>0</v>
      </c>
      <c r="F216" s="2" t="str">
        <f t="shared" si="2"/>
        <v>Tuesday</v>
      </c>
      <c r="H216" s="2">
        <v>4</v>
      </c>
      <c r="I216" s="2" t="e">
        <f t="shared" ca="1" si="4"/>
        <v>#NAME?</v>
      </c>
      <c r="J216" s="2" t="e">
        <f t="shared" ca="1" si="3"/>
        <v>#NAME?</v>
      </c>
    </row>
    <row r="217" spans="1:10" ht="15.75" customHeight="1" x14ac:dyDescent="0.2">
      <c r="A217" s="2">
        <v>216</v>
      </c>
      <c r="B217" s="4">
        <v>45007</v>
      </c>
      <c r="C217" s="2">
        <f t="shared" si="0"/>
        <v>0</v>
      </c>
      <c r="D217" s="2">
        <v>0</v>
      </c>
      <c r="E217" s="2">
        <f t="shared" si="1"/>
        <v>0</v>
      </c>
      <c r="F217" s="2" t="str">
        <f t="shared" si="2"/>
        <v>Wednesday</v>
      </c>
      <c r="H217" s="2">
        <v>4</v>
      </c>
      <c r="I217" s="2" t="e">
        <f t="shared" ca="1" si="4"/>
        <v>#NAME?</v>
      </c>
      <c r="J217" s="2" t="e">
        <f t="shared" ca="1" si="3"/>
        <v>#NAME?</v>
      </c>
    </row>
    <row r="218" spans="1:10" ht="15.75" customHeight="1" x14ac:dyDescent="0.2">
      <c r="A218" s="2">
        <v>217</v>
      </c>
      <c r="B218" s="4">
        <v>45008</v>
      </c>
      <c r="C218" s="2">
        <f t="shared" si="0"/>
        <v>0</v>
      </c>
      <c r="D218" s="2">
        <v>0</v>
      </c>
      <c r="E218" s="2">
        <f t="shared" si="1"/>
        <v>0</v>
      </c>
      <c r="F218" s="2" t="str">
        <f t="shared" si="2"/>
        <v>Thursday</v>
      </c>
      <c r="H218" s="2">
        <v>4</v>
      </c>
      <c r="I218" s="2" t="e">
        <f t="shared" ca="1" si="4"/>
        <v>#NAME?</v>
      </c>
      <c r="J218" s="2" t="e">
        <f t="shared" ca="1" si="3"/>
        <v>#NAME?</v>
      </c>
    </row>
    <row r="219" spans="1:10" ht="15.75" customHeight="1" x14ac:dyDescent="0.2">
      <c r="A219" s="2">
        <v>218</v>
      </c>
      <c r="B219" s="4">
        <v>45009</v>
      </c>
      <c r="C219" s="2">
        <f t="shared" si="0"/>
        <v>0</v>
      </c>
      <c r="D219" s="2">
        <v>0</v>
      </c>
      <c r="E219" s="2">
        <f t="shared" si="1"/>
        <v>0</v>
      </c>
      <c r="F219" s="2" t="str">
        <f t="shared" si="2"/>
        <v>Friday</v>
      </c>
      <c r="H219" s="2">
        <v>4</v>
      </c>
      <c r="I219" s="2" t="e">
        <f t="shared" ca="1" si="4"/>
        <v>#NAME?</v>
      </c>
      <c r="J219" s="2" t="e">
        <f t="shared" ca="1" si="3"/>
        <v>#NAME?</v>
      </c>
    </row>
    <row r="220" spans="1:10" ht="15.75" customHeight="1" x14ac:dyDescent="0.2">
      <c r="A220" s="2">
        <v>219</v>
      </c>
      <c r="B220" s="4">
        <v>45010</v>
      </c>
      <c r="C220" s="2">
        <f t="shared" si="0"/>
        <v>1</v>
      </c>
      <c r="D220" s="2">
        <v>0</v>
      </c>
      <c r="E220" s="2">
        <f t="shared" si="1"/>
        <v>1</v>
      </c>
      <c r="F220" s="2" t="str">
        <f t="shared" si="2"/>
        <v>Saturday</v>
      </c>
      <c r="H220" s="2">
        <v>4</v>
      </c>
      <c r="I220" s="2" t="e">
        <f t="shared" ca="1" si="4"/>
        <v>#NAME?</v>
      </c>
      <c r="J220" s="2" t="e">
        <f t="shared" ca="1" si="3"/>
        <v>#NAME?</v>
      </c>
    </row>
    <row r="221" spans="1:10" ht="15.75" customHeight="1" x14ac:dyDescent="0.2">
      <c r="A221" s="2">
        <v>220</v>
      </c>
      <c r="B221" s="4">
        <v>45011</v>
      </c>
      <c r="C221" s="2">
        <f t="shared" si="0"/>
        <v>1</v>
      </c>
      <c r="D221" s="2">
        <v>0</v>
      </c>
      <c r="E221" s="2">
        <f t="shared" si="1"/>
        <v>1</v>
      </c>
      <c r="F221" s="2" t="str">
        <f t="shared" si="2"/>
        <v>Sunday</v>
      </c>
      <c r="H221" s="2">
        <v>4</v>
      </c>
      <c r="I221" s="2" t="e">
        <f t="shared" ca="1" si="4"/>
        <v>#NAME?</v>
      </c>
      <c r="J221" s="2" t="e">
        <f t="shared" ca="1" si="3"/>
        <v>#NAME?</v>
      </c>
    </row>
    <row r="222" spans="1:10" ht="15.75" customHeight="1" x14ac:dyDescent="0.2">
      <c r="A222" s="2">
        <v>221</v>
      </c>
      <c r="B222" s="4">
        <v>45012</v>
      </c>
      <c r="C222" s="2">
        <f t="shared" si="0"/>
        <v>0</v>
      </c>
      <c r="D222" s="2">
        <v>0</v>
      </c>
      <c r="E222" s="2">
        <f t="shared" si="1"/>
        <v>0</v>
      </c>
      <c r="F222" s="2" t="str">
        <f t="shared" si="2"/>
        <v>Monday</v>
      </c>
      <c r="H222" s="2">
        <v>4</v>
      </c>
      <c r="I222" s="2" t="e">
        <f t="shared" ca="1" si="4"/>
        <v>#NAME?</v>
      </c>
      <c r="J222" s="2" t="e">
        <f t="shared" ca="1" si="3"/>
        <v>#NAME?</v>
      </c>
    </row>
    <row r="223" spans="1:10" ht="15.75" customHeight="1" x14ac:dyDescent="0.2">
      <c r="A223" s="2">
        <v>222</v>
      </c>
      <c r="B223" s="4">
        <v>45013</v>
      </c>
      <c r="C223" s="2">
        <f t="shared" si="0"/>
        <v>0</v>
      </c>
      <c r="D223" s="2">
        <v>0</v>
      </c>
      <c r="E223" s="2">
        <f t="shared" si="1"/>
        <v>0</v>
      </c>
      <c r="F223" s="2" t="str">
        <f t="shared" si="2"/>
        <v>Tuesday</v>
      </c>
      <c r="H223" s="2">
        <v>4</v>
      </c>
      <c r="I223" s="2" t="e">
        <f t="shared" ca="1" si="4"/>
        <v>#NAME?</v>
      </c>
      <c r="J223" s="2" t="e">
        <f t="shared" ca="1" si="3"/>
        <v>#NAME?</v>
      </c>
    </row>
    <row r="224" spans="1:10" ht="15.75" customHeight="1" x14ac:dyDescent="0.2">
      <c r="A224" s="2">
        <v>223</v>
      </c>
      <c r="B224" s="4">
        <v>45014</v>
      </c>
      <c r="C224" s="2">
        <f t="shared" si="0"/>
        <v>0</v>
      </c>
      <c r="D224" s="2">
        <v>0</v>
      </c>
      <c r="E224" s="2">
        <f t="shared" si="1"/>
        <v>0</v>
      </c>
      <c r="F224" s="2" t="str">
        <f t="shared" si="2"/>
        <v>Wednesday</v>
      </c>
      <c r="H224" s="2">
        <v>4</v>
      </c>
      <c r="I224" s="2" t="e">
        <f t="shared" ca="1" si="4"/>
        <v>#NAME?</v>
      </c>
      <c r="J224" s="2" t="e">
        <f t="shared" ca="1" si="3"/>
        <v>#NAME?</v>
      </c>
    </row>
    <row r="225" spans="1:10" ht="15.75" customHeight="1" x14ac:dyDescent="0.2">
      <c r="A225" s="2">
        <v>224</v>
      </c>
      <c r="B225" s="4">
        <v>45015</v>
      </c>
      <c r="C225" s="2">
        <f t="shared" si="0"/>
        <v>0</v>
      </c>
      <c r="D225" s="2">
        <v>0</v>
      </c>
      <c r="E225" s="2">
        <f t="shared" si="1"/>
        <v>0</v>
      </c>
      <c r="F225" s="2" t="str">
        <f t="shared" si="2"/>
        <v>Thursday</v>
      </c>
      <c r="H225" s="2">
        <v>4</v>
      </c>
      <c r="I225" s="2" t="e">
        <f t="shared" ca="1" si="4"/>
        <v>#NAME?</v>
      </c>
      <c r="J225" s="2" t="e">
        <f t="shared" ca="1" si="3"/>
        <v>#NAME?</v>
      </c>
    </row>
    <row r="226" spans="1:10" ht="15.75" customHeight="1" x14ac:dyDescent="0.2">
      <c r="A226" s="2">
        <v>225</v>
      </c>
      <c r="B226" s="4">
        <v>45016</v>
      </c>
      <c r="C226" s="2">
        <f t="shared" si="0"/>
        <v>0</v>
      </c>
      <c r="D226" s="2">
        <v>0</v>
      </c>
      <c r="E226" s="2">
        <f t="shared" si="1"/>
        <v>0</v>
      </c>
      <c r="F226" s="2" t="str">
        <f t="shared" si="2"/>
        <v>Friday</v>
      </c>
      <c r="H226" s="2">
        <v>4</v>
      </c>
      <c r="I226" s="2" t="e">
        <f t="shared" ca="1" si="4"/>
        <v>#NAME?</v>
      </c>
      <c r="J226" s="2" t="e">
        <f t="shared" ca="1" si="3"/>
        <v>#NAME?</v>
      </c>
    </row>
    <row r="227" spans="1:10" ht="15.75" customHeight="1" x14ac:dyDescent="0.2">
      <c r="A227" s="2">
        <v>226</v>
      </c>
      <c r="B227" s="4">
        <v>45017</v>
      </c>
      <c r="C227" s="2">
        <f t="shared" si="0"/>
        <v>1</v>
      </c>
      <c r="D227" s="2">
        <v>0</v>
      </c>
      <c r="E227" s="2">
        <f t="shared" si="1"/>
        <v>1</v>
      </c>
      <c r="F227" s="2" t="str">
        <f t="shared" si="2"/>
        <v>Saturday</v>
      </c>
      <c r="H227" s="2">
        <v>4</v>
      </c>
      <c r="I227" s="2" t="e">
        <f t="shared" ca="1" si="4"/>
        <v>#NAME?</v>
      </c>
      <c r="J227" s="2" t="e">
        <f t="shared" ca="1" si="3"/>
        <v>#NAME?</v>
      </c>
    </row>
    <row r="228" spans="1:10" ht="15.75" customHeight="1" x14ac:dyDescent="0.2">
      <c r="A228" s="2">
        <v>227</v>
      </c>
      <c r="B228" s="4">
        <v>45018</v>
      </c>
      <c r="C228" s="2">
        <f t="shared" si="0"/>
        <v>1</v>
      </c>
      <c r="D228" s="2">
        <v>0</v>
      </c>
      <c r="E228" s="2">
        <f t="shared" si="1"/>
        <v>1</v>
      </c>
      <c r="F228" s="2" t="str">
        <f t="shared" si="2"/>
        <v>Sunday</v>
      </c>
      <c r="H228" s="2">
        <v>4</v>
      </c>
      <c r="I228" s="2" t="e">
        <f t="shared" ca="1" si="4"/>
        <v>#NAME?</v>
      </c>
      <c r="J228" s="2" t="e">
        <f t="shared" ca="1" si="3"/>
        <v>#NAME?</v>
      </c>
    </row>
    <row r="229" spans="1:10" ht="15.75" customHeight="1" x14ac:dyDescent="0.2">
      <c r="A229" s="2">
        <v>228</v>
      </c>
      <c r="B229" s="4">
        <v>45019</v>
      </c>
      <c r="C229" s="2">
        <f t="shared" si="0"/>
        <v>0</v>
      </c>
      <c r="D229" s="2">
        <v>0</v>
      </c>
      <c r="E229" s="2">
        <f t="shared" si="1"/>
        <v>0</v>
      </c>
      <c r="F229" s="2" t="str">
        <f t="shared" si="2"/>
        <v>Monday</v>
      </c>
      <c r="H229" s="2">
        <v>4</v>
      </c>
      <c r="I229" s="2" t="e">
        <f t="shared" ca="1" si="4"/>
        <v>#NAME?</v>
      </c>
      <c r="J229" s="2" t="e">
        <f t="shared" ca="1" si="3"/>
        <v>#NAME?</v>
      </c>
    </row>
    <row r="230" spans="1:10" ht="15.75" customHeight="1" x14ac:dyDescent="0.2">
      <c r="A230" s="2">
        <v>229</v>
      </c>
      <c r="B230" s="4">
        <v>45020</v>
      </c>
      <c r="C230" s="2">
        <f t="shared" si="0"/>
        <v>0</v>
      </c>
      <c r="D230" s="2">
        <v>0</v>
      </c>
      <c r="E230" s="2">
        <f t="shared" si="1"/>
        <v>0</v>
      </c>
      <c r="F230" s="2" t="str">
        <f t="shared" si="2"/>
        <v>Tuesday</v>
      </c>
      <c r="H230" s="2">
        <v>4</v>
      </c>
      <c r="I230" s="2" t="e">
        <f t="shared" ca="1" si="4"/>
        <v>#NAME?</v>
      </c>
      <c r="J230" s="2" t="e">
        <f t="shared" ca="1" si="3"/>
        <v>#NAME?</v>
      </c>
    </row>
    <row r="231" spans="1:10" ht="15.75" customHeight="1" x14ac:dyDescent="0.2">
      <c r="A231" s="2">
        <v>230</v>
      </c>
      <c r="B231" s="4">
        <v>45021</v>
      </c>
      <c r="C231" s="2">
        <f t="shared" si="0"/>
        <v>0</v>
      </c>
      <c r="D231" s="2">
        <v>0</v>
      </c>
      <c r="E231" s="2">
        <f t="shared" si="1"/>
        <v>0</v>
      </c>
      <c r="F231" s="2" t="str">
        <f t="shared" si="2"/>
        <v>Wednesday</v>
      </c>
      <c r="H231" s="2">
        <v>4</v>
      </c>
      <c r="I231" s="2" t="e">
        <f t="shared" ca="1" si="4"/>
        <v>#NAME?</v>
      </c>
      <c r="J231" s="2" t="e">
        <f t="shared" ca="1" si="3"/>
        <v>#NAME?</v>
      </c>
    </row>
    <row r="232" spans="1:10" ht="15.75" customHeight="1" x14ac:dyDescent="0.2">
      <c r="A232" s="2">
        <v>231</v>
      </c>
      <c r="B232" s="4">
        <v>45022</v>
      </c>
      <c r="C232" s="2">
        <f t="shared" si="0"/>
        <v>0</v>
      </c>
      <c r="D232" s="2">
        <v>0</v>
      </c>
      <c r="E232" s="2">
        <f t="shared" si="1"/>
        <v>0</v>
      </c>
      <c r="F232" s="2" t="str">
        <f t="shared" si="2"/>
        <v>Thursday</v>
      </c>
      <c r="H232" s="2">
        <v>4</v>
      </c>
      <c r="I232" s="2" t="e">
        <f t="shared" ca="1" si="4"/>
        <v>#NAME?</v>
      </c>
      <c r="J232" s="2" t="e">
        <f t="shared" ca="1" si="3"/>
        <v>#NAME?</v>
      </c>
    </row>
    <row r="233" spans="1:10" ht="15.75" customHeight="1" x14ac:dyDescent="0.2">
      <c r="A233" s="2">
        <v>232</v>
      </c>
      <c r="B233" s="4">
        <v>45023</v>
      </c>
      <c r="C233" s="2">
        <f t="shared" si="0"/>
        <v>0</v>
      </c>
      <c r="D233" s="2">
        <v>0</v>
      </c>
      <c r="E233" s="2">
        <f t="shared" si="1"/>
        <v>0</v>
      </c>
      <c r="F233" s="2" t="str">
        <f t="shared" si="2"/>
        <v>Friday</v>
      </c>
      <c r="H233" s="2">
        <v>4</v>
      </c>
      <c r="I233" s="2" t="e">
        <f t="shared" ca="1" si="4"/>
        <v>#NAME?</v>
      </c>
      <c r="J233" s="2" t="e">
        <f t="shared" ca="1" si="3"/>
        <v>#NAME?</v>
      </c>
    </row>
    <row r="234" spans="1:10" ht="15.75" customHeight="1" x14ac:dyDescent="0.2">
      <c r="A234" s="2">
        <v>233</v>
      </c>
      <c r="B234" s="4">
        <v>45024</v>
      </c>
      <c r="C234" s="2">
        <f t="shared" si="0"/>
        <v>1</v>
      </c>
      <c r="D234" s="2">
        <v>0</v>
      </c>
      <c r="E234" s="2">
        <f t="shared" si="1"/>
        <v>1</v>
      </c>
      <c r="F234" s="2" t="str">
        <f t="shared" si="2"/>
        <v>Saturday</v>
      </c>
      <c r="H234" s="2">
        <v>4</v>
      </c>
      <c r="I234" s="2" t="e">
        <f t="shared" ca="1" si="4"/>
        <v>#NAME?</v>
      </c>
      <c r="J234" s="2" t="e">
        <f t="shared" ca="1" si="3"/>
        <v>#NAME?</v>
      </c>
    </row>
    <row r="235" spans="1:10" ht="15.75" customHeight="1" x14ac:dyDescent="0.2">
      <c r="A235" s="2">
        <v>234</v>
      </c>
      <c r="B235" s="4">
        <v>45025</v>
      </c>
      <c r="C235" s="2">
        <f t="shared" si="0"/>
        <v>1</v>
      </c>
      <c r="D235" s="2">
        <v>0</v>
      </c>
      <c r="E235" s="2">
        <f t="shared" si="1"/>
        <v>1</v>
      </c>
      <c r="F235" s="2" t="str">
        <f t="shared" si="2"/>
        <v>Sunday</v>
      </c>
      <c r="H235" s="2">
        <v>4</v>
      </c>
      <c r="I235" s="2" t="e">
        <f t="shared" ca="1" si="4"/>
        <v>#NAME?</v>
      </c>
      <c r="J235" s="2" t="e">
        <f t="shared" ca="1" si="3"/>
        <v>#NAME?</v>
      </c>
    </row>
    <row r="236" spans="1:10" ht="15.75" customHeight="1" x14ac:dyDescent="0.2">
      <c r="A236" s="2">
        <v>235</v>
      </c>
      <c r="B236" s="4">
        <v>45026</v>
      </c>
      <c r="C236" s="2">
        <f t="shared" si="0"/>
        <v>0</v>
      </c>
      <c r="D236" s="2">
        <v>0</v>
      </c>
      <c r="E236" s="2">
        <f t="shared" si="1"/>
        <v>0</v>
      </c>
      <c r="F236" s="2" t="str">
        <f t="shared" si="2"/>
        <v>Monday</v>
      </c>
      <c r="H236" s="2">
        <v>4</v>
      </c>
      <c r="I236" s="2" t="e">
        <f t="shared" ca="1" si="4"/>
        <v>#NAME?</v>
      </c>
      <c r="J236" s="2" t="e">
        <f t="shared" ca="1" si="3"/>
        <v>#NAME?</v>
      </c>
    </row>
    <row r="237" spans="1:10" ht="15.75" customHeight="1" x14ac:dyDescent="0.2">
      <c r="A237" s="2">
        <v>236</v>
      </c>
      <c r="B237" s="4">
        <v>45027</v>
      </c>
      <c r="C237" s="2">
        <f t="shared" si="0"/>
        <v>0</v>
      </c>
      <c r="D237" s="2">
        <v>0</v>
      </c>
      <c r="E237" s="2">
        <f t="shared" si="1"/>
        <v>0</v>
      </c>
      <c r="F237" s="2" t="str">
        <f t="shared" si="2"/>
        <v>Tuesday</v>
      </c>
      <c r="H237" s="2">
        <v>4</v>
      </c>
      <c r="I237" s="2" t="e">
        <f t="shared" ca="1" si="4"/>
        <v>#NAME?</v>
      </c>
      <c r="J237" s="2" t="e">
        <f t="shared" ca="1" si="3"/>
        <v>#NAME?</v>
      </c>
    </row>
    <row r="238" spans="1:10" ht="15.75" customHeight="1" x14ac:dyDescent="0.2">
      <c r="A238" s="2">
        <v>237</v>
      </c>
      <c r="B238" s="4">
        <v>45028</v>
      </c>
      <c r="C238" s="2">
        <f t="shared" si="0"/>
        <v>0</v>
      </c>
      <c r="D238" s="2">
        <v>0</v>
      </c>
      <c r="E238" s="2">
        <f t="shared" si="1"/>
        <v>0</v>
      </c>
      <c r="F238" s="2" t="str">
        <f t="shared" si="2"/>
        <v>Wednesday</v>
      </c>
      <c r="H238" s="2">
        <v>4</v>
      </c>
      <c r="I238" s="2" t="e">
        <f t="shared" ca="1" si="4"/>
        <v>#NAME?</v>
      </c>
      <c r="J238" s="2" t="e">
        <f t="shared" ca="1" si="3"/>
        <v>#NAME?</v>
      </c>
    </row>
    <row r="239" spans="1:10" ht="15.75" customHeight="1" x14ac:dyDescent="0.2">
      <c r="A239" s="2">
        <v>238</v>
      </c>
      <c r="B239" s="4">
        <v>45029</v>
      </c>
      <c r="C239" s="2">
        <f t="shared" si="0"/>
        <v>0</v>
      </c>
      <c r="D239" s="2">
        <v>0</v>
      </c>
      <c r="E239" s="2">
        <f t="shared" si="1"/>
        <v>0</v>
      </c>
      <c r="F239" s="2" t="str">
        <f t="shared" si="2"/>
        <v>Thursday</v>
      </c>
      <c r="H239" s="2">
        <v>4</v>
      </c>
      <c r="I239" s="2" t="e">
        <f t="shared" ca="1" si="4"/>
        <v>#NAME?</v>
      </c>
      <c r="J239" s="2" t="e">
        <f t="shared" ca="1" si="3"/>
        <v>#NAME?</v>
      </c>
    </row>
    <row r="240" spans="1:10" ht="15.75" customHeight="1" x14ac:dyDescent="0.2">
      <c r="A240" s="2">
        <v>239</v>
      </c>
      <c r="B240" s="4">
        <v>45030</v>
      </c>
      <c r="C240" s="2">
        <f t="shared" si="0"/>
        <v>0</v>
      </c>
      <c r="D240" s="2">
        <v>0</v>
      </c>
      <c r="E240" s="2">
        <f t="shared" si="1"/>
        <v>0</v>
      </c>
      <c r="F240" s="2" t="str">
        <f t="shared" si="2"/>
        <v>Friday</v>
      </c>
      <c r="H240" s="2">
        <v>4</v>
      </c>
      <c r="I240" s="2" t="e">
        <f t="shared" ca="1" si="4"/>
        <v>#NAME?</v>
      </c>
      <c r="J240" s="2" t="e">
        <f t="shared" ca="1" si="3"/>
        <v>#NAME?</v>
      </c>
    </row>
    <row r="241" spans="1:10" ht="15.75" customHeight="1" x14ac:dyDescent="0.2">
      <c r="A241" s="2">
        <v>240</v>
      </c>
      <c r="B241" s="4">
        <v>45031</v>
      </c>
      <c r="C241" s="2">
        <f t="shared" si="0"/>
        <v>1</v>
      </c>
      <c r="D241" s="2">
        <v>0</v>
      </c>
      <c r="E241" s="2">
        <f t="shared" si="1"/>
        <v>1</v>
      </c>
      <c r="F241" s="2" t="str">
        <f t="shared" si="2"/>
        <v>Saturday</v>
      </c>
      <c r="H241" s="2">
        <v>4</v>
      </c>
      <c r="I241" s="2" t="e">
        <f t="shared" ca="1" si="4"/>
        <v>#NAME?</v>
      </c>
      <c r="J241" s="2" t="e">
        <f t="shared" ca="1" si="3"/>
        <v>#NAME?</v>
      </c>
    </row>
    <row r="242" spans="1:10" ht="15.75" customHeight="1" x14ac:dyDescent="0.2">
      <c r="A242" s="2">
        <v>241</v>
      </c>
      <c r="B242" s="4">
        <v>45032</v>
      </c>
      <c r="C242" s="2">
        <f t="shared" si="0"/>
        <v>1</v>
      </c>
      <c r="D242" s="2">
        <v>0</v>
      </c>
      <c r="E242" s="2">
        <f t="shared" si="1"/>
        <v>1</v>
      </c>
      <c r="F242" s="2" t="str">
        <f t="shared" si="2"/>
        <v>Sunday</v>
      </c>
      <c r="H242" s="2">
        <v>4</v>
      </c>
      <c r="I242" s="2" t="e">
        <f t="shared" ca="1" si="4"/>
        <v>#NAME?</v>
      </c>
      <c r="J242" s="2" t="e">
        <f t="shared" ca="1" si="3"/>
        <v>#NAME?</v>
      </c>
    </row>
    <row r="243" spans="1:10" ht="15.75" customHeight="1" x14ac:dyDescent="0.2">
      <c r="A243" s="2">
        <v>242</v>
      </c>
      <c r="B243" s="4">
        <v>45033</v>
      </c>
      <c r="C243" s="2">
        <f t="shared" si="0"/>
        <v>0</v>
      </c>
      <c r="D243" s="2">
        <v>0</v>
      </c>
      <c r="E243" s="2">
        <f t="shared" si="1"/>
        <v>0</v>
      </c>
      <c r="F243" s="2" t="str">
        <f t="shared" si="2"/>
        <v>Monday</v>
      </c>
      <c r="H243" s="2">
        <v>4</v>
      </c>
      <c r="I243" s="2" t="e">
        <f t="shared" ca="1" si="4"/>
        <v>#NAME?</v>
      </c>
      <c r="J243" s="2" t="e">
        <f t="shared" ca="1" si="3"/>
        <v>#NAME?</v>
      </c>
    </row>
    <row r="244" spans="1:10" ht="15.75" customHeight="1" x14ac:dyDescent="0.2">
      <c r="A244" s="2">
        <v>243</v>
      </c>
      <c r="B244" s="4">
        <v>45034</v>
      </c>
      <c r="C244" s="2">
        <f t="shared" si="0"/>
        <v>0</v>
      </c>
      <c r="D244" s="2">
        <v>0</v>
      </c>
      <c r="E244" s="2">
        <f t="shared" si="1"/>
        <v>0</v>
      </c>
      <c r="F244" s="2" t="str">
        <f t="shared" si="2"/>
        <v>Tuesday</v>
      </c>
      <c r="H244" s="2">
        <v>4</v>
      </c>
      <c r="I244" s="2" t="e">
        <f t="shared" ca="1" si="4"/>
        <v>#NAME?</v>
      </c>
      <c r="J244" s="2" t="e">
        <f t="shared" ca="1" si="3"/>
        <v>#NAME?</v>
      </c>
    </row>
    <row r="245" spans="1:10" ht="15.75" customHeight="1" x14ac:dyDescent="0.2">
      <c r="A245" s="2">
        <v>244</v>
      </c>
      <c r="B245" s="4">
        <v>45035</v>
      </c>
      <c r="C245" s="2">
        <f t="shared" si="0"/>
        <v>0</v>
      </c>
      <c r="D245" s="2">
        <v>0</v>
      </c>
      <c r="E245" s="2">
        <f t="shared" si="1"/>
        <v>0</v>
      </c>
      <c r="F245" s="2" t="str">
        <f t="shared" si="2"/>
        <v>Wednesday</v>
      </c>
      <c r="H245" s="2">
        <v>4</v>
      </c>
      <c r="I245" s="2" t="e">
        <f t="shared" ca="1" si="4"/>
        <v>#NAME?</v>
      </c>
      <c r="J245" s="2" t="e">
        <f t="shared" ca="1" si="3"/>
        <v>#NAME?</v>
      </c>
    </row>
    <row r="246" spans="1:10" ht="15.75" customHeight="1" x14ac:dyDescent="0.2">
      <c r="A246" s="2">
        <v>245</v>
      </c>
      <c r="B246" s="4">
        <v>45036</v>
      </c>
      <c r="C246" s="2">
        <f t="shared" si="0"/>
        <v>0</v>
      </c>
      <c r="D246" s="2">
        <v>0</v>
      </c>
      <c r="E246" s="2">
        <f t="shared" si="1"/>
        <v>0</v>
      </c>
      <c r="F246" s="2" t="str">
        <f t="shared" si="2"/>
        <v>Thursday</v>
      </c>
      <c r="H246" s="2">
        <v>4</v>
      </c>
      <c r="I246" s="2" t="e">
        <f t="shared" ca="1" si="4"/>
        <v>#NAME?</v>
      </c>
      <c r="J246" s="2" t="e">
        <f t="shared" ca="1" si="3"/>
        <v>#NAME?</v>
      </c>
    </row>
    <row r="247" spans="1:10" ht="15.75" customHeight="1" x14ac:dyDescent="0.2">
      <c r="A247" s="2">
        <v>246</v>
      </c>
      <c r="B247" s="4">
        <v>45037</v>
      </c>
      <c r="C247" s="2">
        <f t="shared" si="0"/>
        <v>0</v>
      </c>
      <c r="D247" s="2">
        <v>0</v>
      </c>
      <c r="E247" s="2">
        <f t="shared" si="1"/>
        <v>0</v>
      </c>
      <c r="F247" s="2" t="str">
        <f t="shared" si="2"/>
        <v>Friday</v>
      </c>
      <c r="H247" s="2">
        <v>4</v>
      </c>
      <c r="I247" s="2" t="e">
        <f t="shared" ca="1" si="4"/>
        <v>#NAME?</v>
      </c>
      <c r="J247" s="2" t="e">
        <f t="shared" ca="1" si="3"/>
        <v>#NAME?</v>
      </c>
    </row>
    <row r="248" spans="1:10" ht="15.75" customHeight="1" x14ac:dyDescent="0.2">
      <c r="A248" s="2">
        <v>247</v>
      </c>
      <c r="B248" s="4">
        <v>45038</v>
      </c>
      <c r="C248" s="2">
        <f t="shared" si="0"/>
        <v>1</v>
      </c>
      <c r="D248" s="2">
        <v>0</v>
      </c>
      <c r="E248" s="2">
        <f t="shared" si="1"/>
        <v>1</v>
      </c>
      <c r="F248" s="2" t="str">
        <f t="shared" si="2"/>
        <v>Saturday</v>
      </c>
      <c r="H248" s="2">
        <v>4</v>
      </c>
      <c r="I248" s="2" t="e">
        <f t="shared" ca="1" si="4"/>
        <v>#NAME?</v>
      </c>
      <c r="J248" s="2" t="e">
        <f t="shared" ca="1" si="3"/>
        <v>#NAME?</v>
      </c>
    </row>
    <row r="249" spans="1:10" ht="15.75" customHeight="1" x14ac:dyDescent="0.2">
      <c r="A249" s="2">
        <v>248</v>
      </c>
      <c r="B249" s="4">
        <v>45039</v>
      </c>
      <c r="C249" s="2">
        <f t="shared" si="0"/>
        <v>1</v>
      </c>
      <c r="D249" s="2">
        <v>0</v>
      </c>
      <c r="E249" s="2">
        <f t="shared" si="1"/>
        <v>1</v>
      </c>
      <c r="F249" s="2" t="str">
        <f t="shared" si="2"/>
        <v>Sunday</v>
      </c>
      <c r="H249" s="2">
        <v>4</v>
      </c>
      <c r="I249" s="2" t="e">
        <f t="shared" ca="1" si="4"/>
        <v>#NAME?</v>
      </c>
      <c r="J249" s="2" t="e">
        <f t="shared" ca="1" si="3"/>
        <v>#NAME?</v>
      </c>
    </row>
    <row r="250" spans="1:10" ht="15.75" customHeight="1" x14ac:dyDescent="0.2">
      <c r="A250" s="2">
        <v>249</v>
      </c>
      <c r="B250" s="4">
        <v>45040</v>
      </c>
      <c r="C250" s="2">
        <f t="shared" si="0"/>
        <v>0</v>
      </c>
      <c r="D250" s="2">
        <v>0</v>
      </c>
      <c r="E250" s="2">
        <f t="shared" si="1"/>
        <v>0</v>
      </c>
      <c r="F250" s="2" t="str">
        <f t="shared" si="2"/>
        <v>Monday</v>
      </c>
      <c r="H250" s="2">
        <v>4</v>
      </c>
      <c r="I250" s="2" t="e">
        <f t="shared" ca="1" si="4"/>
        <v>#NAME?</v>
      </c>
      <c r="J250" s="2" t="e">
        <f t="shared" ca="1" si="3"/>
        <v>#NAME?</v>
      </c>
    </row>
    <row r="251" spans="1:10" ht="15.75" customHeight="1" x14ac:dyDescent="0.2">
      <c r="A251" s="2">
        <v>250</v>
      </c>
      <c r="B251" s="4">
        <v>45041</v>
      </c>
      <c r="C251" s="2">
        <f t="shared" si="0"/>
        <v>0</v>
      </c>
      <c r="D251" s="2">
        <v>0</v>
      </c>
      <c r="E251" s="2">
        <f t="shared" si="1"/>
        <v>0</v>
      </c>
      <c r="F251" s="2" t="str">
        <f t="shared" si="2"/>
        <v>Tuesday</v>
      </c>
      <c r="H251" s="2">
        <v>4</v>
      </c>
      <c r="I251" s="2" t="e">
        <f t="shared" ca="1" si="4"/>
        <v>#NAME?</v>
      </c>
      <c r="J251" s="2" t="e">
        <f t="shared" ca="1" si="3"/>
        <v>#NAME?</v>
      </c>
    </row>
    <row r="252" spans="1:10" ht="15.75" customHeight="1" x14ac:dyDescent="0.2">
      <c r="A252" s="2">
        <v>251</v>
      </c>
      <c r="B252" s="4">
        <v>45042</v>
      </c>
      <c r="C252" s="2">
        <f t="shared" si="0"/>
        <v>0</v>
      </c>
      <c r="D252" s="2">
        <v>0</v>
      </c>
      <c r="E252" s="2">
        <f t="shared" si="1"/>
        <v>0</v>
      </c>
      <c r="F252" s="2" t="str">
        <f t="shared" si="2"/>
        <v>Wednesday</v>
      </c>
      <c r="H252" s="2">
        <v>4</v>
      </c>
      <c r="I252" s="2" t="e">
        <f t="shared" ca="1" si="4"/>
        <v>#NAME?</v>
      </c>
      <c r="J252" s="2" t="e">
        <f t="shared" ca="1" si="3"/>
        <v>#NAME?</v>
      </c>
    </row>
    <row r="253" spans="1:10" ht="15.75" customHeight="1" x14ac:dyDescent="0.2">
      <c r="A253" s="2">
        <v>252</v>
      </c>
      <c r="B253" s="4">
        <v>45043</v>
      </c>
      <c r="C253" s="2">
        <f t="shared" si="0"/>
        <v>0</v>
      </c>
      <c r="D253" s="2">
        <v>0</v>
      </c>
      <c r="E253" s="2">
        <f t="shared" si="1"/>
        <v>0</v>
      </c>
      <c r="F253" s="2" t="str">
        <f t="shared" si="2"/>
        <v>Thursday</v>
      </c>
      <c r="H253" s="2">
        <v>4</v>
      </c>
      <c r="I253" s="2" t="e">
        <f t="shared" ca="1" si="4"/>
        <v>#NAME?</v>
      </c>
      <c r="J253" s="2" t="e">
        <f t="shared" ca="1" si="3"/>
        <v>#NAME?</v>
      </c>
    </row>
    <row r="254" spans="1:10" ht="15.75" customHeight="1" x14ac:dyDescent="0.2">
      <c r="A254" s="2">
        <v>253</v>
      </c>
      <c r="B254" s="4">
        <v>45044</v>
      </c>
      <c r="C254" s="2">
        <f t="shared" si="0"/>
        <v>0</v>
      </c>
      <c r="D254" s="2">
        <v>0</v>
      </c>
      <c r="E254" s="2">
        <f t="shared" si="1"/>
        <v>0</v>
      </c>
      <c r="F254" s="2" t="str">
        <f t="shared" si="2"/>
        <v>Friday</v>
      </c>
      <c r="H254" s="2">
        <v>4</v>
      </c>
      <c r="I254" s="2" t="e">
        <f t="shared" ca="1" si="4"/>
        <v>#NAME?</v>
      </c>
      <c r="J254" s="2" t="e">
        <f t="shared" ca="1" si="3"/>
        <v>#NAME?</v>
      </c>
    </row>
    <row r="255" spans="1:10" ht="15.75" customHeight="1" x14ac:dyDescent="0.2">
      <c r="A255" s="2">
        <v>254</v>
      </c>
      <c r="B255" s="4">
        <v>45045</v>
      </c>
      <c r="C255" s="2">
        <f t="shared" si="0"/>
        <v>1</v>
      </c>
      <c r="D255" s="2">
        <v>1</v>
      </c>
      <c r="E255" s="2">
        <f t="shared" si="1"/>
        <v>1</v>
      </c>
      <c r="F255" s="2" t="str">
        <f t="shared" si="2"/>
        <v>Saturday</v>
      </c>
      <c r="G255" s="2" t="s">
        <v>333</v>
      </c>
      <c r="H255" s="2">
        <v>4</v>
      </c>
      <c r="I255" s="2" t="e">
        <f t="shared" ca="1" si="4"/>
        <v>#NAME?</v>
      </c>
      <c r="J255" s="2" t="e">
        <f t="shared" ca="1" si="3"/>
        <v>#NAME?</v>
      </c>
    </row>
    <row r="256" spans="1:10" ht="15.75" customHeight="1" x14ac:dyDescent="0.2">
      <c r="A256" s="2">
        <v>255</v>
      </c>
      <c r="B256" s="4">
        <v>45046</v>
      </c>
      <c r="C256" s="2">
        <f t="shared" si="0"/>
        <v>1</v>
      </c>
      <c r="D256" s="2">
        <v>1</v>
      </c>
      <c r="E256" s="2">
        <f t="shared" si="1"/>
        <v>1</v>
      </c>
      <c r="F256" s="2" t="str">
        <f t="shared" si="2"/>
        <v>Sunday</v>
      </c>
      <c r="G256" s="2" t="s">
        <v>333</v>
      </c>
      <c r="H256" s="2">
        <v>4</v>
      </c>
      <c r="I256" s="2" t="e">
        <f t="shared" ca="1" si="4"/>
        <v>#NAME?</v>
      </c>
      <c r="J256" s="2" t="e">
        <f t="shared" ca="1" si="3"/>
        <v>#NAME?</v>
      </c>
    </row>
    <row r="257" spans="1:10" ht="15.75" customHeight="1" x14ac:dyDescent="0.2">
      <c r="A257" s="2">
        <v>256</v>
      </c>
      <c r="B257" s="4">
        <v>45047</v>
      </c>
      <c r="C257" s="2">
        <f t="shared" ref="C257:C511" si="5">IF(OR(WEEKDAY(B257) = 7, WEEKDAY(B257) = 1), 1, 0)</f>
        <v>0</v>
      </c>
      <c r="D257" s="2">
        <v>1</v>
      </c>
      <c r="E257" s="2">
        <f t="shared" ref="E257:E511" si="6">IF((C257+D257)&gt;0, 1, 0)</f>
        <v>1</v>
      </c>
      <c r="F257" s="2" t="str">
        <f t="shared" ref="F257:F511" si="7">TEXT(B257, "dddd")</f>
        <v>Monday</v>
      </c>
      <c r="G257" s="2" t="s">
        <v>333</v>
      </c>
      <c r="H257" s="2">
        <v>4</v>
      </c>
      <c r="I257" s="2" t="e">
        <f t="shared" ca="1" si="4"/>
        <v>#NAME?</v>
      </c>
      <c r="J257" s="2" t="e">
        <f t="shared" ref="J257:J511" ca="1" si="8">_xludf.ISOWEEKNUM(B257)</f>
        <v>#NAME?</v>
      </c>
    </row>
    <row r="258" spans="1:10" ht="15.75" customHeight="1" x14ac:dyDescent="0.2">
      <c r="A258" s="2">
        <v>257</v>
      </c>
      <c r="B258" s="4">
        <v>45048</v>
      </c>
      <c r="C258" s="2">
        <f t="shared" si="5"/>
        <v>0</v>
      </c>
      <c r="D258" s="2">
        <v>1</v>
      </c>
      <c r="E258" s="2">
        <f t="shared" si="6"/>
        <v>1</v>
      </c>
      <c r="F258" s="2" t="str">
        <f t="shared" si="7"/>
        <v>Tuesday</v>
      </c>
      <c r="G258" s="2" t="s">
        <v>333</v>
      </c>
      <c r="H258" s="2">
        <v>4</v>
      </c>
      <c r="I258" s="2" t="e">
        <f t="shared" ca="1" si="4"/>
        <v>#NAME?</v>
      </c>
      <c r="J258" s="2" t="e">
        <f t="shared" ca="1" si="8"/>
        <v>#NAME?</v>
      </c>
    </row>
    <row r="259" spans="1:10" ht="15.75" customHeight="1" x14ac:dyDescent="0.2">
      <c r="A259" s="2">
        <v>258</v>
      </c>
      <c r="B259" s="4">
        <v>45049</v>
      </c>
      <c r="C259" s="2">
        <f t="shared" si="5"/>
        <v>0</v>
      </c>
      <c r="D259" s="2">
        <v>1</v>
      </c>
      <c r="E259" s="2">
        <f t="shared" si="6"/>
        <v>1</v>
      </c>
      <c r="F259" s="2" t="str">
        <f t="shared" si="7"/>
        <v>Wednesday</v>
      </c>
      <c r="G259" s="2" t="s">
        <v>333</v>
      </c>
      <c r="H259" s="2">
        <v>4</v>
      </c>
      <c r="I259" s="2" t="e">
        <f t="shared" ca="1" si="4"/>
        <v>#NAME?</v>
      </c>
      <c r="J259" s="2" t="e">
        <f t="shared" ca="1" si="8"/>
        <v>#NAME?</v>
      </c>
    </row>
    <row r="260" spans="1:10" ht="15.75" customHeight="1" x14ac:dyDescent="0.2">
      <c r="A260" s="2">
        <v>259</v>
      </c>
      <c r="B260" s="4">
        <v>45050</v>
      </c>
      <c r="C260" s="2">
        <f t="shared" si="5"/>
        <v>0</v>
      </c>
      <c r="D260" s="2">
        <v>1</v>
      </c>
      <c r="E260" s="2">
        <f t="shared" si="6"/>
        <v>1</v>
      </c>
      <c r="F260" s="2" t="str">
        <f t="shared" si="7"/>
        <v>Thursday</v>
      </c>
      <c r="G260" s="2" t="s">
        <v>333</v>
      </c>
      <c r="H260" s="2">
        <v>4</v>
      </c>
      <c r="I260" s="2" t="e">
        <f t="shared" ref="I260:I514" ca="1" si="9">IF(J260&gt;J259, IF(H260&lt;&gt;H259,1, I259+1),I259)</f>
        <v>#NAME?</v>
      </c>
      <c r="J260" s="2" t="e">
        <f t="shared" ca="1" si="8"/>
        <v>#NAME?</v>
      </c>
    </row>
    <row r="261" spans="1:10" ht="15.75" customHeight="1" x14ac:dyDescent="0.2">
      <c r="A261" s="2">
        <v>260</v>
      </c>
      <c r="B261" s="4">
        <v>45051</v>
      </c>
      <c r="C261" s="2">
        <f t="shared" si="5"/>
        <v>0</v>
      </c>
      <c r="D261" s="2">
        <v>1</v>
      </c>
      <c r="E261" s="2">
        <f t="shared" si="6"/>
        <v>1</v>
      </c>
      <c r="F261" s="2" t="str">
        <f t="shared" si="7"/>
        <v>Friday</v>
      </c>
      <c r="G261" s="2" t="s">
        <v>333</v>
      </c>
      <c r="H261" s="2">
        <v>4</v>
      </c>
      <c r="I261" s="2" t="e">
        <f t="shared" ca="1" si="9"/>
        <v>#NAME?</v>
      </c>
      <c r="J261" s="2" t="e">
        <f t="shared" ca="1" si="8"/>
        <v>#NAME?</v>
      </c>
    </row>
    <row r="262" spans="1:10" ht="15.75" customHeight="1" x14ac:dyDescent="0.2">
      <c r="A262" s="2">
        <v>261</v>
      </c>
      <c r="B262" s="4">
        <v>45052</v>
      </c>
      <c r="C262" s="2">
        <f t="shared" si="5"/>
        <v>1</v>
      </c>
      <c r="D262" s="2">
        <v>1</v>
      </c>
      <c r="E262" s="2">
        <f t="shared" si="6"/>
        <v>1</v>
      </c>
      <c r="F262" s="2" t="str">
        <f t="shared" si="7"/>
        <v>Saturday</v>
      </c>
      <c r="G262" s="2" t="s">
        <v>333</v>
      </c>
      <c r="H262" s="2">
        <v>4</v>
      </c>
      <c r="I262" s="2" t="e">
        <f t="shared" ca="1" si="9"/>
        <v>#NAME?</v>
      </c>
      <c r="J262" s="2" t="e">
        <f t="shared" ca="1" si="8"/>
        <v>#NAME?</v>
      </c>
    </row>
    <row r="263" spans="1:10" ht="15.75" customHeight="1" x14ac:dyDescent="0.2">
      <c r="A263" s="2">
        <v>262</v>
      </c>
      <c r="B263" s="4">
        <v>45053</v>
      </c>
      <c r="C263" s="2">
        <f t="shared" si="5"/>
        <v>1</v>
      </c>
      <c r="D263" s="2">
        <v>1</v>
      </c>
      <c r="E263" s="2">
        <f t="shared" si="6"/>
        <v>1</v>
      </c>
      <c r="F263" s="2" t="str">
        <f t="shared" si="7"/>
        <v>Sunday</v>
      </c>
      <c r="G263" s="2" t="s">
        <v>333</v>
      </c>
      <c r="H263" s="2">
        <v>4</v>
      </c>
      <c r="I263" s="2" t="e">
        <f t="shared" ca="1" si="9"/>
        <v>#NAME?</v>
      </c>
      <c r="J263" s="2" t="e">
        <f t="shared" ca="1" si="8"/>
        <v>#NAME?</v>
      </c>
    </row>
    <row r="264" spans="1:10" ht="15.75" customHeight="1" x14ac:dyDescent="0.2">
      <c r="A264" s="2">
        <v>263</v>
      </c>
      <c r="B264" s="4">
        <v>45054</v>
      </c>
      <c r="C264" s="2">
        <f t="shared" si="5"/>
        <v>0</v>
      </c>
      <c r="D264" s="2">
        <v>1</v>
      </c>
      <c r="E264" s="2">
        <f t="shared" si="6"/>
        <v>1</v>
      </c>
      <c r="F264" s="2" t="str">
        <f t="shared" si="7"/>
        <v>Monday</v>
      </c>
      <c r="G264" s="2" t="s">
        <v>333</v>
      </c>
      <c r="H264" s="2">
        <v>4</v>
      </c>
      <c r="I264" s="2" t="e">
        <f t="shared" ca="1" si="9"/>
        <v>#NAME?</v>
      </c>
      <c r="J264" s="2" t="e">
        <f t="shared" ca="1" si="8"/>
        <v>#NAME?</v>
      </c>
    </row>
    <row r="265" spans="1:10" ht="15.75" customHeight="1" x14ac:dyDescent="0.2">
      <c r="A265" s="2">
        <v>264</v>
      </c>
      <c r="B265" s="4">
        <v>45055</v>
      </c>
      <c r="C265" s="2">
        <f t="shared" si="5"/>
        <v>0</v>
      </c>
      <c r="D265" s="2">
        <v>1</v>
      </c>
      <c r="E265" s="2">
        <f t="shared" si="6"/>
        <v>1</v>
      </c>
      <c r="F265" s="2" t="str">
        <f t="shared" si="7"/>
        <v>Tuesday</v>
      </c>
      <c r="G265" s="2" t="s">
        <v>333</v>
      </c>
      <c r="H265" s="2">
        <v>4</v>
      </c>
      <c r="I265" s="2" t="e">
        <f t="shared" ca="1" si="9"/>
        <v>#NAME?</v>
      </c>
      <c r="J265" s="2" t="e">
        <f t="shared" ca="1" si="8"/>
        <v>#NAME?</v>
      </c>
    </row>
    <row r="266" spans="1:10" ht="15.75" customHeight="1" x14ac:dyDescent="0.2">
      <c r="A266" s="2">
        <v>265</v>
      </c>
      <c r="B266" s="4">
        <v>45056</v>
      </c>
      <c r="C266" s="2">
        <f t="shared" si="5"/>
        <v>0</v>
      </c>
      <c r="D266" s="2">
        <v>1</v>
      </c>
      <c r="E266" s="2">
        <f t="shared" si="6"/>
        <v>1</v>
      </c>
      <c r="F266" s="2" t="str">
        <f t="shared" si="7"/>
        <v>Wednesday</v>
      </c>
      <c r="G266" s="2" t="s">
        <v>333</v>
      </c>
      <c r="H266" s="2">
        <v>4</v>
      </c>
      <c r="I266" s="2" t="e">
        <f t="shared" ca="1" si="9"/>
        <v>#NAME?</v>
      </c>
      <c r="J266" s="2" t="e">
        <f t="shared" ca="1" si="8"/>
        <v>#NAME?</v>
      </c>
    </row>
    <row r="267" spans="1:10" ht="15.75" customHeight="1" x14ac:dyDescent="0.2">
      <c r="A267" s="2">
        <v>266</v>
      </c>
      <c r="B267" s="4">
        <v>45057</v>
      </c>
      <c r="C267" s="2">
        <f t="shared" si="5"/>
        <v>0</v>
      </c>
      <c r="D267" s="2">
        <v>1</v>
      </c>
      <c r="E267" s="2">
        <f t="shared" si="6"/>
        <v>1</v>
      </c>
      <c r="F267" s="2" t="str">
        <f t="shared" si="7"/>
        <v>Thursday</v>
      </c>
      <c r="G267" s="2" t="s">
        <v>333</v>
      </c>
      <c r="H267" s="2">
        <v>4</v>
      </c>
      <c r="I267" s="2" t="e">
        <f t="shared" ca="1" si="9"/>
        <v>#NAME?</v>
      </c>
      <c r="J267" s="2" t="e">
        <f t="shared" ca="1" si="8"/>
        <v>#NAME?</v>
      </c>
    </row>
    <row r="268" spans="1:10" ht="15.75" customHeight="1" x14ac:dyDescent="0.2">
      <c r="A268" s="2">
        <v>267</v>
      </c>
      <c r="B268" s="4">
        <v>45058</v>
      </c>
      <c r="C268" s="2">
        <f t="shared" si="5"/>
        <v>0</v>
      </c>
      <c r="D268" s="2">
        <v>1</v>
      </c>
      <c r="E268" s="2">
        <f t="shared" si="6"/>
        <v>1</v>
      </c>
      <c r="F268" s="2" t="str">
        <f t="shared" si="7"/>
        <v>Friday</v>
      </c>
      <c r="G268" s="2" t="s">
        <v>333</v>
      </c>
      <c r="H268" s="2">
        <v>4</v>
      </c>
      <c r="I268" s="2" t="e">
        <f t="shared" ca="1" si="9"/>
        <v>#NAME?</v>
      </c>
      <c r="J268" s="2" t="e">
        <f t="shared" ca="1" si="8"/>
        <v>#NAME?</v>
      </c>
    </row>
    <row r="269" spans="1:10" ht="15.75" customHeight="1" x14ac:dyDescent="0.2">
      <c r="A269" s="2">
        <v>268</v>
      </c>
      <c r="B269" s="4">
        <v>45059</v>
      </c>
      <c r="C269" s="2">
        <f t="shared" si="5"/>
        <v>1</v>
      </c>
      <c r="D269" s="2">
        <v>1</v>
      </c>
      <c r="E269" s="2">
        <f t="shared" si="6"/>
        <v>1</v>
      </c>
      <c r="F269" s="2" t="str">
        <f t="shared" si="7"/>
        <v>Saturday</v>
      </c>
      <c r="G269" s="2" t="s">
        <v>333</v>
      </c>
      <c r="H269" s="2">
        <v>4</v>
      </c>
      <c r="I269" s="2" t="e">
        <f t="shared" ca="1" si="9"/>
        <v>#NAME?</v>
      </c>
      <c r="J269" s="2" t="e">
        <f t="shared" ca="1" si="8"/>
        <v>#NAME?</v>
      </c>
    </row>
    <row r="270" spans="1:10" ht="15.75" customHeight="1" x14ac:dyDescent="0.2">
      <c r="A270" s="2">
        <v>269</v>
      </c>
      <c r="B270" s="4">
        <v>45060</v>
      </c>
      <c r="C270" s="2">
        <f t="shared" si="5"/>
        <v>1</v>
      </c>
      <c r="D270" s="2">
        <v>1</v>
      </c>
      <c r="E270" s="2">
        <f t="shared" si="6"/>
        <v>1</v>
      </c>
      <c r="F270" s="2" t="str">
        <f t="shared" si="7"/>
        <v>Sunday</v>
      </c>
      <c r="G270" s="2" t="s">
        <v>333</v>
      </c>
      <c r="H270" s="2">
        <v>4</v>
      </c>
      <c r="I270" s="2" t="e">
        <f t="shared" ca="1" si="9"/>
        <v>#NAME?</v>
      </c>
      <c r="J270" s="2" t="e">
        <f t="shared" ca="1" si="8"/>
        <v>#NAME?</v>
      </c>
    </row>
    <row r="271" spans="1:10" ht="15.75" customHeight="1" x14ac:dyDescent="0.2">
      <c r="A271" s="2">
        <v>270</v>
      </c>
      <c r="B271" s="4">
        <v>45061</v>
      </c>
      <c r="C271" s="2">
        <f t="shared" si="5"/>
        <v>0</v>
      </c>
      <c r="D271" s="2">
        <v>1</v>
      </c>
      <c r="E271" s="2">
        <f t="shared" si="6"/>
        <v>1</v>
      </c>
      <c r="F271" s="2" t="str">
        <f t="shared" si="7"/>
        <v>Monday</v>
      </c>
      <c r="G271" s="2" t="s">
        <v>330</v>
      </c>
      <c r="H271" s="2">
        <v>5</v>
      </c>
      <c r="I271" s="2" t="e">
        <f t="shared" ca="1" si="9"/>
        <v>#NAME?</v>
      </c>
      <c r="J271" s="2" t="e">
        <f t="shared" ca="1" si="8"/>
        <v>#NAME?</v>
      </c>
    </row>
    <row r="272" spans="1:10" ht="15.75" customHeight="1" x14ac:dyDescent="0.2">
      <c r="A272" s="2">
        <v>271</v>
      </c>
      <c r="B272" s="4">
        <v>45062</v>
      </c>
      <c r="C272" s="2">
        <f t="shared" si="5"/>
        <v>0</v>
      </c>
      <c r="D272" s="2">
        <v>0</v>
      </c>
      <c r="E272" s="2">
        <f t="shared" si="6"/>
        <v>0</v>
      </c>
      <c r="F272" s="2" t="str">
        <f t="shared" si="7"/>
        <v>Tuesday</v>
      </c>
      <c r="H272" s="2">
        <v>5</v>
      </c>
      <c r="I272" s="2" t="e">
        <f t="shared" ca="1" si="9"/>
        <v>#NAME?</v>
      </c>
      <c r="J272" s="2" t="e">
        <f t="shared" ca="1" si="8"/>
        <v>#NAME?</v>
      </c>
    </row>
    <row r="273" spans="1:10" ht="15.75" customHeight="1" x14ac:dyDescent="0.2">
      <c r="A273" s="2">
        <v>272</v>
      </c>
      <c r="B273" s="4">
        <v>45063</v>
      </c>
      <c r="C273" s="2">
        <f t="shared" si="5"/>
        <v>0</v>
      </c>
      <c r="D273" s="2">
        <v>0</v>
      </c>
      <c r="E273" s="2">
        <f t="shared" si="6"/>
        <v>0</v>
      </c>
      <c r="F273" s="2" t="str">
        <f t="shared" si="7"/>
        <v>Wednesday</v>
      </c>
      <c r="H273" s="2">
        <v>5</v>
      </c>
      <c r="I273" s="2" t="e">
        <f t="shared" ca="1" si="9"/>
        <v>#NAME?</v>
      </c>
      <c r="J273" s="2" t="e">
        <f t="shared" ca="1" si="8"/>
        <v>#NAME?</v>
      </c>
    </row>
    <row r="274" spans="1:10" ht="15.75" customHeight="1" x14ac:dyDescent="0.2">
      <c r="A274" s="2">
        <v>273</v>
      </c>
      <c r="B274" s="4">
        <v>45064</v>
      </c>
      <c r="C274" s="2">
        <f t="shared" si="5"/>
        <v>0</v>
      </c>
      <c r="D274" s="2">
        <v>0</v>
      </c>
      <c r="E274" s="2">
        <f t="shared" si="6"/>
        <v>0</v>
      </c>
      <c r="F274" s="2" t="str">
        <f t="shared" si="7"/>
        <v>Thursday</v>
      </c>
      <c r="H274" s="2">
        <v>5</v>
      </c>
      <c r="I274" s="2" t="e">
        <f t="shared" ca="1" si="9"/>
        <v>#NAME?</v>
      </c>
      <c r="J274" s="2" t="e">
        <f t="shared" ca="1" si="8"/>
        <v>#NAME?</v>
      </c>
    </row>
    <row r="275" spans="1:10" ht="15.75" customHeight="1" x14ac:dyDescent="0.2">
      <c r="A275" s="2">
        <v>274</v>
      </c>
      <c r="B275" s="4">
        <v>45065</v>
      </c>
      <c r="C275" s="2">
        <f t="shared" si="5"/>
        <v>0</v>
      </c>
      <c r="D275" s="2">
        <v>0</v>
      </c>
      <c r="E275" s="2">
        <f t="shared" si="6"/>
        <v>0</v>
      </c>
      <c r="F275" s="2" t="str">
        <f t="shared" si="7"/>
        <v>Friday</v>
      </c>
      <c r="H275" s="2">
        <v>5</v>
      </c>
      <c r="I275" s="2" t="e">
        <f t="shared" ca="1" si="9"/>
        <v>#NAME?</v>
      </c>
      <c r="J275" s="2" t="e">
        <f t="shared" ca="1" si="8"/>
        <v>#NAME?</v>
      </c>
    </row>
    <row r="276" spans="1:10" ht="15.75" customHeight="1" x14ac:dyDescent="0.2">
      <c r="A276" s="2">
        <v>275</v>
      </c>
      <c r="B276" s="4">
        <v>45066</v>
      </c>
      <c r="C276" s="2">
        <f t="shared" si="5"/>
        <v>1</v>
      </c>
      <c r="D276" s="2">
        <v>0</v>
      </c>
      <c r="E276" s="2">
        <f t="shared" si="6"/>
        <v>1</v>
      </c>
      <c r="F276" s="2" t="str">
        <f t="shared" si="7"/>
        <v>Saturday</v>
      </c>
      <c r="H276" s="2">
        <v>5</v>
      </c>
      <c r="I276" s="2" t="e">
        <f t="shared" ca="1" si="9"/>
        <v>#NAME?</v>
      </c>
      <c r="J276" s="2" t="e">
        <f t="shared" ca="1" si="8"/>
        <v>#NAME?</v>
      </c>
    </row>
    <row r="277" spans="1:10" ht="15.75" customHeight="1" x14ac:dyDescent="0.2">
      <c r="A277" s="2">
        <v>276</v>
      </c>
      <c r="B277" s="4">
        <v>45067</v>
      </c>
      <c r="C277" s="2">
        <f t="shared" si="5"/>
        <v>1</v>
      </c>
      <c r="D277" s="2">
        <v>0</v>
      </c>
      <c r="E277" s="2">
        <f t="shared" si="6"/>
        <v>1</v>
      </c>
      <c r="F277" s="2" t="str">
        <f t="shared" si="7"/>
        <v>Sunday</v>
      </c>
      <c r="H277" s="2">
        <v>5</v>
      </c>
      <c r="I277" s="2" t="e">
        <f t="shared" ca="1" si="9"/>
        <v>#NAME?</v>
      </c>
      <c r="J277" s="2" t="e">
        <f t="shared" ca="1" si="8"/>
        <v>#NAME?</v>
      </c>
    </row>
    <row r="278" spans="1:10" ht="15.75" customHeight="1" x14ac:dyDescent="0.2">
      <c r="A278" s="2">
        <v>277</v>
      </c>
      <c r="B278" s="4">
        <v>45068</v>
      </c>
      <c r="C278" s="2">
        <f t="shared" si="5"/>
        <v>0</v>
      </c>
      <c r="D278" s="2">
        <v>0</v>
      </c>
      <c r="E278" s="2">
        <f t="shared" si="6"/>
        <v>0</v>
      </c>
      <c r="F278" s="2" t="str">
        <f t="shared" si="7"/>
        <v>Monday</v>
      </c>
      <c r="H278" s="2">
        <v>5</v>
      </c>
      <c r="I278" s="2" t="e">
        <f t="shared" ca="1" si="9"/>
        <v>#NAME?</v>
      </c>
      <c r="J278" s="2" t="e">
        <f t="shared" ca="1" si="8"/>
        <v>#NAME?</v>
      </c>
    </row>
    <row r="279" spans="1:10" ht="15.75" customHeight="1" x14ac:dyDescent="0.2">
      <c r="A279" s="2">
        <v>278</v>
      </c>
      <c r="B279" s="4">
        <v>45069</v>
      </c>
      <c r="C279" s="2">
        <f t="shared" si="5"/>
        <v>0</v>
      </c>
      <c r="D279" s="2">
        <v>0</v>
      </c>
      <c r="E279" s="2">
        <f t="shared" si="6"/>
        <v>0</v>
      </c>
      <c r="F279" s="2" t="str">
        <f t="shared" si="7"/>
        <v>Tuesday</v>
      </c>
      <c r="H279" s="2">
        <v>5</v>
      </c>
      <c r="I279" s="2" t="e">
        <f t="shared" ca="1" si="9"/>
        <v>#NAME?</v>
      </c>
      <c r="J279" s="2" t="e">
        <f t="shared" ca="1" si="8"/>
        <v>#NAME?</v>
      </c>
    </row>
    <row r="280" spans="1:10" ht="15.75" customHeight="1" x14ac:dyDescent="0.2">
      <c r="A280" s="2">
        <v>279</v>
      </c>
      <c r="B280" s="4">
        <v>45070</v>
      </c>
      <c r="C280" s="2">
        <f t="shared" si="5"/>
        <v>0</v>
      </c>
      <c r="D280" s="2">
        <v>0</v>
      </c>
      <c r="E280" s="2">
        <f t="shared" si="6"/>
        <v>0</v>
      </c>
      <c r="F280" s="2" t="str">
        <f t="shared" si="7"/>
        <v>Wednesday</v>
      </c>
      <c r="H280" s="2">
        <v>5</v>
      </c>
      <c r="I280" s="2" t="e">
        <f t="shared" ca="1" si="9"/>
        <v>#NAME?</v>
      </c>
      <c r="J280" s="2" t="e">
        <f t="shared" ca="1" si="8"/>
        <v>#NAME?</v>
      </c>
    </row>
    <row r="281" spans="1:10" ht="15.75" customHeight="1" x14ac:dyDescent="0.2">
      <c r="A281" s="2">
        <v>280</v>
      </c>
      <c r="B281" s="4">
        <v>45071</v>
      </c>
      <c r="C281" s="2">
        <f t="shared" si="5"/>
        <v>0</v>
      </c>
      <c r="D281" s="2">
        <v>0</v>
      </c>
      <c r="E281" s="2">
        <f t="shared" si="6"/>
        <v>0</v>
      </c>
      <c r="F281" s="2" t="str">
        <f t="shared" si="7"/>
        <v>Thursday</v>
      </c>
      <c r="H281" s="2">
        <v>5</v>
      </c>
      <c r="I281" s="2" t="e">
        <f t="shared" ca="1" si="9"/>
        <v>#NAME?</v>
      </c>
      <c r="J281" s="2" t="e">
        <f t="shared" ca="1" si="8"/>
        <v>#NAME?</v>
      </c>
    </row>
    <row r="282" spans="1:10" ht="15.75" customHeight="1" x14ac:dyDescent="0.2">
      <c r="A282" s="2">
        <v>281</v>
      </c>
      <c r="B282" s="4">
        <v>45072</v>
      </c>
      <c r="C282" s="2">
        <f t="shared" si="5"/>
        <v>0</v>
      </c>
      <c r="D282" s="2">
        <v>0</v>
      </c>
      <c r="E282" s="2">
        <f t="shared" si="6"/>
        <v>0</v>
      </c>
      <c r="F282" s="2" t="str">
        <f t="shared" si="7"/>
        <v>Friday</v>
      </c>
      <c r="H282" s="2">
        <v>5</v>
      </c>
      <c r="I282" s="2" t="e">
        <f t="shared" ca="1" si="9"/>
        <v>#NAME?</v>
      </c>
      <c r="J282" s="2" t="e">
        <f t="shared" ca="1" si="8"/>
        <v>#NAME?</v>
      </c>
    </row>
    <row r="283" spans="1:10" ht="15.75" customHeight="1" x14ac:dyDescent="0.2">
      <c r="A283" s="2">
        <v>282</v>
      </c>
      <c r="B283" s="4">
        <v>45073</v>
      </c>
      <c r="C283" s="2">
        <f t="shared" si="5"/>
        <v>1</v>
      </c>
      <c r="D283" s="2">
        <v>0</v>
      </c>
      <c r="E283" s="2">
        <f t="shared" si="6"/>
        <v>1</v>
      </c>
      <c r="F283" s="2" t="str">
        <f t="shared" si="7"/>
        <v>Saturday</v>
      </c>
      <c r="H283" s="2">
        <v>5</v>
      </c>
      <c r="I283" s="2" t="e">
        <f t="shared" ca="1" si="9"/>
        <v>#NAME?</v>
      </c>
      <c r="J283" s="2" t="e">
        <f t="shared" ca="1" si="8"/>
        <v>#NAME?</v>
      </c>
    </row>
    <row r="284" spans="1:10" ht="15.75" customHeight="1" x14ac:dyDescent="0.2">
      <c r="A284" s="2">
        <v>283</v>
      </c>
      <c r="B284" s="4">
        <v>45074</v>
      </c>
      <c r="C284" s="2">
        <f t="shared" si="5"/>
        <v>1</v>
      </c>
      <c r="D284" s="2">
        <v>0</v>
      </c>
      <c r="E284" s="2">
        <f t="shared" si="6"/>
        <v>1</v>
      </c>
      <c r="F284" s="2" t="str">
        <f t="shared" si="7"/>
        <v>Sunday</v>
      </c>
      <c r="H284" s="2">
        <v>5</v>
      </c>
      <c r="I284" s="2" t="e">
        <f t="shared" ca="1" si="9"/>
        <v>#NAME?</v>
      </c>
      <c r="J284" s="2" t="e">
        <f t="shared" ca="1" si="8"/>
        <v>#NAME?</v>
      </c>
    </row>
    <row r="285" spans="1:10" ht="15.75" customHeight="1" x14ac:dyDescent="0.2">
      <c r="A285" s="2">
        <v>284</v>
      </c>
      <c r="B285" s="4">
        <v>45075</v>
      </c>
      <c r="C285" s="2">
        <f t="shared" si="5"/>
        <v>0</v>
      </c>
      <c r="D285" s="2">
        <v>0</v>
      </c>
      <c r="E285" s="2">
        <f t="shared" si="6"/>
        <v>0</v>
      </c>
      <c r="F285" s="2" t="str">
        <f t="shared" si="7"/>
        <v>Monday</v>
      </c>
      <c r="H285" s="2">
        <v>5</v>
      </c>
      <c r="I285" s="2" t="e">
        <f t="shared" ca="1" si="9"/>
        <v>#NAME?</v>
      </c>
      <c r="J285" s="2" t="e">
        <f t="shared" ca="1" si="8"/>
        <v>#NAME?</v>
      </c>
    </row>
    <row r="286" spans="1:10" ht="15.75" customHeight="1" x14ac:dyDescent="0.2">
      <c r="A286" s="2">
        <v>285</v>
      </c>
      <c r="B286" s="4">
        <v>45076</v>
      </c>
      <c r="C286" s="2">
        <f t="shared" si="5"/>
        <v>0</v>
      </c>
      <c r="D286" s="2">
        <v>0</v>
      </c>
      <c r="E286" s="2">
        <f t="shared" si="6"/>
        <v>0</v>
      </c>
      <c r="F286" s="2" t="str">
        <f t="shared" si="7"/>
        <v>Tuesday</v>
      </c>
      <c r="H286" s="2">
        <v>5</v>
      </c>
      <c r="I286" s="2" t="e">
        <f t="shared" ca="1" si="9"/>
        <v>#NAME?</v>
      </c>
      <c r="J286" s="2" t="e">
        <f t="shared" ca="1" si="8"/>
        <v>#NAME?</v>
      </c>
    </row>
    <row r="287" spans="1:10" ht="15.75" customHeight="1" x14ac:dyDescent="0.2">
      <c r="A287" s="2">
        <v>286</v>
      </c>
      <c r="B287" s="4">
        <v>45077</v>
      </c>
      <c r="C287" s="2">
        <f t="shared" si="5"/>
        <v>0</v>
      </c>
      <c r="D287" s="2">
        <v>0</v>
      </c>
      <c r="E287" s="2">
        <f t="shared" si="6"/>
        <v>0</v>
      </c>
      <c r="F287" s="2" t="str">
        <f t="shared" si="7"/>
        <v>Wednesday</v>
      </c>
      <c r="H287" s="2">
        <v>5</v>
      </c>
      <c r="I287" s="2" t="e">
        <f t="shared" ca="1" si="9"/>
        <v>#NAME?</v>
      </c>
      <c r="J287" s="2" t="e">
        <f t="shared" ca="1" si="8"/>
        <v>#NAME?</v>
      </c>
    </row>
    <row r="288" spans="1:10" ht="15.75" customHeight="1" x14ac:dyDescent="0.2">
      <c r="A288" s="2">
        <v>287</v>
      </c>
      <c r="B288" s="4">
        <v>45078</v>
      </c>
      <c r="C288" s="2">
        <f t="shared" si="5"/>
        <v>0</v>
      </c>
      <c r="D288" s="2">
        <v>0</v>
      </c>
      <c r="E288" s="2">
        <f t="shared" si="6"/>
        <v>0</v>
      </c>
      <c r="F288" s="2" t="str">
        <f t="shared" si="7"/>
        <v>Thursday</v>
      </c>
      <c r="H288" s="2">
        <v>5</v>
      </c>
      <c r="I288" s="2" t="e">
        <f t="shared" ca="1" si="9"/>
        <v>#NAME?</v>
      </c>
      <c r="J288" s="2" t="e">
        <f t="shared" ca="1" si="8"/>
        <v>#NAME?</v>
      </c>
    </row>
    <row r="289" spans="1:10" ht="15.75" customHeight="1" x14ac:dyDescent="0.2">
      <c r="A289" s="2">
        <v>288</v>
      </c>
      <c r="B289" s="4">
        <v>45079</v>
      </c>
      <c r="C289" s="2">
        <f t="shared" si="5"/>
        <v>0</v>
      </c>
      <c r="D289" s="2">
        <v>0</v>
      </c>
      <c r="E289" s="2">
        <f t="shared" si="6"/>
        <v>0</v>
      </c>
      <c r="F289" s="2" t="str">
        <f t="shared" si="7"/>
        <v>Friday</v>
      </c>
      <c r="H289" s="2">
        <v>5</v>
      </c>
      <c r="I289" s="2" t="e">
        <f t="shared" ca="1" si="9"/>
        <v>#NAME?</v>
      </c>
      <c r="J289" s="2" t="e">
        <f t="shared" ca="1" si="8"/>
        <v>#NAME?</v>
      </c>
    </row>
    <row r="290" spans="1:10" ht="15.75" customHeight="1" x14ac:dyDescent="0.2">
      <c r="A290" s="2">
        <v>289</v>
      </c>
      <c r="B290" s="4">
        <v>45080</v>
      </c>
      <c r="C290" s="2">
        <f t="shared" si="5"/>
        <v>1</v>
      </c>
      <c r="D290" s="2">
        <v>0</v>
      </c>
      <c r="E290" s="2">
        <f t="shared" si="6"/>
        <v>1</v>
      </c>
      <c r="F290" s="2" t="str">
        <f t="shared" si="7"/>
        <v>Saturday</v>
      </c>
      <c r="H290" s="2">
        <v>5</v>
      </c>
      <c r="I290" s="2" t="e">
        <f t="shared" ca="1" si="9"/>
        <v>#NAME?</v>
      </c>
      <c r="J290" s="2" t="e">
        <f t="shared" ca="1" si="8"/>
        <v>#NAME?</v>
      </c>
    </row>
    <row r="291" spans="1:10" ht="15.75" customHeight="1" x14ac:dyDescent="0.2">
      <c r="A291" s="2">
        <v>290</v>
      </c>
      <c r="B291" s="4">
        <v>45081</v>
      </c>
      <c r="C291" s="2">
        <f t="shared" si="5"/>
        <v>1</v>
      </c>
      <c r="D291" s="2">
        <v>0</v>
      </c>
      <c r="E291" s="2">
        <f t="shared" si="6"/>
        <v>1</v>
      </c>
      <c r="F291" s="2" t="str">
        <f t="shared" si="7"/>
        <v>Sunday</v>
      </c>
      <c r="H291" s="2">
        <v>5</v>
      </c>
      <c r="I291" s="2" t="e">
        <f t="shared" ca="1" si="9"/>
        <v>#NAME?</v>
      </c>
      <c r="J291" s="2" t="e">
        <f t="shared" ca="1" si="8"/>
        <v>#NAME?</v>
      </c>
    </row>
    <row r="292" spans="1:10" ht="15.75" customHeight="1" x14ac:dyDescent="0.2">
      <c r="A292" s="2">
        <v>291</v>
      </c>
      <c r="B292" s="4">
        <v>45082</v>
      </c>
      <c r="C292" s="2">
        <f t="shared" si="5"/>
        <v>0</v>
      </c>
      <c r="D292" s="2">
        <v>0</v>
      </c>
      <c r="E292" s="2">
        <f t="shared" si="6"/>
        <v>0</v>
      </c>
      <c r="F292" s="2" t="str">
        <f t="shared" si="7"/>
        <v>Monday</v>
      </c>
      <c r="H292" s="2">
        <v>5</v>
      </c>
      <c r="I292" s="2" t="e">
        <f t="shared" ca="1" si="9"/>
        <v>#NAME?</v>
      </c>
      <c r="J292" s="2" t="e">
        <f t="shared" ca="1" si="8"/>
        <v>#NAME?</v>
      </c>
    </row>
    <row r="293" spans="1:10" ht="15.75" customHeight="1" x14ac:dyDescent="0.2">
      <c r="A293" s="2">
        <v>292</v>
      </c>
      <c r="B293" s="4">
        <v>45083</v>
      </c>
      <c r="C293" s="2">
        <f t="shared" si="5"/>
        <v>0</v>
      </c>
      <c r="D293" s="2">
        <v>0</v>
      </c>
      <c r="E293" s="2">
        <f t="shared" si="6"/>
        <v>0</v>
      </c>
      <c r="F293" s="2" t="str">
        <f t="shared" si="7"/>
        <v>Tuesday</v>
      </c>
      <c r="H293" s="2">
        <v>5</v>
      </c>
      <c r="I293" s="2" t="e">
        <f t="shared" ca="1" si="9"/>
        <v>#NAME?</v>
      </c>
      <c r="J293" s="2" t="e">
        <f t="shared" ca="1" si="8"/>
        <v>#NAME?</v>
      </c>
    </row>
    <row r="294" spans="1:10" ht="15.75" customHeight="1" x14ac:dyDescent="0.2">
      <c r="A294" s="2">
        <v>293</v>
      </c>
      <c r="B294" s="4">
        <v>45084</v>
      </c>
      <c r="C294" s="2">
        <f t="shared" si="5"/>
        <v>0</v>
      </c>
      <c r="D294" s="2">
        <v>0</v>
      </c>
      <c r="E294" s="2">
        <f t="shared" si="6"/>
        <v>0</v>
      </c>
      <c r="F294" s="2" t="str">
        <f t="shared" si="7"/>
        <v>Wednesday</v>
      </c>
      <c r="H294" s="2">
        <v>5</v>
      </c>
      <c r="I294" s="2" t="e">
        <f t="shared" ca="1" si="9"/>
        <v>#NAME?</v>
      </c>
      <c r="J294" s="2" t="e">
        <f t="shared" ca="1" si="8"/>
        <v>#NAME?</v>
      </c>
    </row>
    <row r="295" spans="1:10" ht="15.75" customHeight="1" x14ac:dyDescent="0.2">
      <c r="A295" s="2">
        <v>294</v>
      </c>
      <c r="B295" s="4">
        <v>45085</v>
      </c>
      <c r="C295" s="2">
        <f t="shared" si="5"/>
        <v>0</v>
      </c>
      <c r="D295" s="2">
        <v>0</v>
      </c>
      <c r="E295" s="2">
        <f t="shared" si="6"/>
        <v>0</v>
      </c>
      <c r="F295" s="2" t="str">
        <f t="shared" si="7"/>
        <v>Thursday</v>
      </c>
      <c r="H295" s="2">
        <v>5</v>
      </c>
      <c r="I295" s="2" t="e">
        <f t="shared" ca="1" si="9"/>
        <v>#NAME?</v>
      </c>
      <c r="J295" s="2" t="e">
        <f t="shared" ca="1" si="8"/>
        <v>#NAME?</v>
      </c>
    </row>
    <row r="296" spans="1:10" ht="15.75" customHeight="1" x14ac:dyDescent="0.2">
      <c r="A296" s="2">
        <v>295</v>
      </c>
      <c r="B296" s="4">
        <v>45086</v>
      </c>
      <c r="C296" s="2">
        <f t="shared" si="5"/>
        <v>0</v>
      </c>
      <c r="D296" s="2">
        <v>0</v>
      </c>
      <c r="E296" s="2">
        <f t="shared" si="6"/>
        <v>0</v>
      </c>
      <c r="F296" s="2" t="str">
        <f t="shared" si="7"/>
        <v>Friday</v>
      </c>
      <c r="H296" s="2">
        <v>5</v>
      </c>
      <c r="I296" s="2" t="e">
        <f t="shared" ca="1" si="9"/>
        <v>#NAME?</v>
      </c>
      <c r="J296" s="2" t="e">
        <f t="shared" ca="1" si="8"/>
        <v>#NAME?</v>
      </c>
    </row>
    <row r="297" spans="1:10" ht="15.75" customHeight="1" x14ac:dyDescent="0.2">
      <c r="A297" s="2">
        <v>296</v>
      </c>
      <c r="B297" s="4">
        <v>45087</v>
      </c>
      <c r="C297" s="2">
        <f t="shared" si="5"/>
        <v>1</v>
      </c>
      <c r="D297" s="2">
        <v>0</v>
      </c>
      <c r="E297" s="2">
        <f t="shared" si="6"/>
        <v>1</v>
      </c>
      <c r="F297" s="2" t="str">
        <f t="shared" si="7"/>
        <v>Saturday</v>
      </c>
      <c r="H297" s="2">
        <v>5</v>
      </c>
      <c r="I297" s="2" t="e">
        <f t="shared" ca="1" si="9"/>
        <v>#NAME?</v>
      </c>
      <c r="J297" s="2" t="e">
        <f t="shared" ca="1" si="8"/>
        <v>#NAME?</v>
      </c>
    </row>
    <row r="298" spans="1:10" ht="15.75" customHeight="1" x14ac:dyDescent="0.2">
      <c r="A298" s="2">
        <v>297</v>
      </c>
      <c r="B298" s="4">
        <v>45088</v>
      </c>
      <c r="C298" s="2">
        <f t="shared" si="5"/>
        <v>1</v>
      </c>
      <c r="D298" s="2">
        <v>0</v>
      </c>
      <c r="E298" s="2">
        <f t="shared" si="6"/>
        <v>1</v>
      </c>
      <c r="F298" s="2" t="str">
        <f t="shared" si="7"/>
        <v>Sunday</v>
      </c>
      <c r="H298" s="2">
        <v>5</v>
      </c>
      <c r="I298" s="2" t="e">
        <f t="shared" ca="1" si="9"/>
        <v>#NAME?</v>
      </c>
      <c r="J298" s="2" t="e">
        <f t="shared" ca="1" si="8"/>
        <v>#NAME?</v>
      </c>
    </row>
    <row r="299" spans="1:10" ht="15.75" customHeight="1" x14ac:dyDescent="0.2">
      <c r="A299" s="2">
        <v>298</v>
      </c>
      <c r="B299" s="4">
        <v>45089</v>
      </c>
      <c r="C299" s="2">
        <f t="shared" si="5"/>
        <v>0</v>
      </c>
      <c r="D299" s="2">
        <v>0</v>
      </c>
      <c r="E299" s="2">
        <f t="shared" si="6"/>
        <v>0</v>
      </c>
      <c r="F299" s="2" t="str">
        <f t="shared" si="7"/>
        <v>Monday</v>
      </c>
      <c r="H299" s="2">
        <v>5</v>
      </c>
      <c r="I299" s="2" t="e">
        <f t="shared" ca="1" si="9"/>
        <v>#NAME?</v>
      </c>
      <c r="J299" s="2" t="e">
        <f t="shared" ca="1" si="8"/>
        <v>#NAME?</v>
      </c>
    </row>
    <row r="300" spans="1:10" ht="15.75" customHeight="1" x14ac:dyDescent="0.2">
      <c r="A300" s="2">
        <v>299</v>
      </c>
      <c r="B300" s="4">
        <v>45090</v>
      </c>
      <c r="C300" s="2">
        <f t="shared" si="5"/>
        <v>0</v>
      </c>
      <c r="D300" s="2">
        <v>0</v>
      </c>
      <c r="E300" s="2">
        <f t="shared" si="6"/>
        <v>0</v>
      </c>
      <c r="F300" s="2" t="str">
        <f t="shared" si="7"/>
        <v>Tuesday</v>
      </c>
      <c r="H300" s="2">
        <v>5</v>
      </c>
      <c r="I300" s="2" t="e">
        <f t="shared" ca="1" si="9"/>
        <v>#NAME?</v>
      </c>
      <c r="J300" s="2" t="e">
        <f t="shared" ca="1" si="8"/>
        <v>#NAME?</v>
      </c>
    </row>
    <row r="301" spans="1:10" ht="15.75" customHeight="1" x14ac:dyDescent="0.2">
      <c r="A301" s="2">
        <v>300</v>
      </c>
      <c r="B301" s="4">
        <v>45091</v>
      </c>
      <c r="C301" s="2">
        <f t="shared" si="5"/>
        <v>0</v>
      </c>
      <c r="D301" s="2">
        <v>0</v>
      </c>
      <c r="E301" s="2">
        <f t="shared" si="6"/>
        <v>0</v>
      </c>
      <c r="F301" s="2" t="str">
        <f t="shared" si="7"/>
        <v>Wednesday</v>
      </c>
      <c r="H301" s="2">
        <v>5</v>
      </c>
      <c r="I301" s="2" t="e">
        <f t="shared" ca="1" si="9"/>
        <v>#NAME?</v>
      </c>
      <c r="J301" s="2" t="e">
        <f t="shared" ca="1" si="8"/>
        <v>#NAME?</v>
      </c>
    </row>
    <row r="302" spans="1:10" ht="15.75" customHeight="1" x14ac:dyDescent="0.2">
      <c r="A302" s="2">
        <v>301</v>
      </c>
      <c r="B302" s="4">
        <v>45092</v>
      </c>
      <c r="C302" s="2">
        <f t="shared" si="5"/>
        <v>0</v>
      </c>
      <c r="D302" s="2">
        <v>0</v>
      </c>
      <c r="E302" s="2">
        <f t="shared" si="6"/>
        <v>0</v>
      </c>
      <c r="F302" s="2" t="str">
        <f t="shared" si="7"/>
        <v>Thursday</v>
      </c>
      <c r="H302" s="2">
        <v>5</v>
      </c>
      <c r="I302" s="2" t="e">
        <f t="shared" ca="1" si="9"/>
        <v>#NAME?</v>
      </c>
      <c r="J302" s="2" t="e">
        <f t="shared" ca="1" si="8"/>
        <v>#NAME?</v>
      </c>
    </row>
    <row r="303" spans="1:10" ht="15.75" customHeight="1" x14ac:dyDescent="0.2">
      <c r="A303" s="2">
        <v>302</v>
      </c>
      <c r="B303" s="4">
        <v>45093</v>
      </c>
      <c r="C303" s="2">
        <f t="shared" si="5"/>
        <v>0</v>
      </c>
      <c r="D303" s="2">
        <v>0</v>
      </c>
      <c r="E303" s="2">
        <f t="shared" si="6"/>
        <v>0</v>
      </c>
      <c r="F303" s="2" t="str">
        <f t="shared" si="7"/>
        <v>Friday</v>
      </c>
      <c r="H303" s="2">
        <v>5</v>
      </c>
      <c r="I303" s="2" t="e">
        <f t="shared" ca="1" si="9"/>
        <v>#NAME?</v>
      </c>
      <c r="J303" s="2" t="e">
        <f t="shared" ca="1" si="8"/>
        <v>#NAME?</v>
      </c>
    </row>
    <row r="304" spans="1:10" ht="15.75" customHeight="1" x14ac:dyDescent="0.2">
      <c r="A304" s="2">
        <v>303</v>
      </c>
      <c r="B304" s="4">
        <v>45094</v>
      </c>
      <c r="C304" s="2">
        <f t="shared" si="5"/>
        <v>1</v>
      </c>
      <c r="D304" s="2">
        <v>0</v>
      </c>
      <c r="E304" s="2">
        <f t="shared" si="6"/>
        <v>1</v>
      </c>
      <c r="F304" s="2" t="str">
        <f t="shared" si="7"/>
        <v>Saturday</v>
      </c>
      <c r="H304" s="2">
        <v>5</v>
      </c>
      <c r="I304" s="2" t="e">
        <f t="shared" ca="1" si="9"/>
        <v>#NAME?</v>
      </c>
      <c r="J304" s="2" t="e">
        <f t="shared" ca="1" si="8"/>
        <v>#NAME?</v>
      </c>
    </row>
    <row r="305" spans="1:10" ht="15.75" customHeight="1" x14ac:dyDescent="0.2">
      <c r="A305" s="2">
        <v>304</v>
      </c>
      <c r="B305" s="4">
        <v>45095</v>
      </c>
      <c r="C305" s="2">
        <f t="shared" si="5"/>
        <v>1</v>
      </c>
      <c r="D305" s="2">
        <v>0</v>
      </c>
      <c r="E305" s="2">
        <f t="shared" si="6"/>
        <v>1</v>
      </c>
      <c r="F305" s="2" t="str">
        <f t="shared" si="7"/>
        <v>Sunday</v>
      </c>
      <c r="H305" s="2">
        <v>5</v>
      </c>
      <c r="I305" s="2" t="e">
        <f t="shared" ca="1" si="9"/>
        <v>#NAME?</v>
      </c>
      <c r="J305" s="2" t="e">
        <f t="shared" ca="1" si="8"/>
        <v>#NAME?</v>
      </c>
    </row>
    <row r="306" spans="1:10" ht="15.75" customHeight="1" x14ac:dyDescent="0.2">
      <c r="A306" s="2">
        <v>305</v>
      </c>
      <c r="B306" s="4">
        <v>45096</v>
      </c>
      <c r="C306" s="2">
        <f t="shared" si="5"/>
        <v>0</v>
      </c>
      <c r="D306" s="2">
        <v>0</v>
      </c>
      <c r="E306" s="2">
        <f t="shared" si="6"/>
        <v>0</v>
      </c>
      <c r="F306" s="2" t="str">
        <f t="shared" si="7"/>
        <v>Monday</v>
      </c>
      <c r="H306" s="2">
        <v>5</v>
      </c>
      <c r="I306" s="2" t="e">
        <f t="shared" ca="1" si="9"/>
        <v>#NAME?</v>
      </c>
      <c r="J306" s="2" t="e">
        <f t="shared" ca="1" si="8"/>
        <v>#NAME?</v>
      </c>
    </row>
    <row r="307" spans="1:10" ht="15.75" customHeight="1" x14ac:dyDescent="0.2">
      <c r="A307" s="2">
        <v>306</v>
      </c>
      <c r="B307" s="4">
        <v>45097</v>
      </c>
      <c r="C307" s="2">
        <f t="shared" si="5"/>
        <v>0</v>
      </c>
      <c r="D307" s="2">
        <v>0</v>
      </c>
      <c r="E307" s="2">
        <f t="shared" si="6"/>
        <v>0</v>
      </c>
      <c r="F307" s="2" t="str">
        <f t="shared" si="7"/>
        <v>Tuesday</v>
      </c>
      <c r="H307" s="2">
        <v>5</v>
      </c>
      <c r="I307" s="2" t="e">
        <f t="shared" ca="1" si="9"/>
        <v>#NAME?</v>
      </c>
      <c r="J307" s="2" t="e">
        <f t="shared" ca="1" si="8"/>
        <v>#NAME?</v>
      </c>
    </row>
    <row r="308" spans="1:10" ht="15.75" customHeight="1" x14ac:dyDescent="0.2">
      <c r="A308" s="2">
        <v>307</v>
      </c>
      <c r="B308" s="4">
        <v>45098</v>
      </c>
      <c r="C308" s="2">
        <f t="shared" si="5"/>
        <v>0</v>
      </c>
      <c r="D308" s="2">
        <v>0</v>
      </c>
      <c r="E308" s="2">
        <f t="shared" si="6"/>
        <v>0</v>
      </c>
      <c r="F308" s="2" t="str">
        <f t="shared" si="7"/>
        <v>Wednesday</v>
      </c>
      <c r="H308" s="2">
        <v>5</v>
      </c>
      <c r="I308" s="2" t="e">
        <f t="shared" ca="1" si="9"/>
        <v>#NAME?</v>
      </c>
      <c r="J308" s="2" t="e">
        <f t="shared" ca="1" si="8"/>
        <v>#NAME?</v>
      </c>
    </row>
    <row r="309" spans="1:10" ht="15.75" customHeight="1" x14ac:dyDescent="0.2">
      <c r="A309" s="2">
        <v>308</v>
      </c>
      <c r="B309" s="4">
        <v>45099</v>
      </c>
      <c r="C309" s="2">
        <f t="shared" si="5"/>
        <v>0</v>
      </c>
      <c r="D309" s="2">
        <v>0</v>
      </c>
      <c r="E309" s="2">
        <f t="shared" si="6"/>
        <v>0</v>
      </c>
      <c r="F309" s="2" t="str">
        <f t="shared" si="7"/>
        <v>Thursday</v>
      </c>
      <c r="H309" s="2">
        <v>5</v>
      </c>
      <c r="I309" s="2" t="e">
        <f t="shared" ca="1" si="9"/>
        <v>#NAME?</v>
      </c>
      <c r="J309" s="2" t="e">
        <f t="shared" ca="1" si="8"/>
        <v>#NAME?</v>
      </c>
    </row>
    <row r="310" spans="1:10" ht="15.75" customHeight="1" x14ac:dyDescent="0.2">
      <c r="A310" s="2">
        <v>309</v>
      </c>
      <c r="B310" s="4">
        <v>45100</v>
      </c>
      <c r="C310" s="2">
        <f t="shared" si="5"/>
        <v>0</v>
      </c>
      <c r="D310" s="2">
        <v>0</v>
      </c>
      <c r="E310" s="2">
        <f t="shared" si="6"/>
        <v>0</v>
      </c>
      <c r="F310" s="2" t="str">
        <f t="shared" si="7"/>
        <v>Friday</v>
      </c>
      <c r="H310" s="2">
        <v>5</v>
      </c>
      <c r="I310" s="2" t="e">
        <f t="shared" ca="1" si="9"/>
        <v>#NAME?</v>
      </c>
      <c r="J310" s="2" t="e">
        <f t="shared" ca="1" si="8"/>
        <v>#NAME?</v>
      </c>
    </row>
    <row r="311" spans="1:10" ht="15.75" customHeight="1" x14ac:dyDescent="0.2">
      <c r="A311" s="2">
        <v>310</v>
      </c>
      <c r="B311" s="4">
        <v>45101</v>
      </c>
      <c r="C311" s="2">
        <f t="shared" si="5"/>
        <v>1</v>
      </c>
      <c r="D311" s="2">
        <v>0</v>
      </c>
      <c r="E311" s="2">
        <f t="shared" si="6"/>
        <v>1</v>
      </c>
      <c r="F311" s="2" t="str">
        <f t="shared" si="7"/>
        <v>Saturday</v>
      </c>
      <c r="H311" s="2">
        <v>5</v>
      </c>
      <c r="I311" s="2" t="e">
        <f t="shared" ca="1" si="9"/>
        <v>#NAME?</v>
      </c>
      <c r="J311" s="2" t="e">
        <f t="shared" ca="1" si="8"/>
        <v>#NAME?</v>
      </c>
    </row>
    <row r="312" spans="1:10" ht="15.75" customHeight="1" x14ac:dyDescent="0.2">
      <c r="A312" s="2">
        <v>311</v>
      </c>
      <c r="B312" s="4">
        <v>45102</v>
      </c>
      <c r="C312" s="2">
        <f t="shared" si="5"/>
        <v>1</v>
      </c>
      <c r="D312" s="2">
        <v>0</v>
      </c>
      <c r="E312" s="2">
        <f t="shared" si="6"/>
        <v>1</v>
      </c>
      <c r="F312" s="2" t="str">
        <f t="shared" si="7"/>
        <v>Sunday</v>
      </c>
      <c r="H312" s="2">
        <v>5</v>
      </c>
      <c r="I312" s="2" t="e">
        <f t="shared" ca="1" si="9"/>
        <v>#NAME?</v>
      </c>
      <c r="J312" s="2" t="e">
        <f t="shared" ca="1" si="8"/>
        <v>#NAME?</v>
      </c>
    </row>
    <row r="313" spans="1:10" ht="15.75" customHeight="1" x14ac:dyDescent="0.2">
      <c r="A313" s="2">
        <v>312</v>
      </c>
      <c r="B313" s="4">
        <v>45103</v>
      </c>
      <c r="C313" s="2">
        <f t="shared" si="5"/>
        <v>0</v>
      </c>
      <c r="D313" s="2">
        <v>0</v>
      </c>
      <c r="E313" s="2">
        <f t="shared" si="6"/>
        <v>0</v>
      </c>
      <c r="F313" s="2" t="str">
        <f t="shared" si="7"/>
        <v>Monday</v>
      </c>
      <c r="H313" s="2">
        <v>5</v>
      </c>
      <c r="I313" s="2" t="e">
        <f t="shared" ca="1" si="9"/>
        <v>#NAME?</v>
      </c>
      <c r="J313" s="2" t="e">
        <f t="shared" ca="1" si="8"/>
        <v>#NAME?</v>
      </c>
    </row>
    <row r="314" spans="1:10" ht="15.75" customHeight="1" x14ac:dyDescent="0.2">
      <c r="A314" s="2">
        <v>313</v>
      </c>
      <c r="B314" s="4">
        <v>45104</v>
      </c>
      <c r="C314" s="2">
        <f t="shared" si="5"/>
        <v>0</v>
      </c>
      <c r="D314" s="2">
        <v>0</v>
      </c>
      <c r="E314" s="2">
        <f t="shared" si="6"/>
        <v>0</v>
      </c>
      <c r="F314" s="2" t="str">
        <f t="shared" si="7"/>
        <v>Tuesday</v>
      </c>
      <c r="H314" s="2">
        <v>5</v>
      </c>
      <c r="I314" s="2" t="e">
        <f t="shared" ca="1" si="9"/>
        <v>#NAME?</v>
      </c>
      <c r="J314" s="2" t="e">
        <f t="shared" ca="1" si="8"/>
        <v>#NAME?</v>
      </c>
    </row>
    <row r="315" spans="1:10" ht="15.75" customHeight="1" x14ac:dyDescent="0.2">
      <c r="A315" s="2">
        <v>314</v>
      </c>
      <c r="B315" s="4">
        <v>45105</v>
      </c>
      <c r="C315" s="2">
        <f t="shared" si="5"/>
        <v>0</v>
      </c>
      <c r="D315" s="2">
        <v>0</v>
      </c>
      <c r="E315" s="2">
        <f t="shared" si="6"/>
        <v>0</v>
      </c>
      <c r="F315" s="2" t="str">
        <f t="shared" si="7"/>
        <v>Wednesday</v>
      </c>
      <c r="H315" s="2">
        <v>5</v>
      </c>
      <c r="I315" s="2" t="e">
        <f t="shared" ca="1" si="9"/>
        <v>#NAME?</v>
      </c>
      <c r="J315" s="2" t="e">
        <f t="shared" ca="1" si="8"/>
        <v>#NAME?</v>
      </c>
    </row>
    <row r="316" spans="1:10" ht="15.75" customHeight="1" x14ac:dyDescent="0.2">
      <c r="A316" s="2">
        <v>315</v>
      </c>
      <c r="B316" s="4">
        <v>45106</v>
      </c>
      <c r="C316" s="2">
        <f t="shared" si="5"/>
        <v>0</v>
      </c>
      <c r="D316" s="2">
        <v>0</v>
      </c>
      <c r="E316" s="2">
        <f t="shared" si="6"/>
        <v>0</v>
      </c>
      <c r="F316" s="2" t="str">
        <f t="shared" si="7"/>
        <v>Thursday</v>
      </c>
      <c r="H316" s="2">
        <v>5</v>
      </c>
      <c r="I316" s="2" t="e">
        <f t="shared" ca="1" si="9"/>
        <v>#NAME?</v>
      </c>
      <c r="J316" s="2" t="e">
        <f t="shared" ca="1" si="8"/>
        <v>#NAME?</v>
      </c>
    </row>
    <row r="317" spans="1:10" ht="15.75" customHeight="1" x14ac:dyDescent="0.2">
      <c r="A317" s="2">
        <v>316</v>
      </c>
      <c r="B317" s="4">
        <v>45107</v>
      </c>
      <c r="C317" s="2">
        <f t="shared" si="5"/>
        <v>0</v>
      </c>
      <c r="D317" s="2">
        <v>0</v>
      </c>
      <c r="E317" s="2">
        <f t="shared" si="6"/>
        <v>0</v>
      </c>
      <c r="F317" s="2" t="str">
        <f t="shared" si="7"/>
        <v>Friday</v>
      </c>
      <c r="H317" s="2">
        <v>5</v>
      </c>
      <c r="I317" s="2" t="e">
        <f t="shared" ca="1" si="9"/>
        <v>#NAME?</v>
      </c>
      <c r="J317" s="2" t="e">
        <f t="shared" ca="1" si="8"/>
        <v>#NAME?</v>
      </c>
    </row>
    <row r="318" spans="1:10" ht="15.75" customHeight="1" x14ac:dyDescent="0.2">
      <c r="A318" s="2">
        <v>317</v>
      </c>
      <c r="B318" s="4">
        <v>45108</v>
      </c>
      <c r="C318" s="2">
        <f t="shared" si="5"/>
        <v>1</v>
      </c>
      <c r="D318" s="2">
        <v>0</v>
      </c>
      <c r="E318" s="2">
        <f t="shared" si="6"/>
        <v>1</v>
      </c>
      <c r="F318" s="2" t="str">
        <f t="shared" si="7"/>
        <v>Saturday</v>
      </c>
      <c r="H318" s="2">
        <v>5</v>
      </c>
      <c r="I318" s="2" t="e">
        <f t="shared" ca="1" si="9"/>
        <v>#NAME?</v>
      </c>
      <c r="J318" s="2" t="e">
        <f t="shared" ca="1" si="8"/>
        <v>#NAME?</v>
      </c>
    </row>
    <row r="319" spans="1:10" ht="15.75" customHeight="1" x14ac:dyDescent="0.2">
      <c r="A319" s="2">
        <v>318</v>
      </c>
      <c r="B319" s="4">
        <v>45109</v>
      </c>
      <c r="C319" s="2">
        <f t="shared" si="5"/>
        <v>1</v>
      </c>
      <c r="D319" s="2">
        <v>0</v>
      </c>
      <c r="E319" s="2">
        <f t="shared" si="6"/>
        <v>1</v>
      </c>
      <c r="F319" s="2" t="str">
        <f t="shared" si="7"/>
        <v>Sunday</v>
      </c>
      <c r="H319" s="2">
        <v>5</v>
      </c>
      <c r="I319" s="2" t="e">
        <f t="shared" ca="1" si="9"/>
        <v>#NAME?</v>
      </c>
      <c r="J319" s="2" t="e">
        <f t="shared" ca="1" si="8"/>
        <v>#NAME?</v>
      </c>
    </row>
    <row r="320" spans="1:10" ht="15.75" customHeight="1" x14ac:dyDescent="0.2">
      <c r="A320" s="2">
        <v>319</v>
      </c>
      <c r="B320" s="4">
        <v>45110</v>
      </c>
      <c r="C320" s="2">
        <f t="shared" si="5"/>
        <v>0</v>
      </c>
      <c r="D320" s="2">
        <v>0</v>
      </c>
      <c r="E320" s="2">
        <f t="shared" si="6"/>
        <v>0</v>
      </c>
      <c r="F320" s="2" t="str">
        <f t="shared" si="7"/>
        <v>Monday</v>
      </c>
      <c r="H320" s="2">
        <v>5</v>
      </c>
      <c r="I320" s="2" t="e">
        <f t="shared" ca="1" si="9"/>
        <v>#NAME?</v>
      </c>
      <c r="J320" s="2" t="e">
        <f t="shared" ca="1" si="8"/>
        <v>#NAME?</v>
      </c>
    </row>
    <row r="321" spans="1:10" ht="15.75" customHeight="1" x14ac:dyDescent="0.2">
      <c r="A321" s="2">
        <v>320</v>
      </c>
      <c r="B321" s="4">
        <v>45111</v>
      </c>
      <c r="C321" s="2">
        <f t="shared" si="5"/>
        <v>0</v>
      </c>
      <c r="D321" s="2">
        <v>0</v>
      </c>
      <c r="E321" s="2">
        <f t="shared" si="6"/>
        <v>0</v>
      </c>
      <c r="F321" s="2" t="str">
        <f t="shared" si="7"/>
        <v>Tuesday</v>
      </c>
      <c r="H321" s="2">
        <v>5</v>
      </c>
      <c r="I321" s="2" t="e">
        <f t="shared" ca="1" si="9"/>
        <v>#NAME?</v>
      </c>
      <c r="J321" s="2" t="e">
        <f t="shared" ca="1" si="8"/>
        <v>#NAME?</v>
      </c>
    </row>
    <row r="322" spans="1:10" ht="15.75" customHeight="1" x14ac:dyDescent="0.2">
      <c r="A322" s="2">
        <v>321</v>
      </c>
      <c r="B322" s="4">
        <v>45112</v>
      </c>
      <c r="C322" s="2">
        <f t="shared" si="5"/>
        <v>0</v>
      </c>
      <c r="D322" s="2">
        <v>0</v>
      </c>
      <c r="E322" s="2">
        <f t="shared" si="6"/>
        <v>0</v>
      </c>
      <c r="F322" s="2" t="str">
        <f t="shared" si="7"/>
        <v>Wednesday</v>
      </c>
      <c r="H322" s="2">
        <v>5</v>
      </c>
      <c r="I322" s="2" t="e">
        <f t="shared" ca="1" si="9"/>
        <v>#NAME?</v>
      </c>
      <c r="J322" s="2" t="e">
        <f t="shared" ca="1" si="8"/>
        <v>#NAME?</v>
      </c>
    </row>
    <row r="323" spans="1:10" ht="15.75" customHeight="1" x14ac:dyDescent="0.2">
      <c r="A323" s="2">
        <v>322</v>
      </c>
      <c r="B323" s="4">
        <v>45113</v>
      </c>
      <c r="C323" s="2">
        <f t="shared" si="5"/>
        <v>0</v>
      </c>
      <c r="D323" s="2">
        <v>0</v>
      </c>
      <c r="E323" s="2">
        <f t="shared" si="6"/>
        <v>0</v>
      </c>
      <c r="F323" s="2" t="str">
        <f t="shared" si="7"/>
        <v>Thursday</v>
      </c>
      <c r="H323" s="2">
        <v>5</v>
      </c>
      <c r="I323" s="2" t="e">
        <f t="shared" ca="1" si="9"/>
        <v>#NAME?</v>
      </c>
      <c r="J323" s="2" t="e">
        <f t="shared" ca="1" si="8"/>
        <v>#NAME?</v>
      </c>
    </row>
    <row r="324" spans="1:10" ht="15.75" customHeight="1" x14ac:dyDescent="0.2">
      <c r="A324" s="2">
        <v>323</v>
      </c>
      <c r="B324" s="4">
        <v>45114</v>
      </c>
      <c r="C324" s="2">
        <f t="shared" si="5"/>
        <v>0</v>
      </c>
      <c r="D324" s="2">
        <v>0</v>
      </c>
      <c r="E324" s="2">
        <f t="shared" si="6"/>
        <v>0</v>
      </c>
      <c r="F324" s="2" t="str">
        <f t="shared" si="7"/>
        <v>Friday</v>
      </c>
      <c r="H324" s="2">
        <v>5</v>
      </c>
      <c r="I324" s="2" t="e">
        <f t="shared" ca="1" si="9"/>
        <v>#NAME?</v>
      </c>
      <c r="J324" s="2" t="e">
        <f t="shared" ca="1" si="8"/>
        <v>#NAME?</v>
      </c>
    </row>
    <row r="325" spans="1:10" ht="15.75" customHeight="1" x14ac:dyDescent="0.2">
      <c r="A325" s="2">
        <v>324</v>
      </c>
      <c r="B325" s="4">
        <v>45115</v>
      </c>
      <c r="C325" s="2">
        <f t="shared" si="5"/>
        <v>1</v>
      </c>
      <c r="D325" s="2">
        <v>1</v>
      </c>
      <c r="E325" s="2">
        <f t="shared" si="6"/>
        <v>1</v>
      </c>
      <c r="F325" s="2" t="str">
        <f t="shared" si="7"/>
        <v>Saturday</v>
      </c>
      <c r="G325" s="2" t="s">
        <v>328</v>
      </c>
      <c r="H325" s="2">
        <v>5</v>
      </c>
      <c r="I325" s="2" t="e">
        <f t="shared" ca="1" si="9"/>
        <v>#NAME?</v>
      </c>
      <c r="J325" s="2" t="e">
        <f t="shared" ca="1" si="8"/>
        <v>#NAME?</v>
      </c>
    </row>
    <row r="326" spans="1:10" ht="15.75" customHeight="1" x14ac:dyDescent="0.2">
      <c r="A326" s="2">
        <v>325</v>
      </c>
      <c r="B326" s="4">
        <v>45116</v>
      </c>
      <c r="C326" s="2">
        <f t="shared" si="5"/>
        <v>1</v>
      </c>
      <c r="D326" s="2">
        <v>1</v>
      </c>
      <c r="E326" s="2">
        <f t="shared" si="6"/>
        <v>1</v>
      </c>
      <c r="F326" s="2" t="str">
        <f t="shared" si="7"/>
        <v>Sunday</v>
      </c>
      <c r="G326" s="2" t="s">
        <v>328</v>
      </c>
      <c r="H326" s="2">
        <v>5</v>
      </c>
      <c r="I326" s="2" t="e">
        <f t="shared" ca="1" si="9"/>
        <v>#NAME?</v>
      </c>
      <c r="J326" s="2" t="e">
        <f t="shared" ca="1" si="8"/>
        <v>#NAME?</v>
      </c>
    </row>
    <row r="327" spans="1:10" ht="15.75" customHeight="1" x14ac:dyDescent="0.2">
      <c r="A327" s="2">
        <v>326</v>
      </c>
      <c r="B327" s="4">
        <v>45117</v>
      </c>
      <c r="C327" s="2">
        <f t="shared" si="5"/>
        <v>0</v>
      </c>
      <c r="D327" s="2">
        <v>1</v>
      </c>
      <c r="E327" s="2">
        <f t="shared" si="6"/>
        <v>1</v>
      </c>
      <c r="F327" s="2" t="str">
        <f t="shared" si="7"/>
        <v>Monday</v>
      </c>
      <c r="G327" s="2" t="s">
        <v>328</v>
      </c>
      <c r="H327" s="2">
        <v>5</v>
      </c>
      <c r="I327" s="2" t="e">
        <f t="shared" ca="1" si="9"/>
        <v>#NAME?</v>
      </c>
      <c r="J327" s="2" t="e">
        <f t="shared" ca="1" si="8"/>
        <v>#NAME?</v>
      </c>
    </row>
    <row r="328" spans="1:10" ht="15.75" customHeight="1" x14ac:dyDescent="0.2">
      <c r="A328" s="2">
        <v>327</v>
      </c>
      <c r="B328" s="4">
        <v>45118</v>
      </c>
      <c r="C328" s="2">
        <f t="shared" si="5"/>
        <v>0</v>
      </c>
      <c r="D328" s="2">
        <v>1</v>
      </c>
      <c r="E328" s="2">
        <f t="shared" si="6"/>
        <v>1</v>
      </c>
      <c r="F328" s="2" t="str">
        <f t="shared" si="7"/>
        <v>Tuesday</v>
      </c>
      <c r="G328" s="2" t="s">
        <v>328</v>
      </c>
      <c r="H328" s="2">
        <v>5</v>
      </c>
      <c r="I328" s="2" t="e">
        <f t="shared" ca="1" si="9"/>
        <v>#NAME?</v>
      </c>
      <c r="J328" s="2" t="e">
        <f t="shared" ca="1" si="8"/>
        <v>#NAME?</v>
      </c>
    </row>
    <row r="329" spans="1:10" ht="15.75" customHeight="1" x14ac:dyDescent="0.2">
      <c r="A329" s="2">
        <v>328</v>
      </c>
      <c r="B329" s="4">
        <v>45119</v>
      </c>
      <c r="C329" s="2">
        <f t="shared" si="5"/>
        <v>0</v>
      </c>
      <c r="D329" s="2">
        <v>1</v>
      </c>
      <c r="E329" s="2">
        <f t="shared" si="6"/>
        <v>1</v>
      </c>
      <c r="F329" s="2" t="str">
        <f t="shared" si="7"/>
        <v>Wednesday</v>
      </c>
      <c r="G329" s="2" t="s">
        <v>328</v>
      </c>
      <c r="H329" s="2">
        <v>5</v>
      </c>
      <c r="I329" s="2" t="e">
        <f t="shared" ca="1" si="9"/>
        <v>#NAME?</v>
      </c>
      <c r="J329" s="2" t="e">
        <f t="shared" ca="1" si="8"/>
        <v>#NAME?</v>
      </c>
    </row>
    <row r="330" spans="1:10" ht="15.75" customHeight="1" x14ac:dyDescent="0.2">
      <c r="A330" s="2">
        <v>329</v>
      </c>
      <c r="B330" s="4">
        <v>45120</v>
      </c>
      <c r="C330" s="2">
        <f t="shared" si="5"/>
        <v>0</v>
      </c>
      <c r="D330" s="2">
        <v>1</v>
      </c>
      <c r="E330" s="2">
        <f t="shared" si="6"/>
        <v>1</v>
      </c>
      <c r="F330" s="2" t="str">
        <f t="shared" si="7"/>
        <v>Thursday</v>
      </c>
      <c r="G330" s="2" t="s">
        <v>328</v>
      </c>
      <c r="H330" s="2">
        <v>5</v>
      </c>
      <c r="I330" s="2" t="e">
        <f t="shared" ca="1" si="9"/>
        <v>#NAME?</v>
      </c>
      <c r="J330" s="2" t="e">
        <f t="shared" ca="1" si="8"/>
        <v>#NAME?</v>
      </c>
    </row>
    <row r="331" spans="1:10" ht="15.75" customHeight="1" x14ac:dyDescent="0.2">
      <c r="A331" s="2">
        <v>330</v>
      </c>
      <c r="B331" s="4">
        <v>45121</v>
      </c>
      <c r="C331" s="2">
        <f t="shared" si="5"/>
        <v>0</v>
      </c>
      <c r="D331" s="2">
        <v>1</v>
      </c>
      <c r="E331" s="2">
        <f t="shared" si="6"/>
        <v>1</v>
      </c>
      <c r="F331" s="2" t="str">
        <f t="shared" si="7"/>
        <v>Friday</v>
      </c>
      <c r="G331" s="2" t="s">
        <v>328</v>
      </c>
      <c r="H331" s="2">
        <v>5</v>
      </c>
      <c r="I331" s="2" t="e">
        <f t="shared" ca="1" si="9"/>
        <v>#NAME?</v>
      </c>
      <c r="J331" s="2" t="e">
        <f t="shared" ca="1" si="8"/>
        <v>#NAME?</v>
      </c>
    </row>
    <row r="332" spans="1:10" ht="15.75" customHeight="1" x14ac:dyDescent="0.2">
      <c r="A332" s="2">
        <v>331</v>
      </c>
      <c r="B332" s="4">
        <v>45122</v>
      </c>
      <c r="C332" s="2">
        <f t="shared" si="5"/>
        <v>1</v>
      </c>
      <c r="D332" s="2">
        <v>1</v>
      </c>
      <c r="E332" s="2">
        <f t="shared" si="6"/>
        <v>1</v>
      </c>
      <c r="F332" s="2" t="str">
        <f t="shared" si="7"/>
        <v>Saturday</v>
      </c>
      <c r="G332" s="2" t="s">
        <v>328</v>
      </c>
      <c r="H332" s="2">
        <v>5</v>
      </c>
      <c r="I332" s="2" t="e">
        <f t="shared" ca="1" si="9"/>
        <v>#NAME?</v>
      </c>
      <c r="J332" s="2" t="e">
        <f t="shared" ca="1" si="8"/>
        <v>#NAME?</v>
      </c>
    </row>
    <row r="333" spans="1:10" ht="15.75" customHeight="1" x14ac:dyDescent="0.2">
      <c r="A333" s="2">
        <v>332</v>
      </c>
      <c r="B333" s="4">
        <v>45123</v>
      </c>
      <c r="C333" s="2">
        <f t="shared" si="5"/>
        <v>1</v>
      </c>
      <c r="D333" s="2">
        <v>1</v>
      </c>
      <c r="E333" s="2">
        <f t="shared" si="6"/>
        <v>1</v>
      </c>
      <c r="F333" s="2" t="str">
        <f t="shared" si="7"/>
        <v>Sunday</v>
      </c>
      <c r="G333" s="2" t="s">
        <v>328</v>
      </c>
      <c r="H333" s="2">
        <v>5</v>
      </c>
      <c r="I333" s="2" t="e">
        <f t="shared" ca="1" si="9"/>
        <v>#NAME?</v>
      </c>
      <c r="J333" s="2" t="e">
        <f t="shared" ca="1" si="8"/>
        <v>#NAME?</v>
      </c>
    </row>
    <row r="334" spans="1:10" ht="15.75" customHeight="1" x14ac:dyDescent="0.2">
      <c r="A334" s="2">
        <v>333</v>
      </c>
      <c r="B334" s="4">
        <v>45124</v>
      </c>
      <c r="C334" s="2">
        <f t="shared" si="5"/>
        <v>0</v>
      </c>
      <c r="D334" s="2">
        <v>1</v>
      </c>
      <c r="E334" s="2">
        <f t="shared" si="6"/>
        <v>1</v>
      </c>
      <c r="F334" s="2" t="str">
        <f t="shared" si="7"/>
        <v>Monday</v>
      </c>
      <c r="G334" s="2" t="s">
        <v>328</v>
      </c>
      <c r="H334" s="2">
        <v>5</v>
      </c>
      <c r="I334" s="2" t="e">
        <f t="shared" ca="1" si="9"/>
        <v>#NAME?</v>
      </c>
      <c r="J334" s="2" t="e">
        <f t="shared" ca="1" si="8"/>
        <v>#NAME?</v>
      </c>
    </row>
    <row r="335" spans="1:10" ht="15.75" customHeight="1" x14ac:dyDescent="0.2">
      <c r="A335" s="2">
        <v>334</v>
      </c>
      <c r="B335" s="4">
        <v>45125</v>
      </c>
      <c r="C335" s="2">
        <f t="shared" si="5"/>
        <v>0</v>
      </c>
      <c r="D335" s="2">
        <v>1</v>
      </c>
      <c r="E335" s="2">
        <f t="shared" si="6"/>
        <v>1</v>
      </c>
      <c r="F335" s="2" t="str">
        <f t="shared" si="7"/>
        <v>Tuesday</v>
      </c>
      <c r="G335" s="2" t="s">
        <v>328</v>
      </c>
      <c r="H335" s="2">
        <v>5</v>
      </c>
      <c r="I335" s="2" t="e">
        <f t="shared" ca="1" si="9"/>
        <v>#NAME?</v>
      </c>
      <c r="J335" s="2" t="e">
        <f t="shared" ca="1" si="8"/>
        <v>#NAME?</v>
      </c>
    </row>
    <row r="336" spans="1:10" ht="15.75" customHeight="1" x14ac:dyDescent="0.2">
      <c r="A336" s="2">
        <v>335</v>
      </c>
      <c r="B336" s="4">
        <v>45126</v>
      </c>
      <c r="C336" s="2">
        <f t="shared" si="5"/>
        <v>0</v>
      </c>
      <c r="D336" s="2">
        <v>1</v>
      </c>
      <c r="E336" s="2">
        <f t="shared" si="6"/>
        <v>1</v>
      </c>
      <c r="F336" s="2" t="str">
        <f t="shared" si="7"/>
        <v>Wednesday</v>
      </c>
      <c r="G336" s="2" t="s">
        <v>328</v>
      </c>
      <c r="H336" s="2">
        <v>5</v>
      </c>
      <c r="I336" s="2" t="e">
        <f t="shared" ca="1" si="9"/>
        <v>#NAME?</v>
      </c>
      <c r="J336" s="2" t="e">
        <f t="shared" ca="1" si="8"/>
        <v>#NAME?</v>
      </c>
    </row>
    <row r="337" spans="1:10" ht="15.75" customHeight="1" x14ac:dyDescent="0.2">
      <c r="A337" s="2">
        <v>336</v>
      </c>
      <c r="B337" s="4">
        <v>45127</v>
      </c>
      <c r="C337" s="2">
        <f t="shared" si="5"/>
        <v>0</v>
      </c>
      <c r="D337" s="2">
        <v>1</v>
      </c>
      <c r="E337" s="2">
        <f t="shared" si="6"/>
        <v>1</v>
      </c>
      <c r="F337" s="2" t="str">
        <f t="shared" si="7"/>
        <v>Thursday</v>
      </c>
      <c r="G337" s="2" t="s">
        <v>328</v>
      </c>
      <c r="H337" s="2">
        <v>5</v>
      </c>
      <c r="I337" s="2" t="e">
        <f t="shared" ca="1" si="9"/>
        <v>#NAME?</v>
      </c>
      <c r="J337" s="2" t="e">
        <f t="shared" ca="1" si="8"/>
        <v>#NAME?</v>
      </c>
    </row>
    <row r="338" spans="1:10" ht="15.75" customHeight="1" x14ac:dyDescent="0.2">
      <c r="A338" s="2">
        <v>337</v>
      </c>
      <c r="B338" s="4">
        <v>45128</v>
      </c>
      <c r="C338" s="2">
        <f t="shared" si="5"/>
        <v>0</v>
      </c>
      <c r="D338" s="2">
        <v>1</v>
      </c>
      <c r="E338" s="2">
        <f t="shared" si="6"/>
        <v>1</v>
      </c>
      <c r="F338" s="2" t="str">
        <f t="shared" si="7"/>
        <v>Friday</v>
      </c>
      <c r="G338" s="2" t="s">
        <v>328</v>
      </c>
      <c r="H338" s="2">
        <v>5</v>
      </c>
      <c r="I338" s="2" t="e">
        <f t="shared" ca="1" si="9"/>
        <v>#NAME?</v>
      </c>
      <c r="J338" s="2" t="e">
        <f t="shared" ca="1" si="8"/>
        <v>#NAME?</v>
      </c>
    </row>
    <row r="339" spans="1:10" ht="15.75" customHeight="1" x14ac:dyDescent="0.2">
      <c r="A339" s="2">
        <v>338</v>
      </c>
      <c r="B339" s="4">
        <v>45129</v>
      </c>
      <c r="C339" s="2">
        <f t="shared" si="5"/>
        <v>1</v>
      </c>
      <c r="D339" s="2">
        <v>1</v>
      </c>
      <c r="E339" s="2">
        <f t="shared" si="6"/>
        <v>1</v>
      </c>
      <c r="F339" s="2" t="str">
        <f t="shared" si="7"/>
        <v>Saturday</v>
      </c>
      <c r="G339" s="2" t="s">
        <v>328</v>
      </c>
      <c r="H339" s="2">
        <v>5</v>
      </c>
      <c r="I339" s="2" t="e">
        <f t="shared" ca="1" si="9"/>
        <v>#NAME?</v>
      </c>
      <c r="J339" s="2" t="e">
        <f t="shared" ca="1" si="8"/>
        <v>#NAME?</v>
      </c>
    </row>
    <row r="340" spans="1:10" ht="15.75" customHeight="1" x14ac:dyDescent="0.2">
      <c r="A340" s="2">
        <v>339</v>
      </c>
      <c r="B340" s="4">
        <v>45130</v>
      </c>
      <c r="C340" s="2">
        <f t="shared" si="5"/>
        <v>1</v>
      </c>
      <c r="D340" s="2">
        <v>1</v>
      </c>
      <c r="E340" s="2">
        <f t="shared" si="6"/>
        <v>1</v>
      </c>
      <c r="F340" s="2" t="str">
        <f t="shared" si="7"/>
        <v>Sunday</v>
      </c>
      <c r="G340" s="2" t="s">
        <v>328</v>
      </c>
      <c r="H340" s="2">
        <v>5</v>
      </c>
      <c r="I340" s="2" t="e">
        <f t="shared" ca="1" si="9"/>
        <v>#NAME?</v>
      </c>
      <c r="J340" s="2" t="e">
        <f t="shared" ca="1" si="8"/>
        <v>#NAME?</v>
      </c>
    </row>
    <row r="341" spans="1:10" ht="15.75" customHeight="1" x14ac:dyDescent="0.2">
      <c r="A341" s="2">
        <v>340</v>
      </c>
      <c r="B341" s="4">
        <v>45131</v>
      </c>
      <c r="C341" s="2">
        <f t="shared" si="5"/>
        <v>0</v>
      </c>
      <c r="D341" s="2">
        <v>1</v>
      </c>
      <c r="E341" s="2">
        <f t="shared" si="6"/>
        <v>1</v>
      </c>
      <c r="F341" s="2" t="str">
        <f t="shared" si="7"/>
        <v>Monday</v>
      </c>
      <c r="G341" s="2" t="s">
        <v>328</v>
      </c>
      <c r="H341" s="2">
        <v>5</v>
      </c>
      <c r="I341" s="2" t="e">
        <f t="shared" ca="1" si="9"/>
        <v>#NAME?</v>
      </c>
      <c r="J341" s="2" t="e">
        <f t="shared" ca="1" si="8"/>
        <v>#NAME?</v>
      </c>
    </row>
    <row r="342" spans="1:10" ht="15.75" customHeight="1" x14ac:dyDescent="0.2">
      <c r="A342" s="2">
        <v>341</v>
      </c>
      <c r="B342" s="4">
        <v>45132</v>
      </c>
      <c r="C342" s="2">
        <f t="shared" si="5"/>
        <v>0</v>
      </c>
      <c r="D342" s="2">
        <v>1</v>
      </c>
      <c r="E342" s="2">
        <f t="shared" si="6"/>
        <v>1</v>
      </c>
      <c r="F342" s="2" t="str">
        <f t="shared" si="7"/>
        <v>Tuesday</v>
      </c>
      <c r="G342" s="2" t="s">
        <v>328</v>
      </c>
      <c r="H342" s="2">
        <v>5</v>
      </c>
      <c r="I342" s="2" t="e">
        <f t="shared" ca="1" si="9"/>
        <v>#NAME?</v>
      </c>
      <c r="J342" s="2" t="e">
        <f t="shared" ca="1" si="8"/>
        <v>#NAME?</v>
      </c>
    </row>
    <row r="343" spans="1:10" ht="15.75" customHeight="1" x14ac:dyDescent="0.2">
      <c r="A343" s="2">
        <v>342</v>
      </c>
      <c r="B343" s="4">
        <v>45133</v>
      </c>
      <c r="C343" s="2">
        <f t="shared" si="5"/>
        <v>0</v>
      </c>
      <c r="D343" s="2">
        <v>1</v>
      </c>
      <c r="E343" s="2">
        <f t="shared" si="6"/>
        <v>1</v>
      </c>
      <c r="F343" s="2" t="str">
        <f t="shared" si="7"/>
        <v>Wednesday</v>
      </c>
      <c r="G343" s="2" t="s">
        <v>328</v>
      </c>
      <c r="H343" s="2">
        <v>5</v>
      </c>
      <c r="I343" s="2" t="e">
        <f t="shared" ca="1" si="9"/>
        <v>#NAME?</v>
      </c>
      <c r="J343" s="2" t="e">
        <f t="shared" ca="1" si="8"/>
        <v>#NAME?</v>
      </c>
    </row>
    <row r="344" spans="1:10" ht="15.75" customHeight="1" x14ac:dyDescent="0.2">
      <c r="A344" s="2">
        <v>343</v>
      </c>
      <c r="B344" s="4">
        <v>45134</v>
      </c>
      <c r="C344" s="2">
        <f t="shared" si="5"/>
        <v>0</v>
      </c>
      <c r="D344" s="2">
        <v>1</v>
      </c>
      <c r="E344" s="2">
        <f t="shared" si="6"/>
        <v>1</v>
      </c>
      <c r="F344" s="2" t="str">
        <f t="shared" si="7"/>
        <v>Thursday</v>
      </c>
      <c r="G344" s="2" t="s">
        <v>328</v>
      </c>
      <c r="H344" s="2">
        <v>5</v>
      </c>
      <c r="I344" s="2" t="e">
        <f t="shared" ca="1" si="9"/>
        <v>#NAME?</v>
      </c>
      <c r="J344" s="2" t="e">
        <f t="shared" ca="1" si="8"/>
        <v>#NAME?</v>
      </c>
    </row>
    <row r="345" spans="1:10" ht="15.75" customHeight="1" x14ac:dyDescent="0.2">
      <c r="A345" s="2">
        <v>344</v>
      </c>
      <c r="B345" s="4">
        <v>45135</v>
      </c>
      <c r="C345" s="2">
        <f t="shared" si="5"/>
        <v>0</v>
      </c>
      <c r="D345" s="2">
        <v>1</v>
      </c>
      <c r="E345" s="2">
        <f t="shared" si="6"/>
        <v>1</v>
      </c>
      <c r="F345" s="2" t="str">
        <f t="shared" si="7"/>
        <v>Friday</v>
      </c>
      <c r="G345" s="2" t="s">
        <v>328</v>
      </c>
      <c r="H345" s="2">
        <v>5</v>
      </c>
      <c r="I345" s="2" t="e">
        <f t="shared" ca="1" si="9"/>
        <v>#NAME?</v>
      </c>
      <c r="J345" s="2" t="e">
        <f t="shared" ca="1" si="8"/>
        <v>#NAME?</v>
      </c>
    </row>
    <row r="346" spans="1:10" ht="15.75" customHeight="1" x14ac:dyDescent="0.2">
      <c r="A346" s="2">
        <v>345</v>
      </c>
      <c r="B346" s="4">
        <v>45136</v>
      </c>
      <c r="C346" s="2">
        <f t="shared" si="5"/>
        <v>1</v>
      </c>
      <c r="D346" s="2">
        <v>1</v>
      </c>
      <c r="E346" s="2">
        <f t="shared" si="6"/>
        <v>1</v>
      </c>
      <c r="F346" s="2" t="str">
        <f t="shared" si="7"/>
        <v>Saturday</v>
      </c>
      <c r="G346" s="2" t="s">
        <v>328</v>
      </c>
      <c r="H346" s="2">
        <v>5</v>
      </c>
      <c r="I346" s="2" t="e">
        <f t="shared" ca="1" si="9"/>
        <v>#NAME?</v>
      </c>
      <c r="J346" s="2" t="e">
        <f t="shared" ca="1" si="8"/>
        <v>#NAME?</v>
      </c>
    </row>
    <row r="347" spans="1:10" ht="15.75" customHeight="1" x14ac:dyDescent="0.2">
      <c r="A347" s="2">
        <v>346</v>
      </c>
      <c r="B347" s="4">
        <v>45137</v>
      </c>
      <c r="C347" s="2">
        <f t="shared" si="5"/>
        <v>1</v>
      </c>
      <c r="D347" s="2">
        <v>1</v>
      </c>
      <c r="E347" s="2">
        <f t="shared" si="6"/>
        <v>1</v>
      </c>
      <c r="F347" s="2" t="str">
        <f t="shared" si="7"/>
        <v>Sunday</v>
      </c>
      <c r="G347" s="2" t="s">
        <v>328</v>
      </c>
      <c r="H347" s="2">
        <v>5</v>
      </c>
      <c r="I347" s="2" t="e">
        <f t="shared" ca="1" si="9"/>
        <v>#NAME?</v>
      </c>
      <c r="J347" s="2" t="e">
        <f t="shared" ca="1" si="8"/>
        <v>#NAME?</v>
      </c>
    </row>
    <row r="348" spans="1:10" ht="15.75" customHeight="1" x14ac:dyDescent="0.2">
      <c r="A348" s="2">
        <v>347</v>
      </c>
      <c r="B348" s="4">
        <v>45138</v>
      </c>
      <c r="C348" s="2">
        <f t="shared" si="5"/>
        <v>0</v>
      </c>
      <c r="D348" s="2">
        <v>1</v>
      </c>
      <c r="E348" s="2">
        <f t="shared" si="6"/>
        <v>1</v>
      </c>
      <c r="F348" s="2" t="str">
        <f t="shared" si="7"/>
        <v>Monday</v>
      </c>
      <c r="G348" s="2" t="s">
        <v>328</v>
      </c>
      <c r="H348" s="2">
        <v>5</v>
      </c>
      <c r="I348" s="2" t="e">
        <f t="shared" ca="1" si="9"/>
        <v>#NAME?</v>
      </c>
      <c r="J348" s="2" t="e">
        <f t="shared" ca="1" si="8"/>
        <v>#NAME?</v>
      </c>
    </row>
    <row r="349" spans="1:10" ht="15.75" customHeight="1" x14ac:dyDescent="0.2">
      <c r="A349" s="2">
        <v>348</v>
      </c>
      <c r="B349" s="4">
        <v>45139</v>
      </c>
      <c r="C349" s="2">
        <f t="shared" si="5"/>
        <v>0</v>
      </c>
      <c r="D349" s="2">
        <v>1</v>
      </c>
      <c r="E349" s="2">
        <f t="shared" si="6"/>
        <v>1</v>
      </c>
      <c r="F349" s="2" t="str">
        <f t="shared" si="7"/>
        <v>Tuesday</v>
      </c>
      <c r="G349" s="2" t="s">
        <v>328</v>
      </c>
      <c r="H349" s="2">
        <v>5</v>
      </c>
      <c r="I349" s="2" t="e">
        <f t="shared" ca="1" si="9"/>
        <v>#NAME?</v>
      </c>
      <c r="J349" s="2" t="e">
        <f t="shared" ca="1" si="8"/>
        <v>#NAME?</v>
      </c>
    </row>
    <row r="350" spans="1:10" ht="15.75" customHeight="1" x14ac:dyDescent="0.2">
      <c r="A350" s="2">
        <v>349</v>
      </c>
      <c r="B350" s="4">
        <v>45140</v>
      </c>
      <c r="C350" s="2">
        <f t="shared" si="5"/>
        <v>0</v>
      </c>
      <c r="D350" s="2">
        <v>1</v>
      </c>
      <c r="E350" s="2">
        <f t="shared" si="6"/>
        <v>1</v>
      </c>
      <c r="F350" s="2" t="str">
        <f t="shared" si="7"/>
        <v>Wednesday</v>
      </c>
      <c r="G350" s="2" t="s">
        <v>328</v>
      </c>
      <c r="H350" s="2">
        <v>5</v>
      </c>
      <c r="I350" s="2" t="e">
        <f t="shared" ca="1" si="9"/>
        <v>#NAME?</v>
      </c>
      <c r="J350" s="2" t="e">
        <f t="shared" ca="1" si="8"/>
        <v>#NAME?</v>
      </c>
    </row>
    <row r="351" spans="1:10" ht="15.75" customHeight="1" x14ac:dyDescent="0.2">
      <c r="A351" s="2">
        <v>350</v>
      </c>
      <c r="B351" s="4">
        <v>45141</v>
      </c>
      <c r="C351" s="2">
        <f t="shared" si="5"/>
        <v>0</v>
      </c>
      <c r="D351" s="2">
        <v>1</v>
      </c>
      <c r="E351" s="2">
        <f t="shared" si="6"/>
        <v>1</v>
      </c>
      <c r="F351" s="2" t="str">
        <f t="shared" si="7"/>
        <v>Thursday</v>
      </c>
      <c r="G351" s="2" t="s">
        <v>328</v>
      </c>
      <c r="H351" s="2">
        <v>5</v>
      </c>
      <c r="I351" s="2" t="e">
        <f t="shared" ca="1" si="9"/>
        <v>#NAME?</v>
      </c>
      <c r="J351" s="2" t="e">
        <f t="shared" ca="1" si="8"/>
        <v>#NAME?</v>
      </c>
    </row>
    <row r="352" spans="1:10" ht="15.75" customHeight="1" x14ac:dyDescent="0.2">
      <c r="A352" s="2">
        <v>351</v>
      </c>
      <c r="B352" s="4">
        <v>45142</v>
      </c>
      <c r="C352" s="2">
        <f t="shared" si="5"/>
        <v>0</v>
      </c>
      <c r="D352" s="2">
        <v>1</v>
      </c>
      <c r="E352" s="2">
        <f t="shared" si="6"/>
        <v>1</v>
      </c>
      <c r="F352" s="2" t="str">
        <f t="shared" si="7"/>
        <v>Friday</v>
      </c>
      <c r="G352" s="2" t="s">
        <v>328</v>
      </c>
      <c r="H352" s="2">
        <v>5</v>
      </c>
      <c r="I352" s="2" t="e">
        <f t="shared" ca="1" si="9"/>
        <v>#NAME?</v>
      </c>
      <c r="J352" s="2" t="e">
        <f t="shared" ca="1" si="8"/>
        <v>#NAME?</v>
      </c>
    </row>
    <row r="353" spans="1:10" ht="15.75" customHeight="1" x14ac:dyDescent="0.2">
      <c r="A353" s="2">
        <v>352</v>
      </c>
      <c r="B353" s="4">
        <v>45143</v>
      </c>
      <c r="C353" s="2">
        <f t="shared" si="5"/>
        <v>1</v>
      </c>
      <c r="D353" s="2">
        <v>1</v>
      </c>
      <c r="E353" s="2">
        <f t="shared" si="6"/>
        <v>1</v>
      </c>
      <c r="F353" s="2" t="str">
        <f t="shared" si="7"/>
        <v>Saturday</v>
      </c>
      <c r="G353" s="2" t="s">
        <v>328</v>
      </c>
      <c r="H353" s="2">
        <v>5</v>
      </c>
      <c r="I353" s="2" t="e">
        <f t="shared" ca="1" si="9"/>
        <v>#NAME?</v>
      </c>
      <c r="J353" s="2" t="e">
        <f t="shared" ca="1" si="8"/>
        <v>#NAME?</v>
      </c>
    </row>
    <row r="354" spans="1:10" ht="15.75" customHeight="1" x14ac:dyDescent="0.2">
      <c r="A354" s="2">
        <v>353</v>
      </c>
      <c r="B354" s="4">
        <v>45144</v>
      </c>
      <c r="C354" s="2">
        <f t="shared" si="5"/>
        <v>1</v>
      </c>
      <c r="D354" s="2">
        <v>1</v>
      </c>
      <c r="E354" s="2">
        <f t="shared" si="6"/>
        <v>1</v>
      </c>
      <c r="F354" s="2" t="str">
        <f t="shared" si="7"/>
        <v>Sunday</v>
      </c>
      <c r="G354" s="2" t="s">
        <v>328</v>
      </c>
      <c r="H354" s="2">
        <v>5</v>
      </c>
      <c r="I354" s="2" t="e">
        <f t="shared" ca="1" si="9"/>
        <v>#NAME?</v>
      </c>
      <c r="J354" s="2" t="e">
        <f t="shared" ca="1" si="8"/>
        <v>#NAME?</v>
      </c>
    </row>
    <row r="355" spans="1:10" ht="15.75" customHeight="1" x14ac:dyDescent="0.2">
      <c r="A355" s="2">
        <v>354</v>
      </c>
      <c r="B355" s="4">
        <v>45145</v>
      </c>
      <c r="C355" s="2">
        <f t="shared" si="5"/>
        <v>0</v>
      </c>
      <c r="D355" s="2">
        <v>1</v>
      </c>
      <c r="E355" s="2">
        <f t="shared" si="6"/>
        <v>1</v>
      </c>
      <c r="F355" s="2" t="str">
        <f t="shared" si="7"/>
        <v>Monday</v>
      </c>
      <c r="G355" s="2" t="s">
        <v>328</v>
      </c>
      <c r="H355" s="2">
        <v>5</v>
      </c>
      <c r="I355" s="2" t="e">
        <f t="shared" ca="1" si="9"/>
        <v>#NAME?</v>
      </c>
      <c r="J355" s="2" t="e">
        <f t="shared" ca="1" si="8"/>
        <v>#NAME?</v>
      </c>
    </row>
    <row r="356" spans="1:10" ht="15.75" customHeight="1" x14ac:dyDescent="0.2">
      <c r="A356" s="2">
        <v>355</v>
      </c>
      <c r="B356" s="4">
        <v>45146</v>
      </c>
      <c r="C356" s="2">
        <f t="shared" si="5"/>
        <v>0</v>
      </c>
      <c r="D356" s="2">
        <v>1</v>
      </c>
      <c r="E356" s="2">
        <f t="shared" si="6"/>
        <v>1</v>
      </c>
      <c r="F356" s="2" t="str">
        <f t="shared" si="7"/>
        <v>Tuesday</v>
      </c>
      <c r="G356" s="2" t="s">
        <v>328</v>
      </c>
      <c r="H356" s="2">
        <v>5</v>
      </c>
      <c r="I356" s="2" t="e">
        <f t="shared" ca="1" si="9"/>
        <v>#NAME?</v>
      </c>
      <c r="J356" s="2" t="e">
        <f t="shared" ca="1" si="8"/>
        <v>#NAME?</v>
      </c>
    </row>
    <row r="357" spans="1:10" ht="15.75" customHeight="1" x14ac:dyDescent="0.2">
      <c r="A357" s="2">
        <v>356</v>
      </c>
      <c r="B357" s="4">
        <v>45147</v>
      </c>
      <c r="C357" s="2">
        <f t="shared" si="5"/>
        <v>0</v>
      </c>
      <c r="D357" s="2">
        <v>1</v>
      </c>
      <c r="E357" s="2">
        <f t="shared" si="6"/>
        <v>1</v>
      </c>
      <c r="F357" s="2" t="str">
        <f t="shared" si="7"/>
        <v>Wednesday</v>
      </c>
      <c r="G357" s="2" t="s">
        <v>328</v>
      </c>
      <c r="H357" s="2">
        <v>5</v>
      </c>
      <c r="I357" s="2" t="e">
        <f t="shared" ca="1" si="9"/>
        <v>#NAME?</v>
      </c>
      <c r="J357" s="2" t="e">
        <f t="shared" ca="1" si="8"/>
        <v>#NAME?</v>
      </c>
    </row>
    <row r="358" spans="1:10" ht="15.75" customHeight="1" x14ac:dyDescent="0.2">
      <c r="A358" s="2">
        <v>357</v>
      </c>
      <c r="B358" s="4">
        <v>45148</v>
      </c>
      <c r="C358" s="2">
        <f t="shared" si="5"/>
        <v>0</v>
      </c>
      <c r="D358" s="2">
        <v>1</v>
      </c>
      <c r="E358" s="2">
        <f t="shared" si="6"/>
        <v>1</v>
      </c>
      <c r="F358" s="2" t="str">
        <f t="shared" si="7"/>
        <v>Thursday</v>
      </c>
      <c r="G358" s="2" t="s">
        <v>328</v>
      </c>
      <c r="H358" s="2">
        <v>5</v>
      </c>
      <c r="I358" s="2" t="e">
        <f t="shared" ca="1" si="9"/>
        <v>#NAME?</v>
      </c>
      <c r="J358" s="2" t="e">
        <f t="shared" ca="1" si="8"/>
        <v>#NAME?</v>
      </c>
    </row>
    <row r="359" spans="1:10" ht="15.75" customHeight="1" x14ac:dyDescent="0.2">
      <c r="A359" s="2">
        <v>358</v>
      </c>
      <c r="B359" s="4">
        <v>45149</v>
      </c>
      <c r="C359" s="2">
        <f t="shared" si="5"/>
        <v>0</v>
      </c>
      <c r="D359" s="2">
        <v>1</v>
      </c>
      <c r="E359" s="2">
        <f t="shared" si="6"/>
        <v>1</v>
      </c>
      <c r="F359" s="2" t="str">
        <f t="shared" si="7"/>
        <v>Friday</v>
      </c>
      <c r="G359" s="2" t="s">
        <v>328</v>
      </c>
      <c r="H359" s="2">
        <v>5</v>
      </c>
      <c r="I359" s="2" t="e">
        <f t="shared" ca="1" si="9"/>
        <v>#NAME?</v>
      </c>
      <c r="J359" s="2" t="e">
        <f t="shared" ca="1" si="8"/>
        <v>#NAME?</v>
      </c>
    </row>
    <row r="360" spans="1:10" ht="15.75" customHeight="1" x14ac:dyDescent="0.2">
      <c r="A360" s="2">
        <v>359</v>
      </c>
      <c r="B360" s="4">
        <v>45150</v>
      </c>
      <c r="C360" s="2">
        <f t="shared" si="5"/>
        <v>1</v>
      </c>
      <c r="D360" s="2">
        <v>1</v>
      </c>
      <c r="E360" s="2">
        <f t="shared" si="6"/>
        <v>1</v>
      </c>
      <c r="F360" s="2" t="str">
        <f t="shared" si="7"/>
        <v>Saturday</v>
      </c>
      <c r="G360" s="2" t="s">
        <v>328</v>
      </c>
      <c r="H360" s="2">
        <v>5</v>
      </c>
      <c r="I360" s="2" t="e">
        <f t="shared" ca="1" si="9"/>
        <v>#NAME?</v>
      </c>
      <c r="J360" s="2" t="e">
        <f t="shared" ca="1" si="8"/>
        <v>#NAME?</v>
      </c>
    </row>
    <row r="361" spans="1:10" ht="15.75" customHeight="1" x14ac:dyDescent="0.2">
      <c r="A361" s="2">
        <v>360</v>
      </c>
      <c r="B361" s="4">
        <v>45151</v>
      </c>
      <c r="C361" s="2">
        <f t="shared" si="5"/>
        <v>1</v>
      </c>
      <c r="D361" s="2">
        <v>1</v>
      </c>
      <c r="E361" s="2">
        <f t="shared" si="6"/>
        <v>1</v>
      </c>
      <c r="F361" s="2" t="str">
        <f t="shared" si="7"/>
        <v>Sunday</v>
      </c>
      <c r="G361" s="2" t="s">
        <v>328</v>
      </c>
      <c r="H361" s="2">
        <v>5</v>
      </c>
      <c r="I361" s="2" t="e">
        <f t="shared" ca="1" si="9"/>
        <v>#NAME?</v>
      </c>
      <c r="J361" s="2" t="e">
        <f t="shared" ca="1" si="8"/>
        <v>#NAME?</v>
      </c>
    </row>
    <row r="362" spans="1:10" ht="15.75" customHeight="1" x14ac:dyDescent="0.2">
      <c r="A362" s="2">
        <v>361</v>
      </c>
      <c r="B362" s="4">
        <v>45152</v>
      </c>
      <c r="C362" s="2">
        <f t="shared" si="5"/>
        <v>0</v>
      </c>
      <c r="D362" s="2">
        <v>1</v>
      </c>
      <c r="E362" s="2">
        <f t="shared" si="6"/>
        <v>1</v>
      </c>
      <c r="F362" s="2" t="str">
        <f t="shared" si="7"/>
        <v>Monday</v>
      </c>
      <c r="G362" s="2" t="s">
        <v>328</v>
      </c>
      <c r="H362" s="2">
        <v>5</v>
      </c>
      <c r="I362" s="2" t="e">
        <f t="shared" ca="1" si="9"/>
        <v>#NAME?</v>
      </c>
      <c r="J362" s="2" t="e">
        <f t="shared" ca="1" si="8"/>
        <v>#NAME?</v>
      </c>
    </row>
    <row r="363" spans="1:10" ht="15.75" customHeight="1" x14ac:dyDescent="0.2">
      <c r="A363" s="2">
        <v>362</v>
      </c>
      <c r="B363" s="4">
        <v>45153</v>
      </c>
      <c r="C363" s="2">
        <f t="shared" si="5"/>
        <v>0</v>
      </c>
      <c r="D363" s="2">
        <v>1</v>
      </c>
      <c r="E363" s="2">
        <f t="shared" si="6"/>
        <v>1</v>
      </c>
      <c r="F363" s="2" t="str">
        <f t="shared" si="7"/>
        <v>Tuesday</v>
      </c>
      <c r="G363" s="2" t="s">
        <v>328</v>
      </c>
      <c r="H363" s="2">
        <v>5</v>
      </c>
      <c r="I363" s="2" t="e">
        <f t="shared" ca="1" si="9"/>
        <v>#NAME?</v>
      </c>
      <c r="J363" s="2" t="e">
        <f t="shared" ca="1" si="8"/>
        <v>#NAME?</v>
      </c>
    </row>
    <row r="364" spans="1:10" ht="15.75" customHeight="1" x14ac:dyDescent="0.2">
      <c r="A364" s="2">
        <v>363</v>
      </c>
      <c r="B364" s="4">
        <v>45154</v>
      </c>
      <c r="C364" s="2">
        <f t="shared" si="5"/>
        <v>0</v>
      </c>
      <c r="D364" s="2">
        <v>1</v>
      </c>
      <c r="E364" s="2">
        <f t="shared" si="6"/>
        <v>1</v>
      </c>
      <c r="F364" s="2" t="str">
        <f t="shared" si="7"/>
        <v>Wednesday</v>
      </c>
      <c r="G364" s="2" t="s">
        <v>328</v>
      </c>
      <c r="H364" s="2">
        <v>5</v>
      </c>
      <c r="I364" s="2" t="e">
        <f t="shared" ca="1" si="9"/>
        <v>#NAME?</v>
      </c>
      <c r="J364" s="2" t="e">
        <f t="shared" ca="1" si="8"/>
        <v>#NAME?</v>
      </c>
    </row>
    <row r="365" spans="1:10" ht="15.75" customHeight="1" x14ac:dyDescent="0.2">
      <c r="A365" s="2">
        <v>364</v>
      </c>
      <c r="B365" s="4">
        <v>45155</v>
      </c>
      <c r="C365" s="2">
        <f t="shared" si="5"/>
        <v>0</v>
      </c>
      <c r="D365" s="2">
        <v>1</v>
      </c>
      <c r="E365" s="2">
        <f t="shared" si="6"/>
        <v>1</v>
      </c>
      <c r="F365" s="2" t="str">
        <f t="shared" si="7"/>
        <v>Thursday</v>
      </c>
      <c r="G365" s="2" t="s">
        <v>328</v>
      </c>
      <c r="H365" s="2">
        <v>5</v>
      </c>
      <c r="I365" s="2" t="e">
        <f t="shared" ca="1" si="9"/>
        <v>#NAME?</v>
      </c>
      <c r="J365" s="2" t="e">
        <f t="shared" ca="1" si="8"/>
        <v>#NAME?</v>
      </c>
    </row>
    <row r="366" spans="1:10" ht="15.75" customHeight="1" x14ac:dyDescent="0.2">
      <c r="A366" s="2">
        <v>365</v>
      </c>
      <c r="B366" s="4">
        <v>45156</v>
      </c>
      <c r="C366" s="2">
        <f t="shared" si="5"/>
        <v>0</v>
      </c>
      <c r="D366" s="2">
        <v>1</v>
      </c>
      <c r="E366" s="2">
        <f t="shared" si="6"/>
        <v>1</v>
      </c>
      <c r="F366" s="2" t="str">
        <f t="shared" si="7"/>
        <v>Friday</v>
      </c>
      <c r="G366" s="2" t="s">
        <v>328</v>
      </c>
      <c r="H366" s="2">
        <v>5</v>
      </c>
      <c r="I366" s="2" t="e">
        <f t="shared" ca="1" si="9"/>
        <v>#NAME?</v>
      </c>
      <c r="J366" s="2" t="e">
        <f t="shared" ca="1" si="8"/>
        <v>#NAME?</v>
      </c>
    </row>
    <row r="367" spans="1:10" ht="15.75" customHeight="1" x14ac:dyDescent="0.2">
      <c r="A367" s="2">
        <v>366</v>
      </c>
      <c r="B367" s="4">
        <v>45157</v>
      </c>
      <c r="C367" s="2">
        <f t="shared" si="5"/>
        <v>1</v>
      </c>
      <c r="D367" s="2">
        <v>1</v>
      </c>
      <c r="E367" s="2">
        <f t="shared" si="6"/>
        <v>1</v>
      </c>
      <c r="F367" s="2" t="str">
        <f t="shared" si="7"/>
        <v>Saturday</v>
      </c>
      <c r="G367" s="2" t="s">
        <v>328</v>
      </c>
      <c r="H367" s="2">
        <v>5</v>
      </c>
      <c r="I367" s="2" t="e">
        <f t="shared" ca="1" si="9"/>
        <v>#NAME?</v>
      </c>
      <c r="J367" s="2" t="e">
        <f t="shared" ca="1" si="8"/>
        <v>#NAME?</v>
      </c>
    </row>
    <row r="368" spans="1:10" ht="15.75" customHeight="1" x14ac:dyDescent="0.2">
      <c r="A368" s="2">
        <v>367</v>
      </c>
      <c r="B368" s="4">
        <v>45158</v>
      </c>
      <c r="C368" s="2">
        <f t="shared" si="5"/>
        <v>1</v>
      </c>
      <c r="D368" s="2">
        <v>1</v>
      </c>
      <c r="E368" s="2">
        <f t="shared" si="6"/>
        <v>1</v>
      </c>
      <c r="F368" s="2" t="str">
        <f t="shared" si="7"/>
        <v>Sunday</v>
      </c>
      <c r="G368" s="2" t="s">
        <v>328</v>
      </c>
      <c r="H368" s="2">
        <v>5</v>
      </c>
      <c r="I368" s="2" t="e">
        <f t="shared" ca="1" si="9"/>
        <v>#NAME?</v>
      </c>
      <c r="J368" s="2" t="e">
        <f t="shared" ca="1" si="8"/>
        <v>#NAME?</v>
      </c>
    </row>
    <row r="369" spans="1:10" ht="15.75" customHeight="1" x14ac:dyDescent="0.2">
      <c r="A369" s="2">
        <v>368</v>
      </c>
      <c r="B369" s="4">
        <v>45159</v>
      </c>
      <c r="C369" s="2">
        <f t="shared" si="5"/>
        <v>0</v>
      </c>
      <c r="D369" s="2">
        <v>0</v>
      </c>
      <c r="E369" s="2">
        <f t="shared" si="6"/>
        <v>0</v>
      </c>
      <c r="F369" s="2" t="str">
        <f t="shared" si="7"/>
        <v>Monday</v>
      </c>
      <c r="H369" s="2">
        <v>1</v>
      </c>
      <c r="I369" s="2" t="e">
        <f t="shared" ca="1" si="9"/>
        <v>#NAME?</v>
      </c>
      <c r="J369" s="2" t="e">
        <f t="shared" ca="1" si="8"/>
        <v>#NAME?</v>
      </c>
    </row>
    <row r="370" spans="1:10" ht="15.75" customHeight="1" x14ac:dyDescent="0.2">
      <c r="A370" s="2">
        <v>369</v>
      </c>
      <c r="B370" s="4">
        <v>45160</v>
      </c>
      <c r="C370" s="2">
        <f t="shared" si="5"/>
        <v>0</v>
      </c>
      <c r="D370" s="2">
        <v>0</v>
      </c>
      <c r="E370" s="2">
        <f t="shared" si="6"/>
        <v>0</v>
      </c>
      <c r="F370" s="2" t="str">
        <f t="shared" si="7"/>
        <v>Tuesday</v>
      </c>
      <c r="H370" s="2">
        <v>1</v>
      </c>
      <c r="I370" s="2" t="e">
        <f t="shared" ca="1" si="9"/>
        <v>#NAME?</v>
      </c>
      <c r="J370" s="2" t="e">
        <f t="shared" ca="1" si="8"/>
        <v>#NAME?</v>
      </c>
    </row>
    <row r="371" spans="1:10" ht="15.75" customHeight="1" x14ac:dyDescent="0.2">
      <c r="A371" s="2">
        <v>370</v>
      </c>
      <c r="B371" s="4">
        <v>45161</v>
      </c>
      <c r="C371" s="2">
        <f t="shared" si="5"/>
        <v>0</v>
      </c>
      <c r="D371" s="2">
        <v>0</v>
      </c>
      <c r="E371" s="2">
        <f t="shared" si="6"/>
        <v>0</v>
      </c>
      <c r="F371" s="2" t="str">
        <f t="shared" si="7"/>
        <v>Wednesday</v>
      </c>
      <c r="H371" s="2">
        <v>1</v>
      </c>
      <c r="I371" s="2" t="e">
        <f t="shared" ca="1" si="9"/>
        <v>#NAME?</v>
      </c>
      <c r="J371" s="2" t="e">
        <f t="shared" ca="1" si="8"/>
        <v>#NAME?</v>
      </c>
    </row>
    <row r="372" spans="1:10" ht="15.75" customHeight="1" x14ac:dyDescent="0.2">
      <c r="A372" s="2">
        <v>371</v>
      </c>
      <c r="B372" s="4">
        <v>45162</v>
      </c>
      <c r="C372" s="2">
        <f t="shared" si="5"/>
        <v>0</v>
      </c>
      <c r="D372" s="2">
        <v>0</v>
      </c>
      <c r="E372" s="2">
        <f t="shared" si="6"/>
        <v>0</v>
      </c>
      <c r="F372" s="2" t="str">
        <f t="shared" si="7"/>
        <v>Thursday</v>
      </c>
      <c r="H372" s="2">
        <v>1</v>
      </c>
      <c r="I372" s="2" t="e">
        <f t="shared" ca="1" si="9"/>
        <v>#NAME?</v>
      </c>
      <c r="J372" s="2" t="e">
        <f t="shared" ca="1" si="8"/>
        <v>#NAME?</v>
      </c>
    </row>
    <row r="373" spans="1:10" ht="15.75" customHeight="1" x14ac:dyDescent="0.2">
      <c r="A373" s="2">
        <v>372</v>
      </c>
      <c r="B373" s="4">
        <v>45163</v>
      </c>
      <c r="C373" s="2">
        <f t="shared" si="5"/>
        <v>0</v>
      </c>
      <c r="D373" s="2">
        <v>0</v>
      </c>
      <c r="E373" s="2">
        <f t="shared" si="6"/>
        <v>0</v>
      </c>
      <c r="F373" s="2" t="str">
        <f t="shared" si="7"/>
        <v>Friday</v>
      </c>
      <c r="H373" s="2">
        <v>1</v>
      </c>
      <c r="I373" s="2" t="e">
        <f t="shared" ca="1" si="9"/>
        <v>#NAME?</v>
      </c>
      <c r="J373" s="2" t="e">
        <f t="shared" ca="1" si="8"/>
        <v>#NAME?</v>
      </c>
    </row>
    <row r="374" spans="1:10" ht="15.75" customHeight="1" x14ac:dyDescent="0.2">
      <c r="A374" s="2">
        <v>373</v>
      </c>
      <c r="B374" s="4">
        <v>45164</v>
      </c>
      <c r="C374" s="2">
        <f t="shared" si="5"/>
        <v>1</v>
      </c>
      <c r="D374" s="2">
        <v>0</v>
      </c>
      <c r="E374" s="2">
        <f t="shared" si="6"/>
        <v>1</v>
      </c>
      <c r="F374" s="2" t="str">
        <f t="shared" si="7"/>
        <v>Saturday</v>
      </c>
      <c r="H374" s="2">
        <v>1</v>
      </c>
      <c r="I374" s="2" t="e">
        <f t="shared" ca="1" si="9"/>
        <v>#NAME?</v>
      </c>
      <c r="J374" s="2" t="e">
        <f t="shared" ca="1" si="8"/>
        <v>#NAME?</v>
      </c>
    </row>
    <row r="375" spans="1:10" ht="15.75" customHeight="1" x14ac:dyDescent="0.2">
      <c r="A375" s="2">
        <v>374</v>
      </c>
      <c r="B375" s="4">
        <v>45165</v>
      </c>
      <c r="C375" s="2">
        <f t="shared" si="5"/>
        <v>1</v>
      </c>
      <c r="D375" s="2">
        <v>0</v>
      </c>
      <c r="E375" s="2">
        <f t="shared" si="6"/>
        <v>1</v>
      </c>
      <c r="F375" s="2" t="str">
        <f t="shared" si="7"/>
        <v>Sunday</v>
      </c>
      <c r="H375" s="2">
        <v>1</v>
      </c>
      <c r="I375" s="2" t="e">
        <f t="shared" ca="1" si="9"/>
        <v>#NAME?</v>
      </c>
      <c r="J375" s="2" t="e">
        <f t="shared" ca="1" si="8"/>
        <v>#NAME?</v>
      </c>
    </row>
    <row r="376" spans="1:10" ht="15.75" customHeight="1" x14ac:dyDescent="0.2">
      <c r="A376" s="2">
        <v>375</v>
      </c>
      <c r="B376" s="4">
        <v>45166</v>
      </c>
      <c r="C376" s="2">
        <f t="shared" si="5"/>
        <v>0</v>
      </c>
      <c r="D376" s="2">
        <v>0</v>
      </c>
      <c r="E376" s="2">
        <f t="shared" si="6"/>
        <v>0</v>
      </c>
      <c r="F376" s="2" t="str">
        <f t="shared" si="7"/>
        <v>Monday</v>
      </c>
      <c r="H376" s="2">
        <v>1</v>
      </c>
      <c r="I376" s="2" t="e">
        <f t="shared" ca="1" si="9"/>
        <v>#NAME?</v>
      </c>
      <c r="J376" s="2" t="e">
        <f t="shared" ca="1" si="8"/>
        <v>#NAME?</v>
      </c>
    </row>
    <row r="377" spans="1:10" ht="15.75" customHeight="1" x14ac:dyDescent="0.2">
      <c r="A377" s="2">
        <v>376</v>
      </c>
      <c r="B377" s="4">
        <v>45167</v>
      </c>
      <c r="C377" s="2">
        <f t="shared" si="5"/>
        <v>0</v>
      </c>
      <c r="D377" s="2">
        <v>0</v>
      </c>
      <c r="E377" s="2">
        <f t="shared" si="6"/>
        <v>0</v>
      </c>
      <c r="F377" s="2" t="str">
        <f t="shared" si="7"/>
        <v>Tuesday</v>
      </c>
      <c r="H377" s="2">
        <v>1</v>
      </c>
      <c r="I377" s="2" t="e">
        <f t="shared" ca="1" si="9"/>
        <v>#NAME?</v>
      </c>
      <c r="J377" s="2" t="e">
        <f t="shared" ca="1" si="8"/>
        <v>#NAME?</v>
      </c>
    </row>
    <row r="378" spans="1:10" ht="15.75" customHeight="1" x14ac:dyDescent="0.2">
      <c r="A378" s="2">
        <v>377</v>
      </c>
      <c r="B378" s="4">
        <v>45168</v>
      </c>
      <c r="C378" s="2">
        <f t="shared" si="5"/>
        <v>0</v>
      </c>
      <c r="D378" s="2">
        <v>0</v>
      </c>
      <c r="E378" s="2">
        <f t="shared" si="6"/>
        <v>0</v>
      </c>
      <c r="F378" s="2" t="str">
        <f t="shared" si="7"/>
        <v>Wednesday</v>
      </c>
      <c r="H378" s="2">
        <v>1</v>
      </c>
      <c r="I378" s="2" t="e">
        <f t="shared" ca="1" si="9"/>
        <v>#NAME?</v>
      </c>
      <c r="J378" s="2" t="e">
        <f t="shared" ca="1" si="8"/>
        <v>#NAME?</v>
      </c>
    </row>
    <row r="379" spans="1:10" ht="15.75" customHeight="1" x14ac:dyDescent="0.2">
      <c r="A379" s="2">
        <v>378</v>
      </c>
      <c r="B379" s="4">
        <v>45169</v>
      </c>
      <c r="C379" s="2">
        <f t="shared" si="5"/>
        <v>0</v>
      </c>
      <c r="D379" s="2">
        <v>0</v>
      </c>
      <c r="E379" s="2">
        <f t="shared" si="6"/>
        <v>0</v>
      </c>
      <c r="F379" s="2" t="str">
        <f t="shared" si="7"/>
        <v>Thursday</v>
      </c>
      <c r="H379" s="2">
        <v>1</v>
      </c>
      <c r="I379" s="2" t="e">
        <f t="shared" ca="1" si="9"/>
        <v>#NAME?</v>
      </c>
      <c r="J379" s="2" t="e">
        <f t="shared" ca="1" si="8"/>
        <v>#NAME?</v>
      </c>
    </row>
    <row r="380" spans="1:10" ht="15.75" customHeight="1" x14ac:dyDescent="0.2">
      <c r="A380" s="2">
        <v>379</v>
      </c>
      <c r="B380" s="4">
        <v>45170</v>
      </c>
      <c r="C380" s="2">
        <f t="shared" si="5"/>
        <v>0</v>
      </c>
      <c r="D380" s="2">
        <v>0</v>
      </c>
      <c r="E380" s="2">
        <f t="shared" si="6"/>
        <v>0</v>
      </c>
      <c r="F380" s="2" t="str">
        <f t="shared" si="7"/>
        <v>Friday</v>
      </c>
      <c r="H380" s="2">
        <v>1</v>
      </c>
      <c r="I380" s="2" t="e">
        <f t="shared" ca="1" si="9"/>
        <v>#NAME?</v>
      </c>
      <c r="J380" s="2" t="e">
        <f t="shared" ca="1" si="8"/>
        <v>#NAME?</v>
      </c>
    </row>
    <row r="381" spans="1:10" ht="15.75" customHeight="1" x14ac:dyDescent="0.2">
      <c r="A381" s="2">
        <v>380</v>
      </c>
      <c r="B381" s="4">
        <v>45171</v>
      </c>
      <c r="C381" s="2">
        <f t="shared" si="5"/>
        <v>1</v>
      </c>
      <c r="D381" s="2">
        <v>0</v>
      </c>
      <c r="E381" s="2">
        <f t="shared" si="6"/>
        <v>1</v>
      </c>
      <c r="F381" s="2" t="str">
        <f t="shared" si="7"/>
        <v>Saturday</v>
      </c>
      <c r="H381" s="2">
        <v>1</v>
      </c>
      <c r="I381" s="2" t="e">
        <f t="shared" ca="1" si="9"/>
        <v>#NAME?</v>
      </c>
      <c r="J381" s="2" t="e">
        <f t="shared" ca="1" si="8"/>
        <v>#NAME?</v>
      </c>
    </row>
    <row r="382" spans="1:10" ht="15.75" customHeight="1" x14ac:dyDescent="0.2">
      <c r="A382" s="2">
        <v>381</v>
      </c>
      <c r="B382" s="4">
        <v>45172</v>
      </c>
      <c r="C382" s="2">
        <f t="shared" si="5"/>
        <v>1</v>
      </c>
      <c r="D382" s="2">
        <v>0</v>
      </c>
      <c r="E382" s="2">
        <f t="shared" si="6"/>
        <v>1</v>
      </c>
      <c r="F382" s="2" t="str">
        <f t="shared" si="7"/>
        <v>Sunday</v>
      </c>
      <c r="H382" s="2">
        <v>1</v>
      </c>
      <c r="I382" s="2" t="e">
        <f t="shared" ca="1" si="9"/>
        <v>#NAME?</v>
      </c>
      <c r="J382" s="2" t="e">
        <f t="shared" ca="1" si="8"/>
        <v>#NAME?</v>
      </c>
    </row>
    <row r="383" spans="1:10" ht="15.75" customHeight="1" x14ac:dyDescent="0.2">
      <c r="A383" s="2">
        <v>382</v>
      </c>
      <c r="B383" s="4">
        <v>45173</v>
      </c>
      <c r="C383" s="2">
        <f t="shared" si="5"/>
        <v>0</v>
      </c>
      <c r="D383" s="2">
        <v>0</v>
      </c>
      <c r="E383" s="2">
        <f t="shared" si="6"/>
        <v>0</v>
      </c>
      <c r="F383" s="2" t="str">
        <f t="shared" si="7"/>
        <v>Monday</v>
      </c>
      <c r="H383" s="2">
        <v>1</v>
      </c>
      <c r="I383" s="2" t="e">
        <f t="shared" ca="1" si="9"/>
        <v>#NAME?</v>
      </c>
      <c r="J383" s="2" t="e">
        <f t="shared" ca="1" si="8"/>
        <v>#NAME?</v>
      </c>
    </row>
    <row r="384" spans="1:10" ht="15.75" customHeight="1" x14ac:dyDescent="0.2">
      <c r="A384" s="2">
        <v>383</v>
      </c>
      <c r="B384" s="4">
        <v>45174</v>
      </c>
      <c r="C384" s="2">
        <f t="shared" si="5"/>
        <v>0</v>
      </c>
      <c r="D384" s="2">
        <v>0</v>
      </c>
      <c r="E384" s="2">
        <f t="shared" si="6"/>
        <v>0</v>
      </c>
      <c r="F384" s="2" t="str">
        <f t="shared" si="7"/>
        <v>Tuesday</v>
      </c>
      <c r="H384" s="2">
        <v>1</v>
      </c>
      <c r="I384" s="2" t="e">
        <f t="shared" ca="1" si="9"/>
        <v>#NAME?</v>
      </c>
      <c r="J384" s="2" t="e">
        <f t="shared" ca="1" si="8"/>
        <v>#NAME?</v>
      </c>
    </row>
    <row r="385" spans="1:10" ht="15.75" customHeight="1" x14ac:dyDescent="0.2">
      <c r="A385" s="2">
        <v>384</v>
      </c>
      <c r="B385" s="4">
        <v>45175</v>
      </c>
      <c r="C385" s="2">
        <f t="shared" si="5"/>
        <v>0</v>
      </c>
      <c r="D385" s="2">
        <v>0</v>
      </c>
      <c r="E385" s="2">
        <f t="shared" si="6"/>
        <v>0</v>
      </c>
      <c r="F385" s="2" t="str">
        <f t="shared" si="7"/>
        <v>Wednesday</v>
      </c>
      <c r="H385" s="2">
        <v>1</v>
      </c>
      <c r="I385" s="2" t="e">
        <f t="shared" ca="1" si="9"/>
        <v>#NAME?</v>
      </c>
      <c r="J385" s="2" t="e">
        <f t="shared" ca="1" si="8"/>
        <v>#NAME?</v>
      </c>
    </row>
    <row r="386" spans="1:10" ht="15.75" customHeight="1" x14ac:dyDescent="0.2">
      <c r="A386" s="2">
        <v>385</v>
      </c>
      <c r="B386" s="4">
        <v>45176</v>
      </c>
      <c r="C386" s="2">
        <f t="shared" si="5"/>
        <v>0</v>
      </c>
      <c r="D386" s="2">
        <v>0</v>
      </c>
      <c r="E386" s="2">
        <f t="shared" si="6"/>
        <v>0</v>
      </c>
      <c r="F386" s="2" t="str">
        <f t="shared" si="7"/>
        <v>Thursday</v>
      </c>
      <c r="H386" s="2">
        <v>1</v>
      </c>
      <c r="I386" s="2" t="e">
        <f t="shared" ca="1" si="9"/>
        <v>#NAME?</v>
      </c>
      <c r="J386" s="2" t="e">
        <f t="shared" ca="1" si="8"/>
        <v>#NAME?</v>
      </c>
    </row>
    <row r="387" spans="1:10" ht="15.75" customHeight="1" x14ac:dyDescent="0.2">
      <c r="A387" s="2">
        <v>386</v>
      </c>
      <c r="B387" s="4">
        <v>45177</v>
      </c>
      <c r="C387" s="2">
        <f t="shared" si="5"/>
        <v>0</v>
      </c>
      <c r="D387" s="2">
        <v>0</v>
      </c>
      <c r="E387" s="2">
        <f t="shared" si="6"/>
        <v>0</v>
      </c>
      <c r="F387" s="2" t="str">
        <f t="shared" si="7"/>
        <v>Friday</v>
      </c>
      <c r="H387" s="2">
        <v>1</v>
      </c>
      <c r="I387" s="2" t="e">
        <f t="shared" ca="1" si="9"/>
        <v>#NAME?</v>
      </c>
      <c r="J387" s="2" t="e">
        <f t="shared" ca="1" si="8"/>
        <v>#NAME?</v>
      </c>
    </row>
    <row r="388" spans="1:10" ht="15.75" customHeight="1" x14ac:dyDescent="0.2">
      <c r="A388" s="2">
        <v>387</v>
      </c>
      <c r="B388" s="4">
        <v>45178</v>
      </c>
      <c r="C388" s="2">
        <f t="shared" si="5"/>
        <v>1</v>
      </c>
      <c r="D388" s="2">
        <v>0</v>
      </c>
      <c r="E388" s="2">
        <f t="shared" si="6"/>
        <v>1</v>
      </c>
      <c r="F388" s="2" t="str">
        <f t="shared" si="7"/>
        <v>Saturday</v>
      </c>
      <c r="H388" s="2">
        <v>1</v>
      </c>
      <c r="I388" s="2" t="e">
        <f t="shared" ca="1" si="9"/>
        <v>#NAME?</v>
      </c>
      <c r="J388" s="2" t="e">
        <f t="shared" ca="1" si="8"/>
        <v>#NAME?</v>
      </c>
    </row>
    <row r="389" spans="1:10" ht="15.75" customHeight="1" x14ac:dyDescent="0.2">
      <c r="A389" s="2">
        <v>388</v>
      </c>
      <c r="B389" s="4">
        <v>45179</v>
      </c>
      <c r="C389" s="2">
        <f t="shared" si="5"/>
        <v>1</v>
      </c>
      <c r="D389" s="2">
        <v>0</v>
      </c>
      <c r="E389" s="2">
        <f t="shared" si="6"/>
        <v>1</v>
      </c>
      <c r="F389" s="2" t="str">
        <f t="shared" si="7"/>
        <v>Sunday</v>
      </c>
      <c r="H389" s="2">
        <v>1</v>
      </c>
      <c r="I389" s="2" t="e">
        <f t="shared" ca="1" si="9"/>
        <v>#NAME?</v>
      </c>
      <c r="J389" s="2" t="e">
        <f t="shared" ca="1" si="8"/>
        <v>#NAME?</v>
      </c>
    </row>
    <row r="390" spans="1:10" ht="15.75" customHeight="1" x14ac:dyDescent="0.2">
      <c r="A390" s="2">
        <v>389</v>
      </c>
      <c r="B390" s="4">
        <v>45180</v>
      </c>
      <c r="C390" s="2">
        <f t="shared" si="5"/>
        <v>0</v>
      </c>
      <c r="D390" s="2">
        <v>0</v>
      </c>
      <c r="E390" s="2">
        <f t="shared" si="6"/>
        <v>0</v>
      </c>
      <c r="F390" s="2" t="str">
        <f t="shared" si="7"/>
        <v>Monday</v>
      </c>
      <c r="H390" s="2">
        <v>1</v>
      </c>
      <c r="I390" s="2" t="e">
        <f t="shared" ca="1" si="9"/>
        <v>#NAME?</v>
      </c>
      <c r="J390" s="2" t="e">
        <f t="shared" ca="1" si="8"/>
        <v>#NAME?</v>
      </c>
    </row>
    <row r="391" spans="1:10" ht="15.75" customHeight="1" x14ac:dyDescent="0.2">
      <c r="A391" s="2">
        <v>390</v>
      </c>
      <c r="B391" s="4">
        <v>45181</v>
      </c>
      <c r="C391" s="2">
        <f t="shared" si="5"/>
        <v>0</v>
      </c>
      <c r="D391" s="2">
        <v>0</v>
      </c>
      <c r="E391" s="2">
        <f t="shared" si="6"/>
        <v>0</v>
      </c>
      <c r="F391" s="2" t="str">
        <f t="shared" si="7"/>
        <v>Tuesday</v>
      </c>
      <c r="H391" s="2">
        <v>1</v>
      </c>
      <c r="I391" s="2" t="e">
        <f t="shared" ca="1" si="9"/>
        <v>#NAME?</v>
      </c>
      <c r="J391" s="2" t="e">
        <f t="shared" ca="1" si="8"/>
        <v>#NAME?</v>
      </c>
    </row>
    <row r="392" spans="1:10" ht="15.75" customHeight="1" x14ac:dyDescent="0.2">
      <c r="A392" s="2">
        <v>391</v>
      </c>
      <c r="B392" s="4">
        <v>45182</v>
      </c>
      <c r="C392" s="2">
        <f t="shared" si="5"/>
        <v>0</v>
      </c>
      <c r="D392" s="2">
        <v>0</v>
      </c>
      <c r="E392" s="2">
        <f t="shared" si="6"/>
        <v>0</v>
      </c>
      <c r="F392" s="2" t="str">
        <f t="shared" si="7"/>
        <v>Wednesday</v>
      </c>
      <c r="H392" s="2">
        <v>1</v>
      </c>
      <c r="I392" s="2" t="e">
        <f t="shared" ca="1" si="9"/>
        <v>#NAME?</v>
      </c>
      <c r="J392" s="2" t="e">
        <f t="shared" ca="1" si="8"/>
        <v>#NAME?</v>
      </c>
    </row>
    <row r="393" spans="1:10" ht="15.75" customHeight="1" x14ac:dyDescent="0.2">
      <c r="A393" s="2">
        <v>392</v>
      </c>
      <c r="B393" s="4">
        <v>45183</v>
      </c>
      <c r="C393" s="2">
        <f t="shared" si="5"/>
        <v>0</v>
      </c>
      <c r="D393" s="2">
        <v>0</v>
      </c>
      <c r="E393" s="2">
        <f t="shared" si="6"/>
        <v>0</v>
      </c>
      <c r="F393" s="2" t="str">
        <f t="shared" si="7"/>
        <v>Thursday</v>
      </c>
      <c r="H393" s="2">
        <v>1</v>
      </c>
      <c r="I393" s="2" t="e">
        <f t="shared" ca="1" si="9"/>
        <v>#NAME?</v>
      </c>
      <c r="J393" s="2" t="e">
        <f t="shared" ca="1" si="8"/>
        <v>#NAME?</v>
      </c>
    </row>
    <row r="394" spans="1:10" ht="15.75" customHeight="1" x14ac:dyDescent="0.2">
      <c r="A394" s="2">
        <v>393</v>
      </c>
      <c r="B394" s="4">
        <v>45184</v>
      </c>
      <c r="C394" s="2">
        <f t="shared" si="5"/>
        <v>0</v>
      </c>
      <c r="D394" s="2">
        <v>0</v>
      </c>
      <c r="E394" s="2">
        <f t="shared" si="6"/>
        <v>0</v>
      </c>
      <c r="F394" s="2" t="str">
        <f t="shared" si="7"/>
        <v>Friday</v>
      </c>
      <c r="H394" s="2">
        <v>1</v>
      </c>
      <c r="I394" s="2" t="e">
        <f t="shared" ca="1" si="9"/>
        <v>#NAME?</v>
      </c>
      <c r="J394" s="2" t="e">
        <f t="shared" ca="1" si="8"/>
        <v>#NAME?</v>
      </c>
    </row>
    <row r="395" spans="1:10" ht="15.75" customHeight="1" x14ac:dyDescent="0.2">
      <c r="A395" s="2">
        <v>394</v>
      </c>
      <c r="B395" s="4">
        <v>45185</v>
      </c>
      <c r="C395" s="2">
        <f t="shared" si="5"/>
        <v>1</v>
      </c>
      <c r="D395" s="2">
        <v>0</v>
      </c>
      <c r="E395" s="2">
        <f t="shared" si="6"/>
        <v>1</v>
      </c>
      <c r="F395" s="2" t="str">
        <f t="shared" si="7"/>
        <v>Saturday</v>
      </c>
      <c r="H395" s="2">
        <v>1</v>
      </c>
      <c r="I395" s="2" t="e">
        <f t="shared" ca="1" si="9"/>
        <v>#NAME?</v>
      </c>
      <c r="J395" s="2" t="e">
        <f t="shared" ca="1" si="8"/>
        <v>#NAME?</v>
      </c>
    </row>
    <row r="396" spans="1:10" ht="15.75" customHeight="1" x14ac:dyDescent="0.2">
      <c r="A396" s="2">
        <v>395</v>
      </c>
      <c r="B396" s="4">
        <v>45186</v>
      </c>
      <c r="C396" s="2">
        <f t="shared" si="5"/>
        <v>1</v>
      </c>
      <c r="D396" s="2">
        <v>0</v>
      </c>
      <c r="E396" s="2">
        <f t="shared" si="6"/>
        <v>1</v>
      </c>
      <c r="F396" s="2" t="str">
        <f t="shared" si="7"/>
        <v>Sunday</v>
      </c>
      <c r="H396" s="2">
        <v>1</v>
      </c>
      <c r="I396" s="2" t="e">
        <f t="shared" ca="1" si="9"/>
        <v>#NAME?</v>
      </c>
      <c r="J396" s="2" t="e">
        <f t="shared" ca="1" si="8"/>
        <v>#NAME?</v>
      </c>
    </row>
    <row r="397" spans="1:10" ht="15.75" customHeight="1" x14ac:dyDescent="0.2">
      <c r="A397" s="2">
        <v>396</v>
      </c>
      <c r="B397" s="4">
        <v>45187</v>
      </c>
      <c r="C397" s="2">
        <f t="shared" si="5"/>
        <v>0</v>
      </c>
      <c r="D397" s="2">
        <v>0</v>
      </c>
      <c r="E397" s="2">
        <f t="shared" si="6"/>
        <v>0</v>
      </c>
      <c r="F397" s="2" t="str">
        <f t="shared" si="7"/>
        <v>Monday</v>
      </c>
      <c r="H397" s="2">
        <v>1</v>
      </c>
      <c r="I397" s="2" t="e">
        <f t="shared" ca="1" si="9"/>
        <v>#NAME?</v>
      </c>
      <c r="J397" s="2" t="e">
        <f t="shared" ca="1" si="8"/>
        <v>#NAME?</v>
      </c>
    </row>
    <row r="398" spans="1:10" ht="15.75" customHeight="1" x14ac:dyDescent="0.2">
      <c r="A398" s="2">
        <v>397</v>
      </c>
      <c r="B398" s="4">
        <v>45188</v>
      </c>
      <c r="C398" s="2">
        <f t="shared" si="5"/>
        <v>0</v>
      </c>
      <c r="D398" s="2">
        <v>0</v>
      </c>
      <c r="E398" s="2">
        <f t="shared" si="6"/>
        <v>0</v>
      </c>
      <c r="F398" s="2" t="str">
        <f t="shared" si="7"/>
        <v>Tuesday</v>
      </c>
      <c r="H398" s="2">
        <v>1</v>
      </c>
      <c r="I398" s="2" t="e">
        <f t="shared" ca="1" si="9"/>
        <v>#NAME?</v>
      </c>
      <c r="J398" s="2" t="e">
        <f t="shared" ca="1" si="8"/>
        <v>#NAME?</v>
      </c>
    </row>
    <row r="399" spans="1:10" ht="15.75" customHeight="1" x14ac:dyDescent="0.2">
      <c r="A399" s="2">
        <v>398</v>
      </c>
      <c r="B399" s="4">
        <v>45189</v>
      </c>
      <c r="C399" s="2">
        <f t="shared" si="5"/>
        <v>0</v>
      </c>
      <c r="D399" s="2">
        <v>0</v>
      </c>
      <c r="E399" s="2">
        <f t="shared" si="6"/>
        <v>0</v>
      </c>
      <c r="F399" s="2" t="str">
        <f t="shared" si="7"/>
        <v>Wednesday</v>
      </c>
      <c r="H399" s="2">
        <v>1</v>
      </c>
      <c r="I399" s="2" t="e">
        <f t="shared" ca="1" si="9"/>
        <v>#NAME?</v>
      </c>
      <c r="J399" s="2" t="e">
        <f t="shared" ca="1" si="8"/>
        <v>#NAME?</v>
      </c>
    </row>
    <row r="400" spans="1:10" ht="15.75" customHeight="1" x14ac:dyDescent="0.2">
      <c r="A400" s="2">
        <v>399</v>
      </c>
      <c r="B400" s="4">
        <v>45190</v>
      </c>
      <c r="C400" s="2">
        <f t="shared" si="5"/>
        <v>0</v>
      </c>
      <c r="D400" s="2">
        <v>0</v>
      </c>
      <c r="E400" s="2">
        <f t="shared" si="6"/>
        <v>0</v>
      </c>
      <c r="F400" s="2" t="str">
        <f t="shared" si="7"/>
        <v>Thursday</v>
      </c>
      <c r="H400" s="2">
        <v>1</v>
      </c>
      <c r="I400" s="2" t="e">
        <f t="shared" ca="1" si="9"/>
        <v>#NAME?</v>
      </c>
      <c r="J400" s="2" t="e">
        <f t="shared" ca="1" si="8"/>
        <v>#NAME?</v>
      </c>
    </row>
    <row r="401" spans="1:10" ht="15.75" customHeight="1" x14ac:dyDescent="0.2">
      <c r="A401" s="2">
        <v>400</v>
      </c>
      <c r="B401" s="4">
        <v>45191</v>
      </c>
      <c r="C401" s="2">
        <f t="shared" si="5"/>
        <v>0</v>
      </c>
      <c r="D401" s="2">
        <v>0</v>
      </c>
      <c r="E401" s="2">
        <f t="shared" si="6"/>
        <v>0</v>
      </c>
      <c r="F401" s="2" t="str">
        <f t="shared" si="7"/>
        <v>Friday</v>
      </c>
      <c r="H401" s="2">
        <v>1</v>
      </c>
      <c r="I401" s="2" t="e">
        <f t="shared" ca="1" si="9"/>
        <v>#NAME?</v>
      </c>
      <c r="J401" s="2" t="e">
        <f t="shared" ca="1" si="8"/>
        <v>#NAME?</v>
      </c>
    </row>
    <row r="402" spans="1:10" ht="15.75" customHeight="1" x14ac:dyDescent="0.2">
      <c r="A402" s="2">
        <v>401</v>
      </c>
      <c r="B402" s="4">
        <v>45192</v>
      </c>
      <c r="C402" s="2">
        <f t="shared" si="5"/>
        <v>1</v>
      </c>
      <c r="D402" s="2">
        <v>0</v>
      </c>
      <c r="E402" s="2">
        <f t="shared" si="6"/>
        <v>1</v>
      </c>
      <c r="F402" s="2" t="str">
        <f t="shared" si="7"/>
        <v>Saturday</v>
      </c>
      <c r="H402" s="2">
        <v>1</v>
      </c>
      <c r="I402" s="2" t="e">
        <f t="shared" ca="1" si="9"/>
        <v>#NAME?</v>
      </c>
      <c r="J402" s="2" t="e">
        <f t="shared" ca="1" si="8"/>
        <v>#NAME?</v>
      </c>
    </row>
    <row r="403" spans="1:10" ht="15.75" customHeight="1" x14ac:dyDescent="0.2">
      <c r="A403" s="2">
        <v>402</v>
      </c>
      <c r="B403" s="4">
        <v>45193</v>
      </c>
      <c r="C403" s="2">
        <f t="shared" si="5"/>
        <v>1</v>
      </c>
      <c r="D403" s="2">
        <v>0</v>
      </c>
      <c r="E403" s="2">
        <f t="shared" si="6"/>
        <v>1</v>
      </c>
      <c r="F403" s="2" t="str">
        <f t="shared" si="7"/>
        <v>Sunday</v>
      </c>
      <c r="H403" s="2">
        <v>1</v>
      </c>
      <c r="I403" s="2" t="e">
        <f t="shared" ca="1" si="9"/>
        <v>#NAME?</v>
      </c>
      <c r="J403" s="2" t="e">
        <f t="shared" ca="1" si="8"/>
        <v>#NAME?</v>
      </c>
    </row>
    <row r="404" spans="1:10" ht="15.75" customHeight="1" x14ac:dyDescent="0.2">
      <c r="A404" s="2">
        <v>403</v>
      </c>
      <c r="B404" s="4">
        <v>45194</v>
      </c>
      <c r="C404" s="2">
        <f t="shared" si="5"/>
        <v>0</v>
      </c>
      <c r="D404" s="2">
        <v>0</v>
      </c>
      <c r="E404" s="2">
        <f t="shared" si="6"/>
        <v>0</v>
      </c>
      <c r="F404" s="2" t="str">
        <f t="shared" si="7"/>
        <v>Monday</v>
      </c>
      <c r="H404" s="2">
        <v>1</v>
      </c>
      <c r="I404" s="2" t="e">
        <f t="shared" ca="1" si="9"/>
        <v>#NAME?</v>
      </c>
      <c r="J404" s="2" t="e">
        <f t="shared" ca="1" si="8"/>
        <v>#NAME?</v>
      </c>
    </row>
    <row r="405" spans="1:10" ht="15.75" customHeight="1" x14ac:dyDescent="0.2">
      <c r="A405" s="2">
        <v>404</v>
      </c>
      <c r="B405" s="4">
        <v>45195</v>
      </c>
      <c r="C405" s="2">
        <f t="shared" si="5"/>
        <v>0</v>
      </c>
      <c r="D405" s="2">
        <v>0</v>
      </c>
      <c r="E405" s="2">
        <f t="shared" si="6"/>
        <v>0</v>
      </c>
      <c r="F405" s="2" t="str">
        <f t="shared" si="7"/>
        <v>Tuesday</v>
      </c>
      <c r="H405" s="2">
        <v>1</v>
      </c>
      <c r="I405" s="2" t="e">
        <f t="shared" ca="1" si="9"/>
        <v>#NAME?</v>
      </c>
      <c r="J405" s="2" t="e">
        <f t="shared" ca="1" si="8"/>
        <v>#NAME?</v>
      </c>
    </row>
    <row r="406" spans="1:10" ht="15.75" customHeight="1" x14ac:dyDescent="0.2">
      <c r="A406" s="2">
        <v>405</v>
      </c>
      <c r="B406" s="4">
        <v>45196</v>
      </c>
      <c r="C406" s="2">
        <f t="shared" si="5"/>
        <v>0</v>
      </c>
      <c r="D406" s="2">
        <v>0</v>
      </c>
      <c r="E406" s="2">
        <f t="shared" si="6"/>
        <v>0</v>
      </c>
      <c r="F406" s="2" t="str">
        <f t="shared" si="7"/>
        <v>Wednesday</v>
      </c>
      <c r="H406" s="2">
        <v>1</v>
      </c>
      <c r="I406" s="2" t="e">
        <f t="shared" ca="1" si="9"/>
        <v>#NAME?</v>
      </c>
      <c r="J406" s="2" t="e">
        <f t="shared" ca="1" si="8"/>
        <v>#NAME?</v>
      </c>
    </row>
    <row r="407" spans="1:10" ht="15.75" customHeight="1" x14ac:dyDescent="0.2">
      <c r="A407" s="2">
        <v>406</v>
      </c>
      <c r="B407" s="4">
        <v>45197</v>
      </c>
      <c r="C407" s="2">
        <f t="shared" si="5"/>
        <v>0</v>
      </c>
      <c r="D407" s="2">
        <v>0</v>
      </c>
      <c r="E407" s="2">
        <f t="shared" si="6"/>
        <v>0</v>
      </c>
      <c r="F407" s="2" t="str">
        <f t="shared" si="7"/>
        <v>Thursday</v>
      </c>
      <c r="H407" s="2">
        <v>1</v>
      </c>
      <c r="I407" s="2" t="e">
        <f t="shared" ca="1" si="9"/>
        <v>#NAME?</v>
      </c>
      <c r="J407" s="2" t="e">
        <f t="shared" ca="1" si="8"/>
        <v>#NAME?</v>
      </c>
    </row>
    <row r="408" spans="1:10" ht="15.75" customHeight="1" x14ac:dyDescent="0.2">
      <c r="A408" s="2">
        <v>407</v>
      </c>
      <c r="B408" s="4">
        <v>45198</v>
      </c>
      <c r="C408" s="2">
        <f t="shared" si="5"/>
        <v>0</v>
      </c>
      <c r="D408" s="2">
        <v>0</v>
      </c>
      <c r="E408" s="2">
        <f t="shared" si="6"/>
        <v>0</v>
      </c>
      <c r="F408" s="2" t="str">
        <f t="shared" si="7"/>
        <v>Friday</v>
      </c>
      <c r="H408" s="2">
        <v>1</v>
      </c>
      <c r="I408" s="2" t="e">
        <f t="shared" ca="1" si="9"/>
        <v>#NAME?</v>
      </c>
      <c r="J408" s="2" t="e">
        <f t="shared" ca="1" si="8"/>
        <v>#NAME?</v>
      </c>
    </row>
    <row r="409" spans="1:10" ht="15.75" customHeight="1" x14ac:dyDescent="0.2">
      <c r="A409" s="2">
        <v>408</v>
      </c>
      <c r="B409" s="4">
        <v>45199</v>
      </c>
      <c r="C409" s="2">
        <f t="shared" si="5"/>
        <v>1</v>
      </c>
      <c r="D409" s="2">
        <v>0</v>
      </c>
      <c r="E409" s="2">
        <f t="shared" si="6"/>
        <v>1</v>
      </c>
      <c r="F409" s="2" t="str">
        <f t="shared" si="7"/>
        <v>Saturday</v>
      </c>
      <c r="H409" s="2">
        <v>1</v>
      </c>
      <c r="I409" s="2" t="e">
        <f t="shared" ca="1" si="9"/>
        <v>#NAME?</v>
      </c>
      <c r="J409" s="2" t="e">
        <f t="shared" ca="1" si="8"/>
        <v>#NAME?</v>
      </c>
    </row>
    <row r="410" spans="1:10" ht="15.75" customHeight="1" x14ac:dyDescent="0.2">
      <c r="A410" s="2">
        <v>409</v>
      </c>
      <c r="B410" s="4">
        <v>45200</v>
      </c>
      <c r="C410" s="2">
        <f t="shared" si="5"/>
        <v>1</v>
      </c>
      <c r="D410" s="2">
        <v>0</v>
      </c>
      <c r="E410" s="2">
        <f t="shared" si="6"/>
        <v>1</v>
      </c>
      <c r="F410" s="2" t="str">
        <f t="shared" si="7"/>
        <v>Sunday</v>
      </c>
      <c r="H410" s="2">
        <v>1</v>
      </c>
      <c r="I410" s="2" t="e">
        <f t="shared" ca="1" si="9"/>
        <v>#NAME?</v>
      </c>
      <c r="J410" s="2" t="e">
        <f t="shared" ca="1" si="8"/>
        <v>#NAME?</v>
      </c>
    </row>
    <row r="411" spans="1:10" ht="15.75" customHeight="1" x14ac:dyDescent="0.2">
      <c r="A411" s="2">
        <v>410</v>
      </c>
      <c r="B411" s="4">
        <v>45201</v>
      </c>
      <c r="C411" s="2">
        <f t="shared" si="5"/>
        <v>0</v>
      </c>
      <c r="D411" s="2">
        <v>0</v>
      </c>
      <c r="E411" s="2">
        <f t="shared" si="6"/>
        <v>0</v>
      </c>
      <c r="F411" s="2" t="str">
        <f t="shared" si="7"/>
        <v>Monday</v>
      </c>
      <c r="H411" s="2">
        <v>1</v>
      </c>
      <c r="I411" s="2" t="e">
        <f t="shared" ca="1" si="9"/>
        <v>#NAME?</v>
      </c>
      <c r="J411" s="2" t="e">
        <f t="shared" ca="1" si="8"/>
        <v>#NAME?</v>
      </c>
    </row>
    <row r="412" spans="1:10" ht="15.75" customHeight="1" x14ac:dyDescent="0.2">
      <c r="A412" s="2">
        <v>411</v>
      </c>
      <c r="B412" s="4">
        <v>45202</v>
      </c>
      <c r="C412" s="2">
        <f t="shared" si="5"/>
        <v>0</v>
      </c>
      <c r="D412" s="2">
        <v>0</v>
      </c>
      <c r="E412" s="2">
        <f t="shared" si="6"/>
        <v>0</v>
      </c>
      <c r="F412" s="2" t="str">
        <f t="shared" si="7"/>
        <v>Tuesday</v>
      </c>
      <c r="H412" s="2">
        <v>1</v>
      </c>
      <c r="I412" s="2" t="e">
        <f t="shared" ca="1" si="9"/>
        <v>#NAME?</v>
      </c>
      <c r="J412" s="2" t="e">
        <f t="shared" ca="1" si="8"/>
        <v>#NAME?</v>
      </c>
    </row>
    <row r="413" spans="1:10" ht="15.75" customHeight="1" x14ac:dyDescent="0.2">
      <c r="A413" s="2">
        <v>412</v>
      </c>
      <c r="B413" s="4">
        <v>45203</v>
      </c>
      <c r="C413" s="2">
        <f t="shared" si="5"/>
        <v>0</v>
      </c>
      <c r="D413" s="2">
        <v>0</v>
      </c>
      <c r="E413" s="2">
        <f t="shared" si="6"/>
        <v>0</v>
      </c>
      <c r="F413" s="2" t="str">
        <f t="shared" si="7"/>
        <v>Wednesday</v>
      </c>
      <c r="H413" s="2">
        <v>1</v>
      </c>
      <c r="I413" s="2" t="e">
        <f t="shared" ca="1" si="9"/>
        <v>#NAME?</v>
      </c>
      <c r="J413" s="2" t="e">
        <f t="shared" ca="1" si="8"/>
        <v>#NAME?</v>
      </c>
    </row>
    <row r="414" spans="1:10" ht="15.75" customHeight="1" x14ac:dyDescent="0.2">
      <c r="A414" s="2">
        <v>413</v>
      </c>
      <c r="B414" s="4">
        <v>45204</v>
      </c>
      <c r="C414" s="2">
        <f t="shared" si="5"/>
        <v>0</v>
      </c>
      <c r="D414" s="2">
        <v>0</v>
      </c>
      <c r="E414" s="2">
        <f t="shared" si="6"/>
        <v>0</v>
      </c>
      <c r="F414" s="2" t="str">
        <f t="shared" si="7"/>
        <v>Thursday</v>
      </c>
      <c r="H414" s="2">
        <v>1</v>
      </c>
      <c r="I414" s="2" t="e">
        <f t="shared" ca="1" si="9"/>
        <v>#NAME?</v>
      </c>
      <c r="J414" s="2" t="e">
        <f t="shared" ca="1" si="8"/>
        <v>#NAME?</v>
      </c>
    </row>
    <row r="415" spans="1:10" ht="15.75" customHeight="1" x14ac:dyDescent="0.2">
      <c r="A415" s="2">
        <v>414</v>
      </c>
      <c r="B415" s="4">
        <v>45205</v>
      </c>
      <c r="C415" s="2">
        <f t="shared" si="5"/>
        <v>0</v>
      </c>
      <c r="D415" s="2">
        <v>0</v>
      </c>
      <c r="E415" s="2">
        <f t="shared" si="6"/>
        <v>0</v>
      </c>
      <c r="F415" s="2" t="str">
        <f t="shared" si="7"/>
        <v>Friday</v>
      </c>
      <c r="H415" s="2">
        <v>1</v>
      </c>
      <c r="I415" s="2" t="e">
        <f t="shared" ca="1" si="9"/>
        <v>#NAME?</v>
      </c>
      <c r="J415" s="2" t="e">
        <f t="shared" ca="1" si="8"/>
        <v>#NAME?</v>
      </c>
    </row>
    <row r="416" spans="1:10" ht="15.75" customHeight="1" x14ac:dyDescent="0.2">
      <c r="A416" s="2">
        <v>415</v>
      </c>
      <c r="B416" s="4">
        <v>45206</v>
      </c>
      <c r="C416" s="2">
        <f t="shared" si="5"/>
        <v>1</v>
      </c>
      <c r="D416" s="2">
        <v>0</v>
      </c>
      <c r="E416" s="2">
        <f t="shared" si="6"/>
        <v>1</v>
      </c>
      <c r="F416" s="2" t="str">
        <f t="shared" si="7"/>
        <v>Saturday</v>
      </c>
      <c r="H416" s="2">
        <v>1</v>
      </c>
      <c r="I416" s="2" t="e">
        <f t="shared" ca="1" si="9"/>
        <v>#NAME?</v>
      </c>
      <c r="J416" s="2" t="e">
        <f t="shared" ca="1" si="8"/>
        <v>#NAME?</v>
      </c>
    </row>
    <row r="417" spans="1:10" ht="15.75" customHeight="1" x14ac:dyDescent="0.2">
      <c r="A417" s="2">
        <v>416</v>
      </c>
      <c r="B417" s="4">
        <v>45207</v>
      </c>
      <c r="C417" s="2">
        <f t="shared" si="5"/>
        <v>1</v>
      </c>
      <c r="D417" s="2">
        <v>0</v>
      </c>
      <c r="E417" s="2">
        <f t="shared" si="6"/>
        <v>1</v>
      </c>
      <c r="F417" s="2" t="str">
        <f t="shared" si="7"/>
        <v>Sunday</v>
      </c>
      <c r="H417" s="2">
        <v>1</v>
      </c>
      <c r="I417" s="2" t="e">
        <f t="shared" ca="1" si="9"/>
        <v>#NAME?</v>
      </c>
      <c r="J417" s="2" t="e">
        <f t="shared" ca="1" si="8"/>
        <v>#NAME?</v>
      </c>
    </row>
    <row r="418" spans="1:10" ht="15.75" customHeight="1" x14ac:dyDescent="0.2">
      <c r="A418" s="2">
        <v>417</v>
      </c>
      <c r="B418" s="4">
        <v>45208</v>
      </c>
      <c r="C418" s="2">
        <f t="shared" si="5"/>
        <v>0</v>
      </c>
      <c r="D418" s="2">
        <v>0</v>
      </c>
      <c r="E418" s="2">
        <f t="shared" si="6"/>
        <v>0</v>
      </c>
      <c r="F418" s="2" t="str">
        <f t="shared" si="7"/>
        <v>Monday</v>
      </c>
      <c r="H418" s="2">
        <v>1</v>
      </c>
      <c r="I418" s="2" t="e">
        <f t="shared" ca="1" si="9"/>
        <v>#NAME?</v>
      </c>
      <c r="J418" s="2" t="e">
        <f t="shared" ca="1" si="8"/>
        <v>#NAME?</v>
      </c>
    </row>
    <row r="419" spans="1:10" ht="15.75" customHeight="1" x14ac:dyDescent="0.2">
      <c r="A419" s="2">
        <v>418</v>
      </c>
      <c r="B419" s="4">
        <v>45209</v>
      </c>
      <c r="C419" s="2">
        <f t="shared" si="5"/>
        <v>0</v>
      </c>
      <c r="D419" s="2">
        <v>0</v>
      </c>
      <c r="E419" s="2">
        <f t="shared" si="6"/>
        <v>0</v>
      </c>
      <c r="F419" s="2" t="str">
        <f t="shared" si="7"/>
        <v>Tuesday</v>
      </c>
      <c r="H419" s="2">
        <v>1</v>
      </c>
      <c r="I419" s="2" t="e">
        <f t="shared" ca="1" si="9"/>
        <v>#NAME?</v>
      </c>
      <c r="J419" s="2" t="e">
        <f t="shared" ca="1" si="8"/>
        <v>#NAME?</v>
      </c>
    </row>
    <row r="420" spans="1:10" ht="15.75" customHeight="1" x14ac:dyDescent="0.2">
      <c r="A420" s="2">
        <v>419</v>
      </c>
      <c r="B420" s="4">
        <v>45210</v>
      </c>
      <c r="C420" s="2">
        <f t="shared" si="5"/>
        <v>0</v>
      </c>
      <c r="D420" s="2">
        <v>0</v>
      </c>
      <c r="E420" s="2">
        <f t="shared" si="6"/>
        <v>0</v>
      </c>
      <c r="F420" s="2" t="str">
        <f t="shared" si="7"/>
        <v>Wednesday</v>
      </c>
      <c r="H420" s="2">
        <v>1</v>
      </c>
      <c r="I420" s="2" t="e">
        <f t="shared" ca="1" si="9"/>
        <v>#NAME?</v>
      </c>
      <c r="J420" s="2" t="e">
        <f t="shared" ca="1" si="8"/>
        <v>#NAME?</v>
      </c>
    </row>
    <row r="421" spans="1:10" ht="15.75" customHeight="1" x14ac:dyDescent="0.2">
      <c r="A421" s="2">
        <v>420</v>
      </c>
      <c r="B421" s="4">
        <v>45211</v>
      </c>
      <c r="C421" s="2">
        <f t="shared" si="5"/>
        <v>0</v>
      </c>
      <c r="D421" s="2">
        <v>0</v>
      </c>
      <c r="E421" s="2">
        <f t="shared" si="6"/>
        <v>0</v>
      </c>
      <c r="F421" s="2" t="str">
        <f t="shared" si="7"/>
        <v>Thursday</v>
      </c>
      <c r="H421" s="2">
        <v>1</v>
      </c>
      <c r="I421" s="2" t="e">
        <f t="shared" ca="1" si="9"/>
        <v>#NAME?</v>
      </c>
      <c r="J421" s="2" t="e">
        <f t="shared" ca="1" si="8"/>
        <v>#NAME?</v>
      </c>
    </row>
    <row r="422" spans="1:10" ht="15.75" customHeight="1" x14ac:dyDescent="0.2">
      <c r="A422" s="2">
        <v>421</v>
      </c>
      <c r="B422" s="4">
        <v>45212</v>
      </c>
      <c r="C422" s="2">
        <f t="shared" si="5"/>
        <v>0</v>
      </c>
      <c r="D422" s="2">
        <v>0</v>
      </c>
      <c r="E422" s="2">
        <f t="shared" si="6"/>
        <v>0</v>
      </c>
      <c r="F422" s="2" t="str">
        <f t="shared" si="7"/>
        <v>Friday</v>
      </c>
      <c r="H422" s="2">
        <v>1</v>
      </c>
      <c r="I422" s="2" t="e">
        <f t="shared" ca="1" si="9"/>
        <v>#NAME?</v>
      </c>
      <c r="J422" s="2" t="e">
        <f t="shared" ca="1" si="8"/>
        <v>#NAME?</v>
      </c>
    </row>
    <row r="423" spans="1:10" ht="15.75" customHeight="1" x14ac:dyDescent="0.2">
      <c r="A423" s="2">
        <v>422</v>
      </c>
      <c r="B423" s="4">
        <v>45213</v>
      </c>
      <c r="C423" s="2">
        <f t="shared" si="5"/>
        <v>1</v>
      </c>
      <c r="D423" s="2">
        <v>1</v>
      </c>
      <c r="E423" s="2">
        <f t="shared" si="6"/>
        <v>1</v>
      </c>
      <c r="F423" s="2" t="str">
        <f t="shared" si="7"/>
        <v>Saturday</v>
      </c>
      <c r="G423" s="2" t="s">
        <v>334</v>
      </c>
      <c r="H423" s="2">
        <v>1</v>
      </c>
      <c r="I423" s="2" t="e">
        <f t="shared" ca="1" si="9"/>
        <v>#NAME?</v>
      </c>
      <c r="J423" s="2" t="e">
        <f t="shared" ca="1" si="8"/>
        <v>#NAME?</v>
      </c>
    </row>
    <row r="424" spans="1:10" ht="15.75" customHeight="1" x14ac:dyDescent="0.2">
      <c r="A424" s="2">
        <v>423</v>
      </c>
      <c r="B424" s="4">
        <v>45214</v>
      </c>
      <c r="C424" s="2">
        <f t="shared" si="5"/>
        <v>1</v>
      </c>
      <c r="D424" s="2">
        <v>1</v>
      </c>
      <c r="E424" s="2">
        <f t="shared" si="6"/>
        <v>1</v>
      </c>
      <c r="F424" s="2" t="str">
        <f t="shared" si="7"/>
        <v>Sunday</v>
      </c>
      <c r="G424" s="2" t="s">
        <v>334</v>
      </c>
      <c r="H424" s="2">
        <v>1</v>
      </c>
      <c r="I424" s="2" t="e">
        <f t="shared" ca="1" si="9"/>
        <v>#NAME?</v>
      </c>
      <c r="J424" s="2" t="e">
        <f t="shared" ca="1" si="8"/>
        <v>#NAME?</v>
      </c>
    </row>
    <row r="425" spans="1:10" ht="15.75" customHeight="1" x14ac:dyDescent="0.2">
      <c r="A425" s="2">
        <v>424</v>
      </c>
      <c r="B425" s="4">
        <v>45215</v>
      </c>
      <c r="C425" s="2">
        <f t="shared" si="5"/>
        <v>0</v>
      </c>
      <c r="D425" s="2">
        <v>1</v>
      </c>
      <c r="E425" s="2">
        <f t="shared" si="6"/>
        <v>1</v>
      </c>
      <c r="F425" s="2" t="str">
        <f t="shared" si="7"/>
        <v>Monday</v>
      </c>
      <c r="G425" s="2" t="s">
        <v>334</v>
      </c>
      <c r="H425" s="2">
        <v>1</v>
      </c>
      <c r="I425" s="2" t="e">
        <f t="shared" ca="1" si="9"/>
        <v>#NAME?</v>
      </c>
      <c r="J425" s="2" t="e">
        <f t="shared" ca="1" si="8"/>
        <v>#NAME?</v>
      </c>
    </row>
    <row r="426" spans="1:10" ht="15.75" customHeight="1" x14ac:dyDescent="0.2">
      <c r="A426" s="2">
        <v>425</v>
      </c>
      <c r="B426" s="4">
        <v>45216</v>
      </c>
      <c r="C426" s="2">
        <f t="shared" si="5"/>
        <v>0</v>
      </c>
      <c r="D426" s="2">
        <v>1</v>
      </c>
      <c r="E426" s="2">
        <f t="shared" si="6"/>
        <v>1</v>
      </c>
      <c r="F426" s="2" t="str">
        <f t="shared" si="7"/>
        <v>Tuesday</v>
      </c>
      <c r="G426" s="2" t="s">
        <v>334</v>
      </c>
      <c r="H426" s="2">
        <v>1</v>
      </c>
      <c r="I426" s="2" t="e">
        <f t="shared" ca="1" si="9"/>
        <v>#NAME?</v>
      </c>
      <c r="J426" s="2" t="e">
        <f t="shared" ca="1" si="8"/>
        <v>#NAME?</v>
      </c>
    </row>
    <row r="427" spans="1:10" ht="15.75" customHeight="1" x14ac:dyDescent="0.2">
      <c r="A427" s="2">
        <v>426</v>
      </c>
      <c r="B427" s="4">
        <v>45217</v>
      </c>
      <c r="C427" s="2">
        <f t="shared" si="5"/>
        <v>0</v>
      </c>
      <c r="D427" s="2">
        <v>1</v>
      </c>
      <c r="E427" s="2">
        <f t="shared" si="6"/>
        <v>1</v>
      </c>
      <c r="F427" s="2" t="str">
        <f t="shared" si="7"/>
        <v>Wednesday</v>
      </c>
      <c r="G427" s="2" t="s">
        <v>334</v>
      </c>
      <c r="H427" s="2">
        <v>1</v>
      </c>
      <c r="I427" s="2" t="e">
        <f t="shared" ca="1" si="9"/>
        <v>#NAME?</v>
      </c>
      <c r="J427" s="2" t="e">
        <f t="shared" ca="1" si="8"/>
        <v>#NAME?</v>
      </c>
    </row>
    <row r="428" spans="1:10" ht="15.75" customHeight="1" x14ac:dyDescent="0.2">
      <c r="A428" s="2">
        <v>427</v>
      </c>
      <c r="B428" s="4">
        <v>45218</v>
      </c>
      <c r="C428" s="2">
        <f t="shared" si="5"/>
        <v>0</v>
      </c>
      <c r="D428" s="2">
        <v>1</v>
      </c>
      <c r="E428" s="2">
        <f t="shared" si="6"/>
        <v>1</v>
      </c>
      <c r="F428" s="2" t="str">
        <f t="shared" si="7"/>
        <v>Thursday</v>
      </c>
      <c r="G428" s="2" t="s">
        <v>334</v>
      </c>
      <c r="H428" s="2">
        <v>1</v>
      </c>
      <c r="I428" s="2" t="e">
        <f t="shared" ca="1" si="9"/>
        <v>#NAME?</v>
      </c>
      <c r="J428" s="2" t="e">
        <f t="shared" ca="1" si="8"/>
        <v>#NAME?</v>
      </c>
    </row>
    <row r="429" spans="1:10" ht="15.75" customHeight="1" x14ac:dyDescent="0.2">
      <c r="A429" s="2">
        <v>428</v>
      </c>
      <c r="B429" s="4">
        <v>45219</v>
      </c>
      <c r="C429" s="2">
        <f t="shared" si="5"/>
        <v>0</v>
      </c>
      <c r="D429" s="2">
        <v>1</v>
      </c>
      <c r="E429" s="2">
        <f t="shared" si="6"/>
        <v>1</v>
      </c>
      <c r="F429" s="2" t="str">
        <f t="shared" si="7"/>
        <v>Friday</v>
      </c>
      <c r="G429" s="2" t="s">
        <v>334</v>
      </c>
      <c r="H429" s="2">
        <v>1</v>
      </c>
      <c r="I429" s="2" t="e">
        <f t="shared" ca="1" si="9"/>
        <v>#NAME?</v>
      </c>
      <c r="J429" s="2" t="e">
        <f t="shared" ca="1" si="8"/>
        <v>#NAME?</v>
      </c>
    </row>
    <row r="430" spans="1:10" ht="15.75" customHeight="1" x14ac:dyDescent="0.2">
      <c r="A430" s="2">
        <v>429</v>
      </c>
      <c r="B430" s="4">
        <v>45220</v>
      </c>
      <c r="C430" s="2">
        <f t="shared" si="5"/>
        <v>1</v>
      </c>
      <c r="D430" s="2">
        <v>1</v>
      </c>
      <c r="E430" s="2">
        <f t="shared" si="6"/>
        <v>1</v>
      </c>
      <c r="F430" s="2" t="str">
        <f t="shared" si="7"/>
        <v>Saturday</v>
      </c>
      <c r="G430" s="2" t="s">
        <v>334</v>
      </c>
      <c r="H430" s="2">
        <v>1</v>
      </c>
      <c r="I430" s="2" t="e">
        <f t="shared" ca="1" si="9"/>
        <v>#NAME?</v>
      </c>
      <c r="J430" s="2" t="e">
        <f t="shared" ca="1" si="8"/>
        <v>#NAME?</v>
      </c>
    </row>
    <row r="431" spans="1:10" ht="15.75" customHeight="1" x14ac:dyDescent="0.2">
      <c r="A431" s="2">
        <v>430</v>
      </c>
      <c r="B431" s="4">
        <v>45221</v>
      </c>
      <c r="C431" s="2">
        <f t="shared" si="5"/>
        <v>1</v>
      </c>
      <c r="D431" s="2">
        <v>1</v>
      </c>
      <c r="E431" s="2">
        <f t="shared" si="6"/>
        <v>1</v>
      </c>
      <c r="F431" s="2" t="str">
        <f t="shared" si="7"/>
        <v>Sunday</v>
      </c>
      <c r="G431" s="2" t="s">
        <v>334</v>
      </c>
      <c r="H431" s="2">
        <v>1</v>
      </c>
      <c r="I431" s="2" t="e">
        <f t="shared" ca="1" si="9"/>
        <v>#NAME?</v>
      </c>
      <c r="J431" s="2" t="e">
        <f t="shared" ca="1" si="8"/>
        <v>#NAME?</v>
      </c>
    </row>
    <row r="432" spans="1:10" ht="15.75" customHeight="1" x14ac:dyDescent="0.2">
      <c r="A432" s="2">
        <v>431</v>
      </c>
      <c r="B432" s="4">
        <v>45222</v>
      </c>
      <c r="C432" s="2">
        <f t="shared" si="5"/>
        <v>0</v>
      </c>
      <c r="D432" s="2">
        <v>1</v>
      </c>
      <c r="E432" s="2">
        <f t="shared" si="6"/>
        <v>1</v>
      </c>
      <c r="F432" s="2" t="str">
        <f t="shared" si="7"/>
        <v>Monday</v>
      </c>
      <c r="G432" s="2" t="s">
        <v>330</v>
      </c>
      <c r="H432" s="2">
        <v>2</v>
      </c>
      <c r="I432" s="2" t="e">
        <f t="shared" ca="1" si="9"/>
        <v>#NAME?</v>
      </c>
      <c r="J432" s="2" t="e">
        <f t="shared" ca="1" si="8"/>
        <v>#NAME?</v>
      </c>
    </row>
    <row r="433" spans="1:10" ht="15.75" customHeight="1" x14ac:dyDescent="0.2">
      <c r="A433" s="2">
        <v>432</v>
      </c>
      <c r="B433" s="4">
        <v>45223</v>
      </c>
      <c r="C433" s="2">
        <f t="shared" si="5"/>
        <v>0</v>
      </c>
      <c r="D433" s="2">
        <v>0</v>
      </c>
      <c r="E433" s="2">
        <f t="shared" si="6"/>
        <v>0</v>
      </c>
      <c r="F433" s="2" t="str">
        <f t="shared" si="7"/>
        <v>Tuesday</v>
      </c>
      <c r="H433" s="2">
        <v>2</v>
      </c>
      <c r="I433" s="2" t="e">
        <f t="shared" ca="1" si="9"/>
        <v>#NAME?</v>
      </c>
      <c r="J433" s="2" t="e">
        <f t="shared" ca="1" si="8"/>
        <v>#NAME?</v>
      </c>
    </row>
    <row r="434" spans="1:10" ht="15.75" customHeight="1" x14ac:dyDescent="0.2">
      <c r="A434" s="2">
        <v>433</v>
      </c>
      <c r="B434" s="4">
        <v>45224</v>
      </c>
      <c r="C434" s="2">
        <f t="shared" si="5"/>
        <v>0</v>
      </c>
      <c r="D434" s="2">
        <v>0</v>
      </c>
      <c r="E434" s="2">
        <f t="shared" si="6"/>
        <v>0</v>
      </c>
      <c r="F434" s="2" t="str">
        <f t="shared" si="7"/>
        <v>Wednesday</v>
      </c>
      <c r="H434" s="2">
        <v>2</v>
      </c>
      <c r="I434" s="2" t="e">
        <f t="shared" ca="1" si="9"/>
        <v>#NAME?</v>
      </c>
      <c r="J434" s="2" t="e">
        <f t="shared" ca="1" si="8"/>
        <v>#NAME?</v>
      </c>
    </row>
    <row r="435" spans="1:10" ht="15.75" customHeight="1" x14ac:dyDescent="0.2">
      <c r="A435" s="2">
        <v>434</v>
      </c>
      <c r="B435" s="4">
        <v>45225</v>
      </c>
      <c r="C435" s="2">
        <f t="shared" si="5"/>
        <v>0</v>
      </c>
      <c r="D435" s="2">
        <v>0</v>
      </c>
      <c r="E435" s="2">
        <f t="shared" si="6"/>
        <v>0</v>
      </c>
      <c r="F435" s="2" t="str">
        <f t="shared" si="7"/>
        <v>Thursday</v>
      </c>
      <c r="H435" s="2">
        <v>2</v>
      </c>
      <c r="I435" s="2" t="e">
        <f t="shared" ca="1" si="9"/>
        <v>#NAME?</v>
      </c>
      <c r="J435" s="2" t="e">
        <f t="shared" ca="1" si="8"/>
        <v>#NAME?</v>
      </c>
    </row>
    <row r="436" spans="1:10" ht="15.75" customHeight="1" x14ac:dyDescent="0.2">
      <c r="A436" s="2">
        <v>435</v>
      </c>
      <c r="B436" s="4">
        <v>45226</v>
      </c>
      <c r="C436" s="2">
        <f t="shared" si="5"/>
        <v>0</v>
      </c>
      <c r="D436" s="2">
        <v>0</v>
      </c>
      <c r="E436" s="2">
        <f t="shared" si="6"/>
        <v>0</v>
      </c>
      <c r="F436" s="2" t="str">
        <f t="shared" si="7"/>
        <v>Friday</v>
      </c>
      <c r="H436" s="2">
        <v>2</v>
      </c>
      <c r="I436" s="2" t="e">
        <f t="shared" ca="1" si="9"/>
        <v>#NAME?</v>
      </c>
      <c r="J436" s="2" t="e">
        <f t="shared" ca="1" si="8"/>
        <v>#NAME?</v>
      </c>
    </row>
    <row r="437" spans="1:10" ht="15.75" customHeight="1" x14ac:dyDescent="0.2">
      <c r="A437" s="2">
        <v>436</v>
      </c>
      <c r="B437" s="4">
        <v>45227</v>
      </c>
      <c r="C437" s="2">
        <f t="shared" si="5"/>
        <v>1</v>
      </c>
      <c r="D437" s="2">
        <v>0</v>
      </c>
      <c r="E437" s="2">
        <f t="shared" si="6"/>
        <v>1</v>
      </c>
      <c r="F437" s="2" t="str">
        <f t="shared" si="7"/>
        <v>Saturday</v>
      </c>
      <c r="H437" s="2">
        <v>2</v>
      </c>
      <c r="I437" s="2" t="e">
        <f t="shared" ca="1" si="9"/>
        <v>#NAME?</v>
      </c>
      <c r="J437" s="2" t="e">
        <f t="shared" ca="1" si="8"/>
        <v>#NAME?</v>
      </c>
    </row>
    <row r="438" spans="1:10" ht="15.75" customHeight="1" x14ac:dyDescent="0.2">
      <c r="A438" s="2">
        <v>437</v>
      </c>
      <c r="B438" s="4">
        <v>45228</v>
      </c>
      <c r="C438" s="2">
        <f t="shared" si="5"/>
        <v>1</v>
      </c>
      <c r="D438" s="2">
        <v>0</v>
      </c>
      <c r="E438" s="2">
        <f t="shared" si="6"/>
        <v>1</v>
      </c>
      <c r="F438" s="2" t="str">
        <f t="shared" si="7"/>
        <v>Sunday</v>
      </c>
      <c r="H438" s="2">
        <v>2</v>
      </c>
      <c r="I438" s="2" t="e">
        <f t="shared" ca="1" si="9"/>
        <v>#NAME?</v>
      </c>
      <c r="J438" s="2" t="e">
        <f t="shared" ca="1" si="8"/>
        <v>#NAME?</v>
      </c>
    </row>
    <row r="439" spans="1:10" ht="15.75" customHeight="1" x14ac:dyDescent="0.2">
      <c r="A439" s="2">
        <v>438</v>
      </c>
      <c r="B439" s="4">
        <v>45229</v>
      </c>
      <c r="C439" s="2">
        <f t="shared" si="5"/>
        <v>0</v>
      </c>
      <c r="D439" s="2">
        <v>0</v>
      </c>
      <c r="E439" s="2">
        <f t="shared" si="6"/>
        <v>0</v>
      </c>
      <c r="F439" s="2" t="str">
        <f t="shared" si="7"/>
        <v>Monday</v>
      </c>
      <c r="H439" s="2">
        <v>2</v>
      </c>
      <c r="I439" s="2" t="e">
        <f t="shared" ca="1" si="9"/>
        <v>#NAME?</v>
      </c>
      <c r="J439" s="2" t="e">
        <f t="shared" ca="1" si="8"/>
        <v>#NAME?</v>
      </c>
    </row>
    <row r="440" spans="1:10" ht="15.75" customHeight="1" x14ac:dyDescent="0.2">
      <c r="A440" s="2">
        <v>439</v>
      </c>
      <c r="B440" s="4">
        <v>45230</v>
      </c>
      <c r="C440" s="2">
        <f t="shared" si="5"/>
        <v>0</v>
      </c>
      <c r="D440" s="2">
        <v>0</v>
      </c>
      <c r="E440" s="2">
        <f t="shared" si="6"/>
        <v>0</v>
      </c>
      <c r="F440" s="2" t="str">
        <f t="shared" si="7"/>
        <v>Tuesday</v>
      </c>
      <c r="H440" s="2">
        <v>2</v>
      </c>
      <c r="I440" s="2" t="e">
        <f t="shared" ca="1" si="9"/>
        <v>#NAME?</v>
      </c>
      <c r="J440" s="2" t="e">
        <f t="shared" ca="1" si="8"/>
        <v>#NAME?</v>
      </c>
    </row>
    <row r="441" spans="1:10" ht="15.75" customHeight="1" x14ac:dyDescent="0.2">
      <c r="A441" s="2">
        <v>440</v>
      </c>
      <c r="B441" s="4">
        <v>45231</v>
      </c>
      <c r="C441" s="2">
        <f t="shared" si="5"/>
        <v>0</v>
      </c>
      <c r="D441" s="2">
        <v>0</v>
      </c>
      <c r="E441" s="2">
        <f t="shared" si="6"/>
        <v>0</v>
      </c>
      <c r="F441" s="2" t="str">
        <f t="shared" si="7"/>
        <v>Wednesday</v>
      </c>
      <c r="H441" s="2">
        <v>2</v>
      </c>
      <c r="I441" s="2" t="e">
        <f t="shared" ca="1" si="9"/>
        <v>#NAME?</v>
      </c>
      <c r="J441" s="2" t="e">
        <f t="shared" ca="1" si="8"/>
        <v>#NAME?</v>
      </c>
    </row>
    <row r="442" spans="1:10" ht="15.75" customHeight="1" x14ac:dyDescent="0.2">
      <c r="A442" s="2">
        <v>441</v>
      </c>
      <c r="B442" s="4">
        <v>45232</v>
      </c>
      <c r="C442" s="2">
        <f t="shared" si="5"/>
        <v>0</v>
      </c>
      <c r="D442" s="2">
        <v>0</v>
      </c>
      <c r="E442" s="2">
        <f t="shared" si="6"/>
        <v>0</v>
      </c>
      <c r="F442" s="2" t="str">
        <f t="shared" si="7"/>
        <v>Thursday</v>
      </c>
      <c r="H442" s="2">
        <v>2</v>
      </c>
      <c r="I442" s="2" t="e">
        <f t="shared" ca="1" si="9"/>
        <v>#NAME?</v>
      </c>
      <c r="J442" s="2" t="e">
        <f t="shared" ca="1" si="8"/>
        <v>#NAME?</v>
      </c>
    </row>
    <row r="443" spans="1:10" ht="15.75" customHeight="1" x14ac:dyDescent="0.2">
      <c r="A443" s="2">
        <v>442</v>
      </c>
      <c r="B443" s="4">
        <v>45233</v>
      </c>
      <c r="C443" s="2">
        <f t="shared" si="5"/>
        <v>0</v>
      </c>
      <c r="D443" s="2">
        <v>0</v>
      </c>
      <c r="E443" s="2">
        <f t="shared" si="6"/>
        <v>0</v>
      </c>
      <c r="F443" s="2" t="str">
        <f t="shared" si="7"/>
        <v>Friday</v>
      </c>
      <c r="H443" s="2">
        <v>2</v>
      </c>
      <c r="I443" s="2" t="e">
        <f t="shared" ca="1" si="9"/>
        <v>#NAME?</v>
      </c>
      <c r="J443" s="2" t="e">
        <f t="shared" ca="1" si="8"/>
        <v>#NAME?</v>
      </c>
    </row>
    <row r="444" spans="1:10" ht="15.75" customHeight="1" x14ac:dyDescent="0.2">
      <c r="A444" s="2">
        <v>443</v>
      </c>
      <c r="B444" s="4">
        <v>45234</v>
      </c>
      <c r="C444" s="2">
        <f t="shared" si="5"/>
        <v>1</v>
      </c>
      <c r="D444" s="2">
        <v>0</v>
      </c>
      <c r="E444" s="2">
        <f t="shared" si="6"/>
        <v>1</v>
      </c>
      <c r="F444" s="2" t="str">
        <f t="shared" si="7"/>
        <v>Saturday</v>
      </c>
      <c r="H444" s="2">
        <v>2</v>
      </c>
      <c r="I444" s="2" t="e">
        <f t="shared" ca="1" si="9"/>
        <v>#NAME?</v>
      </c>
      <c r="J444" s="2" t="e">
        <f t="shared" ca="1" si="8"/>
        <v>#NAME?</v>
      </c>
    </row>
    <row r="445" spans="1:10" ht="15.75" customHeight="1" x14ac:dyDescent="0.2">
      <c r="A445" s="2">
        <v>444</v>
      </c>
      <c r="B445" s="4">
        <v>45235</v>
      </c>
      <c r="C445" s="2">
        <f t="shared" si="5"/>
        <v>1</v>
      </c>
      <c r="D445" s="2">
        <v>0</v>
      </c>
      <c r="E445" s="2">
        <f t="shared" si="6"/>
        <v>1</v>
      </c>
      <c r="F445" s="2" t="str">
        <f t="shared" si="7"/>
        <v>Sunday</v>
      </c>
      <c r="H445" s="2">
        <v>2</v>
      </c>
      <c r="I445" s="2" t="e">
        <f t="shared" ca="1" si="9"/>
        <v>#NAME?</v>
      </c>
      <c r="J445" s="2" t="e">
        <f t="shared" ca="1" si="8"/>
        <v>#NAME?</v>
      </c>
    </row>
    <row r="446" spans="1:10" ht="15.75" customHeight="1" x14ac:dyDescent="0.2">
      <c r="A446" s="2">
        <v>445</v>
      </c>
      <c r="B446" s="4">
        <v>45236</v>
      </c>
      <c r="C446" s="2">
        <f t="shared" si="5"/>
        <v>0</v>
      </c>
      <c r="D446" s="2">
        <v>0</v>
      </c>
      <c r="E446" s="2">
        <f t="shared" si="6"/>
        <v>0</v>
      </c>
      <c r="F446" s="2" t="str">
        <f t="shared" si="7"/>
        <v>Monday</v>
      </c>
      <c r="H446" s="2">
        <v>2</v>
      </c>
      <c r="I446" s="2" t="e">
        <f t="shared" ca="1" si="9"/>
        <v>#NAME?</v>
      </c>
      <c r="J446" s="2" t="e">
        <f t="shared" ca="1" si="8"/>
        <v>#NAME?</v>
      </c>
    </row>
    <row r="447" spans="1:10" ht="15.75" customHeight="1" x14ac:dyDescent="0.2">
      <c r="A447" s="2">
        <v>446</v>
      </c>
      <c r="B447" s="4">
        <v>45237</v>
      </c>
      <c r="C447" s="2">
        <f t="shared" si="5"/>
        <v>0</v>
      </c>
      <c r="D447" s="2">
        <v>0</v>
      </c>
      <c r="E447" s="2">
        <f t="shared" si="6"/>
        <v>0</v>
      </c>
      <c r="F447" s="2" t="str">
        <f t="shared" si="7"/>
        <v>Tuesday</v>
      </c>
      <c r="H447" s="2">
        <v>2</v>
      </c>
      <c r="I447" s="2" t="e">
        <f t="shared" ca="1" si="9"/>
        <v>#NAME?</v>
      </c>
      <c r="J447" s="2" t="e">
        <f t="shared" ca="1" si="8"/>
        <v>#NAME?</v>
      </c>
    </row>
    <row r="448" spans="1:10" ht="15.75" customHeight="1" x14ac:dyDescent="0.2">
      <c r="A448" s="2">
        <v>447</v>
      </c>
      <c r="B448" s="4">
        <v>45238</v>
      </c>
      <c r="C448" s="2">
        <f t="shared" si="5"/>
        <v>0</v>
      </c>
      <c r="D448" s="2">
        <v>0</v>
      </c>
      <c r="E448" s="2">
        <f t="shared" si="6"/>
        <v>0</v>
      </c>
      <c r="F448" s="2" t="str">
        <f t="shared" si="7"/>
        <v>Wednesday</v>
      </c>
      <c r="H448" s="2">
        <v>2</v>
      </c>
      <c r="I448" s="2" t="e">
        <f t="shared" ca="1" si="9"/>
        <v>#NAME?</v>
      </c>
      <c r="J448" s="2" t="e">
        <f t="shared" ca="1" si="8"/>
        <v>#NAME?</v>
      </c>
    </row>
    <row r="449" spans="1:10" ht="15.75" customHeight="1" x14ac:dyDescent="0.2">
      <c r="A449" s="2">
        <v>448</v>
      </c>
      <c r="B449" s="4">
        <v>45239</v>
      </c>
      <c r="C449" s="2">
        <f t="shared" si="5"/>
        <v>0</v>
      </c>
      <c r="D449" s="2">
        <v>0</v>
      </c>
      <c r="E449" s="2">
        <f t="shared" si="6"/>
        <v>0</v>
      </c>
      <c r="F449" s="2" t="str">
        <f t="shared" si="7"/>
        <v>Thursday</v>
      </c>
      <c r="H449" s="2">
        <v>2</v>
      </c>
      <c r="I449" s="2" t="e">
        <f t="shared" ca="1" si="9"/>
        <v>#NAME?</v>
      </c>
      <c r="J449" s="2" t="e">
        <f t="shared" ca="1" si="8"/>
        <v>#NAME?</v>
      </c>
    </row>
    <row r="450" spans="1:10" ht="15.75" customHeight="1" x14ac:dyDescent="0.2">
      <c r="A450" s="2">
        <v>449</v>
      </c>
      <c r="B450" s="4">
        <v>45240</v>
      </c>
      <c r="C450" s="2">
        <f t="shared" si="5"/>
        <v>0</v>
      </c>
      <c r="D450" s="2">
        <v>0</v>
      </c>
      <c r="E450" s="2">
        <f t="shared" si="6"/>
        <v>0</v>
      </c>
      <c r="F450" s="2" t="str">
        <f t="shared" si="7"/>
        <v>Friday</v>
      </c>
      <c r="H450" s="2">
        <v>2</v>
      </c>
      <c r="I450" s="2" t="e">
        <f t="shared" ca="1" si="9"/>
        <v>#NAME?</v>
      </c>
      <c r="J450" s="2" t="e">
        <f t="shared" ca="1" si="8"/>
        <v>#NAME?</v>
      </c>
    </row>
    <row r="451" spans="1:10" ht="15.75" customHeight="1" x14ac:dyDescent="0.2">
      <c r="A451" s="2">
        <v>450</v>
      </c>
      <c r="B451" s="4">
        <v>45241</v>
      </c>
      <c r="C451" s="2">
        <f t="shared" si="5"/>
        <v>1</v>
      </c>
      <c r="D451" s="2">
        <v>0</v>
      </c>
      <c r="E451" s="2">
        <f t="shared" si="6"/>
        <v>1</v>
      </c>
      <c r="F451" s="2" t="str">
        <f t="shared" si="7"/>
        <v>Saturday</v>
      </c>
      <c r="H451" s="2">
        <v>2</v>
      </c>
      <c r="I451" s="2" t="e">
        <f t="shared" ca="1" si="9"/>
        <v>#NAME?</v>
      </c>
      <c r="J451" s="2" t="e">
        <f t="shared" ca="1" si="8"/>
        <v>#NAME?</v>
      </c>
    </row>
    <row r="452" spans="1:10" ht="15.75" customHeight="1" x14ac:dyDescent="0.2">
      <c r="A452" s="2">
        <v>451</v>
      </c>
      <c r="B452" s="4">
        <v>45242</v>
      </c>
      <c r="C452" s="2">
        <f t="shared" si="5"/>
        <v>1</v>
      </c>
      <c r="D452" s="2">
        <v>0</v>
      </c>
      <c r="E452" s="2">
        <f t="shared" si="6"/>
        <v>1</v>
      </c>
      <c r="F452" s="2" t="str">
        <f t="shared" si="7"/>
        <v>Sunday</v>
      </c>
      <c r="H452" s="2">
        <v>2</v>
      </c>
      <c r="I452" s="2" t="e">
        <f t="shared" ca="1" si="9"/>
        <v>#NAME?</v>
      </c>
      <c r="J452" s="2" t="e">
        <f t="shared" ca="1" si="8"/>
        <v>#NAME?</v>
      </c>
    </row>
    <row r="453" spans="1:10" ht="15.75" customHeight="1" x14ac:dyDescent="0.2">
      <c r="A453" s="2">
        <v>452</v>
      </c>
      <c r="B453" s="4">
        <v>45243</v>
      </c>
      <c r="C453" s="2">
        <f t="shared" si="5"/>
        <v>0</v>
      </c>
      <c r="D453" s="2">
        <v>0</v>
      </c>
      <c r="E453" s="2">
        <f t="shared" si="6"/>
        <v>0</v>
      </c>
      <c r="F453" s="2" t="str">
        <f t="shared" si="7"/>
        <v>Monday</v>
      </c>
      <c r="H453" s="2">
        <v>2</v>
      </c>
      <c r="I453" s="2" t="e">
        <f t="shared" ca="1" si="9"/>
        <v>#NAME?</v>
      </c>
      <c r="J453" s="2" t="e">
        <f t="shared" ca="1" si="8"/>
        <v>#NAME?</v>
      </c>
    </row>
    <row r="454" spans="1:10" ht="15.75" customHeight="1" x14ac:dyDescent="0.2">
      <c r="A454" s="2">
        <v>453</v>
      </c>
      <c r="B454" s="4">
        <v>45244</v>
      </c>
      <c r="C454" s="2">
        <f t="shared" si="5"/>
        <v>0</v>
      </c>
      <c r="D454" s="2">
        <v>0</v>
      </c>
      <c r="E454" s="2">
        <f t="shared" si="6"/>
        <v>0</v>
      </c>
      <c r="F454" s="2" t="str">
        <f t="shared" si="7"/>
        <v>Tuesday</v>
      </c>
      <c r="H454" s="2">
        <v>2</v>
      </c>
      <c r="I454" s="2" t="e">
        <f t="shared" ca="1" si="9"/>
        <v>#NAME?</v>
      </c>
      <c r="J454" s="2" t="e">
        <f t="shared" ca="1" si="8"/>
        <v>#NAME?</v>
      </c>
    </row>
    <row r="455" spans="1:10" ht="15.75" customHeight="1" x14ac:dyDescent="0.2">
      <c r="A455" s="2">
        <v>454</v>
      </c>
      <c r="B455" s="4">
        <v>45245</v>
      </c>
      <c r="C455" s="2">
        <f t="shared" si="5"/>
        <v>0</v>
      </c>
      <c r="D455" s="2">
        <v>0</v>
      </c>
      <c r="E455" s="2">
        <f t="shared" si="6"/>
        <v>0</v>
      </c>
      <c r="F455" s="2" t="str">
        <f t="shared" si="7"/>
        <v>Wednesday</v>
      </c>
      <c r="H455" s="2">
        <v>2</v>
      </c>
      <c r="I455" s="2" t="e">
        <f t="shared" ca="1" si="9"/>
        <v>#NAME?</v>
      </c>
      <c r="J455" s="2" t="e">
        <f t="shared" ca="1" si="8"/>
        <v>#NAME?</v>
      </c>
    </row>
    <row r="456" spans="1:10" ht="15.75" customHeight="1" x14ac:dyDescent="0.2">
      <c r="A456" s="2">
        <v>455</v>
      </c>
      <c r="B456" s="4">
        <v>45246</v>
      </c>
      <c r="C456" s="2">
        <f t="shared" si="5"/>
        <v>0</v>
      </c>
      <c r="D456" s="2">
        <v>0</v>
      </c>
      <c r="E456" s="2">
        <f t="shared" si="6"/>
        <v>0</v>
      </c>
      <c r="F456" s="2" t="str">
        <f t="shared" si="7"/>
        <v>Thursday</v>
      </c>
      <c r="H456" s="2">
        <v>2</v>
      </c>
      <c r="I456" s="2" t="e">
        <f t="shared" ca="1" si="9"/>
        <v>#NAME?</v>
      </c>
      <c r="J456" s="2" t="e">
        <f t="shared" ca="1" si="8"/>
        <v>#NAME?</v>
      </c>
    </row>
    <row r="457" spans="1:10" ht="15.75" customHeight="1" x14ac:dyDescent="0.2">
      <c r="A457" s="2">
        <v>456</v>
      </c>
      <c r="B457" s="4">
        <v>45247</v>
      </c>
      <c r="C457" s="2">
        <f t="shared" si="5"/>
        <v>0</v>
      </c>
      <c r="D457" s="2">
        <v>0</v>
      </c>
      <c r="E457" s="2">
        <f t="shared" si="6"/>
        <v>0</v>
      </c>
      <c r="F457" s="2" t="str">
        <f t="shared" si="7"/>
        <v>Friday</v>
      </c>
      <c r="H457" s="2">
        <v>2</v>
      </c>
      <c r="I457" s="2" t="e">
        <f t="shared" ca="1" si="9"/>
        <v>#NAME?</v>
      </c>
      <c r="J457" s="2" t="e">
        <f t="shared" ca="1" si="8"/>
        <v>#NAME?</v>
      </c>
    </row>
    <row r="458" spans="1:10" ht="15.75" customHeight="1" x14ac:dyDescent="0.2">
      <c r="A458" s="2">
        <v>457</v>
      </c>
      <c r="B458" s="4">
        <v>45248</v>
      </c>
      <c r="C458" s="2">
        <f t="shared" si="5"/>
        <v>1</v>
      </c>
      <c r="D458" s="2">
        <v>0</v>
      </c>
      <c r="E458" s="2">
        <f t="shared" si="6"/>
        <v>1</v>
      </c>
      <c r="F458" s="2" t="str">
        <f t="shared" si="7"/>
        <v>Saturday</v>
      </c>
      <c r="H458" s="2">
        <v>2</v>
      </c>
      <c r="I458" s="2" t="e">
        <f t="shared" ca="1" si="9"/>
        <v>#NAME?</v>
      </c>
      <c r="J458" s="2" t="e">
        <f t="shared" ca="1" si="8"/>
        <v>#NAME?</v>
      </c>
    </row>
    <row r="459" spans="1:10" ht="15.75" customHeight="1" x14ac:dyDescent="0.2">
      <c r="A459" s="2">
        <v>458</v>
      </c>
      <c r="B459" s="4">
        <v>45249</v>
      </c>
      <c r="C459" s="2">
        <f t="shared" si="5"/>
        <v>1</v>
      </c>
      <c r="D459" s="2">
        <v>0</v>
      </c>
      <c r="E459" s="2">
        <f t="shared" si="6"/>
        <v>1</v>
      </c>
      <c r="F459" s="2" t="str">
        <f t="shared" si="7"/>
        <v>Sunday</v>
      </c>
      <c r="H459" s="2">
        <v>2</v>
      </c>
      <c r="I459" s="2" t="e">
        <f t="shared" ca="1" si="9"/>
        <v>#NAME?</v>
      </c>
      <c r="J459" s="2" t="e">
        <f t="shared" ca="1" si="8"/>
        <v>#NAME?</v>
      </c>
    </row>
    <row r="460" spans="1:10" ht="15.75" customHeight="1" x14ac:dyDescent="0.2">
      <c r="A460" s="2">
        <v>459</v>
      </c>
      <c r="B460" s="4">
        <v>45250</v>
      </c>
      <c r="C460" s="2">
        <f t="shared" si="5"/>
        <v>0</v>
      </c>
      <c r="D460" s="2">
        <v>0</v>
      </c>
      <c r="E460" s="2">
        <f t="shared" si="6"/>
        <v>0</v>
      </c>
      <c r="F460" s="2" t="str">
        <f t="shared" si="7"/>
        <v>Monday</v>
      </c>
      <c r="H460" s="2">
        <v>2</v>
      </c>
      <c r="I460" s="2" t="e">
        <f t="shared" ca="1" si="9"/>
        <v>#NAME?</v>
      </c>
      <c r="J460" s="2" t="e">
        <f t="shared" ca="1" si="8"/>
        <v>#NAME?</v>
      </c>
    </row>
    <row r="461" spans="1:10" ht="15.75" customHeight="1" x14ac:dyDescent="0.2">
      <c r="A461" s="2">
        <v>460</v>
      </c>
      <c r="B461" s="4">
        <v>45251</v>
      </c>
      <c r="C461" s="2">
        <f t="shared" si="5"/>
        <v>0</v>
      </c>
      <c r="D461" s="2">
        <v>0</v>
      </c>
      <c r="E461" s="2">
        <f t="shared" si="6"/>
        <v>0</v>
      </c>
      <c r="F461" s="2" t="str">
        <f t="shared" si="7"/>
        <v>Tuesday</v>
      </c>
      <c r="H461" s="2">
        <v>2</v>
      </c>
      <c r="I461" s="2" t="e">
        <f t="shared" ca="1" si="9"/>
        <v>#NAME?</v>
      </c>
      <c r="J461" s="2" t="e">
        <f t="shared" ca="1" si="8"/>
        <v>#NAME?</v>
      </c>
    </row>
    <row r="462" spans="1:10" ht="15.75" customHeight="1" x14ac:dyDescent="0.2">
      <c r="A462" s="2">
        <v>461</v>
      </c>
      <c r="B462" s="4">
        <v>45252</v>
      </c>
      <c r="C462" s="2">
        <f t="shared" si="5"/>
        <v>0</v>
      </c>
      <c r="D462" s="2">
        <v>0</v>
      </c>
      <c r="E462" s="2">
        <f t="shared" si="6"/>
        <v>0</v>
      </c>
      <c r="F462" s="2" t="str">
        <f t="shared" si="7"/>
        <v>Wednesday</v>
      </c>
      <c r="H462" s="2">
        <v>2</v>
      </c>
      <c r="I462" s="2" t="e">
        <f t="shared" ca="1" si="9"/>
        <v>#NAME?</v>
      </c>
      <c r="J462" s="2" t="e">
        <f t="shared" ca="1" si="8"/>
        <v>#NAME?</v>
      </c>
    </row>
    <row r="463" spans="1:10" ht="15.75" customHeight="1" x14ac:dyDescent="0.2">
      <c r="A463" s="2">
        <v>462</v>
      </c>
      <c r="B463" s="4">
        <v>45253</v>
      </c>
      <c r="C463" s="2">
        <f t="shared" si="5"/>
        <v>0</v>
      </c>
      <c r="D463" s="2">
        <v>0</v>
      </c>
      <c r="E463" s="2">
        <f t="shared" si="6"/>
        <v>0</v>
      </c>
      <c r="F463" s="2" t="str">
        <f t="shared" si="7"/>
        <v>Thursday</v>
      </c>
      <c r="H463" s="2">
        <v>2</v>
      </c>
      <c r="I463" s="2" t="e">
        <f t="shared" ca="1" si="9"/>
        <v>#NAME?</v>
      </c>
      <c r="J463" s="2" t="e">
        <f t="shared" ca="1" si="8"/>
        <v>#NAME?</v>
      </c>
    </row>
    <row r="464" spans="1:10" ht="15.75" customHeight="1" x14ac:dyDescent="0.2">
      <c r="A464" s="2">
        <v>463</v>
      </c>
      <c r="B464" s="4">
        <v>45254</v>
      </c>
      <c r="C464" s="2">
        <f t="shared" si="5"/>
        <v>0</v>
      </c>
      <c r="D464" s="2">
        <v>0</v>
      </c>
      <c r="E464" s="2">
        <f t="shared" si="6"/>
        <v>0</v>
      </c>
      <c r="F464" s="2" t="str">
        <f t="shared" si="7"/>
        <v>Friday</v>
      </c>
      <c r="H464" s="2">
        <v>2</v>
      </c>
      <c r="I464" s="2" t="e">
        <f t="shared" ca="1" si="9"/>
        <v>#NAME?</v>
      </c>
      <c r="J464" s="2" t="e">
        <f t="shared" ca="1" si="8"/>
        <v>#NAME?</v>
      </c>
    </row>
    <row r="465" spans="1:10" ht="15.75" customHeight="1" x14ac:dyDescent="0.2">
      <c r="A465" s="2">
        <v>464</v>
      </c>
      <c r="B465" s="4">
        <v>45255</v>
      </c>
      <c r="C465" s="2">
        <f t="shared" si="5"/>
        <v>1</v>
      </c>
      <c r="D465" s="2">
        <v>0</v>
      </c>
      <c r="E465" s="2">
        <f t="shared" si="6"/>
        <v>1</v>
      </c>
      <c r="F465" s="2" t="str">
        <f t="shared" si="7"/>
        <v>Saturday</v>
      </c>
      <c r="H465" s="2">
        <v>2</v>
      </c>
      <c r="I465" s="2" t="e">
        <f t="shared" ca="1" si="9"/>
        <v>#NAME?</v>
      </c>
      <c r="J465" s="2" t="e">
        <f t="shared" ca="1" si="8"/>
        <v>#NAME?</v>
      </c>
    </row>
    <row r="466" spans="1:10" ht="15.75" customHeight="1" x14ac:dyDescent="0.2">
      <c r="A466" s="2">
        <v>465</v>
      </c>
      <c r="B466" s="4">
        <v>45256</v>
      </c>
      <c r="C466" s="2">
        <f t="shared" si="5"/>
        <v>1</v>
      </c>
      <c r="D466" s="2">
        <v>0</v>
      </c>
      <c r="E466" s="2">
        <f t="shared" si="6"/>
        <v>1</v>
      </c>
      <c r="F466" s="2" t="str">
        <f t="shared" si="7"/>
        <v>Sunday</v>
      </c>
      <c r="H466" s="2">
        <v>2</v>
      </c>
      <c r="I466" s="2" t="e">
        <f t="shared" ca="1" si="9"/>
        <v>#NAME?</v>
      </c>
      <c r="J466" s="2" t="e">
        <f t="shared" ca="1" si="8"/>
        <v>#NAME?</v>
      </c>
    </row>
    <row r="467" spans="1:10" ht="15.75" customHeight="1" x14ac:dyDescent="0.2">
      <c r="A467" s="2">
        <v>466</v>
      </c>
      <c r="B467" s="4">
        <v>45257</v>
      </c>
      <c r="C467" s="2">
        <f t="shared" si="5"/>
        <v>0</v>
      </c>
      <c r="D467" s="2">
        <v>0</v>
      </c>
      <c r="E467" s="2">
        <f t="shared" si="6"/>
        <v>0</v>
      </c>
      <c r="F467" s="2" t="str">
        <f t="shared" si="7"/>
        <v>Monday</v>
      </c>
      <c r="H467" s="2">
        <v>2</v>
      </c>
      <c r="I467" s="2" t="e">
        <f t="shared" ca="1" si="9"/>
        <v>#NAME?</v>
      </c>
      <c r="J467" s="2" t="e">
        <f t="shared" ca="1" si="8"/>
        <v>#NAME?</v>
      </c>
    </row>
    <row r="468" spans="1:10" ht="15.75" customHeight="1" x14ac:dyDescent="0.2">
      <c r="A468" s="2">
        <v>467</v>
      </c>
      <c r="B468" s="4">
        <v>45258</v>
      </c>
      <c r="C468" s="2">
        <f t="shared" si="5"/>
        <v>0</v>
      </c>
      <c r="D468" s="2">
        <v>0</v>
      </c>
      <c r="E468" s="2">
        <f t="shared" si="6"/>
        <v>0</v>
      </c>
      <c r="F468" s="2" t="str">
        <f t="shared" si="7"/>
        <v>Tuesday</v>
      </c>
      <c r="H468" s="2">
        <v>2</v>
      </c>
      <c r="I468" s="2" t="e">
        <f t="shared" ca="1" si="9"/>
        <v>#NAME?</v>
      </c>
      <c r="J468" s="2" t="e">
        <f t="shared" ca="1" si="8"/>
        <v>#NAME?</v>
      </c>
    </row>
    <row r="469" spans="1:10" ht="15.75" customHeight="1" x14ac:dyDescent="0.2">
      <c r="A469" s="2">
        <v>468</v>
      </c>
      <c r="B469" s="4">
        <v>45259</v>
      </c>
      <c r="C469" s="2">
        <f t="shared" si="5"/>
        <v>0</v>
      </c>
      <c r="D469" s="2">
        <v>0</v>
      </c>
      <c r="E469" s="2">
        <f t="shared" si="6"/>
        <v>0</v>
      </c>
      <c r="F469" s="2" t="str">
        <f t="shared" si="7"/>
        <v>Wednesday</v>
      </c>
      <c r="H469" s="2">
        <v>2</v>
      </c>
      <c r="I469" s="2" t="e">
        <f t="shared" ca="1" si="9"/>
        <v>#NAME?</v>
      </c>
      <c r="J469" s="2" t="e">
        <f t="shared" ca="1" si="8"/>
        <v>#NAME?</v>
      </c>
    </row>
    <row r="470" spans="1:10" ht="15.75" customHeight="1" x14ac:dyDescent="0.2">
      <c r="A470" s="2">
        <v>469</v>
      </c>
      <c r="B470" s="4">
        <v>45260</v>
      </c>
      <c r="C470" s="2">
        <f t="shared" si="5"/>
        <v>0</v>
      </c>
      <c r="D470" s="2">
        <v>0</v>
      </c>
      <c r="E470" s="2">
        <f t="shared" si="6"/>
        <v>0</v>
      </c>
      <c r="F470" s="2" t="str">
        <f t="shared" si="7"/>
        <v>Thursday</v>
      </c>
      <c r="H470" s="2">
        <v>2</v>
      </c>
      <c r="I470" s="2" t="e">
        <f t="shared" ca="1" si="9"/>
        <v>#NAME?</v>
      </c>
      <c r="J470" s="2" t="e">
        <f t="shared" ca="1" si="8"/>
        <v>#NAME?</v>
      </c>
    </row>
    <row r="471" spans="1:10" ht="15.75" customHeight="1" x14ac:dyDescent="0.2">
      <c r="A471" s="2">
        <v>470</v>
      </c>
      <c r="B471" s="4">
        <v>45261</v>
      </c>
      <c r="C471" s="2">
        <f t="shared" si="5"/>
        <v>0</v>
      </c>
      <c r="D471" s="2">
        <v>0</v>
      </c>
      <c r="E471" s="2">
        <f t="shared" si="6"/>
        <v>0</v>
      </c>
      <c r="F471" s="2" t="str">
        <f t="shared" si="7"/>
        <v>Friday</v>
      </c>
      <c r="H471" s="2">
        <v>2</v>
      </c>
      <c r="I471" s="2" t="e">
        <f t="shared" ca="1" si="9"/>
        <v>#NAME?</v>
      </c>
      <c r="J471" s="2" t="e">
        <f t="shared" ca="1" si="8"/>
        <v>#NAME?</v>
      </c>
    </row>
    <row r="472" spans="1:10" ht="15.75" customHeight="1" x14ac:dyDescent="0.2">
      <c r="A472" s="2">
        <v>471</v>
      </c>
      <c r="B472" s="4">
        <v>45262</v>
      </c>
      <c r="C472" s="2">
        <f t="shared" si="5"/>
        <v>1</v>
      </c>
      <c r="D472" s="2">
        <v>0</v>
      </c>
      <c r="E472" s="2">
        <f t="shared" si="6"/>
        <v>1</v>
      </c>
      <c r="F472" s="2" t="str">
        <f t="shared" si="7"/>
        <v>Saturday</v>
      </c>
      <c r="H472" s="2">
        <v>2</v>
      </c>
      <c r="I472" s="2" t="e">
        <f t="shared" ca="1" si="9"/>
        <v>#NAME?</v>
      </c>
      <c r="J472" s="2" t="e">
        <f t="shared" ca="1" si="8"/>
        <v>#NAME?</v>
      </c>
    </row>
    <row r="473" spans="1:10" ht="15.75" customHeight="1" x14ac:dyDescent="0.2">
      <c r="A473" s="2">
        <v>472</v>
      </c>
      <c r="B473" s="4">
        <v>45263</v>
      </c>
      <c r="C473" s="2">
        <f t="shared" si="5"/>
        <v>1</v>
      </c>
      <c r="D473" s="2">
        <v>0</v>
      </c>
      <c r="E473" s="2">
        <f t="shared" si="6"/>
        <v>1</v>
      </c>
      <c r="F473" s="2" t="str">
        <f t="shared" si="7"/>
        <v>Sunday</v>
      </c>
      <c r="H473" s="2">
        <v>2</v>
      </c>
      <c r="I473" s="2" t="e">
        <f t="shared" ca="1" si="9"/>
        <v>#NAME?</v>
      </c>
      <c r="J473" s="2" t="e">
        <f t="shared" ca="1" si="8"/>
        <v>#NAME?</v>
      </c>
    </row>
    <row r="474" spans="1:10" ht="15.75" customHeight="1" x14ac:dyDescent="0.2">
      <c r="A474" s="2">
        <v>473</v>
      </c>
      <c r="B474" s="4">
        <v>45264</v>
      </c>
      <c r="C474" s="2">
        <f t="shared" si="5"/>
        <v>0</v>
      </c>
      <c r="D474" s="2">
        <v>0</v>
      </c>
      <c r="E474" s="2">
        <f t="shared" si="6"/>
        <v>0</v>
      </c>
      <c r="F474" s="2" t="str">
        <f t="shared" si="7"/>
        <v>Monday</v>
      </c>
      <c r="H474" s="2">
        <v>2</v>
      </c>
      <c r="I474" s="2" t="e">
        <f t="shared" ca="1" si="9"/>
        <v>#NAME?</v>
      </c>
      <c r="J474" s="2" t="e">
        <f t="shared" ca="1" si="8"/>
        <v>#NAME?</v>
      </c>
    </row>
    <row r="475" spans="1:10" ht="15.75" customHeight="1" x14ac:dyDescent="0.2">
      <c r="A475" s="2">
        <v>474</v>
      </c>
      <c r="B475" s="4">
        <v>45265</v>
      </c>
      <c r="C475" s="2">
        <f t="shared" si="5"/>
        <v>0</v>
      </c>
      <c r="D475" s="2">
        <v>0</v>
      </c>
      <c r="E475" s="2">
        <f t="shared" si="6"/>
        <v>0</v>
      </c>
      <c r="F475" s="2" t="str">
        <f t="shared" si="7"/>
        <v>Tuesday</v>
      </c>
      <c r="H475" s="2">
        <v>2</v>
      </c>
      <c r="I475" s="2" t="e">
        <f t="shared" ca="1" si="9"/>
        <v>#NAME?</v>
      </c>
      <c r="J475" s="2" t="e">
        <f t="shared" ca="1" si="8"/>
        <v>#NAME?</v>
      </c>
    </row>
    <row r="476" spans="1:10" ht="15.75" customHeight="1" x14ac:dyDescent="0.2">
      <c r="A476" s="2">
        <v>475</v>
      </c>
      <c r="B476" s="4">
        <v>45266</v>
      </c>
      <c r="C476" s="2">
        <f t="shared" si="5"/>
        <v>0</v>
      </c>
      <c r="D476" s="2">
        <v>0</v>
      </c>
      <c r="E476" s="2">
        <f t="shared" si="6"/>
        <v>0</v>
      </c>
      <c r="F476" s="2" t="str">
        <f t="shared" si="7"/>
        <v>Wednesday</v>
      </c>
      <c r="H476" s="2">
        <v>2</v>
      </c>
      <c r="I476" s="2" t="e">
        <f t="shared" ca="1" si="9"/>
        <v>#NAME?</v>
      </c>
      <c r="J476" s="2" t="e">
        <f t="shared" ca="1" si="8"/>
        <v>#NAME?</v>
      </c>
    </row>
    <row r="477" spans="1:10" ht="15.75" customHeight="1" x14ac:dyDescent="0.2">
      <c r="A477" s="2">
        <v>476</v>
      </c>
      <c r="B477" s="4">
        <v>45267</v>
      </c>
      <c r="C477" s="2">
        <f t="shared" si="5"/>
        <v>0</v>
      </c>
      <c r="D477" s="2">
        <v>0</v>
      </c>
      <c r="E477" s="2">
        <f t="shared" si="6"/>
        <v>0</v>
      </c>
      <c r="F477" s="2" t="str">
        <f t="shared" si="7"/>
        <v>Thursday</v>
      </c>
      <c r="H477" s="2">
        <v>2</v>
      </c>
      <c r="I477" s="2" t="e">
        <f t="shared" ca="1" si="9"/>
        <v>#NAME?</v>
      </c>
      <c r="J477" s="2" t="e">
        <f t="shared" ca="1" si="8"/>
        <v>#NAME?</v>
      </c>
    </row>
    <row r="478" spans="1:10" ht="15.75" customHeight="1" x14ac:dyDescent="0.2">
      <c r="A478" s="2">
        <v>477</v>
      </c>
      <c r="B478" s="4">
        <v>45268</v>
      </c>
      <c r="C478" s="2">
        <f t="shared" si="5"/>
        <v>0</v>
      </c>
      <c r="D478" s="2">
        <v>0</v>
      </c>
      <c r="E478" s="2">
        <f t="shared" si="6"/>
        <v>0</v>
      </c>
      <c r="F478" s="2" t="str">
        <f t="shared" si="7"/>
        <v>Friday</v>
      </c>
      <c r="H478" s="2">
        <v>2</v>
      </c>
      <c r="I478" s="2" t="e">
        <f t="shared" ca="1" si="9"/>
        <v>#NAME?</v>
      </c>
      <c r="J478" s="2" t="e">
        <f t="shared" ca="1" si="8"/>
        <v>#NAME?</v>
      </c>
    </row>
    <row r="479" spans="1:10" ht="15.75" customHeight="1" x14ac:dyDescent="0.2">
      <c r="A479" s="2">
        <v>478</v>
      </c>
      <c r="B479" s="4">
        <v>45269</v>
      </c>
      <c r="C479" s="2">
        <f t="shared" si="5"/>
        <v>1</v>
      </c>
      <c r="D479" s="2">
        <v>0</v>
      </c>
      <c r="E479" s="2">
        <f t="shared" si="6"/>
        <v>1</v>
      </c>
      <c r="F479" s="2" t="str">
        <f t="shared" si="7"/>
        <v>Saturday</v>
      </c>
      <c r="H479" s="2">
        <v>2</v>
      </c>
      <c r="I479" s="2" t="e">
        <f t="shared" ca="1" si="9"/>
        <v>#NAME?</v>
      </c>
      <c r="J479" s="2" t="e">
        <f t="shared" ca="1" si="8"/>
        <v>#NAME?</v>
      </c>
    </row>
    <row r="480" spans="1:10" ht="15.75" customHeight="1" x14ac:dyDescent="0.2">
      <c r="A480" s="2">
        <v>479</v>
      </c>
      <c r="B480" s="4">
        <v>45270</v>
      </c>
      <c r="C480" s="2">
        <f t="shared" si="5"/>
        <v>1</v>
      </c>
      <c r="D480" s="2">
        <v>0</v>
      </c>
      <c r="E480" s="2">
        <f t="shared" si="6"/>
        <v>1</v>
      </c>
      <c r="F480" s="2" t="str">
        <f t="shared" si="7"/>
        <v>Sunday</v>
      </c>
      <c r="H480" s="2">
        <v>2</v>
      </c>
      <c r="I480" s="2" t="e">
        <f t="shared" ca="1" si="9"/>
        <v>#NAME?</v>
      </c>
      <c r="J480" s="2" t="e">
        <f t="shared" ca="1" si="8"/>
        <v>#NAME?</v>
      </c>
    </row>
    <row r="481" spans="1:10" ht="15.75" customHeight="1" x14ac:dyDescent="0.2">
      <c r="A481" s="2">
        <v>480</v>
      </c>
      <c r="B481" s="4">
        <v>45271</v>
      </c>
      <c r="C481" s="2">
        <f t="shared" si="5"/>
        <v>0</v>
      </c>
      <c r="D481" s="2">
        <v>0</v>
      </c>
      <c r="E481" s="2">
        <f t="shared" si="6"/>
        <v>0</v>
      </c>
      <c r="F481" s="2" t="str">
        <f t="shared" si="7"/>
        <v>Monday</v>
      </c>
      <c r="H481" s="2">
        <v>2</v>
      </c>
      <c r="I481" s="2" t="e">
        <f t="shared" ca="1" si="9"/>
        <v>#NAME?</v>
      </c>
      <c r="J481" s="2" t="e">
        <f t="shared" ca="1" si="8"/>
        <v>#NAME?</v>
      </c>
    </row>
    <row r="482" spans="1:10" ht="15.75" customHeight="1" x14ac:dyDescent="0.2">
      <c r="A482" s="2">
        <v>481</v>
      </c>
      <c r="B482" s="4">
        <v>45272</v>
      </c>
      <c r="C482" s="2">
        <f t="shared" si="5"/>
        <v>0</v>
      </c>
      <c r="D482" s="2">
        <v>0</v>
      </c>
      <c r="E482" s="2">
        <f t="shared" si="6"/>
        <v>0</v>
      </c>
      <c r="F482" s="2" t="str">
        <f t="shared" si="7"/>
        <v>Tuesday</v>
      </c>
      <c r="H482" s="2">
        <v>2</v>
      </c>
      <c r="I482" s="2" t="e">
        <f t="shared" ca="1" si="9"/>
        <v>#NAME?</v>
      </c>
      <c r="J482" s="2" t="e">
        <f t="shared" ca="1" si="8"/>
        <v>#NAME?</v>
      </c>
    </row>
    <row r="483" spans="1:10" ht="15.75" customHeight="1" x14ac:dyDescent="0.2">
      <c r="A483" s="2">
        <v>482</v>
      </c>
      <c r="B483" s="4">
        <v>45273</v>
      </c>
      <c r="C483" s="2">
        <f t="shared" si="5"/>
        <v>0</v>
      </c>
      <c r="D483" s="2">
        <v>0</v>
      </c>
      <c r="E483" s="2">
        <f t="shared" si="6"/>
        <v>0</v>
      </c>
      <c r="F483" s="2" t="str">
        <f t="shared" si="7"/>
        <v>Wednesday</v>
      </c>
      <c r="H483" s="2">
        <v>2</v>
      </c>
      <c r="I483" s="2" t="e">
        <f t="shared" ca="1" si="9"/>
        <v>#NAME?</v>
      </c>
      <c r="J483" s="2" t="e">
        <f t="shared" ca="1" si="8"/>
        <v>#NAME?</v>
      </c>
    </row>
    <row r="484" spans="1:10" ht="15.75" customHeight="1" x14ac:dyDescent="0.2">
      <c r="A484" s="2">
        <v>483</v>
      </c>
      <c r="B484" s="4">
        <v>45274</v>
      </c>
      <c r="C484" s="2">
        <f t="shared" si="5"/>
        <v>0</v>
      </c>
      <c r="D484" s="2">
        <v>0</v>
      </c>
      <c r="E484" s="2">
        <f t="shared" si="6"/>
        <v>0</v>
      </c>
      <c r="F484" s="2" t="str">
        <f t="shared" si="7"/>
        <v>Thursday</v>
      </c>
      <c r="H484" s="2">
        <v>2</v>
      </c>
      <c r="I484" s="2" t="e">
        <f t="shared" ca="1" si="9"/>
        <v>#NAME?</v>
      </c>
      <c r="J484" s="2" t="e">
        <f t="shared" ca="1" si="8"/>
        <v>#NAME?</v>
      </c>
    </row>
    <row r="485" spans="1:10" ht="15.75" customHeight="1" x14ac:dyDescent="0.2">
      <c r="A485" s="2">
        <v>484</v>
      </c>
      <c r="B485" s="4">
        <v>45275</v>
      </c>
      <c r="C485" s="2">
        <f t="shared" si="5"/>
        <v>0</v>
      </c>
      <c r="D485" s="2">
        <v>0</v>
      </c>
      <c r="E485" s="2">
        <f t="shared" si="6"/>
        <v>0</v>
      </c>
      <c r="F485" s="2" t="str">
        <f t="shared" si="7"/>
        <v>Friday</v>
      </c>
      <c r="H485" s="2">
        <v>2</v>
      </c>
      <c r="I485" s="2" t="e">
        <f t="shared" ca="1" si="9"/>
        <v>#NAME?</v>
      </c>
      <c r="J485" s="2" t="e">
        <f t="shared" ca="1" si="8"/>
        <v>#NAME?</v>
      </c>
    </row>
    <row r="486" spans="1:10" ht="15.75" customHeight="1" x14ac:dyDescent="0.2">
      <c r="A486" s="2">
        <v>485</v>
      </c>
      <c r="B486" s="4">
        <v>45276</v>
      </c>
      <c r="C486" s="2">
        <f t="shared" si="5"/>
        <v>1</v>
      </c>
      <c r="D486" s="2">
        <v>0</v>
      </c>
      <c r="E486" s="2">
        <f t="shared" si="6"/>
        <v>1</v>
      </c>
      <c r="F486" s="2" t="str">
        <f t="shared" si="7"/>
        <v>Saturday</v>
      </c>
      <c r="H486" s="2">
        <v>2</v>
      </c>
      <c r="I486" s="2" t="e">
        <f t="shared" ca="1" si="9"/>
        <v>#NAME?</v>
      </c>
      <c r="J486" s="2" t="e">
        <f t="shared" ca="1" si="8"/>
        <v>#NAME?</v>
      </c>
    </row>
    <row r="487" spans="1:10" ht="15.75" customHeight="1" x14ac:dyDescent="0.2">
      <c r="A487" s="2">
        <v>486</v>
      </c>
      <c r="B487" s="4">
        <v>45277</v>
      </c>
      <c r="C487" s="2">
        <f t="shared" si="5"/>
        <v>1</v>
      </c>
      <c r="D487" s="2">
        <v>0</v>
      </c>
      <c r="E487" s="2">
        <f t="shared" si="6"/>
        <v>1</v>
      </c>
      <c r="F487" s="2" t="str">
        <f t="shared" si="7"/>
        <v>Sunday</v>
      </c>
      <c r="H487" s="2">
        <v>2</v>
      </c>
      <c r="I487" s="2" t="e">
        <f t="shared" ca="1" si="9"/>
        <v>#NAME?</v>
      </c>
      <c r="J487" s="2" t="e">
        <f t="shared" ca="1" si="8"/>
        <v>#NAME?</v>
      </c>
    </row>
    <row r="488" spans="1:10" ht="15.75" customHeight="1" x14ac:dyDescent="0.2">
      <c r="A488" s="2">
        <v>487</v>
      </c>
      <c r="B488" s="4">
        <v>45278</v>
      </c>
      <c r="C488" s="2">
        <f t="shared" si="5"/>
        <v>0</v>
      </c>
      <c r="D488" s="2">
        <v>0</v>
      </c>
      <c r="E488" s="2">
        <f t="shared" si="6"/>
        <v>0</v>
      </c>
      <c r="F488" s="2" t="str">
        <f t="shared" si="7"/>
        <v>Monday</v>
      </c>
      <c r="H488" s="2">
        <v>2</v>
      </c>
      <c r="I488" s="2" t="e">
        <f t="shared" ca="1" si="9"/>
        <v>#NAME?</v>
      </c>
      <c r="J488" s="2" t="e">
        <f t="shared" ca="1" si="8"/>
        <v>#NAME?</v>
      </c>
    </row>
    <row r="489" spans="1:10" ht="15.75" customHeight="1" x14ac:dyDescent="0.2">
      <c r="A489" s="2">
        <v>488</v>
      </c>
      <c r="B489" s="4">
        <v>45279</v>
      </c>
      <c r="C489" s="2">
        <f t="shared" si="5"/>
        <v>0</v>
      </c>
      <c r="D489" s="2">
        <v>0</v>
      </c>
      <c r="E489" s="2">
        <f t="shared" si="6"/>
        <v>0</v>
      </c>
      <c r="F489" s="2" t="str">
        <f t="shared" si="7"/>
        <v>Tuesday</v>
      </c>
      <c r="H489" s="2">
        <v>2</v>
      </c>
      <c r="I489" s="2" t="e">
        <f t="shared" ca="1" si="9"/>
        <v>#NAME?</v>
      </c>
      <c r="J489" s="2" t="e">
        <f t="shared" ca="1" si="8"/>
        <v>#NAME?</v>
      </c>
    </row>
    <row r="490" spans="1:10" ht="15.75" customHeight="1" x14ac:dyDescent="0.2">
      <c r="A490" s="2">
        <v>489</v>
      </c>
      <c r="B490" s="4">
        <v>45280</v>
      </c>
      <c r="C490" s="2">
        <f t="shared" si="5"/>
        <v>0</v>
      </c>
      <c r="D490" s="2">
        <v>0</v>
      </c>
      <c r="E490" s="2">
        <f t="shared" si="6"/>
        <v>0</v>
      </c>
      <c r="F490" s="2" t="str">
        <f t="shared" si="7"/>
        <v>Wednesday</v>
      </c>
      <c r="H490" s="2">
        <v>2</v>
      </c>
      <c r="I490" s="2" t="e">
        <f t="shared" ca="1" si="9"/>
        <v>#NAME?</v>
      </c>
      <c r="J490" s="2" t="e">
        <f t="shared" ca="1" si="8"/>
        <v>#NAME?</v>
      </c>
    </row>
    <row r="491" spans="1:10" ht="15.75" customHeight="1" x14ac:dyDescent="0.2">
      <c r="A491" s="2">
        <v>490</v>
      </c>
      <c r="B491" s="4">
        <v>45281</v>
      </c>
      <c r="C491" s="2">
        <f t="shared" si="5"/>
        <v>0</v>
      </c>
      <c r="D491" s="2">
        <v>0</v>
      </c>
      <c r="E491" s="2">
        <f t="shared" si="6"/>
        <v>0</v>
      </c>
      <c r="F491" s="2" t="str">
        <f t="shared" si="7"/>
        <v>Thursday</v>
      </c>
      <c r="H491" s="2">
        <v>2</v>
      </c>
      <c r="I491" s="2" t="e">
        <f t="shared" ca="1" si="9"/>
        <v>#NAME?</v>
      </c>
      <c r="J491" s="2" t="e">
        <f t="shared" ca="1" si="8"/>
        <v>#NAME?</v>
      </c>
    </row>
    <row r="492" spans="1:10" ht="15.75" customHeight="1" x14ac:dyDescent="0.2">
      <c r="A492" s="2">
        <v>491</v>
      </c>
      <c r="B492" s="4">
        <v>45282</v>
      </c>
      <c r="C492" s="2">
        <f t="shared" si="5"/>
        <v>0</v>
      </c>
      <c r="D492" s="2">
        <v>0</v>
      </c>
      <c r="E492" s="2">
        <f t="shared" si="6"/>
        <v>0</v>
      </c>
      <c r="F492" s="2" t="str">
        <f t="shared" si="7"/>
        <v>Friday</v>
      </c>
      <c r="H492" s="2">
        <v>2</v>
      </c>
      <c r="I492" s="2" t="e">
        <f t="shared" ca="1" si="9"/>
        <v>#NAME?</v>
      </c>
      <c r="J492" s="2" t="e">
        <f t="shared" ca="1" si="8"/>
        <v>#NAME?</v>
      </c>
    </row>
    <row r="493" spans="1:10" ht="15.75" customHeight="1" x14ac:dyDescent="0.2">
      <c r="A493" s="2">
        <v>492</v>
      </c>
      <c r="B493" s="4">
        <v>45283</v>
      </c>
      <c r="C493" s="2">
        <f t="shared" si="5"/>
        <v>1</v>
      </c>
      <c r="D493" s="2">
        <v>1</v>
      </c>
      <c r="E493" s="2">
        <f t="shared" si="6"/>
        <v>1</v>
      </c>
      <c r="F493" s="2" t="str">
        <f t="shared" si="7"/>
        <v>Saturday</v>
      </c>
      <c r="G493" s="2" t="s">
        <v>331</v>
      </c>
      <c r="H493" s="2">
        <v>2</v>
      </c>
      <c r="I493" s="2" t="e">
        <f t="shared" ca="1" si="9"/>
        <v>#NAME?</v>
      </c>
      <c r="J493" s="2" t="e">
        <f t="shared" ca="1" si="8"/>
        <v>#NAME?</v>
      </c>
    </row>
    <row r="494" spans="1:10" ht="15.75" customHeight="1" x14ac:dyDescent="0.2">
      <c r="A494" s="2">
        <v>493</v>
      </c>
      <c r="B494" s="4">
        <v>45284</v>
      </c>
      <c r="C494" s="2">
        <f t="shared" si="5"/>
        <v>1</v>
      </c>
      <c r="D494" s="2">
        <v>1</v>
      </c>
      <c r="E494" s="2">
        <f t="shared" si="6"/>
        <v>1</v>
      </c>
      <c r="F494" s="2" t="str">
        <f t="shared" si="7"/>
        <v>Sunday</v>
      </c>
      <c r="G494" s="2" t="s">
        <v>331</v>
      </c>
      <c r="H494" s="2">
        <v>2</v>
      </c>
      <c r="I494" s="2" t="e">
        <f t="shared" ca="1" si="9"/>
        <v>#NAME?</v>
      </c>
      <c r="J494" s="2" t="e">
        <f t="shared" ca="1" si="8"/>
        <v>#NAME?</v>
      </c>
    </row>
    <row r="495" spans="1:10" ht="15.75" customHeight="1" x14ac:dyDescent="0.2">
      <c r="A495" s="2">
        <v>494</v>
      </c>
      <c r="B495" s="4">
        <v>45285</v>
      </c>
      <c r="C495" s="2">
        <f t="shared" si="5"/>
        <v>0</v>
      </c>
      <c r="D495" s="2">
        <v>1</v>
      </c>
      <c r="E495" s="2">
        <f t="shared" si="6"/>
        <v>1</v>
      </c>
      <c r="F495" s="2" t="str">
        <f t="shared" si="7"/>
        <v>Monday</v>
      </c>
      <c r="G495" s="2" t="s">
        <v>331</v>
      </c>
      <c r="H495" s="2">
        <v>2</v>
      </c>
      <c r="I495" s="2" t="e">
        <f t="shared" ca="1" si="9"/>
        <v>#NAME?</v>
      </c>
      <c r="J495" s="2" t="e">
        <f t="shared" ca="1" si="8"/>
        <v>#NAME?</v>
      </c>
    </row>
    <row r="496" spans="1:10" ht="15.75" customHeight="1" x14ac:dyDescent="0.2">
      <c r="A496" s="2">
        <v>495</v>
      </c>
      <c r="B496" s="4">
        <v>45286</v>
      </c>
      <c r="C496" s="2">
        <f t="shared" si="5"/>
        <v>0</v>
      </c>
      <c r="D496" s="2">
        <v>1</v>
      </c>
      <c r="E496" s="2">
        <f t="shared" si="6"/>
        <v>1</v>
      </c>
      <c r="F496" s="2" t="str">
        <f t="shared" si="7"/>
        <v>Tuesday</v>
      </c>
      <c r="G496" s="2" t="s">
        <v>331</v>
      </c>
      <c r="H496" s="2">
        <v>2</v>
      </c>
      <c r="I496" s="2" t="e">
        <f t="shared" ca="1" si="9"/>
        <v>#NAME?</v>
      </c>
      <c r="J496" s="2" t="e">
        <f t="shared" ca="1" si="8"/>
        <v>#NAME?</v>
      </c>
    </row>
    <row r="497" spans="1:10" ht="15.75" customHeight="1" x14ac:dyDescent="0.2">
      <c r="A497" s="2">
        <v>496</v>
      </c>
      <c r="B497" s="4">
        <v>45287</v>
      </c>
      <c r="C497" s="2">
        <f t="shared" si="5"/>
        <v>0</v>
      </c>
      <c r="D497" s="2">
        <v>1</v>
      </c>
      <c r="E497" s="2">
        <f t="shared" si="6"/>
        <v>1</v>
      </c>
      <c r="F497" s="2" t="str">
        <f t="shared" si="7"/>
        <v>Wednesday</v>
      </c>
      <c r="G497" s="2" t="s">
        <v>331</v>
      </c>
      <c r="H497" s="2">
        <v>2</v>
      </c>
      <c r="I497" s="2" t="e">
        <f t="shared" ca="1" si="9"/>
        <v>#NAME?</v>
      </c>
      <c r="J497" s="2" t="e">
        <f t="shared" ca="1" si="8"/>
        <v>#NAME?</v>
      </c>
    </row>
    <row r="498" spans="1:10" ht="15.75" customHeight="1" x14ac:dyDescent="0.2">
      <c r="A498" s="2">
        <v>497</v>
      </c>
      <c r="B498" s="4">
        <v>45288</v>
      </c>
      <c r="C498" s="2">
        <f t="shared" si="5"/>
        <v>0</v>
      </c>
      <c r="D498" s="2">
        <v>1</v>
      </c>
      <c r="E498" s="2">
        <f t="shared" si="6"/>
        <v>1</v>
      </c>
      <c r="F498" s="2" t="str">
        <f t="shared" si="7"/>
        <v>Thursday</v>
      </c>
      <c r="G498" s="2" t="s">
        <v>331</v>
      </c>
      <c r="H498" s="2">
        <v>2</v>
      </c>
      <c r="I498" s="2" t="e">
        <f t="shared" ca="1" si="9"/>
        <v>#NAME?</v>
      </c>
      <c r="J498" s="2" t="e">
        <f t="shared" ca="1" si="8"/>
        <v>#NAME?</v>
      </c>
    </row>
    <row r="499" spans="1:10" ht="15.75" customHeight="1" x14ac:dyDescent="0.2">
      <c r="A499" s="2">
        <v>498</v>
      </c>
      <c r="B499" s="4">
        <v>45289</v>
      </c>
      <c r="C499" s="2">
        <f t="shared" si="5"/>
        <v>0</v>
      </c>
      <c r="D499" s="2">
        <v>1</v>
      </c>
      <c r="E499" s="2">
        <f t="shared" si="6"/>
        <v>1</v>
      </c>
      <c r="F499" s="2" t="str">
        <f t="shared" si="7"/>
        <v>Friday</v>
      </c>
      <c r="G499" s="2" t="s">
        <v>331</v>
      </c>
      <c r="H499" s="2">
        <v>2</v>
      </c>
      <c r="I499" s="2" t="e">
        <f t="shared" ca="1" si="9"/>
        <v>#NAME?</v>
      </c>
      <c r="J499" s="2" t="e">
        <f t="shared" ca="1" si="8"/>
        <v>#NAME?</v>
      </c>
    </row>
    <row r="500" spans="1:10" ht="15.75" customHeight="1" x14ac:dyDescent="0.2">
      <c r="A500" s="2">
        <v>499</v>
      </c>
      <c r="B500" s="4">
        <v>45290</v>
      </c>
      <c r="C500" s="2">
        <f t="shared" si="5"/>
        <v>1</v>
      </c>
      <c r="D500" s="2">
        <v>1</v>
      </c>
      <c r="E500" s="2">
        <f t="shared" si="6"/>
        <v>1</v>
      </c>
      <c r="F500" s="2" t="str">
        <f t="shared" si="7"/>
        <v>Saturday</v>
      </c>
      <c r="G500" s="2" t="s">
        <v>331</v>
      </c>
      <c r="H500" s="2">
        <v>2</v>
      </c>
      <c r="I500" s="2" t="e">
        <f t="shared" ca="1" si="9"/>
        <v>#NAME?</v>
      </c>
      <c r="J500" s="2" t="e">
        <f t="shared" ca="1" si="8"/>
        <v>#NAME?</v>
      </c>
    </row>
    <row r="501" spans="1:10" ht="15.75" customHeight="1" x14ac:dyDescent="0.2">
      <c r="A501" s="2">
        <v>500</v>
      </c>
      <c r="B501" s="4">
        <v>45291</v>
      </c>
      <c r="C501" s="2">
        <f t="shared" si="5"/>
        <v>1</v>
      </c>
      <c r="D501" s="2">
        <v>1</v>
      </c>
      <c r="E501" s="2">
        <f t="shared" si="6"/>
        <v>1</v>
      </c>
      <c r="F501" s="2" t="str">
        <f t="shared" si="7"/>
        <v>Sunday</v>
      </c>
      <c r="G501" s="2" t="s">
        <v>331</v>
      </c>
      <c r="H501" s="2">
        <v>2</v>
      </c>
      <c r="I501" s="2" t="e">
        <f t="shared" ca="1" si="9"/>
        <v>#NAME?</v>
      </c>
      <c r="J501" s="2" t="e">
        <f t="shared" ca="1" si="8"/>
        <v>#NAME?</v>
      </c>
    </row>
    <row r="502" spans="1:10" ht="15.75" customHeight="1" x14ac:dyDescent="0.2">
      <c r="A502" s="2">
        <v>501</v>
      </c>
      <c r="B502" s="4">
        <v>45292</v>
      </c>
      <c r="C502" s="2">
        <f t="shared" si="5"/>
        <v>0</v>
      </c>
      <c r="D502" s="2">
        <v>1</v>
      </c>
      <c r="E502" s="2">
        <f t="shared" si="6"/>
        <v>1</v>
      </c>
      <c r="F502" s="2" t="str">
        <f t="shared" si="7"/>
        <v>Monday</v>
      </c>
      <c r="G502" s="2" t="s">
        <v>331</v>
      </c>
      <c r="H502" s="2">
        <v>2</v>
      </c>
      <c r="I502" s="2" t="e">
        <f t="shared" ca="1" si="9"/>
        <v>#NAME?</v>
      </c>
      <c r="J502" s="2" t="e">
        <f t="shared" ca="1" si="8"/>
        <v>#NAME?</v>
      </c>
    </row>
    <row r="503" spans="1:10" ht="15.75" customHeight="1" x14ac:dyDescent="0.2">
      <c r="A503" s="2">
        <v>502</v>
      </c>
      <c r="B503" s="4">
        <v>45293</v>
      </c>
      <c r="C503" s="2">
        <f t="shared" si="5"/>
        <v>0</v>
      </c>
      <c r="D503" s="2">
        <v>1</v>
      </c>
      <c r="E503" s="2">
        <f t="shared" si="6"/>
        <v>1</v>
      </c>
      <c r="F503" s="2" t="str">
        <f t="shared" si="7"/>
        <v>Tuesday</v>
      </c>
      <c r="G503" s="2" t="s">
        <v>331</v>
      </c>
      <c r="H503" s="2">
        <v>2</v>
      </c>
      <c r="I503" s="2" t="e">
        <f t="shared" ca="1" si="9"/>
        <v>#NAME?</v>
      </c>
      <c r="J503" s="2" t="e">
        <f t="shared" ca="1" si="8"/>
        <v>#NAME?</v>
      </c>
    </row>
    <row r="504" spans="1:10" ht="15.75" customHeight="1" x14ac:dyDescent="0.2">
      <c r="A504" s="2">
        <v>503</v>
      </c>
      <c r="B504" s="4">
        <v>45294</v>
      </c>
      <c r="C504" s="2">
        <f t="shared" si="5"/>
        <v>0</v>
      </c>
      <c r="D504" s="2">
        <v>1</v>
      </c>
      <c r="E504" s="2">
        <f t="shared" si="6"/>
        <v>1</v>
      </c>
      <c r="F504" s="2" t="str">
        <f t="shared" si="7"/>
        <v>Wednesday</v>
      </c>
      <c r="G504" s="2" t="s">
        <v>331</v>
      </c>
      <c r="H504" s="2">
        <v>2</v>
      </c>
      <c r="I504" s="2" t="e">
        <f t="shared" ca="1" si="9"/>
        <v>#NAME?</v>
      </c>
      <c r="J504" s="2" t="e">
        <f t="shared" ca="1" si="8"/>
        <v>#NAME?</v>
      </c>
    </row>
    <row r="505" spans="1:10" ht="15.75" customHeight="1" x14ac:dyDescent="0.2">
      <c r="A505" s="2">
        <v>504</v>
      </c>
      <c r="B505" s="4">
        <v>45295</v>
      </c>
      <c r="C505" s="2">
        <f t="shared" si="5"/>
        <v>0</v>
      </c>
      <c r="D505" s="2">
        <v>1</v>
      </c>
      <c r="E505" s="2">
        <f t="shared" si="6"/>
        <v>1</v>
      </c>
      <c r="F505" s="2" t="str">
        <f t="shared" si="7"/>
        <v>Thursday</v>
      </c>
      <c r="G505" s="2" t="s">
        <v>331</v>
      </c>
      <c r="H505" s="2">
        <v>2</v>
      </c>
      <c r="I505" s="2" t="e">
        <f t="shared" ca="1" si="9"/>
        <v>#NAME?</v>
      </c>
      <c r="J505" s="2" t="e">
        <f t="shared" ca="1" si="8"/>
        <v>#NAME?</v>
      </c>
    </row>
    <row r="506" spans="1:10" ht="15.75" customHeight="1" x14ac:dyDescent="0.2">
      <c r="A506" s="2">
        <v>505</v>
      </c>
      <c r="B506" s="4">
        <v>45296</v>
      </c>
      <c r="C506" s="2">
        <f t="shared" si="5"/>
        <v>0</v>
      </c>
      <c r="D506" s="2">
        <v>1</v>
      </c>
      <c r="E506" s="2">
        <f t="shared" si="6"/>
        <v>1</v>
      </c>
      <c r="F506" s="2" t="str">
        <f t="shared" si="7"/>
        <v>Friday</v>
      </c>
      <c r="G506" s="2" t="s">
        <v>331</v>
      </c>
      <c r="H506" s="2">
        <v>2</v>
      </c>
      <c r="I506" s="2" t="e">
        <f t="shared" ca="1" si="9"/>
        <v>#NAME?</v>
      </c>
      <c r="J506" s="2" t="e">
        <f t="shared" ca="1" si="8"/>
        <v>#NAME?</v>
      </c>
    </row>
    <row r="507" spans="1:10" ht="15.75" customHeight="1" x14ac:dyDescent="0.2">
      <c r="A507" s="2">
        <v>506</v>
      </c>
      <c r="B507" s="4">
        <v>45297</v>
      </c>
      <c r="C507" s="2">
        <f t="shared" si="5"/>
        <v>1</v>
      </c>
      <c r="D507" s="2">
        <v>1</v>
      </c>
      <c r="E507" s="2">
        <f t="shared" si="6"/>
        <v>1</v>
      </c>
      <c r="F507" s="2" t="str">
        <f t="shared" si="7"/>
        <v>Saturday</v>
      </c>
      <c r="G507" s="2" t="s">
        <v>331</v>
      </c>
      <c r="H507" s="2">
        <v>2</v>
      </c>
      <c r="I507" s="2" t="e">
        <f t="shared" ca="1" si="9"/>
        <v>#NAME?</v>
      </c>
      <c r="J507" s="2" t="e">
        <f t="shared" ca="1" si="8"/>
        <v>#NAME?</v>
      </c>
    </row>
    <row r="508" spans="1:10" ht="15.75" customHeight="1" x14ac:dyDescent="0.2">
      <c r="A508" s="2">
        <v>507</v>
      </c>
      <c r="B508" s="4">
        <v>45298</v>
      </c>
      <c r="C508" s="2">
        <f t="shared" si="5"/>
        <v>1</v>
      </c>
      <c r="D508" s="2">
        <v>1</v>
      </c>
      <c r="E508" s="2">
        <f t="shared" si="6"/>
        <v>1</v>
      </c>
      <c r="F508" s="2" t="str">
        <f t="shared" si="7"/>
        <v>Sunday</v>
      </c>
      <c r="G508" s="2" t="s">
        <v>331</v>
      </c>
      <c r="H508" s="2">
        <v>2</v>
      </c>
      <c r="I508" s="2" t="e">
        <f t="shared" ca="1" si="9"/>
        <v>#NAME?</v>
      </c>
      <c r="J508" s="2" t="e">
        <f t="shared" ca="1" si="8"/>
        <v>#NAME?</v>
      </c>
    </row>
    <row r="509" spans="1:10" ht="15.75" customHeight="1" x14ac:dyDescent="0.2">
      <c r="A509" s="2">
        <v>508</v>
      </c>
      <c r="B509" s="4">
        <v>45299</v>
      </c>
      <c r="C509" s="2">
        <f t="shared" si="5"/>
        <v>0</v>
      </c>
      <c r="D509" s="2">
        <v>1</v>
      </c>
      <c r="E509" s="2">
        <f t="shared" si="6"/>
        <v>1</v>
      </c>
      <c r="F509" s="2" t="str">
        <f t="shared" si="7"/>
        <v>Monday</v>
      </c>
      <c r="G509" s="2" t="s">
        <v>330</v>
      </c>
      <c r="H509" s="2">
        <v>3</v>
      </c>
      <c r="I509" s="2" t="e">
        <f t="shared" ca="1" si="9"/>
        <v>#NAME?</v>
      </c>
      <c r="J509" s="2" t="e">
        <f t="shared" ca="1" si="8"/>
        <v>#NAME?</v>
      </c>
    </row>
    <row r="510" spans="1:10" ht="15.75" customHeight="1" x14ac:dyDescent="0.2">
      <c r="A510" s="2">
        <v>509</v>
      </c>
      <c r="B510" s="4">
        <v>45300</v>
      </c>
      <c r="C510" s="2">
        <f t="shared" si="5"/>
        <v>0</v>
      </c>
      <c r="D510" s="2">
        <v>0</v>
      </c>
      <c r="E510" s="2">
        <f t="shared" si="6"/>
        <v>0</v>
      </c>
      <c r="F510" s="2" t="str">
        <f t="shared" si="7"/>
        <v>Tuesday</v>
      </c>
      <c r="H510" s="2">
        <v>3</v>
      </c>
      <c r="I510" s="2" t="e">
        <f t="shared" ca="1" si="9"/>
        <v>#NAME?</v>
      </c>
      <c r="J510" s="2" t="e">
        <f t="shared" ca="1" si="8"/>
        <v>#NAME?</v>
      </c>
    </row>
    <row r="511" spans="1:10" ht="15.75" customHeight="1" x14ac:dyDescent="0.2">
      <c r="A511" s="2">
        <v>510</v>
      </c>
      <c r="B511" s="4">
        <v>45301</v>
      </c>
      <c r="C511" s="2">
        <f t="shared" si="5"/>
        <v>0</v>
      </c>
      <c r="D511" s="2">
        <v>0</v>
      </c>
      <c r="E511" s="2">
        <f t="shared" si="6"/>
        <v>0</v>
      </c>
      <c r="F511" s="2" t="str">
        <f t="shared" si="7"/>
        <v>Wednesday</v>
      </c>
      <c r="H511" s="2">
        <v>3</v>
      </c>
      <c r="I511" s="2" t="e">
        <f t="shared" ca="1" si="9"/>
        <v>#NAME?</v>
      </c>
      <c r="J511" s="2" t="e">
        <f t="shared" ca="1" si="8"/>
        <v>#NAME?</v>
      </c>
    </row>
    <row r="512" spans="1:10" ht="15.75" customHeight="1" x14ac:dyDescent="0.2">
      <c r="A512" s="2">
        <v>511</v>
      </c>
      <c r="B512" s="4">
        <v>45302</v>
      </c>
      <c r="C512" s="2">
        <f t="shared" ref="C512:C766" si="10">IF(OR(WEEKDAY(B512) = 7, WEEKDAY(B512) = 1), 1, 0)</f>
        <v>0</v>
      </c>
      <c r="D512" s="2">
        <v>0</v>
      </c>
      <c r="E512" s="2">
        <f t="shared" ref="E512:E766" si="11">IF((C512+D512)&gt;0, 1, 0)</f>
        <v>0</v>
      </c>
      <c r="F512" s="2" t="str">
        <f t="shared" ref="F512:F766" si="12">TEXT(B512, "dddd")</f>
        <v>Thursday</v>
      </c>
      <c r="H512" s="2">
        <v>3</v>
      </c>
      <c r="I512" s="2" t="e">
        <f t="shared" ca="1" si="9"/>
        <v>#NAME?</v>
      </c>
      <c r="J512" s="2" t="e">
        <f t="shared" ref="J512:J766" ca="1" si="13">_xludf.ISOWEEKNUM(B512)</f>
        <v>#NAME?</v>
      </c>
    </row>
    <row r="513" spans="1:10" ht="15.75" customHeight="1" x14ac:dyDescent="0.2">
      <c r="A513" s="2">
        <v>512</v>
      </c>
      <c r="B513" s="4">
        <v>45303</v>
      </c>
      <c r="C513" s="2">
        <f t="shared" si="10"/>
        <v>0</v>
      </c>
      <c r="D513" s="2">
        <v>0</v>
      </c>
      <c r="E513" s="2">
        <f t="shared" si="11"/>
        <v>0</v>
      </c>
      <c r="F513" s="2" t="str">
        <f t="shared" si="12"/>
        <v>Friday</v>
      </c>
      <c r="H513" s="2">
        <v>3</v>
      </c>
      <c r="I513" s="2" t="e">
        <f t="shared" ca="1" si="9"/>
        <v>#NAME?</v>
      </c>
      <c r="J513" s="2" t="e">
        <f t="shared" ca="1" si="13"/>
        <v>#NAME?</v>
      </c>
    </row>
    <row r="514" spans="1:10" ht="15.75" customHeight="1" x14ac:dyDescent="0.2">
      <c r="A514" s="2">
        <v>513</v>
      </c>
      <c r="B514" s="4">
        <v>45304</v>
      </c>
      <c r="C514" s="2">
        <f t="shared" si="10"/>
        <v>1</v>
      </c>
      <c r="D514" s="2">
        <v>0</v>
      </c>
      <c r="E514" s="2">
        <f t="shared" si="11"/>
        <v>1</v>
      </c>
      <c r="F514" s="2" t="str">
        <f t="shared" si="12"/>
        <v>Saturday</v>
      </c>
      <c r="H514" s="2">
        <v>3</v>
      </c>
      <c r="I514" s="2" t="e">
        <f t="shared" ca="1" si="9"/>
        <v>#NAME?</v>
      </c>
      <c r="J514" s="2" t="e">
        <f t="shared" ca="1" si="13"/>
        <v>#NAME?</v>
      </c>
    </row>
    <row r="515" spans="1:10" ht="15.75" customHeight="1" x14ac:dyDescent="0.2">
      <c r="A515" s="2">
        <v>514</v>
      </c>
      <c r="B515" s="4">
        <v>45305</v>
      </c>
      <c r="C515" s="2">
        <f t="shared" si="10"/>
        <v>1</v>
      </c>
      <c r="D515" s="2">
        <v>0</v>
      </c>
      <c r="E515" s="2">
        <f t="shared" si="11"/>
        <v>1</v>
      </c>
      <c r="F515" s="2" t="str">
        <f t="shared" si="12"/>
        <v>Sunday</v>
      </c>
      <c r="H515" s="2">
        <v>3</v>
      </c>
      <c r="I515" s="2" t="e">
        <f t="shared" ref="I515:I769" ca="1" si="14">IF(J515&gt;J514, IF(H515&lt;&gt;H514,1, I514+1),I514)</f>
        <v>#NAME?</v>
      </c>
      <c r="J515" s="2" t="e">
        <f t="shared" ca="1" si="13"/>
        <v>#NAME?</v>
      </c>
    </row>
    <row r="516" spans="1:10" ht="15.75" customHeight="1" x14ac:dyDescent="0.2">
      <c r="A516" s="2">
        <v>515</v>
      </c>
      <c r="B516" s="4">
        <v>45306</v>
      </c>
      <c r="C516" s="2">
        <f t="shared" si="10"/>
        <v>0</v>
      </c>
      <c r="D516" s="2">
        <v>0</v>
      </c>
      <c r="E516" s="2">
        <f t="shared" si="11"/>
        <v>0</v>
      </c>
      <c r="F516" s="2" t="str">
        <f t="shared" si="12"/>
        <v>Monday</v>
      </c>
      <c r="H516" s="2">
        <v>3</v>
      </c>
      <c r="I516" s="2" t="e">
        <f t="shared" ca="1" si="14"/>
        <v>#NAME?</v>
      </c>
      <c r="J516" s="2" t="e">
        <f t="shared" ca="1" si="13"/>
        <v>#NAME?</v>
      </c>
    </row>
    <row r="517" spans="1:10" ht="15.75" customHeight="1" x14ac:dyDescent="0.2">
      <c r="A517" s="2">
        <v>516</v>
      </c>
      <c r="B517" s="4">
        <v>45307</v>
      </c>
      <c r="C517" s="2">
        <f t="shared" si="10"/>
        <v>0</v>
      </c>
      <c r="D517" s="2">
        <v>0</v>
      </c>
      <c r="E517" s="2">
        <f t="shared" si="11"/>
        <v>0</v>
      </c>
      <c r="F517" s="2" t="str">
        <f t="shared" si="12"/>
        <v>Tuesday</v>
      </c>
      <c r="H517" s="2">
        <v>3</v>
      </c>
      <c r="I517" s="2" t="e">
        <f t="shared" ca="1" si="14"/>
        <v>#NAME?</v>
      </c>
      <c r="J517" s="2" t="e">
        <f t="shared" ca="1" si="13"/>
        <v>#NAME?</v>
      </c>
    </row>
    <row r="518" spans="1:10" ht="15.75" customHeight="1" x14ac:dyDescent="0.2">
      <c r="A518" s="2">
        <v>517</v>
      </c>
      <c r="B518" s="4">
        <v>45308</v>
      </c>
      <c r="C518" s="2">
        <f t="shared" si="10"/>
        <v>0</v>
      </c>
      <c r="D518" s="2">
        <v>0</v>
      </c>
      <c r="E518" s="2">
        <f t="shared" si="11"/>
        <v>0</v>
      </c>
      <c r="F518" s="2" t="str">
        <f t="shared" si="12"/>
        <v>Wednesday</v>
      </c>
      <c r="H518" s="2">
        <v>3</v>
      </c>
      <c r="I518" s="2" t="e">
        <f t="shared" ca="1" si="14"/>
        <v>#NAME?</v>
      </c>
      <c r="J518" s="2" t="e">
        <f t="shared" ca="1" si="13"/>
        <v>#NAME?</v>
      </c>
    </row>
    <row r="519" spans="1:10" ht="15.75" customHeight="1" x14ac:dyDescent="0.2">
      <c r="A519" s="2">
        <v>518</v>
      </c>
      <c r="B519" s="4">
        <v>45309</v>
      </c>
      <c r="C519" s="2">
        <f t="shared" si="10"/>
        <v>0</v>
      </c>
      <c r="D519" s="2">
        <v>0</v>
      </c>
      <c r="E519" s="2">
        <f t="shared" si="11"/>
        <v>0</v>
      </c>
      <c r="F519" s="2" t="str">
        <f t="shared" si="12"/>
        <v>Thursday</v>
      </c>
      <c r="H519" s="2">
        <v>3</v>
      </c>
      <c r="I519" s="2" t="e">
        <f t="shared" ca="1" si="14"/>
        <v>#NAME?</v>
      </c>
      <c r="J519" s="2" t="e">
        <f t="shared" ca="1" si="13"/>
        <v>#NAME?</v>
      </c>
    </row>
    <row r="520" spans="1:10" ht="15.75" customHeight="1" x14ac:dyDescent="0.2">
      <c r="A520" s="2">
        <v>519</v>
      </c>
      <c r="B520" s="4">
        <v>45310</v>
      </c>
      <c r="C520" s="2">
        <f t="shared" si="10"/>
        <v>0</v>
      </c>
      <c r="D520" s="2">
        <v>0</v>
      </c>
      <c r="E520" s="2">
        <f t="shared" si="11"/>
        <v>0</v>
      </c>
      <c r="F520" s="2" t="str">
        <f t="shared" si="12"/>
        <v>Friday</v>
      </c>
      <c r="H520" s="2">
        <v>3</v>
      </c>
      <c r="I520" s="2" t="e">
        <f t="shared" ca="1" si="14"/>
        <v>#NAME?</v>
      </c>
      <c r="J520" s="2" t="e">
        <f t="shared" ca="1" si="13"/>
        <v>#NAME?</v>
      </c>
    </row>
    <row r="521" spans="1:10" ht="15.75" customHeight="1" x14ac:dyDescent="0.2">
      <c r="A521" s="2">
        <v>520</v>
      </c>
      <c r="B521" s="4">
        <v>45311</v>
      </c>
      <c r="C521" s="2">
        <f t="shared" si="10"/>
        <v>1</v>
      </c>
      <c r="D521" s="2">
        <v>0</v>
      </c>
      <c r="E521" s="2">
        <f t="shared" si="11"/>
        <v>1</v>
      </c>
      <c r="F521" s="2" t="str">
        <f t="shared" si="12"/>
        <v>Saturday</v>
      </c>
      <c r="H521" s="2">
        <v>3</v>
      </c>
      <c r="I521" s="2" t="e">
        <f t="shared" ca="1" si="14"/>
        <v>#NAME?</v>
      </c>
      <c r="J521" s="2" t="e">
        <f t="shared" ca="1" si="13"/>
        <v>#NAME?</v>
      </c>
    </row>
    <row r="522" spans="1:10" ht="15.75" customHeight="1" x14ac:dyDescent="0.2">
      <c r="A522" s="2">
        <v>521</v>
      </c>
      <c r="B522" s="4">
        <v>45312</v>
      </c>
      <c r="C522" s="2">
        <f t="shared" si="10"/>
        <v>1</v>
      </c>
      <c r="D522" s="2">
        <v>0</v>
      </c>
      <c r="E522" s="2">
        <f t="shared" si="11"/>
        <v>1</v>
      </c>
      <c r="F522" s="2" t="str">
        <f t="shared" si="12"/>
        <v>Sunday</v>
      </c>
      <c r="H522" s="2">
        <v>3</v>
      </c>
      <c r="I522" s="2" t="e">
        <f t="shared" ca="1" si="14"/>
        <v>#NAME?</v>
      </c>
      <c r="J522" s="2" t="e">
        <f t="shared" ca="1" si="13"/>
        <v>#NAME?</v>
      </c>
    </row>
    <row r="523" spans="1:10" ht="15.75" customHeight="1" x14ac:dyDescent="0.2">
      <c r="A523" s="2">
        <v>522</v>
      </c>
      <c r="B523" s="4">
        <v>45313</v>
      </c>
      <c r="C523" s="2">
        <f t="shared" si="10"/>
        <v>0</v>
      </c>
      <c r="D523" s="2">
        <v>0</v>
      </c>
      <c r="E523" s="2">
        <f t="shared" si="11"/>
        <v>0</v>
      </c>
      <c r="F523" s="2" t="str">
        <f t="shared" si="12"/>
        <v>Monday</v>
      </c>
      <c r="H523" s="2">
        <v>3</v>
      </c>
      <c r="I523" s="2" t="e">
        <f t="shared" ca="1" si="14"/>
        <v>#NAME?</v>
      </c>
      <c r="J523" s="2" t="e">
        <f t="shared" ca="1" si="13"/>
        <v>#NAME?</v>
      </c>
    </row>
    <row r="524" spans="1:10" ht="15.75" customHeight="1" x14ac:dyDescent="0.2">
      <c r="A524" s="2">
        <v>523</v>
      </c>
      <c r="B524" s="4">
        <v>45314</v>
      </c>
      <c r="C524" s="2">
        <f t="shared" si="10"/>
        <v>0</v>
      </c>
      <c r="D524" s="2">
        <v>0</v>
      </c>
      <c r="E524" s="2">
        <f t="shared" si="11"/>
        <v>0</v>
      </c>
      <c r="F524" s="2" t="str">
        <f t="shared" si="12"/>
        <v>Tuesday</v>
      </c>
      <c r="H524" s="2">
        <v>3</v>
      </c>
      <c r="I524" s="2" t="e">
        <f t="shared" ca="1" si="14"/>
        <v>#NAME?</v>
      </c>
      <c r="J524" s="2" t="e">
        <f t="shared" ca="1" si="13"/>
        <v>#NAME?</v>
      </c>
    </row>
    <row r="525" spans="1:10" ht="15.75" customHeight="1" x14ac:dyDescent="0.2">
      <c r="A525" s="2">
        <v>524</v>
      </c>
      <c r="B525" s="4">
        <v>45315</v>
      </c>
      <c r="C525" s="2">
        <f t="shared" si="10"/>
        <v>0</v>
      </c>
      <c r="D525" s="2">
        <v>0</v>
      </c>
      <c r="E525" s="2">
        <f t="shared" si="11"/>
        <v>0</v>
      </c>
      <c r="F525" s="2" t="str">
        <f t="shared" si="12"/>
        <v>Wednesday</v>
      </c>
      <c r="H525" s="2">
        <v>3</v>
      </c>
      <c r="I525" s="2" t="e">
        <f t="shared" ca="1" si="14"/>
        <v>#NAME?</v>
      </c>
      <c r="J525" s="2" t="e">
        <f t="shared" ca="1" si="13"/>
        <v>#NAME?</v>
      </c>
    </row>
    <row r="526" spans="1:10" ht="15.75" customHeight="1" x14ac:dyDescent="0.2">
      <c r="A526" s="2">
        <v>525</v>
      </c>
      <c r="B526" s="4">
        <v>45316</v>
      </c>
      <c r="C526" s="2">
        <f t="shared" si="10"/>
        <v>0</v>
      </c>
      <c r="D526" s="2">
        <v>0</v>
      </c>
      <c r="E526" s="2">
        <f t="shared" si="11"/>
        <v>0</v>
      </c>
      <c r="F526" s="2" t="str">
        <f t="shared" si="12"/>
        <v>Thursday</v>
      </c>
      <c r="H526" s="2">
        <v>3</v>
      </c>
      <c r="I526" s="2" t="e">
        <f t="shared" ca="1" si="14"/>
        <v>#NAME?</v>
      </c>
      <c r="J526" s="2" t="e">
        <f t="shared" ca="1" si="13"/>
        <v>#NAME?</v>
      </c>
    </row>
    <row r="527" spans="1:10" ht="15.75" customHeight="1" x14ac:dyDescent="0.2">
      <c r="A527" s="2">
        <v>526</v>
      </c>
      <c r="B527" s="4">
        <v>45317</v>
      </c>
      <c r="C527" s="2">
        <f t="shared" si="10"/>
        <v>0</v>
      </c>
      <c r="D527" s="2">
        <v>0</v>
      </c>
      <c r="E527" s="2">
        <f t="shared" si="11"/>
        <v>0</v>
      </c>
      <c r="F527" s="2" t="str">
        <f t="shared" si="12"/>
        <v>Friday</v>
      </c>
      <c r="H527" s="2">
        <v>3</v>
      </c>
      <c r="I527" s="2" t="e">
        <f t="shared" ca="1" si="14"/>
        <v>#NAME?</v>
      </c>
      <c r="J527" s="2" t="e">
        <f t="shared" ca="1" si="13"/>
        <v>#NAME?</v>
      </c>
    </row>
    <row r="528" spans="1:10" ht="15.75" customHeight="1" x14ac:dyDescent="0.2">
      <c r="A528" s="2">
        <v>527</v>
      </c>
      <c r="B528" s="4">
        <v>45318</v>
      </c>
      <c r="C528" s="2">
        <f t="shared" si="10"/>
        <v>1</v>
      </c>
      <c r="D528" s="2">
        <v>0</v>
      </c>
      <c r="E528" s="2">
        <f t="shared" si="11"/>
        <v>1</v>
      </c>
      <c r="F528" s="2" t="str">
        <f t="shared" si="12"/>
        <v>Saturday</v>
      </c>
      <c r="H528" s="2">
        <v>3</v>
      </c>
      <c r="I528" s="2" t="e">
        <f t="shared" ca="1" si="14"/>
        <v>#NAME?</v>
      </c>
      <c r="J528" s="2" t="e">
        <f t="shared" ca="1" si="13"/>
        <v>#NAME?</v>
      </c>
    </row>
    <row r="529" spans="1:10" ht="15.75" customHeight="1" x14ac:dyDescent="0.2">
      <c r="A529" s="2">
        <v>528</v>
      </c>
      <c r="B529" s="4">
        <v>45319</v>
      </c>
      <c r="C529" s="2">
        <f t="shared" si="10"/>
        <v>1</v>
      </c>
      <c r="D529" s="2">
        <v>0</v>
      </c>
      <c r="E529" s="2">
        <f t="shared" si="11"/>
        <v>1</v>
      </c>
      <c r="F529" s="2" t="str">
        <f t="shared" si="12"/>
        <v>Sunday</v>
      </c>
      <c r="H529" s="2">
        <v>3</v>
      </c>
      <c r="I529" s="2" t="e">
        <f t="shared" ca="1" si="14"/>
        <v>#NAME?</v>
      </c>
      <c r="J529" s="2" t="e">
        <f t="shared" ca="1" si="13"/>
        <v>#NAME?</v>
      </c>
    </row>
    <row r="530" spans="1:10" ht="15.75" customHeight="1" x14ac:dyDescent="0.2">
      <c r="A530" s="2">
        <v>529</v>
      </c>
      <c r="B530" s="4">
        <v>45320</v>
      </c>
      <c r="C530" s="2">
        <f t="shared" si="10"/>
        <v>0</v>
      </c>
      <c r="D530" s="2">
        <v>0</v>
      </c>
      <c r="E530" s="2">
        <f t="shared" si="11"/>
        <v>0</v>
      </c>
      <c r="F530" s="2" t="str">
        <f t="shared" si="12"/>
        <v>Monday</v>
      </c>
      <c r="H530" s="2">
        <v>3</v>
      </c>
      <c r="I530" s="2" t="e">
        <f t="shared" ca="1" si="14"/>
        <v>#NAME?</v>
      </c>
      <c r="J530" s="2" t="e">
        <f t="shared" ca="1" si="13"/>
        <v>#NAME?</v>
      </c>
    </row>
    <row r="531" spans="1:10" ht="15.75" customHeight="1" x14ac:dyDescent="0.2">
      <c r="A531" s="2">
        <v>530</v>
      </c>
      <c r="B531" s="4">
        <v>45321</v>
      </c>
      <c r="C531" s="2">
        <f t="shared" si="10"/>
        <v>0</v>
      </c>
      <c r="D531" s="2">
        <v>0</v>
      </c>
      <c r="E531" s="2">
        <f t="shared" si="11"/>
        <v>0</v>
      </c>
      <c r="F531" s="2" t="str">
        <f t="shared" si="12"/>
        <v>Tuesday</v>
      </c>
      <c r="H531" s="2">
        <v>3</v>
      </c>
      <c r="I531" s="2" t="e">
        <f t="shared" ca="1" si="14"/>
        <v>#NAME?</v>
      </c>
      <c r="J531" s="2" t="e">
        <f t="shared" ca="1" si="13"/>
        <v>#NAME?</v>
      </c>
    </row>
    <row r="532" spans="1:10" ht="15.75" customHeight="1" x14ac:dyDescent="0.2">
      <c r="A532" s="2">
        <v>531</v>
      </c>
      <c r="B532" s="4">
        <v>45322</v>
      </c>
      <c r="C532" s="2">
        <f t="shared" si="10"/>
        <v>0</v>
      </c>
      <c r="D532" s="2">
        <v>0</v>
      </c>
      <c r="E532" s="2">
        <f t="shared" si="11"/>
        <v>0</v>
      </c>
      <c r="F532" s="2" t="str">
        <f t="shared" si="12"/>
        <v>Wednesday</v>
      </c>
      <c r="H532" s="2">
        <v>3</v>
      </c>
      <c r="I532" s="2" t="e">
        <f t="shared" ca="1" si="14"/>
        <v>#NAME?</v>
      </c>
      <c r="J532" s="2" t="e">
        <f t="shared" ca="1" si="13"/>
        <v>#NAME?</v>
      </c>
    </row>
    <row r="533" spans="1:10" ht="15.75" customHeight="1" x14ac:dyDescent="0.2">
      <c r="A533" s="2">
        <v>532</v>
      </c>
      <c r="B533" s="4">
        <v>45323</v>
      </c>
      <c r="C533" s="2">
        <f t="shared" si="10"/>
        <v>0</v>
      </c>
      <c r="D533" s="2">
        <v>0</v>
      </c>
      <c r="E533" s="2">
        <f t="shared" si="11"/>
        <v>0</v>
      </c>
      <c r="F533" s="2" t="str">
        <f t="shared" si="12"/>
        <v>Thursday</v>
      </c>
      <c r="H533" s="2">
        <v>3</v>
      </c>
      <c r="I533" s="2" t="e">
        <f t="shared" ca="1" si="14"/>
        <v>#NAME?</v>
      </c>
      <c r="J533" s="2" t="e">
        <f t="shared" ca="1" si="13"/>
        <v>#NAME?</v>
      </c>
    </row>
    <row r="534" spans="1:10" ht="15.75" customHeight="1" x14ac:dyDescent="0.2">
      <c r="A534" s="2">
        <v>533</v>
      </c>
      <c r="B534" s="4">
        <v>45324</v>
      </c>
      <c r="C534" s="2">
        <f t="shared" si="10"/>
        <v>0</v>
      </c>
      <c r="D534" s="2">
        <v>0</v>
      </c>
      <c r="E534" s="2">
        <f t="shared" si="11"/>
        <v>0</v>
      </c>
      <c r="F534" s="2" t="str">
        <f t="shared" si="12"/>
        <v>Friday</v>
      </c>
      <c r="H534" s="2">
        <v>3</v>
      </c>
      <c r="I534" s="2" t="e">
        <f t="shared" ca="1" si="14"/>
        <v>#NAME?</v>
      </c>
      <c r="J534" s="2" t="e">
        <f t="shared" ca="1" si="13"/>
        <v>#NAME?</v>
      </c>
    </row>
    <row r="535" spans="1:10" ht="15.75" customHeight="1" x14ac:dyDescent="0.2">
      <c r="A535" s="2">
        <v>534</v>
      </c>
      <c r="B535" s="4">
        <v>45325</v>
      </c>
      <c r="C535" s="2">
        <f t="shared" si="10"/>
        <v>1</v>
      </c>
      <c r="D535" s="2">
        <v>0</v>
      </c>
      <c r="E535" s="2">
        <f t="shared" si="11"/>
        <v>1</v>
      </c>
      <c r="F535" s="2" t="str">
        <f t="shared" si="12"/>
        <v>Saturday</v>
      </c>
      <c r="H535" s="2">
        <v>3</v>
      </c>
      <c r="I535" s="2" t="e">
        <f t="shared" ca="1" si="14"/>
        <v>#NAME?</v>
      </c>
      <c r="J535" s="2" t="e">
        <f t="shared" ca="1" si="13"/>
        <v>#NAME?</v>
      </c>
    </row>
    <row r="536" spans="1:10" ht="15.75" customHeight="1" x14ac:dyDescent="0.2">
      <c r="A536" s="2">
        <v>535</v>
      </c>
      <c r="B536" s="4">
        <v>45326</v>
      </c>
      <c r="C536" s="2">
        <f t="shared" si="10"/>
        <v>1</v>
      </c>
      <c r="D536" s="2">
        <v>0</v>
      </c>
      <c r="E536" s="2">
        <f t="shared" si="11"/>
        <v>1</v>
      </c>
      <c r="F536" s="2" t="str">
        <f t="shared" si="12"/>
        <v>Sunday</v>
      </c>
      <c r="H536" s="2">
        <v>3</v>
      </c>
      <c r="I536" s="2" t="e">
        <f t="shared" ca="1" si="14"/>
        <v>#NAME?</v>
      </c>
      <c r="J536" s="2" t="e">
        <f t="shared" ca="1" si="13"/>
        <v>#NAME?</v>
      </c>
    </row>
    <row r="537" spans="1:10" ht="15.75" customHeight="1" x14ac:dyDescent="0.2">
      <c r="A537" s="2">
        <v>536</v>
      </c>
      <c r="B537" s="4">
        <v>45327</v>
      </c>
      <c r="C537" s="2">
        <f t="shared" si="10"/>
        <v>0</v>
      </c>
      <c r="D537" s="2">
        <v>0</v>
      </c>
      <c r="E537" s="2">
        <f t="shared" si="11"/>
        <v>0</v>
      </c>
      <c r="F537" s="2" t="str">
        <f t="shared" si="12"/>
        <v>Monday</v>
      </c>
      <c r="H537" s="2">
        <v>3</v>
      </c>
      <c r="I537" s="2" t="e">
        <f t="shared" ca="1" si="14"/>
        <v>#NAME?</v>
      </c>
      <c r="J537" s="2" t="e">
        <f t="shared" ca="1" si="13"/>
        <v>#NAME?</v>
      </c>
    </row>
    <row r="538" spans="1:10" ht="15.75" customHeight="1" x14ac:dyDescent="0.2">
      <c r="A538" s="2">
        <v>537</v>
      </c>
      <c r="B538" s="4">
        <v>45328</v>
      </c>
      <c r="C538" s="2">
        <f t="shared" si="10"/>
        <v>0</v>
      </c>
      <c r="D538" s="2">
        <v>0</v>
      </c>
      <c r="E538" s="2">
        <f t="shared" si="11"/>
        <v>0</v>
      </c>
      <c r="F538" s="2" t="str">
        <f t="shared" si="12"/>
        <v>Tuesday</v>
      </c>
      <c r="H538" s="2">
        <v>3</v>
      </c>
      <c r="I538" s="2" t="e">
        <f t="shared" ca="1" si="14"/>
        <v>#NAME?</v>
      </c>
      <c r="J538" s="2" t="e">
        <f t="shared" ca="1" si="13"/>
        <v>#NAME?</v>
      </c>
    </row>
    <row r="539" spans="1:10" ht="15.75" customHeight="1" x14ac:dyDescent="0.2">
      <c r="A539" s="2">
        <v>538</v>
      </c>
      <c r="B539" s="4">
        <v>45329</v>
      </c>
      <c r="C539" s="2">
        <f t="shared" si="10"/>
        <v>0</v>
      </c>
      <c r="D539" s="2">
        <v>0</v>
      </c>
      <c r="E539" s="2">
        <f t="shared" si="11"/>
        <v>0</v>
      </c>
      <c r="F539" s="2" t="str">
        <f t="shared" si="12"/>
        <v>Wednesday</v>
      </c>
      <c r="H539" s="2">
        <v>3</v>
      </c>
      <c r="I539" s="2" t="e">
        <f t="shared" ca="1" si="14"/>
        <v>#NAME?</v>
      </c>
      <c r="J539" s="2" t="e">
        <f t="shared" ca="1" si="13"/>
        <v>#NAME?</v>
      </c>
    </row>
    <row r="540" spans="1:10" ht="15.75" customHeight="1" x14ac:dyDescent="0.2">
      <c r="A540" s="2">
        <v>539</v>
      </c>
      <c r="B540" s="4">
        <v>45330</v>
      </c>
      <c r="C540" s="2">
        <f t="shared" si="10"/>
        <v>0</v>
      </c>
      <c r="D540" s="2">
        <v>0</v>
      </c>
      <c r="E540" s="2">
        <f t="shared" si="11"/>
        <v>0</v>
      </c>
      <c r="F540" s="2" t="str">
        <f t="shared" si="12"/>
        <v>Thursday</v>
      </c>
      <c r="H540" s="2">
        <v>3</v>
      </c>
      <c r="I540" s="2" t="e">
        <f t="shared" ca="1" si="14"/>
        <v>#NAME?</v>
      </c>
      <c r="J540" s="2" t="e">
        <f t="shared" ca="1" si="13"/>
        <v>#NAME?</v>
      </c>
    </row>
    <row r="541" spans="1:10" ht="15.75" customHeight="1" x14ac:dyDescent="0.2">
      <c r="A541" s="2">
        <v>540</v>
      </c>
      <c r="B541" s="4">
        <v>45331</v>
      </c>
      <c r="C541" s="2">
        <f t="shared" si="10"/>
        <v>0</v>
      </c>
      <c r="D541" s="2">
        <v>0</v>
      </c>
      <c r="E541" s="2">
        <f t="shared" si="11"/>
        <v>0</v>
      </c>
      <c r="F541" s="2" t="str">
        <f t="shared" si="12"/>
        <v>Friday</v>
      </c>
      <c r="H541" s="2">
        <v>3</v>
      </c>
      <c r="I541" s="2" t="e">
        <f t="shared" ca="1" si="14"/>
        <v>#NAME?</v>
      </c>
      <c r="J541" s="2" t="e">
        <f t="shared" ca="1" si="13"/>
        <v>#NAME?</v>
      </c>
    </row>
    <row r="542" spans="1:10" ht="15.75" customHeight="1" x14ac:dyDescent="0.2">
      <c r="A542" s="2">
        <v>541</v>
      </c>
      <c r="B542" s="4">
        <v>45332</v>
      </c>
      <c r="C542" s="2">
        <f t="shared" si="10"/>
        <v>1</v>
      </c>
      <c r="D542" s="2">
        <v>0</v>
      </c>
      <c r="E542" s="2">
        <f t="shared" si="11"/>
        <v>1</v>
      </c>
      <c r="F542" s="2" t="str">
        <f t="shared" si="12"/>
        <v>Saturday</v>
      </c>
      <c r="H542" s="2">
        <v>3</v>
      </c>
      <c r="I542" s="2" t="e">
        <f t="shared" ca="1" si="14"/>
        <v>#NAME?</v>
      </c>
      <c r="J542" s="2" t="e">
        <f t="shared" ca="1" si="13"/>
        <v>#NAME?</v>
      </c>
    </row>
    <row r="543" spans="1:10" ht="15.75" customHeight="1" x14ac:dyDescent="0.2">
      <c r="A543" s="2">
        <v>542</v>
      </c>
      <c r="B543" s="4">
        <v>45333</v>
      </c>
      <c r="C543" s="2">
        <f t="shared" si="10"/>
        <v>1</v>
      </c>
      <c r="D543" s="2">
        <v>0</v>
      </c>
      <c r="E543" s="2">
        <f t="shared" si="11"/>
        <v>1</v>
      </c>
      <c r="F543" s="2" t="str">
        <f t="shared" si="12"/>
        <v>Sunday</v>
      </c>
      <c r="H543" s="2">
        <v>3</v>
      </c>
      <c r="I543" s="2" t="e">
        <f t="shared" ca="1" si="14"/>
        <v>#NAME?</v>
      </c>
      <c r="J543" s="2" t="e">
        <f t="shared" ca="1" si="13"/>
        <v>#NAME?</v>
      </c>
    </row>
    <row r="544" spans="1:10" ht="15.75" customHeight="1" x14ac:dyDescent="0.2">
      <c r="A544" s="2">
        <v>543</v>
      </c>
      <c r="B544" s="4">
        <v>45334</v>
      </c>
      <c r="C544" s="2">
        <f t="shared" si="10"/>
        <v>0</v>
      </c>
      <c r="D544" s="2">
        <v>0</v>
      </c>
      <c r="E544" s="2">
        <f t="shared" si="11"/>
        <v>0</v>
      </c>
      <c r="F544" s="2" t="str">
        <f t="shared" si="12"/>
        <v>Monday</v>
      </c>
      <c r="H544" s="2">
        <v>3</v>
      </c>
      <c r="I544" s="2" t="e">
        <f t="shared" ca="1" si="14"/>
        <v>#NAME?</v>
      </c>
      <c r="J544" s="2" t="e">
        <f t="shared" ca="1" si="13"/>
        <v>#NAME?</v>
      </c>
    </row>
    <row r="545" spans="1:10" ht="15.75" customHeight="1" x14ac:dyDescent="0.2">
      <c r="A545" s="2">
        <v>544</v>
      </c>
      <c r="B545" s="4">
        <v>45335</v>
      </c>
      <c r="C545" s="2">
        <f t="shared" si="10"/>
        <v>0</v>
      </c>
      <c r="D545" s="2">
        <v>0</v>
      </c>
      <c r="E545" s="2">
        <f t="shared" si="11"/>
        <v>0</v>
      </c>
      <c r="F545" s="2" t="str">
        <f t="shared" si="12"/>
        <v>Tuesday</v>
      </c>
      <c r="H545" s="2">
        <v>3</v>
      </c>
      <c r="I545" s="2" t="e">
        <f t="shared" ca="1" si="14"/>
        <v>#NAME?</v>
      </c>
      <c r="J545" s="2" t="e">
        <f t="shared" ca="1" si="13"/>
        <v>#NAME?</v>
      </c>
    </row>
    <row r="546" spans="1:10" ht="15.75" customHeight="1" x14ac:dyDescent="0.2">
      <c r="A546" s="2">
        <v>545</v>
      </c>
      <c r="B546" s="4">
        <v>45336</v>
      </c>
      <c r="C546" s="2">
        <f t="shared" si="10"/>
        <v>0</v>
      </c>
      <c r="D546" s="2">
        <v>0</v>
      </c>
      <c r="E546" s="2">
        <f t="shared" si="11"/>
        <v>0</v>
      </c>
      <c r="F546" s="2" t="str">
        <f t="shared" si="12"/>
        <v>Wednesday</v>
      </c>
      <c r="H546" s="2">
        <v>3</v>
      </c>
      <c r="I546" s="2" t="e">
        <f t="shared" ca="1" si="14"/>
        <v>#NAME?</v>
      </c>
      <c r="J546" s="2" t="e">
        <f t="shared" ca="1" si="13"/>
        <v>#NAME?</v>
      </c>
    </row>
    <row r="547" spans="1:10" ht="15.75" customHeight="1" x14ac:dyDescent="0.2">
      <c r="A547" s="2">
        <v>546</v>
      </c>
      <c r="B547" s="4">
        <v>45337</v>
      </c>
      <c r="C547" s="2">
        <f t="shared" si="10"/>
        <v>0</v>
      </c>
      <c r="D547" s="2">
        <v>0</v>
      </c>
      <c r="E547" s="2">
        <f t="shared" si="11"/>
        <v>0</v>
      </c>
      <c r="F547" s="2" t="str">
        <f t="shared" si="12"/>
        <v>Thursday</v>
      </c>
      <c r="H547" s="2">
        <v>3</v>
      </c>
      <c r="I547" s="2" t="e">
        <f t="shared" ca="1" si="14"/>
        <v>#NAME?</v>
      </c>
      <c r="J547" s="2" t="e">
        <f t="shared" ca="1" si="13"/>
        <v>#NAME?</v>
      </c>
    </row>
    <row r="548" spans="1:10" ht="15.75" customHeight="1" x14ac:dyDescent="0.2">
      <c r="A548" s="2">
        <v>547</v>
      </c>
      <c r="B548" s="4">
        <v>45338</v>
      </c>
      <c r="C548" s="2">
        <f t="shared" si="10"/>
        <v>0</v>
      </c>
      <c r="D548" s="2">
        <v>0</v>
      </c>
      <c r="E548" s="2">
        <f t="shared" si="11"/>
        <v>0</v>
      </c>
      <c r="F548" s="2" t="str">
        <f t="shared" si="12"/>
        <v>Friday</v>
      </c>
      <c r="H548" s="2">
        <v>3</v>
      </c>
      <c r="I548" s="2" t="e">
        <f t="shared" ca="1" si="14"/>
        <v>#NAME?</v>
      </c>
      <c r="J548" s="2" t="e">
        <f t="shared" ca="1" si="13"/>
        <v>#NAME?</v>
      </c>
    </row>
    <row r="549" spans="1:10" ht="15.75" customHeight="1" x14ac:dyDescent="0.2">
      <c r="A549" s="2">
        <v>548</v>
      </c>
      <c r="B549" s="4">
        <v>45339</v>
      </c>
      <c r="C549" s="2">
        <f t="shared" si="10"/>
        <v>1</v>
      </c>
      <c r="D549" s="2">
        <v>1</v>
      </c>
      <c r="E549" s="2">
        <f t="shared" si="11"/>
        <v>1</v>
      </c>
      <c r="F549" s="2" t="str">
        <f t="shared" si="12"/>
        <v>Saturday</v>
      </c>
      <c r="G549" s="2" t="s">
        <v>332</v>
      </c>
      <c r="H549" s="2">
        <v>3</v>
      </c>
      <c r="I549" s="2" t="e">
        <f t="shared" ca="1" si="14"/>
        <v>#NAME?</v>
      </c>
      <c r="J549" s="2" t="e">
        <f t="shared" ca="1" si="13"/>
        <v>#NAME?</v>
      </c>
    </row>
    <row r="550" spans="1:10" ht="15.75" customHeight="1" x14ac:dyDescent="0.2">
      <c r="A550" s="2">
        <v>549</v>
      </c>
      <c r="B550" s="4">
        <v>45340</v>
      </c>
      <c r="C550" s="2">
        <f t="shared" si="10"/>
        <v>1</v>
      </c>
      <c r="D550" s="2">
        <v>1</v>
      </c>
      <c r="E550" s="2">
        <f t="shared" si="11"/>
        <v>1</v>
      </c>
      <c r="F550" s="2" t="str">
        <f t="shared" si="12"/>
        <v>Sunday</v>
      </c>
      <c r="G550" s="2" t="s">
        <v>332</v>
      </c>
      <c r="H550" s="2">
        <v>3</v>
      </c>
      <c r="I550" s="2" t="e">
        <f t="shared" ca="1" si="14"/>
        <v>#NAME?</v>
      </c>
      <c r="J550" s="2" t="e">
        <f t="shared" ca="1" si="13"/>
        <v>#NAME?</v>
      </c>
    </row>
    <row r="551" spans="1:10" ht="15.75" customHeight="1" x14ac:dyDescent="0.2">
      <c r="A551" s="2">
        <v>550</v>
      </c>
      <c r="B551" s="4">
        <v>45341</v>
      </c>
      <c r="C551" s="2">
        <f t="shared" si="10"/>
        <v>0</v>
      </c>
      <c r="D551" s="2">
        <v>1</v>
      </c>
      <c r="E551" s="2">
        <f t="shared" si="11"/>
        <v>1</v>
      </c>
      <c r="F551" s="2" t="str">
        <f t="shared" si="12"/>
        <v>Monday</v>
      </c>
      <c r="G551" s="2" t="s">
        <v>332</v>
      </c>
      <c r="H551" s="2">
        <v>3</v>
      </c>
      <c r="I551" s="2" t="e">
        <f t="shared" ca="1" si="14"/>
        <v>#NAME?</v>
      </c>
      <c r="J551" s="2" t="e">
        <f t="shared" ca="1" si="13"/>
        <v>#NAME?</v>
      </c>
    </row>
    <row r="552" spans="1:10" ht="15.75" customHeight="1" x14ac:dyDescent="0.2">
      <c r="A552" s="2">
        <v>551</v>
      </c>
      <c r="B552" s="4">
        <v>45342</v>
      </c>
      <c r="C552" s="2">
        <f t="shared" si="10"/>
        <v>0</v>
      </c>
      <c r="D552" s="2">
        <v>1</v>
      </c>
      <c r="E552" s="2">
        <f t="shared" si="11"/>
        <v>1</v>
      </c>
      <c r="F552" s="2" t="str">
        <f t="shared" si="12"/>
        <v>Tuesday</v>
      </c>
      <c r="G552" s="2" t="s">
        <v>332</v>
      </c>
      <c r="H552" s="2">
        <v>3</v>
      </c>
      <c r="I552" s="2" t="e">
        <f t="shared" ca="1" si="14"/>
        <v>#NAME?</v>
      </c>
      <c r="J552" s="2" t="e">
        <f t="shared" ca="1" si="13"/>
        <v>#NAME?</v>
      </c>
    </row>
    <row r="553" spans="1:10" ht="15.75" customHeight="1" x14ac:dyDescent="0.2">
      <c r="A553" s="2">
        <v>552</v>
      </c>
      <c r="B553" s="4">
        <v>45343</v>
      </c>
      <c r="C553" s="2">
        <f t="shared" si="10"/>
        <v>0</v>
      </c>
      <c r="D553" s="2">
        <v>1</v>
      </c>
      <c r="E553" s="2">
        <f t="shared" si="11"/>
        <v>1</v>
      </c>
      <c r="F553" s="2" t="str">
        <f t="shared" si="12"/>
        <v>Wednesday</v>
      </c>
      <c r="G553" s="2" t="s">
        <v>332</v>
      </c>
      <c r="H553" s="2">
        <v>3</v>
      </c>
      <c r="I553" s="2" t="e">
        <f t="shared" ca="1" si="14"/>
        <v>#NAME?</v>
      </c>
      <c r="J553" s="2" t="e">
        <f t="shared" ca="1" si="13"/>
        <v>#NAME?</v>
      </c>
    </row>
    <row r="554" spans="1:10" ht="15.75" customHeight="1" x14ac:dyDescent="0.2">
      <c r="A554" s="2">
        <v>553</v>
      </c>
      <c r="B554" s="4">
        <v>45344</v>
      </c>
      <c r="C554" s="2">
        <f t="shared" si="10"/>
        <v>0</v>
      </c>
      <c r="D554" s="2">
        <v>1</v>
      </c>
      <c r="E554" s="2">
        <f t="shared" si="11"/>
        <v>1</v>
      </c>
      <c r="F554" s="2" t="str">
        <f t="shared" si="12"/>
        <v>Thursday</v>
      </c>
      <c r="G554" s="2" t="s">
        <v>332</v>
      </c>
      <c r="H554" s="2">
        <v>3</v>
      </c>
      <c r="I554" s="2" t="e">
        <f t="shared" ca="1" si="14"/>
        <v>#NAME?</v>
      </c>
      <c r="J554" s="2" t="e">
        <f t="shared" ca="1" si="13"/>
        <v>#NAME?</v>
      </c>
    </row>
    <row r="555" spans="1:10" ht="15.75" customHeight="1" x14ac:dyDescent="0.2">
      <c r="A555" s="2">
        <v>554</v>
      </c>
      <c r="B555" s="4">
        <v>45345</v>
      </c>
      <c r="C555" s="2">
        <f t="shared" si="10"/>
        <v>0</v>
      </c>
      <c r="D555" s="2">
        <v>1</v>
      </c>
      <c r="E555" s="2">
        <f t="shared" si="11"/>
        <v>1</v>
      </c>
      <c r="F555" s="2" t="str">
        <f t="shared" si="12"/>
        <v>Friday</v>
      </c>
      <c r="G555" s="2" t="s">
        <v>332</v>
      </c>
      <c r="H555" s="2">
        <v>3</v>
      </c>
      <c r="I555" s="2" t="e">
        <f t="shared" ca="1" si="14"/>
        <v>#NAME?</v>
      </c>
      <c r="J555" s="2" t="e">
        <f t="shared" ca="1" si="13"/>
        <v>#NAME?</v>
      </c>
    </row>
    <row r="556" spans="1:10" ht="15.75" customHeight="1" x14ac:dyDescent="0.2">
      <c r="A556" s="2">
        <v>555</v>
      </c>
      <c r="B556" s="4">
        <v>45346</v>
      </c>
      <c r="C556" s="2">
        <f t="shared" si="10"/>
        <v>1</v>
      </c>
      <c r="D556" s="2">
        <v>1</v>
      </c>
      <c r="E556" s="2">
        <f t="shared" si="11"/>
        <v>1</v>
      </c>
      <c r="F556" s="2" t="str">
        <f t="shared" si="12"/>
        <v>Saturday</v>
      </c>
      <c r="G556" s="2" t="s">
        <v>332</v>
      </c>
      <c r="H556" s="2">
        <v>3</v>
      </c>
      <c r="I556" s="2" t="e">
        <f t="shared" ca="1" si="14"/>
        <v>#NAME?</v>
      </c>
      <c r="J556" s="2" t="e">
        <f t="shared" ca="1" si="13"/>
        <v>#NAME?</v>
      </c>
    </row>
    <row r="557" spans="1:10" ht="15.75" customHeight="1" x14ac:dyDescent="0.2">
      <c r="A557" s="2">
        <v>556</v>
      </c>
      <c r="B557" s="4">
        <v>45347</v>
      </c>
      <c r="C557" s="2">
        <f t="shared" si="10"/>
        <v>1</v>
      </c>
      <c r="D557" s="2">
        <v>1</v>
      </c>
      <c r="E557" s="2">
        <f t="shared" si="11"/>
        <v>1</v>
      </c>
      <c r="F557" s="2" t="str">
        <f t="shared" si="12"/>
        <v>Sunday</v>
      </c>
      <c r="G557" s="2" t="s">
        <v>332</v>
      </c>
      <c r="H557" s="2">
        <v>3</v>
      </c>
      <c r="I557" s="2" t="e">
        <f t="shared" ca="1" si="14"/>
        <v>#NAME?</v>
      </c>
      <c r="J557" s="2" t="e">
        <f t="shared" ca="1" si="13"/>
        <v>#NAME?</v>
      </c>
    </row>
    <row r="558" spans="1:10" ht="15.75" customHeight="1" x14ac:dyDescent="0.2">
      <c r="A558" s="2">
        <v>557</v>
      </c>
      <c r="B558" s="4">
        <v>45348</v>
      </c>
      <c r="C558" s="2">
        <f t="shared" si="10"/>
        <v>0</v>
      </c>
      <c r="D558" s="2">
        <v>0</v>
      </c>
      <c r="E558" s="2">
        <f t="shared" si="11"/>
        <v>0</v>
      </c>
      <c r="F558" s="2" t="str">
        <f t="shared" si="12"/>
        <v>Monday</v>
      </c>
      <c r="G558" s="2" t="s">
        <v>330</v>
      </c>
      <c r="H558" s="2">
        <v>4</v>
      </c>
      <c r="I558" s="2" t="e">
        <f t="shared" ca="1" si="14"/>
        <v>#NAME?</v>
      </c>
      <c r="J558" s="2" t="e">
        <f t="shared" ca="1" si="13"/>
        <v>#NAME?</v>
      </c>
    </row>
    <row r="559" spans="1:10" ht="15.75" customHeight="1" x14ac:dyDescent="0.2">
      <c r="A559" s="2">
        <v>558</v>
      </c>
      <c r="B559" s="4">
        <v>45349</v>
      </c>
      <c r="C559" s="2">
        <f t="shared" si="10"/>
        <v>0</v>
      </c>
      <c r="D559" s="2">
        <v>0</v>
      </c>
      <c r="E559" s="2">
        <f t="shared" si="11"/>
        <v>0</v>
      </c>
      <c r="F559" s="2" t="str">
        <f t="shared" si="12"/>
        <v>Tuesday</v>
      </c>
      <c r="H559" s="2">
        <v>4</v>
      </c>
      <c r="I559" s="2" t="e">
        <f t="shared" ca="1" si="14"/>
        <v>#NAME?</v>
      </c>
      <c r="J559" s="2" t="e">
        <f t="shared" ca="1" si="13"/>
        <v>#NAME?</v>
      </c>
    </row>
    <row r="560" spans="1:10" ht="15.75" customHeight="1" x14ac:dyDescent="0.2">
      <c r="A560" s="2">
        <v>559</v>
      </c>
      <c r="B560" s="4">
        <v>45350</v>
      </c>
      <c r="C560" s="2">
        <f t="shared" si="10"/>
        <v>0</v>
      </c>
      <c r="D560" s="2">
        <v>0</v>
      </c>
      <c r="E560" s="2">
        <f t="shared" si="11"/>
        <v>0</v>
      </c>
      <c r="F560" s="2" t="str">
        <f t="shared" si="12"/>
        <v>Wednesday</v>
      </c>
      <c r="H560" s="2">
        <v>4</v>
      </c>
      <c r="I560" s="2" t="e">
        <f t="shared" ca="1" si="14"/>
        <v>#NAME?</v>
      </c>
      <c r="J560" s="2" t="e">
        <f t="shared" ca="1" si="13"/>
        <v>#NAME?</v>
      </c>
    </row>
    <row r="561" spans="1:10" ht="15.75" customHeight="1" x14ac:dyDescent="0.2">
      <c r="A561" s="2">
        <v>560</v>
      </c>
      <c r="B561" s="4">
        <v>45351</v>
      </c>
      <c r="C561" s="2">
        <f t="shared" si="10"/>
        <v>0</v>
      </c>
      <c r="D561" s="2">
        <v>0</v>
      </c>
      <c r="E561" s="2">
        <f t="shared" si="11"/>
        <v>0</v>
      </c>
      <c r="F561" s="2" t="str">
        <f t="shared" si="12"/>
        <v>Thursday</v>
      </c>
      <c r="H561" s="2">
        <v>4</v>
      </c>
      <c r="I561" s="2" t="e">
        <f t="shared" ca="1" si="14"/>
        <v>#NAME?</v>
      </c>
      <c r="J561" s="2" t="e">
        <f t="shared" ca="1" si="13"/>
        <v>#NAME?</v>
      </c>
    </row>
    <row r="562" spans="1:10" ht="15.75" customHeight="1" x14ac:dyDescent="0.2">
      <c r="A562" s="2">
        <v>561</v>
      </c>
      <c r="B562" s="4">
        <v>45352</v>
      </c>
      <c r="C562" s="2">
        <f t="shared" si="10"/>
        <v>0</v>
      </c>
      <c r="D562" s="2">
        <v>0</v>
      </c>
      <c r="E562" s="2">
        <f t="shared" si="11"/>
        <v>0</v>
      </c>
      <c r="F562" s="2" t="str">
        <f t="shared" si="12"/>
        <v>Friday</v>
      </c>
      <c r="H562" s="2">
        <v>4</v>
      </c>
      <c r="I562" s="2" t="e">
        <f t="shared" ca="1" si="14"/>
        <v>#NAME?</v>
      </c>
      <c r="J562" s="2" t="e">
        <f t="shared" ca="1" si="13"/>
        <v>#NAME?</v>
      </c>
    </row>
    <row r="563" spans="1:10" ht="15.75" customHeight="1" x14ac:dyDescent="0.2">
      <c r="A563" s="2">
        <v>562</v>
      </c>
      <c r="B563" s="4">
        <v>45353</v>
      </c>
      <c r="C563" s="2">
        <f t="shared" si="10"/>
        <v>1</v>
      </c>
      <c r="D563" s="2">
        <v>0</v>
      </c>
      <c r="E563" s="2">
        <f t="shared" si="11"/>
        <v>1</v>
      </c>
      <c r="F563" s="2" t="str">
        <f t="shared" si="12"/>
        <v>Saturday</v>
      </c>
      <c r="H563" s="2">
        <v>4</v>
      </c>
      <c r="I563" s="2" t="e">
        <f t="shared" ca="1" si="14"/>
        <v>#NAME?</v>
      </c>
      <c r="J563" s="2" t="e">
        <f t="shared" ca="1" si="13"/>
        <v>#NAME?</v>
      </c>
    </row>
    <row r="564" spans="1:10" ht="15.75" customHeight="1" x14ac:dyDescent="0.2">
      <c r="A564" s="2">
        <v>563</v>
      </c>
      <c r="B564" s="4">
        <v>45354</v>
      </c>
      <c r="C564" s="2">
        <f t="shared" si="10"/>
        <v>1</v>
      </c>
      <c r="D564" s="2">
        <v>0</v>
      </c>
      <c r="E564" s="2">
        <f t="shared" si="11"/>
        <v>1</v>
      </c>
      <c r="F564" s="2" t="str">
        <f t="shared" si="12"/>
        <v>Sunday</v>
      </c>
      <c r="H564" s="2">
        <v>4</v>
      </c>
      <c r="I564" s="2" t="e">
        <f t="shared" ca="1" si="14"/>
        <v>#NAME?</v>
      </c>
      <c r="J564" s="2" t="e">
        <f t="shared" ca="1" si="13"/>
        <v>#NAME?</v>
      </c>
    </row>
    <row r="565" spans="1:10" ht="15.75" customHeight="1" x14ac:dyDescent="0.2">
      <c r="A565" s="2">
        <v>564</v>
      </c>
      <c r="B565" s="4">
        <v>45355</v>
      </c>
      <c r="C565" s="2">
        <f t="shared" si="10"/>
        <v>0</v>
      </c>
      <c r="D565" s="2">
        <v>0</v>
      </c>
      <c r="E565" s="2">
        <f t="shared" si="11"/>
        <v>0</v>
      </c>
      <c r="F565" s="2" t="str">
        <f t="shared" si="12"/>
        <v>Monday</v>
      </c>
      <c r="H565" s="2">
        <v>4</v>
      </c>
      <c r="I565" s="2" t="e">
        <f t="shared" ca="1" si="14"/>
        <v>#NAME?</v>
      </c>
      <c r="J565" s="2" t="e">
        <f t="shared" ca="1" si="13"/>
        <v>#NAME?</v>
      </c>
    </row>
    <row r="566" spans="1:10" ht="15.75" customHeight="1" x14ac:dyDescent="0.2">
      <c r="A566" s="2">
        <v>565</v>
      </c>
      <c r="B566" s="4">
        <v>45356</v>
      </c>
      <c r="C566" s="2">
        <f t="shared" si="10"/>
        <v>0</v>
      </c>
      <c r="D566" s="2">
        <v>0</v>
      </c>
      <c r="E566" s="2">
        <f t="shared" si="11"/>
        <v>0</v>
      </c>
      <c r="F566" s="2" t="str">
        <f t="shared" si="12"/>
        <v>Tuesday</v>
      </c>
      <c r="H566" s="2">
        <v>4</v>
      </c>
      <c r="I566" s="2" t="e">
        <f t="shared" ca="1" si="14"/>
        <v>#NAME?</v>
      </c>
      <c r="J566" s="2" t="e">
        <f t="shared" ca="1" si="13"/>
        <v>#NAME?</v>
      </c>
    </row>
    <row r="567" spans="1:10" ht="15.75" customHeight="1" x14ac:dyDescent="0.2">
      <c r="A567" s="2">
        <v>566</v>
      </c>
      <c r="B567" s="4">
        <v>45357</v>
      </c>
      <c r="C567" s="2">
        <f t="shared" si="10"/>
        <v>0</v>
      </c>
      <c r="D567" s="2">
        <v>0</v>
      </c>
      <c r="E567" s="2">
        <f t="shared" si="11"/>
        <v>0</v>
      </c>
      <c r="F567" s="2" t="str">
        <f t="shared" si="12"/>
        <v>Wednesday</v>
      </c>
      <c r="H567" s="2">
        <v>4</v>
      </c>
      <c r="I567" s="2" t="e">
        <f t="shared" ca="1" si="14"/>
        <v>#NAME?</v>
      </c>
      <c r="J567" s="2" t="e">
        <f t="shared" ca="1" si="13"/>
        <v>#NAME?</v>
      </c>
    </row>
    <row r="568" spans="1:10" ht="15.75" customHeight="1" x14ac:dyDescent="0.2">
      <c r="A568" s="2">
        <v>567</v>
      </c>
      <c r="B568" s="4">
        <v>45358</v>
      </c>
      <c r="C568" s="2">
        <f t="shared" si="10"/>
        <v>0</v>
      </c>
      <c r="D568" s="2">
        <v>0</v>
      </c>
      <c r="E568" s="2">
        <f t="shared" si="11"/>
        <v>0</v>
      </c>
      <c r="F568" s="2" t="str">
        <f t="shared" si="12"/>
        <v>Thursday</v>
      </c>
      <c r="H568" s="2">
        <v>4</v>
      </c>
      <c r="I568" s="2" t="e">
        <f t="shared" ca="1" si="14"/>
        <v>#NAME?</v>
      </c>
      <c r="J568" s="2" t="e">
        <f t="shared" ca="1" si="13"/>
        <v>#NAME?</v>
      </c>
    </row>
    <row r="569" spans="1:10" ht="15.75" customHeight="1" x14ac:dyDescent="0.2">
      <c r="A569" s="2">
        <v>568</v>
      </c>
      <c r="B569" s="4">
        <v>45359</v>
      </c>
      <c r="C569" s="2">
        <f t="shared" si="10"/>
        <v>0</v>
      </c>
      <c r="D569" s="2">
        <v>0</v>
      </c>
      <c r="E569" s="2">
        <f t="shared" si="11"/>
        <v>0</v>
      </c>
      <c r="F569" s="2" t="str">
        <f t="shared" si="12"/>
        <v>Friday</v>
      </c>
      <c r="H569" s="2">
        <v>4</v>
      </c>
      <c r="I569" s="2" t="e">
        <f t="shared" ca="1" si="14"/>
        <v>#NAME?</v>
      </c>
      <c r="J569" s="2" t="e">
        <f t="shared" ca="1" si="13"/>
        <v>#NAME?</v>
      </c>
    </row>
    <row r="570" spans="1:10" ht="15.75" customHeight="1" x14ac:dyDescent="0.2">
      <c r="A570" s="2">
        <v>569</v>
      </c>
      <c r="B570" s="4">
        <v>45360</v>
      </c>
      <c r="C570" s="2">
        <f t="shared" si="10"/>
        <v>1</v>
      </c>
      <c r="D570" s="2">
        <v>0</v>
      </c>
      <c r="E570" s="2">
        <f t="shared" si="11"/>
        <v>1</v>
      </c>
      <c r="F570" s="2" t="str">
        <f t="shared" si="12"/>
        <v>Saturday</v>
      </c>
      <c r="H570" s="2">
        <v>4</v>
      </c>
      <c r="I570" s="2" t="e">
        <f t="shared" ca="1" si="14"/>
        <v>#NAME?</v>
      </c>
      <c r="J570" s="2" t="e">
        <f t="shared" ca="1" si="13"/>
        <v>#NAME?</v>
      </c>
    </row>
    <row r="571" spans="1:10" ht="15.75" customHeight="1" x14ac:dyDescent="0.2">
      <c r="A571" s="2">
        <v>570</v>
      </c>
      <c r="B571" s="4">
        <v>45361</v>
      </c>
      <c r="C571" s="2">
        <f t="shared" si="10"/>
        <v>1</v>
      </c>
      <c r="D571" s="2">
        <v>0</v>
      </c>
      <c r="E571" s="2">
        <f t="shared" si="11"/>
        <v>1</v>
      </c>
      <c r="F571" s="2" t="str">
        <f t="shared" si="12"/>
        <v>Sunday</v>
      </c>
      <c r="H571" s="2">
        <v>4</v>
      </c>
      <c r="I571" s="2" t="e">
        <f t="shared" ca="1" si="14"/>
        <v>#NAME?</v>
      </c>
      <c r="J571" s="2" t="e">
        <f t="shared" ca="1" si="13"/>
        <v>#NAME?</v>
      </c>
    </row>
    <row r="572" spans="1:10" ht="15.75" customHeight="1" x14ac:dyDescent="0.2">
      <c r="A572" s="2">
        <v>571</v>
      </c>
      <c r="B572" s="4">
        <v>45362</v>
      </c>
      <c r="C572" s="2">
        <f t="shared" si="10"/>
        <v>0</v>
      </c>
      <c r="D572" s="2">
        <v>0</v>
      </c>
      <c r="E572" s="2">
        <f t="shared" si="11"/>
        <v>0</v>
      </c>
      <c r="F572" s="2" t="str">
        <f t="shared" si="12"/>
        <v>Monday</v>
      </c>
      <c r="H572" s="2">
        <v>4</v>
      </c>
      <c r="I572" s="2" t="e">
        <f t="shared" ca="1" si="14"/>
        <v>#NAME?</v>
      </c>
      <c r="J572" s="2" t="e">
        <f t="shared" ca="1" si="13"/>
        <v>#NAME?</v>
      </c>
    </row>
    <row r="573" spans="1:10" ht="15.75" customHeight="1" x14ac:dyDescent="0.2">
      <c r="A573" s="2">
        <v>572</v>
      </c>
      <c r="B573" s="4">
        <v>45363</v>
      </c>
      <c r="C573" s="2">
        <f t="shared" si="10"/>
        <v>0</v>
      </c>
      <c r="D573" s="2">
        <v>0</v>
      </c>
      <c r="E573" s="2">
        <f t="shared" si="11"/>
        <v>0</v>
      </c>
      <c r="F573" s="2" t="str">
        <f t="shared" si="12"/>
        <v>Tuesday</v>
      </c>
      <c r="H573" s="2">
        <v>4</v>
      </c>
      <c r="I573" s="2" t="e">
        <f t="shared" ca="1" si="14"/>
        <v>#NAME?</v>
      </c>
      <c r="J573" s="2" t="e">
        <f t="shared" ca="1" si="13"/>
        <v>#NAME?</v>
      </c>
    </row>
    <row r="574" spans="1:10" ht="15.75" customHeight="1" x14ac:dyDescent="0.2">
      <c r="A574" s="2">
        <v>573</v>
      </c>
      <c r="B574" s="4">
        <v>45364</v>
      </c>
      <c r="C574" s="2">
        <f t="shared" si="10"/>
        <v>0</v>
      </c>
      <c r="D574" s="2">
        <v>0</v>
      </c>
      <c r="E574" s="2">
        <f t="shared" si="11"/>
        <v>0</v>
      </c>
      <c r="F574" s="2" t="str">
        <f t="shared" si="12"/>
        <v>Wednesday</v>
      </c>
      <c r="H574" s="2">
        <v>4</v>
      </c>
      <c r="I574" s="2" t="e">
        <f t="shared" ca="1" si="14"/>
        <v>#NAME?</v>
      </c>
      <c r="J574" s="2" t="e">
        <f t="shared" ca="1" si="13"/>
        <v>#NAME?</v>
      </c>
    </row>
    <row r="575" spans="1:10" ht="15.75" customHeight="1" x14ac:dyDescent="0.2">
      <c r="A575" s="2">
        <v>574</v>
      </c>
      <c r="B575" s="4">
        <v>45365</v>
      </c>
      <c r="C575" s="2">
        <f t="shared" si="10"/>
        <v>0</v>
      </c>
      <c r="D575" s="2">
        <v>0</v>
      </c>
      <c r="E575" s="2">
        <f t="shared" si="11"/>
        <v>0</v>
      </c>
      <c r="F575" s="2" t="str">
        <f t="shared" si="12"/>
        <v>Thursday</v>
      </c>
      <c r="H575" s="2">
        <v>4</v>
      </c>
      <c r="I575" s="2" t="e">
        <f t="shared" ca="1" si="14"/>
        <v>#NAME?</v>
      </c>
      <c r="J575" s="2" t="e">
        <f t="shared" ca="1" si="13"/>
        <v>#NAME?</v>
      </c>
    </row>
    <row r="576" spans="1:10" ht="15.75" customHeight="1" x14ac:dyDescent="0.2">
      <c r="A576" s="2">
        <v>575</v>
      </c>
      <c r="B576" s="4">
        <v>45366</v>
      </c>
      <c r="C576" s="2">
        <f t="shared" si="10"/>
        <v>0</v>
      </c>
      <c r="D576" s="2">
        <v>0</v>
      </c>
      <c r="E576" s="2">
        <f t="shared" si="11"/>
        <v>0</v>
      </c>
      <c r="F576" s="2" t="str">
        <f t="shared" si="12"/>
        <v>Friday</v>
      </c>
      <c r="H576" s="2">
        <v>4</v>
      </c>
      <c r="I576" s="2" t="e">
        <f t="shared" ca="1" si="14"/>
        <v>#NAME?</v>
      </c>
      <c r="J576" s="2" t="e">
        <f t="shared" ca="1" si="13"/>
        <v>#NAME?</v>
      </c>
    </row>
    <row r="577" spans="1:10" ht="15.75" customHeight="1" x14ac:dyDescent="0.2">
      <c r="A577" s="2">
        <v>576</v>
      </c>
      <c r="B577" s="4">
        <v>45367</v>
      </c>
      <c r="C577" s="2">
        <f t="shared" si="10"/>
        <v>1</v>
      </c>
      <c r="D577" s="2">
        <v>0</v>
      </c>
      <c r="E577" s="2">
        <f t="shared" si="11"/>
        <v>1</v>
      </c>
      <c r="F577" s="2" t="str">
        <f t="shared" si="12"/>
        <v>Saturday</v>
      </c>
      <c r="H577" s="2">
        <v>4</v>
      </c>
      <c r="I577" s="2" t="e">
        <f t="shared" ca="1" si="14"/>
        <v>#NAME?</v>
      </c>
      <c r="J577" s="2" t="e">
        <f t="shared" ca="1" si="13"/>
        <v>#NAME?</v>
      </c>
    </row>
    <row r="578" spans="1:10" ht="15.75" customHeight="1" x14ac:dyDescent="0.2">
      <c r="A578" s="2">
        <v>577</v>
      </c>
      <c r="B578" s="4">
        <v>45368</v>
      </c>
      <c r="C578" s="2">
        <f t="shared" si="10"/>
        <v>1</v>
      </c>
      <c r="D578" s="2">
        <v>0</v>
      </c>
      <c r="E578" s="2">
        <f t="shared" si="11"/>
        <v>1</v>
      </c>
      <c r="F578" s="2" t="str">
        <f t="shared" si="12"/>
        <v>Sunday</v>
      </c>
      <c r="H578" s="2">
        <v>4</v>
      </c>
      <c r="I578" s="2" t="e">
        <f t="shared" ca="1" si="14"/>
        <v>#NAME?</v>
      </c>
      <c r="J578" s="2" t="e">
        <f t="shared" ca="1" si="13"/>
        <v>#NAME?</v>
      </c>
    </row>
    <row r="579" spans="1:10" ht="15.75" customHeight="1" x14ac:dyDescent="0.2">
      <c r="A579" s="2">
        <v>578</v>
      </c>
      <c r="B579" s="4">
        <v>45369</v>
      </c>
      <c r="C579" s="2">
        <f t="shared" si="10"/>
        <v>0</v>
      </c>
      <c r="D579" s="2">
        <v>0</v>
      </c>
      <c r="E579" s="2">
        <f t="shared" si="11"/>
        <v>0</v>
      </c>
      <c r="F579" s="2" t="str">
        <f t="shared" si="12"/>
        <v>Monday</v>
      </c>
      <c r="H579" s="2">
        <v>4</v>
      </c>
      <c r="I579" s="2" t="e">
        <f t="shared" ca="1" si="14"/>
        <v>#NAME?</v>
      </c>
      <c r="J579" s="2" t="e">
        <f t="shared" ca="1" si="13"/>
        <v>#NAME?</v>
      </c>
    </row>
    <row r="580" spans="1:10" ht="15.75" customHeight="1" x14ac:dyDescent="0.2">
      <c r="A580" s="2">
        <v>579</v>
      </c>
      <c r="B580" s="4">
        <v>45370</v>
      </c>
      <c r="C580" s="2">
        <f t="shared" si="10"/>
        <v>0</v>
      </c>
      <c r="D580" s="2">
        <v>0</v>
      </c>
      <c r="E580" s="2">
        <f t="shared" si="11"/>
        <v>0</v>
      </c>
      <c r="F580" s="2" t="str">
        <f t="shared" si="12"/>
        <v>Tuesday</v>
      </c>
      <c r="H580" s="2">
        <v>4</v>
      </c>
      <c r="I580" s="2" t="e">
        <f t="shared" ca="1" si="14"/>
        <v>#NAME?</v>
      </c>
      <c r="J580" s="2" t="e">
        <f t="shared" ca="1" si="13"/>
        <v>#NAME?</v>
      </c>
    </row>
    <row r="581" spans="1:10" ht="15.75" customHeight="1" x14ac:dyDescent="0.2">
      <c r="A581" s="2">
        <v>580</v>
      </c>
      <c r="B581" s="4">
        <v>45371</v>
      </c>
      <c r="C581" s="2">
        <f t="shared" si="10"/>
        <v>0</v>
      </c>
      <c r="D581" s="2">
        <v>0</v>
      </c>
      <c r="E581" s="2">
        <f t="shared" si="11"/>
        <v>0</v>
      </c>
      <c r="F581" s="2" t="str">
        <f t="shared" si="12"/>
        <v>Wednesday</v>
      </c>
      <c r="H581" s="2">
        <v>4</v>
      </c>
      <c r="I581" s="2" t="e">
        <f t="shared" ca="1" si="14"/>
        <v>#NAME?</v>
      </c>
      <c r="J581" s="2" t="e">
        <f t="shared" ca="1" si="13"/>
        <v>#NAME?</v>
      </c>
    </row>
    <row r="582" spans="1:10" ht="15.75" customHeight="1" x14ac:dyDescent="0.2">
      <c r="A582" s="2">
        <v>581</v>
      </c>
      <c r="B582" s="4">
        <v>45372</v>
      </c>
      <c r="C582" s="2">
        <f t="shared" si="10"/>
        <v>0</v>
      </c>
      <c r="D582" s="2">
        <v>0</v>
      </c>
      <c r="E582" s="2">
        <f t="shared" si="11"/>
        <v>0</v>
      </c>
      <c r="F582" s="2" t="str">
        <f t="shared" si="12"/>
        <v>Thursday</v>
      </c>
      <c r="H582" s="2">
        <v>4</v>
      </c>
      <c r="I582" s="2" t="e">
        <f t="shared" ca="1" si="14"/>
        <v>#NAME?</v>
      </c>
      <c r="J582" s="2" t="e">
        <f t="shared" ca="1" si="13"/>
        <v>#NAME?</v>
      </c>
    </row>
    <row r="583" spans="1:10" ht="15.75" customHeight="1" x14ac:dyDescent="0.2">
      <c r="A583" s="2">
        <v>582</v>
      </c>
      <c r="B583" s="4">
        <v>45373</v>
      </c>
      <c r="C583" s="2">
        <f t="shared" si="10"/>
        <v>0</v>
      </c>
      <c r="D583" s="2">
        <v>0</v>
      </c>
      <c r="E583" s="2">
        <f t="shared" si="11"/>
        <v>0</v>
      </c>
      <c r="F583" s="2" t="str">
        <f t="shared" si="12"/>
        <v>Friday</v>
      </c>
      <c r="H583" s="2">
        <v>4</v>
      </c>
      <c r="I583" s="2" t="e">
        <f t="shared" ca="1" si="14"/>
        <v>#NAME?</v>
      </c>
      <c r="J583" s="2" t="e">
        <f t="shared" ca="1" si="13"/>
        <v>#NAME?</v>
      </c>
    </row>
    <row r="584" spans="1:10" ht="15.75" customHeight="1" x14ac:dyDescent="0.2">
      <c r="A584" s="2">
        <v>583</v>
      </c>
      <c r="B584" s="4">
        <v>45374</v>
      </c>
      <c r="C584" s="2">
        <f t="shared" si="10"/>
        <v>1</v>
      </c>
      <c r="D584" s="2">
        <v>0</v>
      </c>
      <c r="E584" s="2">
        <f t="shared" si="11"/>
        <v>1</v>
      </c>
      <c r="F584" s="2" t="str">
        <f t="shared" si="12"/>
        <v>Saturday</v>
      </c>
      <c r="H584" s="2">
        <v>4</v>
      </c>
      <c r="I584" s="2" t="e">
        <f t="shared" ca="1" si="14"/>
        <v>#NAME?</v>
      </c>
      <c r="J584" s="2" t="e">
        <f t="shared" ca="1" si="13"/>
        <v>#NAME?</v>
      </c>
    </row>
    <row r="585" spans="1:10" ht="15.75" customHeight="1" x14ac:dyDescent="0.2">
      <c r="A585" s="2">
        <v>584</v>
      </c>
      <c r="B585" s="4">
        <v>45375</v>
      </c>
      <c r="C585" s="2">
        <f t="shared" si="10"/>
        <v>1</v>
      </c>
      <c r="D585" s="2">
        <v>0</v>
      </c>
      <c r="E585" s="2">
        <f t="shared" si="11"/>
        <v>1</v>
      </c>
      <c r="F585" s="2" t="str">
        <f t="shared" si="12"/>
        <v>Sunday</v>
      </c>
      <c r="H585" s="2">
        <v>4</v>
      </c>
      <c r="I585" s="2" t="e">
        <f t="shared" ca="1" si="14"/>
        <v>#NAME?</v>
      </c>
      <c r="J585" s="2" t="e">
        <f t="shared" ca="1" si="13"/>
        <v>#NAME?</v>
      </c>
    </row>
    <row r="586" spans="1:10" ht="15.75" customHeight="1" x14ac:dyDescent="0.2">
      <c r="A586" s="2">
        <v>585</v>
      </c>
      <c r="B586" s="4">
        <v>45376</v>
      </c>
      <c r="C586" s="2">
        <f t="shared" si="10"/>
        <v>0</v>
      </c>
      <c r="D586" s="2">
        <v>0</v>
      </c>
      <c r="E586" s="2">
        <f t="shared" si="11"/>
        <v>0</v>
      </c>
      <c r="F586" s="2" t="str">
        <f t="shared" si="12"/>
        <v>Monday</v>
      </c>
      <c r="H586" s="2">
        <v>4</v>
      </c>
      <c r="I586" s="2" t="e">
        <f t="shared" ca="1" si="14"/>
        <v>#NAME?</v>
      </c>
      <c r="J586" s="2" t="e">
        <f t="shared" ca="1" si="13"/>
        <v>#NAME?</v>
      </c>
    </row>
    <row r="587" spans="1:10" ht="15.75" customHeight="1" x14ac:dyDescent="0.2">
      <c r="A587" s="2">
        <v>586</v>
      </c>
      <c r="B587" s="4">
        <v>45377</v>
      </c>
      <c r="C587" s="2">
        <f t="shared" si="10"/>
        <v>0</v>
      </c>
      <c r="D587" s="2">
        <v>0</v>
      </c>
      <c r="E587" s="2">
        <f t="shared" si="11"/>
        <v>0</v>
      </c>
      <c r="F587" s="2" t="str">
        <f t="shared" si="12"/>
        <v>Tuesday</v>
      </c>
      <c r="H587" s="2">
        <v>4</v>
      </c>
      <c r="I587" s="2" t="e">
        <f t="shared" ca="1" si="14"/>
        <v>#NAME?</v>
      </c>
      <c r="J587" s="2" t="e">
        <f t="shared" ca="1" si="13"/>
        <v>#NAME?</v>
      </c>
    </row>
    <row r="588" spans="1:10" ht="15.75" customHeight="1" x14ac:dyDescent="0.2">
      <c r="A588" s="2">
        <v>587</v>
      </c>
      <c r="B588" s="4">
        <v>45378</v>
      </c>
      <c r="C588" s="2">
        <f t="shared" si="10"/>
        <v>0</v>
      </c>
      <c r="D588" s="2">
        <v>0</v>
      </c>
      <c r="E588" s="2">
        <f t="shared" si="11"/>
        <v>0</v>
      </c>
      <c r="F588" s="2" t="str">
        <f t="shared" si="12"/>
        <v>Wednesday</v>
      </c>
      <c r="H588" s="2">
        <v>4</v>
      </c>
      <c r="I588" s="2" t="e">
        <f t="shared" ca="1" si="14"/>
        <v>#NAME?</v>
      </c>
      <c r="J588" s="2" t="e">
        <f t="shared" ca="1" si="13"/>
        <v>#NAME?</v>
      </c>
    </row>
    <row r="589" spans="1:10" ht="15.75" customHeight="1" x14ac:dyDescent="0.2">
      <c r="A589" s="2">
        <v>588</v>
      </c>
      <c r="B589" s="4">
        <v>45379</v>
      </c>
      <c r="C589" s="2">
        <f t="shared" si="10"/>
        <v>0</v>
      </c>
      <c r="D589" s="2">
        <v>0</v>
      </c>
      <c r="E589" s="2">
        <f t="shared" si="11"/>
        <v>0</v>
      </c>
      <c r="F589" s="2" t="str">
        <f t="shared" si="12"/>
        <v>Thursday</v>
      </c>
      <c r="H589" s="2">
        <v>4</v>
      </c>
      <c r="I589" s="2" t="e">
        <f t="shared" ca="1" si="14"/>
        <v>#NAME?</v>
      </c>
      <c r="J589" s="2" t="e">
        <f t="shared" ca="1" si="13"/>
        <v>#NAME?</v>
      </c>
    </row>
    <row r="590" spans="1:10" ht="15.75" customHeight="1" x14ac:dyDescent="0.2">
      <c r="A590" s="2">
        <v>589</v>
      </c>
      <c r="B590" s="4">
        <v>45380</v>
      </c>
      <c r="C590" s="2">
        <f t="shared" si="10"/>
        <v>0</v>
      </c>
      <c r="D590" s="2">
        <v>0</v>
      </c>
      <c r="E590" s="2">
        <f t="shared" si="11"/>
        <v>0</v>
      </c>
      <c r="F590" s="2" t="str">
        <f t="shared" si="12"/>
        <v>Friday</v>
      </c>
      <c r="H590" s="2">
        <v>4</v>
      </c>
      <c r="I590" s="2" t="e">
        <f t="shared" ca="1" si="14"/>
        <v>#NAME?</v>
      </c>
      <c r="J590" s="2" t="e">
        <f t="shared" ca="1" si="13"/>
        <v>#NAME?</v>
      </c>
    </row>
    <row r="591" spans="1:10" ht="15.75" customHeight="1" x14ac:dyDescent="0.2">
      <c r="A591" s="2">
        <v>590</v>
      </c>
      <c r="B591" s="4">
        <v>45381</v>
      </c>
      <c r="C591" s="2">
        <f t="shared" si="10"/>
        <v>1</v>
      </c>
      <c r="D591" s="2">
        <v>0</v>
      </c>
      <c r="E591" s="2">
        <f t="shared" si="11"/>
        <v>1</v>
      </c>
      <c r="F591" s="2" t="str">
        <f t="shared" si="12"/>
        <v>Saturday</v>
      </c>
      <c r="H591" s="2">
        <v>4</v>
      </c>
      <c r="I591" s="2" t="e">
        <f t="shared" ca="1" si="14"/>
        <v>#NAME?</v>
      </c>
      <c r="J591" s="2" t="e">
        <f t="shared" ca="1" si="13"/>
        <v>#NAME?</v>
      </c>
    </row>
    <row r="592" spans="1:10" ht="15.75" customHeight="1" x14ac:dyDescent="0.2">
      <c r="A592" s="2">
        <v>591</v>
      </c>
      <c r="B592" s="4">
        <v>45382</v>
      </c>
      <c r="C592" s="2">
        <f t="shared" si="10"/>
        <v>1</v>
      </c>
      <c r="D592" s="2">
        <v>0</v>
      </c>
      <c r="E592" s="2">
        <f t="shared" si="11"/>
        <v>1</v>
      </c>
      <c r="F592" s="2" t="str">
        <f t="shared" si="12"/>
        <v>Sunday</v>
      </c>
      <c r="H592" s="2">
        <v>4</v>
      </c>
      <c r="I592" s="2" t="e">
        <f t="shared" ca="1" si="14"/>
        <v>#NAME?</v>
      </c>
      <c r="J592" s="2" t="e">
        <f t="shared" ca="1" si="13"/>
        <v>#NAME?</v>
      </c>
    </row>
    <row r="593" spans="1:10" ht="15.75" customHeight="1" x14ac:dyDescent="0.2">
      <c r="A593" s="2">
        <v>592</v>
      </c>
      <c r="B593" s="4">
        <v>45383</v>
      </c>
      <c r="C593" s="2">
        <f t="shared" si="10"/>
        <v>0</v>
      </c>
      <c r="D593" s="2">
        <v>0</v>
      </c>
      <c r="E593" s="2">
        <f t="shared" si="11"/>
        <v>0</v>
      </c>
      <c r="F593" s="2" t="str">
        <f t="shared" si="12"/>
        <v>Monday</v>
      </c>
      <c r="H593" s="2">
        <v>4</v>
      </c>
      <c r="I593" s="2" t="e">
        <f t="shared" ca="1" si="14"/>
        <v>#NAME?</v>
      </c>
      <c r="J593" s="2" t="e">
        <f t="shared" ca="1" si="13"/>
        <v>#NAME?</v>
      </c>
    </row>
    <row r="594" spans="1:10" ht="15.75" customHeight="1" x14ac:dyDescent="0.2">
      <c r="A594" s="2">
        <v>593</v>
      </c>
      <c r="B594" s="4">
        <v>45384</v>
      </c>
      <c r="C594" s="2">
        <f t="shared" si="10"/>
        <v>0</v>
      </c>
      <c r="D594" s="2">
        <v>0</v>
      </c>
      <c r="E594" s="2">
        <f t="shared" si="11"/>
        <v>0</v>
      </c>
      <c r="F594" s="2" t="str">
        <f t="shared" si="12"/>
        <v>Tuesday</v>
      </c>
      <c r="H594" s="2">
        <v>4</v>
      </c>
      <c r="I594" s="2" t="e">
        <f t="shared" ca="1" si="14"/>
        <v>#NAME?</v>
      </c>
      <c r="J594" s="2" t="e">
        <f t="shared" ca="1" si="13"/>
        <v>#NAME?</v>
      </c>
    </row>
    <row r="595" spans="1:10" ht="15.75" customHeight="1" x14ac:dyDescent="0.2">
      <c r="A595" s="2">
        <v>594</v>
      </c>
      <c r="B595" s="4">
        <v>45385</v>
      </c>
      <c r="C595" s="2">
        <f t="shared" si="10"/>
        <v>0</v>
      </c>
      <c r="D595" s="2">
        <v>0</v>
      </c>
      <c r="E595" s="2">
        <f t="shared" si="11"/>
        <v>0</v>
      </c>
      <c r="F595" s="2" t="str">
        <f t="shared" si="12"/>
        <v>Wednesday</v>
      </c>
      <c r="H595" s="2">
        <v>4</v>
      </c>
      <c r="I595" s="2" t="e">
        <f t="shared" ca="1" si="14"/>
        <v>#NAME?</v>
      </c>
      <c r="J595" s="2" t="e">
        <f t="shared" ca="1" si="13"/>
        <v>#NAME?</v>
      </c>
    </row>
    <row r="596" spans="1:10" ht="15.75" customHeight="1" x14ac:dyDescent="0.2">
      <c r="A596" s="2">
        <v>595</v>
      </c>
      <c r="B596" s="4">
        <v>45386</v>
      </c>
      <c r="C596" s="2">
        <f t="shared" si="10"/>
        <v>0</v>
      </c>
      <c r="D596" s="2">
        <v>0</v>
      </c>
      <c r="E596" s="2">
        <f t="shared" si="11"/>
        <v>0</v>
      </c>
      <c r="F596" s="2" t="str">
        <f t="shared" si="12"/>
        <v>Thursday</v>
      </c>
      <c r="H596" s="2">
        <v>4</v>
      </c>
      <c r="I596" s="2" t="e">
        <f t="shared" ca="1" si="14"/>
        <v>#NAME?</v>
      </c>
      <c r="J596" s="2" t="e">
        <f t="shared" ca="1" si="13"/>
        <v>#NAME?</v>
      </c>
    </row>
    <row r="597" spans="1:10" ht="15.75" customHeight="1" x14ac:dyDescent="0.2">
      <c r="A597" s="2">
        <v>596</v>
      </c>
      <c r="B597" s="4">
        <v>45387</v>
      </c>
      <c r="C597" s="2">
        <f t="shared" si="10"/>
        <v>0</v>
      </c>
      <c r="D597" s="2">
        <v>0</v>
      </c>
      <c r="E597" s="2">
        <f t="shared" si="11"/>
        <v>0</v>
      </c>
      <c r="F597" s="2" t="str">
        <f t="shared" si="12"/>
        <v>Friday</v>
      </c>
      <c r="H597" s="2">
        <v>4</v>
      </c>
      <c r="I597" s="2" t="e">
        <f t="shared" ca="1" si="14"/>
        <v>#NAME?</v>
      </c>
      <c r="J597" s="2" t="e">
        <f t="shared" ca="1" si="13"/>
        <v>#NAME?</v>
      </c>
    </row>
    <row r="598" spans="1:10" ht="15.75" customHeight="1" x14ac:dyDescent="0.2">
      <c r="A598" s="2">
        <v>597</v>
      </c>
      <c r="B598" s="4">
        <v>45388</v>
      </c>
      <c r="C598" s="2">
        <f t="shared" si="10"/>
        <v>1</v>
      </c>
      <c r="D598" s="2">
        <v>0</v>
      </c>
      <c r="E598" s="2">
        <f t="shared" si="11"/>
        <v>1</v>
      </c>
      <c r="F598" s="2" t="str">
        <f t="shared" si="12"/>
        <v>Saturday</v>
      </c>
      <c r="H598" s="2">
        <v>4</v>
      </c>
      <c r="I598" s="2" t="e">
        <f t="shared" ca="1" si="14"/>
        <v>#NAME?</v>
      </c>
      <c r="J598" s="2" t="e">
        <f t="shared" ca="1" si="13"/>
        <v>#NAME?</v>
      </c>
    </row>
    <row r="599" spans="1:10" ht="15.75" customHeight="1" x14ac:dyDescent="0.2">
      <c r="A599" s="2">
        <v>598</v>
      </c>
      <c r="B599" s="4">
        <v>45389</v>
      </c>
      <c r="C599" s="2">
        <f t="shared" si="10"/>
        <v>1</v>
      </c>
      <c r="D599" s="2">
        <v>0</v>
      </c>
      <c r="E599" s="2">
        <f t="shared" si="11"/>
        <v>1</v>
      </c>
      <c r="F599" s="2" t="str">
        <f t="shared" si="12"/>
        <v>Sunday</v>
      </c>
      <c r="H599" s="2">
        <v>4</v>
      </c>
      <c r="I599" s="2" t="e">
        <f t="shared" ca="1" si="14"/>
        <v>#NAME?</v>
      </c>
      <c r="J599" s="2" t="e">
        <f t="shared" ca="1" si="13"/>
        <v>#NAME?</v>
      </c>
    </row>
    <row r="600" spans="1:10" ht="15.75" customHeight="1" x14ac:dyDescent="0.2">
      <c r="A600" s="2">
        <v>599</v>
      </c>
      <c r="B600" s="4">
        <v>45390</v>
      </c>
      <c r="C600" s="2">
        <f t="shared" si="10"/>
        <v>0</v>
      </c>
      <c r="D600" s="2">
        <v>0</v>
      </c>
      <c r="E600" s="2">
        <f t="shared" si="11"/>
        <v>0</v>
      </c>
      <c r="F600" s="2" t="str">
        <f t="shared" si="12"/>
        <v>Monday</v>
      </c>
      <c r="H600" s="2">
        <v>4</v>
      </c>
      <c r="I600" s="2" t="e">
        <f t="shared" ca="1" si="14"/>
        <v>#NAME?</v>
      </c>
      <c r="J600" s="2" t="e">
        <f t="shared" ca="1" si="13"/>
        <v>#NAME?</v>
      </c>
    </row>
    <row r="601" spans="1:10" ht="15.75" customHeight="1" x14ac:dyDescent="0.2">
      <c r="A601" s="2">
        <v>600</v>
      </c>
      <c r="B601" s="4">
        <v>45391</v>
      </c>
      <c r="C601" s="2">
        <f t="shared" si="10"/>
        <v>0</v>
      </c>
      <c r="D601" s="2">
        <v>0</v>
      </c>
      <c r="E601" s="2">
        <f t="shared" si="11"/>
        <v>0</v>
      </c>
      <c r="F601" s="2" t="str">
        <f t="shared" si="12"/>
        <v>Tuesday</v>
      </c>
      <c r="H601" s="2">
        <v>4</v>
      </c>
      <c r="I601" s="2" t="e">
        <f t="shared" ca="1" si="14"/>
        <v>#NAME?</v>
      </c>
      <c r="J601" s="2" t="e">
        <f t="shared" ca="1" si="13"/>
        <v>#NAME?</v>
      </c>
    </row>
    <row r="602" spans="1:10" ht="15.75" customHeight="1" x14ac:dyDescent="0.2">
      <c r="A602" s="2">
        <v>601</v>
      </c>
      <c r="B602" s="4">
        <v>45392</v>
      </c>
      <c r="C602" s="2">
        <f t="shared" si="10"/>
        <v>0</v>
      </c>
      <c r="D602" s="2">
        <v>0</v>
      </c>
      <c r="E602" s="2">
        <f t="shared" si="11"/>
        <v>0</v>
      </c>
      <c r="F602" s="2" t="str">
        <f t="shared" si="12"/>
        <v>Wednesday</v>
      </c>
      <c r="H602" s="2">
        <v>4</v>
      </c>
      <c r="I602" s="2" t="e">
        <f t="shared" ca="1" si="14"/>
        <v>#NAME?</v>
      </c>
      <c r="J602" s="2" t="e">
        <f t="shared" ca="1" si="13"/>
        <v>#NAME?</v>
      </c>
    </row>
    <row r="603" spans="1:10" ht="15.75" customHeight="1" x14ac:dyDescent="0.2">
      <c r="A603" s="2">
        <v>602</v>
      </c>
      <c r="B603" s="4">
        <v>45393</v>
      </c>
      <c r="C603" s="2">
        <f t="shared" si="10"/>
        <v>0</v>
      </c>
      <c r="D603" s="2">
        <v>0</v>
      </c>
      <c r="E603" s="2">
        <f t="shared" si="11"/>
        <v>0</v>
      </c>
      <c r="F603" s="2" t="str">
        <f t="shared" si="12"/>
        <v>Thursday</v>
      </c>
      <c r="H603" s="2">
        <v>4</v>
      </c>
      <c r="I603" s="2" t="e">
        <f t="shared" ca="1" si="14"/>
        <v>#NAME?</v>
      </c>
      <c r="J603" s="2" t="e">
        <f t="shared" ca="1" si="13"/>
        <v>#NAME?</v>
      </c>
    </row>
    <row r="604" spans="1:10" ht="15.75" customHeight="1" x14ac:dyDescent="0.2">
      <c r="A604" s="2">
        <v>603</v>
      </c>
      <c r="B604" s="4">
        <v>45394</v>
      </c>
      <c r="C604" s="2">
        <f t="shared" si="10"/>
        <v>0</v>
      </c>
      <c r="D604" s="2">
        <v>0</v>
      </c>
      <c r="E604" s="2">
        <f t="shared" si="11"/>
        <v>0</v>
      </c>
      <c r="F604" s="2" t="str">
        <f t="shared" si="12"/>
        <v>Friday</v>
      </c>
      <c r="H604" s="2">
        <v>4</v>
      </c>
      <c r="I604" s="2" t="e">
        <f t="shared" ca="1" si="14"/>
        <v>#NAME?</v>
      </c>
      <c r="J604" s="2" t="e">
        <f t="shared" ca="1" si="13"/>
        <v>#NAME?</v>
      </c>
    </row>
    <row r="605" spans="1:10" ht="15.75" customHeight="1" x14ac:dyDescent="0.2">
      <c r="A605" s="2">
        <v>604</v>
      </c>
      <c r="B605" s="4">
        <v>45395</v>
      </c>
      <c r="C605" s="2">
        <f t="shared" si="10"/>
        <v>1</v>
      </c>
      <c r="D605" s="2">
        <v>0</v>
      </c>
      <c r="E605" s="2">
        <f t="shared" si="11"/>
        <v>1</v>
      </c>
      <c r="F605" s="2" t="str">
        <f t="shared" si="12"/>
        <v>Saturday</v>
      </c>
      <c r="H605" s="2">
        <v>4</v>
      </c>
      <c r="I605" s="2" t="e">
        <f t="shared" ca="1" si="14"/>
        <v>#NAME?</v>
      </c>
      <c r="J605" s="2" t="e">
        <f t="shared" ca="1" si="13"/>
        <v>#NAME?</v>
      </c>
    </row>
    <row r="606" spans="1:10" ht="15.75" customHeight="1" x14ac:dyDescent="0.2">
      <c r="A606" s="2">
        <v>605</v>
      </c>
      <c r="B606" s="4">
        <v>45396</v>
      </c>
      <c r="C606" s="2">
        <f t="shared" si="10"/>
        <v>1</v>
      </c>
      <c r="D606" s="2">
        <v>0</v>
      </c>
      <c r="E606" s="2">
        <f t="shared" si="11"/>
        <v>1</v>
      </c>
      <c r="F606" s="2" t="str">
        <f t="shared" si="12"/>
        <v>Sunday</v>
      </c>
      <c r="H606" s="2">
        <v>4</v>
      </c>
      <c r="I606" s="2" t="e">
        <f t="shared" ca="1" si="14"/>
        <v>#NAME?</v>
      </c>
      <c r="J606" s="2" t="e">
        <f t="shared" ca="1" si="13"/>
        <v>#NAME?</v>
      </c>
    </row>
    <row r="607" spans="1:10" ht="15.75" customHeight="1" x14ac:dyDescent="0.2">
      <c r="A607" s="2">
        <v>606</v>
      </c>
      <c r="B607" s="4">
        <v>45397</v>
      </c>
      <c r="C607" s="2">
        <f t="shared" si="10"/>
        <v>0</v>
      </c>
      <c r="D607" s="2">
        <v>0</v>
      </c>
      <c r="E607" s="2">
        <f t="shared" si="11"/>
        <v>0</v>
      </c>
      <c r="F607" s="2" t="str">
        <f t="shared" si="12"/>
        <v>Monday</v>
      </c>
      <c r="H607" s="2">
        <v>4</v>
      </c>
      <c r="I607" s="2" t="e">
        <f t="shared" ca="1" si="14"/>
        <v>#NAME?</v>
      </c>
      <c r="J607" s="2" t="e">
        <f t="shared" ca="1" si="13"/>
        <v>#NAME?</v>
      </c>
    </row>
    <row r="608" spans="1:10" ht="15.75" customHeight="1" x14ac:dyDescent="0.2">
      <c r="A608" s="2">
        <v>607</v>
      </c>
      <c r="B608" s="4">
        <v>45398</v>
      </c>
      <c r="C608" s="2">
        <f t="shared" si="10"/>
        <v>0</v>
      </c>
      <c r="D608" s="2">
        <v>0</v>
      </c>
      <c r="E608" s="2">
        <f t="shared" si="11"/>
        <v>0</v>
      </c>
      <c r="F608" s="2" t="str">
        <f t="shared" si="12"/>
        <v>Tuesday</v>
      </c>
      <c r="H608" s="2">
        <v>4</v>
      </c>
      <c r="I608" s="2" t="e">
        <f t="shared" ca="1" si="14"/>
        <v>#NAME?</v>
      </c>
      <c r="J608" s="2" t="e">
        <f t="shared" ca="1" si="13"/>
        <v>#NAME?</v>
      </c>
    </row>
    <row r="609" spans="1:10" ht="15.75" customHeight="1" x14ac:dyDescent="0.2">
      <c r="A609" s="2">
        <v>608</v>
      </c>
      <c r="B609" s="4">
        <v>45399</v>
      </c>
      <c r="C609" s="2">
        <f t="shared" si="10"/>
        <v>0</v>
      </c>
      <c r="D609" s="2">
        <v>0</v>
      </c>
      <c r="E609" s="2">
        <f t="shared" si="11"/>
        <v>0</v>
      </c>
      <c r="F609" s="2" t="str">
        <f t="shared" si="12"/>
        <v>Wednesday</v>
      </c>
      <c r="H609" s="2">
        <v>4</v>
      </c>
      <c r="I609" s="2" t="e">
        <f t="shared" ca="1" si="14"/>
        <v>#NAME?</v>
      </c>
      <c r="J609" s="2" t="e">
        <f t="shared" ca="1" si="13"/>
        <v>#NAME?</v>
      </c>
    </row>
    <row r="610" spans="1:10" ht="15.75" customHeight="1" x14ac:dyDescent="0.2">
      <c r="A610" s="2">
        <v>609</v>
      </c>
      <c r="B610" s="4">
        <v>45400</v>
      </c>
      <c r="C610" s="2">
        <f t="shared" si="10"/>
        <v>0</v>
      </c>
      <c r="D610" s="2">
        <v>0</v>
      </c>
      <c r="E610" s="2">
        <f t="shared" si="11"/>
        <v>0</v>
      </c>
      <c r="F610" s="2" t="str">
        <f t="shared" si="12"/>
        <v>Thursday</v>
      </c>
      <c r="H610" s="2">
        <v>4</v>
      </c>
      <c r="I610" s="2" t="e">
        <f t="shared" ca="1" si="14"/>
        <v>#NAME?</v>
      </c>
      <c r="J610" s="2" t="e">
        <f t="shared" ca="1" si="13"/>
        <v>#NAME?</v>
      </c>
    </row>
    <row r="611" spans="1:10" ht="15.75" customHeight="1" x14ac:dyDescent="0.2">
      <c r="A611" s="2">
        <v>610</v>
      </c>
      <c r="B611" s="4">
        <v>45401</v>
      </c>
      <c r="C611" s="2">
        <f t="shared" si="10"/>
        <v>0</v>
      </c>
      <c r="D611" s="2">
        <v>0</v>
      </c>
      <c r="E611" s="2">
        <f t="shared" si="11"/>
        <v>0</v>
      </c>
      <c r="F611" s="2" t="str">
        <f t="shared" si="12"/>
        <v>Friday</v>
      </c>
      <c r="H611" s="2">
        <v>4</v>
      </c>
      <c r="I611" s="2" t="e">
        <f t="shared" ca="1" si="14"/>
        <v>#NAME?</v>
      </c>
      <c r="J611" s="2" t="e">
        <f t="shared" ca="1" si="13"/>
        <v>#NAME?</v>
      </c>
    </row>
    <row r="612" spans="1:10" ht="15.75" customHeight="1" x14ac:dyDescent="0.2">
      <c r="A612" s="2">
        <v>611</v>
      </c>
      <c r="B612" s="4">
        <v>45402</v>
      </c>
      <c r="C612" s="2">
        <f t="shared" si="10"/>
        <v>1</v>
      </c>
      <c r="D612" s="2">
        <v>0</v>
      </c>
      <c r="E612" s="2">
        <f t="shared" si="11"/>
        <v>1</v>
      </c>
      <c r="F612" s="2" t="str">
        <f t="shared" si="12"/>
        <v>Saturday</v>
      </c>
      <c r="H612" s="2">
        <v>4</v>
      </c>
      <c r="I612" s="2" t="e">
        <f t="shared" ca="1" si="14"/>
        <v>#NAME?</v>
      </c>
      <c r="J612" s="2" t="e">
        <f t="shared" ca="1" si="13"/>
        <v>#NAME?</v>
      </c>
    </row>
    <row r="613" spans="1:10" ht="15.75" customHeight="1" x14ac:dyDescent="0.2">
      <c r="A613" s="2">
        <v>612</v>
      </c>
      <c r="B613" s="4">
        <v>45403</v>
      </c>
      <c r="C613" s="2">
        <f t="shared" si="10"/>
        <v>1</v>
      </c>
      <c r="D613" s="2">
        <v>0</v>
      </c>
      <c r="E613" s="2">
        <f t="shared" si="11"/>
        <v>1</v>
      </c>
      <c r="F613" s="2" t="str">
        <f t="shared" si="12"/>
        <v>Sunday</v>
      </c>
      <c r="H613" s="2">
        <v>4</v>
      </c>
      <c r="I613" s="2" t="e">
        <f t="shared" ca="1" si="14"/>
        <v>#NAME?</v>
      </c>
      <c r="J613" s="2" t="e">
        <f t="shared" ca="1" si="13"/>
        <v>#NAME?</v>
      </c>
    </row>
    <row r="614" spans="1:10" ht="15.75" customHeight="1" x14ac:dyDescent="0.2">
      <c r="A614" s="2">
        <v>613</v>
      </c>
      <c r="B614" s="4">
        <v>45404</v>
      </c>
      <c r="C614" s="2">
        <f t="shared" si="10"/>
        <v>0</v>
      </c>
      <c r="D614" s="2">
        <v>0</v>
      </c>
      <c r="E614" s="2">
        <f t="shared" si="11"/>
        <v>0</v>
      </c>
      <c r="F614" s="2" t="str">
        <f t="shared" si="12"/>
        <v>Monday</v>
      </c>
      <c r="H614" s="2">
        <v>4</v>
      </c>
      <c r="I614" s="2" t="e">
        <f t="shared" ca="1" si="14"/>
        <v>#NAME?</v>
      </c>
      <c r="J614" s="2" t="e">
        <f t="shared" ca="1" si="13"/>
        <v>#NAME?</v>
      </c>
    </row>
    <row r="615" spans="1:10" ht="15.75" customHeight="1" x14ac:dyDescent="0.2">
      <c r="A615" s="2">
        <v>614</v>
      </c>
      <c r="B615" s="4">
        <v>45405</v>
      </c>
      <c r="C615" s="2">
        <f t="shared" si="10"/>
        <v>0</v>
      </c>
      <c r="D615" s="2">
        <v>0</v>
      </c>
      <c r="E615" s="2">
        <f t="shared" si="11"/>
        <v>0</v>
      </c>
      <c r="F615" s="2" t="str">
        <f t="shared" si="12"/>
        <v>Tuesday</v>
      </c>
      <c r="H615" s="2">
        <v>4</v>
      </c>
      <c r="I615" s="2" t="e">
        <f t="shared" ca="1" si="14"/>
        <v>#NAME?</v>
      </c>
      <c r="J615" s="2" t="e">
        <f t="shared" ca="1" si="13"/>
        <v>#NAME?</v>
      </c>
    </row>
    <row r="616" spans="1:10" ht="15.75" customHeight="1" x14ac:dyDescent="0.2">
      <c r="A616" s="2">
        <v>615</v>
      </c>
      <c r="B616" s="4">
        <v>45406</v>
      </c>
      <c r="C616" s="2">
        <f t="shared" si="10"/>
        <v>0</v>
      </c>
      <c r="D616" s="2">
        <v>0</v>
      </c>
      <c r="E616" s="2">
        <f t="shared" si="11"/>
        <v>0</v>
      </c>
      <c r="F616" s="2" t="str">
        <f t="shared" si="12"/>
        <v>Wednesday</v>
      </c>
      <c r="H616" s="2">
        <v>4</v>
      </c>
      <c r="I616" s="2" t="e">
        <f t="shared" ca="1" si="14"/>
        <v>#NAME?</v>
      </c>
      <c r="J616" s="2" t="e">
        <f t="shared" ca="1" si="13"/>
        <v>#NAME?</v>
      </c>
    </row>
    <row r="617" spans="1:10" ht="15.75" customHeight="1" x14ac:dyDescent="0.2">
      <c r="A617" s="2">
        <v>616</v>
      </c>
      <c r="B617" s="4">
        <v>45407</v>
      </c>
      <c r="C617" s="2">
        <f t="shared" si="10"/>
        <v>0</v>
      </c>
      <c r="D617" s="2">
        <v>0</v>
      </c>
      <c r="E617" s="2">
        <f t="shared" si="11"/>
        <v>0</v>
      </c>
      <c r="F617" s="2" t="str">
        <f t="shared" si="12"/>
        <v>Thursday</v>
      </c>
      <c r="H617" s="2">
        <v>4</v>
      </c>
      <c r="I617" s="2" t="e">
        <f t="shared" ca="1" si="14"/>
        <v>#NAME?</v>
      </c>
      <c r="J617" s="2" t="e">
        <f t="shared" ca="1" si="13"/>
        <v>#NAME?</v>
      </c>
    </row>
    <row r="618" spans="1:10" ht="15.75" customHeight="1" x14ac:dyDescent="0.2">
      <c r="A618" s="2">
        <v>617</v>
      </c>
      <c r="B618" s="4">
        <v>45408</v>
      </c>
      <c r="C618" s="2">
        <f t="shared" si="10"/>
        <v>0</v>
      </c>
      <c r="D618" s="2">
        <v>0</v>
      </c>
      <c r="E618" s="2">
        <f t="shared" si="11"/>
        <v>0</v>
      </c>
      <c r="F618" s="2" t="str">
        <f t="shared" si="12"/>
        <v>Friday</v>
      </c>
      <c r="H618" s="2">
        <v>4</v>
      </c>
      <c r="I618" s="2" t="e">
        <f t="shared" ca="1" si="14"/>
        <v>#NAME?</v>
      </c>
      <c r="J618" s="2" t="e">
        <f t="shared" ca="1" si="13"/>
        <v>#NAME?</v>
      </c>
    </row>
    <row r="619" spans="1:10" ht="15.75" customHeight="1" x14ac:dyDescent="0.2">
      <c r="A619" s="2">
        <v>618</v>
      </c>
      <c r="B619" s="4">
        <v>45409</v>
      </c>
      <c r="C619" s="2">
        <f t="shared" si="10"/>
        <v>1</v>
      </c>
      <c r="D619" s="2">
        <v>1</v>
      </c>
      <c r="E619" s="2">
        <f t="shared" si="11"/>
        <v>1</v>
      </c>
      <c r="F619" s="2" t="str">
        <f t="shared" si="12"/>
        <v>Saturday</v>
      </c>
      <c r="G619" s="2" t="s">
        <v>333</v>
      </c>
      <c r="H619" s="2">
        <v>4</v>
      </c>
      <c r="I619" s="2" t="e">
        <f t="shared" ca="1" si="14"/>
        <v>#NAME?</v>
      </c>
      <c r="J619" s="2" t="e">
        <f t="shared" ca="1" si="13"/>
        <v>#NAME?</v>
      </c>
    </row>
    <row r="620" spans="1:10" ht="15.75" customHeight="1" x14ac:dyDescent="0.2">
      <c r="A620" s="2">
        <v>619</v>
      </c>
      <c r="B620" s="4">
        <v>45410</v>
      </c>
      <c r="C620" s="2">
        <f t="shared" si="10"/>
        <v>1</v>
      </c>
      <c r="D620" s="2">
        <v>1</v>
      </c>
      <c r="E620" s="2">
        <f t="shared" si="11"/>
        <v>1</v>
      </c>
      <c r="F620" s="2" t="str">
        <f t="shared" si="12"/>
        <v>Sunday</v>
      </c>
      <c r="G620" s="2" t="s">
        <v>333</v>
      </c>
      <c r="H620" s="2">
        <v>4</v>
      </c>
      <c r="I620" s="2" t="e">
        <f t="shared" ca="1" si="14"/>
        <v>#NAME?</v>
      </c>
      <c r="J620" s="2" t="e">
        <f t="shared" ca="1" si="13"/>
        <v>#NAME?</v>
      </c>
    </row>
    <row r="621" spans="1:10" ht="15.75" customHeight="1" x14ac:dyDescent="0.2">
      <c r="A621" s="2">
        <v>620</v>
      </c>
      <c r="B621" s="4">
        <v>45411</v>
      </c>
      <c r="C621" s="2">
        <f t="shared" si="10"/>
        <v>0</v>
      </c>
      <c r="D621" s="2">
        <v>1</v>
      </c>
      <c r="E621" s="2">
        <f t="shared" si="11"/>
        <v>1</v>
      </c>
      <c r="F621" s="2" t="str">
        <f t="shared" si="12"/>
        <v>Monday</v>
      </c>
      <c r="G621" s="2" t="s">
        <v>333</v>
      </c>
      <c r="H621" s="2">
        <v>4</v>
      </c>
      <c r="I621" s="2" t="e">
        <f t="shared" ca="1" si="14"/>
        <v>#NAME?</v>
      </c>
      <c r="J621" s="2" t="e">
        <f t="shared" ca="1" si="13"/>
        <v>#NAME?</v>
      </c>
    </row>
    <row r="622" spans="1:10" ht="15.75" customHeight="1" x14ac:dyDescent="0.2">
      <c r="A622" s="2">
        <v>621</v>
      </c>
      <c r="B622" s="4">
        <v>45412</v>
      </c>
      <c r="C622" s="2">
        <f t="shared" si="10"/>
        <v>0</v>
      </c>
      <c r="D622" s="2">
        <v>1</v>
      </c>
      <c r="E622" s="2">
        <f t="shared" si="11"/>
        <v>1</v>
      </c>
      <c r="F622" s="2" t="str">
        <f t="shared" si="12"/>
        <v>Tuesday</v>
      </c>
      <c r="G622" s="2" t="s">
        <v>333</v>
      </c>
      <c r="H622" s="2">
        <v>4</v>
      </c>
      <c r="I622" s="2" t="e">
        <f t="shared" ca="1" si="14"/>
        <v>#NAME?</v>
      </c>
      <c r="J622" s="2" t="e">
        <f t="shared" ca="1" si="13"/>
        <v>#NAME?</v>
      </c>
    </row>
    <row r="623" spans="1:10" ht="15.75" customHeight="1" x14ac:dyDescent="0.2">
      <c r="A623" s="2">
        <v>622</v>
      </c>
      <c r="B623" s="4">
        <v>45413</v>
      </c>
      <c r="C623" s="2">
        <f t="shared" si="10"/>
        <v>0</v>
      </c>
      <c r="D623" s="2">
        <v>1</v>
      </c>
      <c r="E623" s="2">
        <f t="shared" si="11"/>
        <v>1</v>
      </c>
      <c r="F623" s="2" t="str">
        <f t="shared" si="12"/>
        <v>Wednesday</v>
      </c>
      <c r="G623" s="2" t="s">
        <v>333</v>
      </c>
      <c r="H623" s="2">
        <v>4</v>
      </c>
      <c r="I623" s="2" t="e">
        <f t="shared" ca="1" si="14"/>
        <v>#NAME?</v>
      </c>
      <c r="J623" s="2" t="e">
        <f t="shared" ca="1" si="13"/>
        <v>#NAME?</v>
      </c>
    </row>
    <row r="624" spans="1:10" ht="15.75" customHeight="1" x14ac:dyDescent="0.2">
      <c r="A624" s="2">
        <v>623</v>
      </c>
      <c r="B624" s="4">
        <v>45414</v>
      </c>
      <c r="C624" s="2">
        <f t="shared" si="10"/>
        <v>0</v>
      </c>
      <c r="D624" s="2">
        <v>1</v>
      </c>
      <c r="E624" s="2">
        <f t="shared" si="11"/>
        <v>1</v>
      </c>
      <c r="F624" s="2" t="str">
        <f t="shared" si="12"/>
        <v>Thursday</v>
      </c>
      <c r="G624" s="2" t="s">
        <v>333</v>
      </c>
      <c r="H624" s="2">
        <v>4</v>
      </c>
      <c r="I624" s="2" t="e">
        <f t="shared" ca="1" si="14"/>
        <v>#NAME?</v>
      </c>
      <c r="J624" s="2" t="e">
        <f t="shared" ca="1" si="13"/>
        <v>#NAME?</v>
      </c>
    </row>
    <row r="625" spans="1:10" ht="15.75" customHeight="1" x14ac:dyDescent="0.2">
      <c r="A625" s="2">
        <v>624</v>
      </c>
      <c r="B625" s="4">
        <v>45415</v>
      </c>
      <c r="C625" s="2">
        <f t="shared" si="10"/>
        <v>0</v>
      </c>
      <c r="D625" s="2">
        <v>1</v>
      </c>
      <c r="E625" s="2">
        <f t="shared" si="11"/>
        <v>1</v>
      </c>
      <c r="F625" s="2" t="str">
        <f t="shared" si="12"/>
        <v>Friday</v>
      </c>
      <c r="G625" s="2" t="s">
        <v>333</v>
      </c>
      <c r="H625" s="2">
        <v>4</v>
      </c>
      <c r="I625" s="2" t="e">
        <f t="shared" ca="1" si="14"/>
        <v>#NAME?</v>
      </c>
      <c r="J625" s="2" t="e">
        <f t="shared" ca="1" si="13"/>
        <v>#NAME?</v>
      </c>
    </row>
    <row r="626" spans="1:10" ht="15.75" customHeight="1" x14ac:dyDescent="0.2">
      <c r="A626" s="2">
        <v>625</v>
      </c>
      <c r="B626" s="4">
        <v>45416</v>
      </c>
      <c r="C626" s="2">
        <f t="shared" si="10"/>
        <v>1</v>
      </c>
      <c r="D626" s="2">
        <v>1</v>
      </c>
      <c r="E626" s="2">
        <f t="shared" si="11"/>
        <v>1</v>
      </c>
      <c r="F626" s="2" t="str">
        <f t="shared" si="12"/>
        <v>Saturday</v>
      </c>
      <c r="G626" s="2" t="s">
        <v>333</v>
      </c>
      <c r="H626" s="2">
        <v>4</v>
      </c>
      <c r="I626" s="2" t="e">
        <f t="shared" ca="1" si="14"/>
        <v>#NAME?</v>
      </c>
      <c r="J626" s="2" t="e">
        <f t="shared" ca="1" si="13"/>
        <v>#NAME?</v>
      </c>
    </row>
    <row r="627" spans="1:10" ht="15.75" customHeight="1" x14ac:dyDescent="0.2">
      <c r="A627" s="2">
        <v>626</v>
      </c>
      <c r="B627" s="4">
        <v>45417</v>
      </c>
      <c r="C627" s="2">
        <f t="shared" si="10"/>
        <v>1</v>
      </c>
      <c r="D627" s="2">
        <v>1</v>
      </c>
      <c r="E627" s="2">
        <f t="shared" si="11"/>
        <v>1</v>
      </c>
      <c r="F627" s="2" t="str">
        <f t="shared" si="12"/>
        <v>Sunday</v>
      </c>
      <c r="G627" s="2" t="s">
        <v>333</v>
      </c>
      <c r="H627" s="2">
        <v>4</v>
      </c>
      <c r="I627" s="2" t="e">
        <f t="shared" ca="1" si="14"/>
        <v>#NAME?</v>
      </c>
      <c r="J627" s="2" t="e">
        <f t="shared" ca="1" si="13"/>
        <v>#NAME?</v>
      </c>
    </row>
    <row r="628" spans="1:10" ht="15.75" customHeight="1" x14ac:dyDescent="0.2">
      <c r="A628" s="2">
        <v>627</v>
      </c>
      <c r="B628" s="4">
        <v>45418</v>
      </c>
      <c r="C628" s="2">
        <f t="shared" si="10"/>
        <v>0</v>
      </c>
      <c r="D628" s="2">
        <v>1</v>
      </c>
      <c r="E628" s="2">
        <f t="shared" si="11"/>
        <v>1</v>
      </c>
      <c r="F628" s="2" t="str">
        <f t="shared" si="12"/>
        <v>Monday</v>
      </c>
      <c r="G628" s="2" t="s">
        <v>330</v>
      </c>
      <c r="H628" s="2">
        <v>5</v>
      </c>
      <c r="I628" s="2" t="e">
        <f t="shared" ca="1" si="14"/>
        <v>#NAME?</v>
      </c>
      <c r="J628" s="2" t="e">
        <f t="shared" ca="1" si="13"/>
        <v>#NAME?</v>
      </c>
    </row>
    <row r="629" spans="1:10" ht="15.75" customHeight="1" x14ac:dyDescent="0.2">
      <c r="A629" s="2">
        <v>628</v>
      </c>
      <c r="B629" s="4">
        <v>45419</v>
      </c>
      <c r="C629" s="2">
        <f t="shared" si="10"/>
        <v>0</v>
      </c>
      <c r="D629" s="2">
        <v>0</v>
      </c>
      <c r="E629" s="2">
        <f t="shared" si="11"/>
        <v>0</v>
      </c>
      <c r="F629" s="2" t="str">
        <f t="shared" si="12"/>
        <v>Tuesday</v>
      </c>
      <c r="H629" s="2">
        <v>5</v>
      </c>
      <c r="I629" s="2" t="e">
        <f t="shared" ca="1" si="14"/>
        <v>#NAME?</v>
      </c>
      <c r="J629" s="2" t="e">
        <f t="shared" ca="1" si="13"/>
        <v>#NAME?</v>
      </c>
    </row>
    <row r="630" spans="1:10" ht="15.75" customHeight="1" x14ac:dyDescent="0.2">
      <c r="A630" s="2">
        <v>629</v>
      </c>
      <c r="B630" s="4">
        <v>45420</v>
      </c>
      <c r="C630" s="2">
        <f t="shared" si="10"/>
        <v>0</v>
      </c>
      <c r="D630" s="2">
        <v>0</v>
      </c>
      <c r="E630" s="2">
        <f t="shared" si="11"/>
        <v>0</v>
      </c>
      <c r="F630" s="2" t="str">
        <f t="shared" si="12"/>
        <v>Wednesday</v>
      </c>
      <c r="H630" s="2">
        <v>5</v>
      </c>
      <c r="I630" s="2" t="e">
        <f t="shared" ca="1" si="14"/>
        <v>#NAME?</v>
      </c>
      <c r="J630" s="2" t="e">
        <f t="shared" ca="1" si="13"/>
        <v>#NAME?</v>
      </c>
    </row>
    <row r="631" spans="1:10" ht="15.75" customHeight="1" x14ac:dyDescent="0.2">
      <c r="A631" s="2">
        <v>630</v>
      </c>
      <c r="B631" s="4">
        <v>45421</v>
      </c>
      <c r="C631" s="2">
        <f t="shared" si="10"/>
        <v>0</v>
      </c>
      <c r="D631" s="2">
        <v>0</v>
      </c>
      <c r="E631" s="2">
        <f t="shared" si="11"/>
        <v>0</v>
      </c>
      <c r="F631" s="2" t="str">
        <f t="shared" si="12"/>
        <v>Thursday</v>
      </c>
      <c r="H631" s="2">
        <v>5</v>
      </c>
      <c r="I631" s="2" t="e">
        <f t="shared" ca="1" si="14"/>
        <v>#NAME?</v>
      </c>
      <c r="J631" s="2" t="e">
        <f t="shared" ca="1" si="13"/>
        <v>#NAME?</v>
      </c>
    </row>
    <row r="632" spans="1:10" ht="15.75" customHeight="1" x14ac:dyDescent="0.2">
      <c r="A632" s="2">
        <v>631</v>
      </c>
      <c r="B632" s="4">
        <v>45422</v>
      </c>
      <c r="C632" s="2">
        <f t="shared" si="10"/>
        <v>0</v>
      </c>
      <c r="D632" s="2">
        <v>0</v>
      </c>
      <c r="E632" s="2">
        <f t="shared" si="11"/>
        <v>0</v>
      </c>
      <c r="F632" s="2" t="str">
        <f t="shared" si="12"/>
        <v>Friday</v>
      </c>
      <c r="H632" s="2">
        <v>5</v>
      </c>
      <c r="I632" s="2" t="e">
        <f t="shared" ca="1" si="14"/>
        <v>#NAME?</v>
      </c>
      <c r="J632" s="2" t="e">
        <f t="shared" ca="1" si="13"/>
        <v>#NAME?</v>
      </c>
    </row>
    <row r="633" spans="1:10" ht="15.75" customHeight="1" x14ac:dyDescent="0.2">
      <c r="A633" s="2">
        <v>632</v>
      </c>
      <c r="B633" s="4">
        <v>45423</v>
      </c>
      <c r="C633" s="2">
        <f t="shared" si="10"/>
        <v>1</v>
      </c>
      <c r="D633" s="2">
        <v>0</v>
      </c>
      <c r="E633" s="2">
        <f t="shared" si="11"/>
        <v>1</v>
      </c>
      <c r="F633" s="2" t="str">
        <f t="shared" si="12"/>
        <v>Saturday</v>
      </c>
      <c r="H633" s="2">
        <v>5</v>
      </c>
      <c r="I633" s="2" t="e">
        <f t="shared" ca="1" si="14"/>
        <v>#NAME?</v>
      </c>
      <c r="J633" s="2" t="e">
        <f t="shared" ca="1" si="13"/>
        <v>#NAME?</v>
      </c>
    </row>
    <row r="634" spans="1:10" ht="15.75" customHeight="1" x14ac:dyDescent="0.2">
      <c r="A634" s="2">
        <v>633</v>
      </c>
      <c r="B634" s="4">
        <v>45424</v>
      </c>
      <c r="C634" s="2">
        <f t="shared" si="10"/>
        <v>1</v>
      </c>
      <c r="D634" s="2">
        <v>0</v>
      </c>
      <c r="E634" s="2">
        <f t="shared" si="11"/>
        <v>1</v>
      </c>
      <c r="F634" s="2" t="str">
        <f t="shared" si="12"/>
        <v>Sunday</v>
      </c>
      <c r="H634" s="2">
        <v>5</v>
      </c>
      <c r="I634" s="2" t="e">
        <f t="shared" ca="1" si="14"/>
        <v>#NAME?</v>
      </c>
      <c r="J634" s="2" t="e">
        <f t="shared" ca="1" si="13"/>
        <v>#NAME?</v>
      </c>
    </row>
    <row r="635" spans="1:10" ht="15.75" customHeight="1" x14ac:dyDescent="0.2">
      <c r="A635" s="2">
        <v>634</v>
      </c>
      <c r="B635" s="4">
        <v>45425</v>
      </c>
      <c r="C635" s="2">
        <f t="shared" si="10"/>
        <v>0</v>
      </c>
      <c r="D635" s="2">
        <v>0</v>
      </c>
      <c r="E635" s="2">
        <f t="shared" si="11"/>
        <v>0</v>
      </c>
      <c r="F635" s="2" t="str">
        <f t="shared" si="12"/>
        <v>Monday</v>
      </c>
      <c r="H635" s="2">
        <v>5</v>
      </c>
      <c r="I635" s="2" t="e">
        <f t="shared" ca="1" si="14"/>
        <v>#NAME?</v>
      </c>
      <c r="J635" s="2" t="e">
        <f t="shared" ca="1" si="13"/>
        <v>#NAME?</v>
      </c>
    </row>
    <row r="636" spans="1:10" ht="15.75" customHeight="1" x14ac:dyDescent="0.2">
      <c r="A636" s="2">
        <v>635</v>
      </c>
      <c r="B636" s="4">
        <v>45426</v>
      </c>
      <c r="C636" s="2">
        <f t="shared" si="10"/>
        <v>0</v>
      </c>
      <c r="D636" s="2">
        <v>0</v>
      </c>
      <c r="E636" s="2">
        <f t="shared" si="11"/>
        <v>0</v>
      </c>
      <c r="F636" s="2" t="str">
        <f t="shared" si="12"/>
        <v>Tuesday</v>
      </c>
      <c r="H636" s="2">
        <v>5</v>
      </c>
      <c r="I636" s="2" t="e">
        <f t="shared" ca="1" si="14"/>
        <v>#NAME?</v>
      </c>
      <c r="J636" s="2" t="e">
        <f t="shared" ca="1" si="13"/>
        <v>#NAME?</v>
      </c>
    </row>
    <row r="637" spans="1:10" ht="15.75" customHeight="1" x14ac:dyDescent="0.2">
      <c r="A637" s="2">
        <v>636</v>
      </c>
      <c r="B637" s="4">
        <v>45427</v>
      </c>
      <c r="C637" s="2">
        <f t="shared" si="10"/>
        <v>0</v>
      </c>
      <c r="D637" s="2">
        <v>0</v>
      </c>
      <c r="E637" s="2">
        <f t="shared" si="11"/>
        <v>0</v>
      </c>
      <c r="F637" s="2" t="str">
        <f t="shared" si="12"/>
        <v>Wednesday</v>
      </c>
      <c r="H637" s="2">
        <v>5</v>
      </c>
      <c r="I637" s="2" t="e">
        <f t="shared" ca="1" si="14"/>
        <v>#NAME?</v>
      </c>
      <c r="J637" s="2" t="e">
        <f t="shared" ca="1" si="13"/>
        <v>#NAME?</v>
      </c>
    </row>
    <row r="638" spans="1:10" ht="15.75" customHeight="1" x14ac:dyDescent="0.2">
      <c r="A638" s="2">
        <v>637</v>
      </c>
      <c r="B638" s="4">
        <v>45428</v>
      </c>
      <c r="C638" s="2">
        <f t="shared" si="10"/>
        <v>0</v>
      </c>
      <c r="D638" s="2">
        <v>0</v>
      </c>
      <c r="E638" s="2">
        <f t="shared" si="11"/>
        <v>0</v>
      </c>
      <c r="F638" s="2" t="str">
        <f t="shared" si="12"/>
        <v>Thursday</v>
      </c>
      <c r="H638" s="2">
        <v>5</v>
      </c>
      <c r="I638" s="2" t="e">
        <f t="shared" ca="1" si="14"/>
        <v>#NAME?</v>
      </c>
      <c r="J638" s="2" t="e">
        <f t="shared" ca="1" si="13"/>
        <v>#NAME?</v>
      </c>
    </row>
    <row r="639" spans="1:10" ht="15.75" customHeight="1" x14ac:dyDescent="0.2">
      <c r="A639" s="2">
        <v>638</v>
      </c>
      <c r="B639" s="4">
        <v>45429</v>
      </c>
      <c r="C639" s="2">
        <f t="shared" si="10"/>
        <v>0</v>
      </c>
      <c r="D639" s="2">
        <v>0</v>
      </c>
      <c r="E639" s="2">
        <f t="shared" si="11"/>
        <v>0</v>
      </c>
      <c r="F639" s="2" t="str">
        <f t="shared" si="12"/>
        <v>Friday</v>
      </c>
      <c r="H639" s="2">
        <v>5</v>
      </c>
      <c r="I639" s="2" t="e">
        <f t="shared" ca="1" si="14"/>
        <v>#NAME?</v>
      </c>
      <c r="J639" s="2" t="e">
        <f t="shared" ca="1" si="13"/>
        <v>#NAME?</v>
      </c>
    </row>
    <row r="640" spans="1:10" ht="15.75" customHeight="1" x14ac:dyDescent="0.2">
      <c r="A640" s="2">
        <v>639</v>
      </c>
      <c r="B640" s="4">
        <v>45430</v>
      </c>
      <c r="C640" s="2">
        <f t="shared" si="10"/>
        <v>1</v>
      </c>
      <c r="D640" s="2">
        <v>0</v>
      </c>
      <c r="E640" s="2">
        <f t="shared" si="11"/>
        <v>1</v>
      </c>
      <c r="F640" s="2" t="str">
        <f t="shared" si="12"/>
        <v>Saturday</v>
      </c>
      <c r="H640" s="2">
        <v>5</v>
      </c>
      <c r="I640" s="2" t="e">
        <f t="shared" ca="1" si="14"/>
        <v>#NAME?</v>
      </c>
      <c r="J640" s="2" t="e">
        <f t="shared" ca="1" si="13"/>
        <v>#NAME?</v>
      </c>
    </row>
    <row r="641" spans="1:10" ht="15.75" customHeight="1" x14ac:dyDescent="0.2">
      <c r="A641" s="2">
        <v>640</v>
      </c>
      <c r="B641" s="4">
        <v>45431</v>
      </c>
      <c r="C641" s="2">
        <f t="shared" si="10"/>
        <v>1</v>
      </c>
      <c r="D641" s="2">
        <v>0</v>
      </c>
      <c r="E641" s="2">
        <f t="shared" si="11"/>
        <v>1</v>
      </c>
      <c r="F641" s="2" t="str">
        <f t="shared" si="12"/>
        <v>Sunday</v>
      </c>
      <c r="H641" s="2">
        <v>5</v>
      </c>
      <c r="I641" s="2" t="e">
        <f t="shared" ca="1" si="14"/>
        <v>#NAME?</v>
      </c>
      <c r="J641" s="2" t="e">
        <f t="shared" ca="1" si="13"/>
        <v>#NAME?</v>
      </c>
    </row>
    <row r="642" spans="1:10" ht="15.75" customHeight="1" x14ac:dyDescent="0.2">
      <c r="A642" s="2">
        <v>641</v>
      </c>
      <c r="B642" s="4">
        <v>45432</v>
      </c>
      <c r="C642" s="2">
        <f t="shared" si="10"/>
        <v>0</v>
      </c>
      <c r="D642" s="2">
        <v>0</v>
      </c>
      <c r="E642" s="2">
        <f t="shared" si="11"/>
        <v>0</v>
      </c>
      <c r="F642" s="2" t="str">
        <f t="shared" si="12"/>
        <v>Monday</v>
      </c>
      <c r="H642" s="2">
        <v>5</v>
      </c>
      <c r="I642" s="2" t="e">
        <f t="shared" ca="1" si="14"/>
        <v>#NAME?</v>
      </c>
      <c r="J642" s="2" t="e">
        <f t="shared" ca="1" si="13"/>
        <v>#NAME?</v>
      </c>
    </row>
    <row r="643" spans="1:10" ht="15.75" customHeight="1" x14ac:dyDescent="0.2">
      <c r="A643" s="2">
        <v>642</v>
      </c>
      <c r="B643" s="4">
        <v>45433</v>
      </c>
      <c r="C643" s="2">
        <f t="shared" si="10"/>
        <v>0</v>
      </c>
      <c r="D643" s="2">
        <v>0</v>
      </c>
      <c r="E643" s="2">
        <f t="shared" si="11"/>
        <v>0</v>
      </c>
      <c r="F643" s="2" t="str">
        <f t="shared" si="12"/>
        <v>Tuesday</v>
      </c>
      <c r="H643" s="2">
        <v>5</v>
      </c>
      <c r="I643" s="2" t="e">
        <f t="shared" ca="1" si="14"/>
        <v>#NAME?</v>
      </c>
      <c r="J643" s="2" t="e">
        <f t="shared" ca="1" si="13"/>
        <v>#NAME?</v>
      </c>
    </row>
    <row r="644" spans="1:10" ht="15.75" customHeight="1" x14ac:dyDescent="0.2">
      <c r="A644" s="2">
        <v>643</v>
      </c>
      <c r="B644" s="4">
        <v>45434</v>
      </c>
      <c r="C644" s="2">
        <f t="shared" si="10"/>
        <v>0</v>
      </c>
      <c r="D644" s="2">
        <v>0</v>
      </c>
      <c r="E644" s="2">
        <f t="shared" si="11"/>
        <v>0</v>
      </c>
      <c r="F644" s="2" t="str">
        <f t="shared" si="12"/>
        <v>Wednesday</v>
      </c>
      <c r="H644" s="2">
        <v>5</v>
      </c>
      <c r="I644" s="2" t="e">
        <f t="shared" ca="1" si="14"/>
        <v>#NAME?</v>
      </c>
      <c r="J644" s="2" t="e">
        <f t="shared" ca="1" si="13"/>
        <v>#NAME?</v>
      </c>
    </row>
    <row r="645" spans="1:10" ht="15.75" customHeight="1" x14ac:dyDescent="0.2">
      <c r="A645" s="2">
        <v>644</v>
      </c>
      <c r="B645" s="4">
        <v>45435</v>
      </c>
      <c r="C645" s="2">
        <f t="shared" si="10"/>
        <v>0</v>
      </c>
      <c r="D645" s="2">
        <v>0</v>
      </c>
      <c r="E645" s="2">
        <f t="shared" si="11"/>
        <v>0</v>
      </c>
      <c r="F645" s="2" t="str">
        <f t="shared" si="12"/>
        <v>Thursday</v>
      </c>
      <c r="H645" s="2">
        <v>5</v>
      </c>
      <c r="I645" s="2" t="e">
        <f t="shared" ca="1" si="14"/>
        <v>#NAME?</v>
      </c>
      <c r="J645" s="2" t="e">
        <f t="shared" ca="1" si="13"/>
        <v>#NAME?</v>
      </c>
    </row>
    <row r="646" spans="1:10" ht="15.75" customHeight="1" x14ac:dyDescent="0.2">
      <c r="A646" s="2">
        <v>645</v>
      </c>
      <c r="B646" s="4">
        <v>45436</v>
      </c>
      <c r="C646" s="2">
        <f t="shared" si="10"/>
        <v>0</v>
      </c>
      <c r="D646" s="2">
        <v>0</v>
      </c>
      <c r="E646" s="2">
        <f t="shared" si="11"/>
        <v>0</v>
      </c>
      <c r="F646" s="2" t="str">
        <f t="shared" si="12"/>
        <v>Friday</v>
      </c>
      <c r="H646" s="2">
        <v>5</v>
      </c>
      <c r="I646" s="2" t="e">
        <f t="shared" ca="1" si="14"/>
        <v>#NAME?</v>
      </c>
      <c r="J646" s="2" t="e">
        <f t="shared" ca="1" si="13"/>
        <v>#NAME?</v>
      </c>
    </row>
    <row r="647" spans="1:10" ht="15.75" customHeight="1" x14ac:dyDescent="0.2">
      <c r="A647" s="2">
        <v>646</v>
      </c>
      <c r="B647" s="4">
        <v>45437</v>
      </c>
      <c r="C647" s="2">
        <f t="shared" si="10"/>
        <v>1</v>
      </c>
      <c r="D647" s="2">
        <v>0</v>
      </c>
      <c r="E647" s="2">
        <f t="shared" si="11"/>
        <v>1</v>
      </c>
      <c r="F647" s="2" t="str">
        <f t="shared" si="12"/>
        <v>Saturday</v>
      </c>
      <c r="H647" s="2">
        <v>5</v>
      </c>
      <c r="I647" s="2" t="e">
        <f t="shared" ca="1" si="14"/>
        <v>#NAME?</v>
      </c>
      <c r="J647" s="2" t="e">
        <f t="shared" ca="1" si="13"/>
        <v>#NAME?</v>
      </c>
    </row>
    <row r="648" spans="1:10" ht="15.75" customHeight="1" x14ac:dyDescent="0.2">
      <c r="A648" s="2">
        <v>647</v>
      </c>
      <c r="B648" s="4">
        <v>45438</v>
      </c>
      <c r="C648" s="2">
        <f t="shared" si="10"/>
        <v>1</v>
      </c>
      <c r="D648" s="2">
        <v>0</v>
      </c>
      <c r="E648" s="2">
        <f t="shared" si="11"/>
        <v>1</v>
      </c>
      <c r="F648" s="2" t="str">
        <f t="shared" si="12"/>
        <v>Sunday</v>
      </c>
      <c r="H648" s="2">
        <v>5</v>
      </c>
      <c r="I648" s="2" t="e">
        <f t="shared" ca="1" si="14"/>
        <v>#NAME?</v>
      </c>
      <c r="J648" s="2" t="e">
        <f t="shared" ca="1" si="13"/>
        <v>#NAME?</v>
      </c>
    </row>
    <row r="649" spans="1:10" ht="15.75" customHeight="1" x14ac:dyDescent="0.2">
      <c r="A649" s="2">
        <v>648</v>
      </c>
      <c r="B649" s="4">
        <v>45439</v>
      </c>
      <c r="C649" s="2">
        <f t="shared" si="10"/>
        <v>0</v>
      </c>
      <c r="D649" s="2">
        <v>0</v>
      </c>
      <c r="E649" s="2">
        <f t="shared" si="11"/>
        <v>0</v>
      </c>
      <c r="F649" s="2" t="str">
        <f t="shared" si="12"/>
        <v>Monday</v>
      </c>
      <c r="H649" s="2">
        <v>5</v>
      </c>
      <c r="I649" s="2" t="e">
        <f t="shared" ca="1" si="14"/>
        <v>#NAME?</v>
      </c>
      <c r="J649" s="2" t="e">
        <f t="shared" ca="1" si="13"/>
        <v>#NAME?</v>
      </c>
    </row>
    <row r="650" spans="1:10" ht="15.75" customHeight="1" x14ac:dyDescent="0.2">
      <c r="A650" s="2">
        <v>649</v>
      </c>
      <c r="B650" s="4">
        <v>45440</v>
      </c>
      <c r="C650" s="2">
        <f t="shared" si="10"/>
        <v>0</v>
      </c>
      <c r="D650" s="2">
        <v>0</v>
      </c>
      <c r="E650" s="2">
        <f t="shared" si="11"/>
        <v>0</v>
      </c>
      <c r="F650" s="2" t="str">
        <f t="shared" si="12"/>
        <v>Tuesday</v>
      </c>
      <c r="H650" s="2">
        <v>5</v>
      </c>
      <c r="I650" s="2" t="e">
        <f t="shared" ca="1" si="14"/>
        <v>#NAME?</v>
      </c>
      <c r="J650" s="2" t="e">
        <f t="shared" ca="1" si="13"/>
        <v>#NAME?</v>
      </c>
    </row>
    <row r="651" spans="1:10" ht="15.75" customHeight="1" x14ac:dyDescent="0.2">
      <c r="A651" s="2">
        <v>650</v>
      </c>
      <c r="B651" s="4">
        <v>45441</v>
      </c>
      <c r="C651" s="2">
        <f t="shared" si="10"/>
        <v>0</v>
      </c>
      <c r="D651" s="2">
        <v>0</v>
      </c>
      <c r="E651" s="2">
        <f t="shared" si="11"/>
        <v>0</v>
      </c>
      <c r="F651" s="2" t="str">
        <f t="shared" si="12"/>
        <v>Wednesday</v>
      </c>
      <c r="H651" s="2">
        <v>5</v>
      </c>
      <c r="I651" s="2" t="e">
        <f t="shared" ca="1" si="14"/>
        <v>#NAME?</v>
      </c>
      <c r="J651" s="2" t="e">
        <f t="shared" ca="1" si="13"/>
        <v>#NAME?</v>
      </c>
    </row>
    <row r="652" spans="1:10" ht="15.75" customHeight="1" x14ac:dyDescent="0.2">
      <c r="A652" s="2">
        <v>651</v>
      </c>
      <c r="B652" s="4">
        <v>45442</v>
      </c>
      <c r="C652" s="2">
        <f t="shared" si="10"/>
        <v>0</v>
      </c>
      <c r="D652" s="2">
        <v>0</v>
      </c>
      <c r="E652" s="2">
        <f t="shared" si="11"/>
        <v>0</v>
      </c>
      <c r="F652" s="2" t="str">
        <f t="shared" si="12"/>
        <v>Thursday</v>
      </c>
      <c r="H652" s="2">
        <v>5</v>
      </c>
      <c r="I652" s="2" t="e">
        <f t="shared" ca="1" si="14"/>
        <v>#NAME?</v>
      </c>
      <c r="J652" s="2" t="e">
        <f t="shared" ca="1" si="13"/>
        <v>#NAME?</v>
      </c>
    </row>
    <row r="653" spans="1:10" ht="15.75" customHeight="1" x14ac:dyDescent="0.2">
      <c r="A653" s="2">
        <v>652</v>
      </c>
      <c r="B653" s="4">
        <v>45443</v>
      </c>
      <c r="C653" s="2">
        <f t="shared" si="10"/>
        <v>0</v>
      </c>
      <c r="D653" s="2">
        <v>0</v>
      </c>
      <c r="E653" s="2">
        <f t="shared" si="11"/>
        <v>0</v>
      </c>
      <c r="F653" s="2" t="str">
        <f t="shared" si="12"/>
        <v>Friday</v>
      </c>
      <c r="H653" s="2">
        <v>5</v>
      </c>
      <c r="I653" s="2" t="e">
        <f t="shared" ca="1" si="14"/>
        <v>#NAME?</v>
      </c>
      <c r="J653" s="2" t="e">
        <f t="shared" ca="1" si="13"/>
        <v>#NAME?</v>
      </c>
    </row>
    <row r="654" spans="1:10" ht="15.75" customHeight="1" x14ac:dyDescent="0.2">
      <c r="A654" s="2">
        <v>653</v>
      </c>
      <c r="B654" s="4">
        <v>45444</v>
      </c>
      <c r="C654" s="2">
        <f t="shared" si="10"/>
        <v>1</v>
      </c>
      <c r="D654" s="2">
        <v>0</v>
      </c>
      <c r="E654" s="2">
        <f t="shared" si="11"/>
        <v>1</v>
      </c>
      <c r="F654" s="2" t="str">
        <f t="shared" si="12"/>
        <v>Saturday</v>
      </c>
      <c r="H654" s="2">
        <v>5</v>
      </c>
      <c r="I654" s="2" t="e">
        <f t="shared" ca="1" si="14"/>
        <v>#NAME?</v>
      </c>
      <c r="J654" s="2" t="e">
        <f t="shared" ca="1" si="13"/>
        <v>#NAME?</v>
      </c>
    </row>
    <row r="655" spans="1:10" ht="15.75" customHeight="1" x14ac:dyDescent="0.2">
      <c r="A655" s="2">
        <v>654</v>
      </c>
      <c r="B655" s="4">
        <v>45445</v>
      </c>
      <c r="C655" s="2">
        <f t="shared" si="10"/>
        <v>1</v>
      </c>
      <c r="D655" s="2">
        <v>0</v>
      </c>
      <c r="E655" s="2">
        <f t="shared" si="11"/>
        <v>1</v>
      </c>
      <c r="F655" s="2" t="str">
        <f t="shared" si="12"/>
        <v>Sunday</v>
      </c>
      <c r="H655" s="2">
        <v>5</v>
      </c>
      <c r="I655" s="2" t="e">
        <f t="shared" ca="1" si="14"/>
        <v>#NAME?</v>
      </c>
      <c r="J655" s="2" t="e">
        <f t="shared" ca="1" si="13"/>
        <v>#NAME?</v>
      </c>
    </row>
    <row r="656" spans="1:10" ht="15.75" customHeight="1" x14ac:dyDescent="0.2">
      <c r="A656" s="2">
        <v>655</v>
      </c>
      <c r="B656" s="4">
        <v>45446</v>
      </c>
      <c r="C656" s="2">
        <f t="shared" si="10"/>
        <v>0</v>
      </c>
      <c r="D656" s="2">
        <v>0</v>
      </c>
      <c r="E656" s="2">
        <f t="shared" si="11"/>
        <v>0</v>
      </c>
      <c r="F656" s="2" t="str">
        <f t="shared" si="12"/>
        <v>Monday</v>
      </c>
      <c r="H656" s="2">
        <v>5</v>
      </c>
      <c r="I656" s="2" t="e">
        <f t="shared" ca="1" si="14"/>
        <v>#NAME?</v>
      </c>
      <c r="J656" s="2" t="e">
        <f t="shared" ca="1" si="13"/>
        <v>#NAME?</v>
      </c>
    </row>
    <row r="657" spans="1:10" ht="15.75" customHeight="1" x14ac:dyDescent="0.2">
      <c r="A657" s="2">
        <v>656</v>
      </c>
      <c r="B657" s="4">
        <v>45447</v>
      </c>
      <c r="C657" s="2">
        <f t="shared" si="10"/>
        <v>0</v>
      </c>
      <c r="D657" s="2">
        <v>0</v>
      </c>
      <c r="E657" s="2">
        <f t="shared" si="11"/>
        <v>0</v>
      </c>
      <c r="F657" s="2" t="str">
        <f t="shared" si="12"/>
        <v>Tuesday</v>
      </c>
      <c r="H657" s="2">
        <v>5</v>
      </c>
      <c r="I657" s="2" t="e">
        <f t="shared" ca="1" si="14"/>
        <v>#NAME?</v>
      </c>
      <c r="J657" s="2" t="e">
        <f t="shared" ca="1" si="13"/>
        <v>#NAME?</v>
      </c>
    </row>
    <row r="658" spans="1:10" ht="15.75" customHeight="1" x14ac:dyDescent="0.2">
      <c r="A658" s="2">
        <v>657</v>
      </c>
      <c r="B658" s="4">
        <v>45448</v>
      </c>
      <c r="C658" s="2">
        <f t="shared" si="10"/>
        <v>0</v>
      </c>
      <c r="D658" s="2">
        <v>0</v>
      </c>
      <c r="E658" s="2">
        <f t="shared" si="11"/>
        <v>0</v>
      </c>
      <c r="F658" s="2" t="str">
        <f t="shared" si="12"/>
        <v>Wednesday</v>
      </c>
      <c r="H658" s="2">
        <v>5</v>
      </c>
      <c r="I658" s="2" t="e">
        <f t="shared" ca="1" si="14"/>
        <v>#NAME?</v>
      </c>
      <c r="J658" s="2" t="e">
        <f t="shared" ca="1" si="13"/>
        <v>#NAME?</v>
      </c>
    </row>
    <row r="659" spans="1:10" ht="15.75" customHeight="1" x14ac:dyDescent="0.2">
      <c r="A659" s="2">
        <v>658</v>
      </c>
      <c r="B659" s="4">
        <v>45449</v>
      </c>
      <c r="C659" s="2">
        <f t="shared" si="10"/>
        <v>0</v>
      </c>
      <c r="D659" s="2">
        <v>0</v>
      </c>
      <c r="E659" s="2">
        <f t="shared" si="11"/>
        <v>0</v>
      </c>
      <c r="F659" s="2" t="str">
        <f t="shared" si="12"/>
        <v>Thursday</v>
      </c>
      <c r="H659" s="2">
        <v>5</v>
      </c>
      <c r="I659" s="2" t="e">
        <f t="shared" ca="1" si="14"/>
        <v>#NAME?</v>
      </c>
      <c r="J659" s="2" t="e">
        <f t="shared" ca="1" si="13"/>
        <v>#NAME?</v>
      </c>
    </row>
    <row r="660" spans="1:10" ht="15.75" customHeight="1" x14ac:dyDescent="0.2">
      <c r="A660" s="2">
        <v>659</v>
      </c>
      <c r="B660" s="4">
        <v>45450</v>
      </c>
      <c r="C660" s="2">
        <f t="shared" si="10"/>
        <v>0</v>
      </c>
      <c r="D660" s="2">
        <v>0</v>
      </c>
      <c r="E660" s="2">
        <f t="shared" si="11"/>
        <v>0</v>
      </c>
      <c r="F660" s="2" t="str">
        <f t="shared" si="12"/>
        <v>Friday</v>
      </c>
      <c r="H660" s="2">
        <v>5</v>
      </c>
      <c r="I660" s="2" t="e">
        <f t="shared" ca="1" si="14"/>
        <v>#NAME?</v>
      </c>
      <c r="J660" s="2" t="e">
        <f t="shared" ca="1" si="13"/>
        <v>#NAME?</v>
      </c>
    </row>
    <row r="661" spans="1:10" ht="15.75" customHeight="1" x14ac:dyDescent="0.2">
      <c r="A661" s="2">
        <v>660</v>
      </c>
      <c r="B661" s="4">
        <v>45451</v>
      </c>
      <c r="C661" s="2">
        <f t="shared" si="10"/>
        <v>1</v>
      </c>
      <c r="D661" s="2">
        <v>0</v>
      </c>
      <c r="E661" s="2">
        <f t="shared" si="11"/>
        <v>1</v>
      </c>
      <c r="F661" s="2" t="str">
        <f t="shared" si="12"/>
        <v>Saturday</v>
      </c>
      <c r="H661" s="2">
        <v>5</v>
      </c>
      <c r="I661" s="2" t="e">
        <f t="shared" ca="1" si="14"/>
        <v>#NAME?</v>
      </c>
      <c r="J661" s="2" t="e">
        <f t="shared" ca="1" si="13"/>
        <v>#NAME?</v>
      </c>
    </row>
    <row r="662" spans="1:10" ht="15.75" customHeight="1" x14ac:dyDescent="0.2">
      <c r="A662" s="2">
        <v>661</v>
      </c>
      <c r="B662" s="4">
        <v>45452</v>
      </c>
      <c r="C662" s="2">
        <f t="shared" si="10"/>
        <v>1</v>
      </c>
      <c r="D662" s="2">
        <v>0</v>
      </c>
      <c r="E662" s="2">
        <f t="shared" si="11"/>
        <v>1</v>
      </c>
      <c r="F662" s="2" t="str">
        <f t="shared" si="12"/>
        <v>Sunday</v>
      </c>
      <c r="H662" s="2">
        <v>5</v>
      </c>
      <c r="I662" s="2" t="e">
        <f t="shared" ca="1" si="14"/>
        <v>#NAME?</v>
      </c>
      <c r="J662" s="2" t="e">
        <f t="shared" ca="1" si="13"/>
        <v>#NAME?</v>
      </c>
    </row>
    <row r="663" spans="1:10" ht="15.75" customHeight="1" x14ac:dyDescent="0.2">
      <c r="A663" s="2">
        <v>662</v>
      </c>
      <c r="B663" s="4">
        <v>45453</v>
      </c>
      <c r="C663" s="2">
        <f t="shared" si="10"/>
        <v>0</v>
      </c>
      <c r="D663" s="2">
        <v>0</v>
      </c>
      <c r="E663" s="2">
        <f t="shared" si="11"/>
        <v>0</v>
      </c>
      <c r="F663" s="2" t="str">
        <f t="shared" si="12"/>
        <v>Monday</v>
      </c>
      <c r="H663" s="2">
        <v>5</v>
      </c>
      <c r="I663" s="2" t="e">
        <f t="shared" ca="1" si="14"/>
        <v>#NAME?</v>
      </c>
      <c r="J663" s="2" t="e">
        <f t="shared" ca="1" si="13"/>
        <v>#NAME?</v>
      </c>
    </row>
    <row r="664" spans="1:10" ht="15.75" customHeight="1" x14ac:dyDescent="0.2">
      <c r="A664" s="2">
        <v>663</v>
      </c>
      <c r="B664" s="4">
        <v>45454</v>
      </c>
      <c r="C664" s="2">
        <f t="shared" si="10"/>
        <v>0</v>
      </c>
      <c r="D664" s="2">
        <v>0</v>
      </c>
      <c r="E664" s="2">
        <f t="shared" si="11"/>
        <v>0</v>
      </c>
      <c r="F664" s="2" t="str">
        <f t="shared" si="12"/>
        <v>Tuesday</v>
      </c>
      <c r="H664" s="2">
        <v>5</v>
      </c>
      <c r="I664" s="2" t="e">
        <f t="shared" ca="1" si="14"/>
        <v>#NAME?</v>
      </c>
      <c r="J664" s="2" t="e">
        <f t="shared" ca="1" si="13"/>
        <v>#NAME?</v>
      </c>
    </row>
    <row r="665" spans="1:10" ht="15.75" customHeight="1" x14ac:dyDescent="0.2">
      <c r="A665" s="2">
        <v>664</v>
      </c>
      <c r="B665" s="4">
        <v>45455</v>
      </c>
      <c r="C665" s="2">
        <f t="shared" si="10"/>
        <v>0</v>
      </c>
      <c r="D665" s="2">
        <v>0</v>
      </c>
      <c r="E665" s="2">
        <f t="shared" si="11"/>
        <v>0</v>
      </c>
      <c r="F665" s="2" t="str">
        <f t="shared" si="12"/>
        <v>Wednesday</v>
      </c>
      <c r="H665" s="2">
        <v>5</v>
      </c>
      <c r="I665" s="2" t="e">
        <f t="shared" ca="1" si="14"/>
        <v>#NAME?</v>
      </c>
      <c r="J665" s="2" t="e">
        <f t="shared" ca="1" si="13"/>
        <v>#NAME?</v>
      </c>
    </row>
    <row r="666" spans="1:10" ht="15.75" customHeight="1" x14ac:dyDescent="0.2">
      <c r="A666" s="2">
        <v>665</v>
      </c>
      <c r="B666" s="4">
        <v>45456</v>
      </c>
      <c r="C666" s="2">
        <f t="shared" si="10"/>
        <v>0</v>
      </c>
      <c r="D666" s="2">
        <v>0</v>
      </c>
      <c r="E666" s="2">
        <f t="shared" si="11"/>
        <v>0</v>
      </c>
      <c r="F666" s="2" t="str">
        <f t="shared" si="12"/>
        <v>Thursday</v>
      </c>
      <c r="H666" s="2">
        <v>5</v>
      </c>
      <c r="I666" s="2" t="e">
        <f t="shared" ca="1" si="14"/>
        <v>#NAME?</v>
      </c>
      <c r="J666" s="2" t="e">
        <f t="shared" ca="1" si="13"/>
        <v>#NAME?</v>
      </c>
    </row>
    <row r="667" spans="1:10" ht="15.75" customHeight="1" x14ac:dyDescent="0.2">
      <c r="A667" s="2">
        <v>666</v>
      </c>
      <c r="B667" s="4">
        <v>45457</v>
      </c>
      <c r="C667" s="2">
        <f t="shared" si="10"/>
        <v>0</v>
      </c>
      <c r="D667" s="2">
        <v>0</v>
      </c>
      <c r="E667" s="2">
        <f t="shared" si="11"/>
        <v>0</v>
      </c>
      <c r="F667" s="2" t="str">
        <f t="shared" si="12"/>
        <v>Friday</v>
      </c>
      <c r="H667" s="2">
        <v>5</v>
      </c>
      <c r="I667" s="2" t="e">
        <f t="shared" ca="1" si="14"/>
        <v>#NAME?</v>
      </c>
      <c r="J667" s="2" t="e">
        <f t="shared" ca="1" si="13"/>
        <v>#NAME?</v>
      </c>
    </row>
    <row r="668" spans="1:10" ht="15.75" customHeight="1" x14ac:dyDescent="0.2">
      <c r="A668" s="2">
        <v>667</v>
      </c>
      <c r="B668" s="4">
        <v>45458</v>
      </c>
      <c r="C668" s="2">
        <f t="shared" si="10"/>
        <v>1</v>
      </c>
      <c r="D668" s="2">
        <v>0</v>
      </c>
      <c r="E668" s="2">
        <f t="shared" si="11"/>
        <v>1</v>
      </c>
      <c r="F668" s="2" t="str">
        <f t="shared" si="12"/>
        <v>Saturday</v>
      </c>
      <c r="H668" s="2">
        <v>5</v>
      </c>
      <c r="I668" s="2" t="e">
        <f t="shared" ca="1" si="14"/>
        <v>#NAME?</v>
      </c>
      <c r="J668" s="2" t="e">
        <f t="shared" ca="1" si="13"/>
        <v>#NAME?</v>
      </c>
    </row>
    <row r="669" spans="1:10" ht="15.75" customHeight="1" x14ac:dyDescent="0.2">
      <c r="A669" s="2">
        <v>668</v>
      </c>
      <c r="B669" s="4">
        <v>45459</v>
      </c>
      <c r="C669" s="2">
        <f t="shared" si="10"/>
        <v>1</v>
      </c>
      <c r="D669" s="2">
        <v>0</v>
      </c>
      <c r="E669" s="2">
        <f t="shared" si="11"/>
        <v>1</v>
      </c>
      <c r="F669" s="2" t="str">
        <f t="shared" si="12"/>
        <v>Sunday</v>
      </c>
      <c r="H669" s="2">
        <v>5</v>
      </c>
      <c r="I669" s="2" t="e">
        <f t="shared" ca="1" si="14"/>
        <v>#NAME?</v>
      </c>
      <c r="J669" s="2" t="e">
        <f t="shared" ca="1" si="13"/>
        <v>#NAME?</v>
      </c>
    </row>
    <row r="670" spans="1:10" ht="15.75" customHeight="1" x14ac:dyDescent="0.2">
      <c r="A670" s="2">
        <v>669</v>
      </c>
      <c r="B670" s="4">
        <v>45460</v>
      </c>
      <c r="C670" s="2">
        <f t="shared" si="10"/>
        <v>0</v>
      </c>
      <c r="D670" s="2">
        <v>0</v>
      </c>
      <c r="E670" s="2">
        <f t="shared" si="11"/>
        <v>0</v>
      </c>
      <c r="F670" s="2" t="str">
        <f t="shared" si="12"/>
        <v>Monday</v>
      </c>
      <c r="H670" s="2">
        <v>5</v>
      </c>
      <c r="I670" s="2" t="e">
        <f t="shared" ca="1" si="14"/>
        <v>#NAME?</v>
      </c>
      <c r="J670" s="2" t="e">
        <f t="shared" ca="1" si="13"/>
        <v>#NAME?</v>
      </c>
    </row>
    <row r="671" spans="1:10" ht="15.75" customHeight="1" x14ac:dyDescent="0.2">
      <c r="A671" s="2">
        <v>670</v>
      </c>
      <c r="B671" s="4">
        <v>45461</v>
      </c>
      <c r="C671" s="2">
        <f t="shared" si="10"/>
        <v>0</v>
      </c>
      <c r="D671" s="2">
        <v>0</v>
      </c>
      <c r="E671" s="2">
        <f t="shared" si="11"/>
        <v>0</v>
      </c>
      <c r="F671" s="2" t="str">
        <f t="shared" si="12"/>
        <v>Tuesday</v>
      </c>
      <c r="H671" s="2">
        <v>5</v>
      </c>
      <c r="I671" s="2" t="e">
        <f t="shared" ca="1" si="14"/>
        <v>#NAME?</v>
      </c>
      <c r="J671" s="2" t="e">
        <f t="shared" ca="1" si="13"/>
        <v>#NAME?</v>
      </c>
    </row>
    <row r="672" spans="1:10" ht="15.75" customHeight="1" x14ac:dyDescent="0.2">
      <c r="A672" s="2">
        <v>671</v>
      </c>
      <c r="B672" s="4">
        <v>45462</v>
      </c>
      <c r="C672" s="2">
        <f t="shared" si="10"/>
        <v>0</v>
      </c>
      <c r="D672" s="2">
        <v>0</v>
      </c>
      <c r="E672" s="2">
        <f t="shared" si="11"/>
        <v>0</v>
      </c>
      <c r="F672" s="2" t="str">
        <f t="shared" si="12"/>
        <v>Wednesday</v>
      </c>
      <c r="H672" s="2">
        <v>5</v>
      </c>
      <c r="I672" s="2" t="e">
        <f t="shared" ca="1" si="14"/>
        <v>#NAME?</v>
      </c>
      <c r="J672" s="2" t="e">
        <f t="shared" ca="1" si="13"/>
        <v>#NAME?</v>
      </c>
    </row>
    <row r="673" spans="1:10" ht="15.75" customHeight="1" x14ac:dyDescent="0.2">
      <c r="A673" s="2">
        <v>672</v>
      </c>
      <c r="B673" s="4">
        <v>45463</v>
      </c>
      <c r="C673" s="2">
        <f t="shared" si="10"/>
        <v>0</v>
      </c>
      <c r="D673" s="2">
        <v>0</v>
      </c>
      <c r="E673" s="2">
        <f t="shared" si="11"/>
        <v>0</v>
      </c>
      <c r="F673" s="2" t="str">
        <f t="shared" si="12"/>
        <v>Thursday</v>
      </c>
      <c r="H673" s="2">
        <v>5</v>
      </c>
      <c r="I673" s="2" t="e">
        <f t="shared" ca="1" si="14"/>
        <v>#NAME?</v>
      </c>
      <c r="J673" s="2" t="e">
        <f t="shared" ca="1" si="13"/>
        <v>#NAME?</v>
      </c>
    </row>
    <row r="674" spans="1:10" ht="15.75" customHeight="1" x14ac:dyDescent="0.2">
      <c r="A674" s="2">
        <v>673</v>
      </c>
      <c r="B674" s="4">
        <v>45464</v>
      </c>
      <c r="C674" s="2">
        <f t="shared" si="10"/>
        <v>0</v>
      </c>
      <c r="D674" s="2">
        <v>0</v>
      </c>
      <c r="E674" s="2">
        <f t="shared" si="11"/>
        <v>0</v>
      </c>
      <c r="F674" s="2" t="str">
        <f t="shared" si="12"/>
        <v>Friday</v>
      </c>
      <c r="H674" s="2">
        <v>5</v>
      </c>
      <c r="I674" s="2" t="e">
        <f t="shared" ca="1" si="14"/>
        <v>#NAME?</v>
      </c>
      <c r="J674" s="2" t="e">
        <f t="shared" ca="1" si="13"/>
        <v>#NAME?</v>
      </c>
    </row>
    <row r="675" spans="1:10" ht="15.75" customHeight="1" x14ac:dyDescent="0.2">
      <c r="A675" s="2">
        <v>674</v>
      </c>
      <c r="B675" s="4">
        <v>45465</v>
      </c>
      <c r="C675" s="2">
        <f t="shared" si="10"/>
        <v>1</v>
      </c>
      <c r="D675" s="2">
        <v>0</v>
      </c>
      <c r="E675" s="2">
        <f t="shared" si="11"/>
        <v>1</v>
      </c>
      <c r="F675" s="2" t="str">
        <f t="shared" si="12"/>
        <v>Saturday</v>
      </c>
      <c r="H675" s="2">
        <v>5</v>
      </c>
      <c r="I675" s="2" t="e">
        <f t="shared" ca="1" si="14"/>
        <v>#NAME?</v>
      </c>
      <c r="J675" s="2" t="e">
        <f t="shared" ca="1" si="13"/>
        <v>#NAME?</v>
      </c>
    </row>
    <row r="676" spans="1:10" ht="15.75" customHeight="1" x14ac:dyDescent="0.2">
      <c r="A676" s="2">
        <v>675</v>
      </c>
      <c r="B676" s="4">
        <v>45466</v>
      </c>
      <c r="C676" s="2">
        <f t="shared" si="10"/>
        <v>1</v>
      </c>
      <c r="D676" s="2">
        <v>0</v>
      </c>
      <c r="E676" s="2">
        <f t="shared" si="11"/>
        <v>1</v>
      </c>
      <c r="F676" s="2" t="str">
        <f t="shared" si="12"/>
        <v>Sunday</v>
      </c>
      <c r="H676" s="2">
        <v>5</v>
      </c>
      <c r="I676" s="2" t="e">
        <f t="shared" ca="1" si="14"/>
        <v>#NAME?</v>
      </c>
      <c r="J676" s="2" t="e">
        <f t="shared" ca="1" si="13"/>
        <v>#NAME?</v>
      </c>
    </row>
    <row r="677" spans="1:10" ht="15.75" customHeight="1" x14ac:dyDescent="0.2">
      <c r="A677" s="2">
        <v>676</v>
      </c>
      <c r="B677" s="4">
        <v>45467</v>
      </c>
      <c r="C677" s="2">
        <f t="shared" si="10"/>
        <v>0</v>
      </c>
      <c r="D677" s="2">
        <v>0</v>
      </c>
      <c r="E677" s="2">
        <f t="shared" si="11"/>
        <v>0</v>
      </c>
      <c r="F677" s="2" t="str">
        <f t="shared" si="12"/>
        <v>Monday</v>
      </c>
      <c r="H677" s="2">
        <v>5</v>
      </c>
      <c r="I677" s="2" t="e">
        <f t="shared" ca="1" si="14"/>
        <v>#NAME?</v>
      </c>
      <c r="J677" s="2" t="e">
        <f t="shared" ca="1" si="13"/>
        <v>#NAME?</v>
      </c>
    </row>
    <row r="678" spans="1:10" ht="15.75" customHeight="1" x14ac:dyDescent="0.2">
      <c r="A678" s="2">
        <v>677</v>
      </c>
      <c r="B678" s="4">
        <v>45468</v>
      </c>
      <c r="C678" s="2">
        <f t="shared" si="10"/>
        <v>0</v>
      </c>
      <c r="D678" s="2">
        <v>0</v>
      </c>
      <c r="E678" s="2">
        <f t="shared" si="11"/>
        <v>0</v>
      </c>
      <c r="F678" s="2" t="str">
        <f t="shared" si="12"/>
        <v>Tuesday</v>
      </c>
      <c r="H678" s="2">
        <v>5</v>
      </c>
      <c r="I678" s="2" t="e">
        <f t="shared" ca="1" si="14"/>
        <v>#NAME?</v>
      </c>
      <c r="J678" s="2" t="e">
        <f t="shared" ca="1" si="13"/>
        <v>#NAME?</v>
      </c>
    </row>
    <row r="679" spans="1:10" ht="15.75" customHeight="1" x14ac:dyDescent="0.2">
      <c r="A679" s="2">
        <v>678</v>
      </c>
      <c r="B679" s="4">
        <v>45469</v>
      </c>
      <c r="C679" s="2">
        <f t="shared" si="10"/>
        <v>0</v>
      </c>
      <c r="D679" s="2">
        <v>0</v>
      </c>
      <c r="E679" s="2">
        <f t="shared" si="11"/>
        <v>0</v>
      </c>
      <c r="F679" s="2" t="str">
        <f t="shared" si="12"/>
        <v>Wednesday</v>
      </c>
      <c r="H679" s="2">
        <v>5</v>
      </c>
      <c r="I679" s="2" t="e">
        <f t="shared" ca="1" si="14"/>
        <v>#NAME?</v>
      </c>
      <c r="J679" s="2" t="e">
        <f t="shared" ca="1" si="13"/>
        <v>#NAME?</v>
      </c>
    </row>
    <row r="680" spans="1:10" ht="15.75" customHeight="1" x14ac:dyDescent="0.2">
      <c r="A680" s="2">
        <v>679</v>
      </c>
      <c r="B680" s="4">
        <v>45470</v>
      </c>
      <c r="C680" s="2">
        <f t="shared" si="10"/>
        <v>0</v>
      </c>
      <c r="D680" s="2">
        <v>0</v>
      </c>
      <c r="E680" s="2">
        <f t="shared" si="11"/>
        <v>0</v>
      </c>
      <c r="F680" s="2" t="str">
        <f t="shared" si="12"/>
        <v>Thursday</v>
      </c>
      <c r="H680" s="2">
        <v>5</v>
      </c>
      <c r="I680" s="2" t="e">
        <f t="shared" ca="1" si="14"/>
        <v>#NAME?</v>
      </c>
      <c r="J680" s="2" t="e">
        <f t="shared" ca="1" si="13"/>
        <v>#NAME?</v>
      </c>
    </row>
    <row r="681" spans="1:10" ht="15.75" customHeight="1" x14ac:dyDescent="0.2">
      <c r="A681" s="2">
        <v>680</v>
      </c>
      <c r="B681" s="4">
        <v>45471</v>
      </c>
      <c r="C681" s="2">
        <f t="shared" si="10"/>
        <v>0</v>
      </c>
      <c r="D681" s="2">
        <v>0</v>
      </c>
      <c r="E681" s="2">
        <f t="shared" si="11"/>
        <v>0</v>
      </c>
      <c r="F681" s="2" t="str">
        <f t="shared" si="12"/>
        <v>Friday</v>
      </c>
      <c r="H681" s="2">
        <v>5</v>
      </c>
      <c r="I681" s="2" t="e">
        <f t="shared" ca="1" si="14"/>
        <v>#NAME?</v>
      </c>
      <c r="J681" s="2" t="e">
        <f t="shared" ca="1" si="13"/>
        <v>#NAME?</v>
      </c>
    </row>
    <row r="682" spans="1:10" ht="15.75" customHeight="1" x14ac:dyDescent="0.2">
      <c r="A682" s="2">
        <v>681</v>
      </c>
      <c r="B682" s="4">
        <v>45472</v>
      </c>
      <c r="C682" s="2">
        <f t="shared" si="10"/>
        <v>1</v>
      </c>
      <c r="D682" s="2">
        <v>0</v>
      </c>
      <c r="E682" s="2">
        <f t="shared" si="11"/>
        <v>1</v>
      </c>
      <c r="F682" s="2" t="str">
        <f t="shared" si="12"/>
        <v>Saturday</v>
      </c>
      <c r="H682" s="2">
        <v>5</v>
      </c>
      <c r="I682" s="2" t="e">
        <f t="shared" ca="1" si="14"/>
        <v>#NAME?</v>
      </c>
      <c r="J682" s="2" t="e">
        <f t="shared" ca="1" si="13"/>
        <v>#NAME?</v>
      </c>
    </row>
    <row r="683" spans="1:10" ht="15.75" customHeight="1" x14ac:dyDescent="0.2">
      <c r="A683" s="2">
        <v>682</v>
      </c>
      <c r="B683" s="4">
        <v>45473</v>
      </c>
      <c r="C683" s="2">
        <f t="shared" si="10"/>
        <v>1</v>
      </c>
      <c r="D683" s="2">
        <v>0</v>
      </c>
      <c r="E683" s="2">
        <f t="shared" si="11"/>
        <v>1</v>
      </c>
      <c r="F683" s="2" t="str">
        <f t="shared" si="12"/>
        <v>Sunday</v>
      </c>
      <c r="H683" s="2">
        <v>5</v>
      </c>
      <c r="I683" s="2" t="e">
        <f t="shared" ca="1" si="14"/>
        <v>#NAME?</v>
      </c>
      <c r="J683" s="2" t="e">
        <f t="shared" ca="1" si="13"/>
        <v>#NAME?</v>
      </c>
    </row>
    <row r="684" spans="1:10" ht="15.75" customHeight="1" x14ac:dyDescent="0.2">
      <c r="A684" s="2">
        <v>683</v>
      </c>
      <c r="B684" s="4">
        <v>45474</v>
      </c>
      <c r="C684" s="2">
        <f t="shared" si="10"/>
        <v>0</v>
      </c>
      <c r="D684" s="2">
        <v>0</v>
      </c>
      <c r="E684" s="2">
        <f t="shared" si="11"/>
        <v>0</v>
      </c>
      <c r="F684" s="2" t="str">
        <f t="shared" si="12"/>
        <v>Monday</v>
      </c>
      <c r="H684" s="2">
        <v>5</v>
      </c>
      <c r="I684" s="2" t="e">
        <f t="shared" ca="1" si="14"/>
        <v>#NAME?</v>
      </c>
      <c r="J684" s="2" t="e">
        <f t="shared" ca="1" si="13"/>
        <v>#NAME?</v>
      </c>
    </row>
    <row r="685" spans="1:10" ht="15.75" customHeight="1" x14ac:dyDescent="0.2">
      <c r="A685" s="2">
        <v>684</v>
      </c>
      <c r="B685" s="4">
        <v>45475</v>
      </c>
      <c r="C685" s="2">
        <f t="shared" si="10"/>
        <v>0</v>
      </c>
      <c r="D685" s="2">
        <v>0</v>
      </c>
      <c r="E685" s="2">
        <f t="shared" si="11"/>
        <v>0</v>
      </c>
      <c r="F685" s="2" t="str">
        <f t="shared" si="12"/>
        <v>Tuesday</v>
      </c>
      <c r="H685" s="2">
        <v>5</v>
      </c>
      <c r="I685" s="2" t="e">
        <f t="shared" ca="1" si="14"/>
        <v>#NAME?</v>
      </c>
      <c r="J685" s="2" t="e">
        <f t="shared" ca="1" si="13"/>
        <v>#NAME?</v>
      </c>
    </row>
    <row r="686" spans="1:10" ht="15.75" customHeight="1" x14ac:dyDescent="0.2">
      <c r="A686" s="2">
        <v>685</v>
      </c>
      <c r="B686" s="4">
        <v>45476</v>
      </c>
      <c r="C686" s="2">
        <f t="shared" si="10"/>
        <v>0</v>
      </c>
      <c r="D686" s="2">
        <v>0</v>
      </c>
      <c r="E686" s="2">
        <f t="shared" si="11"/>
        <v>0</v>
      </c>
      <c r="F686" s="2" t="str">
        <f t="shared" si="12"/>
        <v>Wednesday</v>
      </c>
      <c r="H686" s="2">
        <v>5</v>
      </c>
      <c r="I686" s="2" t="e">
        <f t="shared" ca="1" si="14"/>
        <v>#NAME?</v>
      </c>
      <c r="J686" s="2" t="e">
        <f t="shared" ca="1" si="13"/>
        <v>#NAME?</v>
      </c>
    </row>
    <row r="687" spans="1:10" ht="15.75" customHeight="1" x14ac:dyDescent="0.2">
      <c r="A687" s="2">
        <v>686</v>
      </c>
      <c r="B687" s="4">
        <v>45477</v>
      </c>
      <c r="C687" s="2">
        <f t="shared" si="10"/>
        <v>0</v>
      </c>
      <c r="D687" s="2">
        <v>0</v>
      </c>
      <c r="E687" s="2">
        <f t="shared" si="11"/>
        <v>0</v>
      </c>
      <c r="F687" s="2" t="str">
        <f t="shared" si="12"/>
        <v>Thursday</v>
      </c>
      <c r="H687" s="2">
        <v>5</v>
      </c>
      <c r="I687" s="2" t="e">
        <f t="shared" ca="1" si="14"/>
        <v>#NAME?</v>
      </c>
      <c r="J687" s="2" t="e">
        <f t="shared" ca="1" si="13"/>
        <v>#NAME?</v>
      </c>
    </row>
    <row r="688" spans="1:10" ht="15.75" customHeight="1" x14ac:dyDescent="0.2">
      <c r="A688" s="2">
        <v>687</v>
      </c>
      <c r="B688" s="4">
        <v>45478</v>
      </c>
      <c r="C688" s="2">
        <f t="shared" si="10"/>
        <v>0</v>
      </c>
      <c r="D688" s="2">
        <v>0</v>
      </c>
      <c r="E688" s="2">
        <f t="shared" si="11"/>
        <v>0</v>
      </c>
      <c r="F688" s="2" t="str">
        <f t="shared" si="12"/>
        <v>Friday</v>
      </c>
      <c r="H688" s="2">
        <v>5</v>
      </c>
      <c r="I688" s="2" t="e">
        <f t="shared" ca="1" si="14"/>
        <v>#NAME?</v>
      </c>
      <c r="J688" s="2" t="e">
        <f t="shared" ca="1" si="13"/>
        <v>#NAME?</v>
      </c>
    </row>
    <row r="689" spans="1:10" ht="15.75" customHeight="1" x14ac:dyDescent="0.2">
      <c r="A689" s="2">
        <v>688</v>
      </c>
      <c r="B689" s="4">
        <v>45479</v>
      </c>
      <c r="C689" s="2">
        <f t="shared" si="10"/>
        <v>1</v>
      </c>
      <c r="D689" s="2">
        <v>0</v>
      </c>
      <c r="E689" s="2">
        <f t="shared" si="11"/>
        <v>1</v>
      </c>
      <c r="F689" s="2" t="str">
        <f t="shared" si="12"/>
        <v>Saturday</v>
      </c>
      <c r="H689" s="2">
        <v>5</v>
      </c>
      <c r="I689" s="2" t="e">
        <f t="shared" ca="1" si="14"/>
        <v>#NAME?</v>
      </c>
      <c r="J689" s="2" t="e">
        <f t="shared" ca="1" si="13"/>
        <v>#NAME?</v>
      </c>
    </row>
    <row r="690" spans="1:10" ht="15.75" customHeight="1" x14ac:dyDescent="0.2">
      <c r="A690" s="2">
        <v>689</v>
      </c>
      <c r="B690" s="4">
        <v>45480</v>
      </c>
      <c r="C690" s="2">
        <f t="shared" si="10"/>
        <v>1</v>
      </c>
      <c r="D690" s="2">
        <v>0</v>
      </c>
      <c r="E690" s="2">
        <f t="shared" si="11"/>
        <v>1</v>
      </c>
      <c r="F690" s="2" t="str">
        <f t="shared" si="12"/>
        <v>Sunday</v>
      </c>
      <c r="H690" s="2">
        <v>5</v>
      </c>
      <c r="I690" s="2" t="e">
        <f t="shared" ca="1" si="14"/>
        <v>#NAME?</v>
      </c>
      <c r="J690" s="2" t="e">
        <f t="shared" ca="1" si="13"/>
        <v>#NAME?</v>
      </c>
    </row>
    <row r="691" spans="1:10" ht="15.75" customHeight="1" x14ac:dyDescent="0.2">
      <c r="A691" s="2">
        <v>690</v>
      </c>
      <c r="B691" s="4">
        <v>45481</v>
      </c>
      <c r="C691" s="2">
        <f t="shared" si="10"/>
        <v>0</v>
      </c>
      <c r="D691" s="2">
        <v>0</v>
      </c>
      <c r="E691" s="2">
        <f t="shared" si="11"/>
        <v>0</v>
      </c>
      <c r="F691" s="2" t="str">
        <f t="shared" si="12"/>
        <v>Monday</v>
      </c>
      <c r="H691" s="2">
        <v>5</v>
      </c>
      <c r="I691" s="2" t="e">
        <f t="shared" ca="1" si="14"/>
        <v>#NAME?</v>
      </c>
      <c r="J691" s="2" t="e">
        <f t="shared" ca="1" si="13"/>
        <v>#NAME?</v>
      </c>
    </row>
    <row r="692" spans="1:10" ht="15.75" customHeight="1" x14ac:dyDescent="0.2">
      <c r="A692" s="2">
        <v>691</v>
      </c>
      <c r="B692" s="4">
        <v>45482</v>
      </c>
      <c r="C692" s="2">
        <f t="shared" si="10"/>
        <v>0</v>
      </c>
      <c r="D692" s="2">
        <v>0</v>
      </c>
      <c r="E692" s="2">
        <f t="shared" si="11"/>
        <v>0</v>
      </c>
      <c r="F692" s="2" t="str">
        <f t="shared" si="12"/>
        <v>Tuesday</v>
      </c>
      <c r="H692" s="2">
        <v>5</v>
      </c>
      <c r="I692" s="2" t="e">
        <f t="shared" ca="1" si="14"/>
        <v>#NAME?</v>
      </c>
      <c r="J692" s="2" t="e">
        <f t="shared" ca="1" si="13"/>
        <v>#NAME?</v>
      </c>
    </row>
    <row r="693" spans="1:10" ht="15.75" customHeight="1" x14ac:dyDescent="0.2">
      <c r="A693" s="2">
        <v>692</v>
      </c>
      <c r="B693" s="4">
        <v>45483</v>
      </c>
      <c r="C693" s="2">
        <f t="shared" si="10"/>
        <v>0</v>
      </c>
      <c r="D693" s="2">
        <v>0</v>
      </c>
      <c r="E693" s="2">
        <f t="shared" si="11"/>
        <v>0</v>
      </c>
      <c r="F693" s="2" t="str">
        <f t="shared" si="12"/>
        <v>Wednesday</v>
      </c>
      <c r="H693" s="2">
        <v>5</v>
      </c>
      <c r="I693" s="2" t="e">
        <f t="shared" ca="1" si="14"/>
        <v>#NAME?</v>
      </c>
      <c r="J693" s="2" t="e">
        <f t="shared" ca="1" si="13"/>
        <v>#NAME?</v>
      </c>
    </row>
    <row r="694" spans="1:10" ht="15.75" customHeight="1" x14ac:dyDescent="0.2">
      <c r="A694" s="2">
        <v>693</v>
      </c>
      <c r="B694" s="4">
        <v>45484</v>
      </c>
      <c r="C694" s="2">
        <f t="shared" si="10"/>
        <v>0</v>
      </c>
      <c r="D694" s="2">
        <v>0</v>
      </c>
      <c r="E694" s="2">
        <f t="shared" si="11"/>
        <v>0</v>
      </c>
      <c r="F694" s="2" t="str">
        <f t="shared" si="12"/>
        <v>Thursday</v>
      </c>
      <c r="H694" s="2">
        <v>5</v>
      </c>
      <c r="I694" s="2" t="e">
        <f t="shared" ca="1" si="14"/>
        <v>#NAME?</v>
      </c>
      <c r="J694" s="2" t="e">
        <f t="shared" ca="1" si="13"/>
        <v>#NAME?</v>
      </c>
    </row>
    <row r="695" spans="1:10" ht="15.75" customHeight="1" x14ac:dyDescent="0.2">
      <c r="A695" s="2">
        <v>694</v>
      </c>
      <c r="B695" s="4">
        <v>45485</v>
      </c>
      <c r="C695" s="2">
        <f t="shared" si="10"/>
        <v>0</v>
      </c>
      <c r="D695" s="2">
        <v>0</v>
      </c>
      <c r="E695" s="2">
        <f t="shared" si="11"/>
        <v>0</v>
      </c>
      <c r="F695" s="2" t="str">
        <f t="shared" si="12"/>
        <v>Friday</v>
      </c>
      <c r="H695" s="2">
        <v>5</v>
      </c>
      <c r="I695" s="2" t="e">
        <f t="shared" ca="1" si="14"/>
        <v>#NAME?</v>
      </c>
      <c r="J695" s="2" t="e">
        <f t="shared" ca="1" si="13"/>
        <v>#NAME?</v>
      </c>
    </row>
    <row r="696" spans="1:10" ht="15.75" customHeight="1" x14ac:dyDescent="0.2">
      <c r="A696" s="2">
        <v>695</v>
      </c>
      <c r="B696" s="4">
        <v>45486</v>
      </c>
      <c r="C696" s="2">
        <f t="shared" si="10"/>
        <v>1</v>
      </c>
      <c r="D696" s="2">
        <v>1</v>
      </c>
      <c r="E696" s="2">
        <f t="shared" si="11"/>
        <v>1</v>
      </c>
      <c r="F696" s="2" t="str">
        <f t="shared" si="12"/>
        <v>Saturday</v>
      </c>
      <c r="G696" s="2" t="s">
        <v>328</v>
      </c>
      <c r="H696" s="2">
        <v>5</v>
      </c>
      <c r="I696" s="2" t="e">
        <f t="shared" ca="1" si="14"/>
        <v>#NAME?</v>
      </c>
      <c r="J696" s="2" t="e">
        <f t="shared" ca="1" si="13"/>
        <v>#NAME?</v>
      </c>
    </row>
    <row r="697" spans="1:10" ht="15.75" customHeight="1" x14ac:dyDescent="0.2">
      <c r="A697" s="2">
        <v>696</v>
      </c>
      <c r="B697" s="4">
        <v>45487</v>
      </c>
      <c r="C697" s="2">
        <f t="shared" si="10"/>
        <v>1</v>
      </c>
      <c r="D697" s="2">
        <v>1</v>
      </c>
      <c r="E697" s="2">
        <f t="shared" si="11"/>
        <v>1</v>
      </c>
      <c r="F697" s="2" t="str">
        <f t="shared" si="12"/>
        <v>Sunday</v>
      </c>
      <c r="G697" s="2" t="s">
        <v>328</v>
      </c>
      <c r="H697" s="2">
        <v>5</v>
      </c>
      <c r="I697" s="2" t="e">
        <f t="shared" ca="1" si="14"/>
        <v>#NAME?</v>
      </c>
      <c r="J697" s="2" t="e">
        <f t="shared" ca="1" si="13"/>
        <v>#NAME?</v>
      </c>
    </row>
    <row r="698" spans="1:10" ht="15.75" customHeight="1" x14ac:dyDescent="0.2">
      <c r="A698" s="2">
        <v>697</v>
      </c>
      <c r="B698" s="4">
        <v>45488</v>
      </c>
      <c r="C698" s="2">
        <f t="shared" si="10"/>
        <v>0</v>
      </c>
      <c r="D698" s="2">
        <v>1</v>
      </c>
      <c r="E698" s="2">
        <f t="shared" si="11"/>
        <v>1</v>
      </c>
      <c r="F698" s="2" t="str">
        <f t="shared" si="12"/>
        <v>Monday</v>
      </c>
      <c r="G698" s="2" t="s">
        <v>328</v>
      </c>
      <c r="H698" s="2">
        <v>5</v>
      </c>
      <c r="I698" s="2" t="e">
        <f t="shared" ca="1" si="14"/>
        <v>#NAME?</v>
      </c>
      <c r="J698" s="2" t="e">
        <f t="shared" ca="1" si="13"/>
        <v>#NAME?</v>
      </c>
    </row>
    <row r="699" spans="1:10" ht="15.75" customHeight="1" x14ac:dyDescent="0.2">
      <c r="A699" s="2">
        <v>698</v>
      </c>
      <c r="B699" s="4">
        <v>45489</v>
      </c>
      <c r="C699" s="2">
        <f t="shared" si="10"/>
        <v>0</v>
      </c>
      <c r="D699" s="2">
        <v>1</v>
      </c>
      <c r="E699" s="2">
        <f t="shared" si="11"/>
        <v>1</v>
      </c>
      <c r="F699" s="2" t="str">
        <f t="shared" si="12"/>
        <v>Tuesday</v>
      </c>
      <c r="G699" s="2" t="s">
        <v>328</v>
      </c>
      <c r="H699" s="2">
        <v>5</v>
      </c>
      <c r="I699" s="2" t="e">
        <f t="shared" ca="1" si="14"/>
        <v>#NAME?</v>
      </c>
      <c r="J699" s="2" t="e">
        <f t="shared" ca="1" si="13"/>
        <v>#NAME?</v>
      </c>
    </row>
    <row r="700" spans="1:10" ht="15.75" customHeight="1" x14ac:dyDescent="0.2">
      <c r="A700" s="2">
        <v>699</v>
      </c>
      <c r="B700" s="4">
        <v>45490</v>
      </c>
      <c r="C700" s="2">
        <f t="shared" si="10"/>
        <v>0</v>
      </c>
      <c r="D700" s="2">
        <v>1</v>
      </c>
      <c r="E700" s="2">
        <f t="shared" si="11"/>
        <v>1</v>
      </c>
      <c r="F700" s="2" t="str">
        <f t="shared" si="12"/>
        <v>Wednesday</v>
      </c>
      <c r="G700" s="2" t="s">
        <v>328</v>
      </c>
      <c r="H700" s="2">
        <v>5</v>
      </c>
      <c r="I700" s="2" t="e">
        <f t="shared" ca="1" si="14"/>
        <v>#NAME?</v>
      </c>
      <c r="J700" s="2" t="e">
        <f t="shared" ca="1" si="13"/>
        <v>#NAME?</v>
      </c>
    </row>
    <row r="701" spans="1:10" ht="15.75" customHeight="1" x14ac:dyDescent="0.2">
      <c r="A701" s="2">
        <v>700</v>
      </c>
      <c r="B701" s="4">
        <v>45491</v>
      </c>
      <c r="C701" s="2">
        <f t="shared" si="10"/>
        <v>0</v>
      </c>
      <c r="D701" s="2">
        <v>1</v>
      </c>
      <c r="E701" s="2">
        <f t="shared" si="11"/>
        <v>1</v>
      </c>
      <c r="F701" s="2" t="str">
        <f t="shared" si="12"/>
        <v>Thursday</v>
      </c>
      <c r="G701" s="2" t="s">
        <v>328</v>
      </c>
      <c r="H701" s="2">
        <v>5</v>
      </c>
      <c r="I701" s="2" t="e">
        <f t="shared" ca="1" si="14"/>
        <v>#NAME?</v>
      </c>
      <c r="J701" s="2" t="e">
        <f t="shared" ca="1" si="13"/>
        <v>#NAME?</v>
      </c>
    </row>
    <row r="702" spans="1:10" ht="15.75" customHeight="1" x14ac:dyDescent="0.2">
      <c r="A702" s="2">
        <v>701</v>
      </c>
      <c r="B702" s="4">
        <v>45492</v>
      </c>
      <c r="C702" s="2">
        <f t="shared" si="10"/>
        <v>0</v>
      </c>
      <c r="D702" s="2">
        <v>1</v>
      </c>
      <c r="E702" s="2">
        <f t="shared" si="11"/>
        <v>1</v>
      </c>
      <c r="F702" s="2" t="str">
        <f t="shared" si="12"/>
        <v>Friday</v>
      </c>
      <c r="G702" s="2" t="s">
        <v>328</v>
      </c>
      <c r="H702" s="2">
        <v>5</v>
      </c>
      <c r="I702" s="2" t="e">
        <f t="shared" ca="1" si="14"/>
        <v>#NAME?</v>
      </c>
      <c r="J702" s="2" t="e">
        <f t="shared" ca="1" si="13"/>
        <v>#NAME?</v>
      </c>
    </row>
    <row r="703" spans="1:10" ht="15.75" customHeight="1" x14ac:dyDescent="0.2">
      <c r="A703" s="2">
        <v>702</v>
      </c>
      <c r="B703" s="4">
        <v>45493</v>
      </c>
      <c r="C703" s="2">
        <f t="shared" si="10"/>
        <v>1</v>
      </c>
      <c r="D703" s="2">
        <v>1</v>
      </c>
      <c r="E703" s="2">
        <f t="shared" si="11"/>
        <v>1</v>
      </c>
      <c r="F703" s="2" t="str">
        <f t="shared" si="12"/>
        <v>Saturday</v>
      </c>
      <c r="G703" s="2" t="s">
        <v>328</v>
      </c>
      <c r="H703" s="2">
        <v>5</v>
      </c>
      <c r="I703" s="2" t="e">
        <f t="shared" ca="1" si="14"/>
        <v>#NAME?</v>
      </c>
      <c r="J703" s="2" t="e">
        <f t="shared" ca="1" si="13"/>
        <v>#NAME?</v>
      </c>
    </row>
    <row r="704" spans="1:10" ht="15.75" customHeight="1" x14ac:dyDescent="0.2">
      <c r="A704" s="2">
        <v>703</v>
      </c>
      <c r="B704" s="4">
        <v>45494</v>
      </c>
      <c r="C704" s="2">
        <f t="shared" si="10"/>
        <v>1</v>
      </c>
      <c r="D704" s="2">
        <v>1</v>
      </c>
      <c r="E704" s="2">
        <f t="shared" si="11"/>
        <v>1</v>
      </c>
      <c r="F704" s="2" t="str">
        <f t="shared" si="12"/>
        <v>Sunday</v>
      </c>
      <c r="G704" s="2" t="s">
        <v>328</v>
      </c>
      <c r="H704" s="2">
        <v>5</v>
      </c>
      <c r="I704" s="2" t="e">
        <f t="shared" ca="1" si="14"/>
        <v>#NAME?</v>
      </c>
      <c r="J704" s="2" t="e">
        <f t="shared" ca="1" si="13"/>
        <v>#NAME?</v>
      </c>
    </row>
    <row r="705" spans="1:10" ht="15.75" customHeight="1" x14ac:dyDescent="0.2">
      <c r="A705" s="2">
        <v>704</v>
      </c>
      <c r="B705" s="4">
        <v>45495</v>
      </c>
      <c r="C705" s="2">
        <f t="shared" si="10"/>
        <v>0</v>
      </c>
      <c r="D705" s="2">
        <v>1</v>
      </c>
      <c r="E705" s="2">
        <f t="shared" si="11"/>
        <v>1</v>
      </c>
      <c r="F705" s="2" t="str">
        <f t="shared" si="12"/>
        <v>Monday</v>
      </c>
      <c r="G705" s="2" t="s">
        <v>328</v>
      </c>
      <c r="H705" s="2">
        <v>5</v>
      </c>
      <c r="I705" s="2" t="e">
        <f t="shared" ca="1" si="14"/>
        <v>#NAME?</v>
      </c>
      <c r="J705" s="2" t="e">
        <f t="shared" ca="1" si="13"/>
        <v>#NAME?</v>
      </c>
    </row>
    <row r="706" spans="1:10" ht="15.75" customHeight="1" x14ac:dyDescent="0.2">
      <c r="A706" s="2">
        <v>705</v>
      </c>
      <c r="B706" s="4">
        <v>45496</v>
      </c>
      <c r="C706" s="2">
        <f t="shared" si="10"/>
        <v>0</v>
      </c>
      <c r="D706" s="2">
        <v>1</v>
      </c>
      <c r="E706" s="2">
        <f t="shared" si="11"/>
        <v>1</v>
      </c>
      <c r="F706" s="2" t="str">
        <f t="shared" si="12"/>
        <v>Tuesday</v>
      </c>
      <c r="G706" s="2" t="s">
        <v>328</v>
      </c>
      <c r="H706" s="2">
        <v>5</v>
      </c>
      <c r="I706" s="2" t="e">
        <f t="shared" ca="1" si="14"/>
        <v>#NAME?</v>
      </c>
      <c r="J706" s="2" t="e">
        <f t="shared" ca="1" si="13"/>
        <v>#NAME?</v>
      </c>
    </row>
    <row r="707" spans="1:10" ht="15.75" customHeight="1" x14ac:dyDescent="0.2">
      <c r="A707" s="2">
        <v>706</v>
      </c>
      <c r="B707" s="4">
        <v>45497</v>
      </c>
      <c r="C707" s="2">
        <f t="shared" si="10"/>
        <v>0</v>
      </c>
      <c r="D707" s="2">
        <v>1</v>
      </c>
      <c r="E707" s="2">
        <f t="shared" si="11"/>
        <v>1</v>
      </c>
      <c r="F707" s="2" t="str">
        <f t="shared" si="12"/>
        <v>Wednesday</v>
      </c>
      <c r="G707" s="2" t="s">
        <v>328</v>
      </c>
      <c r="H707" s="2">
        <v>5</v>
      </c>
      <c r="I707" s="2" t="e">
        <f t="shared" ca="1" si="14"/>
        <v>#NAME?</v>
      </c>
      <c r="J707" s="2" t="e">
        <f t="shared" ca="1" si="13"/>
        <v>#NAME?</v>
      </c>
    </row>
    <row r="708" spans="1:10" ht="15.75" customHeight="1" x14ac:dyDescent="0.2">
      <c r="A708" s="2">
        <v>707</v>
      </c>
      <c r="B708" s="4">
        <v>45498</v>
      </c>
      <c r="C708" s="2">
        <f t="shared" si="10"/>
        <v>0</v>
      </c>
      <c r="D708" s="2">
        <v>1</v>
      </c>
      <c r="E708" s="2">
        <f t="shared" si="11"/>
        <v>1</v>
      </c>
      <c r="F708" s="2" t="str">
        <f t="shared" si="12"/>
        <v>Thursday</v>
      </c>
      <c r="G708" s="2" t="s">
        <v>328</v>
      </c>
      <c r="H708" s="2">
        <v>5</v>
      </c>
      <c r="I708" s="2" t="e">
        <f t="shared" ca="1" si="14"/>
        <v>#NAME?</v>
      </c>
      <c r="J708" s="2" t="e">
        <f t="shared" ca="1" si="13"/>
        <v>#NAME?</v>
      </c>
    </row>
    <row r="709" spans="1:10" ht="15.75" customHeight="1" x14ac:dyDescent="0.2">
      <c r="A709" s="2">
        <v>708</v>
      </c>
      <c r="B709" s="4">
        <v>45499</v>
      </c>
      <c r="C709" s="2">
        <f t="shared" si="10"/>
        <v>0</v>
      </c>
      <c r="D709" s="2">
        <v>1</v>
      </c>
      <c r="E709" s="2">
        <f t="shared" si="11"/>
        <v>1</v>
      </c>
      <c r="F709" s="2" t="str">
        <f t="shared" si="12"/>
        <v>Friday</v>
      </c>
      <c r="G709" s="2" t="s">
        <v>328</v>
      </c>
      <c r="H709" s="2">
        <v>5</v>
      </c>
      <c r="I709" s="2" t="e">
        <f t="shared" ca="1" si="14"/>
        <v>#NAME?</v>
      </c>
      <c r="J709" s="2" t="e">
        <f t="shared" ca="1" si="13"/>
        <v>#NAME?</v>
      </c>
    </row>
    <row r="710" spans="1:10" ht="15.75" customHeight="1" x14ac:dyDescent="0.2">
      <c r="A710" s="2">
        <v>709</v>
      </c>
      <c r="B710" s="4">
        <v>45500</v>
      </c>
      <c r="C710" s="2">
        <f t="shared" si="10"/>
        <v>1</v>
      </c>
      <c r="D710" s="2">
        <v>1</v>
      </c>
      <c r="E710" s="2">
        <f t="shared" si="11"/>
        <v>1</v>
      </c>
      <c r="F710" s="2" t="str">
        <f t="shared" si="12"/>
        <v>Saturday</v>
      </c>
      <c r="G710" s="2" t="s">
        <v>328</v>
      </c>
      <c r="H710" s="2">
        <v>5</v>
      </c>
      <c r="I710" s="2" t="e">
        <f t="shared" ca="1" si="14"/>
        <v>#NAME?</v>
      </c>
      <c r="J710" s="2" t="e">
        <f t="shared" ca="1" si="13"/>
        <v>#NAME?</v>
      </c>
    </row>
    <row r="711" spans="1:10" ht="15.75" customHeight="1" x14ac:dyDescent="0.2">
      <c r="A711" s="2">
        <v>710</v>
      </c>
      <c r="B711" s="4">
        <v>45501</v>
      </c>
      <c r="C711" s="2">
        <f t="shared" si="10"/>
        <v>1</v>
      </c>
      <c r="D711" s="2">
        <v>1</v>
      </c>
      <c r="E711" s="2">
        <f t="shared" si="11"/>
        <v>1</v>
      </c>
      <c r="F711" s="2" t="str">
        <f t="shared" si="12"/>
        <v>Sunday</v>
      </c>
      <c r="G711" s="2" t="s">
        <v>328</v>
      </c>
      <c r="H711" s="2">
        <v>5</v>
      </c>
      <c r="I711" s="2" t="e">
        <f t="shared" ca="1" si="14"/>
        <v>#NAME?</v>
      </c>
      <c r="J711" s="2" t="e">
        <f t="shared" ca="1" si="13"/>
        <v>#NAME?</v>
      </c>
    </row>
    <row r="712" spans="1:10" ht="15.75" customHeight="1" x14ac:dyDescent="0.2">
      <c r="A712" s="2">
        <v>711</v>
      </c>
      <c r="B712" s="4">
        <v>45502</v>
      </c>
      <c r="C712" s="2">
        <f t="shared" si="10"/>
        <v>0</v>
      </c>
      <c r="D712" s="2">
        <v>1</v>
      </c>
      <c r="E712" s="2">
        <f t="shared" si="11"/>
        <v>1</v>
      </c>
      <c r="F712" s="2" t="str">
        <f t="shared" si="12"/>
        <v>Monday</v>
      </c>
      <c r="G712" s="2" t="s">
        <v>328</v>
      </c>
      <c r="H712" s="2">
        <v>5</v>
      </c>
      <c r="I712" s="2" t="e">
        <f t="shared" ca="1" si="14"/>
        <v>#NAME?</v>
      </c>
      <c r="J712" s="2" t="e">
        <f t="shared" ca="1" si="13"/>
        <v>#NAME?</v>
      </c>
    </row>
    <row r="713" spans="1:10" ht="15.75" customHeight="1" x14ac:dyDescent="0.2">
      <c r="A713" s="2">
        <v>712</v>
      </c>
      <c r="B713" s="4">
        <v>45503</v>
      </c>
      <c r="C713" s="2">
        <f t="shared" si="10"/>
        <v>0</v>
      </c>
      <c r="D713" s="2">
        <v>1</v>
      </c>
      <c r="E713" s="2">
        <f t="shared" si="11"/>
        <v>1</v>
      </c>
      <c r="F713" s="2" t="str">
        <f t="shared" si="12"/>
        <v>Tuesday</v>
      </c>
      <c r="G713" s="2" t="s">
        <v>328</v>
      </c>
      <c r="H713" s="2">
        <v>5</v>
      </c>
      <c r="I713" s="2" t="e">
        <f t="shared" ca="1" si="14"/>
        <v>#NAME?</v>
      </c>
      <c r="J713" s="2" t="e">
        <f t="shared" ca="1" si="13"/>
        <v>#NAME?</v>
      </c>
    </row>
    <row r="714" spans="1:10" ht="15.75" customHeight="1" x14ac:dyDescent="0.2">
      <c r="A714" s="2">
        <v>713</v>
      </c>
      <c r="B714" s="4">
        <v>45504</v>
      </c>
      <c r="C714" s="2">
        <f t="shared" si="10"/>
        <v>0</v>
      </c>
      <c r="D714" s="2">
        <v>1</v>
      </c>
      <c r="E714" s="2">
        <f t="shared" si="11"/>
        <v>1</v>
      </c>
      <c r="F714" s="2" t="str">
        <f t="shared" si="12"/>
        <v>Wednesday</v>
      </c>
      <c r="G714" s="2" t="s">
        <v>328</v>
      </c>
      <c r="H714" s="2">
        <v>5</v>
      </c>
      <c r="I714" s="2" t="e">
        <f t="shared" ca="1" si="14"/>
        <v>#NAME?</v>
      </c>
      <c r="J714" s="2" t="e">
        <f t="shared" ca="1" si="13"/>
        <v>#NAME?</v>
      </c>
    </row>
    <row r="715" spans="1:10" ht="15.75" customHeight="1" x14ac:dyDescent="0.2">
      <c r="A715" s="2">
        <v>714</v>
      </c>
      <c r="B715" s="4">
        <v>45505</v>
      </c>
      <c r="C715" s="2">
        <f t="shared" si="10"/>
        <v>0</v>
      </c>
      <c r="D715" s="2">
        <v>1</v>
      </c>
      <c r="E715" s="2">
        <f t="shared" si="11"/>
        <v>1</v>
      </c>
      <c r="F715" s="2" t="str">
        <f t="shared" si="12"/>
        <v>Thursday</v>
      </c>
      <c r="G715" s="2" t="s">
        <v>328</v>
      </c>
      <c r="H715" s="2">
        <v>5</v>
      </c>
      <c r="I715" s="2" t="e">
        <f t="shared" ca="1" si="14"/>
        <v>#NAME?</v>
      </c>
      <c r="J715" s="2" t="e">
        <f t="shared" ca="1" si="13"/>
        <v>#NAME?</v>
      </c>
    </row>
    <row r="716" spans="1:10" ht="15.75" customHeight="1" x14ac:dyDescent="0.2">
      <c r="A716" s="2">
        <v>715</v>
      </c>
      <c r="B716" s="4">
        <v>45506</v>
      </c>
      <c r="C716" s="2">
        <f t="shared" si="10"/>
        <v>0</v>
      </c>
      <c r="D716" s="2">
        <v>1</v>
      </c>
      <c r="E716" s="2">
        <f t="shared" si="11"/>
        <v>1</v>
      </c>
      <c r="F716" s="2" t="str">
        <f t="shared" si="12"/>
        <v>Friday</v>
      </c>
      <c r="G716" s="2" t="s">
        <v>328</v>
      </c>
      <c r="H716" s="2">
        <v>5</v>
      </c>
      <c r="I716" s="2" t="e">
        <f t="shared" ca="1" si="14"/>
        <v>#NAME?</v>
      </c>
      <c r="J716" s="2" t="e">
        <f t="shared" ca="1" si="13"/>
        <v>#NAME?</v>
      </c>
    </row>
    <row r="717" spans="1:10" ht="15.75" customHeight="1" x14ac:dyDescent="0.2">
      <c r="A717" s="2">
        <v>716</v>
      </c>
      <c r="B717" s="4">
        <v>45507</v>
      </c>
      <c r="C717" s="2">
        <f t="shared" si="10"/>
        <v>1</v>
      </c>
      <c r="D717" s="2">
        <v>1</v>
      </c>
      <c r="E717" s="2">
        <f t="shared" si="11"/>
        <v>1</v>
      </c>
      <c r="F717" s="2" t="str">
        <f t="shared" si="12"/>
        <v>Saturday</v>
      </c>
      <c r="G717" s="2" t="s">
        <v>328</v>
      </c>
      <c r="H717" s="2">
        <v>5</v>
      </c>
      <c r="I717" s="2" t="e">
        <f t="shared" ca="1" si="14"/>
        <v>#NAME?</v>
      </c>
      <c r="J717" s="2" t="e">
        <f t="shared" ca="1" si="13"/>
        <v>#NAME?</v>
      </c>
    </row>
    <row r="718" spans="1:10" ht="15.75" customHeight="1" x14ac:dyDescent="0.2">
      <c r="A718" s="2">
        <v>717</v>
      </c>
      <c r="B718" s="4">
        <v>45508</v>
      </c>
      <c r="C718" s="2">
        <f t="shared" si="10"/>
        <v>1</v>
      </c>
      <c r="D718" s="2">
        <v>1</v>
      </c>
      <c r="E718" s="2">
        <f t="shared" si="11"/>
        <v>1</v>
      </c>
      <c r="F718" s="2" t="str">
        <f t="shared" si="12"/>
        <v>Sunday</v>
      </c>
      <c r="G718" s="2" t="s">
        <v>328</v>
      </c>
      <c r="H718" s="2">
        <v>5</v>
      </c>
      <c r="I718" s="2" t="e">
        <f t="shared" ca="1" si="14"/>
        <v>#NAME?</v>
      </c>
      <c r="J718" s="2" t="e">
        <f t="shared" ca="1" si="13"/>
        <v>#NAME?</v>
      </c>
    </row>
    <row r="719" spans="1:10" ht="15.75" customHeight="1" x14ac:dyDescent="0.2">
      <c r="A719" s="2">
        <v>718</v>
      </c>
      <c r="B719" s="4">
        <v>45509</v>
      </c>
      <c r="C719" s="2">
        <f t="shared" si="10"/>
        <v>0</v>
      </c>
      <c r="D719" s="2">
        <v>1</v>
      </c>
      <c r="E719" s="2">
        <f t="shared" si="11"/>
        <v>1</v>
      </c>
      <c r="F719" s="2" t="str">
        <f t="shared" si="12"/>
        <v>Monday</v>
      </c>
      <c r="G719" s="2" t="s">
        <v>328</v>
      </c>
      <c r="H719" s="2">
        <v>5</v>
      </c>
      <c r="I719" s="2" t="e">
        <f t="shared" ca="1" si="14"/>
        <v>#NAME?</v>
      </c>
      <c r="J719" s="2" t="e">
        <f t="shared" ca="1" si="13"/>
        <v>#NAME?</v>
      </c>
    </row>
    <row r="720" spans="1:10" ht="15.75" customHeight="1" x14ac:dyDescent="0.2">
      <c r="A720" s="2">
        <v>719</v>
      </c>
      <c r="B720" s="4">
        <v>45510</v>
      </c>
      <c r="C720" s="2">
        <f t="shared" si="10"/>
        <v>0</v>
      </c>
      <c r="D720" s="2">
        <v>1</v>
      </c>
      <c r="E720" s="2">
        <f t="shared" si="11"/>
        <v>1</v>
      </c>
      <c r="F720" s="2" t="str">
        <f t="shared" si="12"/>
        <v>Tuesday</v>
      </c>
      <c r="G720" s="2" t="s">
        <v>328</v>
      </c>
      <c r="H720" s="2">
        <v>5</v>
      </c>
      <c r="I720" s="2" t="e">
        <f t="shared" ca="1" si="14"/>
        <v>#NAME?</v>
      </c>
      <c r="J720" s="2" t="e">
        <f t="shared" ca="1" si="13"/>
        <v>#NAME?</v>
      </c>
    </row>
    <row r="721" spans="1:10" ht="15.75" customHeight="1" x14ac:dyDescent="0.2">
      <c r="A721" s="2">
        <v>720</v>
      </c>
      <c r="B721" s="4">
        <v>45511</v>
      </c>
      <c r="C721" s="2">
        <f t="shared" si="10"/>
        <v>0</v>
      </c>
      <c r="D721" s="2">
        <v>1</v>
      </c>
      <c r="E721" s="2">
        <f t="shared" si="11"/>
        <v>1</v>
      </c>
      <c r="F721" s="2" t="str">
        <f t="shared" si="12"/>
        <v>Wednesday</v>
      </c>
      <c r="G721" s="2" t="s">
        <v>328</v>
      </c>
      <c r="H721" s="2">
        <v>5</v>
      </c>
      <c r="I721" s="2" t="e">
        <f t="shared" ca="1" si="14"/>
        <v>#NAME?</v>
      </c>
      <c r="J721" s="2" t="e">
        <f t="shared" ca="1" si="13"/>
        <v>#NAME?</v>
      </c>
    </row>
    <row r="722" spans="1:10" ht="15.75" customHeight="1" x14ac:dyDescent="0.2">
      <c r="A722" s="2">
        <v>721</v>
      </c>
      <c r="B722" s="4">
        <v>45512</v>
      </c>
      <c r="C722" s="2">
        <f t="shared" si="10"/>
        <v>0</v>
      </c>
      <c r="D722" s="2">
        <v>1</v>
      </c>
      <c r="E722" s="2">
        <f t="shared" si="11"/>
        <v>1</v>
      </c>
      <c r="F722" s="2" t="str">
        <f t="shared" si="12"/>
        <v>Thursday</v>
      </c>
      <c r="G722" s="2" t="s">
        <v>328</v>
      </c>
      <c r="H722" s="2">
        <v>5</v>
      </c>
      <c r="I722" s="2" t="e">
        <f t="shared" ca="1" si="14"/>
        <v>#NAME?</v>
      </c>
      <c r="J722" s="2" t="e">
        <f t="shared" ca="1" si="13"/>
        <v>#NAME?</v>
      </c>
    </row>
    <row r="723" spans="1:10" ht="15.75" customHeight="1" x14ac:dyDescent="0.2">
      <c r="A723" s="2">
        <v>722</v>
      </c>
      <c r="B723" s="4">
        <v>45513</v>
      </c>
      <c r="C723" s="2">
        <f t="shared" si="10"/>
        <v>0</v>
      </c>
      <c r="D723" s="2">
        <v>1</v>
      </c>
      <c r="E723" s="2">
        <f t="shared" si="11"/>
        <v>1</v>
      </c>
      <c r="F723" s="2" t="str">
        <f t="shared" si="12"/>
        <v>Friday</v>
      </c>
      <c r="G723" s="2" t="s">
        <v>328</v>
      </c>
      <c r="H723" s="2">
        <v>5</v>
      </c>
      <c r="I723" s="2" t="e">
        <f t="shared" ca="1" si="14"/>
        <v>#NAME?</v>
      </c>
      <c r="J723" s="2" t="e">
        <f t="shared" ca="1" si="13"/>
        <v>#NAME?</v>
      </c>
    </row>
    <row r="724" spans="1:10" ht="15.75" customHeight="1" x14ac:dyDescent="0.2">
      <c r="A724" s="2">
        <v>723</v>
      </c>
      <c r="B724" s="4">
        <v>45514</v>
      </c>
      <c r="C724" s="2">
        <f t="shared" si="10"/>
        <v>1</v>
      </c>
      <c r="D724" s="2">
        <v>1</v>
      </c>
      <c r="E724" s="2">
        <f t="shared" si="11"/>
        <v>1</v>
      </c>
      <c r="F724" s="2" t="str">
        <f t="shared" si="12"/>
        <v>Saturday</v>
      </c>
      <c r="G724" s="2" t="s">
        <v>328</v>
      </c>
      <c r="H724" s="2">
        <v>5</v>
      </c>
      <c r="I724" s="2" t="e">
        <f t="shared" ca="1" si="14"/>
        <v>#NAME?</v>
      </c>
      <c r="J724" s="2" t="e">
        <f t="shared" ca="1" si="13"/>
        <v>#NAME?</v>
      </c>
    </row>
    <row r="725" spans="1:10" ht="15.75" customHeight="1" x14ac:dyDescent="0.2">
      <c r="A725" s="2">
        <v>724</v>
      </c>
      <c r="B725" s="4">
        <v>45515</v>
      </c>
      <c r="C725" s="2">
        <f t="shared" si="10"/>
        <v>1</v>
      </c>
      <c r="D725" s="2">
        <v>1</v>
      </c>
      <c r="E725" s="2">
        <f t="shared" si="11"/>
        <v>1</v>
      </c>
      <c r="F725" s="2" t="str">
        <f t="shared" si="12"/>
        <v>Sunday</v>
      </c>
      <c r="G725" s="2" t="s">
        <v>328</v>
      </c>
      <c r="H725" s="2">
        <v>5</v>
      </c>
      <c r="I725" s="2" t="e">
        <f t="shared" ca="1" si="14"/>
        <v>#NAME?</v>
      </c>
      <c r="J725" s="2" t="e">
        <f t="shared" ca="1" si="13"/>
        <v>#NAME?</v>
      </c>
    </row>
    <row r="726" spans="1:10" ht="15.75" customHeight="1" x14ac:dyDescent="0.2">
      <c r="A726" s="2">
        <v>725</v>
      </c>
      <c r="B726" s="4">
        <v>45516</v>
      </c>
      <c r="C726" s="2">
        <f t="shared" si="10"/>
        <v>0</v>
      </c>
      <c r="D726" s="2">
        <v>1</v>
      </c>
      <c r="E726" s="2">
        <f t="shared" si="11"/>
        <v>1</v>
      </c>
      <c r="F726" s="2" t="str">
        <f t="shared" si="12"/>
        <v>Monday</v>
      </c>
      <c r="G726" s="2" t="s">
        <v>328</v>
      </c>
      <c r="H726" s="2">
        <v>5</v>
      </c>
      <c r="I726" s="2" t="e">
        <f t="shared" ca="1" si="14"/>
        <v>#NAME?</v>
      </c>
      <c r="J726" s="2" t="e">
        <f t="shared" ca="1" si="13"/>
        <v>#NAME?</v>
      </c>
    </row>
    <row r="727" spans="1:10" ht="15.75" customHeight="1" x14ac:dyDescent="0.2">
      <c r="A727" s="2">
        <v>726</v>
      </c>
      <c r="B727" s="4">
        <v>45517</v>
      </c>
      <c r="C727" s="2">
        <f t="shared" si="10"/>
        <v>0</v>
      </c>
      <c r="D727" s="2">
        <v>1</v>
      </c>
      <c r="E727" s="2">
        <f t="shared" si="11"/>
        <v>1</v>
      </c>
      <c r="F727" s="2" t="str">
        <f t="shared" si="12"/>
        <v>Tuesday</v>
      </c>
      <c r="G727" s="2" t="s">
        <v>328</v>
      </c>
      <c r="H727" s="2">
        <v>5</v>
      </c>
      <c r="I727" s="2" t="e">
        <f t="shared" ca="1" si="14"/>
        <v>#NAME?</v>
      </c>
      <c r="J727" s="2" t="e">
        <f t="shared" ca="1" si="13"/>
        <v>#NAME?</v>
      </c>
    </row>
    <row r="728" spans="1:10" ht="15.75" customHeight="1" x14ac:dyDescent="0.2">
      <c r="A728" s="2">
        <v>727</v>
      </c>
      <c r="B728" s="4">
        <v>45518</v>
      </c>
      <c r="C728" s="2">
        <f t="shared" si="10"/>
        <v>0</v>
      </c>
      <c r="D728" s="2">
        <v>1</v>
      </c>
      <c r="E728" s="2">
        <f t="shared" si="11"/>
        <v>1</v>
      </c>
      <c r="F728" s="2" t="str">
        <f t="shared" si="12"/>
        <v>Wednesday</v>
      </c>
      <c r="G728" s="2" t="s">
        <v>328</v>
      </c>
      <c r="H728" s="2">
        <v>5</v>
      </c>
      <c r="I728" s="2" t="e">
        <f t="shared" ca="1" si="14"/>
        <v>#NAME?</v>
      </c>
      <c r="J728" s="2" t="e">
        <f t="shared" ca="1" si="13"/>
        <v>#NAME?</v>
      </c>
    </row>
    <row r="729" spans="1:10" ht="15.75" customHeight="1" x14ac:dyDescent="0.2">
      <c r="A729" s="2">
        <v>728</v>
      </c>
      <c r="B729" s="4">
        <v>45519</v>
      </c>
      <c r="C729" s="2">
        <f t="shared" si="10"/>
        <v>0</v>
      </c>
      <c r="D729" s="2">
        <v>1</v>
      </c>
      <c r="E729" s="2">
        <f t="shared" si="11"/>
        <v>1</v>
      </c>
      <c r="F729" s="2" t="str">
        <f t="shared" si="12"/>
        <v>Thursday</v>
      </c>
      <c r="G729" s="2" t="s">
        <v>328</v>
      </c>
      <c r="H729" s="2">
        <v>5</v>
      </c>
      <c r="I729" s="2" t="e">
        <f t="shared" ca="1" si="14"/>
        <v>#NAME?</v>
      </c>
      <c r="J729" s="2" t="e">
        <f t="shared" ca="1" si="13"/>
        <v>#NAME?</v>
      </c>
    </row>
    <row r="730" spans="1:10" ht="15.75" customHeight="1" x14ac:dyDescent="0.2">
      <c r="A730" s="2">
        <v>729</v>
      </c>
      <c r="B730" s="4">
        <v>45520</v>
      </c>
      <c r="C730" s="2">
        <f t="shared" si="10"/>
        <v>0</v>
      </c>
      <c r="D730" s="2">
        <v>1</v>
      </c>
      <c r="E730" s="2">
        <f t="shared" si="11"/>
        <v>1</v>
      </c>
      <c r="F730" s="2" t="str">
        <f t="shared" si="12"/>
        <v>Friday</v>
      </c>
      <c r="G730" s="2" t="s">
        <v>328</v>
      </c>
      <c r="H730" s="2">
        <v>5</v>
      </c>
      <c r="I730" s="2" t="e">
        <f t="shared" ca="1" si="14"/>
        <v>#NAME?</v>
      </c>
      <c r="J730" s="2" t="e">
        <f t="shared" ca="1" si="13"/>
        <v>#NAME?</v>
      </c>
    </row>
    <row r="731" spans="1:10" ht="15.75" customHeight="1" x14ac:dyDescent="0.2">
      <c r="A731" s="2">
        <v>730</v>
      </c>
      <c r="B731" s="4">
        <v>45521</v>
      </c>
      <c r="C731" s="2">
        <f t="shared" si="10"/>
        <v>1</v>
      </c>
      <c r="D731" s="2">
        <v>1</v>
      </c>
      <c r="E731" s="2">
        <f t="shared" si="11"/>
        <v>1</v>
      </c>
      <c r="F731" s="2" t="str">
        <f t="shared" si="12"/>
        <v>Saturday</v>
      </c>
      <c r="G731" s="2" t="s">
        <v>328</v>
      </c>
      <c r="H731" s="2">
        <v>5</v>
      </c>
      <c r="I731" s="2" t="e">
        <f t="shared" ca="1" si="14"/>
        <v>#NAME?</v>
      </c>
      <c r="J731" s="2" t="e">
        <f t="shared" ca="1" si="13"/>
        <v>#NAME?</v>
      </c>
    </row>
    <row r="732" spans="1:10" ht="15.75" customHeight="1" x14ac:dyDescent="0.2">
      <c r="A732" s="2">
        <v>731</v>
      </c>
      <c r="B732" s="4">
        <v>45522</v>
      </c>
      <c r="C732" s="2">
        <f t="shared" si="10"/>
        <v>1</v>
      </c>
      <c r="D732" s="2">
        <v>1</v>
      </c>
      <c r="E732" s="2">
        <f t="shared" si="11"/>
        <v>1</v>
      </c>
      <c r="F732" s="2" t="str">
        <f t="shared" si="12"/>
        <v>Sunday</v>
      </c>
      <c r="G732" s="2" t="s">
        <v>328</v>
      </c>
      <c r="H732" s="2">
        <v>5</v>
      </c>
      <c r="I732" s="2" t="e">
        <f t="shared" ca="1" si="14"/>
        <v>#NAME?</v>
      </c>
      <c r="J732" s="2" t="e">
        <f t="shared" ca="1" si="13"/>
        <v>#NAME?</v>
      </c>
    </row>
    <row r="733" spans="1:10" ht="15.75" customHeight="1" x14ac:dyDescent="0.2">
      <c r="A733" s="2">
        <v>732</v>
      </c>
      <c r="B733" s="4">
        <v>45523</v>
      </c>
      <c r="C733" s="2">
        <f t="shared" si="10"/>
        <v>0</v>
      </c>
      <c r="D733" s="2">
        <v>1</v>
      </c>
      <c r="E733" s="2">
        <f t="shared" si="11"/>
        <v>1</v>
      </c>
      <c r="F733" s="2" t="str">
        <f t="shared" si="12"/>
        <v>Monday</v>
      </c>
      <c r="G733" s="2" t="s">
        <v>328</v>
      </c>
      <c r="H733" s="2">
        <v>5</v>
      </c>
      <c r="I733" s="2" t="e">
        <f t="shared" ca="1" si="14"/>
        <v>#NAME?</v>
      </c>
      <c r="J733" s="2" t="e">
        <f t="shared" ca="1" si="13"/>
        <v>#NAME?</v>
      </c>
    </row>
    <row r="734" spans="1:10" ht="15.75" customHeight="1" x14ac:dyDescent="0.2">
      <c r="A734" s="2">
        <v>733</v>
      </c>
      <c r="B734" s="4">
        <v>45524</v>
      </c>
      <c r="C734" s="2">
        <f t="shared" si="10"/>
        <v>0</v>
      </c>
      <c r="D734" s="2">
        <v>1</v>
      </c>
      <c r="E734" s="2">
        <f t="shared" si="11"/>
        <v>1</v>
      </c>
      <c r="F734" s="2" t="str">
        <f t="shared" si="12"/>
        <v>Tuesday</v>
      </c>
      <c r="G734" s="2" t="s">
        <v>328</v>
      </c>
      <c r="H734" s="2">
        <v>5</v>
      </c>
      <c r="I734" s="2" t="e">
        <f t="shared" ca="1" si="14"/>
        <v>#NAME?</v>
      </c>
      <c r="J734" s="2" t="e">
        <f t="shared" ca="1" si="13"/>
        <v>#NAME?</v>
      </c>
    </row>
    <row r="735" spans="1:10" ht="15.75" customHeight="1" x14ac:dyDescent="0.2">
      <c r="A735" s="2">
        <v>734</v>
      </c>
      <c r="B735" s="4">
        <v>45525</v>
      </c>
      <c r="C735" s="2">
        <f t="shared" si="10"/>
        <v>0</v>
      </c>
      <c r="D735" s="2">
        <v>1</v>
      </c>
      <c r="E735" s="2">
        <f t="shared" si="11"/>
        <v>1</v>
      </c>
      <c r="F735" s="2" t="str">
        <f t="shared" si="12"/>
        <v>Wednesday</v>
      </c>
      <c r="G735" s="2" t="s">
        <v>328</v>
      </c>
      <c r="H735" s="2">
        <v>5</v>
      </c>
      <c r="I735" s="2" t="e">
        <f t="shared" ca="1" si="14"/>
        <v>#NAME?</v>
      </c>
      <c r="J735" s="2" t="e">
        <f t="shared" ca="1" si="13"/>
        <v>#NAME?</v>
      </c>
    </row>
    <row r="736" spans="1:10" ht="15.75" customHeight="1" x14ac:dyDescent="0.2">
      <c r="A736" s="2">
        <v>735</v>
      </c>
      <c r="B736" s="4">
        <v>45526</v>
      </c>
      <c r="C736" s="2">
        <f t="shared" si="10"/>
        <v>0</v>
      </c>
      <c r="D736" s="2">
        <v>1</v>
      </c>
      <c r="E736" s="2">
        <f t="shared" si="11"/>
        <v>1</v>
      </c>
      <c r="F736" s="2" t="str">
        <f t="shared" si="12"/>
        <v>Thursday</v>
      </c>
      <c r="G736" s="2" t="s">
        <v>328</v>
      </c>
      <c r="H736" s="2">
        <v>5</v>
      </c>
      <c r="I736" s="2" t="e">
        <f t="shared" ca="1" si="14"/>
        <v>#NAME?</v>
      </c>
      <c r="J736" s="2" t="e">
        <f t="shared" ca="1" si="13"/>
        <v>#NAME?</v>
      </c>
    </row>
    <row r="737" spans="1:10" ht="15.75" customHeight="1" x14ac:dyDescent="0.2">
      <c r="A737" s="2">
        <v>736</v>
      </c>
      <c r="B737" s="4">
        <v>45527</v>
      </c>
      <c r="C737" s="2">
        <f t="shared" si="10"/>
        <v>0</v>
      </c>
      <c r="D737" s="2">
        <v>1</v>
      </c>
      <c r="E737" s="2">
        <f t="shared" si="11"/>
        <v>1</v>
      </c>
      <c r="F737" s="2" t="str">
        <f t="shared" si="12"/>
        <v>Friday</v>
      </c>
      <c r="G737" s="2" t="s">
        <v>328</v>
      </c>
      <c r="H737" s="2">
        <v>5</v>
      </c>
      <c r="I737" s="2" t="e">
        <f t="shared" ca="1" si="14"/>
        <v>#NAME?</v>
      </c>
      <c r="J737" s="2" t="e">
        <f t="shared" ca="1" si="13"/>
        <v>#NAME?</v>
      </c>
    </row>
    <row r="738" spans="1:10" ht="15.75" customHeight="1" x14ac:dyDescent="0.2">
      <c r="A738" s="2">
        <v>737</v>
      </c>
      <c r="B738" s="4">
        <v>45528</v>
      </c>
      <c r="C738" s="2">
        <f t="shared" si="10"/>
        <v>1</v>
      </c>
      <c r="D738" s="2">
        <v>1</v>
      </c>
      <c r="E738" s="2">
        <f t="shared" si="11"/>
        <v>1</v>
      </c>
      <c r="F738" s="2" t="str">
        <f t="shared" si="12"/>
        <v>Saturday</v>
      </c>
      <c r="G738" s="2" t="s">
        <v>328</v>
      </c>
      <c r="H738" s="2">
        <v>5</v>
      </c>
      <c r="I738" s="2" t="e">
        <f t="shared" ca="1" si="14"/>
        <v>#NAME?</v>
      </c>
      <c r="J738" s="2" t="e">
        <f t="shared" ca="1" si="13"/>
        <v>#NAME?</v>
      </c>
    </row>
    <row r="739" spans="1:10" ht="15.75" customHeight="1" x14ac:dyDescent="0.2">
      <c r="A739" s="2">
        <v>738</v>
      </c>
      <c r="B739" s="4">
        <v>45529</v>
      </c>
      <c r="C739" s="2">
        <f t="shared" si="10"/>
        <v>1</v>
      </c>
      <c r="D739" s="2">
        <v>1</v>
      </c>
      <c r="E739" s="2">
        <f t="shared" si="11"/>
        <v>1</v>
      </c>
      <c r="F739" s="2" t="str">
        <f t="shared" si="12"/>
        <v>Sunday</v>
      </c>
      <c r="G739" s="2" t="s">
        <v>328</v>
      </c>
      <c r="H739" s="2">
        <v>5</v>
      </c>
      <c r="I739" s="2" t="e">
        <f t="shared" ca="1" si="14"/>
        <v>#NAME?</v>
      </c>
      <c r="J739" s="2" t="e">
        <f t="shared" ca="1" si="13"/>
        <v>#NAME?</v>
      </c>
    </row>
    <row r="740" spans="1:10" ht="15.75" customHeight="1" x14ac:dyDescent="0.2">
      <c r="A740" s="2">
        <v>739</v>
      </c>
      <c r="B740" s="4">
        <v>45530</v>
      </c>
      <c r="C740" s="2">
        <f t="shared" si="10"/>
        <v>0</v>
      </c>
      <c r="D740" s="2">
        <v>0</v>
      </c>
      <c r="E740" s="2">
        <f t="shared" si="11"/>
        <v>0</v>
      </c>
      <c r="F740" s="2" t="str">
        <f t="shared" si="12"/>
        <v>Monday</v>
      </c>
      <c r="H740" s="2">
        <v>1</v>
      </c>
      <c r="I740" s="2" t="e">
        <f t="shared" ca="1" si="14"/>
        <v>#NAME?</v>
      </c>
      <c r="J740" s="2" t="e">
        <f t="shared" ca="1" si="13"/>
        <v>#NAME?</v>
      </c>
    </row>
    <row r="741" spans="1:10" ht="15.75" customHeight="1" x14ac:dyDescent="0.2">
      <c r="A741" s="2">
        <v>740</v>
      </c>
      <c r="B741" s="4">
        <v>45531</v>
      </c>
      <c r="C741" s="2">
        <f t="shared" si="10"/>
        <v>0</v>
      </c>
      <c r="D741" s="2">
        <v>0</v>
      </c>
      <c r="E741" s="2">
        <f t="shared" si="11"/>
        <v>0</v>
      </c>
      <c r="F741" s="2" t="str">
        <f t="shared" si="12"/>
        <v>Tuesday</v>
      </c>
      <c r="H741" s="2">
        <v>1</v>
      </c>
      <c r="I741" s="2" t="e">
        <f t="shared" ca="1" si="14"/>
        <v>#NAME?</v>
      </c>
      <c r="J741" s="2" t="e">
        <f t="shared" ca="1" si="13"/>
        <v>#NAME?</v>
      </c>
    </row>
    <row r="742" spans="1:10" ht="15.75" customHeight="1" x14ac:dyDescent="0.2">
      <c r="A742" s="2">
        <v>741</v>
      </c>
      <c r="B742" s="4">
        <v>45532</v>
      </c>
      <c r="C742" s="2">
        <f t="shared" si="10"/>
        <v>0</v>
      </c>
      <c r="D742" s="2">
        <v>0</v>
      </c>
      <c r="E742" s="2">
        <f t="shared" si="11"/>
        <v>0</v>
      </c>
      <c r="F742" s="2" t="str">
        <f t="shared" si="12"/>
        <v>Wednesday</v>
      </c>
      <c r="H742" s="2">
        <v>1</v>
      </c>
      <c r="I742" s="2" t="e">
        <f t="shared" ca="1" si="14"/>
        <v>#NAME?</v>
      </c>
      <c r="J742" s="2" t="e">
        <f t="shared" ca="1" si="13"/>
        <v>#NAME?</v>
      </c>
    </row>
    <row r="743" spans="1:10" ht="15.75" customHeight="1" x14ac:dyDescent="0.2">
      <c r="A743" s="2">
        <v>742</v>
      </c>
      <c r="B743" s="4">
        <v>45533</v>
      </c>
      <c r="C743" s="2">
        <f t="shared" si="10"/>
        <v>0</v>
      </c>
      <c r="D743" s="2">
        <v>0</v>
      </c>
      <c r="E743" s="2">
        <f t="shared" si="11"/>
        <v>0</v>
      </c>
      <c r="F743" s="2" t="str">
        <f t="shared" si="12"/>
        <v>Thursday</v>
      </c>
      <c r="H743" s="2">
        <v>1</v>
      </c>
      <c r="I743" s="2" t="e">
        <f t="shared" ca="1" si="14"/>
        <v>#NAME?</v>
      </c>
      <c r="J743" s="2" t="e">
        <f t="shared" ca="1" si="13"/>
        <v>#NAME?</v>
      </c>
    </row>
    <row r="744" spans="1:10" ht="15.75" customHeight="1" x14ac:dyDescent="0.2">
      <c r="A744" s="2">
        <v>743</v>
      </c>
      <c r="B744" s="4">
        <v>45534</v>
      </c>
      <c r="C744" s="2">
        <f t="shared" si="10"/>
        <v>0</v>
      </c>
      <c r="D744" s="2">
        <v>0</v>
      </c>
      <c r="E744" s="2">
        <f t="shared" si="11"/>
        <v>0</v>
      </c>
      <c r="F744" s="2" t="str">
        <f t="shared" si="12"/>
        <v>Friday</v>
      </c>
      <c r="H744" s="2">
        <v>1</v>
      </c>
      <c r="I744" s="2" t="e">
        <f t="shared" ca="1" si="14"/>
        <v>#NAME?</v>
      </c>
      <c r="J744" s="2" t="e">
        <f t="shared" ca="1" si="13"/>
        <v>#NAME?</v>
      </c>
    </row>
    <row r="745" spans="1:10" ht="15.75" customHeight="1" x14ac:dyDescent="0.2">
      <c r="A745" s="2">
        <v>744</v>
      </c>
      <c r="B745" s="4">
        <v>45535</v>
      </c>
      <c r="C745" s="2">
        <f t="shared" si="10"/>
        <v>1</v>
      </c>
      <c r="D745" s="2">
        <v>0</v>
      </c>
      <c r="E745" s="2">
        <f t="shared" si="11"/>
        <v>1</v>
      </c>
      <c r="F745" s="2" t="str">
        <f t="shared" si="12"/>
        <v>Saturday</v>
      </c>
      <c r="H745" s="2">
        <v>1</v>
      </c>
      <c r="I745" s="2" t="e">
        <f t="shared" ca="1" si="14"/>
        <v>#NAME?</v>
      </c>
      <c r="J745" s="2" t="e">
        <f t="shared" ca="1" si="13"/>
        <v>#NAME?</v>
      </c>
    </row>
    <row r="746" spans="1:10" ht="15.75" customHeight="1" x14ac:dyDescent="0.2">
      <c r="A746" s="2">
        <v>745</v>
      </c>
      <c r="B746" s="4">
        <v>45536</v>
      </c>
      <c r="C746" s="2">
        <f t="shared" si="10"/>
        <v>1</v>
      </c>
      <c r="D746" s="2">
        <v>0</v>
      </c>
      <c r="E746" s="2">
        <f t="shared" si="11"/>
        <v>1</v>
      </c>
      <c r="F746" s="2" t="str">
        <f t="shared" si="12"/>
        <v>Sunday</v>
      </c>
      <c r="H746" s="2">
        <v>1</v>
      </c>
      <c r="I746" s="2" t="e">
        <f t="shared" ca="1" si="14"/>
        <v>#NAME?</v>
      </c>
      <c r="J746" s="2" t="e">
        <f t="shared" ca="1" si="13"/>
        <v>#NAME?</v>
      </c>
    </row>
    <row r="747" spans="1:10" ht="15.75" customHeight="1" x14ac:dyDescent="0.2">
      <c r="A747" s="2">
        <v>746</v>
      </c>
      <c r="B747" s="4">
        <v>45537</v>
      </c>
      <c r="C747" s="2">
        <f t="shared" si="10"/>
        <v>0</v>
      </c>
      <c r="D747" s="2">
        <v>0</v>
      </c>
      <c r="E747" s="2">
        <f t="shared" si="11"/>
        <v>0</v>
      </c>
      <c r="F747" s="2" t="str">
        <f t="shared" si="12"/>
        <v>Monday</v>
      </c>
      <c r="H747" s="2">
        <v>1</v>
      </c>
      <c r="I747" s="2" t="e">
        <f t="shared" ca="1" si="14"/>
        <v>#NAME?</v>
      </c>
      <c r="J747" s="2" t="e">
        <f t="shared" ca="1" si="13"/>
        <v>#NAME?</v>
      </c>
    </row>
    <row r="748" spans="1:10" ht="15.75" customHeight="1" x14ac:dyDescent="0.2">
      <c r="A748" s="2">
        <v>747</v>
      </c>
      <c r="B748" s="4">
        <v>45538</v>
      </c>
      <c r="C748" s="2">
        <f t="shared" si="10"/>
        <v>0</v>
      </c>
      <c r="D748" s="2">
        <v>0</v>
      </c>
      <c r="E748" s="2">
        <f t="shared" si="11"/>
        <v>0</v>
      </c>
      <c r="F748" s="2" t="str">
        <f t="shared" si="12"/>
        <v>Tuesday</v>
      </c>
      <c r="H748" s="2">
        <v>1</v>
      </c>
      <c r="I748" s="2" t="e">
        <f t="shared" ca="1" si="14"/>
        <v>#NAME?</v>
      </c>
      <c r="J748" s="2" t="e">
        <f t="shared" ca="1" si="13"/>
        <v>#NAME?</v>
      </c>
    </row>
    <row r="749" spans="1:10" ht="15.75" customHeight="1" x14ac:dyDescent="0.2">
      <c r="A749" s="2">
        <v>748</v>
      </c>
      <c r="B749" s="4">
        <v>45539</v>
      </c>
      <c r="C749" s="2">
        <f t="shared" si="10"/>
        <v>0</v>
      </c>
      <c r="D749" s="2">
        <v>0</v>
      </c>
      <c r="E749" s="2">
        <f t="shared" si="11"/>
        <v>0</v>
      </c>
      <c r="F749" s="2" t="str">
        <f t="shared" si="12"/>
        <v>Wednesday</v>
      </c>
      <c r="H749" s="2">
        <v>1</v>
      </c>
      <c r="I749" s="2" t="e">
        <f t="shared" ca="1" si="14"/>
        <v>#NAME?</v>
      </c>
      <c r="J749" s="2" t="e">
        <f t="shared" ca="1" si="13"/>
        <v>#NAME?</v>
      </c>
    </row>
    <row r="750" spans="1:10" ht="15.75" customHeight="1" x14ac:dyDescent="0.2">
      <c r="A750" s="2">
        <v>749</v>
      </c>
      <c r="B750" s="4">
        <v>45540</v>
      </c>
      <c r="C750" s="2">
        <f t="shared" si="10"/>
        <v>0</v>
      </c>
      <c r="D750" s="2">
        <v>0</v>
      </c>
      <c r="E750" s="2">
        <f t="shared" si="11"/>
        <v>0</v>
      </c>
      <c r="F750" s="2" t="str">
        <f t="shared" si="12"/>
        <v>Thursday</v>
      </c>
      <c r="H750" s="2">
        <v>1</v>
      </c>
      <c r="I750" s="2" t="e">
        <f t="shared" ca="1" si="14"/>
        <v>#NAME?</v>
      </c>
      <c r="J750" s="2" t="e">
        <f t="shared" ca="1" si="13"/>
        <v>#NAME?</v>
      </c>
    </row>
    <row r="751" spans="1:10" ht="15.75" customHeight="1" x14ac:dyDescent="0.2">
      <c r="A751" s="2">
        <v>750</v>
      </c>
      <c r="B751" s="4">
        <v>45541</v>
      </c>
      <c r="C751" s="2">
        <f t="shared" si="10"/>
        <v>0</v>
      </c>
      <c r="D751" s="2">
        <v>0</v>
      </c>
      <c r="E751" s="2">
        <f t="shared" si="11"/>
        <v>0</v>
      </c>
      <c r="F751" s="2" t="str">
        <f t="shared" si="12"/>
        <v>Friday</v>
      </c>
      <c r="H751" s="2">
        <v>1</v>
      </c>
      <c r="I751" s="2" t="e">
        <f t="shared" ca="1" si="14"/>
        <v>#NAME?</v>
      </c>
      <c r="J751" s="2" t="e">
        <f t="shared" ca="1" si="13"/>
        <v>#NAME?</v>
      </c>
    </row>
    <row r="752" spans="1:10" ht="15.75" customHeight="1" x14ac:dyDescent="0.2">
      <c r="A752" s="2">
        <v>751</v>
      </c>
      <c r="B752" s="4">
        <v>45542</v>
      </c>
      <c r="C752" s="2">
        <f t="shared" si="10"/>
        <v>1</v>
      </c>
      <c r="D752" s="2">
        <v>0</v>
      </c>
      <c r="E752" s="2">
        <f t="shared" si="11"/>
        <v>1</v>
      </c>
      <c r="F752" s="2" t="str">
        <f t="shared" si="12"/>
        <v>Saturday</v>
      </c>
      <c r="H752" s="2">
        <v>1</v>
      </c>
      <c r="I752" s="2" t="e">
        <f t="shared" ca="1" si="14"/>
        <v>#NAME?</v>
      </c>
      <c r="J752" s="2" t="e">
        <f t="shared" ca="1" si="13"/>
        <v>#NAME?</v>
      </c>
    </row>
    <row r="753" spans="1:10" ht="15.75" customHeight="1" x14ac:dyDescent="0.2">
      <c r="A753" s="2">
        <v>752</v>
      </c>
      <c r="B753" s="4">
        <v>45543</v>
      </c>
      <c r="C753" s="2">
        <f t="shared" si="10"/>
        <v>1</v>
      </c>
      <c r="D753" s="2">
        <v>0</v>
      </c>
      <c r="E753" s="2">
        <f t="shared" si="11"/>
        <v>1</v>
      </c>
      <c r="F753" s="2" t="str">
        <f t="shared" si="12"/>
        <v>Sunday</v>
      </c>
      <c r="H753" s="2">
        <v>1</v>
      </c>
      <c r="I753" s="2" t="e">
        <f t="shared" ca="1" si="14"/>
        <v>#NAME?</v>
      </c>
      <c r="J753" s="2" t="e">
        <f t="shared" ca="1" si="13"/>
        <v>#NAME?</v>
      </c>
    </row>
    <row r="754" spans="1:10" ht="15.75" customHeight="1" x14ac:dyDescent="0.2">
      <c r="A754" s="2">
        <v>753</v>
      </c>
      <c r="B754" s="4">
        <v>45544</v>
      </c>
      <c r="C754" s="2">
        <f t="shared" si="10"/>
        <v>0</v>
      </c>
      <c r="D754" s="2">
        <v>0</v>
      </c>
      <c r="E754" s="2">
        <f t="shared" si="11"/>
        <v>0</v>
      </c>
      <c r="F754" s="2" t="str">
        <f t="shared" si="12"/>
        <v>Monday</v>
      </c>
      <c r="H754" s="2">
        <v>1</v>
      </c>
      <c r="I754" s="2" t="e">
        <f t="shared" ca="1" si="14"/>
        <v>#NAME?</v>
      </c>
      <c r="J754" s="2" t="e">
        <f t="shared" ca="1" si="13"/>
        <v>#NAME?</v>
      </c>
    </row>
    <row r="755" spans="1:10" ht="15.75" customHeight="1" x14ac:dyDescent="0.2">
      <c r="A755" s="2">
        <v>754</v>
      </c>
      <c r="B755" s="4">
        <v>45545</v>
      </c>
      <c r="C755" s="2">
        <f t="shared" si="10"/>
        <v>0</v>
      </c>
      <c r="D755" s="2">
        <v>0</v>
      </c>
      <c r="E755" s="2">
        <f t="shared" si="11"/>
        <v>0</v>
      </c>
      <c r="F755" s="2" t="str">
        <f t="shared" si="12"/>
        <v>Tuesday</v>
      </c>
      <c r="H755" s="2">
        <v>1</v>
      </c>
      <c r="I755" s="2" t="e">
        <f t="shared" ca="1" si="14"/>
        <v>#NAME?</v>
      </c>
      <c r="J755" s="2" t="e">
        <f t="shared" ca="1" si="13"/>
        <v>#NAME?</v>
      </c>
    </row>
    <row r="756" spans="1:10" ht="15.75" customHeight="1" x14ac:dyDescent="0.2">
      <c r="A756" s="2">
        <v>755</v>
      </c>
      <c r="B756" s="4">
        <v>45546</v>
      </c>
      <c r="C756" s="2">
        <f t="shared" si="10"/>
        <v>0</v>
      </c>
      <c r="D756" s="2">
        <v>0</v>
      </c>
      <c r="E756" s="2">
        <f t="shared" si="11"/>
        <v>0</v>
      </c>
      <c r="F756" s="2" t="str">
        <f t="shared" si="12"/>
        <v>Wednesday</v>
      </c>
      <c r="H756" s="2">
        <v>1</v>
      </c>
      <c r="I756" s="2" t="e">
        <f t="shared" ca="1" si="14"/>
        <v>#NAME?</v>
      </c>
      <c r="J756" s="2" t="e">
        <f t="shared" ca="1" si="13"/>
        <v>#NAME?</v>
      </c>
    </row>
    <row r="757" spans="1:10" ht="15.75" customHeight="1" x14ac:dyDescent="0.2">
      <c r="A757" s="2">
        <v>756</v>
      </c>
      <c r="B757" s="4">
        <v>45547</v>
      </c>
      <c r="C757" s="2">
        <f t="shared" si="10"/>
        <v>0</v>
      </c>
      <c r="D757" s="2">
        <v>0</v>
      </c>
      <c r="E757" s="2">
        <f t="shared" si="11"/>
        <v>0</v>
      </c>
      <c r="F757" s="2" t="str">
        <f t="shared" si="12"/>
        <v>Thursday</v>
      </c>
      <c r="H757" s="2">
        <v>1</v>
      </c>
      <c r="I757" s="2" t="e">
        <f t="shared" ca="1" si="14"/>
        <v>#NAME?</v>
      </c>
      <c r="J757" s="2" t="e">
        <f t="shared" ca="1" si="13"/>
        <v>#NAME?</v>
      </c>
    </row>
    <row r="758" spans="1:10" ht="15.75" customHeight="1" x14ac:dyDescent="0.2">
      <c r="A758" s="2">
        <v>757</v>
      </c>
      <c r="B758" s="4">
        <v>45548</v>
      </c>
      <c r="C758" s="2">
        <f t="shared" si="10"/>
        <v>0</v>
      </c>
      <c r="D758" s="2">
        <v>0</v>
      </c>
      <c r="E758" s="2">
        <f t="shared" si="11"/>
        <v>0</v>
      </c>
      <c r="F758" s="2" t="str">
        <f t="shared" si="12"/>
        <v>Friday</v>
      </c>
      <c r="H758" s="2">
        <v>1</v>
      </c>
      <c r="I758" s="2" t="e">
        <f t="shared" ca="1" si="14"/>
        <v>#NAME?</v>
      </c>
      <c r="J758" s="2" t="e">
        <f t="shared" ca="1" si="13"/>
        <v>#NAME?</v>
      </c>
    </row>
    <row r="759" spans="1:10" ht="15.75" customHeight="1" x14ac:dyDescent="0.2">
      <c r="A759" s="2">
        <v>758</v>
      </c>
      <c r="B759" s="4">
        <v>45549</v>
      </c>
      <c r="C759" s="2">
        <f t="shared" si="10"/>
        <v>1</v>
      </c>
      <c r="D759" s="2">
        <v>0</v>
      </c>
      <c r="E759" s="2">
        <f t="shared" si="11"/>
        <v>1</v>
      </c>
      <c r="F759" s="2" t="str">
        <f t="shared" si="12"/>
        <v>Saturday</v>
      </c>
      <c r="H759" s="2">
        <v>1</v>
      </c>
      <c r="I759" s="2" t="e">
        <f t="shared" ca="1" si="14"/>
        <v>#NAME?</v>
      </c>
      <c r="J759" s="2" t="e">
        <f t="shared" ca="1" si="13"/>
        <v>#NAME?</v>
      </c>
    </row>
    <row r="760" spans="1:10" ht="15.75" customHeight="1" x14ac:dyDescent="0.2">
      <c r="A760" s="2">
        <v>759</v>
      </c>
      <c r="B760" s="4">
        <v>45550</v>
      </c>
      <c r="C760" s="2">
        <f t="shared" si="10"/>
        <v>1</v>
      </c>
      <c r="D760" s="2">
        <v>0</v>
      </c>
      <c r="E760" s="2">
        <f t="shared" si="11"/>
        <v>1</v>
      </c>
      <c r="F760" s="2" t="str">
        <f t="shared" si="12"/>
        <v>Sunday</v>
      </c>
      <c r="H760" s="2">
        <v>1</v>
      </c>
      <c r="I760" s="2" t="e">
        <f t="shared" ca="1" si="14"/>
        <v>#NAME?</v>
      </c>
      <c r="J760" s="2" t="e">
        <f t="shared" ca="1" si="13"/>
        <v>#NAME?</v>
      </c>
    </row>
    <row r="761" spans="1:10" ht="15.75" customHeight="1" x14ac:dyDescent="0.2">
      <c r="A761" s="2">
        <v>760</v>
      </c>
      <c r="B761" s="4">
        <v>45551</v>
      </c>
      <c r="C761" s="2">
        <f t="shared" si="10"/>
        <v>0</v>
      </c>
      <c r="D761" s="2">
        <v>0</v>
      </c>
      <c r="E761" s="2">
        <f t="shared" si="11"/>
        <v>0</v>
      </c>
      <c r="F761" s="2" t="str">
        <f t="shared" si="12"/>
        <v>Monday</v>
      </c>
      <c r="H761" s="2">
        <v>1</v>
      </c>
      <c r="I761" s="2" t="e">
        <f t="shared" ca="1" si="14"/>
        <v>#NAME?</v>
      </c>
      <c r="J761" s="2" t="e">
        <f t="shared" ca="1" si="13"/>
        <v>#NAME?</v>
      </c>
    </row>
    <row r="762" spans="1:10" ht="15.75" customHeight="1" x14ac:dyDescent="0.2">
      <c r="A762" s="2">
        <v>761</v>
      </c>
      <c r="B762" s="4">
        <v>45552</v>
      </c>
      <c r="C762" s="2">
        <f t="shared" si="10"/>
        <v>0</v>
      </c>
      <c r="D762" s="2">
        <v>0</v>
      </c>
      <c r="E762" s="2">
        <f t="shared" si="11"/>
        <v>0</v>
      </c>
      <c r="F762" s="2" t="str">
        <f t="shared" si="12"/>
        <v>Tuesday</v>
      </c>
      <c r="H762" s="2">
        <v>1</v>
      </c>
      <c r="I762" s="2" t="e">
        <f t="shared" ca="1" si="14"/>
        <v>#NAME?</v>
      </c>
      <c r="J762" s="2" t="e">
        <f t="shared" ca="1" si="13"/>
        <v>#NAME?</v>
      </c>
    </row>
    <row r="763" spans="1:10" ht="15.75" customHeight="1" x14ac:dyDescent="0.2">
      <c r="A763" s="2">
        <v>762</v>
      </c>
      <c r="B763" s="4">
        <v>45553</v>
      </c>
      <c r="C763" s="2">
        <f t="shared" si="10"/>
        <v>0</v>
      </c>
      <c r="D763" s="2">
        <v>0</v>
      </c>
      <c r="E763" s="2">
        <f t="shared" si="11"/>
        <v>0</v>
      </c>
      <c r="F763" s="2" t="str">
        <f t="shared" si="12"/>
        <v>Wednesday</v>
      </c>
      <c r="H763" s="2">
        <v>1</v>
      </c>
      <c r="I763" s="2" t="e">
        <f t="shared" ca="1" si="14"/>
        <v>#NAME?</v>
      </c>
      <c r="J763" s="2" t="e">
        <f t="shared" ca="1" si="13"/>
        <v>#NAME?</v>
      </c>
    </row>
    <row r="764" spans="1:10" ht="15.75" customHeight="1" x14ac:dyDescent="0.2">
      <c r="A764" s="2">
        <v>763</v>
      </c>
      <c r="B764" s="4">
        <v>45554</v>
      </c>
      <c r="C764" s="2">
        <f t="shared" si="10"/>
        <v>0</v>
      </c>
      <c r="D764" s="2">
        <v>0</v>
      </c>
      <c r="E764" s="2">
        <f t="shared" si="11"/>
        <v>0</v>
      </c>
      <c r="F764" s="2" t="str">
        <f t="shared" si="12"/>
        <v>Thursday</v>
      </c>
      <c r="H764" s="2">
        <v>1</v>
      </c>
      <c r="I764" s="2" t="e">
        <f t="shared" ca="1" si="14"/>
        <v>#NAME?</v>
      </c>
      <c r="J764" s="2" t="e">
        <f t="shared" ca="1" si="13"/>
        <v>#NAME?</v>
      </c>
    </row>
    <row r="765" spans="1:10" ht="15.75" customHeight="1" x14ac:dyDescent="0.2">
      <c r="A765" s="2">
        <v>764</v>
      </c>
      <c r="B765" s="4">
        <v>45555</v>
      </c>
      <c r="C765" s="2">
        <f t="shared" si="10"/>
        <v>0</v>
      </c>
      <c r="D765" s="2">
        <v>0</v>
      </c>
      <c r="E765" s="2">
        <f t="shared" si="11"/>
        <v>0</v>
      </c>
      <c r="F765" s="2" t="str">
        <f t="shared" si="12"/>
        <v>Friday</v>
      </c>
      <c r="H765" s="2">
        <v>1</v>
      </c>
      <c r="I765" s="2" t="e">
        <f t="shared" ca="1" si="14"/>
        <v>#NAME?</v>
      </c>
      <c r="J765" s="2" t="e">
        <f t="shared" ca="1" si="13"/>
        <v>#NAME?</v>
      </c>
    </row>
    <row r="766" spans="1:10" ht="15.75" customHeight="1" x14ac:dyDescent="0.2">
      <c r="A766" s="2">
        <v>765</v>
      </c>
      <c r="B766" s="4">
        <v>45556</v>
      </c>
      <c r="C766" s="2">
        <f t="shared" si="10"/>
        <v>1</v>
      </c>
      <c r="D766" s="2">
        <v>0</v>
      </c>
      <c r="E766" s="2">
        <f t="shared" si="11"/>
        <v>1</v>
      </c>
      <c r="F766" s="2" t="str">
        <f t="shared" si="12"/>
        <v>Saturday</v>
      </c>
      <c r="H766" s="2">
        <v>1</v>
      </c>
      <c r="I766" s="2" t="e">
        <f t="shared" ca="1" si="14"/>
        <v>#NAME?</v>
      </c>
      <c r="J766" s="2" t="e">
        <f t="shared" ca="1" si="13"/>
        <v>#NAME?</v>
      </c>
    </row>
    <row r="767" spans="1:10" ht="15.75" customHeight="1" x14ac:dyDescent="0.2">
      <c r="A767" s="2">
        <v>766</v>
      </c>
      <c r="B767" s="4">
        <v>45557</v>
      </c>
      <c r="C767" s="2">
        <f t="shared" ref="C767:C1001" si="15">IF(OR(WEEKDAY(B767) = 7, WEEKDAY(B767) = 1), 1, 0)</f>
        <v>1</v>
      </c>
      <c r="D767" s="2">
        <v>0</v>
      </c>
      <c r="E767" s="2">
        <f t="shared" ref="E767:E1001" si="16">IF((C767+D767)&gt;0, 1, 0)</f>
        <v>1</v>
      </c>
      <c r="F767" s="2" t="str">
        <f t="shared" ref="F767:F1001" si="17">TEXT(B767, "dddd")</f>
        <v>Sunday</v>
      </c>
      <c r="H767" s="2">
        <v>1</v>
      </c>
      <c r="I767" s="2" t="e">
        <f t="shared" ca="1" si="14"/>
        <v>#NAME?</v>
      </c>
      <c r="J767" s="2" t="e">
        <f t="shared" ref="J767:J1001" ca="1" si="18">_xludf.ISOWEEKNUM(B767)</f>
        <v>#NAME?</v>
      </c>
    </row>
    <row r="768" spans="1:10" ht="15.75" customHeight="1" x14ac:dyDescent="0.2">
      <c r="A768" s="2">
        <v>767</v>
      </c>
      <c r="B768" s="4">
        <v>45558</v>
      </c>
      <c r="C768" s="2">
        <f t="shared" si="15"/>
        <v>0</v>
      </c>
      <c r="D768" s="2">
        <v>0</v>
      </c>
      <c r="E768" s="2">
        <f t="shared" si="16"/>
        <v>0</v>
      </c>
      <c r="F768" s="2" t="str">
        <f t="shared" si="17"/>
        <v>Monday</v>
      </c>
      <c r="H768" s="2">
        <v>1</v>
      </c>
      <c r="I768" s="2" t="e">
        <f t="shared" ca="1" si="14"/>
        <v>#NAME?</v>
      </c>
      <c r="J768" s="2" t="e">
        <f t="shared" ca="1" si="18"/>
        <v>#NAME?</v>
      </c>
    </row>
    <row r="769" spans="1:10" ht="15.75" customHeight="1" x14ac:dyDescent="0.2">
      <c r="A769" s="2">
        <v>768</v>
      </c>
      <c r="B769" s="4">
        <v>45559</v>
      </c>
      <c r="C769" s="2">
        <f t="shared" si="15"/>
        <v>0</v>
      </c>
      <c r="D769" s="2">
        <v>0</v>
      </c>
      <c r="E769" s="2">
        <f t="shared" si="16"/>
        <v>0</v>
      </c>
      <c r="F769" s="2" t="str">
        <f t="shared" si="17"/>
        <v>Tuesday</v>
      </c>
      <c r="H769" s="2">
        <v>1</v>
      </c>
      <c r="I769" s="2" t="e">
        <f t="shared" ca="1" si="14"/>
        <v>#NAME?</v>
      </c>
      <c r="J769" s="2" t="e">
        <f t="shared" ca="1" si="18"/>
        <v>#NAME?</v>
      </c>
    </row>
    <row r="770" spans="1:10" ht="15.75" customHeight="1" x14ac:dyDescent="0.2">
      <c r="A770" s="2">
        <v>769</v>
      </c>
      <c r="B770" s="4">
        <v>45560</v>
      </c>
      <c r="C770" s="2">
        <f t="shared" si="15"/>
        <v>0</v>
      </c>
      <c r="D770" s="2">
        <v>0</v>
      </c>
      <c r="E770" s="2">
        <f t="shared" si="16"/>
        <v>0</v>
      </c>
      <c r="F770" s="2" t="str">
        <f t="shared" si="17"/>
        <v>Wednesday</v>
      </c>
      <c r="H770" s="2">
        <v>1</v>
      </c>
      <c r="I770" s="2" t="e">
        <f t="shared" ref="I770:I1001" ca="1" si="19">IF(J770&gt;J769, IF(H770&lt;&gt;H769,1, I769+1),I769)</f>
        <v>#NAME?</v>
      </c>
      <c r="J770" s="2" t="e">
        <f t="shared" ca="1" si="18"/>
        <v>#NAME?</v>
      </c>
    </row>
    <row r="771" spans="1:10" ht="15.75" customHeight="1" x14ac:dyDescent="0.2">
      <c r="A771" s="2">
        <v>770</v>
      </c>
      <c r="B771" s="4">
        <v>45561</v>
      </c>
      <c r="C771" s="2">
        <f t="shared" si="15"/>
        <v>0</v>
      </c>
      <c r="D771" s="2">
        <v>0</v>
      </c>
      <c r="E771" s="2">
        <f t="shared" si="16"/>
        <v>0</v>
      </c>
      <c r="F771" s="2" t="str">
        <f t="shared" si="17"/>
        <v>Thursday</v>
      </c>
      <c r="H771" s="2">
        <v>1</v>
      </c>
      <c r="I771" s="2" t="e">
        <f t="shared" ca="1" si="19"/>
        <v>#NAME?</v>
      </c>
      <c r="J771" s="2" t="e">
        <f t="shared" ca="1" si="18"/>
        <v>#NAME?</v>
      </c>
    </row>
    <row r="772" spans="1:10" ht="15.75" customHeight="1" x14ac:dyDescent="0.2">
      <c r="A772" s="2">
        <v>771</v>
      </c>
      <c r="B772" s="4">
        <v>45562</v>
      </c>
      <c r="C772" s="2">
        <f t="shared" si="15"/>
        <v>0</v>
      </c>
      <c r="D772" s="2">
        <v>0</v>
      </c>
      <c r="E772" s="2">
        <f t="shared" si="16"/>
        <v>0</v>
      </c>
      <c r="F772" s="2" t="str">
        <f t="shared" si="17"/>
        <v>Friday</v>
      </c>
      <c r="H772" s="2">
        <v>1</v>
      </c>
      <c r="I772" s="2" t="e">
        <f t="shared" ca="1" si="19"/>
        <v>#NAME?</v>
      </c>
      <c r="J772" s="2" t="e">
        <f t="shared" ca="1" si="18"/>
        <v>#NAME?</v>
      </c>
    </row>
    <row r="773" spans="1:10" ht="15.75" customHeight="1" x14ac:dyDescent="0.2">
      <c r="A773" s="2">
        <v>772</v>
      </c>
      <c r="B773" s="4">
        <v>45563</v>
      </c>
      <c r="C773" s="2">
        <f t="shared" si="15"/>
        <v>1</v>
      </c>
      <c r="D773" s="2">
        <v>0</v>
      </c>
      <c r="E773" s="2">
        <f t="shared" si="16"/>
        <v>1</v>
      </c>
      <c r="F773" s="2" t="str">
        <f t="shared" si="17"/>
        <v>Saturday</v>
      </c>
      <c r="H773" s="2">
        <v>1</v>
      </c>
      <c r="I773" s="2" t="e">
        <f t="shared" ca="1" si="19"/>
        <v>#NAME?</v>
      </c>
      <c r="J773" s="2" t="e">
        <f t="shared" ca="1" si="18"/>
        <v>#NAME?</v>
      </c>
    </row>
    <row r="774" spans="1:10" ht="15.75" customHeight="1" x14ac:dyDescent="0.2">
      <c r="A774" s="2">
        <v>773</v>
      </c>
      <c r="B774" s="4">
        <v>45564</v>
      </c>
      <c r="C774" s="2">
        <f t="shared" si="15"/>
        <v>1</v>
      </c>
      <c r="D774" s="2">
        <v>0</v>
      </c>
      <c r="E774" s="2">
        <f t="shared" si="16"/>
        <v>1</v>
      </c>
      <c r="F774" s="2" t="str">
        <f t="shared" si="17"/>
        <v>Sunday</v>
      </c>
      <c r="H774" s="2">
        <v>1</v>
      </c>
      <c r="I774" s="2" t="e">
        <f t="shared" ca="1" si="19"/>
        <v>#NAME?</v>
      </c>
      <c r="J774" s="2" t="e">
        <f t="shared" ca="1" si="18"/>
        <v>#NAME?</v>
      </c>
    </row>
    <row r="775" spans="1:10" ht="15.75" customHeight="1" x14ac:dyDescent="0.2">
      <c r="A775" s="2">
        <v>774</v>
      </c>
      <c r="B775" s="4">
        <v>45565</v>
      </c>
      <c r="C775" s="2">
        <f t="shared" si="15"/>
        <v>0</v>
      </c>
      <c r="D775" s="2">
        <v>0</v>
      </c>
      <c r="E775" s="2">
        <f t="shared" si="16"/>
        <v>0</v>
      </c>
      <c r="F775" s="2" t="str">
        <f t="shared" si="17"/>
        <v>Monday</v>
      </c>
      <c r="H775" s="2">
        <v>1</v>
      </c>
      <c r="I775" s="2" t="e">
        <f t="shared" ca="1" si="19"/>
        <v>#NAME?</v>
      </c>
      <c r="J775" s="2" t="e">
        <f t="shared" ca="1" si="18"/>
        <v>#NAME?</v>
      </c>
    </row>
    <row r="776" spans="1:10" ht="15.75" customHeight="1" x14ac:dyDescent="0.2">
      <c r="A776" s="2">
        <v>775</v>
      </c>
      <c r="B776" s="4">
        <v>45566</v>
      </c>
      <c r="C776" s="2">
        <f t="shared" si="15"/>
        <v>0</v>
      </c>
      <c r="D776" s="2">
        <v>0</v>
      </c>
      <c r="E776" s="2">
        <f t="shared" si="16"/>
        <v>0</v>
      </c>
      <c r="F776" s="2" t="str">
        <f t="shared" si="17"/>
        <v>Tuesday</v>
      </c>
      <c r="H776" s="2">
        <v>1</v>
      </c>
      <c r="I776" s="2" t="e">
        <f t="shared" ca="1" si="19"/>
        <v>#NAME?</v>
      </c>
      <c r="J776" s="2" t="e">
        <f t="shared" ca="1" si="18"/>
        <v>#NAME?</v>
      </c>
    </row>
    <row r="777" spans="1:10" ht="15.75" customHeight="1" x14ac:dyDescent="0.2">
      <c r="A777" s="2">
        <v>776</v>
      </c>
      <c r="B777" s="4">
        <v>45567</v>
      </c>
      <c r="C777" s="2">
        <f t="shared" si="15"/>
        <v>0</v>
      </c>
      <c r="D777" s="2">
        <v>0</v>
      </c>
      <c r="E777" s="2">
        <f t="shared" si="16"/>
        <v>0</v>
      </c>
      <c r="F777" s="2" t="str">
        <f t="shared" si="17"/>
        <v>Wednesday</v>
      </c>
      <c r="H777" s="2">
        <v>1</v>
      </c>
      <c r="I777" s="2" t="e">
        <f t="shared" ca="1" si="19"/>
        <v>#NAME?</v>
      </c>
      <c r="J777" s="2" t="e">
        <f t="shared" ca="1" si="18"/>
        <v>#NAME?</v>
      </c>
    </row>
    <row r="778" spans="1:10" ht="15.75" customHeight="1" x14ac:dyDescent="0.2">
      <c r="A778" s="2">
        <v>777</v>
      </c>
      <c r="B778" s="4">
        <v>45568</v>
      </c>
      <c r="C778" s="2">
        <f t="shared" si="15"/>
        <v>0</v>
      </c>
      <c r="D778" s="2">
        <v>0</v>
      </c>
      <c r="E778" s="2">
        <f t="shared" si="16"/>
        <v>0</v>
      </c>
      <c r="F778" s="2" t="str">
        <f t="shared" si="17"/>
        <v>Thursday</v>
      </c>
      <c r="H778" s="2">
        <v>1</v>
      </c>
      <c r="I778" s="2" t="e">
        <f t="shared" ca="1" si="19"/>
        <v>#NAME?</v>
      </c>
      <c r="J778" s="2" t="e">
        <f t="shared" ca="1" si="18"/>
        <v>#NAME?</v>
      </c>
    </row>
    <row r="779" spans="1:10" ht="15.75" customHeight="1" x14ac:dyDescent="0.2">
      <c r="A779" s="2">
        <v>778</v>
      </c>
      <c r="B779" s="4">
        <v>45569</v>
      </c>
      <c r="C779" s="2">
        <f t="shared" si="15"/>
        <v>0</v>
      </c>
      <c r="D779" s="2">
        <v>0</v>
      </c>
      <c r="E779" s="2">
        <f t="shared" si="16"/>
        <v>0</v>
      </c>
      <c r="F779" s="2" t="str">
        <f t="shared" si="17"/>
        <v>Friday</v>
      </c>
      <c r="H779" s="2">
        <v>1</v>
      </c>
      <c r="I779" s="2" t="e">
        <f t="shared" ca="1" si="19"/>
        <v>#NAME?</v>
      </c>
      <c r="J779" s="2" t="e">
        <f t="shared" ca="1" si="18"/>
        <v>#NAME?</v>
      </c>
    </row>
    <row r="780" spans="1:10" ht="15.75" customHeight="1" x14ac:dyDescent="0.2">
      <c r="A780" s="2">
        <v>779</v>
      </c>
      <c r="B780" s="4">
        <v>45570</v>
      </c>
      <c r="C780" s="2">
        <f t="shared" si="15"/>
        <v>1</v>
      </c>
      <c r="D780" s="2">
        <v>0</v>
      </c>
      <c r="E780" s="2">
        <f t="shared" si="16"/>
        <v>1</v>
      </c>
      <c r="F780" s="2" t="str">
        <f t="shared" si="17"/>
        <v>Saturday</v>
      </c>
      <c r="H780" s="2">
        <v>1</v>
      </c>
      <c r="I780" s="2" t="e">
        <f t="shared" ca="1" si="19"/>
        <v>#NAME?</v>
      </c>
      <c r="J780" s="2" t="e">
        <f t="shared" ca="1" si="18"/>
        <v>#NAME?</v>
      </c>
    </row>
    <row r="781" spans="1:10" ht="15.75" customHeight="1" x14ac:dyDescent="0.2">
      <c r="A781" s="2">
        <v>780</v>
      </c>
      <c r="B781" s="4">
        <v>45571</v>
      </c>
      <c r="C781" s="2">
        <f t="shared" si="15"/>
        <v>1</v>
      </c>
      <c r="D781" s="2">
        <v>0</v>
      </c>
      <c r="E781" s="2">
        <f t="shared" si="16"/>
        <v>1</v>
      </c>
      <c r="F781" s="2" t="str">
        <f t="shared" si="17"/>
        <v>Sunday</v>
      </c>
      <c r="H781" s="2">
        <v>1</v>
      </c>
      <c r="I781" s="2" t="e">
        <f t="shared" ca="1" si="19"/>
        <v>#NAME?</v>
      </c>
      <c r="J781" s="2" t="e">
        <f t="shared" ca="1" si="18"/>
        <v>#NAME?</v>
      </c>
    </row>
    <row r="782" spans="1:10" ht="15.75" customHeight="1" x14ac:dyDescent="0.2">
      <c r="A782" s="2">
        <v>781</v>
      </c>
      <c r="B782" s="4">
        <v>45572</v>
      </c>
      <c r="C782" s="2">
        <f t="shared" si="15"/>
        <v>0</v>
      </c>
      <c r="D782" s="2">
        <v>0</v>
      </c>
      <c r="E782" s="2">
        <f t="shared" si="16"/>
        <v>0</v>
      </c>
      <c r="F782" s="2" t="str">
        <f t="shared" si="17"/>
        <v>Monday</v>
      </c>
      <c r="H782" s="2">
        <v>1</v>
      </c>
      <c r="I782" s="2" t="e">
        <f t="shared" ca="1" si="19"/>
        <v>#NAME?</v>
      </c>
      <c r="J782" s="2" t="e">
        <f t="shared" ca="1" si="18"/>
        <v>#NAME?</v>
      </c>
    </row>
    <row r="783" spans="1:10" ht="15.75" customHeight="1" x14ac:dyDescent="0.2">
      <c r="A783" s="2">
        <v>782</v>
      </c>
      <c r="B783" s="4">
        <v>45573</v>
      </c>
      <c r="C783" s="2">
        <f t="shared" si="15"/>
        <v>0</v>
      </c>
      <c r="D783" s="2">
        <v>0</v>
      </c>
      <c r="E783" s="2">
        <f t="shared" si="16"/>
        <v>0</v>
      </c>
      <c r="F783" s="2" t="str">
        <f t="shared" si="17"/>
        <v>Tuesday</v>
      </c>
      <c r="H783" s="2">
        <v>1</v>
      </c>
      <c r="I783" s="2" t="e">
        <f t="shared" ca="1" si="19"/>
        <v>#NAME?</v>
      </c>
      <c r="J783" s="2" t="e">
        <f t="shared" ca="1" si="18"/>
        <v>#NAME?</v>
      </c>
    </row>
    <row r="784" spans="1:10" ht="15.75" customHeight="1" x14ac:dyDescent="0.2">
      <c r="A784" s="2">
        <v>783</v>
      </c>
      <c r="B784" s="4">
        <v>45574</v>
      </c>
      <c r="C784" s="2">
        <f t="shared" si="15"/>
        <v>0</v>
      </c>
      <c r="D784" s="2">
        <v>0</v>
      </c>
      <c r="E784" s="2">
        <f t="shared" si="16"/>
        <v>0</v>
      </c>
      <c r="F784" s="2" t="str">
        <f t="shared" si="17"/>
        <v>Wednesday</v>
      </c>
      <c r="H784" s="2">
        <v>1</v>
      </c>
      <c r="I784" s="2" t="e">
        <f t="shared" ca="1" si="19"/>
        <v>#NAME?</v>
      </c>
      <c r="J784" s="2" t="e">
        <f t="shared" ca="1" si="18"/>
        <v>#NAME?</v>
      </c>
    </row>
    <row r="785" spans="1:10" ht="15.75" customHeight="1" x14ac:dyDescent="0.2">
      <c r="A785" s="2">
        <v>784</v>
      </c>
      <c r="B785" s="4">
        <v>45575</v>
      </c>
      <c r="C785" s="2">
        <f t="shared" si="15"/>
        <v>0</v>
      </c>
      <c r="D785" s="2">
        <v>0</v>
      </c>
      <c r="E785" s="2">
        <f t="shared" si="16"/>
        <v>0</v>
      </c>
      <c r="F785" s="2" t="str">
        <f t="shared" si="17"/>
        <v>Thursday</v>
      </c>
      <c r="H785" s="2">
        <v>1</v>
      </c>
      <c r="I785" s="2" t="e">
        <f t="shared" ca="1" si="19"/>
        <v>#NAME?</v>
      </c>
      <c r="J785" s="2" t="e">
        <f t="shared" ca="1" si="18"/>
        <v>#NAME?</v>
      </c>
    </row>
    <row r="786" spans="1:10" ht="15.75" customHeight="1" x14ac:dyDescent="0.2">
      <c r="A786" s="2">
        <v>785</v>
      </c>
      <c r="B786" s="4">
        <v>45576</v>
      </c>
      <c r="C786" s="2">
        <f t="shared" si="15"/>
        <v>0</v>
      </c>
      <c r="D786" s="2">
        <v>0</v>
      </c>
      <c r="E786" s="2">
        <f t="shared" si="16"/>
        <v>0</v>
      </c>
      <c r="F786" s="2" t="str">
        <f t="shared" si="17"/>
        <v>Friday</v>
      </c>
      <c r="H786" s="2">
        <v>1</v>
      </c>
      <c r="I786" s="2" t="e">
        <f t="shared" ca="1" si="19"/>
        <v>#NAME?</v>
      </c>
      <c r="J786" s="2" t="e">
        <f t="shared" ca="1" si="18"/>
        <v>#NAME?</v>
      </c>
    </row>
    <row r="787" spans="1:10" ht="15.75" customHeight="1" x14ac:dyDescent="0.2">
      <c r="A787" s="2">
        <v>786</v>
      </c>
      <c r="B787" s="4">
        <v>45577</v>
      </c>
      <c r="C787" s="2">
        <f t="shared" si="15"/>
        <v>1</v>
      </c>
      <c r="D787" s="2">
        <v>0</v>
      </c>
      <c r="E787" s="2">
        <f t="shared" si="16"/>
        <v>1</v>
      </c>
      <c r="F787" s="2" t="str">
        <f t="shared" si="17"/>
        <v>Saturday</v>
      </c>
      <c r="H787" s="2">
        <v>1</v>
      </c>
      <c r="I787" s="2" t="e">
        <f t="shared" ca="1" si="19"/>
        <v>#NAME?</v>
      </c>
      <c r="J787" s="2" t="e">
        <f t="shared" ca="1" si="18"/>
        <v>#NAME?</v>
      </c>
    </row>
    <row r="788" spans="1:10" ht="15.75" customHeight="1" x14ac:dyDescent="0.2">
      <c r="A788" s="2">
        <v>787</v>
      </c>
      <c r="B788" s="4">
        <v>45578</v>
      </c>
      <c r="C788" s="2">
        <f t="shared" si="15"/>
        <v>1</v>
      </c>
      <c r="D788" s="2">
        <v>0</v>
      </c>
      <c r="E788" s="2">
        <f t="shared" si="16"/>
        <v>1</v>
      </c>
      <c r="F788" s="2" t="str">
        <f t="shared" si="17"/>
        <v>Sunday</v>
      </c>
      <c r="H788" s="2">
        <v>1</v>
      </c>
      <c r="I788" s="2" t="e">
        <f t="shared" ca="1" si="19"/>
        <v>#NAME?</v>
      </c>
      <c r="J788" s="2" t="e">
        <f t="shared" ca="1" si="18"/>
        <v>#NAME?</v>
      </c>
    </row>
    <row r="789" spans="1:10" ht="15.75" customHeight="1" x14ac:dyDescent="0.2">
      <c r="A789" s="2">
        <v>788</v>
      </c>
      <c r="B789" s="4">
        <v>45579</v>
      </c>
      <c r="C789" s="2">
        <f t="shared" si="15"/>
        <v>0</v>
      </c>
      <c r="D789" s="2">
        <v>0</v>
      </c>
      <c r="E789" s="2">
        <f t="shared" si="16"/>
        <v>0</v>
      </c>
      <c r="F789" s="2" t="str">
        <f t="shared" si="17"/>
        <v>Monday</v>
      </c>
      <c r="H789" s="2">
        <v>1</v>
      </c>
      <c r="I789" s="2" t="e">
        <f t="shared" ca="1" si="19"/>
        <v>#NAME?</v>
      </c>
      <c r="J789" s="2" t="e">
        <f t="shared" ca="1" si="18"/>
        <v>#NAME?</v>
      </c>
    </row>
    <row r="790" spans="1:10" ht="15.75" customHeight="1" x14ac:dyDescent="0.2">
      <c r="A790" s="2">
        <v>789</v>
      </c>
      <c r="B790" s="4">
        <v>45580</v>
      </c>
      <c r="C790" s="2">
        <f t="shared" si="15"/>
        <v>0</v>
      </c>
      <c r="D790" s="2">
        <v>0</v>
      </c>
      <c r="E790" s="2">
        <f t="shared" si="16"/>
        <v>0</v>
      </c>
      <c r="F790" s="2" t="str">
        <f t="shared" si="17"/>
        <v>Tuesday</v>
      </c>
      <c r="H790" s="2">
        <v>1</v>
      </c>
      <c r="I790" s="2" t="e">
        <f t="shared" ca="1" si="19"/>
        <v>#NAME?</v>
      </c>
      <c r="J790" s="2" t="e">
        <f t="shared" ca="1" si="18"/>
        <v>#NAME?</v>
      </c>
    </row>
    <row r="791" spans="1:10" ht="15.75" customHeight="1" x14ac:dyDescent="0.2">
      <c r="A791" s="2">
        <v>790</v>
      </c>
      <c r="B791" s="4">
        <v>45581</v>
      </c>
      <c r="C791" s="2">
        <f t="shared" si="15"/>
        <v>0</v>
      </c>
      <c r="D791" s="2">
        <v>0</v>
      </c>
      <c r="E791" s="2">
        <f t="shared" si="16"/>
        <v>0</v>
      </c>
      <c r="F791" s="2" t="str">
        <f t="shared" si="17"/>
        <v>Wednesday</v>
      </c>
      <c r="H791" s="2">
        <v>1</v>
      </c>
      <c r="I791" s="2" t="e">
        <f t="shared" ca="1" si="19"/>
        <v>#NAME?</v>
      </c>
      <c r="J791" s="2" t="e">
        <f t="shared" ca="1" si="18"/>
        <v>#NAME?</v>
      </c>
    </row>
    <row r="792" spans="1:10" ht="15.75" customHeight="1" x14ac:dyDescent="0.2">
      <c r="A792" s="2">
        <v>791</v>
      </c>
      <c r="B792" s="4">
        <v>45582</v>
      </c>
      <c r="C792" s="2">
        <f t="shared" si="15"/>
        <v>0</v>
      </c>
      <c r="D792" s="2">
        <v>0</v>
      </c>
      <c r="E792" s="2">
        <f t="shared" si="16"/>
        <v>0</v>
      </c>
      <c r="F792" s="2" t="str">
        <f t="shared" si="17"/>
        <v>Thursday</v>
      </c>
      <c r="H792" s="2">
        <v>1</v>
      </c>
      <c r="I792" s="2" t="e">
        <f t="shared" ca="1" si="19"/>
        <v>#NAME?</v>
      </c>
      <c r="J792" s="2" t="e">
        <f t="shared" ca="1" si="18"/>
        <v>#NAME?</v>
      </c>
    </row>
    <row r="793" spans="1:10" ht="15.75" customHeight="1" x14ac:dyDescent="0.2">
      <c r="A793" s="2">
        <v>792</v>
      </c>
      <c r="B793" s="4">
        <v>45583</v>
      </c>
      <c r="C793" s="2">
        <f t="shared" si="15"/>
        <v>0</v>
      </c>
      <c r="D793" s="2">
        <v>0</v>
      </c>
      <c r="E793" s="2">
        <f t="shared" si="16"/>
        <v>0</v>
      </c>
      <c r="F793" s="2" t="str">
        <f t="shared" si="17"/>
        <v>Friday</v>
      </c>
      <c r="H793" s="2">
        <v>1</v>
      </c>
      <c r="I793" s="2" t="e">
        <f t="shared" ca="1" si="19"/>
        <v>#NAME?</v>
      </c>
      <c r="J793" s="2" t="e">
        <f t="shared" ca="1" si="18"/>
        <v>#NAME?</v>
      </c>
    </row>
    <row r="794" spans="1:10" ht="15.75" customHeight="1" x14ac:dyDescent="0.2">
      <c r="A794" s="2">
        <v>793</v>
      </c>
      <c r="B794" s="4">
        <v>45584</v>
      </c>
      <c r="C794" s="2">
        <f t="shared" si="15"/>
        <v>1</v>
      </c>
      <c r="D794" s="2">
        <v>0</v>
      </c>
      <c r="E794" s="2">
        <f t="shared" si="16"/>
        <v>1</v>
      </c>
      <c r="F794" s="2" t="str">
        <f t="shared" si="17"/>
        <v>Saturday</v>
      </c>
      <c r="H794" s="2">
        <v>1</v>
      </c>
      <c r="I794" s="2" t="e">
        <f t="shared" ca="1" si="19"/>
        <v>#NAME?</v>
      </c>
      <c r="J794" s="2" t="e">
        <f t="shared" ca="1" si="18"/>
        <v>#NAME?</v>
      </c>
    </row>
    <row r="795" spans="1:10" ht="15.75" customHeight="1" x14ac:dyDescent="0.2">
      <c r="A795" s="2">
        <v>794</v>
      </c>
      <c r="B795" s="4">
        <v>45585</v>
      </c>
      <c r="C795" s="2">
        <f t="shared" si="15"/>
        <v>1</v>
      </c>
      <c r="D795" s="2">
        <v>0</v>
      </c>
      <c r="E795" s="2">
        <f t="shared" si="16"/>
        <v>1</v>
      </c>
      <c r="F795" s="2" t="str">
        <f t="shared" si="17"/>
        <v>Sunday</v>
      </c>
      <c r="H795" s="2">
        <v>1</v>
      </c>
      <c r="I795" s="2" t="e">
        <f t="shared" ca="1" si="19"/>
        <v>#NAME?</v>
      </c>
      <c r="J795" s="2" t="e">
        <f t="shared" ca="1" si="18"/>
        <v>#NAME?</v>
      </c>
    </row>
    <row r="796" spans="1:10" ht="15.75" customHeight="1" x14ac:dyDescent="0.2">
      <c r="A796" s="2">
        <v>795</v>
      </c>
      <c r="B796" s="4">
        <v>45586</v>
      </c>
      <c r="C796" s="2">
        <f t="shared" si="15"/>
        <v>0</v>
      </c>
      <c r="D796" s="2">
        <v>0</v>
      </c>
      <c r="E796" s="2">
        <f t="shared" si="16"/>
        <v>0</v>
      </c>
      <c r="F796" s="2" t="str">
        <f t="shared" si="17"/>
        <v>Monday</v>
      </c>
      <c r="H796" s="2">
        <v>1</v>
      </c>
      <c r="I796" s="2" t="e">
        <f t="shared" ca="1" si="19"/>
        <v>#NAME?</v>
      </c>
      <c r="J796" s="2" t="e">
        <f t="shared" ca="1" si="18"/>
        <v>#NAME?</v>
      </c>
    </row>
    <row r="797" spans="1:10" ht="15.75" customHeight="1" x14ac:dyDescent="0.2">
      <c r="A797" s="2">
        <v>796</v>
      </c>
      <c r="B797" s="4">
        <v>45587</v>
      </c>
      <c r="C797" s="2">
        <f t="shared" si="15"/>
        <v>0</v>
      </c>
      <c r="D797" s="2">
        <v>0</v>
      </c>
      <c r="E797" s="2">
        <f t="shared" si="16"/>
        <v>0</v>
      </c>
      <c r="F797" s="2" t="str">
        <f t="shared" si="17"/>
        <v>Tuesday</v>
      </c>
      <c r="H797" s="2">
        <v>1</v>
      </c>
      <c r="I797" s="2" t="e">
        <f t="shared" ca="1" si="19"/>
        <v>#NAME?</v>
      </c>
      <c r="J797" s="2" t="e">
        <f t="shared" ca="1" si="18"/>
        <v>#NAME?</v>
      </c>
    </row>
    <row r="798" spans="1:10" ht="15.75" customHeight="1" x14ac:dyDescent="0.2">
      <c r="A798" s="2">
        <v>797</v>
      </c>
      <c r="B798" s="4">
        <v>45588</v>
      </c>
      <c r="C798" s="2">
        <f t="shared" si="15"/>
        <v>0</v>
      </c>
      <c r="D798" s="2">
        <v>0</v>
      </c>
      <c r="E798" s="2">
        <f t="shared" si="16"/>
        <v>0</v>
      </c>
      <c r="F798" s="2" t="str">
        <f t="shared" si="17"/>
        <v>Wednesday</v>
      </c>
      <c r="H798" s="2">
        <v>1</v>
      </c>
      <c r="I798" s="2" t="e">
        <f t="shared" ca="1" si="19"/>
        <v>#NAME?</v>
      </c>
      <c r="J798" s="2" t="e">
        <f t="shared" ca="1" si="18"/>
        <v>#NAME?</v>
      </c>
    </row>
    <row r="799" spans="1:10" ht="15.75" customHeight="1" x14ac:dyDescent="0.2">
      <c r="A799" s="2">
        <v>798</v>
      </c>
      <c r="B799" s="4">
        <v>45589</v>
      </c>
      <c r="C799" s="2">
        <f t="shared" si="15"/>
        <v>0</v>
      </c>
      <c r="D799" s="2">
        <v>0</v>
      </c>
      <c r="E799" s="2">
        <f t="shared" si="16"/>
        <v>0</v>
      </c>
      <c r="F799" s="2" t="str">
        <f t="shared" si="17"/>
        <v>Thursday</v>
      </c>
      <c r="H799" s="2">
        <v>1</v>
      </c>
      <c r="I799" s="2" t="e">
        <f t="shared" ca="1" si="19"/>
        <v>#NAME?</v>
      </c>
      <c r="J799" s="2" t="e">
        <f t="shared" ca="1" si="18"/>
        <v>#NAME?</v>
      </c>
    </row>
    <row r="800" spans="1:10" ht="15.75" customHeight="1" x14ac:dyDescent="0.2">
      <c r="A800" s="2">
        <v>799</v>
      </c>
      <c r="B800" s="4">
        <v>45590</v>
      </c>
      <c r="C800" s="2">
        <f t="shared" si="15"/>
        <v>0</v>
      </c>
      <c r="D800" s="2">
        <v>0</v>
      </c>
      <c r="E800" s="2">
        <f t="shared" si="16"/>
        <v>0</v>
      </c>
      <c r="F800" s="2" t="str">
        <f t="shared" si="17"/>
        <v>Friday</v>
      </c>
      <c r="H800" s="2">
        <v>1</v>
      </c>
      <c r="I800" s="2" t="e">
        <f t="shared" ca="1" si="19"/>
        <v>#NAME?</v>
      </c>
      <c r="J800" s="2" t="e">
        <f t="shared" ca="1" si="18"/>
        <v>#NAME?</v>
      </c>
    </row>
    <row r="801" spans="1:10" ht="15.75" customHeight="1" x14ac:dyDescent="0.2">
      <c r="A801" s="2">
        <v>800</v>
      </c>
      <c r="B801" s="4">
        <v>45591</v>
      </c>
      <c r="C801" s="2">
        <f t="shared" si="15"/>
        <v>1</v>
      </c>
      <c r="D801" s="2">
        <v>0</v>
      </c>
      <c r="E801" s="2">
        <f t="shared" si="16"/>
        <v>1</v>
      </c>
      <c r="F801" s="2" t="str">
        <f t="shared" si="17"/>
        <v>Saturday</v>
      </c>
      <c r="H801" s="2">
        <v>1</v>
      </c>
      <c r="I801" s="2" t="e">
        <f t="shared" ca="1" si="19"/>
        <v>#NAME?</v>
      </c>
      <c r="J801" s="2" t="e">
        <f t="shared" ca="1" si="18"/>
        <v>#NAME?</v>
      </c>
    </row>
    <row r="802" spans="1:10" ht="15.75" customHeight="1" x14ac:dyDescent="0.2">
      <c r="A802" s="2">
        <v>801</v>
      </c>
      <c r="B802" s="4">
        <v>45592</v>
      </c>
      <c r="C802" s="2">
        <f t="shared" si="15"/>
        <v>1</v>
      </c>
      <c r="D802" s="2">
        <v>0</v>
      </c>
      <c r="E802" s="2">
        <f t="shared" si="16"/>
        <v>1</v>
      </c>
      <c r="F802" s="2" t="str">
        <f t="shared" si="17"/>
        <v>Sunday</v>
      </c>
      <c r="H802" s="2">
        <v>1</v>
      </c>
      <c r="I802" s="2" t="e">
        <f t="shared" ca="1" si="19"/>
        <v>#NAME?</v>
      </c>
      <c r="J802" s="2" t="e">
        <f t="shared" ca="1" si="18"/>
        <v>#NAME?</v>
      </c>
    </row>
    <row r="803" spans="1:10" ht="15.75" customHeight="1" x14ac:dyDescent="0.2">
      <c r="A803" s="2">
        <v>802</v>
      </c>
      <c r="B803" s="4">
        <v>45593</v>
      </c>
      <c r="C803" s="2">
        <f t="shared" si="15"/>
        <v>0</v>
      </c>
      <c r="D803" s="2">
        <v>1</v>
      </c>
      <c r="E803" s="2">
        <f t="shared" si="16"/>
        <v>1</v>
      </c>
      <c r="F803" s="2" t="str">
        <f t="shared" si="17"/>
        <v>Monday</v>
      </c>
      <c r="G803" s="2" t="s">
        <v>334</v>
      </c>
      <c r="H803" s="2">
        <v>1</v>
      </c>
      <c r="I803" s="2" t="e">
        <f t="shared" ca="1" si="19"/>
        <v>#NAME?</v>
      </c>
      <c r="J803" s="2" t="e">
        <f t="shared" ca="1" si="18"/>
        <v>#NAME?</v>
      </c>
    </row>
    <row r="804" spans="1:10" ht="15.75" customHeight="1" x14ac:dyDescent="0.2">
      <c r="A804" s="2">
        <v>803</v>
      </c>
      <c r="B804" s="4">
        <v>45594</v>
      </c>
      <c r="C804" s="2">
        <f t="shared" si="15"/>
        <v>0</v>
      </c>
      <c r="D804" s="2">
        <v>1</v>
      </c>
      <c r="E804" s="2">
        <f t="shared" si="16"/>
        <v>1</v>
      </c>
      <c r="F804" s="2" t="str">
        <f t="shared" si="17"/>
        <v>Tuesday</v>
      </c>
      <c r="G804" s="2" t="s">
        <v>334</v>
      </c>
      <c r="H804" s="2">
        <v>1</v>
      </c>
      <c r="I804" s="2" t="e">
        <f t="shared" ca="1" si="19"/>
        <v>#NAME?</v>
      </c>
      <c r="J804" s="2" t="e">
        <f t="shared" ca="1" si="18"/>
        <v>#NAME?</v>
      </c>
    </row>
    <row r="805" spans="1:10" ht="15.75" customHeight="1" x14ac:dyDescent="0.2">
      <c r="A805" s="2">
        <v>804</v>
      </c>
      <c r="B805" s="4">
        <v>45595</v>
      </c>
      <c r="C805" s="2">
        <f t="shared" si="15"/>
        <v>0</v>
      </c>
      <c r="D805" s="2">
        <v>1</v>
      </c>
      <c r="E805" s="2">
        <f t="shared" si="16"/>
        <v>1</v>
      </c>
      <c r="F805" s="2" t="str">
        <f t="shared" si="17"/>
        <v>Wednesday</v>
      </c>
      <c r="G805" s="2" t="s">
        <v>334</v>
      </c>
      <c r="H805" s="2">
        <v>1</v>
      </c>
      <c r="I805" s="2" t="e">
        <f t="shared" ca="1" si="19"/>
        <v>#NAME?</v>
      </c>
      <c r="J805" s="2" t="e">
        <f t="shared" ca="1" si="18"/>
        <v>#NAME?</v>
      </c>
    </row>
    <row r="806" spans="1:10" ht="15.75" customHeight="1" x14ac:dyDescent="0.2">
      <c r="A806" s="2">
        <v>805</v>
      </c>
      <c r="B806" s="4">
        <v>45596</v>
      </c>
      <c r="C806" s="2">
        <f t="shared" si="15"/>
        <v>0</v>
      </c>
      <c r="D806" s="2">
        <v>1</v>
      </c>
      <c r="E806" s="2">
        <f t="shared" si="16"/>
        <v>1</v>
      </c>
      <c r="F806" s="2" t="str">
        <f t="shared" si="17"/>
        <v>Thursday</v>
      </c>
      <c r="G806" s="2" t="s">
        <v>334</v>
      </c>
      <c r="H806" s="2">
        <v>1</v>
      </c>
      <c r="I806" s="2" t="e">
        <f t="shared" ca="1" si="19"/>
        <v>#NAME?</v>
      </c>
      <c r="J806" s="2" t="e">
        <f t="shared" ca="1" si="18"/>
        <v>#NAME?</v>
      </c>
    </row>
    <row r="807" spans="1:10" ht="15.75" customHeight="1" x14ac:dyDescent="0.2">
      <c r="A807" s="2">
        <v>806</v>
      </c>
      <c r="B807" s="4">
        <v>45597</v>
      </c>
      <c r="C807" s="2">
        <f t="shared" si="15"/>
        <v>0</v>
      </c>
      <c r="D807" s="2">
        <v>1</v>
      </c>
      <c r="E807" s="2">
        <f t="shared" si="16"/>
        <v>1</v>
      </c>
      <c r="F807" s="2" t="str">
        <f t="shared" si="17"/>
        <v>Friday</v>
      </c>
      <c r="G807" s="2" t="s">
        <v>334</v>
      </c>
      <c r="H807" s="2">
        <v>1</v>
      </c>
      <c r="I807" s="2" t="e">
        <f t="shared" ca="1" si="19"/>
        <v>#NAME?</v>
      </c>
      <c r="J807" s="2" t="e">
        <f t="shared" ca="1" si="18"/>
        <v>#NAME?</v>
      </c>
    </row>
    <row r="808" spans="1:10" ht="15.75" customHeight="1" x14ac:dyDescent="0.2">
      <c r="A808" s="2">
        <v>807</v>
      </c>
      <c r="B808" s="4">
        <v>45598</v>
      </c>
      <c r="C808" s="2">
        <f t="shared" si="15"/>
        <v>1</v>
      </c>
      <c r="D808" s="2">
        <v>1</v>
      </c>
      <c r="E808" s="2">
        <f t="shared" si="16"/>
        <v>1</v>
      </c>
      <c r="F808" s="2" t="str">
        <f t="shared" si="17"/>
        <v>Saturday</v>
      </c>
      <c r="G808" s="2" t="s">
        <v>334</v>
      </c>
      <c r="H808" s="2">
        <v>1</v>
      </c>
      <c r="I808" s="2" t="e">
        <f t="shared" ca="1" si="19"/>
        <v>#NAME?</v>
      </c>
      <c r="J808" s="2" t="e">
        <f t="shared" ca="1" si="18"/>
        <v>#NAME?</v>
      </c>
    </row>
    <row r="809" spans="1:10" ht="15.75" customHeight="1" x14ac:dyDescent="0.2">
      <c r="A809" s="2">
        <v>808</v>
      </c>
      <c r="B809" s="4">
        <v>45599</v>
      </c>
      <c r="C809" s="2">
        <f t="shared" si="15"/>
        <v>1</v>
      </c>
      <c r="D809" s="2">
        <v>1</v>
      </c>
      <c r="E809" s="2">
        <f t="shared" si="16"/>
        <v>1</v>
      </c>
      <c r="F809" s="2" t="str">
        <f t="shared" si="17"/>
        <v>Sunday</v>
      </c>
      <c r="G809" s="2" t="s">
        <v>334</v>
      </c>
      <c r="H809" s="2">
        <v>1</v>
      </c>
      <c r="I809" s="2" t="e">
        <f t="shared" ca="1" si="19"/>
        <v>#NAME?</v>
      </c>
      <c r="J809" s="2" t="e">
        <f t="shared" ca="1" si="18"/>
        <v>#NAME?</v>
      </c>
    </row>
    <row r="810" spans="1:10" ht="15.75" customHeight="1" x14ac:dyDescent="0.2">
      <c r="A810" s="2">
        <v>809</v>
      </c>
      <c r="B810" s="4">
        <v>45600</v>
      </c>
      <c r="C810" s="2">
        <f t="shared" si="15"/>
        <v>0</v>
      </c>
      <c r="D810" s="2">
        <v>1</v>
      </c>
      <c r="E810" s="2">
        <f t="shared" si="16"/>
        <v>1</v>
      </c>
      <c r="F810" s="2" t="str">
        <f t="shared" si="17"/>
        <v>Monday</v>
      </c>
      <c r="G810" s="2" t="s">
        <v>330</v>
      </c>
      <c r="H810" s="2">
        <v>2</v>
      </c>
      <c r="I810" s="2" t="e">
        <f t="shared" ca="1" si="19"/>
        <v>#NAME?</v>
      </c>
      <c r="J810" s="2" t="e">
        <f t="shared" ca="1" si="18"/>
        <v>#NAME?</v>
      </c>
    </row>
    <row r="811" spans="1:10" ht="15.75" customHeight="1" x14ac:dyDescent="0.2">
      <c r="A811" s="2">
        <v>810</v>
      </c>
      <c r="B811" s="4">
        <v>45601</v>
      </c>
      <c r="C811" s="2">
        <f t="shared" si="15"/>
        <v>0</v>
      </c>
      <c r="D811" s="2">
        <v>0</v>
      </c>
      <c r="E811" s="2">
        <f t="shared" si="16"/>
        <v>0</v>
      </c>
      <c r="F811" s="2" t="str">
        <f t="shared" si="17"/>
        <v>Tuesday</v>
      </c>
      <c r="H811" s="2">
        <v>2</v>
      </c>
      <c r="I811" s="2" t="e">
        <f t="shared" ca="1" si="19"/>
        <v>#NAME?</v>
      </c>
      <c r="J811" s="2" t="e">
        <f t="shared" ca="1" si="18"/>
        <v>#NAME?</v>
      </c>
    </row>
    <row r="812" spans="1:10" ht="15.75" customHeight="1" x14ac:dyDescent="0.2">
      <c r="A812" s="2">
        <v>811</v>
      </c>
      <c r="B812" s="4">
        <v>45602</v>
      </c>
      <c r="C812" s="2">
        <f t="shared" si="15"/>
        <v>0</v>
      </c>
      <c r="D812" s="2">
        <v>0</v>
      </c>
      <c r="E812" s="2">
        <f t="shared" si="16"/>
        <v>0</v>
      </c>
      <c r="F812" s="2" t="str">
        <f t="shared" si="17"/>
        <v>Wednesday</v>
      </c>
      <c r="H812" s="2">
        <v>2</v>
      </c>
      <c r="I812" s="2" t="e">
        <f t="shared" ca="1" si="19"/>
        <v>#NAME?</v>
      </c>
      <c r="J812" s="2" t="e">
        <f t="shared" ca="1" si="18"/>
        <v>#NAME?</v>
      </c>
    </row>
    <row r="813" spans="1:10" ht="15.75" customHeight="1" x14ac:dyDescent="0.2">
      <c r="A813" s="2">
        <v>812</v>
      </c>
      <c r="B813" s="4">
        <v>45603</v>
      </c>
      <c r="C813" s="2">
        <f t="shared" si="15"/>
        <v>0</v>
      </c>
      <c r="D813" s="2">
        <v>0</v>
      </c>
      <c r="E813" s="2">
        <f t="shared" si="16"/>
        <v>0</v>
      </c>
      <c r="F813" s="2" t="str">
        <f t="shared" si="17"/>
        <v>Thursday</v>
      </c>
      <c r="H813" s="2">
        <v>2</v>
      </c>
      <c r="I813" s="2" t="e">
        <f t="shared" ca="1" si="19"/>
        <v>#NAME?</v>
      </c>
      <c r="J813" s="2" t="e">
        <f t="shared" ca="1" si="18"/>
        <v>#NAME?</v>
      </c>
    </row>
    <row r="814" spans="1:10" ht="15.75" customHeight="1" x14ac:dyDescent="0.2">
      <c r="A814" s="2">
        <v>813</v>
      </c>
      <c r="B814" s="4">
        <v>45604</v>
      </c>
      <c r="C814" s="2">
        <f t="shared" si="15"/>
        <v>0</v>
      </c>
      <c r="D814" s="2">
        <v>0</v>
      </c>
      <c r="E814" s="2">
        <f t="shared" si="16"/>
        <v>0</v>
      </c>
      <c r="F814" s="2" t="str">
        <f t="shared" si="17"/>
        <v>Friday</v>
      </c>
      <c r="H814" s="2">
        <v>2</v>
      </c>
      <c r="I814" s="2" t="e">
        <f t="shared" ca="1" si="19"/>
        <v>#NAME?</v>
      </c>
      <c r="J814" s="2" t="e">
        <f t="shared" ca="1" si="18"/>
        <v>#NAME?</v>
      </c>
    </row>
    <row r="815" spans="1:10" ht="15.75" customHeight="1" x14ac:dyDescent="0.2">
      <c r="A815" s="2">
        <v>814</v>
      </c>
      <c r="B815" s="4">
        <v>45605</v>
      </c>
      <c r="C815" s="2">
        <f t="shared" si="15"/>
        <v>1</v>
      </c>
      <c r="D815" s="2">
        <v>0</v>
      </c>
      <c r="E815" s="2">
        <f t="shared" si="16"/>
        <v>1</v>
      </c>
      <c r="F815" s="2" t="str">
        <f t="shared" si="17"/>
        <v>Saturday</v>
      </c>
      <c r="H815" s="2">
        <v>2</v>
      </c>
      <c r="I815" s="2" t="e">
        <f t="shared" ca="1" si="19"/>
        <v>#NAME?</v>
      </c>
      <c r="J815" s="2" t="e">
        <f t="shared" ca="1" si="18"/>
        <v>#NAME?</v>
      </c>
    </row>
    <row r="816" spans="1:10" ht="15.75" customHeight="1" x14ac:dyDescent="0.2">
      <c r="A816" s="2">
        <v>815</v>
      </c>
      <c r="B816" s="4">
        <v>45606</v>
      </c>
      <c r="C816" s="2">
        <f t="shared" si="15"/>
        <v>1</v>
      </c>
      <c r="D816" s="2">
        <v>0</v>
      </c>
      <c r="E816" s="2">
        <f t="shared" si="16"/>
        <v>1</v>
      </c>
      <c r="F816" s="2" t="str">
        <f t="shared" si="17"/>
        <v>Sunday</v>
      </c>
      <c r="H816" s="2">
        <v>2</v>
      </c>
      <c r="I816" s="2" t="e">
        <f t="shared" ca="1" si="19"/>
        <v>#NAME?</v>
      </c>
      <c r="J816" s="2" t="e">
        <f t="shared" ca="1" si="18"/>
        <v>#NAME?</v>
      </c>
    </row>
    <row r="817" spans="1:10" ht="15.75" customHeight="1" x14ac:dyDescent="0.2">
      <c r="A817" s="2">
        <v>816</v>
      </c>
      <c r="B817" s="4">
        <v>45607</v>
      </c>
      <c r="C817" s="2">
        <f t="shared" si="15"/>
        <v>0</v>
      </c>
      <c r="D817" s="2">
        <v>0</v>
      </c>
      <c r="E817" s="2">
        <f t="shared" si="16"/>
        <v>0</v>
      </c>
      <c r="F817" s="2" t="str">
        <f t="shared" si="17"/>
        <v>Monday</v>
      </c>
      <c r="H817" s="2">
        <v>2</v>
      </c>
      <c r="I817" s="2" t="e">
        <f t="shared" ca="1" si="19"/>
        <v>#NAME?</v>
      </c>
      <c r="J817" s="2" t="e">
        <f t="shared" ca="1" si="18"/>
        <v>#NAME?</v>
      </c>
    </row>
    <row r="818" spans="1:10" ht="15.75" customHeight="1" x14ac:dyDescent="0.2">
      <c r="A818" s="2">
        <v>817</v>
      </c>
      <c r="B818" s="4">
        <v>45608</v>
      </c>
      <c r="C818" s="2">
        <f t="shared" si="15"/>
        <v>0</v>
      </c>
      <c r="D818" s="2">
        <v>0</v>
      </c>
      <c r="E818" s="2">
        <f t="shared" si="16"/>
        <v>0</v>
      </c>
      <c r="F818" s="2" t="str">
        <f t="shared" si="17"/>
        <v>Tuesday</v>
      </c>
      <c r="H818" s="2">
        <v>2</v>
      </c>
      <c r="I818" s="2" t="e">
        <f t="shared" ca="1" si="19"/>
        <v>#NAME?</v>
      </c>
      <c r="J818" s="2" t="e">
        <f t="shared" ca="1" si="18"/>
        <v>#NAME?</v>
      </c>
    </row>
    <row r="819" spans="1:10" ht="15.75" customHeight="1" x14ac:dyDescent="0.2">
      <c r="A819" s="2">
        <v>818</v>
      </c>
      <c r="B819" s="4">
        <v>45609</v>
      </c>
      <c r="C819" s="2">
        <f t="shared" si="15"/>
        <v>0</v>
      </c>
      <c r="D819" s="2">
        <v>0</v>
      </c>
      <c r="E819" s="2">
        <f t="shared" si="16"/>
        <v>0</v>
      </c>
      <c r="F819" s="2" t="str">
        <f t="shared" si="17"/>
        <v>Wednesday</v>
      </c>
      <c r="H819" s="2">
        <v>2</v>
      </c>
      <c r="I819" s="2" t="e">
        <f t="shared" ca="1" si="19"/>
        <v>#NAME?</v>
      </c>
      <c r="J819" s="2" t="e">
        <f t="shared" ca="1" si="18"/>
        <v>#NAME?</v>
      </c>
    </row>
    <row r="820" spans="1:10" ht="15.75" customHeight="1" x14ac:dyDescent="0.2">
      <c r="A820" s="2">
        <v>819</v>
      </c>
      <c r="B820" s="4">
        <v>45610</v>
      </c>
      <c r="C820" s="2">
        <f t="shared" si="15"/>
        <v>0</v>
      </c>
      <c r="D820" s="2">
        <v>0</v>
      </c>
      <c r="E820" s="2">
        <f t="shared" si="16"/>
        <v>0</v>
      </c>
      <c r="F820" s="2" t="str">
        <f t="shared" si="17"/>
        <v>Thursday</v>
      </c>
      <c r="H820" s="2">
        <v>2</v>
      </c>
      <c r="I820" s="2" t="e">
        <f t="shared" ca="1" si="19"/>
        <v>#NAME?</v>
      </c>
      <c r="J820" s="2" t="e">
        <f t="shared" ca="1" si="18"/>
        <v>#NAME?</v>
      </c>
    </row>
    <row r="821" spans="1:10" ht="15.75" customHeight="1" x14ac:dyDescent="0.2">
      <c r="A821" s="2">
        <v>820</v>
      </c>
      <c r="B821" s="4">
        <v>45611</v>
      </c>
      <c r="C821" s="2">
        <f t="shared" si="15"/>
        <v>0</v>
      </c>
      <c r="D821" s="2">
        <v>0</v>
      </c>
      <c r="E821" s="2">
        <f t="shared" si="16"/>
        <v>0</v>
      </c>
      <c r="F821" s="2" t="str">
        <f t="shared" si="17"/>
        <v>Friday</v>
      </c>
      <c r="H821" s="2">
        <v>2</v>
      </c>
      <c r="I821" s="2" t="e">
        <f t="shared" ca="1" si="19"/>
        <v>#NAME?</v>
      </c>
      <c r="J821" s="2" t="e">
        <f t="shared" ca="1" si="18"/>
        <v>#NAME?</v>
      </c>
    </row>
    <row r="822" spans="1:10" ht="15.75" customHeight="1" x14ac:dyDescent="0.2">
      <c r="A822" s="2">
        <v>821</v>
      </c>
      <c r="B822" s="4">
        <v>45612</v>
      </c>
      <c r="C822" s="2">
        <f t="shared" si="15"/>
        <v>1</v>
      </c>
      <c r="D822" s="2">
        <v>0</v>
      </c>
      <c r="E822" s="2">
        <f t="shared" si="16"/>
        <v>1</v>
      </c>
      <c r="F822" s="2" t="str">
        <f t="shared" si="17"/>
        <v>Saturday</v>
      </c>
      <c r="H822" s="2">
        <v>2</v>
      </c>
      <c r="I822" s="2" t="e">
        <f t="shared" ca="1" si="19"/>
        <v>#NAME?</v>
      </c>
      <c r="J822" s="2" t="e">
        <f t="shared" ca="1" si="18"/>
        <v>#NAME?</v>
      </c>
    </row>
    <row r="823" spans="1:10" ht="15.75" customHeight="1" x14ac:dyDescent="0.2">
      <c r="A823" s="2">
        <v>822</v>
      </c>
      <c r="B823" s="4">
        <v>45613</v>
      </c>
      <c r="C823" s="2">
        <f t="shared" si="15"/>
        <v>1</v>
      </c>
      <c r="D823" s="2">
        <v>0</v>
      </c>
      <c r="E823" s="2">
        <f t="shared" si="16"/>
        <v>1</v>
      </c>
      <c r="F823" s="2" t="str">
        <f t="shared" si="17"/>
        <v>Sunday</v>
      </c>
      <c r="H823" s="2">
        <v>2</v>
      </c>
      <c r="I823" s="2" t="e">
        <f t="shared" ca="1" si="19"/>
        <v>#NAME?</v>
      </c>
      <c r="J823" s="2" t="e">
        <f t="shared" ca="1" si="18"/>
        <v>#NAME?</v>
      </c>
    </row>
    <row r="824" spans="1:10" ht="15.75" customHeight="1" x14ac:dyDescent="0.2">
      <c r="A824" s="2">
        <v>823</v>
      </c>
      <c r="B824" s="4">
        <v>45614</v>
      </c>
      <c r="C824" s="2">
        <f t="shared" si="15"/>
        <v>0</v>
      </c>
      <c r="D824" s="2">
        <v>0</v>
      </c>
      <c r="E824" s="2">
        <f t="shared" si="16"/>
        <v>0</v>
      </c>
      <c r="F824" s="2" t="str">
        <f t="shared" si="17"/>
        <v>Monday</v>
      </c>
      <c r="H824" s="2">
        <v>2</v>
      </c>
      <c r="I824" s="2" t="e">
        <f t="shared" ca="1" si="19"/>
        <v>#NAME?</v>
      </c>
      <c r="J824" s="2" t="e">
        <f t="shared" ca="1" si="18"/>
        <v>#NAME?</v>
      </c>
    </row>
    <row r="825" spans="1:10" ht="15.75" customHeight="1" x14ac:dyDescent="0.2">
      <c r="A825" s="2">
        <v>824</v>
      </c>
      <c r="B825" s="4">
        <v>45615</v>
      </c>
      <c r="C825" s="2">
        <f t="shared" si="15"/>
        <v>0</v>
      </c>
      <c r="D825" s="2">
        <v>0</v>
      </c>
      <c r="E825" s="2">
        <f t="shared" si="16"/>
        <v>0</v>
      </c>
      <c r="F825" s="2" t="str">
        <f t="shared" si="17"/>
        <v>Tuesday</v>
      </c>
      <c r="H825" s="2">
        <v>2</v>
      </c>
      <c r="I825" s="2" t="e">
        <f t="shared" ca="1" si="19"/>
        <v>#NAME?</v>
      </c>
      <c r="J825" s="2" t="e">
        <f t="shared" ca="1" si="18"/>
        <v>#NAME?</v>
      </c>
    </row>
    <row r="826" spans="1:10" ht="15.75" customHeight="1" x14ac:dyDescent="0.2">
      <c r="A826" s="2">
        <v>825</v>
      </c>
      <c r="B826" s="4">
        <v>45616</v>
      </c>
      <c r="C826" s="2">
        <f t="shared" si="15"/>
        <v>0</v>
      </c>
      <c r="D826" s="2">
        <v>0</v>
      </c>
      <c r="E826" s="2">
        <f t="shared" si="16"/>
        <v>0</v>
      </c>
      <c r="F826" s="2" t="str">
        <f t="shared" si="17"/>
        <v>Wednesday</v>
      </c>
      <c r="H826" s="2">
        <v>2</v>
      </c>
      <c r="I826" s="2" t="e">
        <f t="shared" ca="1" si="19"/>
        <v>#NAME?</v>
      </c>
      <c r="J826" s="2" t="e">
        <f t="shared" ca="1" si="18"/>
        <v>#NAME?</v>
      </c>
    </row>
    <row r="827" spans="1:10" ht="15.75" customHeight="1" x14ac:dyDescent="0.2">
      <c r="A827" s="2">
        <v>826</v>
      </c>
      <c r="B827" s="4">
        <v>45617</v>
      </c>
      <c r="C827" s="2">
        <f t="shared" si="15"/>
        <v>0</v>
      </c>
      <c r="D827" s="2">
        <v>0</v>
      </c>
      <c r="E827" s="2">
        <f t="shared" si="16"/>
        <v>0</v>
      </c>
      <c r="F827" s="2" t="str">
        <f t="shared" si="17"/>
        <v>Thursday</v>
      </c>
      <c r="H827" s="2">
        <v>2</v>
      </c>
      <c r="I827" s="2" t="e">
        <f t="shared" ca="1" si="19"/>
        <v>#NAME?</v>
      </c>
      <c r="J827" s="2" t="e">
        <f t="shared" ca="1" si="18"/>
        <v>#NAME?</v>
      </c>
    </row>
    <row r="828" spans="1:10" ht="15.75" customHeight="1" x14ac:dyDescent="0.2">
      <c r="A828" s="2">
        <v>827</v>
      </c>
      <c r="B828" s="4">
        <v>45618</v>
      </c>
      <c r="C828" s="2">
        <f t="shared" si="15"/>
        <v>0</v>
      </c>
      <c r="D828" s="2">
        <v>0</v>
      </c>
      <c r="E828" s="2">
        <f t="shared" si="16"/>
        <v>0</v>
      </c>
      <c r="F828" s="2" t="str">
        <f t="shared" si="17"/>
        <v>Friday</v>
      </c>
      <c r="H828" s="2">
        <v>2</v>
      </c>
      <c r="I828" s="2" t="e">
        <f t="shared" ca="1" si="19"/>
        <v>#NAME?</v>
      </c>
      <c r="J828" s="2" t="e">
        <f t="shared" ca="1" si="18"/>
        <v>#NAME?</v>
      </c>
    </row>
    <row r="829" spans="1:10" ht="15.75" customHeight="1" x14ac:dyDescent="0.2">
      <c r="A829" s="2">
        <v>828</v>
      </c>
      <c r="B829" s="4">
        <v>45619</v>
      </c>
      <c r="C829" s="2">
        <f t="shared" si="15"/>
        <v>1</v>
      </c>
      <c r="D829" s="2">
        <v>0</v>
      </c>
      <c r="E829" s="2">
        <f t="shared" si="16"/>
        <v>1</v>
      </c>
      <c r="F829" s="2" t="str">
        <f t="shared" si="17"/>
        <v>Saturday</v>
      </c>
      <c r="H829" s="2">
        <v>2</v>
      </c>
      <c r="I829" s="2" t="e">
        <f t="shared" ca="1" si="19"/>
        <v>#NAME?</v>
      </c>
      <c r="J829" s="2" t="e">
        <f t="shared" ca="1" si="18"/>
        <v>#NAME?</v>
      </c>
    </row>
    <row r="830" spans="1:10" ht="15.75" customHeight="1" x14ac:dyDescent="0.2">
      <c r="A830" s="2">
        <v>829</v>
      </c>
      <c r="B830" s="4">
        <v>45620</v>
      </c>
      <c r="C830" s="2">
        <f t="shared" si="15"/>
        <v>1</v>
      </c>
      <c r="D830" s="2">
        <v>0</v>
      </c>
      <c r="E830" s="2">
        <f t="shared" si="16"/>
        <v>1</v>
      </c>
      <c r="F830" s="2" t="str">
        <f t="shared" si="17"/>
        <v>Sunday</v>
      </c>
      <c r="H830" s="2">
        <v>2</v>
      </c>
      <c r="I830" s="2" t="e">
        <f t="shared" ca="1" si="19"/>
        <v>#NAME?</v>
      </c>
      <c r="J830" s="2" t="e">
        <f t="shared" ca="1" si="18"/>
        <v>#NAME?</v>
      </c>
    </row>
    <row r="831" spans="1:10" ht="15.75" customHeight="1" x14ac:dyDescent="0.2">
      <c r="A831" s="2">
        <v>830</v>
      </c>
      <c r="B831" s="4">
        <v>45621</v>
      </c>
      <c r="C831" s="2">
        <f t="shared" si="15"/>
        <v>0</v>
      </c>
      <c r="D831" s="2">
        <v>0</v>
      </c>
      <c r="E831" s="2">
        <f t="shared" si="16"/>
        <v>0</v>
      </c>
      <c r="F831" s="2" t="str">
        <f t="shared" si="17"/>
        <v>Monday</v>
      </c>
      <c r="H831" s="2">
        <v>2</v>
      </c>
      <c r="I831" s="2" t="e">
        <f t="shared" ca="1" si="19"/>
        <v>#NAME?</v>
      </c>
      <c r="J831" s="2" t="e">
        <f t="shared" ca="1" si="18"/>
        <v>#NAME?</v>
      </c>
    </row>
    <row r="832" spans="1:10" ht="15.75" customHeight="1" x14ac:dyDescent="0.2">
      <c r="A832" s="2">
        <v>831</v>
      </c>
      <c r="B832" s="4">
        <v>45622</v>
      </c>
      <c r="C832" s="2">
        <f t="shared" si="15"/>
        <v>0</v>
      </c>
      <c r="D832" s="2">
        <v>0</v>
      </c>
      <c r="E832" s="2">
        <f t="shared" si="16"/>
        <v>0</v>
      </c>
      <c r="F832" s="2" t="str">
        <f t="shared" si="17"/>
        <v>Tuesday</v>
      </c>
      <c r="H832" s="2">
        <v>2</v>
      </c>
      <c r="I832" s="2" t="e">
        <f t="shared" ca="1" si="19"/>
        <v>#NAME?</v>
      </c>
      <c r="J832" s="2" t="e">
        <f t="shared" ca="1" si="18"/>
        <v>#NAME?</v>
      </c>
    </row>
    <row r="833" spans="1:10" ht="15.75" customHeight="1" x14ac:dyDescent="0.2">
      <c r="A833" s="2">
        <v>832</v>
      </c>
      <c r="B833" s="4">
        <v>45623</v>
      </c>
      <c r="C833" s="2">
        <f t="shared" si="15"/>
        <v>0</v>
      </c>
      <c r="D833" s="2">
        <v>0</v>
      </c>
      <c r="E833" s="2">
        <f t="shared" si="16"/>
        <v>0</v>
      </c>
      <c r="F833" s="2" t="str">
        <f t="shared" si="17"/>
        <v>Wednesday</v>
      </c>
      <c r="H833" s="2">
        <v>2</v>
      </c>
      <c r="I833" s="2" t="e">
        <f t="shared" ca="1" si="19"/>
        <v>#NAME?</v>
      </c>
      <c r="J833" s="2" t="e">
        <f t="shared" ca="1" si="18"/>
        <v>#NAME?</v>
      </c>
    </row>
    <row r="834" spans="1:10" ht="15.75" customHeight="1" x14ac:dyDescent="0.2">
      <c r="A834" s="2">
        <v>833</v>
      </c>
      <c r="B834" s="4">
        <v>45624</v>
      </c>
      <c r="C834" s="2">
        <f t="shared" si="15"/>
        <v>0</v>
      </c>
      <c r="D834" s="2">
        <v>0</v>
      </c>
      <c r="E834" s="2">
        <f t="shared" si="16"/>
        <v>0</v>
      </c>
      <c r="F834" s="2" t="str">
        <f t="shared" si="17"/>
        <v>Thursday</v>
      </c>
      <c r="H834" s="2">
        <v>2</v>
      </c>
      <c r="I834" s="2" t="e">
        <f t="shared" ca="1" si="19"/>
        <v>#NAME?</v>
      </c>
      <c r="J834" s="2" t="e">
        <f t="shared" ca="1" si="18"/>
        <v>#NAME?</v>
      </c>
    </row>
    <row r="835" spans="1:10" ht="15.75" customHeight="1" x14ac:dyDescent="0.2">
      <c r="A835" s="2">
        <v>834</v>
      </c>
      <c r="B835" s="4">
        <v>45625</v>
      </c>
      <c r="C835" s="2">
        <f t="shared" si="15"/>
        <v>0</v>
      </c>
      <c r="D835" s="2">
        <v>0</v>
      </c>
      <c r="E835" s="2">
        <f t="shared" si="16"/>
        <v>0</v>
      </c>
      <c r="F835" s="2" t="str">
        <f t="shared" si="17"/>
        <v>Friday</v>
      </c>
      <c r="H835" s="2">
        <v>2</v>
      </c>
      <c r="I835" s="2" t="e">
        <f t="shared" ca="1" si="19"/>
        <v>#NAME?</v>
      </c>
      <c r="J835" s="2" t="e">
        <f t="shared" ca="1" si="18"/>
        <v>#NAME?</v>
      </c>
    </row>
    <row r="836" spans="1:10" ht="15.75" customHeight="1" x14ac:dyDescent="0.2">
      <c r="A836" s="2">
        <v>835</v>
      </c>
      <c r="B836" s="4">
        <v>45626</v>
      </c>
      <c r="C836" s="2">
        <f t="shared" si="15"/>
        <v>1</v>
      </c>
      <c r="D836" s="2">
        <v>0</v>
      </c>
      <c r="E836" s="2">
        <f t="shared" si="16"/>
        <v>1</v>
      </c>
      <c r="F836" s="2" t="str">
        <f t="shared" si="17"/>
        <v>Saturday</v>
      </c>
      <c r="H836" s="2">
        <v>2</v>
      </c>
      <c r="I836" s="2" t="e">
        <f t="shared" ca="1" si="19"/>
        <v>#NAME?</v>
      </c>
      <c r="J836" s="2" t="e">
        <f t="shared" ca="1" si="18"/>
        <v>#NAME?</v>
      </c>
    </row>
    <row r="837" spans="1:10" ht="15.75" customHeight="1" x14ac:dyDescent="0.2">
      <c r="A837" s="2">
        <v>836</v>
      </c>
      <c r="B837" s="4">
        <v>45627</v>
      </c>
      <c r="C837" s="2">
        <f t="shared" si="15"/>
        <v>1</v>
      </c>
      <c r="D837" s="2">
        <v>0</v>
      </c>
      <c r="E837" s="2">
        <f t="shared" si="16"/>
        <v>1</v>
      </c>
      <c r="F837" s="2" t="str">
        <f t="shared" si="17"/>
        <v>Sunday</v>
      </c>
      <c r="H837" s="2">
        <v>2</v>
      </c>
      <c r="I837" s="2" t="e">
        <f t="shared" ca="1" si="19"/>
        <v>#NAME?</v>
      </c>
      <c r="J837" s="2" t="e">
        <f t="shared" ca="1" si="18"/>
        <v>#NAME?</v>
      </c>
    </row>
    <row r="838" spans="1:10" ht="15.75" customHeight="1" x14ac:dyDescent="0.2">
      <c r="A838" s="2">
        <v>837</v>
      </c>
      <c r="B838" s="4">
        <v>45628</v>
      </c>
      <c r="C838" s="2">
        <f t="shared" si="15"/>
        <v>0</v>
      </c>
      <c r="D838" s="2">
        <v>0</v>
      </c>
      <c r="E838" s="2">
        <f t="shared" si="16"/>
        <v>0</v>
      </c>
      <c r="F838" s="2" t="str">
        <f t="shared" si="17"/>
        <v>Monday</v>
      </c>
      <c r="H838" s="2">
        <v>2</v>
      </c>
      <c r="I838" s="2" t="e">
        <f t="shared" ca="1" si="19"/>
        <v>#NAME?</v>
      </c>
      <c r="J838" s="2" t="e">
        <f t="shared" ca="1" si="18"/>
        <v>#NAME?</v>
      </c>
    </row>
    <row r="839" spans="1:10" ht="15.75" customHeight="1" x14ac:dyDescent="0.2">
      <c r="A839" s="2">
        <v>838</v>
      </c>
      <c r="B839" s="4">
        <v>45629</v>
      </c>
      <c r="C839" s="2">
        <f t="shared" si="15"/>
        <v>0</v>
      </c>
      <c r="D839" s="2">
        <v>0</v>
      </c>
      <c r="E839" s="2">
        <f t="shared" si="16"/>
        <v>0</v>
      </c>
      <c r="F839" s="2" t="str">
        <f t="shared" si="17"/>
        <v>Tuesday</v>
      </c>
      <c r="H839" s="2">
        <v>2</v>
      </c>
      <c r="I839" s="2" t="e">
        <f t="shared" ca="1" si="19"/>
        <v>#NAME?</v>
      </c>
      <c r="J839" s="2" t="e">
        <f t="shared" ca="1" si="18"/>
        <v>#NAME?</v>
      </c>
    </row>
    <row r="840" spans="1:10" ht="15.75" customHeight="1" x14ac:dyDescent="0.2">
      <c r="A840" s="2">
        <v>839</v>
      </c>
      <c r="B840" s="4">
        <v>45630</v>
      </c>
      <c r="C840" s="2">
        <f t="shared" si="15"/>
        <v>0</v>
      </c>
      <c r="D840" s="2">
        <v>0</v>
      </c>
      <c r="E840" s="2">
        <f t="shared" si="16"/>
        <v>0</v>
      </c>
      <c r="F840" s="2" t="str">
        <f t="shared" si="17"/>
        <v>Wednesday</v>
      </c>
      <c r="H840" s="2">
        <v>2</v>
      </c>
      <c r="I840" s="2" t="e">
        <f t="shared" ca="1" si="19"/>
        <v>#NAME?</v>
      </c>
      <c r="J840" s="2" t="e">
        <f t="shared" ca="1" si="18"/>
        <v>#NAME?</v>
      </c>
    </row>
    <row r="841" spans="1:10" ht="15.75" customHeight="1" x14ac:dyDescent="0.2">
      <c r="A841" s="2">
        <v>840</v>
      </c>
      <c r="B841" s="4">
        <v>45631</v>
      </c>
      <c r="C841" s="2">
        <f t="shared" si="15"/>
        <v>0</v>
      </c>
      <c r="D841" s="2">
        <v>0</v>
      </c>
      <c r="E841" s="2">
        <f t="shared" si="16"/>
        <v>0</v>
      </c>
      <c r="F841" s="2" t="str">
        <f t="shared" si="17"/>
        <v>Thursday</v>
      </c>
      <c r="H841" s="2">
        <v>2</v>
      </c>
      <c r="I841" s="2" t="e">
        <f t="shared" ca="1" si="19"/>
        <v>#NAME?</v>
      </c>
      <c r="J841" s="2" t="e">
        <f t="shared" ca="1" si="18"/>
        <v>#NAME?</v>
      </c>
    </row>
    <row r="842" spans="1:10" ht="15.75" customHeight="1" x14ac:dyDescent="0.2">
      <c r="A842" s="2">
        <v>841</v>
      </c>
      <c r="B842" s="4">
        <v>45632</v>
      </c>
      <c r="C842" s="2">
        <f t="shared" si="15"/>
        <v>0</v>
      </c>
      <c r="D842" s="2">
        <v>0</v>
      </c>
      <c r="E842" s="2">
        <f t="shared" si="16"/>
        <v>0</v>
      </c>
      <c r="F842" s="2" t="str">
        <f t="shared" si="17"/>
        <v>Friday</v>
      </c>
      <c r="H842" s="2">
        <v>2</v>
      </c>
      <c r="I842" s="2" t="e">
        <f t="shared" ca="1" si="19"/>
        <v>#NAME?</v>
      </c>
      <c r="J842" s="2" t="e">
        <f t="shared" ca="1" si="18"/>
        <v>#NAME?</v>
      </c>
    </row>
    <row r="843" spans="1:10" ht="15.75" customHeight="1" x14ac:dyDescent="0.2">
      <c r="A843" s="2">
        <v>842</v>
      </c>
      <c r="B843" s="4">
        <v>45633</v>
      </c>
      <c r="C843" s="2">
        <f t="shared" si="15"/>
        <v>1</v>
      </c>
      <c r="D843" s="2">
        <v>0</v>
      </c>
      <c r="E843" s="2">
        <f t="shared" si="16"/>
        <v>1</v>
      </c>
      <c r="F843" s="2" t="str">
        <f t="shared" si="17"/>
        <v>Saturday</v>
      </c>
      <c r="H843" s="2">
        <v>2</v>
      </c>
      <c r="I843" s="2" t="e">
        <f t="shared" ca="1" si="19"/>
        <v>#NAME?</v>
      </c>
      <c r="J843" s="2" t="e">
        <f t="shared" ca="1" si="18"/>
        <v>#NAME?</v>
      </c>
    </row>
    <row r="844" spans="1:10" ht="15.75" customHeight="1" x14ac:dyDescent="0.2">
      <c r="A844" s="2">
        <v>843</v>
      </c>
      <c r="B844" s="4">
        <v>45634</v>
      </c>
      <c r="C844" s="2">
        <f t="shared" si="15"/>
        <v>1</v>
      </c>
      <c r="D844" s="2">
        <v>0</v>
      </c>
      <c r="E844" s="2">
        <f t="shared" si="16"/>
        <v>1</v>
      </c>
      <c r="F844" s="2" t="str">
        <f t="shared" si="17"/>
        <v>Sunday</v>
      </c>
      <c r="H844" s="2">
        <v>2</v>
      </c>
      <c r="I844" s="2" t="e">
        <f t="shared" ca="1" si="19"/>
        <v>#NAME?</v>
      </c>
      <c r="J844" s="2" t="e">
        <f t="shared" ca="1" si="18"/>
        <v>#NAME?</v>
      </c>
    </row>
    <row r="845" spans="1:10" ht="15.75" customHeight="1" x14ac:dyDescent="0.2">
      <c r="A845" s="2">
        <v>844</v>
      </c>
      <c r="B845" s="4">
        <v>45635</v>
      </c>
      <c r="C845" s="2">
        <f t="shared" si="15"/>
        <v>0</v>
      </c>
      <c r="D845" s="2">
        <v>0</v>
      </c>
      <c r="E845" s="2">
        <f t="shared" si="16"/>
        <v>0</v>
      </c>
      <c r="F845" s="2" t="str">
        <f t="shared" si="17"/>
        <v>Monday</v>
      </c>
      <c r="H845" s="2">
        <v>2</v>
      </c>
      <c r="I845" s="2" t="e">
        <f t="shared" ca="1" si="19"/>
        <v>#NAME?</v>
      </c>
      <c r="J845" s="2" t="e">
        <f t="shared" ca="1" si="18"/>
        <v>#NAME?</v>
      </c>
    </row>
    <row r="846" spans="1:10" ht="15.75" customHeight="1" x14ac:dyDescent="0.2">
      <c r="A846" s="2">
        <v>845</v>
      </c>
      <c r="B846" s="4">
        <v>45636</v>
      </c>
      <c r="C846" s="2">
        <f t="shared" si="15"/>
        <v>0</v>
      </c>
      <c r="D846" s="2">
        <v>0</v>
      </c>
      <c r="E846" s="2">
        <f t="shared" si="16"/>
        <v>0</v>
      </c>
      <c r="F846" s="2" t="str">
        <f t="shared" si="17"/>
        <v>Tuesday</v>
      </c>
      <c r="H846" s="2">
        <v>2</v>
      </c>
      <c r="I846" s="2" t="e">
        <f t="shared" ca="1" si="19"/>
        <v>#NAME?</v>
      </c>
      <c r="J846" s="2" t="e">
        <f t="shared" ca="1" si="18"/>
        <v>#NAME?</v>
      </c>
    </row>
    <row r="847" spans="1:10" ht="15.75" customHeight="1" x14ac:dyDescent="0.2">
      <c r="A847" s="2">
        <v>846</v>
      </c>
      <c r="B847" s="4">
        <v>45637</v>
      </c>
      <c r="C847" s="2">
        <f t="shared" si="15"/>
        <v>0</v>
      </c>
      <c r="D847" s="2">
        <v>0</v>
      </c>
      <c r="E847" s="2">
        <f t="shared" si="16"/>
        <v>0</v>
      </c>
      <c r="F847" s="2" t="str">
        <f t="shared" si="17"/>
        <v>Wednesday</v>
      </c>
      <c r="H847" s="2">
        <v>2</v>
      </c>
      <c r="I847" s="2" t="e">
        <f t="shared" ca="1" si="19"/>
        <v>#NAME?</v>
      </c>
      <c r="J847" s="2" t="e">
        <f t="shared" ca="1" si="18"/>
        <v>#NAME?</v>
      </c>
    </row>
    <row r="848" spans="1:10" ht="15.75" customHeight="1" x14ac:dyDescent="0.2">
      <c r="A848" s="2">
        <v>847</v>
      </c>
      <c r="B848" s="4">
        <v>45638</v>
      </c>
      <c r="C848" s="2">
        <f t="shared" si="15"/>
        <v>0</v>
      </c>
      <c r="D848" s="2">
        <v>0</v>
      </c>
      <c r="E848" s="2">
        <f t="shared" si="16"/>
        <v>0</v>
      </c>
      <c r="F848" s="2" t="str">
        <f t="shared" si="17"/>
        <v>Thursday</v>
      </c>
      <c r="H848" s="2">
        <v>2</v>
      </c>
      <c r="I848" s="2" t="e">
        <f t="shared" ca="1" si="19"/>
        <v>#NAME?</v>
      </c>
      <c r="J848" s="2" t="e">
        <f t="shared" ca="1" si="18"/>
        <v>#NAME?</v>
      </c>
    </row>
    <row r="849" spans="1:10" ht="15.75" customHeight="1" x14ac:dyDescent="0.2">
      <c r="A849" s="2">
        <v>848</v>
      </c>
      <c r="B849" s="4">
        <v>45639</v>
      </c>
      <c r="C849" s="2">
        <f t="shared" si="15"/>
        <v>0</v>
      </c>
      <c r="D849" s="2">
        <v>0</v>
      </c>
      <c r="E849" s="2">
        <f t="shared" si="16"/>
        <v>0</v>
      </c>
      <c r="F849" s="2" t="str">
        <f t="shared" si="17"/>
        <v>Friday</v>
      </c>
      <c r="H849" s="2">
        <v>2</v>
      </c>
      <c r="I849" s="2" t="e">
        <f t="shared" ca="1" si="19"/>
        <v>#NAME?</v>
      </c>
      <c r="J849" s="2" t="e">
        <f t="shared" ca="1" si="18"/>
        <v>#NAME?</v>
      </c>
    </row>
    <row r="850" spans="1:10" ht="15.75" customHeight="1" x14ac:dyDescent="0.2">
      <c r="A850" s="2">
        <v>849</v>
      </c>
      <c r="B850" s="4">
        <v>45640</v>
      </c>
      <c r="C850" s="2">
        <f t="shared" si="15"/>
        <v>1</v>
      </c>
      <c r="D850" s="2">
        <v>0</v>
      </c>
      <c r="E850" s="2">
        <f t="shared" si="16"/>
        <v>1</v>
      </c>
      <c r="F850" s="2" t="str">
        <f t="shared" si="17"/>
        <v>Saturday</v>
      </c>
      <c r="H850" s="2">
        <v>2</v>
      </c>
      <c r="I850" s="2" t="e">
        <f t="shared" ca="1" si="19"/>
        <v>#NAME?</v>
      </c>
      <c r="J850" s="2" t="e">
        <f t="shared" ca="1" si="18"/>
        <v>#NAME?</v>
      </c>
    </row>
    <row r="851" spans="1:10" ht="15.75" customHeight="1" x14ac:dyDescent="0.2">
      <c r="A851" s="2">
        <v>850</v>
      </c>
      <c r="B851" s="4">
        <v>45641</v>
      </c>
      <c r="C851" s="2">
        <f t="shared" si="15"/>
        <v>1</v>
      </c>
      <c r="D851" s="2">
        <v>0</v>
      </c>
      <c r="E851" s="2">
        <f t="shared" si="16"/>
        <v>1</v>
      </c>
      <c r="F851" s="2" t="str">
        <f t="shared" si="17"/>
        <v>Sunday</v>
      </c>
      <c r="H851" s="2">
        <v>2</v>
      </c>
      <c r="I851" s="2" t="e">
        <f t="shared" ca="1" si="19"/>
        <v>#NAME?</v>
      </c>
      <c r="J851" s="2" t="e">
        <f t="shared" ca="1" si="18"/>
        <v>#NAME?</v>
      </c>
    </row>
    <row r="852" spans="1:10" ht="15.75" customHeight="1" x14ac:dyDescent="0.2">
      <c r="A852" s="2">
        <v>851</v>
      </c>
      <c r="B852" s="4">
        <v>45642</v>
      </c>
      <c r="C852" s="2">
        <f t="shared" si="15"/>
        <v>0</v>
      </c>
      <c r="D852" s="2">
        <v>0</v>
      </c>
      <c r="E852" s="2">
        <f t="shared" si="16"/>
        <v>0</v>
      </c>
      <c r="F852" s="2" t="str">
        <f t="shared" si="17"/>
        <v>Monday</v>
      </c>
      <c r="H852" s="2">
        <v>2</v>
      </c>
      <c r="I852" s="2" t="e">
        <f t="shared" ca="1" si="19"/>
        <v>#NAME?</v>
      </c>
      <c r="J852" s="2" t="e">
        <f t="shared" ca="1" si="18"/>
        <v>#NAME?</v>
      </c>
    </row>
    <row r="853" spans="1:10" ht="15.75" customHeight="1" x14ac:dyDescent="0.2">
      <c r="A853" s="2">
        <v>852</v>
      </c>
      <c r="B853" s="4">
        <v>45643</v>
      </c>
      <c r="C853" s="2">
        <f t="shared" si="15"/>
        <v>0</v>
      </c>
      <c r="D853" s="2">
        <v>0</v>
      </c>
      <c r="E853" s="2">
        <f t="shared" si="16"/>
        <v>0</v>
      </c>
      <c r="F853" s="2" t="str">
        <f t="shared" si="17"/>
        <v>Tuesday</v>
      </c>
      <c r="H853" s="2">
        <v>2</v>
      </c>
      <c r="I853" s="2" t="e">
        <f t="shared" ca="1" si="19"/>
        <v>#NAME?</v>
      </c>
      <c r="J853" s="2" t="e">
        <f t="shared" ca="1" si="18"/>
        <v>#NAME?</v>
      </c>
    </row>
    <row r="854" spans="1:10" ht="15.75" customHeight="1" x14ac:dyDescent="0.2">
      <c r="A854" s="2">
        <v>853</v>
      </c>
      <c r="B854" s="4">
        <v>45644</v>
      </c>
      <c r="C854" s="2">
        <f t="shared" si="15"/>
        <v>0</v>
      </c>
      <c r="D854" s="2">
        <v>0</v>
      </c>
      <c r="E854" s="2">
        <f t="shared" si="16"/>
        <v>0</v>
      </c>
      <c r="F854" s="2" t="str">
        <f t="shared" si="17"/>
        <v>Wednesday</v>
      </c>
      <c r="H854" s="2">
        <v>2</v>
      </c>
      <c r="I854" s="2" t="e">
        <f t="shared" ca="1" si="19"/>
        <v>#NAME?</v>
      </c>
      <c r="J854" s="2" t="e">
        <f t="shared" ca="1" si="18"/>
        <v>#NAME?</v>
      </c>
    </row>
    <row r="855" spans="1:10" ht="15.75" customHeight="1" x14ac:dyDescent="0.2">
      <c r="A855" s="2">
        <v>854</v>
      </c>
      <c r="B855" s="4">
        <v>45645</v>
      </c>
      <c r="C855" s="2">
        <f t="shared" si="15"/>
        <v>0</v>
      </c>
      <c r="D855" s="2">
        <v>0</v>
      </c>
      <c r="E855" s="2">
        <f t="shared" si="16"/>
        <v>0</v>
      </c>
      <c r="F855" s="2" t="str">
        <f t="shared" si="17"/>
        <v>Thursday</v>
      </c>
      <c r="H855" s="2">
        <v>2</v>
      </c>
      <c r="I855" s="2" t="e">
        <f t="shared" ca="1" si="19"/>
        <v>#NAME?</v>
      </c>
      <c r="J855" s="2" t="e">
        <f t="shared" ca="1" si="18"/>
        <v>#NAME?</v>
      </c>
    </row>
    <row r="856" spans="1:10" ht="15.75" customHeight="1" x14ac:dyDescent="0.2">
      <c r="A856" s="2">
        <v>855</v>
      </c>
      <c r="B856" s="4">
        <v>45646</v>
      </c>
      <c r="C856" s="2">
        <f t="shared" si="15"/>
        <v>0</v>
      </c>
      <c r="D856" s="2">
        <v>0</v>
      </c>
      <c r="E856" s="2">
        <f t="shared" si="16"/>
        <v>0</v>
      </c>
      <c r="F856" s="2" t="str">
        <f t="shared" si="17"/>
        <v>Friday</v>
      </c>
      <c r="H856" s="2">
        <v>2</v>
      </c>
      <c r="I856" s="2" t="e">
        <f t="shared" ca="1" si="19"/>
        <v>#NAME?</v>
      </c>
      <c r="J856" s="2" t="e">
        <f t="shared" ca="1" si="18"/>
        <v>#NAME?</v>
      </c>
    </row>
    <row r="857" spans="1:10" ht="15.75" customHeight="1" x14ac:dyDescent="0.2">
      <c r="A857" s="2">
        <v>856</v>
      </c>
      <c r="B857" s="4">
        <v>45647</v>
      </c>
      <c r="C857" s="2">
        <f t="shared" si="15"/>
        <v>1</v>
      </c>
      <c r="D857" s="2">
        <v>1</v>
      </c>
      <c r="E857" s="2">
        <f t="shared" si="16"/>
        <v>1</v>
      </c>
      <c r="F857" s="2" t="str">
        <f t="shared" si="17"/>
        <v>Saturday</v>
      </c>
      <c r="G857" s="2" t="s">
        <v>331</v>
      </c>
      <c r="H857" s="2">
        <v>2</v>
      </c>
      <c r="I857" s="2" t="e">
        <f t="shared" ca="1" si="19"/>
        <v>#NAME?</v>
      </c>
      <c r="J857" s="2" t="e">
        <f t="shared" ca="1" si="18"/>
        <v>#NAME?</v>
      </c>
    </row>
    <row r="858" spans="1:10" ht="15.75" customHeight="1" x14ac:dyDescent="0.2">
      <c r="A858" s="2">
        <v>857</v>
      </c>
      <c r="B858" s="4">
        <v>45648</v>
      </c>
      <c r="C858" s="2">
        <f t="shared" si="15"/>
        <v>1</v>
      </c>
      <c r="D858" s="2">
        <v>1</v>
      </c>
      <c r="E858" s="2">
        <f t="shared" si="16"/>
        <v>1</v>
      </c>
      <c r="F858" s="2" t="str">
        <f t="shared" si="17"/>
        <v>Sunday</v>
      </c>
      <c r="G858" s="2" t="s">
        <v>331</v>
      </c>
      <c r="H858" s="2">
        <v>2</v>
      </c>
      <c r="I858" s="2" t="e">
        <f t="shared" ca="1" si="19"/>
        <v>#NAME?</v>
      </c>
      <c r="J858" s="2" t="e">
        <f t="shared" ca="1" si="18"/>
        <v>#NAME?</v>
      </c>
    </row>
    <row r="859" spans="1:10" ht="15.75" customHeight="1" x14ac:dyDescent="0.2">
      <c r="A859" s="2">
        <v>858</v>
      </c>
      <c r="B859" s="4">
        <v>45649</v>
      </c>
      <c r="C859" s="2">
        <f t="shared" si="15"/>
        <v>0</v>
      </c>
      <c r="D859" s="2">
        <v>1</v>
      </c>
      <c r="E859" s="2">
        <f t="shared" si="16"/>
        <v>1</v>
      </c>
      <c r="F859" s="2" t="str">
        <f t="shared" si="17"/>
        <v>Monday</v>
      </c>
      <c r="G859" s="2" t="s">
        <v>331</v>
      </c>
      <c r="H859" s="2">
        <v>2</v>
      </c>
      <c r="I859" s="2" t="e">
        <f t="shared" ca="1" si="19"/>
        <v>#NAME?</v>
      </c>
      <c r="J859" s="2" t="e">
        <f t="shared" ca="1" si="18"/>
        <v>#NAME?</v>
      </c>
    </row>
    <row r="860" spans="1:10" ht="15.75" customHeight="1" x14ac:dyDescent="0.2">
      <c r="A860" s="2">
        <v>859</v>
      </c>
      <c r="B860" s="4">
        <v>45650</v>
      </c>
      <c r="C860" s="2">
        <f t="shared" si="15"/>
        <v>0</v>
      </c>
      <c r="D860" s="2">
        <v>1</v>
      </c>
      <c r="E860" s="2">
        <f t="shared" si="16"/>
        <v>1</v>
      </c>
      <c r="F860" s="2" t="str">
        <f t="shared" si="17"/>
        <v>Tuesday</v>
      </c>
      <c r="G860" s="2" t="s">
        <v>331</v>
      </c>
      <c r="H860" s="2">
        <v>2</v>
      </c>
      <c r="I860" s="2" t="e">
        <f t="shared" ca="1" si="19"/>
        <v>#NAME?</v>
      </c>
      <c r="J860" s="2" t="e">
        <f t="shared" ca="1" si="18"/>
        <v>#NAME?</v>
      </c>
    </row>
    <row r="861" spans="1:10" ht="15.75" customHeight="1" x14ac:dyDescent="0.2">
      <c r="A861" s="2">
        <v>860</v>
      </c>
      <c r="B861" s="4">
        <v>45651</v>
      </c>
      <c r="C861" s="2">
        <f t="shared" si="15"/>
        <v>0</v>
      </c>
      <c r="D861" s="2">
        <v>1</v>
      </c>
      <c r="E861" s="2">
        <f t="shared" si="16"/>
        <v>1</v>
      </c>
      <c r="F861" s="2" t="str">
        <f t="shared" si="17"/>
        <v>Wednesday</v>
      </c>
      <c r="G861" s="2" t="s">
        <v>331</v>
      </c>
      <c r="H861" s="2">
        <v>2</v>
      </c>
      <c r="I861" s="2" t="e">
        <f t="shared" ca="1" si="19"/>
        <v>#NAME?</v>
      </c>
      <c r="J861" s="2" t="e">
        <f t="shared" ca="1" si="18"/>
        <v>#NAME?</v>
      </c>
    </row>
    <row r="862" spans="1:10" ht="15.75" customHeight="1" x14ac:dyDescent="0.2">
      <c r="A862" s="2">
        <v>861</v>
      </c>
      <c r="B862" s="4">
        <v>45652</v>
      </c>
      <c r="C862" s="2">
        <f t="shared" si="15"/>
        <v>0</v>
      </c>
      <c r="D862" s="2">
        <v>1</v>
      </c>
      <c r="E862" s="2">
        <f t="shared" si="16"/>
        <v>1</v>
      </c>
      <c r="F862" s="2" t="str">
        <f t="shared" si="17"/>
        <v>Thursday</v>
      </c>
      <c r="G862" s="2" t="s">
        <v>331</v>
      </c>
      <c r="H862" s="2">
        <v>2</v>
      </c>
      <c r="I862" s="2" t="e">
        <f t="shared" ca="1" si="19"/>
        <v>#NAME?</v>
      </c>
      <c r="J862" s="2" t="e">
        <f t="shared" ca="1" si="18"/>
        <v>#NAME?</v>
      </c>
    </row>
    <row r="863" spans="1:10" ht="15.75" customHeight="1" x14ac:dyDescent="0.2">
      <c r="A863" s="2">
        <v>862</v>
      </c>
      <c r="B863" s="4">
        <v>45653</v>
      </c>
      <c r="C863" s="2">
        <f t="shared" si="15"/>
        <v>0</v>
      </c>
      <c r="D863" s="2">
        <v>1</v>
      </c>
      <c r="E863" s="2">
        <f t="shared" si="16"/>
        <v>1</v>
      </c>
      <c r="F863" s="2" t="str">
        <f t="shared" si="17"/>
        <v>Friday</v>
      </c>
      <c r="G863" s="2" t="s">
        <v>331</v>
      </c>
      <c r="H863" s="2">
        <v>2</v>
      </c>
      <c r="I863" s="2" t="e">
        <f t="shared" ca="1" si="19"/>
        <v>#NAME?</v>
      </c>
      <c r="J863" s="2" t="e">
        <f t="shared" ca="1" si="18"/>
        <v>#NAME?</v>
      </c>
    </row>
    <row r="864" spans="1:10" ht="15.75" customHeight="1" x14ac:dyDescent="0.2">
      <c r="A864" s="2">
        <v>863</v>
      </c>
      <c r="B864" s="4">
        <v>45654</v>
      </c>
      <c r="C864" s="2">
        <f t="shared" si="15"/>
        <v>1</v>
      </c>
      <c r="D864" s="2">
        <v>1</v>
      </c>
      <c r="E864" s="2">
        <f t="shared" si="16"/>
        <v>1</v>
      </c>
      <c r="F864" s="2" t="str">
        <f t="shared" si="17"/>
        <v>Saturday</v>
      </c>
      <c r="G864" s="2" t="s">
        <v>331</v>
      </c>
      <c r="H864" s="2">
        <v>2</v>
      </c>
      <c r="I864" s="2" t="e">
        <f t="shared" ca="1" si="19"/>
        <v>#NAME?</v>
      </c>
      <c r="J864" s="2" t="e">
        <f t="shared" ca="1" si="18"/>
        <v>#NAME?</v>
      </c>
    </row>
    <row r="865" spans="1:10" ht="15.75" customHeight="1" x14ac:dyDescent="0.2">
      <c r="A865" s="2">
        <v>864</v>
      </c>
      <c r="B865" s="4">
        <v>45655</v>
      </c>
      <c r="C865" s="2">
        <f t="shared" si="15"/>
        <v>1</v>
      </c>
      <c r="D865" s="2">
        <v>1</v>
      </c>
      <c r="E865" s="2">
        <f t="shared" si="16"/>
        <v>1</v>
      </c>
      <c r="F865" s="2" t="str">
        <f t="shared" si="17"/>
        <v>Sunday</v>
      </c>
      <c r="G865" s="2" t="s">
        <v>331</v>
      </c>
      <c r="H865" s="2">
        <v>2</v>
      </c>
      <c r="I865" s="2" t="e">
        <f t="shared" ca="1" si="19"/>
        <v>#NAME?</v>
      </c>
      <c r="J865" s="2" t="e">
        <f t="shared" ca="1" si="18"/>
        <v>#NAME?</v>
      </c>
    </row>
    <row r="866" spans="1:10" ht="15.75" customHeight="1" x14ac:dyDescent="0.2">
      <c r="A866" s="2">
        <v>865</v>
      </c>
      <c r="B866" s="4">
        <v>45656</v>
      </c>
      <c r="C866" s="2">
        <f t="shared" si="15"/>
        <v>0</v>
      </c>
      <c r="D866" s="2">
        <v>1</v>
      </c>
      <c r="E866" s="2">
        <f t="shared" si="16"/>
        <v>1</v>
      </c>
      <c r="F866" s="2" t="str">
        <f t="shared" si="17"/>
        <v>Monday</v>
      </c>
      <c r="G866" s="2" t="s">
        <v>331</v>
      </c>
      <c r="H866" s="2">
        <v>2</v>
      </c>
      <c r="I866" s="2" t="e">
        <f t="shared" ca="1" si="19"/>
        <v>#NAME?</v>
      </c>
      <c r="J866" s="2" t="e">
        <f t="shared" ca="1" si="18"/>
        <v>#NAME?</v>
      </c>
    </row>
    <row r="867" spans="1:10" ht="15.75" customHeight="1" x14ac:dyDescent="0.2">
      <c r="A867" s="2">
        <v>866</v>
      </c>
      <c r="B867" s="4">
        <v>45657</v>
      </c>
      <c r="C867" s="2">
        <f t="shared" si="15"/>
        <v>0</v>
      </c>
      <c r="D867" s="2">
        <v>1</v>
      </c>
      <c r="E867" s="2">
        <f t="shared" si="16"/>
        <v>1</v>
      </c>
      <c r="F867" s="2" t="str">
        <f t="shared" si="17"/>
        <v>Tuesday</v>
      </c>
      <c r="G867" s="2" t="s">
        <v>331</v>
      </c>
      <c r="H867" s="2">
        <v>2</v>
      </c>
      <c r="I867" s="2" t="e">
        <f t="shared" ca="1" si="19"/>
        <v>#NAME?</v>
      </c>
      <c r="J867" s="2" t="e">
        <f t="shared" ca="1" si="18"/>
        <v>#NAME?</v>
      </c>
    </row>
    <row r="868" spans="1:10" ht="15.75" customHeight="1" x14ac:dyDescent="0.2">
      <c r="A868" s="2">
        <v>867</v>
      </c>
      <c r="B868" s="4">
        <v>45658</v>
      </c>
      <c r="C868" s="2">
        <f t="shared" si="15"/>
        <v>0</v>
      </c>
      <c r="D868" s="2">
        <v>1</v>
      </c>
      <c r="E868" s="2">
        <f t="shared" si="16"/>
        <v>1</v>
      </c>
      <c r="F868" s="2" t="str">
        <f t="shared" si="17"/>
        <v>Wednesday</v>
      </c>
      <c r="G868" s="2" t="s">
        <v>331</v>
      </c>
      <c r="H868" s="2">
        <v>2</v>
      </c>
      <c r="I868" s="2" t="e">
        <f t="shared" ca="1" si="19"/>
        <v>#NAME?</v>
      </c>
      <c r="J868" s="2" t="e">
        <f t="shared" ca="1" si="18"/>
        <v>#NAME?</v>
      </c>
    </row>
    <row r="869" spans="1:10" ht="15.75" customHeight="1" x14ac:dyDescent="0.2">
      <c r="A869" s="2">
        <v>868</v>
      </c>
      <c r="B869" s="4">
        <v>45659</v>
      </c>
      <c r="C869" s="2">
        <f t="shared" si="15"/>
        <v>0</v>
      </c>
      <c r="D869" s="2">
        <v>1</v>
      </c>
      <c r="E869" s="2">
        <f t="shared" si="16"/>
        <v>1</v>
      </c>
      <c r="F869" s="2" t="str">
        <f t="shared" si="17"/>
        <v>Thursday</v>
      </c>
      <c r="G869" s="2" t="s">
        <v>331</v>
      </c>
      <c r="H869" s="2">
        <v>2</v>
      </c>
      <c r="I869" s="2" t="e">
        <f t="shared" ca="1" si="19"/>
        <v>#NAME?</v>
      </c>
      <c r="J869" s="2" t="e">
        <f t="shared" ca="1" si="18"/>
        <v>#NAME?</v>
      </c>
    </row>
    <row r="870" spans="1:10" ht="15.75" customHeight="1" x14ac:dyDescent="0.2">
      <c r="A870" s="2">
        <v>869</v>
      </c>
      <c r="B870" s="4">
        <v>45660</v>
      </c>
      <c r="C870" s="2">
        <f t="shared" si="15"/>
        <v>0</v>
      </c>
      <c r="D870" s="2">
        <v>1</v>
      </c>
      <c r="E870" s="2">
        <f t="shared" si="16"/>
        <v>1</v>
      </c>
      <c r="F870" s="2" t="str">
        <f t="shared" si="17"/>
        <v>Friday</v>
      </c>
      <c r="G870" s="2" t="s">
        <v>331</v>
      </c>
      <c r="H870" s="2">
        <v>2</v>
      </c>
      <c r="I870" s="2" t="e">
        <f t="shared" ca="1" si="19"/>
        <v>#NAME?</v>
      </c>
      <c r="J870" s="2" t="e">
        <f t="shared" ca="1" si="18"/>
        <v>#NAME?</v>
      </c>
    </row>
    <row r="871" spans="1:10" ht="15.75" customHeight="1" x14ac:dyDescent="0.2">
      <c r="A871" s="2">
        <v>870</v>
      </c>
      <c r="B871" s="4">
        <v>45661</v>
      </c>
      <c r="C871" s="2">
        <f t="shared" si="15"/>
        <v>1</v>
      </c>
      <c r="D871" s="2">
        <v>1</v>
      </c>
      <c r="E871" s="2">
        <f t="shared" si="16"/>
        <v>1</v>
      </c>
      <c r="F871" s="2" t="str">
        <f t="shared" si="17"/>
        <v>Saturday</v>
      </c>
      <c r="G871" s="2" t="s">
        <v>331</v>
      </c>
      <c r="H871" s="2">
        <v>2</v>
      </c>
      <c r="I871" s="2" t="e">
        <f t="shared" ca="1" si="19"/>
        <v>#NAME?</v>
      </c>
      <c r="J871" s="2" t="e">
        <f t="shared" ca="1" si="18"/>
        <v>#NAME?</v>
      </c>
    </row>
    <row r="872" spans="1:10" ht="15.75" customHeight="1" x14ac:dyDescent="0.2">
      <c r="A872" s="2">
        <v>871</v>
      </c>
      <c r="B872" s="4">
        <v>45662</v>
      </c>
      <c r="C872" s="2">
        <f t="shared" si="15"/>
        <v>1</v>
      </c>
      <c r="D872" s="2">
        <v>1</v>
      </c>
      <c r="E872" s="2">
        <f t="shared" si="16"/>
        <v>1</v>
      </c>
      <c r="F872" s="2" t="str">
        <f t="shared" si="17"/>
        <v>Sunday</v>
      </c>
      <c r="G872" s="2" t="s">
        <v>331</v>
      </c>
      <c r="H872" s="2">
        <v>2</v>
      </c>
      <c r="I872" s="2" t="e">
        <f t="shared" ca="1" si="19"/>
        <v>#NAME?</v>
      </c>
      <c r="J872" s="2" t="e">
        <f t="shared" ca="1" si="18"/>
        <v>#NAME?</v>
      </c>
    </row>
    <row r="873" spans="1:10" ht="15.75" customHeight="1" x14ac:dyDescent="0.2">
      <c r="A873" s="2">
        <v>872</v>
      </c>
      <c r="B873" s="4">
        <v>45663</v>
      </c>
      <c r="C873" s="2">
        <f t="shared" si="15"/>
        <v>0</v>
      </c>
      <c r="D873" s="2">
        <v>0</v>
      </c>
      <c r="E873" s="2">
        <f t="shared" si="16"/>
        <v>0</v>
      </c>
      <c r="F873" s="2" t="str">
        <f t="shared" si="17"/>
        <v>Monday</v>
      </c>
      <c r="H873" s="2">
        <v>3</v>
      </c>
      <c r="I873" s="2" t="e">
        <f t="shared" ca="1" si="19"/>
        <v>#NAME?</v>
      </c>
      <c r="J873" s="2" t="e">
        <f t="shared" ca="1" si="18"/>
        <v>#NAME?</v>
      </c>
    </row>
    <row r="874" spans="1:10" ht="15.75" customHeight="1" x14ac:dyDescent="0.2">
      <c r="A874" s="2">
        <v>873</v>
      </c>
      <c r="B874" s="4">
        <v>45664</v>
      </c>
      <c r="C874" s="2">
        <f t="shared" si="15"/>
        <v>0</v>
      </c>
      <c r="D874" s="2">
        <v>0</v>
      </c>
      <c r="E874" s="2">
        <f t="shared" si="16"/>
        <v>0</v>
      </c>
      <c r="F874" s="2" t="str">
        <f t="shared" si="17"/>
        <v>Tuesday</v>
      </c>
      <c r="H874" s="2">
        <v>3</v>
      </c>
      <c r="I874" s="2" t="e">
        <f t="shared" ca="1" si="19"/>
        <v>#NAME?</v>
      </c>
      <c r="J874" s="2" t="e">
        <f t="shared" ca="1" si="18"/>
        <v>#NAME?</v>
      </c>
    </row>
    <row r="875" spans="1:10" ht="15.75" customHeight="1" x14ac:dyDescent="0.2">
      <c r="A875" s="2">
        <v>874</v>
      </c>
      <c r="B875" s="4">
        <v>45665</v>
      </c>
      <c r="C875" s="2">
        <f t="shared" si="15"/>
        <v>0</v>
      </c>
      <c r="D875" s="2">
        <v>0</v>
      </c>
      <c r="E875" s="2">
        <f t="shared" si="16"/>
        <v>0</v>
      </c>
      <c r="F875" s="2" t="str">
        <f t="shared" si="17"/>
        <v>Wednesday</v>
      </c>
      <c r="H875" s="2">
        <v>3</v>
      </c>
      <c r="I875" s="2" t="e">
        <f t="shared" ca="1" si="19"/>
        <v>#NAME?</v>
      </c>
      <c r="J875" s="2" t="e">
        <f t="shared" ca="1" si="18"/>
        <v>#NAME?</v>
      </c>
    </row>
    <row r="876" spans="1:10" ht="15.75" customHeight="1" x14ac:dyDescent="0.2">
      <c r="A876" s="2">
        <v>875</v>
      </c>
      <c r="B876" s="4">
        <v>45666</v>
      </c>
      <c r="C876" s="2">
        <f t="shared" si="15"/>
        <v>0</v>
      </c>
      <c r="D876" s="2">
        <v>0</v>
      </c>
      <c r="E876" s="2">
        <f t="shared" si="16"/>
        <v>0</v>
      </c>
      <c r="F876" s="2" t="str">
        <f t="shared" si="17"/>
        <v>Thursday</v>
      </c>
      <c r="H876" s="2">
        <v>3</v>
      </c>
      <c r="I876" s="2" t="e">
        <f t="shared" ca="1" si="19"/>
        <v>#NAME?</v>
      </c>
      <c r="J876" s="2" t="e">
        <f t="shared" ca="1" si="18"/>
        <v>#NAME?</v>
      </c>
    </row>
    <row r="877" spans="1:10" ht="15.75" customHeight="1" x14ac:dyDescent="0.2">
      <c r="A877" s="2">
        <v>876</v>
      </c>
      <c r="B877" s="4">
        <v>45667</v>
      </c>
      <c r="C877" s="2">
        <f t="shared" si="15"/>
        <v>0</v>
      </c>
      <c r="D877" s="2">
        <v>0</v>
      </c>
      <c r="E877" s="2">
        <f t="shared" si="16"/>
        <v>0</v>
      </c>
      <c r="F877" s="2" t="str">
        <f t="shared" si="17"/>
        <v>Friday</v>
      </c>
      <c r="H877" s="2">
        <v>3</v>
      </c>
      <c r="I877" s="2" t="e">
        <f t="shared" ca="1" si="19"/>
        <v>#NAME?</v>
      </c>
      <c r="J877" s="2" t="e">
        <f t="shared" ca="1" si="18"/>
        <v>#NAME?</v>
      </c>
    </row>
    <row r="878" spans="1:10" ht="15.75" customHeight="1" x14ac:dyDescent="0.2">
      <c r="A878" s="2">
        <v>877</v>
      </c>
      <c r="B878" s="4">
        <v>45668</v>
      </c>
      <c r="C878" s="2">
        <f t="shared" si="15"/>
        <v>1</v>
      </c>
      <c r="D878" s="2">
        <v>0</v>
      </c>
      <c r="E878" s="2">
        <f t="shared" si="16"/>
        <v>1</v>
      </c>
      <c r="F878" s="2" t="str">
        <f t="shared" si="17"/>
        <v>Saturday</v>
      </c>
      <c r="H878" s="2">
        <v>3</v>
      </c>
      <c r="I878" s="2" t="e">
        <f t="shared" ca="1" si="19"/>
        <v>#NAME?</v>
      </c>
      <c r="J878" s="2" t="e">
        <f t="shared" ca="1" si="18"/>
        <v>#NAME?</v>
      </c>
    </row>
    <row r="879" spans="1:10" ht="15.75" customHeight="1" x14ac:dyDescent="0.2">
      <c r="A879" s="2">
        <v>878</v>
      </c>
      <c r="B879" s="4">
        <v>45669</v>
      </c>
      <c r="C879" s="2">
        <f t="shared" si="15"/>
        <v>1</v>
      </c>
      <c r="D879" s="2">
        <v>0</v>
      </c>
      <c r="E879" s="2">
        <f t="shared" si="16"/>
        <v>1</v>
      </c>
      <c r="F879" s="2" t="str">
        <f t="shared" si="17"/>
        <v>Sunday</v>
      </c>
      <c r="H879" s="2">
        <v>3</v>
      </c>
      <c r="I879" s="2" t="e">
        <f t="shared" ca="1" si="19"/>
        <v>#NAME?</v>
      </c>
      <c r="J879" s="2" t="e">
        <f t="shared" ca="1" si="18"/>
        <v>#NAME?</v>
      </c>
    </row>
    <row r="880" spans="1:10" ht="15.75" customHeight="1" x14ac:dyDescent="0.2">
      <c r="A880" s="2">
        <v>879</v>
      </c>
      <c r="B880" s="4">
        <v>45670</v>
      </c>
      <c r="C880" s="2">
        <f t="shared" si="15"/>
        <v>0</v>
      </c>
      <c r="D880" s="2">
        <v>0</v>
      </c>
      <c r="E880" s="2">
        <f t="shared" si="16"/>
        <v>0</v>
      </c>
      <c r="F880" s="2" t="str">
        <f t="shared" si="17"/>
        <v>Monday</v>
      </c>
      <c r="H880" s="2">
        <v>3</v>
      </c>
      <c r="I880" s="2" t="e">
        <f t="shared" ca="1" si="19"/>
        <v>#NAME?</v>
      </c>
      <c r="J880" s="2" t="e">
        <f t="shared" ca="1" si="18"/>
        <v>#NAME?</v>
      </c>
    </row>
    <row r="881" spans="1:10" ht="15.75" customHeight="1" x14ac:dyDescent="0.2">
      <c r="A881" s="2">
        <v>880</v>
      </c>
      <c r="B881" s="4">
        <v>45671</v>
      </c>
      <c r="C881" s="2">
        <f t="shared" si="15"/>
        <v>0</v>
      </c>
      <c r="D881" s="2">
        <v>0</v>
      </c>
      <c r="E881" s="2">
        <f t="shared" si="16"/>
        <v>0</v>
      </c>
      <c r="F881" s="2" t="str">
        <f t="shared" si="17"/>
        <v>Tuesday</v>
      </c>
      <c r="H881" s="2">
        <v>3</v>
      </c>
      <c r="I881" s="2" t="e">
        <f t="shared" ca="1" si="19"/>
        <v>#NAME?</v>
      </c>
      <c r="J881" s="2" t="e">
        <f t="shared" ca="1" si="18"/>
        <v>#NAME?</v>
      </c>
    </row>
    <row r="882" spans="1:10" ht="15.75" customHeight="1" x14ac:dyDescent="0.2">
      <c r="A882" s="2">
        <v>881</v>
      </c>
      <c r="B882" s="4">
        <v>45672</v>
      </c>
      <c r="C882" s="2">
        <f t="shared" si="15"/>
        <v>0</v>
      </c>
      <c r="D882" s="2">
        <v>0</v>
      </c>
      <c r="E882" s="2">
        <f t="shared" si="16"/>
        <v>0</v>
      </c>
      <c r="F882" s="2" t="str">
        <f t="shared" si="17"/>
        <v>Wednesday</v>
      </c>
      <c r="H882" s="2">
        <v>3</v>
      </c>
      <c r="I882" s="2" t="e">
        <f t="shared" ca="1" si="19"/>
        <v>#NAME?</v>
      </c>
      <c r="J882" s="2" t="e">
        <f t="shared" ca="1" si="18"/>
        <v>#NAME?</v>
      </c>
    </row>
    <row r="883" spans="1:10" ht="15.75" customHeight="1" x14ac:dyDescent="0.2">
      <c r="A883" s="2">
        <v>882</v>
      </c>
      <c r="B883" s="4">
        <v>45673</v>
      </c>
      <c r="C883" s="2">
        <f t="shared" si="15"/>
        <v>0</v>
      </c>
      <c r="D883" s="2">
        <v>0</v>
      </c>
      <c r="E883" s="2">
        <f t="shared" si="16"/>
        <v>0</v>
      </c>
      <c r="F883" s="2" t="str">
        <f t="shared" si="17"/>
        <v>Thursday</v>
      </c>
      <c r="H883" s="2">
        <v>3</v>
      </c>
      <c r="I883" s="2" t="e">
        <f t="shared" ca="1" si="19"/>
        <v>#NAME?</v>
      </c>
      <c r="J883" s="2" t="e">
        <f t="shared" ca="1" si="18"/>
        <v>#NAME?</v>
      </c>
    </row>
    <row r="884" spans="1:10" ht="15.75" customHeight="1" x14ac:dyDescent="0.2">
      <c r="A884" s="2">
        <v>883</v>
      </c>
      <c r="B884" s="4">
        <v>45674</v>
      </c>
      <c r="C884" s="2">
        <f t="shared" si="15"/>
        <v>0</v>
      </c>
      <c r="D884" s="2">
        <v>0</v>
      </c>
      <c r="E884" s="2">
        <f t="shared" si="16"/>
        <v>0</v>
      </c>
      <c r="F884" s="2" t="str">
        <f t="shared" si="17"/>
        <v>Friday</v>
      </c>
      <c r="H884" s="2">
        <v>3</v>
      </c>
      <c r="I884" s="2" t="e">
        <f t="shared" ca="1" si="19"/>
        <v>#NAME?</v>
      </c>
      <c r="J884" s="2" t="e">
        <f t="shared" ca="1" si="18"/>
        <v>#NAME?</v>
      </c>
    </row>
    <row r="885" spans="1:10" ht="15.75" customHeight="1" x14ac:dyDescent="0.2">
      <c r="A885" s="2">
        <v>884</v>
      </c>
      <c r="B885" s="4">
        <v>45675</v>
      </c>
      <c r="C885" s="2">
        <f t="shared" si="15"/>
        <v>1</v>
      </c>
      <c r="D885" s="2">
        <v>0</v>
      </c>
      <c r="E885" s="2">
        <f t="shared" si="16"/>
        <v>1</v>
      </c>
      <c r="F885" s="2" t="str">
        <f t="shared" si="17"/>
        <v>Saturday</v>
      </c>
      <c r="H885" s="2">
        <v>3</v>
      </c>
      <c r="I885" s="2" t="e">
        <f t="shared" ca="1" si="19"/>
        <v>#NAME?</v>
      </c>
      <c r="J885" s="2" t="e">
        <f t="shared" ca="1" si="18"/>
        <v>#NAME?</v>
      </c>
    </row>
    <row r="886" spans="1:10" ht="15.75" customHeight="1" x14ac:dyDescent="0.2">
      <c r="A886" s="2">
        <v>885</v>
      </c>
      <c r="B886" s="4">
        <v>45676</v>
      </c>
      <c r="C886" s="2">
        <f t="shared" si="15"/>
        <v>1</v>
      </c>
      <c r="D886" s="2">
        <v>0</v>
      </c>
      <c r="E886" s="2">
        <f t="shared" si="16"/>
        <v>1</v>
      </c>
      <c r="F886" s="2" t="str">
        <f t="shared" si="17"/>
        <v>Sunday</v>
      </c>
      <c r="H886" s="2">
        <v>3</v>
      </c>
      <c r="I886" s="2" t="e">
        <f t="shared" ca="1" si="19"/>
        <v>#NAME?</v>
      </c>
      <c r="J886" s="2" t="e">
        <f t="shared" ca="1" si="18"/>
        <v>#NAME?</v>
      </c>
    </row>
    <row r="887" spans="1:10" ht="15.75" customHeight="1" x14ac:dyDescent="0.2">
      <c r="A887" s="2">
        <v>886</v>
      </c>
      <c r="B887" s="4">
        <v>45677</v>
      </c>
      <c r="C887" s="2">
        <f t="shared" si="15"/>
        <v>0</v>
      </c>
      <c r="D887" s="2">
        <v>0</v>
      </c>
      <c r="E887" s="2">
        <f t="shared" si="16"/>
        <v>0</v>
      </c>
      <c r="F887" s="2" t="str">
        <f t="shared" si="17"/>
        <v>Monday</v>
      </c>
      <c r="H887" s="2">
        <v>3</v>
      </c>
      <c r="I887" s="2" t="e">
        <f t="shared" ca="1" si="19"/>
        <v>#NAME?</v>
      </c>
      <c r="J887" s="2" t="e">
        <f t="shared" ca="1" si="18"/>
        <v>#NAME?</v>
      </c>
    </row>
    <row r="888" spans="1:10" ht="15.75" customHeight="1" x14ac:dyDescent="0.2">
      <c r="A888" s="2">
        <v>887</v>
      </c>
      <c r="B888" s="4">
        <v>45678</v>
      </c>
      <c r="C888" s="2">
        <f t="shared" si="15"/>
        <v>0</v>
      </c>
      <c r="D888" s="2">
        <v>0</v>
      </c>
      <c r="E888" s="2">
        <f t="shared" si="16"/>
        <v>0</v>
      </c>
      <c r="F888" s="2" t="str">
        <f t="shared" si="17"/>
        <v>Tuesday</v>
      </c>
      <c r="H888" s="2">
        <v>3</v>
      </c>
      <c r="I888" s="2" t="e">
        <f t="shared" ca="1" si="19"/>
        <v>#NAME?</v>
      </c>
      <c r="J888" s="2" t="e">
        <f t="shared" ca="1" si="18"/>
        <v>#NAME?</v>
      </c>
    </row>
    <row r="889" spans="1:10" ht="15.75" customHeight="1" x14ac:dyDescent="0.2">
      <c r="A889" s="2">
        <v>888</v>
      </c>
      <c r="B889" s="4">
        <v>45679</v>
      </c>
      <c r="C889" s="2">
        <f t="shared" si="15"/>
        <v>0</v>
      </c>
      <c r="D889" s="2">
        <v>0</v>
      </c>
      <c r="E889" s="2">
        <f t="shared" si="16"/>
        <v>0</v>
      </c>
      <c r="F889" s="2" t="str">
        <f t="shared" si="17"/>
        <v>Wednesday</v>
      </c>
      <c r="H889" s="2">
        <v>3</v>
      </c>
      <c r="I889" s="2" t="e">
        <f t="shared" ca="1" si="19"/>
        <v>#NAME?</v>
      </c>
      <c r="J889" s="2" t="e">
        <f t="shared" ca="1" si="18"/>
        <v>#NAME?</v>
      </c>
    </row>
    <row r="890" spans="1:10" ht="15.75" customHeight="1" x14ac:dyDescent="0.2">
      <c r="A890" s="2">
        <v>889</v>
      </c>
      <c r="B890" s="4">
        <v>45680</v>
      </c>
      <c r="C890" s="2">
        <f t="shared" si="15"/>
        <v>0</v>
      </c>
      <c r="D890" s="2">
        <v>0</v>
      </c>
      <c r="E890" s="2">
        <f t="shared" si="16"/>
        <v>0</v>
      </c>
      <c r="F890" s="2" t="str">
        <f t="shared" si="17"/>
        <v>Thursday</v>
      </c>
      <c r="H890" s="2">
        <v>3</v>
      </c>
      <c r="I890" s="2" t="e">
        <f t="shared" ca="1" si="19"/>
        <v>#NAME?</v>
      </c>
      <c r="J890" s="2" t="e">
        <f t="shared" ca="1" si="18"/>
        <v>#NAME?</v>
      </c>
    </row>
    <row r="891" spans="1:10" ht="15.75" customHeight="1" x14ac:dyDescent="0.2">
      <c r="A891" s="2">
        <v>890</v>
      </c>
      <c r="B891" s="4">
        <v>45681</v>
      </c>
      <c r="C891" s="2">
        <f t="shared" si="15"/>
        <v>0</v>
      </c>
      <c r="D891" s="2">
        <v>0</v>
      </c>
      <c r="E891" s="2">
        <f t="shared" si="16"/>
        <v>0</v>
      </c>
      <c r="F891" s="2" t="str">
        <f t="shared" si="17"/>
        <v>Friday</v>
      </c>
      <c r="H891" s="2">
        <v>3</v>
      </c>
      <c r="I891" s="2" t="e">
        <f t="shared" ca="1" si="19"/>
        <v>#NAME?</v>
      </c>
      <c r="J891" s="2" t="e">
        <f t="shared" ca="1" si="18"/>
        <v>#NAME?</v>
      </c>
    </row>
    <row r="892" spans="1:10" ht="15.75" customHeight="1" x14ac:dyDescent="0.2">
      <c r="A892" s="2">
        <v>891</v>
      </c>
      <c r="B892" s="4">
        <v>45682</v>
      </c>
      <c r="C892" s="2">
        <f t="shared" si="15"/>
        <v>1</v>
      </c>
      <c r="D892" s="2">
        <v>0</v>
      </c>
      <c r="E892" s="2">
        <f t="shared" si="16"/>
        <v>1</v>
      </c>
      <c r="F892" s="2" t="str">
        <f t="shared" si="17"/>
        <v>Saturday</v>
      </c>
      <c r="H892" s="2">
        <v>3</v>
      </c>
      <c r="I892" s="2" t="e">
        <f t="shared" ca="1" si="19"/>
        <v>#NAME?</v>
      </c>
      <c r="J892" s="2" t="e">
        <f t="shared" ca="1" si="18"/>
        <v>#NAME?</v>
      </c>
    </row>
    <row r="893" spans="1:10" ht="15.75" customHeight="1" x14ac:dyDescent="0.2">
      <c r="A893" s="2">
        <v>892</v>
      </c>
      <c r="B893" s="4">
        <v>45683</v>
      </c>
      <c r="C893" s="2">
        <f t="shared" si="15"/>
        <v>1</v>
      </c>
      <c r="D893" s="2">
        <v>0</v>
      </c>
      <c r="E893" s="2">
        <f t="shared" si="16"/>
        <v>1</v>
      </c>
      <c r="F893" s="2" t="str">
        <f t="shared" si="17"/>
        <v>Sunday</v>
      </c>
      <c r="H893" s="2">
        <v>3</v>
      </c>
      <c r="I893" s="2" t="e">
        <f t="shared" ca="1" si="19"/>
        <v>#NAME?</v>
      </c>
      <c r="J893" s="2" t="e">
        <f t="shared" ca="1" si="18"/>
        <v>#NAME?</v>
      </c>
    </row>
    <row r="894" spans="1:10" ht="15.75" customHeight="1" x14ac:dyDescent="0.2">
      <c r="A894" s="2">
        <v>893</v>
      </c>
      <c r="B894" s="4">
        <v>45684</v>
      </c>
      <c r="C894" s="2">
        <f t="shared" si="15"/>
        <v>0</v>
      </c>
      <c r="D894" s="2">
        <v>0</v>
      </c>
      <c r="E894" s="2">
        <f t="shared" si="16"/>
        <v>0</v>
      </c>
      <c r="F894" s="2" t="str">
        <f t="shared" si="17"/>
        <v>Monday</v>
      </c>
      <c r="H894" s="2">
        <v>3</v>
      </c>
      <c r="I894" s="2" t="e">
        <f t="shared" ca="1" si="19"/>
        <v>#NAME?</v>
      </c>
      <c r="J894" s="2" t="e">
        <f t="shared" ca="1" si="18"/>
        <v>#NAME?</v>
      </c>
    </row>
    <row r="895" spans="1:10" ht="15.75" customHeight="1" x14ac:dyDescent="0.2">
      <c r="A895" s="2">
        <v>894</v>
      </c>
      <c r="B895" s="4">
        <v>45685</v>
      </c>
      <c r="C895" s="2">
        <f t="shared" si="15"/>
        <v>0</v>
      </c>
      <c r="D895" s="2">
        <v>0</v>
      </c>
      <c r="E895" s="2">
        <f t="shared" si="16"/>
        <v>0</v>
      </c>
      <c r="F895" s="2" t="str">
        <f t="shared" si="17"/>
        <v>Tuesday</v>
      </c>
      <c r="H895" s="2">
        <v>3</v>
      </c>
      <c r="I895" s="2" t="e">
        <f t="shared" ca="1" si="19"/>
        <v>#NAME?</v>
      </c>
      <c r="J895" s="2" t="e">
        <f t="shared" ca="1" si="18"/>
        <v>#NAME?</v>
      </c>
    </row>
    <row r="896" spans="1:10" ht="15.75" customHeight="1" x14ac:dyDescent="0.2">
      <c r="A896" s="2">
        <v>895</v>
      </c>
      <c r="B896" s="4">
        <v>45686</v>
      </c>
      <c r="C896" s="2">
        <f t="shared" si="15"/>
        <v>0</v>
      </c>
      <c r="D896" s="2">
        <v>0</v>
      </c>
      <c r="E896" s="2">
        <f t="shared" si="16"/>
        <v>0</v>
      </c>
      <c r="F896" s="2" t="str">
        <f t="shared" si="17"/>
        <v>Wednesday</v>
      </c>
      <c r="H896" s="2">
        <v>3</v>
      </c>
      <c r="I896" s="2" t="e">
        <f t="shared" ca="1" si="19"/>
        <v>#NAME?</v>
      </c>
      <c r="J896" s="2" t="e">
        <f t="shared" ca="1" si="18"/>
        <v>#NAME?</v>
      </c>
    </row>
    <row r="897" spans="1:10" ht="15.75" customHeight="1" x14ac:dyDescent="0.2">
      <c r="A897" s="2">
        <v>896</v>
      </c>
      <c r="B897" s="4">
        <v>45687</v>
      </c>
      <c r="C897" s="2">
        <f t="shared" si="15"/>
        <v>0</v>
      </c>
      <c r="D897" s="2">
        <v>0</v>
      </c>
      <c r="E897" s="2">
        <f t="shared" si="16"/>
        <v>0</v>
      </c>
      <c r="F897" s="2" t="str">
        <f t="shared" si="17"/>
        <v>Thursday</v>
      </c>
      <c r="H897" s="2">
        <v>3</v>
      </c>
      <c r="I897" s="2" t="e">
        <f t="shared" ca="1" si="19"/>
        <v>#NAME?</v>
      </c>
      <c r="J897" s="2" t="e">
        <f t="shared" ca="1" si="18"/>
        <v>#NAME?</v>
      </c>
    </row>
    <row r="898" spans="1:10" ht="15.75" customHeight="1" x14ac:dyDescent="0.2">
      <c r="A898" s="2">
        <v>897</v>
      </c>
      <c r="B898" s="4">
        <v>45688</v>
      </c>
      <c r="C898" s="2">
        <f t="shared" si="15"/>
        <v>0</v>
      </c>
      <c r="D898" s="2">
        <v>0</v>
      </c>
      <c r="E898" s="2">
        <f t="shared" si="16"/>
        <v>0</v>
      </c>
      <c r="F898" s="2" t="str">
        <f t="shared" si="17"/>
        <v>Friday</v>
      </c>
      <c r="H898" s="2">
        <v>3</v>
      </c>
      <c r="I898" s="2" t="e">
        <f t="shared" ca="1" si="19"/>
        <v>#NAME?</v>
      </c>
      <c r="J898" s="2" t="e">
        <f t="shared" ca="1" si="18"/>
        <v>#NAME?</v>
      </c>
    </row>
    <row r="899" spans="1:10" ht="15.75" customHeight="1" x14ac:dyDescent="0.2">
      <c r="A899" s="2">
        <v>898</v>
      </c>
      <c r="B899" s="4">
        <v>45689</v>
      </c>
      <c r="C899" s="2">
        <f t="shared" si="15"/>
        <v>1</v>
      </c>
      <c r="D899" s="2">
        <v>0</v>
      </c>
      <c r="E899" s="2">
        <f t="shared" si="16"/>
        <v>1</v>
      </c>
      <c r="F899" s="2" t="str">
        <f t="shared" si="17"/>
        <v>Saturday</v>
      </c>
      <c r="H899" s="2">
        <v>3</v>
      </c>
      <c r="I899" s="2" t="e">
        <f t="shared" ca="1" si="19"/>
        <v>#NAME?</v>
      </c>
      <c r="J899" s="2" t="e">
        <f t="shared" ca="1" si="18"/>
        <v>#NAME?</v>
      </c>
    </row>
    <row r="900" spans="1:10" ht="15.75" customHeight="1" x14ac:dyDescent="0.2">
      <c r="A900" s="2">
        <v>899</v>
      </c>
      <c r="B900" s="4">
        <v>45690</v>
      </c>
      <c r="C900" s="2">
        <f t="shared" si="15"/>
        <v>1</v>
      </c>
      <c r="D900" s="2">
        <v>0</v>
      </c>
      <c r="E900" s="2">
        <f t="shared" si="16"/>
        <v>1</v>
      </c>
      <c r="F900" s="2" t="str">
        <f t="shared" si="17"/>
        <v>Sunday</v>
      </c>
      <c r="H900" s="2">
        <v>3</v>
      </c>
      <c r="I900" s="2" t="e">
        <f t="shared" ca="1" si="19"/>
        <v>#NAME?</v>
      </c>
      <c r="J900" s="2" t="e">
        <f t="shared" ca="1" si="18"/>
        <v>#NAME?</v>
      </c>
    </row>
    <row r="901" spans="1:10" ht="15.75" customHeight="1" x14ac:dyDescent="0.2">
      <c r="A901" s="2">
        <v>900</v>
      </c>
      <c r="B901" s="4">
        <v>45691</v>
      </c>
      <c r="C901" s="2">
        <f t="shared" si="15"/>
        <v>0</v>
      </c>
      <c r="D901" s="2">
        <v>0</v>
      </c>
      <c r="E901" s="2">
        <f t="shared" si="16"/>
        <v>0</v>
      </c>
      <c r="F901" s="2" t="str">
        <f t="shared" si="17"/>
        <v>Monday</v>
      </c>
      <c r="H901" s="2">
        <v>3</v>
      </c>
      <c r="I901" s="2" t="e">
        <f t="shared" ca="1" si="19"/>
        <v>#NAME?</v>
      </c>
      <c r="J901" s="2" t="e">
        <f t="shared" ca="1" si="18"/>
        <v>#NAME?</v>
      </c>
    </row>
    <row r="902" spans="1:10" ht="15.75" customHeight="1" x14ac:dyDescent="0.2">
      <c r="A902" s="2">
        <v>901</v>
      </c>
      <c r="B902" s="4">
        <v>45692</v>
      </c>
      <c r="C902" s="2">
        <f t="shared" si="15"/>
        <v>0</v>
      </c>
      <c r="D902" s="2">
        <v>0</v>
      </c>
      <c r="E902" s="2">
        <f t="shared" si="16"/>
        <v>0</v>
      </c>
      <c r="F902" s="2" t="str">
        <f t="shared" si="17"/>
        <v>Tuesday</v>
      </c>
      <c r="H902" s="2">
        <v>3</v>
      </c>
      <c r="I902" s="2" t="e">
        <f t="shared" ca="1" si="19"/>
        <v>#NAME?</v>
      </c>
      <c r="J902" s="2" t="e">
        <f t="shared" ca="1" si="18"/>
        <v>#NAME?</v>
      </c>
    </row>
    <row r="903" spans="1:10" ht="15.75" customHeight="1" x14ac:dyDescent="0.2">
      <c r="A903" s="2">
        <v>902</v>
      </c>
      <c r="B903" s="4">
        <v>45693</v>
      </c>
      <c r="C903" s="2">
        <f t="shared" si="15"/>
        <v>0</v>
      </c>
      <c r="D903" s="2">
        <v>0</v>
      </c>
      <c r="E903" s="2">
        <f t="shared" si="16"/>
        <v>0</v>
      </c>
      <c r="F903" s="2" t="str">
        <f t="shared" si="17"/>
        <v>Wednesday</v>
      </c>
      <c r="H903" s="2">
        <v>3</v>
      </c>
      <c r="I903" s="2" t="e">
        <f t="shared" ca="1" si="19"/>
        <v>#NAME?</v>
      </c>
      <c r="J903" s="2" t="e">
        <f t="shared" ca="1" si="18"/>
        <v>#NAME?</v>
      </c>
    </row>
    <row r="904" spans="1:10" ht="15.75" customHeight="1" x14ac:dyDescent="0.2">
      <c r="A904" s="2">
        <v>903</v>
      </c>
      <c r="B904" s="4">
        <v>45694</v>
      </c>
      <c r="C904" s="2">
        <f t="shared" si="15"/>
        <v>0</v>
      </c>
      <c r="D904" s="2">
        <v>0</v>
      </c>
      <c r="E904" s="2">
        <f t="shared" si="16"/>
        <v>0</v>
      </c>
      <c r="F904" s="2" t="str">
        <f t="shared" si="17"/>
        <v>Thursday</v>
      </c>
      <c r="H904" s="2">
        <v>3</v>
      </c>
      <c r="I904" s="2" t="e">
        <f t="shared" ca="1" si="19"/>
        <v>#NAME?</v>
      </c>
      <c r="J904" s="2" t="e">
        <f t="shared" ca="1" si="18"/>
        <v>#NAME?</v>
      </c>
    </row>
    <row r="905" spans="1:10" ht="15.75" customHeight="1" x14ac:dyDescent="0.2">
      <c r="A905" s="2">
        <v>904</v>
      </c>
      <c r="B905" s="4">
        <v>45695</v>
      </c>
      <c r="C905" s="2">
        <f t="shared" si="15"/>
        <v>0</v>
      </c>
      <c r="D905" s="2">
        <v>0</v>
      </c>
      <c r="E905" s="2">
        <f t="shared" si="16"/>
        <v>0</v>
      </c>
      <c r="F905" s="2" t="str">
        <f t="shared" si="17"/>
        <v>Friday</v>
      </c>
      <c r="H905" s="2">
        <v>3</v>
      </c>
      <c r="I905" s="2" t="e">
        <f t="shared" ca="1" si="19"/>
        <v>#NAME?</v>
      </c>
      <c r="J905" s="2" t="e">
        <f t="shared" ca="1" si="18"/>
        <v>#NAME?</v>
      </c>
    </row>
    <row r="906" spans="1:10" ht="15.75" customHeight="1" x14ac:dyDescent="0.2">
      <c r="A906" s="2">
        <v>905</v>
      </c>
      <c r="B906" s="4">
        <v>45696</v>
      </c>
      <c r="C906" s="2">
        <f t="shared" si="15"/>
        <v>1</v>
      </c>
      <c r="D906" s="2">
        <v>0</v>
      </c>
      <c r="E906" s="2">
        <f t="shared" si="16"/>
        <v>1</v>
      </c>
      <c r="F906" s="2" t="str">
        <f t="shared" si="17"/>
        <v>Saturday</v>
      </c>
      <c r="H906" s="2">
        <v>3</v>
      </c>
      <c r="I906" s="2" t="e">
        <f t="shared" ca="1" si="19"/>
        <v>#NAME?</v>
      </c>
      <c r="J906" s="2" t="e">
        <f t="shared" ca="1" si="18"/>
        <v>#NAME?</v>
      </c>
    </row>
    <row r="907" spans="1:10" ht="15.75" customHeight="1" x14ac:dyDescent="0.2">
      <c r="A907" s="2">
        <v>906</v>
      </c>
      <c r="B907" s="4">
        <v>45697</v>
      </c>
      <c r="C907" s="2">
        <f t="shared" si="15"/>
        <v>1</v>
      </c>
      <c r="D907" s="2">
        <v>0</v>
      </c>
      <c r="E907" s="2">
        <f t="shared" si="16"/>
        <v>1</v>
      </c>
      <c r="F907" s="2" t="str">
        <f t="shared" si="17"/>
        <v>Sunday</v>
      </c>
      <c r="H907" s="2">
        <v>3</v>
      </c>
      <c r="I907" s="2" t="e">
        <f t="shared" ca="1" si="19"/>
        <v>#NAME?</v>
      </c>
      <c r="J907" s="2" t="e">
        <f t="shared" ca="1" si="18"/>
        <v>#NAME?</v>
      </c>
    </row>
    <row r="908" spans="1:10" ht="15.75" customHeight="1" x14ac:dyDescent="0.2">
      <c r="A908" s="2">
        <v>907</v>
      </c>
      <c r="B908" s="4">
        <v>45698</v>
      </c>
      <c r="C908" s="2">
        <f t="shared" si="15"/>
        <v>0</v>
      </c>
      <c r="D908" s="2">
        <v>0</v>
      </c>
      <c r="E908" s="2">
        <f t="shared" si="16"/>
        <v>0</v>
      </c>
      <c r="F908" s="2" t="str">
        <f t="shared" si="17"/>
        <v>Monday</v>
      </c>
      <c r="H908" s="2">
        <v>3</v>
      </c>
      <c r="I908" s="2" t="e">
        <f t="shared" ca="1" si="19"/>
        <v>#NAME?</v>
      </c>
      <c r="J908" s="2" t="e">
        <f t="shared" ca="1" si="18"/>
        <v>#NAME?</v>
      </c>
    </row>
    <row r="909" spans="1:10" ht="15.75" customHeight="1" x14ac:dyDescent="0.2">
      <c r="A909" s="2">
        <v>908</v>
      </c>
      <c r="B909" s="4">
        <v>45699</v>
      </c>
      <c r="C909" s="2">
        <f t="shared" si="15"/>
        <v>0</v>
      </c>
      <c r="D909" s="2">
        <v>0</v>
      </c>
      <c r="E909" s="2">
        <f t="shared" si="16"/>
        <v>0</v>
      </c>
      <c r="F909" s="2" t="str">
        <f t="shared" si="17"/>
        <v>Tuesday</v>
      </c>
      <c r="H909" s="2">
        <v>3</v>
      </c>
      <c r="I909" s="2" t="e">
        <f t="shared" ca="1" si="19"/>
        <v>#NAME?</v>
      </c>
      <c r="J909" s="2" t="e">
        <f t="shared" ca="1" si="18"/>
        <v>#NAME?</v>
      </c>
    </row>
    <row r="910" spans="1:10" ht="15.75" customHeight="1" x14ac:dyDescent="0.2">
      <c r="A910" s="2">
        <v>909</v>
      </c>
      <c r="B910" s="4">
        <v>45700</v>
      </c>
      <c r="C910" s="2">
        <f t="shared" si="15"/>
        <v>0</v>
      </c>
      <c r="D910" s="2">
        <v>0</v>
      </c>
      <c r="E910" s="2">
        <f t="shared" si="16"/>
        <v>0</v>
      </c>
      <c r="F910" s="2" t="str">
        <f t="shared" si="17"/>
        <v>Wednesday</v>
      </c>
      <c r="H910" s="2">
        <v>3</v>
      </c>
      <c r="I910" s="2" t="e">
        <f t="shared" ca="1" si="19"/>
        <v>#NAME?</v>
      </c>
      <c r="J910" s="2" t="e">
        <f t="shared" ca="1" si="18"/>
        <v>#NAME?</v>
      </c>
    </row>
    <row r="911" spans="1:10" ht="15.75" customHeight="1" x14ac:dyDescent="0.2">
      <c r="A911" s="2">
        <v>910</v>
      </c>
      <c r="B911" s="4">
        <v>45701</v>
      </c>
      <c r="C911" s="2">
        <f t="shared" si="15"/>
        <v>0</v>
      </c>
      <c r="D911" s="2">
        <v>0</v>
      </c>
      <c r="E911" s="2">
        <f t="shared" si="16"/>
        <v>0</v>
      </c>
      <c r="F911" s="2" t="str">
        <f t="shared" si="17"/>
        <v>Thursday</v>
      </c>
      <c r="H911" s="2">
        <v>3</v>
      </c>
      <c r="I911" s="2" t="e">
        <f t="shared" ca="1" si="19"/>
        <v>#NAME?</v>
      </c>
      <c r="J911" s="2" t="e">
        <f t="shared" ca="1" si="18"/>
        <v>#NAME?</v>
      </c>
    </row>
    <row r="912" spans="1:10" ht="15.75" customHeight="1" x14ac:dyDescent="0.2">
      <c r="A912" s="2">
        <v>911</v>
      </c>
      <c r="B912" s="4">
        <v>45702</v>
      </c>
      <c r="C912" s="2">
        <f t="shared" si="15"/>
        <v>0</v>
      </c>
      <c r="D912" s="2">
        <v>0</v>
      </c>
      <c r="E912" s="2">
        <f t="shared" si="16"/>
        <v>0</v>
      </c>
      <c r="F912" s="2" t="str">
        <f t="shared" si="17"/>
        <v>Friday</v>
      </c>
      <c r="H912" s="2">
        <v>3</v>
      </c>
      <c r="I912" s="2" t="e">
        <f t="shared" ca="1" si="19"/>
        <v>#NAME?</v>
      </c>
      <c r="J912" s="2" t="e">
        <f t="shared" ca="1" si="18"/>
        <v>#NAME?</v>
      </c>
    </row>
    <row r="913" spans="1:10" ht="15.75" customHeight="1" x14ac:dyDescent="0.2">
      <c r="A913" s="2">
        <v>912</v>
      </c>
      <c r="B913" s="4">
        <v>45703</v>
      </c>
      <c r="C913" s="2">
        <f t="shared" si="15"/>
        <v>1</v>
      </c>
      <c r="D913" s="2">
        <v>0</v>
      </c>
      <c r="E913" s="2">
        <f t="shared" si="16"/>
        <v>1</v>
      </c>
      <c r="F913" s="2" t="str">
        <f t="shared" si="17"/>
        <v>Saturday</v>
      </c>
      <c r="H913" s="2">
        <v>3</v>
      </c>
      <c r="I913" s="2" t="e">
        <f t="shared" ca="1" si="19"/>
        <v>#NAME?</v>
      </c>
      <c r="J913" s="2" t="e">
        <f t="shared" ca="1" si="18"/>
        <v>#NAME?</v>
      </c>
    </row>
    <row r="914" spans="1:10" ht="15.75" customHeight="1" x14ac:dyDescent="0.2">
      <c r="A914" s="2">
        <v>913</v>
      </c>
      <c r="B914" s="4">
        <v>45704</v>
      </c>
      <c r="C914" s="2">
        <f t="shared" si="15"/>
        <v>1</v>
      </c>
      <c r="D914" s="2">
        <v>0</v>
      </c>
      <c r="E914" s="2">
        <f t="shared" si="16"/>
        <v>1</v>
      </c>
      <c r="F914" s="2" t="str">
        <f t="shared" si="17"/>
        <v>Sunday</v>
      </c>
      <c r="H914" s="2">
        <v>3</v>
      </c>
      <c r="I914" s="2" t="e">
        <f t="shared" ca="1" si="19"/>
        <v>#NAME?</v>
      </c>
      <c r="J914" s="2" t="e">
        <f t="shared" ca="1" si="18"/>
        <v>#NAME?</v>
      </c>
    </row>
    <row r="915" spans="1:10" ht="15.75" customHeight="1" x14ac:dyDescent="0.2">
      <c r="A915" s="2">
        <v>914</v>
      </c>
      <c r="B915" s="4">
        <v>45705</v>
      </c>
      <c r="C915" s="2">
        <f t="shared" si="15"/>
        <v>0</v>
      </c>
      <c r="D915" s="2">
        <v>0</v>
      </c>
      <c r="E915" s="2">
        <f t="shared" si="16"/>
        <v>0</v>
      </c>
      <c r="F915" s="2" t="str">
        <f t="shared" si="17"/>
        <v>Monday</v>
      </c>
      <c r="H915" s="2">
        <v>3</v>
      </c>
      <c r="I915" s="2" t="e">
        <f t="shared" ca="1" si="19"/>
        <v>#NAME?</v>
      </c>
      <c r="J915" s="2" t="e">
        <f t="shared" ca="1" si="18"/>
        <v>#NAME?</v>
      </c>
    </row>
    <row r="916" spans="1:10" ht="15.75" customHeight="1" x14ac:dyDescent="0.2">
      <c r="A916" s="2">
        <v>915</v>
      </c>
      <c r="B916" s="4">
        <v>45706</v>
      </c>
      <c r="C916" s="2">
        <f t="shared" si="15"/>
        <v>0</v>
      </c>
      <c r="D916" s="2">
        <v>0</v>
      </c>
      <c r="E916" s="2">
        <f t="shared" si="16"/>
        <v>0</v>
      </c>
      <c r="F916" s="2" t="str">
        <f t="shared" si="17"/>
        <v>Tuesday</v>
      </c>
      <c r="H916" s="2">
        <v>3</v>
      </c>
      <c r="I916" s="2" t="e">
        <f t="shared" ca="1" si="19"/>
        <v>#NAME?</v>
      </c>
      <c r="J916" s="2" t="e">
        <f t="shared" ca="1" si="18"/>
        <v>#NAME?</v>
      </c>
    </row>
    <row r="917" spans="1:10" ht="15.75" customHeight="1" x14ac:dyDescent="0.2">
      <c r="A917" s="2">
        <v>916</v>
      </c>
      <c r="B917" s="4">
        <v>45707</v>
      </c>
      <c r="C917" s="2">
        <f t="shared" si="15"/>
        <v>0</v>
      </c>
      <c r="D917" s="2">
        <v>0</v>
      </c>
      <c r="E917" s="2">
        <f t="shared" si="16"/>
        <v>0</v>
      </c>
      <c r="F917" s="2" t="str">
        <f t="shared" si="17"/>
        <v>Wednesday</v>
      </c>
      <c r="H917" s="2">
        <v>3</v>
      </c>
      <c r="I917" s="2" t="e">
        <f t="shared" ca="1" si="19"/>
        <v>#NAME?</v>
      </c>
      <c r="J917" s="2" t="e">
        <f t="shared" ca="1" si="18"/>
        <v>#NAME?</v>
      </c>
    </row>
    <row r="918" spans="1:10" ht="15.75" customHeight="1" x14ac:dyDescent="0.2">
      <c r="A918" s="2">
        <v>917</v>
      </c>
      <c r="B918" s="4">
        <v>45708</v>
      </c>
      <c r="C918" s="2">
        <f t="shared" si="15"/>
        <v>0</v>
      </c>
      <c r="D918" s="2">
        <v>0</v>
      </c>
      <c r="E918" s="2">
        <f t="shared" si="16"/>
        <v>0</v>
      </c>
      <c r="F918" s="2" t="str">
        <f t="shared" si="17"/>
        <v>Thursday</v>
      </c>
      <c r="H918" s="2">
        <v>3</v>
      </c>
      <c r="I918" s="2" t="e">
        <f t="shared" ca="1" si="19"/>
        <v>#NAME?</v>
      </c>
      <c r="J918" s="2" t="e">
        <f t="shared" ca="1" si="18"/>
        <v>#NAME?</v>
      </c>
    </row>
    <row r="919" spans="1:10" ht="15.75" customHeight="1" x14ac:dyDescent="0.2">
      <c r="A919" s="2">
        <v>918</v>
      </c>
      <c r="B919" s="4">
        <v>45709</v>
      </c>
      <c r="C919" s="2">
        <f t="shared" si="15"/>
        <v>0</v>
      </c>
      <c r="D919" s="2">
        <v>0</v>
      </c>
      <c r="E919" s="2">
        <f t="shared" si="16"/>
        <v>0</v>
      </c>
      <c r="F919" s="2" t="str">
        <f t="shared" si="17"/>
        <v>Friday</v>
      </c>
      <c r="H919" s="2">
        <v>3</v>
      </c>
      <c r="I919" s="2" t="e">
        <f t="shared" ca="1" si="19"/>
        <v>#NAME?</v>
      </c>
      <c r="J919" s="2" t="e">
        <f t="shared" ca="1" si="18"/>
        <v>#NAME?</v>
      </c>
    </row>
    <row r="920" spans="1:10" ht="15.75" customHeight="1" x14ac:dyDescent="0.2">
      <c r="A920" s="2">
        <v>919</v>
      </c>
      <c r="B920" s="4">
        <v>45710</v>
      </c>
      <c r="C920" s="2">
        <f t="shared" si="15"/>
        <v>1</v>
      </c>
      <c r="D920" s="2">
        <v>0</v>
      </c>
      <c r="E920" s="2">
        <f t="shared" si="16"/>
        <v>1</v>
      </c>
      <c r="F920" s="2" t="str">
        <f t="shared" si="17"/>
        <v>Saturday</v>
      </c>
      <c r="H920" s="2">
        <v>3</v>
      </c>
      <c r="I920" s="2" t="e">
        <f t="shared" ca="1" si="19"/>
        <v>#NAME?</v>
      </c>
      <c r="J920" s="2" t="e">
        <f t="shared" ca="1" si="18"/>
        <v>#NAME?</v>
      </c>
    </row>
    <row r="921" spans="1:10" ht="15.75" customHeight="1" x14ac:dyDescent="0.2">
      <c r="A921" s="2">
        <v>920</v>
      </c>
      <c r="B921" s="4">
        <v>45711</v>
      </c>
      <c r="C921" s="2">
        <f t="shared" si="15"/>
        <v>1</v>
      </c>
      <c r="D921" s="2">
        <v>0</v>
      </c>
      <c r="E921" s="2">
        <f t="shared" si="16"/>
        <v>1</v>
      </c>
      <c r="F921" s="2" t="str">
        <f t="shared" si="17"/>
        <v>Sunday</v>
      </c>
      <c r="H921" s="2">
        <v>3</v>
      </c>
      <c r="I921" s="2" t="e">
        <f t="shared" ca="1" si="19"/>
        <v>#NAME?</v>
      </c>
      <c r="J921" s="2" t="e">
        <f t="shared" ca="1" si="18"/>
        <v>#NAME?</v>
      </c>
    </row>
    <row r="922" spans="1:10" ht="15.75" customHeight="1" x14ac:dyDescent="0.2">
      <c r="A922" s="2">
        <v>921</v>
      </c>
      <c r="B922" s="4">
        <v>45712</v>
      </c>
      <c r="C922" s="2">
        <f t="shared" si="15"/>
        <v>0</v>
      </c>
      <c r="D922" s="2">
        <v>0</v>
      </c>
      <c r="E922" s="2">
        <f t="shared" si="16"/>
        <v>0</v>
      </c>
      <c r="F922" s="2" t="str">
        <f t="shared" si="17"/>
        <v>Monday</v>
      </c>
      <c r="H922" s="2">
        <v>3</v>
      </c>
      <c r="I922" s="2" t="e">
        <f t="shared" ca="1" si="19"/>
        <v>#NAME?</v>
      </c>
      <c r="J922" s="2" t="e">
        <f t="shared" ca="1" si="18"/>
        <v>#NAME?</v>
      </c>
    </row>
    <row r="923" spans="1:10" ht="15.75" customHeight="1" x14ac:dyDescent="0.2">
      <c r="A923" s="2">
        <v>922</v>
      </c>
      <c r="B923" s="4">
        <v>45713</v>
      </c>
      <c r="C923" s="2">
        <f t="shared" si="15"/>
        <v>0</v>
      </c>
      <c r="D923" s="2">
        <v>0</v>
      </c>
      <c r="E923" s="2">
        <f t="shared" si="16"/>
        <v>0</v>
      </c>
      <c r="F923" s="2" t="str">
        <f t="shared" si="17"/>
        <v>Tuesday</v>
      </c>
      <c r="H923" s="2">
        <v>3</v>
      </c>
      <c r="I923" s="2" t="e">
        <f t="shared" ca="1" si="19"/>
        <v>#NAME?</v>
      </c>
      <c r="J923" s="2" t="e">
        <f t="shared" ca="1" si="18"/>
        <v>#NAME?</v>
      </c>
    </row>
    <row r="924" spans="1:10" ht="15.75" customHeight="1" x14ac:dyDescent="0.2">
      <c r="A924" s="2">
        <v>923</v>
      </c>
      <c r="B924" s="4">
        <v>45714</v>
      </c>
      <c r="C924" s="2">
        <f t="shared" si="15"/>
        <v>0</v>
      </c>
      <c r="D924" s="2">
        <v>0</v>
      </c>
      <c r="E924" s="2">
        <f t="shared" si="16"/>
        <v>0</v>
      </c>
      <c r="F924" s="2" t="str">
        <f t="shared" si="17"/>
        <v>Wednesday</v>
      </c>
      <c r="H924" s="2">
        <v>3</v>
      </c>
      <c r="I924" s="2" t="e">
        <f t="shared" ca="1" si="19"/>
        <v>#NAME?</v>
      </c>
      <c r="J924" s="2" t="e">
        <f t="shared" ca="1" si="18"/>
        <v>#NAME?</v>
      </c>
    </row>
    <row r="925" spans="1:10" ht="15.75" customHeight="1" x14ac:dyDescent="0.2">
      <c r="A925" s="2">
        <v>924</v>
      </c>
      <c r="B925" s="4">
        <v>45715</v>
      </c>
      <c r="C925" s="2">
        <f t="shared" si="15"/>
        <v>0</v>
      </c>
      <c r="D925" s="2">
        <v>0</v>
      </c>
      <c r="E925" s="2">
        <f t="shared" si="16"/>
        <v>0</v>
      </c>
      <c r="F925" s="2" t="str">
        <f t="shared" si="17"/>
        <v>Thursday</v>
      </c>
      <c r="H925" s="2">
        <v>3</v>
      </c>
      <c r="I925" s="2" t="e">
        <f t="shared" ca="1" si="19"/>
        <v>#NAME?</v>
      </c>
      <c r="J925" s="2" t="e">
        <f t="shared" ca="1" si="18"/>
        <v>#NAME?</v>
      </c>
    </row>
    <row r="926" spans="1:10" ht="15.75" customHeight="1" x14ac:dyDescent="0.2">
      <c r="A926" s="2">
        <v>925</v>
      </c>
      <c r="B926" s="4">
        <v>45716</v>
      </c>
      <c r="C926" s="2">
        <f t="shared" si="15"/>
        <v>0</v>
      </c>
      <c r="D926" s="2">
        <v>0</v>
      </c>
      <c r="E926" s="2">
        <f t="shared" si="16"/>
        <v>0</v>
      </c>
      <c r="F926" s="2" t="str">
        <f t="shared" si="17"/>
        <v>Friday</v>
      </c>
      <c r="H926" s="2">
        <v>3</v>
      </c>
      <c r="I926" s="2" t="e">
        <f t="shared" ca="1" si="19"/>
        <v>#NAME?</v>
      </c>
      <c r="J926" s="2" t="e">
        <f t="shared" ca="1" si="18"/>
        <v>#NAME?</v>
      </c>
    </row>
    <row r="927" spans="1:10" ht="15.75" customHeight="1" x14ac:dyDescent="0.2">
      <c r="A927" s="2">
        <v>926</v>
      </c>
      <c r="B927" s="4">
        <v>45717</v>
      </c>
      <c r="C927" s="2">
        <f t="shared" si="15"/>
        <v>1</v>
      </c>
      <c r="D927" s="2">
        <v>0</v>
      </c>
      <c r="E927" s="2">
        <f t="shared" si="16"/>
        <v>1</v>
      </c>
      <c r="F927" s="2" t="str">
        <f t="shared" si="17"/>
        <v>Saturday</v>
      </c>
      <c r="H927" s="2">
        <v>3</v>
      </c>
      <c r="I927" s="2" t="e">
        <f t="shared" ca="1" si="19"/>
        <v>#NAME?</v>
      </c>
      <c r="J927" s="2" t="e">
        <f t="shared" ca="1" si="18"/>
        <v>#NAME?</v>
      </c>
    </row>
    <row r="928" spans="1:10" ht="15.75" customHeight="1" x14ac:dyDescent="0.2">
      <c r="A928" s="2">
        <v>927</v>
      </c>
      <c r="B928" s="4">
        <v>45718</v>
      </c>
      <c r="C928" s="2">
        <f t="shared" si="15"/>
        <v>1</v>
      </c>
      <c r="D928" s="2">
        <v>0</v>
      </c>
      <c r="E928" s="2">
        <f t="shared" si="16"/>
        <v>1</v>
      </c>
      <c r="F928" s="2" t="str">
        <f t="shared" si="17"/>
        <v>Sunday</v>
      </c>
      <c r="H928" s="2">
        <v>3</v>
      </c>
      <c r="I928" s="2" t="e">
        <f t="shared" ca="1" si="19"/>
        <v>#NAME?</v>
      </c>
      <c r="J928" s="2" t="e">
        <f t="shared" ca="1" si="18"/>
        <v>#NAME?</v>
      </c>
    </row>
    <row r="929" spans="1:10" ht="15.75" customHeight="1" x14ac:dyDescent="0.2">
      <c r="A929" s="2">
        <v>928</v>
      </c>
      <c r="B929" s="4">
        <v>45719</v>
      </c>
      <c r="C929" s="2">
        <f t="shared" si="15"/>
        <v>0</v>
      </c>
      <c r="D929" s="2">
        <v>0</v>
      </c>
      <c r="E929" s="2">
        <f t="shared" si="16"/>
        <v>0</v>
      </c>
      <c r="F929" s="2" t="str">
        <f t="shared" si="17"/>
        <v>Monday</v>
      </c>
      <c r="H929" s="2">
        <v>3</v>
      </c>
      <c r="I929" s="2" t="e">
        <f t="shared" ca="1" si="19"/>
        <v>#NAME?</v>
      </c>
      <c r="J929" s="2" t="e">
        <f t="shared" ca="1" si="18"/>
        <v>#NAME?</v>
      </c>
    </row>
    <row r="930" spans="1:10" ht="15.75" customHeight="1" x14ac:dyDescent="0.2">
      <c r="A930" s="2">
        <v>929</v>
      </c>
      <c r="B930" s="4">
        <v>45720</v>
      </c>
      <c r="C930" s="2">
        <f t="shared" si="15"/>
        <v>0</v>
      </c>
      <c r="D930" s="2">
        <v>0</v>
      </c>
      <c r="E930" s="2">
        <f t="shared" si="16"/>
        <v>0</v>
      </c>
      <c r="F930" s="2" t="str">
        <f t="shared" si="17"/>
        <v>Tuesday</v>
      </c>
      <c r="H930" s="2">
        <v>3</v>
      </c>
      <c r="I930" s="2" t="e">
        <f t="shared" ca="1" si="19"/>
        <v>#NAME?</v>
      </c>
      <c r="J930" s="2" t="e">
        <f t="shared" ca="1" si="18"/>
        <v>#NAME?</v>
      </c>
    </row>
    <row r="931" spans="1:10" ht="15.75" customHeight="1" x14ac:dyDescent="0.2">
      <c r="A931" s="2">
        <v>930</v>
      </c>
      <c r="B931" s="4">
        <v>45721</v>
      </c>
      <c r="C931" s="2">
        <f t="shared" si="15"/>
        <v>0</v>
      </c>
      <c r="D931" s="2">
        <v>0</v>
      </c>
      <c r="E931" s="2">
        <f t="shared" si="16"/>
        <v>0</v>
      </c>
      <c r="F931" s="2" t="str">
        <f t="shared" si="17"/>
        <v>Wednesday</v>
      </c>
      <c r="H931" s="2">
        <v>3</v>
      </c>
      <c r="I931" s="2" t="e">
        <f t="shared" ca="1" si="19"/>
        <v>#NAME?</v>
      </c>
      <c r="J931" s="2" t="e">
        <f t="shared" ca="1" si="18"/>
        <v>#NAME?</v>
      </c>
    </row>
    <row r="932" spans="1:10" ht="15.75" customHeight="1" x14ac:dyDescent="0.2">
      <c r="A932" s="2">
        <v>931</v>
      </c>
      <c r="B932" s="4">
        <v>45722</v>
      </c>
      <c r="C932" s="2">
        <f t="shared" si="15"/>
        <v>0</v>
      </c>
      <c r="D932" s="2">
        <v>0</v>
      </c>
      <c r="E932" s="2">
        <f t="shared" si="16"/>
        <v>0</v>
      </c>
      <c r="F932" s="2" t="str">
        <f t="shared" si="17"/>
        <v>Thursday</v>
      </c>
      <c r="H932" s="2">
        <v>3</v>
      </c>
      <c r="I932" s="2" t="e">
        <f t="shared" ca="1" si="19"/>
        <v>#NAME?</v>
      </c>
      <c r="J932" s="2" t="e">
        <f t="shared" ca="1" si="18"/>
        <v>#NAME?</v>
      </c>
    </row>
    <row r="933" spans="1:10" ht="15.75" customHeight="1" x14ac:dyDescent="0.2">
      <c r="A933" s="2">
        <v>932</v>
      </c>
      <c r="B933" s="4">
        <v>45723</v>
      </c>
      <c r="C933" s="2">
        <f t="shared" si="15"/>
        <v>0</v>
      </c>
      <c r="D933" s="2">
        <v>0</v>
      </c>
      <c r="E933" s="2">
        <f t="shared" si="16"/>
        <v>0</v>
      </c>
      <c r="F933" s="2" t="str">
        <f t="shared" si="17"/>
        <v>Friday</v>
      </c>
      <c r="H933" s="2">
        <v>3</v>
      </c>
      <c r="I933" s="2" t="e">
        <f t="shared" ca="1" si="19"/>
        <v>#NAME?</v>
      </c>
      <c r="J933" s="2" t="e">
        <f t="shared" ca="1" si="18"/>
        <v>#NAME?</v>
      </c>
    </row>
    <row r="934" spans="1:10" ht="15.75" customHeight="1" x14ac:dyDescent="0.2">
      <c r="A934" s="2">
        <v>933</v>
      </c>
      <c r="B934" s="4">
        <v>45724</v>
      </c>
      <c r="C934" s="2">
        <f t="shared" si="15"/>
        <v>1</v>
      </c>
      <c r="D934" s="2">
        <v>0</v>
      </c>
      <c r="E934" s="2">
        <f t="shared" si="16"/>
        <v>1</v>
      </c>
      <c r="F934" s="2" t="str">
        <f t="shared" si="17"/>
        <v>Saturday</v>
      </c>
      <c r="H934" s="2">
        <v>3</v>
      </c>
      <c r="I934" s="2" t="e">
        <f t="shared" ca="1" si="19"/>
        <v>#NAME?</v>
      </c>
      <c r="J934" s="2" t="e">
        <f t="shared" ca="1" si="18"/>
        <v>#NAME?</v>
      </c>
    </row>
    <row r="935" spans="1:10" ht="15.75" customHeight="1" x14ac:dyDescent="0.2">
      <c r="A935" s="2">
        <v>934</v>
      </c>
      <c r="B935" s="4">
        <v>45725</v>
      </c>
      <c r="C935" s="2">
        <f t="shared" si="15"/>
        <v>1</v>
      </c>
      <c r="D935" s="2">
        <v>0</v>
      </c>
      <c r="E935" s="2">
        <f t="shared" si="16"/>
        <v>1</v>
      </c>
      <c r="F935" s="2" t="str">
        <f t="shared" si="17"/>
        <v>Sunday</v>
      </c>
      <c r="H935" s="2">
        <v>3</v>
      </c>
      <c r="I935" s="2" t="e">
        <f t="shared" ca="1" si="19"/>
        <v>#NAME?</v>
      </c>
      <c r="J935" s="2" t="e">
        <f t="shared" ca="1" si="18"/>
        <v>#NAME?</v>
      </c>
    </row>
    <row r="936" spans="1:10" ht="15.75" customHeight="1" x14ac:dyDescent="0.2">
      <c r="A936" s="2">
        <v>935</v>
      </c>
      <c r="B936" s="4">
        <v>45726</v>
      </c>
      <c r="C936" s="2">
        <f t="shared" si="15"/>
        <v>0</v>
      </c>
      <c r="D936" s="2">
        <v>0</v>
      </c>
      <c r="E936" s="2">
        <f t="shared" si="16"/>
        <v>0</v>
      </c>
      <c r="F936" s="2" t="str">
        <f t="shared" si="17"/>
        <v>Monday</v>
      </c>
      <c r="H936" s="2">
        <v>3</v>
      </c>
      <c r="I936" s="2" t="e">
        <f t="shared" ca="1" si="19"/>
        <v>#NAME?</v>
      </c>
      <c r="J936" s="2" t="e">
        <f t="shared" ca="1" si="18"/>
        <v>#NAME?</v>
      </c>
    </row>
    <row r="937" spans="1:10" ht="15.75" customHeight="1" x14ac:dyDescent="0.2">
      <c r="A937" s="2">
        <v>936</v>
      </c>
      <c r="B937" s="4">
        <v>45727</v>
      </c>
      <c r="C937" s="2">
        <f t="shared" si="15"/>
        <v>0</v>
      </c>
      <c r="D937" s="2">
        <v>0</v>
      </c>
      <c r="E937" s="2">
        <f t="shared" si="16"/>
        <v>0</v>
      </c>
      <c r="F937" s="2" t="str">
        <f t="shared" si="17"/>
        <v>Tuesday</v>
      </c>
      <c r="H937" s="2">
        <v>3</v>
      </c>
      <c r="I937" s="2" t="e">
        <f t="shared" ca="1" si="19"/>
        <v>#NAME?</v>
      </c>
      <c r="J937" s="2" t="e">
        <f t="shared" ca="1" si="18"/>
        <v>#NAME?</v>
      </c>
    </row>
    <row r="938" spans="1:10" ht="15.75" customHeight="1" x14ac:dyDescent="0.2">
      <c r="A938" s="2">
        <v>937</v>
      </c>
      <c r="B938" s="4">
        <v>45728</v>
      </c>
      <c r="C938" s="2">
        <f t="shared" si="15"/>
        <v>0</v>
      </c>
      <c r="D938" s="2">
        <v>0</v>
      </c>
      <c r="E938" s="2">
        <f t="shared" si="16"/>
        <v>0</v>
      </c>
      <c r="F938" s="2" t="str">
        <f t="shared" si="17"/>
        <v>Wednesday</v>
      </c>
      <c r="H938" s="2">
        <v>3</v>
      </c>
      <c r="I938" s="2" t="e">
        <f t="shared" ca="1" si="19"/>
        <v>#NAME?</v>
      </c>
      <c r="J938" s="2" t="e">
        <f t="shared" ca="1" si="18"/>
        <v>#NAME?</v>
      </c>
    </row>
    <row r="939" spans="1:10" ht="15.75" customHeight="1" x14ac:dyDescent="0.2">
      <c r="A939" s="2">
        <v>938</v>
      </c>
      <c r="B939" s="4">
        <v>45729</v>
      </c>
      <c r="C939" s="2">
        <f t="shared" si="15"/>
        <v>0</v>
      </c>
      <c r="D939" s="2">
        <v>0</v>
      </c>
      <c r="E939" s="2">
        <f t="shared" si="16"/>
        <v>0</v>
      </c>
      <c r="F939" s="2" t="str">
        <f t="shared" si="17"/>
        <v>Thursday</v>
      </c>
      <c r="H939" s="2">
        <v>3</v>
      </c>
      <c r="I939" s="2" t="e">
        <f t="shared" ca="1" si="19"/>
        <v>#NAME?</v>
      </c>
      <c r="J939" s="2" t="e">
        <f t="shared" ca="1" si="18"/>
        <v>#NAME?</v>
      </c>
    </row>
    <row r="940" spans="1:10" ht="15.75" customHeight="1" x14ac:dyDescent="0.2">
      <c r="A940" s="2">
        <v>939</v>
      </c>
      <c r="B940" s="4">
        <v>45730</v>
      </c>
      <c r="C940" s="2">
        <f t="shared" si="15"/>
        <v>0</v>
      </c>
      <c r="D940" s="2">
        <v>0</v>
      </c>
      <c r="E940" s="2">
        <f t="shared" si="16"/>
        <v>0</v>
      </c>
      <c r="F940" s="2" t="str">
        <f t="shared" si="17"/>
        <v>Friday</v>
      </c>
      <c r="H940" s="2">
        <v>3</v>
      </c>
      <c r="I940" s="2" t="e">
        <f t="shared" ca="1" si="19"/>
        <v>#NAME?</v>
      </c>
      <c r="J940" s="2" t="e">
        <f t="shared" ca="1" si="18"/>
        <v>#NAME?</v>
      </c>
    </row>
    <row r="941" spans="1:10" ht="15.75" customHeight="1" x14ac:dyDescent="0.2">
      <c r="A941" s="2">
        <v>940</v>
      </c>
      <c r="B941" s="4">
        <v>45731</v>
      </c>
      <c r="C941" s="2">
        <f t="shared" si="15"/>
        <v>1</v>
      </c>
      <c r="D941" s="2">
        <v>0</v>
      </c>
      <c r="E941" s="2">
        <f t="shared" si="16"/>
        <v>1</v>
      </c>
      <c r="F941" s="2" t="str">
        <f t="shared" si="17"/>
        <v>Saturday</v>
      </c>
      <c r="H941" s="2">
        <v>3</v>
      </c>
      <c r="I941" s="2" t="e">
        <f t="shared" ca="1" si="19"/>
        <v>#NAME?</v>
      </c>
      <c r="J941" s="2" t="e">
        <f t="shared" ca="1" si="18"/>
        <v>#NAME?</v>
      </c>
    </row>
    <row r="942" spans="1:10" ht="15.75" customHeight="1" x14ac:dyDescent="0.2">
      <c r="A942" s="2">
        <v>941</v>
      </c>
      <c r="B942" s="4">
        <v>45732</v>
      </c>
      <c r="C942" s="2">
        <f t="shared" si="15"/>
        <v>1</v>
      </c>
      <c r="D942" s="2">
        <v>0</v>
      </c>
      <c r="E942" s="2">
        <f t="shared" si="16"/>
        <v>1</v>
      </c>
      <c r="F942" s="2" t="str">
        <f t="shared" si="17"/>
        <v>Sunday</v>
      </c>
      <c r="H942" s="2">
        <v>3</v>
      </c>
      <c r="I942" s="2" t="e">
        <f t="shared" ca="1" si="19"/>
        <v>#NAME?</v>
      </c>
      <c r="J942" s="2" t="e">
        <f t="shared" ca="1" si="18"/>
        <v>#NAME?</v>
      </c>
    </row>
    <row r="943" spans="1:10" ht="15.75" customHeight="1" x14ac:dyDescent="0.2">
      <c r="A943" s="2">
        <v>942</v>
      </c>
      <c r="B943" s="4">
        <v>45733</v>
      </c>
      <c r="C943" s="2">
        <f t="shared" si="15"/>
        <v>0</v>
      </c>
      <c r="D943" s="2">
        <v>0</v>
      </c>
      <c r="E943" s="2">
        <f t="shared" si="16"/>
        <v>0</v>
      </c>
      <c r="F943" s="2" t="str">
        <f t="shared" si="17"/>
        <v>Monday</v>
      </c>
      <c r="H943" s="2">
        <v>3</v>
      </c>
      <c r="I943" s="2" t="e">
        <f t="shared" ca="1" si="19"/>
        <v>#NAME?</v>
      </c>
      <c r="J943" s="2" t="e">
        <f t="shared" ca="1" si="18"/>
        <v>#NAME?</v>
      </c>
    </row>
    <row r="944" spans="1:10" ht="15.75" customHeight="1" x14ac:dyDescent="0.2">
      <c r="A944" s="2">
        <v>943</v>
      </c>
      <c r="B944" s="4">
        <v>45734</v>
      </c>
      <c r="C944" s="2">
        <f t="shared" si="15"/>
        <v>0</v>
      </c>
      <c r="D944" s="2">
        <v>0</v>
      </c>
      <c r="E944" s="2">
        <f t="shared" si="16"/>
        <v>0</v>
      </c>
      <c r="F944" s="2" t="str">
        <f t="shared" si="17"/>
        <v>Tuesday</v>
      </c>
      <c r="H944" s="2">
        <v>3</v>
      </c>
      <c r="I944" s="2" t="e">
        <f t="shared" ca="1" si="19"/>
        <v>#NAME?</v>
      </c>
      <c r="J944" s="2" t="e">
        <f t="shared" ca="1" si="18"/>
        <v>#NAME?</v>
      </c>
    </row>
    <row r="945" spans="1:10" ht="15.75" customHeight="1" x14ac:dyDescent="0.2">
      <c r="A945" s="2">
        <v>944</v>
      </c>
      <c r="B945" s="4">
        <v>45735</v>
      </c>
      <c r="C945" s="2">
        <f t="shared" si="15"/>
        <v>0</v>
      </c>
      <c r="D945" s="2">
        <v>0</v>
      </c>
      <c r="E945" s="2">
        <f t="shared" si="16"/>
        <v>0</v>
      </c>
      <c r="F945" s="2" t="str">
        <f t="shared" si="17"/>
        <v>Wednesday</v>
      </c>
      <c r="H945" s="2">
        <v>3</v>
      </c>
      <c r="I945" s="2" t="e">
        <f t="shared" ca="1" si="19"/>
        <v>#NAME?</v>
      </c>
      <c r="J945" s="2" t="e">
        <f t="shared" ca="1" si="18"/>
        <v>#NAME?</v>
      </c>
    </row>
    <row r="946" spans="1:10" ht="15.75" customHeight="1" x14ac:dyDescent="0.2">
      <c r="A946" s="2">
        <v>945</v>
      </c>
      <c r="B946" s="4">
        <v>45736</v>
      </c>
      <c r="C946" s="2">
        <f t="shared" si="15"/>
        <v>0</v>
      </c>
      <c r="D946" s="2">
        <v>0</v>
      </c>
      <c r="E946" s="2">
        <f t="shared" si="16"/>
        <v>0</v>
      </c>
      <c r="F946" s="2" t="str">
        <f t="shared" si="17"/>
        <v>Thursday</v>
      </c>
      <c r="H946" s="2">
        <v>3</v>
      </c>
      <c r="I946" s="2" t="e">
        <f t="shared" ca="1" si="19"/>
        <v>#NAME?</v>
      </c>
      <c r="J946" s="2" t="e">
        <f t="shared" ca="1" si="18"/>
        <v>#NAME?</v>
      </c>
    </row>
    <row r="947" spans="1:10" ht="15.75" customHeight="1" x14ac:dyDescent="0.2">
      <c r="A947" s="2">
        <v>946</v>
      </c>
      <c r="B947" s="4">
        <v>45737</v>
      </c>
      <c r="C947" s="2">
        <f t="shared" si="15"/>
        <v>0</v>
      </c>
      <c r="D947" s="2">
        <v>0</v>
      </c>
      <c r="E947" s="2">
        <f t="shared" si="16"/>
        <v>0</v>
      </c>
      <c r="F947" s="2" t="str">
        <f t="shared" si="17"/>
        <v>Friday</v>
      </c>
      <c r="H947" s="2">
        <v>3</v>
      </c>
      <c r="I947" s="2" t="e">
        <f t="shared" ca="1" si="19"/>
        <v>#NAME?</v>
      </c>
      <c r="J947" s="2" t="e">
        <f t="shared" ca="1" si="18"/>
        <v>#NAME?</v>
      </c>
    </row>
    <row r="948" spans="1:10" ht="15.75" customHeight="1" x14ac:dyDescent="0.2">
      <c r="A948" s="2">
        <v>947</v>
      </c>
      <c r="B948" s="4">
        <v>45738</v>
      </c>
      <c r="C948" s="2">
        <f t="shared" si="15"/>
        <v>1</v>
      </c>
      <c r="D948" s="2">
        <v>0</v>
      </c>
      <c r="E948" s="2">
        <f t="shared" si="16"/>
        <v>1</v>
      </c>
      <c r="F948" s="2" t="str">
        <f t="shared" si="17"/>
        <v>Saturday</v>
      </c>
      <c r="H948" s="2">
        <v>3</v>
      </c>
      <c r="I948" s="2" t="e">
        <f t="shared" ca="1" si="19"/>
        <v>#NAME?</v>
      </c>
      <c r="J948" s="2" t="e">
        <f t="shared" ca="1" si="18"/>
        <v>#NAME?</v>
      </c>
    </row>
    <row r="949" spans="1:10" ht="15.75" customHeight="1" x14ac:dyDescent="0.2">
      <c r="A949" s="2">
        <v>948</v>
      </c>
      <c r="B949" s="4">
        <v>45739</v>
      </c>
      <c r="C949" s="2">
        <f t="shared" si="15"/>
        <v>1</v>
      </c>
      <c r="D949" s="2">
        <v>0</v>
      </c>
      <c r="E949" s="2">
        <f t="shared" si="16"/>
        <v>1</v>
      </c>
      <c r="F949" s="2" t="str">
        <f t="shared" si="17"/>
        <v>Sunday</v>
      </c>
      <c r="H949" s="2">
        <v>3</v>
      </c>
      <c r="I949" s="2" t="e">
        <f t="shared" ca="1" si="19"/>
        <v>#NAME?</v>
      </c>
      <c r="J949" s="2" t="e">
        <f t="shared" ca="1" si="18"/>
        <v>#NAME?</v>
      </c>
    </row>
    <row r="950" spans="1:10" ht="15.75" customHeight="1" x14ac:dyDescent="0.2">
      <c r="A950" s="2">
        <v>949</v>
      </c>
      <c r="B950" s="4">
        <v>45740</v>
      </c>
      <c r="C950" s="2">
        <f t="shared" si="15"/>
        <v>0</v>
      </c>
      <c r="D950" s="2">
        <v>0</v>
      </c>
      <c r="E950" s="2">
        <f t="shared" si="16"/>
        <v>0</v>
      </c>
      <c r="F950" s="2" t="str">
        <f t="shared" si="17"/>
        <v>Monday</v>
      </c>
      <c r="H950" s="2">
        <v>3</v>
      </c>
      <c r="I950" s="2" t="e">
        <f t="shared" ca="1" si="19"/>
        <v>#NAME?</v>
      </c>
      <c r="J950" s="2" t="e">
        <f t="shared" ca="1" si="18"/>
        <v>#NAME?</v>
      </c>
    </row>
    <row r="951" spans="1:10" ht="15.75" customHeight="1" x14ac:dyDescent="0.2">
      <c r="A951" s="2">
        <v>950</v>
      </c>
      <c r="B951" s="4">
        <v>45741</v>
      </c>
      <c r="C951" s="2">
        <f t="shared" si="15"/>
        <v>0</v>
      </c>
      <c r="D951" s="2">
        <v>0</v>
      </c>
      <c r="E951" s="2">
        <f t="shared" si="16"/>
        <v>0</v>
      </c>
      <c r="F951" s="2" t="str">
        <f t="shared" si="17"/>
        <v>Tuesday</v>
      </c>
      <c r="H951" s="2">
        <v>3</v>
      </c>
      <c r="I951" s="2" t="e">
        <f t="shared" ca="1" si="19"/>
        <v>#NAME?</v>
      </c>
      <c r="J951" s="2" t="e">
        <f t="shared" ca="1" si="18"/>
        <v>#NAME?</v>
      </c>
    </row>
    <row r="952" spans="1:10" ht="15.75" customHeight="1" x14ac:dyDescent="0.2">
      <c r="A952" s="2">
        <v>951</v>
      </c>
      <c r="B952" s="4">
        <v>45742</v>
      </c>
      <c r="C952" s="2">
        <f t="shared" si="15"/>
        <v>0</v>
      </c>
      <c r="D952" s="2">
        <v>0</v>
      </c>
      <c r="E952" s="2">
        <f t="shared" si="16"/>
        <v>0</v>
      </c>
      <c r="F952" s="2" t="str">
        <f t="shared" si="17"/>
        <v>Wednesday</v>
      </c>
      <c r="H952" s="2">
        <v>3</v>
      </c>
      <c r="I952" s="2" t="e">
        <f t="shared" ca="1" si="19"/>
        <v>#NAME?</v>
      </c>
      <c r="J952" s="2" t="e">
        <f t="shared" ca="1" si="18"/>
        <v>#NAME?</v>
      </c>
    </row>
    <row r="953" spans="1:10" ht="15.75" customHeight="1" x14ac:dyDescent="0.2">
      <c r="A953" s="2">
        <v>952</v>
      </c>
      <c r="B953" s="4">
        <v>45743</v>
      </c>
      <c r="C953" s="2">
        <f t="shared" si="15"/>
        <v>0</v>
      </c>
      <c r="D953" s="2">
        <v>0</v>
      </c>
      <c r="E953" s="2">
        <f t="shared" si="16"/>
        <v>0</v>
      </c>
      <c r="F953" s="2" t="str">
        <f t="shared" si="17"/>
        <v>Thursday</v>
      </c>
      <c r="H953" s="2">
        <v>3</v>
      </c>
      <c r="I953" s="2" t="e">
        <f t="shared" ca="1" si="19"/>
        <v>#NAME?</v>
      </c>
      <c r="J953" s="2" t="e">
        <f t="shared" ca="1" si="18"/>
        <v>#NAME?</v>
      </c>
    </row>
    <row r="954" spans="1:10" ht="15.75" customHeight="1" x14ac:dyDescent="0.2">
      <c r="A954" s="2">
        <v>953</v>
      </c>
      <c r="B954" s="4">
        <v>45744</v>
      </c>
      <c r="C954" s="2">
        <f t="shared" si="15"/>
        <v>0</v>
      </c>
      <c r="D954" s="2">
        <v>0</v>
      </c>
      <c r="E954" s="2">
        <f t="shared" si="16"/>
        <v>0</v>
      </c>
      <c r="F954" s="2" t="str">
        <f t="shared" si="17"/>
        <v>Friday</v>
      </c>
      <c r="H954" s="2">
        <v>3</v>
      </c>
      <c r="I954" s="2" t="e">
        <f t="shared" ca="1" si="19"/>
        <v>#NAME?</v>
      </c>
      <c r="J954" s="2" t="e">
        <f t="shared" ca="1" si="18"/>
        <v>#NAME?</v>
      </c>
    </row>
    <row r="955" spans="1:10" ht="15.75" customHeight="1" x14ac:dyDescent="0.2">
      <c r="A955" s="2">
        <v>954</v>
      </c>
      <c r="B955" s="4">
        <v>45745</v>
      </c>
      <c r="C955" s="2">
        <f t="shared" si="15"/>
        <v>1</v>
      </c>
      <c r="D955" s="2">
        <v>0</v>
      </c>
      <c r="E955" s="2">
        <f t="shared" si="16"/>
        <v>1</v>
      </c>
      <c r="F955" s="2" t="str">
        <f t="shared" si="17"/>
        <v>Saturday</v>
      </c>
      <c r="H955" s="2">
        <v>3</v>
      </c>
      <c r="I955" s="2" t="e">
        <f t="shared" ca="1" si="19"/>
        <v>#NAME?</v>
      </c>
      <c r="J955" s="2" t="e">
        <f t="shared" ca="1" si="18"/>
        <v>#NAME?</v>
      </c>
    </row>
    <row r="956" spans="1:10" ht="15.75" customHeight="1" x14ac:dyDescent="0.2">
      <c r="A956" s="2">
        <v>955</v>
      </c>
      <c r="B956" s="4">
        <v>45746</v>
      </c>
      <c r="C956" s="2">
        <f t="shared" si="15"/>
        <v>1</v>
      </c>
      <c r="D956" s="2">
        <v>0</v>
      </c>
      <c r="E956" s="2">
        <f t="shared" si="16"/>
        <v>1</v>
      </c>
      <c r="F956" s="2" t="str">
        <f t="shared" si="17"/>
        <v>Sunday</v>
      </c>
      <c r="H956" s="2">
        <v>3</v>
      </c>
      <c r="I956" s="2" t="e">
        <f t="shared" ca="1" si="19"/>
        <v>#NAME?</v>
      </c>
      <c r="J956" s="2" t="e">
        <f t="shared" ca="1" si="18"/>
        <v>#NAME?</v>
      </c>
    </row>
    <row r="957" spans="1:10" ht="15.75" customHeight="1" x14ac:dyDescent="0.2">
      <c r="A957" s="2">
        <v>956</v>
      </c>
      <c r="B957" s="4">
        <v>45747</v>
      </c>
      <c r="C957" s="2">
        <f t="shared" si="15"/>
        <v>0</v>
      </c>
      <c r="D957" s="2">
        <v>0</v>
      </c>
      <c r="E957" s="2">
        <f t="shared" si="16"/>
        <v>0</v>
      </c>
      <c r="F957" s="2" t="str">
        <f t="shared" si="17"/>
        <v>Monday</v>
      </c>
      <c r="H957" s="2">
        <v>3</v>
      </c>
      <c r="I957" s="2" t="e">
        <f t="shared" ca="1" si="19"/>
        <v>#NAME?</v>
      </c>
      <c r="J957" s="2" t="e">
        <f t="shared" ca="1" si="18"/>
        <v>#NAME?</v>
      </c>
    </row>
    <row r="958" spans="1:10" ht="15.75" customHeight="1" x14ac:dyDescent="0.2">
      <c r="A958" s="2">
        <v>957</v>
      </c>
      <c r="B958" s="4">
        <v>45748</v>
      </c>
      <c r="C958" s="2">
        <f t="shared" si="15"/>
        <v>0</v>
      </c>
      <c r="D958" s="2">
        <v>0</v>
      </c>
      <c r="E958" s="2">
        <f t="shared" si="16"/>
        <v>0</v>
      </c>
      <c r="F958" s="2" t="str">
        <f t="shared" si="17"/>
        <v>Tuesday</v>
      </c>
      <c r="H958" s="2">
        <v>3</v>
      </c>
      <c r="I958" s="2" t="e">
        <f t="shared" ca="1" si="19"/>
        <v>#NAME?</v>
      </c>
      <c r="J958" s="2" t="e">
        <f t="shared" ca="1" si="18"/>
        <v>#NAME?</v>
      </c>
    </row>
    <row r="959" spans="1:10" ht="15.75" customHeight="1" x14ac:dyDescent="0.2">
      <c r="A959" s="2">
        <v>958</v>
      </c>
      <c r="B959" s="4">
        <v>45749</v>
      </c>
      <c r="C959" s="2">
        <f t="shared" si="15"/>
        <v>0</v>
      </c>
      <c r="D959" s="2">
        <v>0</v>
      </c>
      <c r="E959" s="2">
        <f t="shared" si="16"/>
        <v>0</v>
      </c>
      <c r="F959" s="2" t="str">
        <f t="shared" si="17"/>
        <v>Wednesday</v>
      </c>
      <c r="H959" s="2">
        <v>3</v>
      </c>
      <c r="I959" s="2" t="e">
        <f t="shared" ca="1" si="19"/>
        <v>#NAME?</v>
      </c>
      <c r="J959" s="2" t="e">
        <f t="shared" ca="1" si="18"/>
        <v>#NAME?</v>
      </c>
    </row>
    <row r="960" spans="1:10" ht="15.75" customHeight="1" x14ac:dyDescent="0.2">
      <c r="A960" s="2">
        <v>959</v>
      </c>
      <c r="B960" s="4">
        <v>45750</v>
      </c>
      <c r="C960" s="2">
        <f t="shared" si="15"/>
        <v>0</v>
      </c>
      <c r="D960" s="2">
        <v>0</v>
      </c>
      <c r="E960" s="2">
        <f t="shared" si="16"/>
        <v>0</v>
      </c>
      <c r="F960" s="2" t="str">
        <f t="shared" si="17"/>
        <v>Thursday</v>
      </c>
      <c r="H960" s="2">
        <v>3</v>
      </c>
      <c r="I960" s="2" t="e">
        <f t="shared" ca="1" si="19"/>
        <v>#NAME?</v>
      </c>
      <c r="J960" s="2" t="e">
        <f t="shared" ca="1" si="18"/>
        <v>#NAME?</v>
      </c>
    </row>
    <row r="961" spans="1:10" ht="15.75" customHeight="1" x14ac:dyDescent="0.2">
      <c r="A961" s="2">
        <v>960</v>
      </c>
      <c r="B961" s="4">
        <v>45751</v>
      </c>
      <c r="C961" s="2">
        <f t="shared" si="15"/>
        <v>0</v>
      </c>
      <c r="D961" s="2">
        <v>0</v>
      </c>
      <c r="E961" s="2">
        <f t="shared" si="16"/>
        <v>0</v>
      </c>
      <c r="F961" s="2" t="str">
        <f t="shared" si="17"/>
        <v>Friday</v>
      </c>
      <c r="H961" s="2">
        <v>3</v>
      </c>
      <c r="I961" s="2" t="e">
        <f t="shared" ca="1" si="19"/>
        <v>#NAME?</v>
      </c>
      <c r="J961" s="2" t="e">
        <f t="shared" ca="1" si="18"/>
        <v>#NAME?</v>
      </c>
    </row>
    <row r="962" spans="1:10" ht="15.75" customHeight="1" x14ac:dyDescent="0.2">
      <c r="A962" s="2">
        <v>961</v>
      </c>
      <c r="B962" s="4">
        <v>45752</v>
      </c>
      <c r="C962" s="2">
        <f t="shared" si="15"/>
        <v>1</v>
      </c>
      <c r="D962" s="2">
        <v>0</v>
      </c>
      <c r="E962" s="2">
        <f t="shared" si="16"/>
        <v>1</v>
      </c>
      <c r="F962" s="2" t="str">
        <f t="shared" si="17"/>
        <v>Saturday</v>
      </c>
      <c r="H962" s="2">
        <v>3</v>
      </c>
      <c r="I962" s="2" t="e">
        <f t="shared" ca="1" si="19"/>
        <v>#NAME?</v>
      </c>
      <c r="J962" s="2" t="e">
        <f t="shared" ca="1" si="18"/>
        <v>#NAME?</v>
      </c>
    </row>
    <row r="963" spans="1:10" ht="15.75" customHeight="1" x14ac:dyDescent="0.2">
      <c r="A963" s="2">
        <v>962</v>
      </c>
      <c r="B963" s="4">
        <v>45753</v>
      </c>
      <c r="C963" s="2">
        <f t="shared" si="15"/>
        <v>1</v>
      </c>
      <c r="D963" s="2">
        <v>0</v>
      </c>
      <c r="E963" s="2">
        <f t="shared" si="16"/>
        <v>1</v>
      </c>
      <c r="F963" s="2" t="str">
        <f t="shared" si="17"/>
        <v>Sunday</v>
      </c>
      <c r="H963" s="2">
        <v>3</v>
      </c>
      <c r="I963" s="2" t="e">
        <f t="shared" ca="1" si="19"/>
        <v>#NAME?</v>
      </c>
      <c r="J963" s="2" t="e">
        <f t="shared" ca="1" si="18"/>
        <v>#NAME?</v>
      </c>
    </row>
    <row r="964" spans="1:10" ht="15.75" customHeight="1" x14ac:dyDescent="0.2">
      <c r="A964" s="2">
        <v>963</v>
      </c>
      <c r="B964" s="4">
        <v>45754</v>
      </c>
      <c r="C964" s="2">
        <f t="shared" si="15"/>
        <v>0</v>
      </c>
      <c r="D964" s="2">
        <v>0</v>
      </c>
      <c r="E964" s="2">
        <f t="shared" si="16"/>
        <v>0</v>
      </c>
      <c r="F964" s="2" t="str">
        <f t="shared" si="17"/>
        <v>Monday</v>
      </c>
      <c r="H964" s="2">
        <v>3</v>
      </c>
      <c r="I964" s="2" t="e">
        <f t="shared" ca="1" si="19"/>
        <v>#NAME?</v>
      </c>
      <c r="J964" s="2" t="e">
        <f t="shared" ca="1" si="18"/>
        <v>#NAME?</v>
      </c>
    </row>
    <row r="965" spans="1:10" ht="15.75" customHeight="1" x14ac:dyDescent="0.2">
      <c r="A965" s="2">
        <v>964</v>
      </c>
      <c r="B965" s="4">
        <v>45755</v>
      </c>
      <c r="C965" s="2">
        <f t="shared" si="15"/>
        <v>0</v>
      </c>
      <c r="D965" s="2">
        <v>0</v>
      </c>
      <c r="E965" s="2">
        <f t="shared" si="16"/>
        <v>0</v>
      </c>
      <c r="F965" s="2" t="str">
        <f t="shared" si="17"/>
        <v>Tuesday</v>
      </c>
      <c r="H965" s="2">
        <v>3</v>
      </c>
      <c r="I965" s="2" t="e">
        <f t="shared" ca="1" si="19"/>
        <v>#NAME?</v>
      </c>
      <c r="J965" s="2" t="e">
        <f t="shared" ca="1" si="18"/>
        <v>#NAME?</v>
      </c>
    </row>
    <row r="966" spans="1:10" ht="15.75" customHeight="1" x14ac:dyDescent="0.2">
      <c r="A966" s="2">
        <v>965</v>
      </c>
      <c r="B966" s="4">
        <v>45756</v>
      </c>
      <c r="C966" s="2">
        <f t="shared" si="15"/>
        <v>0</v>
      </c>
      <c r="D966" s="2">
        <v>0</v>
      </c>
      <c r="E966" s="2">
        <f t="shared" si="16"/>
        <v>0</v>
      </c>
      <c r="F966" s="2" t="str">
        <f t="shared" si="17"/>
        <v>Wednesday</v>
      </c>
      <c r="H966" s="2">
        <v>3</v>
      </c>
      <c r="I966" s="2" t="e">
        <f t="shared" ca="1" si="19"/>
        <v>#NAME?</v>
      </c>
      <c r="J966" s="2" t="e">
        <f t="shared" ca="1" si="18"/>
        <v>#NAME?</v>
      </c>
    </row>
    <row r="967" spans="1:10" ht="15.75" customHeight="1" x14ac:dyDescent="0.2">
      <c r="A967" s="2">
        <v>966</v>
      </c>
      <c r="B967" s="4">
        <v>45757</v>
      </c>
      <c r="C967" s="2">
        <f t="shared" si="15"/>
        <v>0</v>
      </c>
      <c r="D967" s="2">
        <v>0</v>
      </c>
      <c r="E967" s="2">
        <f t="shared" si="16"/>
        <v>0</v>
      </c>
      <c r="F967" s="2" t="str">
        <f t="shared" si="17"/>
        <v>Thursday</v>
      </c>
      <c r="H967" s="2">
        <v>3</v>
      </c>
      <c r="I967" s="2" t="e">
        <f t="shared" ca="1" si="19"/>
        <v>#NAME?</v>
      </c>
      <c r="J967" s="2" t="e">
        <f t="shared" ca="1" si="18"/>
        <v>#NAME?</v>
      </c>
    </row>
    <row r="968" spans="1:10" ht="15.75" customHeight="1" x14ac:dyDescent="0.2">
      <c r="A968" s="2">
        <v>967</v>
      </c>
      <c r="B968" s="4">
        <v>45758</v>
      </c>
      <c r="C968" s="2">
        <f t="shared" si="15"/>
        <v>0</v>
      </c>
      <c r="D968" s="2">
        <v>0</v>
      </c>
      <c r="E968" s="2">
        <f t="shared" si="16"/>
        <v>0</v>
      </c>
      <c r="F968" s="2" t="str">
        <f t="shared" si="17"/>
        <v>Friday</v>
      </c>
      <c r="H968" s="2">
        <v>3</v>
      </c>
      <c r="I968" s="2" t="e">
        <f t="shared" ca="1" si="19"/>
        <v>#NAME?</v>
      </c>
      <c r="J968" s="2" t="e">
        <f t="shared" ca="1" si="18"/>
        <v>#NAME?</v>
      </c>
    </row>
    <row r="969" spans="1:10" ht="15.75" customHeight="1" x14ac:dyDescent="0.2">
      <c r="A969" s="2">
        <v>968</v>
      </c>
      <c r="B969" s="4">
        <v>45759</v>
      </c>
      <c r="C969" s="2">
        <f t="shared" si="15"/>
        <v>1</v>
      </c>
      <c r="D969" s="2">
        <v>0</v>
      </c>
      <c r="E969" s="2">
        <f t="shared" si="16"/>
        <v>1</v>
      </c>
      <c r="F969" s="2" t="str">
        <f t="shared" si="17"/>
        <v>Saturday</v>
      </c>
      <c r="H969" s="2">
        <v>3</v>
      </c>
      <c r="I969" s="2" t="e">
        <f t="shared" ca="1" si="19"/>
        <v>#NAME?</v>
      </c>
      <c r="J969" s="2" t="e">
        <f t="shared" ca="1" si="18"/>
        <v>#NAME?</v>
      </c>
    </row>
    <row r="970" spans="1:10" ht="15.75" customHeight="1" x14ac:dyDescent="0.2">
      <c r="A970" s="2">
        <v>969</v>
      </c>
      <c r="B970" s="4">
        <v>45760</v>
      </c>
      <c r="C970" s="2">
        <f t="shared" si="15"/>
        <v>1</v>
      </c>
      <c r="D970" s="2">
        <v>0</v>
      </c>
      <c r="E970" s="2">
        <f t="shared" si="16"/>
        <v>1</v>
      </c>
      <c r="F970" s="2" t="str">
        <f t="shared" si="17"/>
        <v>Sunday</v>
      </c>
      <c r="H970" s="2">
        <v>3</v>
      </c>
      <c r="I970" s="2" t="e">
        <f t="shared" ca="1" si="19"/>
        <v>#NAME?</v>
      </c>
      <c r="J970" s="2" t="e">
        <f t="shared" ca="1" si="18"/>
        <v>#NAME?</v>
      </c>
    </row>
    <row r="971" spans="1:10" ht="15.75" customHeight="1" x14ac:dyDescent="0.2">
      <c r="A971" s="2">
        <v>970</v>
      </c>
      <c r="B971" s="4">
        <v>45761</v>
      </c>
      <c r="C971" s="2">
        <f t="shared" si="15"/>
        <v>0</v>
      </c>
      <c r="D971" s="2">
        <v>0</v>
      </c>
      <c r="E971" s="2">
        <f t="shared" si="16"/>
        <v>0</v>
      </c>
      <c r="F971" s="2" t="str">
        <f t="shared" si="17"/>
        <v>Monday</v>
      </c>
      <c r="H971" s="2">
        <v>3</v>
      </c>
      <c r="I971" s="2" t="e">
        <f t="shared" ca="1" si="19"/>
        <v>#NAME?</v>
      </c>
      <c r="J971" s="2" t="e">
        <f t="shared" ca="1" si="18"/>
        <v>#NAME?</v>
      </c>
    </row>
    <row r="972" spans="1:10" ht="15.75" customHeight="1" x14ac:dyDescent="0.2">
      <c r="A972" s="2">
        <v>971</v>
      </c>
      <c r="B972" s="4">
        <v>45762</v>
      </c>
      <c r="C972" s="2">
        <f t="shared" si="15"/>
        <v>0</v>
      </c>
      <c r="D972" s="2">
        <v>0</v>
      </c>
      <c r="E972" s="2">
        <f t="shared" si="16"/>
        <v>0</v>
      </c>
      <c r="F972" s="2" t="str">
        <f t="shared" si="17"/>
        <v>Tuesday</v>
      </c>
      <c r="H972" s="2">
        <v>3</v>
      </c>
      <c r="I972" s="2" t="e">
        <f t="shared" ca="1" si="19"/>
        <v>#NAME?</v>
      </c>
      <c r="J972" s="2" t="e">
        <f t="shared" ca="1" si="18"/>
        <v>#NAME?</v>
      </c>
    </row>
    <row r="973" spans="1:10" ht="15.75" customHeight="1" x14ac:dyDescent="0.2">
      <c r="A973" s="2">
        <v>972</v>
      </c>
      <c r="B973" s="4">
        <v>45763</v>
      </c>
      <c r="C973" s="2">
        <f t="shared" si="15"/>
        <v>0</v>
      </c>
      <c r="D973" s="2">
        <v>0</v>
      </c>
      <c r="E973" s="2">
        <f t="shared" si="16"/>
        <v>0</v>
      </c>
      <c r="F973" s="2" t="str">
        <f t="shared" si="17"/>
        <v>Wednesday</v>
      </c>
      <c r="H973" s="2">
        <v>3</v>
      </c>
      <c r="I973" s="2" t="e">
        <f t="shared" ca="1" si="19"/>
        <v>#NAME?</v>
      </c>
      <c r="J973" s="2" t="e">
        <f t="shared" ca="1" si="18"/>
        <v>#NAME?</v>
      </c>
    </row>
    <row r="974" spans="1:10" ht="15.75" customHeight="1" x14ac:dyDescent="0.2">
      <c r="A974" s="2">
        <v>973</v>
      </c>
      <c r="B974" s="4">
        <v>45764</v>
      </c>
      <c r="C974" s="2">
        <f t="shared" si="15"/>
        <v>0</v>
      </c>
      <c r="D974" s="2">
        <v>0</v>
      </c>
      <c r="E974" s="2">
        <f t="shared" si="16"/>
        <v>0</v>
      </c>
      <c r="F974" s="2" t="str">
        <f t="shared" si="17"/>
        <v>Thursday</v>
      </c>
      <c r="H974" s="2">
        <v>3</v>
      </c>
      <c r="I974" s="2" t="e">
        <f t="shared" ca="1" si="19"/>
        <v>#NAME?</v>
      </c>
      <c r="J974" s="2" t="e">
        <f t="shared" ca="1" si="18"/>
        <v>#NAME?</v>
      </c>
    </row>
    <row r="975" spans="1:10" ht="15.75" customHeight="1" x14ac:dyDescent="0.2">
      <c r="A975" s="2">
        <v>974</v>
      </c>
      <c r="B975" s="4">
        <v>45765</v>
      </c>
      <c r="C975" s="2">
        <f t="shared" si="15"/>
        <v>0</v>
      </c>
      <c r="D975" s="2">
        <v>0</v>
      </c>
      <c r="E975" s="2">
        <f t="shared" si="16"/>
        <v>0</v>
      </c>
      <c r="F975" s="2" t="str">
        <f t="shared" si="17"/>
        <v>Friday</v>
      </c>
      <c r="H975" s="2">
        <v>3</v>
      </c>
      <c r="I975" s="2" t="e">
        <f t="shared" ca="1" si="19"/>
        <v>#NAME?</v>
      </c>
      <c r="J975" s="2" t="e">
        <f t="shared" ca="1" si="18"/>
        <v>#NAME?</v>
      </c>
    </row>
    <row r="976" spans="1:10" ht="15.75" customHeight="1" x14ac:dyDescent="0.2">
      <c r="A976" s="2">
        <v>975</v>
      </c>
      <c r="B976" s="4">
        <v>45766</v>
      </c>
      <c r="C976" s="2">
        <f t="shared" si="15"/>
        <v>1</v>
      </c>
      <c r="D976" s="2">
        <v>0</v>
      </c>
      <c r="E976" s="2">
        <f t="shared" si="16"/>
        <v>1</v>
      </c>
      <c r="F976" s="2" t="str">
        <f t="shared" si="17"/>
        <v>Saturday</v>
      </c>
      <c r="H976" s="2">
        <v>3</v>
      </c>
      <c r="I976" s="2" t="e">
        <f t="shared" ca="1" si="19"/>
        <v>#NAME?</v>
      </c>
      <c r="J976" s="2" t="e">
        <f t="shared" ca="1" si="18"/>
        <v>#NAME?</v>
      </c>
    </row>
    <row r="977" spans="1:10" ht="15.75" customHeight="1" x14ac:dyDescent="0.2">
      <c r="A977" s="2">
        <v>976</v>
      </c>
      <c r="B977" s="4">
        <v>45767</v>
      </c>
      <c r="C977" s="2">
        <f t="shared" si="15"/>
        <v>1</v>
      </c>
      <c r="D977" s="2">
        <v>0</v>
      </c>
      <c r="E977" s="2">
        <f t="shared" si="16"/>
        <v>1</v>
      </c>
      <c r="F977" s="2" t="str">
        <f t="shared" si="17"/>
        <v>Sunday</v>
      </c>
      <c r="H977" s="2">
        <v>3</v>
      </c>
      <c r="I977" s="2" t="e">
        <f t="shared" ca="1" si="19"/>
        <v>#NAME?</v>
      </c>
      <c r="J977" s="2" t="e">
        <f t="shared" ca="1" si="18"/>
        <v>#NAME?</v>
      </c>
    </row>
    <row r="978" spans="1:10" ht="15.75" customHeight="1" x14ac:dyDescent="0.2">
      <c r="A978" s="2">
        <v>977</v>
      </c>
      <c r="B978" s="4">
        <v>45768</v>
      </c>
      <c r="C978" s="2">
        <f t="shared" si="15"/>
        <v>0</v>
      </c>
      <c r="D978" s="2">
        <v>0</v>
      </c>
      <c r="E978" s="2">
        <f t="shared" si="16"/>
        <v>0</v>
      </c>
      <c r="F978" s="2" t="str">
        <f t="shared" si="17"/>
        <v>Monday</v>
      </c>
      <c r="H978" s="2">
        <v>3</v>
      </c>
      <c r="I978" s="2" t="e">
        <f t="shared" ca="1" si="19"/>
        <v>#NAME?</v>
      </c>
      <c r="J978" s="2" t="e">
        <f t="shared" ca="1" si="18"/>
        <v>#NAME?</v>
      </c>
    </row>
    <row r="979" spans="1:10" ht="15.75" customHeight="1" x14ac:dyDescent="0.2">
      <c r="A979" s="2">
        <v>978</v>
      </c>
      <c r="B979" s="4">
        <v>45769</v>
      </c>
      <c r="C979" s="2">
        <f t="shared" si="15"/>
        <v>0</v>
      </c>
      <c r="D979" s="2">
        <v>0</v>
      </c>
      <c r="E979" s="2">
        <f t="shared" si="16"/>
        <v>0</v>
      </c>
      <c r="F979" s="2" t="str">
        <f t="shared" si="17"/>
        <v>Tuesday</v>
      </c>
      <c r="H979" s="2">
        <v>3</v>
      </c>
      <c r="I979" s="2" t="e">
        <f t="shared" ca="1" si="19"/>
        <v>#NAME?</v>
      </c>
      <c r="J979" s="2" t="e">
        <f t="shared" ca="1" si="18"/>
        <v>#NAME?</v>
      </c>
    </row>
    <row r="980" spans="1:10" ht="15.75" customHeight="1" x14ac:dyDescent="0.2">
      <c r="A980" s="2">
        <v>979</v>
      </c>
      <c r="B980" s="4">
        <v>45770</v>
      </c>
      <c r="C980" s="2">
        <f t="shared" si="15"/>
        <v>0</v>
      </c>
      <c r="D980" s="2">
        <v>0</v>
      </c>
      <c r="E980" s="2">
        <f t="shared" si="16"/>
        <v>0</v>
      </c>
      <c r="F980" s="2" t="str">
        <f t="shared" si="17"/>
        <v>Wednesday</v>
      </c>
      <c r="H980" s="2">
        <v>3</v>
      </c>
      <c r="I980" s="2" t="e">
        <f t="shared" ca="1" si="19"/>
        <v>#NAME?</v>
      </c>
      <c r="J980" s="2" t="e">
        <f t="shared" ca="1" si="18"/>
        <v>#NAME?</v>
      </c>
    </row>
    <row r="981" spans="1:10" ht="15.75" customHeight="1" x14ac:dyDescent="0.2">
      <c r="A981" s="2">
        <v>980</v>
      </c>
      <c r="B981" s="4">
        <v>45771</v>
      </c>
      <c r="C981" s="2">
        <f t="shared" si="15"/>
        <v>0</v>
      </c>
      <c r="D981" s="2">
        <v>0</v>
      </c>
      <c r="E981" s="2">
        <f t="shared" si="16"/>
        <v>0</v>
      </c>
      <c r="F981" s="2" t="str">
        <f t="shared" si="17"/>
        <v>Thursday</v>
      </c>
      <c r="H981" s="2">
        <v>3</v>
      </c>
      <c r="I981" s="2" t="e">
        <f t="shared" ca="1" si="19"/>
        <v>#NAME?</v>
      </c>
      <c r="J981" s="2" t="e">
        <f t="shared" ca="1" si="18"/>
        <v>#NAME?</v>
      </c>
    </row>
    <row r="982" spans="1:10" ht="15.75" customHeight="1" x14ac:dyDescent="0.2">
      <c r="A982" s="2">
        <v>981</v>
      </c>
      <c r="B982" s="4">
        <v>45772</v>
      </c>
      <c r="C982" s="2">
        <f t="shared" si="15"/>
        <v>0</v>
      </c>
      <c r="D982" s="2">
        <v>0</v>
      </c>
      <c r="E982" s="2">
        <f t="shared" si="16"/>
        <v>0</v>
      </c>
      <c r="F982" s="2" t="str">
        <f t="shared" si="17"/>
        <v>Friday</v>
      </c>
      <c r="H982" s="2">
        <v>3</v>
      </c>
      <c r="I982" s="2" t="e">
        <f t="shared" ca="1" si="19"/>
        <v>#NAME?</v>
      </c>
      <c r="J982" s="2" t="e">
        <f t="shared" ca="1" si="18"/>
        <v>#NAME?</v>
      </c>
    </row>
    <row r="983" spans="1:10" ht="15.75" customHeight="1" x14ac:dyDescent="0.2">
      <c r="A983" s="2">
        <v>982</v>
      </c>
      <c r="B983" s="4">
        <v>45773</v>
      </c>
      <c r="C983" s="2">
        <f t="shared" si="15"/>
        <v>1</v>
      </c>
      <c r="D983" s="2">
        <v>0</v>
      </c>
      <c r="E983" s="2">
        <f t="shared" si="16"/>
        <v>1</v>
      </c>
      <c r="F983" s="2" t="str">
        <f t="shared" si="17"/>
        <v>Saturday</v>
      </c>
      <c r="H983" s="2">
        <v>3</v>
      </c>
      <c r="I983" s="2" t="e">
        <f t="shared" ca="1" si="19"/>
        <v>#NAME?</v>
      </c>
      <c r="J983" s="2" t="e">
        <f t="shared" ca="1" si="18"/>
        <v>#NAME?</v>
      </c>
    </row>
    <row r="984" spans="1:10" ht="15.75" customHeight="1" x14ac:dyDescent="0.2">
      <c r="A984" s="2">
        <v>983</v>
      </c>
      <c r="B984" s="4">
        <v>45774</v>
      </c>
      <c r="C984" s="2">
        <f t="shared" si="15"/>
        <v>1</v>
      </c>
      <c r="D984" s="2">
        <v>0</v>
      </c>
      <c r="E984" s="2">
        <f t="shared" si="16"/>
        <v>1</v>
      </c>
      <c r="F984" s="2" t="str">
        <f t="shared" si="17"/>
        <v>Sunday</v>
      </c>
      <c r="H984" s="2">
        <v>3</v>
      </c>
      <c r="I984" s="2" t="e">
        <f t="shared" ca="1" si="19"/>
        <v>#NAME?</v>
      </c>
      <c r="J984" s="2" t="e">
        <f t="shared" ca="1" si="18"/>
        <v>#NAME?</v>
      </c>
    </row>
    <row r="985" spans="1:10" ht="15.75" customHeight="1" x14ac:dyDescent="0.2">
      <c r="A985" s="2">
        <v>984</v>
      </c>
      <c r="B985" s="4">
        <v>45775</v>
      </c>
      <c r="C985" s="2">
        <f t="shared" si="15"/>
        <v>0</v>
      </c>
      <c r="D985" s="2">
        <v>0</v>
      </c>
      <c r="E985" s="2">
        <f t="shared" si="16"/>
        <v>0</v>
      </c>
      <c r="F985" s="2" t="str">
        <f t="shared" si="17"/>
        <v>Monday</v>
      </c>
      <c r="H985" s="2">
        <v>3</v>
      </c>
      <c r="I985" s="2" t="e">
        <f t="shared" ca="1" si="19"/>
        <v>#NAME?</v>
      </c>
      <c r="J985" s="2" t="e">
        <f t="shared" ca="1" si="18"/>
        <v>#NAME?</v>
      </c>
    </row>
    <row r="986" spans="1:10" ht="15.75" customHeight="1" x14ac:dyDescent="0.2">
      <c r="A986" s="2">
        <v>985</v>
      </c>
      <c r="B986" s="4">
        <v>45776</v>
      </c>
      <c r="C986" s="2">
        <f t="shared" si="15"/>
        <v>0</v>
      </c>
      <c r="D986" s="2">
        <v>0</v>
      </c>
      <c r="E986" s="2">
        <f t="shared" si="16"/>
        <v>0</v>
      </c>
      <c r="F986" s="2" t="str">
        <f t="shared" si="17"/>
        <v>Tuesday</v>
      </c>
      <c r="H986" s="2">
        <v>3</v>
      </c>
      <c r="I986" s="2" t="e">
        <f t="shared" ca="1" si="19"/>
        <v>#NAME?</v>
      </c>
      <c r="J986" s="2" t="e">
        <f t="shared" ca="1" si="18"/>
        <v>#NAME?</v>
      </c>
    </row>
    <row r="987" spans="1:10" ht="15.75" customHeight="1" x14ac:dyDescent="0.2">
      <c r="A987" s="2">
        <v>986</v>
      </c>
      <c r="B987" s="4">
        <v>45777</v>
      </c>
      <c r="C987" s="2">
        <f t="shared" si="15"/>
        <v>0</v>
      </c>
      <c r="D987" s="2">
        <v>0</v>
      </c>
      <c r="E987" s="2">
        <f t="shared" si="16"/>
        <v>0</v>
      </c>
      <c r="F987" s="2" t="str">
        <f t="shared" si="17"/>
        <v>Wednesday</v>
      </c>
      <c r="H987" s="2">
        <v>3</v>
      </c>
      <c r="I987" s="2" t="e">
        <f t="shared" ca="1" si="19"/>
        <v>#NAME?</v>
      </c>
      <c r="J987" s="2" t="e">
        <f t="shared" ca="1" si="18"/>
        <v>#NAME?</v>
      </c>
    </row>
    <row r="988" spans="1:10" ht="15.75" customHeight="1" x14ac:dyDescent="0.2">
      <c r="A988" s="2">
        <v>987</v>
      </c>
      <c r="B988" s="4">
        <v>45778</v>
      </c>
      <c r="C988" s="2">
        <f t="shared" si="15"/>
        <v>0</v>
      </c>
      <c r="D988" s="2">
        <v>0</v>
      </c>
      <c r="E988" s="2">
        <f t="shared" si="16"/>
        <v>0</v>
      </c>
      <c r="F988" s="2" t="str">
        <f t="shared" si="17"/>
        <v>Thursday</v>
      </c>
      <c r="H988" s="2">
        <v>3</v>
      </c>
      <c r="I988" s="2" t="e">
        <f t="shared" ca="1" si="19"/>
        <v>#NAME?</v>
      </c>
      <c r="J988" s="2" t="e">
        <f t="shared" ca="1" si="18"/>
        <v>#NAME?</v>
      </c>
    </row>
    <row r="989" spans="1:10" ht="15.75" customHeight="1" x14ac:dyDescent="0.2">
      <c r="A989" s="2">
        <v>988</v>
      </c>
      <c r="B989" s="4">
        <v>45779</v>
      </c>
      <c r="C989" s="2">
        <f t="shared" si="15"/>
        <v>0</v>
      </c>
      <c r="D989" s="2">
        <v>0</v>
      </c>
      <c r="E989" s="2">
        <f t="shared" si="16"/>
        <v>0</v>
      </c>
      <c r="F989" s="2" t="str">
        <f t="shared" si="17"/>
        <v>Friday</v>
      </c>
      <c r="H989" s="2">
        <v>3</v>
      </c>
      <c r="I989" s="2" t="e">
        <f t="shared" ca="1" si="19"/>
        <v>#NAME?</v>
      </c>
      <c r="J989" s="2" t="e">
        <f t="shared" ca="1" si="18"/>
        <v>#NAME?</v>
      </c>
    </row>
    <row r="990" spans="1:10" ht="15.75" customHeight="1" x14ac:dyDescent="0.2">
      <c r="A990" s="2">
        <v>989</v>
      </c>
      <c r="B990" s="4">
        <v>45780</v>
      </c>
      <c r="C990" s="2">
        <f t="shared" si="15"/>
        <v>1</v>
      </c>
      <c r="D990" s="2">
        <v>0</v>
      </c>
      <c r="E990" s="2">
        <f t="shared" si="16"/>
        <v>1</v>
      </c>
      <c r="F990" s="2" t="str">
        <f t="shared" si="17"/>
        <v>Saturday</v>
      </c>
      <c r="H990" s="2">
        <v>3</v>
      </c>
      <c r="I990" s="2" t="e">
        <f t="shared" ca="1" si="19"/>
        <v>#NAME?</v>
      </c>
      <c r="J990" s="2" t="e">
        <f t="shared" ca="1" si="18"/>
        <v>#NAME?</v>
      </c>
    </row>
    <row r="991" spans="1:10" ht="15.75" customHeight="1" x14ac:dyDescent="0.2">
      <c r="A991" s="2">
        <v>990</v>
      </c>
      <c r="B991" s="4">
        <v>45781</v>
      </c>
      <c r="C991" s="2">
        <f t="shared" si="15"/>
        <v>1</v>
      </c>
      <c r="D991" s="2">
        <v>0</v>
      </c>
      <c r="E991" s="2">
        <f t="shared" si="16"/>
        <v>1</v>
      </c>
      <c r="F991" s="2" t="str">
        <f t="shared" si="17"/>
        <v>Sunday</v>
      </c>
      <c r="H991" s="2">
        <v>3</v>
      </c>
      <c r="I991" s="2" t="e">
        <f t="shared" ca="1" si="19"/>
        <v>#NAME?</v>
      </c>
      <c r="J991" s="2" t="e">
        <f t="shared" ca="1" si="18"/>
        <v>#NAME?</v>
      </c>
    </row>
    <row r="992" spans="1:10" ht="15.75" customHeight="1" x14ac:dyDescent="0.2">
      <c r="A992" s="2">
        <v>991</v>
      </c>
      <c r="B992" s="4">
        <v>45782</v>
      </c>
      <c r="C992" s="2">
        <f t="shared" si="15"/>
        <v>0</v>
      </c>
      <c r="D992" s="2">
        <v>0</v>
      </c>
      <c r="E992" s="2">
        <f t="shared" si="16"/>
        <v>0</v>
      </c>
      <c r="F992" s="2" t="str">
        <f t="shared" si="17"/>
        <v>Monday</v>
      </c>
      <c r="H992" s="2">
        <v>3</v>
      </c>
      <c r="I992" s="2" t="e">
        <f t="shared" ca="1" si="19"/>
        <v>#NAME?</v>
      </c>
      <c r="J992" s="2" t="e">
        <f t="shared" ca="1" si="18"/>
        <v>#NAME?</v>
      </c>
    </row>
    <row r="993" spans="1:10" ht="15.75" customHeight="1" x14ac:dyDescent="0.2">
      <c r="A993" s="2">
        <v>992</v>
      </c>
      <c r="B993" s="4">
        <v>45783</v>
      </c>
      <c r="C993" s="2">
        <f t="shared" si="15"/>
        <v>0</v>
      </c>
      <c r="D993" s="2">
        <v>0</v>
      </c>
      <c r="E993" s="2">
        <f t="shared" si="16"/>
        <v>0</v>
      </c>
      <c r="F993" s="2" t="str">
        <f t="shared" si="17"/>
        <v>Tuesday</v>
      </c>
      <c r="H993" s="2">
        <v>3</v>
      </c>
      <c r="I993" s="2" t="e">
        <f t="shared" ca="1" si="19"/>
        <v>#NAME?</v>
      </c>
      <c r="J993" s="2" t="e">
        <f t="shared" ca="1" si="18"/>
        <v>#NAME?</v>
      </c>
    </row>
    <row r="994" spans="1:10" ht="15.75" customHeight="1" x14ac:dyDescent="0.2">
      <c r="A994" s="2">
        <v>993</v>
      </c>
      <c r="B994" s="4">
        <v>45784</v>
      </c>
      <c r="C994" s="2">
        <f t="shared" si="15"/>
        <v>0</v>
      </c>
      <c r="D994" s="2">
        <v>0</v>
      </c>
      <c r="E994" s="2">
        <f t="shared" si="16"/>
        <v>0</v>
      </c>
      <c r="F994" s="2" t="str">
        <f t="shared" si="17"/>
        <v>Wednesday</v>
      </c>
      <c r="H994" s="2">
        <v>3</v>
      </c>
      <c r="I994" s="2" t="e">
        <f t="shared" ca="1" si="19"/>
        <v>#NAME?</v>
      </c>
      <c r="J994" s="2" t="e">
        <f t="shared" ca="1" si="18"/>
        <v>#NAME?</v>
      </c>
    </row>
    <row r="995" spans="1:10" ht="15.75" customHeight="1" x14ac:dyDescent="0.2">
      <c r="A995" s="2">
        <v>994</v>
      </c>
      <c r="B995" s="4">
        <v>45785</v>
      </c>
      <c r="C995" s="2">
        <f t="shared" si="15"/>
        <v>0</v>
      </c>
      <c r="D995" s="2">
        <v>0</v>
      </c>
      <c r="E995" s="2">
        <f t="shared" si="16"/>
        <v>0</v>
      </c>
      <c r="F995" s="2" t="str">
        <f t="shared" si="17"/>
        <v>Thursday</v>
      </c>
      <c r="H995" s="2">
        <v>3</v>
      </c>
      <c r="I995" s="2" t="e">
        <f t="shared" ca="1" si="19"/>
        <v>#NAME?</v>
      </c>
      <c r="J995" s="2" t="e">
        <f t="shared" ca="1" si="18"/>
        <v>#NAME?</v>
      </c>
    </row>
    <row r="996" spans="1:10" ht="15.75" customHeight="1" x14ac:dyDescent="0.2">
      <c r="A996" s="2">
        <v>995</v>
      </c>
      <c r="B996" s="4">
        <v>45786</v>
      </c>
      <c r="C996" s="2">
        <f t="shared" si="15"/>
        <v>0</v>
      </c>
      <c r="D996" s="2">
        <v>0</v>
      </c>
      <c r="E996" s="2">
        <f t="shared" si="16"/>
        <v>0</v>
      </c>
      <c r="F996" s="2" t="str">
        <f t="shared" si="17"/>
        <v>Friday</v>
      </c>
      <c r="H996" s="2">
        <v>3</v>
      </c>
      <c r="I996" s="2" t="e">
        <f t="shared" ca="1" si="19"/>
        <v>#NAME?</v>
      </c>
      <c r="J996" s="2" t="e">
        <f t="shared" ca="1" si="18"/>
        <v>#NAME?</v>
      </c>
    </row>
    <row r="997" spans="1:10" ht="15.75" customHeight="1" x14ac:dyDescent="0.2">
      <c r="A997" s="2">
        <v>996</v>
      </c>
      <c r="B997" s="4">
        <v>45787</v>
      </c>
      <c r="C997" s="2">
        <f t="shared" si="15"/>
        <v>1</v>
      </c>
      <c r="D997" s="2">
        <v>0</v>
      </c>
      <c r="E997" s="2">
        <f t="shared" si="16"/>
        <v>1</v>
      </c>
      <c r="F997" s="2" t="str">
        <f t="shared" si="17"/>
        <v>Saturday</v>
      </c>
      <c r="H997" s="2">
        <v>3</v>
      </c>
      <c r="I997" s="2" t="e">
        <f t="shared" ca="1" si="19"/>
        <v>#NAME?</v>
      </c>
      <c r="J997" s="2" t="e">
        <f t="shared" ca="1" si="18"/>
        <v>#NAME?</v>
      </c>
    </row>
    <row r="998" spans="1:10" ht="15.75" customHeight="1" x14ac:dyDescent="0.2">
      <c r="A998" s="2">
        <v>997</v>
      </c>
      <c r="B998" s="4">
        <v>45788</v>
      </c>
      <c r="C998" s="2">
        <f t="shared" si="15"/>
        <v>1</v>
      </c>
      <c r="D998" s="2">
        <v>0</v>
      </c>
      <c r="E998" s="2">
        <f t="shared" si="16"/>
        <v>1</v>
      </c>
      <c r="F998" s="2" t="str">
        <f t="shared" si="17"/>
        <v>Sunday</v>
      </c>
      <c r="H998" s="2">
        <v>3</v>
      </c>
      <c r="I998" s="2" t="e">
        <f t="shared" ca="1" si="19"/>
        <v>#NAME?</v>
      </c>
      <c r="J998" s="2" t="e">
        <f t="shared" ca="1" si="18"/>
        <v>#NAME?</v>
      </c>
    </row>
    <row r="999" spans="1:10" ht="15.75" customHeight="1" x14ac:dyDescent="0.2">
      <c r="A999" s="2">
        <v>998</v>
      </c>
      <c r="B999" s="4">
        <v>45789</v>
      </c>
      <c r="C999" s="2">
        <f t="shared" si="15"/>
        <v>0</v>
      </c>
      <c r="D999" s="2">
        <v>0</v>
      </c>
      <c r="E999" s="2">
        <f t="shared" si="16"/>
        <v>0</v>
      </c>
      <c r="F999" s="2" t="str">
        <f t="shared" si="17"/>
        <v>Monday</v>
      </c>
      <c r="H999" s="2">
        <v>3</v>
      </c>
      <c r="I999" s="2" t="e">
        <f t="shared" ca="1" si="19"/>
        <v>#NAME?</v>
      </c>
      <c r="J999" s="2" t="e">
        <f t="shared" ca="1" si="18"/>
        <v>#NAME?</v>
      </c>
    </row>
    <row r="1000" spans="1:10" ht="15.75" customHeight="1" x14ac:dyDescent="0.2">
      <c r="A1000" s="2">
        <v>999</v>
      </c>
      <c r="B1000" s="4">
        <v>45790</v>
      </c>
      <c r="C1000" s="2">
        <f t="shared" si="15"/>
        <v>0</v>
      </c>
      <c r="D1000" s="2">
        <v>0</v>
      </c>
      <c r="E1000" s="2">
        <f t="shared" si="16"/>
        <v>0</v>
      </c>
      <c r="F1000" s="2" t="str">
        <f t="shared" si="17"/>
        <v>Tuesday</v>
      </c>
      <c r="H1000" s="2">
        <v>3</v>
      </c>
      <c r="I1000" s="2" t="e">
        <f t="shared" ca="1" si="19"/>
        <v>#NAME?</v>
      </c>
      <c r="J1000" s="2" t="e">
        <f t="shared" ca="1" si="18"/>
        <v>#NAME?</v>
      </c>
    </row>
    <row r="1001" spans="1:10" ht="15.75" customHeight="1" x14ac:dyDescent="0.2">
      <c r="A1001" s="2">
        <v>1000</v>
      </c>
      <c r="B1001" s="4">
        <v>45791</v>
      </c>
      <c r="C1001" s="2">
        <f t="shared" si="15"/>
        <v>0</v>
      </c>
      <c r="D1001" s="2">
        <v>0</v>
      </c>
      <c r="E1001" s="2">
        <f t="shared" si="16"/>
        <v>0</v>
      </c>
      <c r="F1001" s="2" t="str">
        <f t="shared" si="17"/>
        <v>Wednesday</v>
      </c>
      <c r="H1001" s="2">
        <v>3</v>
      </c>
      <c r="I1001" s="2" t="e">
        <f t="shared" ca="1" si="19"/>
        <v>#NAME?</v>
      </c>
      <c r="J1001" s="2" t="e">
        <f t="shared" ca="1" si="18"/>
        <v>#NAME?</v>
      </c>
    </row>
  </sheetData>
  <autoFilter ref="A1:I1001" xr:uid="{00000000-0009-0000-0000-000008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heetViews>
  <sheetFormatPr baseColWidth="10" defaultColWidth="14.5" defaultRowHeight="15" customHeight="1" x14ac:dyDescent="0.2"/>
  <cols>
    <col min="1" max="1" width="3.1640625" customWidth="1"/>
    <col min="2" max="5" width="11.5" customWidth="1"/>
    <col min="6" max="6" width="13.83203125" customWidth="1"/>
    <col min="7" max="26" width="11.5" customWidth="1"/>
  </cols>
  <sheetData>
    <row r="1" spans="1:11" x14ac:dyDescent="0.2">
      <c r="A1" s="1" t="s">
        <v>56</v>
      </c>
      <c r="B1" s="1" t="s">
        <v>237</v>
      </c>
      <c r="C1" s="1" t="s">
        <v>60</v>
      </c>
      <c r="D1" s="1" t="s">
        <v>335</v>
      </c>
      <c r="E1" s="1" t="s">
        <v>58</v>
      </c>
      <c r="F1" s="1" t="s">
        <v>336</v>
      </c>
      <c r="G1" s="1" t="s">
        <v>337</v>
      </c>
      <c r="H1" s="1" t="s">
        <v>2</v>
      </c>
      <c r="I1" s="1" t="s">
        <v>338</v>
      </c>
      <c r="J1" s="1" t="s">
        <v>239</v>
      </c>
      <c r="K1" s="1" t="s">
        <v>339</v>
      </c>
    </row>
    <row r="2" spans="1:11" x14ac:dyDescent="0.2">
      <c r="A2" s="2">
        <v>1</v>
      </c>
      <c r="B2" s="2">
        <v>2</v>
      </c>
      <c r="C2" s="3">
        <v>44936</v>
      </c>
      <c r="E2" s="2">
        <v>117</v>
      </c>
      <c r="F2" s="2" t="s">
        <v>340</v>
      </c>
      <c r="G2" s="2">
        <v>145</v>
      </c>
      <c r="H2" s="2" t="s">
        <v>7</v>
      </c>
      <c r="I2" s="8">
        <v>0.81899999999999995</v>
      </c>
      <c r="K2" s="2">
        <v>1</v>
      </c>
    </row>
    <row r="3" spans="1:11" x14ac:dyDescent="0.2">
      <c r="A3" s="2">
        <v>2</v>
      </c>
      <c r="B3" s="2">
        <v>2</v>
      </c>
      <c r="C3" s="3">
        <f t="shared" ref="C3:C50" si="0">C2+1</f>
        <v>44937</v>
      </c>
      <c r="E3" s="2">
        <v>117</v>
      </c>
      <c r="F3" s="2" t="s">
        <v>340</v>
      </c>
      <c r="G3" s="2">
        <v>146</v>
      </c>
      <c r="H3" s="2" t="s">
        <v>7</v>
      </c>
      <c r="I3" s="8">
        <v>0.85399999999999998</v>
      </c>
      <c r="K3" s="2">
        <v>1</v>
      </c>
    </row>
    <row r="4" spans="1:11" x14ac:dyDescent="0.2">
      <c r="A4" s="2">
        <v>3</v>
      </c>
      <c r="B4" s="2">
        <v>2</v>
      </c>
      <c r="C4" s="3">
        <f t="shared" si="0"/>
        <v>44938</v>
      </c>
      <c r="E4" s="2">
        <v>125</v>
      </c>
      <c r="F4" s="2" t="s">
        <v>341</v>
      </c>
      <c r="G4" s="2">
        <v>1212</v>
      </c>
      <c r="H4" s="2" t="s">
        <v>7</v>
      </c>
      <c r="I4" s="8">
        <v>0.89600000000000002</v>
      </c>
      <c r="K4" s="2">
        <v>1</v>
      </c>
    </row>
    <row r="5" spans="1:11" x14ac:dyDescent="0.2">
      <c r="A5" s="2">
        <v>4</v>
      </c>
      <c r="B5" s="2">
        <v>2</v>
      </c>
      <c r="C5" s="3">
        <f t="shared" si="0"/>
        <v>44939</v>
      </c>
      <c r="E5" s="2">
        <v>117</v>
      </c>
      <c r="F5" s="2" t="s">
        <v>340</v>
      </c>
      <c r="G5" s="2">
        <v>147</v>
      </c>
      <c r="H5" s="2" t="s">
        <v>7</v>
      </c>
      <c r="I5" s="8">
        <v>0.80300000000000005</v>
      </c>
      <c r="K5" s="2">
        <v>1</v>
      </c>
    </row>
    <row r="6" spans="1:11" x14ac:dyDescent="0.2">
      <c r="A6" s="2">
        <v>5</v>
      </c>
      <c r="B6" s="2">
        <v>2</v>
      </c>
      <c r="C6" s="3">
        <f t="shared" si="0"/>
        <v>44940</v>
      </c>
      <c r="E6" s="2">
        <v>117</v>
      </c>
      <c r="F6" s="2" t="s">
        <v>340</v>
      </c>
      <c r="G6" s="2">
        <v>148</v>
      </c>
      <c r="H6" s="2" t="s">
        <v>7</v>
      </c>
      <c r="I6" s="8">
        <v>0.85099999999999998</v>
      </c>
      <c r="K6" s="2">
        <v>1</v>
      </c>
    </row>
    <row r="7" spans="1:11" x14ac:dyDescent="0.2">
      <c r="A7" s="2">
        <v>6</v>
      </c>
      <c r="B7" s="2">
        <v>2</v>
      </c>
      <c r="C7" s="3">
        <f t="shared" si="0"/>
        <v>44941</v>
      </c>
      <c r="E7" s="2">
        <v>117</v>
      </c>
      <c r="F7" s="2" t="s">
        <v>340</v>
      </c>
      <c r="G7" s="2">
        <v>149</v>
      </c>
      <c r="H7" s="2" t="s">
        <v>7</v>
      </c>
      <c r="I7" s="8">
        <v>0.92600000000000005</v>
      </c>
      <c r="K7" s="2">
        <v>1</v>
      </c>
    </row>
    <row r="8" spans="1:11" x14ac:dyDescent="0.2">
      <c r="A8" s="2">
        <v>7</v>
      </c>
      <c r="B8" s="2">
        <v>2</v>
      </c>
      <c r="C8" s="3">
        <f t="shared" si="0"/>
        <v>44942</v>
      </c>
      <c r="E8" s="2">
        <v>125</v>
      </c>
      <c r="F8" s="2" t="s">
        <v>341</v>
      </c>
      <c r="G8" s="2">
        <v>1213</v>
      </c>
      <c r="H8" s="2" t="s">
        <v>7</v>
      </c>
      <c r="I8" s="8">
        <v>0.872</v>
      </c>
      <c r="K8" s="2">
        <v>1</v>
      </c>
    </row>
    <row r="9" spans="1:11" x14ac:dyDescent="0.2">
      <c r="A9" s="2">
        <v>8</v>
      </c>
      <c r="B9" s="2">
        <v>2</v>
      </c>
      <c r="C9" s="3">
        <f t="shared" si="0"/>
        <v>44943</v>
      </c>
      <c r="E9" s="2">
        <v>117</v>
      </c>
      <c r="F9" s="2" t="s">
        <v>340</v>
      </c>
      <c r="G9" s="2">
        <v>150</v>
      </c>
      <c r="H9" s="2" t="s">
        <v>7</v>
      </c>
      <c r="I9" s="8">
        <v>0.95499999999999996</v>
      </c>
      <c r="K9" s="2">
        <v>1</v>
      </c>
    </row>
    <row r="10" spans="1:11" x14ac:dyDescent="0.2">
      <c r="A10" s="2">
        <v>9</v>
      </c>
      <c r="B10" s="2">
        <v>2</v>
      </c>
      <c r="C10" s="3">
        <f t="shared" si="0"/>
        <v>44944</v>
      </c>
      <c r="E10" s="2">
        <v>117</v>
      </c>
      <c r="F10" s="2" t="s">
        <v>340</v>
      </c>
      <c r="G10" s="2">
        <v>151</v>
      </c>
      <c r="H10" s="2" t="s">
        <v>7</v>
      </c>
      <c r="I10" s="8">
        <v>0.91800000000000004</v>
      </c>
      <c r="K10" s="2">
        <v>1</v>
      </c>
    </row>
    <row r="11" spans="1:11" x14ac:dyDescent="0.2">
      <c r="A11" s="2">
        <v>10</v>
      </c>
      <c r="B11" s="2">
        <v>2</v>
      </c>
      <c r="C11" s="3">
        <f t="shared" si="0"/>
        <v>44945</v>
      </c>
      <c r="E11" s="2">
        <v>125</v>
      </c>
      <c r="F11" s="2" t="s">
        <v>341</v>
      </c>
      <c r="G11" s="2">
        <v>1214</v>
      </c>
      <c r="H11" s="2" t="s">
        <v>7</v>
      </c>
      <c r="I11" s="8">
        <v>0.92100000000000004</v>
      </c>
      <c r="K11" s="2">
        <v>1</v>
      </c>
    </row>
    <row r="12" spans="1:11" x14ac:dyDescent="0.2">
      <c r="A12" s="2">
        <v>11</v>
      </c>
      <c r="B12" s="2">
        <v>2</v>
      </c>
      <c r="C12" s="3">
        <f t="shared" si="0"/>
        <v>44946</v>
      </c>
      <c r="E12" s="2">
        <v>117</v>
      </c>
      <c r="F12" s="2" t="s">
        <v>340</v>
      </c>
      <c r="G12" s="2">
        <v>152</v>
      </c>
      <c r="H12" s="2" t="s">
        <v>7</v>
      </c>
      <c r="I12" s="8">
        <v>0.95699999999999996</v>
      </c>
      <c r="K12" s="2">
        <v>1</v>
      </c>
    </row>
    <row r="13" spans="1:11" x14ac:dyDescent="0.2">
      <c r="A13" s="2">
        <v>12</v>
      </c>
      <c r="B13" s="2">
        <v>2</v>
      </c>
      <c r="C13" s="3">
        <f t="shared" si="0"/>
        <v>44947</v>
      </c>
      <c r="E13" s="2">
        <v>125</v>
      </c>
      <c r="F13" s="2" t="s">
        <v>341</v>
      </c>
      <c r="G13" s="2">
        <v>1215</v>
      </c>
      <c r="H13" s="2" t="s">
        <v>7</v>
      </c>
      <c r="I13" s="8">
        <v>0.97</v>
      </c>
      <c r="K13" s="2">
        <v>1</v>
      </c>
    </row>
    <row r="14" spans="1:11" x14ac:dyDescent="0.2">
      <c r="A14" s="2">
        <v>13</v>
      </c>
      <c r="B14" s="2">
        <v>2</v>
      </c>
      <c r="C14" s="3">
        <f t="shared" si="0"/>
        <v>44948</v>
      </c>
      <c r="E14" s="2">
        <v>125</v>
      </c>
      <c r="F14" s="2" t="s">
        <v>341</v>
      </c>
      <c r="G14" s="2">
        <v>1216</v>
      </c>
      <c r="H14" s="2" t="s">
        <v>7</v>
      </c>
      <c r="I14" s="8">
        <v>0.91500000000000004</v>
      </c>
      <c r="K14" s="2">
        <v>1</v>
      </c>
    </row>
    <row r="15" spans="1:11" x14ac:dyDescent="0.2">
      <c r="A15" s="2">
        <v>14</v>
      </c>
      <c r="B15" s="2">
        <v>2</v>
      </c>
      <c r="C15" s="3">
        <f t="shared" si="0"/>
        <v>44949</v>
      </c>
      <c r="E15" s="2">
        <v>125</v>
      </c>
      <c r="F15" s="2" t="s">
        <v>341</v>
      </c>
      <c r="G15" s="2">
        <v>1217</v>
      </c>
      <c r="H15" s="2" t="s">
        <v>7</v>
      </c>
      <c r="I15" s="8">
        <v>0.95099999999999996</v>
      </c>
      <c r="K15" s="2">
        <v>1</v>
      </c>
    </row>
    <row r="16" spans="1:11" x14ac:dyDescent="0.2">
      <c r="A16" s="2">
        <v>15</v>
      </c>
      <c r="B16" s="2">
        <v>2</v>
      </c>
      <c r="C16" s="3">
        <f t="shared" si="0"/>
        <v>44950</v>
      </c>
      <c r="E16" s="2">
        <v>130</v>
      </c>
      <c r="F16" s="2" t="s">
        <v>342</v>
      </c>
      <c r="G16" s="2">
        <v>1234</v>
      </c>
      <c r="H16" s="2" t="s">
        <v>7</v>
      </c>
      <c r="I16" s="8">
        <v>0.86799999999999999</v>
      </c>
      <c r="K16" s="2">
        <v>1</v>
      </c>
    </row>
    <row r="17" spans="1:11" x14ac:dyDescent="0.2">
      <c r="A17" s="2">
        <v>16</v>
      </c>
      <c r="B17" s="2">
        <v>2</v>
      </c>
      <c r="C17" s="3">
        <f t="shared" si="0"/>
        <v>44951</v>
      </c>
      <c r="E17" s="2">
        <v>130</v>
      </c>
      <c r="F17" s="2" t="s">
        <v>342</v>
      </c>
      <c r="G17" s="2">
        <v>1235</v>
      </c>
      <c r="H17" s="2" t="s">
        <v>7</v>
      </c>
      <c r="I17" s="8">
        <v>0.84699999999999998</v>
      </c>
      <c r="K17" s="2">
        <v>1</v>
      </c>
    </row>
    <row r="18" spans="1:11" x14ac:dyDescent="0.2">
      <c r="A18" s="2">
        <v>17</v>
      </c>
      <c r="B18" s="2">
        <v>2</v>
      </c>
      <c r="C18" s="3">
        <f t="shared" si="0"/>
        <v>44952</v>
      </c>
      <c r="E18" s="2">
        <v>130</v>
      </c>
      <c r="F18" s="2" t="s">
        <v>342</v>
      </c>
      <c r="G18" s="2">
        <v>1236</v>
      </c>
      <c r="H18" s="2" t="s">
        <v>7</v>
      </c>
      <c r="I18" s="8">
        <v>0.90600000000000003</v>
      </c>
      <c r="K18" s="2">
        <v>1</v>
      </c>
    </row>
    <row r="19" spans="1:11" x14ac:dyDescent="0.2">
      <c r="A19" s="2">
        <v>18</v>
      </c>
      <c r="B19" s="2">
        <v>2</v>
      </c>
      <c r="C19" s="3">
        <f t="shared" si="0"/>
        <v>44953</v>
      </c>
      <c r="E19" s="2">
        <v>130</v>
      </c>
      <c r="F19" s="2" t="s">
        <v>342</v>
      </c>
      <c r="G19" s="2">
        <v>1237</v>
      </c>
      <c r="H19" s="2" t="s">
        <v>7</v>
      </c>
      <c r="I19" s="8">
        <v>0.872</v>
      </c>
      <c r="K19" s="2">
        <v>1</v>
      </c>
    </row>
    <row r="20" spans="1:11" x14ac:dyDescent="0.2">
      <c r="A20" s="2">
        <v>19</v>
      </c>
      <c r="B20" s="2">
        <v>2</v>
      </c>
      <c r="C20" s="3">
        <f t="shared" si="0"/>
        <v>44954</v>
      </c>
      <c r="E20" s="2">
        <v>130</v>
      </c>
      <c r="F20" s="2" t="s">
        <v>342</v>
      </c>
      <c r="G20" s="2">
        <v>1238</v>
      </c>
      <c r="H20" s="2" t="s">
        <v>7</v>
      </c>
      <c r="I20" s="8">
        <v>0.89100000000000001</v>
      </c>
      <c r="K20" s="2">
        <v>1</v>
      </c>
    </row>
    <row r="21" spans="1:11" ht="15.75" customHeight="1" x14ac:dyDescent="0.2">
      <c r="A21" s="2">
        <v>20</v>
      </c>
      <c r="B21" s="2">
        <v>2</v>
      </c>
      <c r="C21" s="3">
        <f t="shared" si="0"/>
        <v>44955</v>
      </c>
      <c r="E21" s="2">
        <v>130</v>
      </c>
      <c r="F21" s="2" t="s">
        <v>342</v>
      </c>
      <c r="G21" s="2">
        <v>1239</v>
      </c>
      <c r="H21" s="2" t="s">
        <v>7</v>
      </c>
      <c r="I21" s="8">
        <v>0.80200000000000005</v>
      </c>
      <c r="K21" s="2">
        <v>1</v>
      </c>
    </row>
    <row r="22" spans="1:11" ht="15.75" customHeight="1" x14ac:dyDescent="0.2">
      <c r="A22" s="2">
        <v>21</v>
      </c>
      <c r="B22" s="2">
        <v>2</v>
      </c>
      <c r="C22" s="3">
        <f t="shared" si="0"/>
        <v>44956</v>
      </c>
      <c r="E22" s="2">
        <v>130</v>
      </c>
      <c r="F22" s="2" t="s">
        <v>342</v>
      </c>
      <c r="G22" s="2">
        <v>1240</v>
      </c>
      <c r="H22" s="2" t="s">
        <v>7</v>
      </c>
      <c r="I22" s="8">
        <v>0.81100000000000005</v>
      </c>
      <c r="K22" s="2">
        <v>1</v>
      </c>
    </row>
    <row r="23" spans="1:11" ht="15.75" customHeight="1" x14ac:dyDescent="0.2">
      <c r="A23" s="2">
        <v>22</v>
      </c>
      <c r="B23" s="2">
        <v>2</v>
      </c>
      <c r="C23" s="3">
        <f t="shared" si="0"/>
        <v>44957</v>
      </c>
      <c r="E23" s="2">
        <v>130</v>
      </c>
      <c r="F23" s="2" t="s">
        <v>342</v>
      </c>
      <c r="G23" s="2">
        <v>1241</v>
      </c>
      <c r="H23" s="2" t="s">
        <v>7</v>
      </c>
      <c r="I23" s="8">
        <v>0.84299999999999997</v>
      </c>
      <c r="K23" s="2">
        <v>1</v>
      </c>
    </row>
    <row r="24" spans="1:11" ht="15.75" customHeight="1" x14ac:dyDescent="0.2">
      <c r="A24" s="2">
        <v>23</v>
      </c>
      <c r="B24" s="2">
        <v>2</v>
      </c>
      <c r="C24" s="3">
        <f t="shared" si="0"/>
        <v>44958</v>
      </c>
      <c r="E24" s="2">
        <v>130</v>
      </c>
      <c r="F24" s="2" t="s">
        <v>342</v>
      </c>
      <c r="G24" s="2">
        <v>1242</v>
      </c>
      <c r="H24" s="2" t="s">
        <v>7</v>
      </c>
      <c r="I24" s="8">
        <v>0.94</v>
      </c>
      <c r="K24" s="2">
        <v>1</v>
      </c>
    </row>
    <row r="25" spans="1:11" ht="15.75" customHeight="1" x14ac:dyDescent="0.2">
      <c r="A25" s="2">
        <v>24</v>
      </c>
      <c r="B25" s="2">
        <v>2</v>
      </c>
      <c r="C25" s="3">
        <f t="shared" si="0"/>
        <v>44959</v>
      </c>
      <c r="E25" s="2">
        <v>130</v>
      </c>
      <c r="F25" s="2" t="s">
        <v>342</v>
      </c>
      <c r="G25" s="2">
        <v>1243</v>
      </c>
      <c r="H25" s="2" t="s">
        <v>7</v>
      </c>
      <c r="I25" s="8">
        <v>0.86899999999999999</v>
      </c>
      <c r="K25" s="2">
        <v>1</v>
      </c>
    </row>
    <row r="26" spans="1:11" ht="15.75" customHeight="1" x14ac:dyDescent="0.2">
      <c r="A26" s="2">
        <v>25</v>
      </c>
      <c r="B26" s="2">
        <v>2</v>
      </c>
      <c r="C26" s="3">
        <f t="shared" si="0"/>
        <v>44960</v>
      </c>
      <c r="E26" s="2">
        <v>130</v>
      </c>
      <c r="F26" s="2" t="s">
        <v>342</v>
      </c>
      <c r="G26" s="2">
        <v>1244</v>
      </c>
      <c r="H26" s="2" t="s">
        <v>7</v>
      </c>
      <c r="I26" s="8">
        <v>0.871</v>
      </c>
      <c r="K26" s="2">
        <v>1</v>
      </c>
    </row>
    <row r="27" spans="1:11" ht="15.75" customHeight="1" x14ac:dyDescent="0.2">
      <c r="A27" s="2">
        <v>26</v>
      </c>
      <c r="B27" s="2">
        <v>2</v>
      </c>
      <c r="C27" s="3">
        <f t="shared" si="0"/>
        <v>44961</v>
      </c>
      <c r="E27" s="2">
        <v>130</v>
      </c>
      <c r="F27" s="2" t="s">
        <v>342</v>
      </c>
      <c r="G27" s="2">
        <v>1245</v>
      </c>
      <c r="H27" s="2" t="s">
        <v>7</v>
      </c>
      <c r="I27" s="8">
        <v>0.96299999999999997</v>
      </c>
      <c r="K27" s="2">
        <v>1</v>
      </c>
    </row>
    <row r="28" spans="1:11" ht="15.75" customHeight="1" x14ac:dyDescent="0.2">
      <c r="A28" s="2">
        <v>27</v>
      </c>
      <c r="B28" s="2">
        <v>2</v>
      </c>
      <c r="C28" s="3">
        <f t="shared" si="0"/>
        <v>44962</v>
      </c>
      <c r="E28" s="2">
        <v>130</v>
      </c>
      <c r="F28" s="2" t="s">
        <v>342</v>
      </c>
      <c r="G28" s="2">
        <v>1246</v>
      </c>
      <c r="H28" s="2" t="s">
        <v>7</v>
      </c>
      <c r="I28" s="8">
        <v>0.94899999999999995</v>
      </c>
      <c r="K28" s="2">
        <v>1</v>
      </c>
    </row>
    <row r="29" spans="1:11" ht="15.75" customHeight="1" x14ac:dyDescent="0.2">
      <c r="A29" s="2">
        <v>28</v>
      </c>
      <c r="B29" s="2">
        <v>2</v>
      </c>
      <c r="C29" s="3">
        <f t="shared" si="0"/>
        <v>44963</v>
      </c>
      <c r="E29" s="2">
        <v>130</v>
      </c>
      <c r="F29" s="2" t="s">
        <v>342</v>
      </c>
      <c r="G29" s="2">
        <v>1247</v>
      </c>
      <c r="H29" s="2" t="s">
        <v>7</v>
      </c>
      <c r="I29" s="8">
        <v>0.94199999999999995</v>
      </c>
      <c r="K29" s="2">
        <v>1</v>
      </c>
    </row>
    <row r="30" spans="1:11" ht="15.75" customHeight="1" x14ac:dyDescent="0.2">
      <c r="A30" s="2">
        <v>29</v>
      </c>
      <c r="B30" s="2">
        <v>2</v>
      </c>
      <c r="C30" s="3">
        <f t="shared" si="0"/>
        <v>44964</v>
      </c>
      <c r="E30" s="2">
        <v>130</v>
      </c>
      <c r="F30" s="2" t="s">
        <v>342</v>
      </c>
      <c r="G30" s="2">
        <v>1248</v>
      </c>
      <c r="H30" s="2" t="s">
        <v>7</v>
      </c>
      <c r="I30" s="8">
        <v>0.84699999999999998</v>
      </c>
      <c r="K30" s="2">
        <v>1</v>
      </c>
    </row>
    <row r="31" spans="1:11" ht="15.75" customHeight="1" x14ac:dyDescent="0.2">
      <c r="A31" s="2">
        <v>30</v>
      </c>
      <c r="B31" s="2">
        <v>2</v>
      </c>
      <c r="C31" s="3">
        <f t="shared" si="0"/>
        <v>44965</v>
      </c>
      <c r="E31" s="2">
        <v>130</v>
      </c>
      <c r="F31" s="2" t="s">
        <v>342</v>
      </c>
      <c r="G31" s="2">
        <v>1249</v>
      </c>
      <c r="H31" s="2" t="s">
        <v>7</v>
      </c>
      <c r="I31" s="8">
        <v>0.81</v>
      </c>
      <c r="K31" s="2">
        <v>1</v>
      </c>
    </row>
    <row r="32" spans="1:11" ht="15.75" customHeight="1" x14ac:dyDescent="0.2">
      <c r="A32" s="2">
        <v>31</v>
      </c>
      <c r="B32" s="2">
        <v>2</v>
      </c>
      <c r="C32" s="3">
        <f t="shared" si="0"/>
        <v>44966</v>
      </c>
      <c r="E32" s="2">
        <v>98</v>
      </c>
      <c r="F32" s="2" t="s">
        <v>343</v>
      </c>
      <c r="G32" s="2">
        <v>983</v>
      </c>
      <c r="H32" s="2" t="s">
        <v>7</v>
      </c>
      <c r="I32" s="8">
        <v>0.83</v>
      </c>
      <c r="K32" s="2">
        <v>1</v>
      </c>
    </row>
    <row r="33" spans="1:11" ht="15.75" customHeight="1" x14ac:dyDescent="0.2">
      <c r="A33" s="2">
        <v>32</v>
      </c>
      <c r="B33" s="2">
        <v>2</v>
      </c>
      <c r="C33" s="3">
        <f t="shared" si="0"/>
        <v>44967</v>
      </c>
      <c r="E33" s="2">
        <v>98</v>
      </c>
      <c r="F33" s="2" t="s">
        <v>343</v>
      </c>
      <c r="G33" s="2">
        <v>984</v>
      </c>
      <c r="H33" s="2" t="s">
        <v>7</v>
      </c>
      <c r="I33" s="8">
        <v>0.995</v>
      </c>
      <c r="K33" s="2">
        <v>1</v>
      </c>
    </row>
    <row r="34" spans="1:11" ht="15.75" customHeight="1" x14ac:dyDescent="0.2">
      <c r="A34" s="2">
        <v>33</v>
      </c>
      <c r="B34" s="2">
        <v>2</v>
      </c>
      <c r="C34" s="3">
        <f t="shared" si="0"/>
        <v>44968</v>
      </c>
      <c r="E34" s="2">
        <v>98</v>
      </c>
      <c r="F34" s="2" t="s">
        <v>343</v>
      </c>
      <c r="G34" s="2">
        <v>985</v>
      </c>
      <c r="H34" s="2" t="s">
        <v>7</v>
      </c>
      <c r="I34" s="8">
        <v>0.94699999999999995</v>
      </c>
      <c r="K34" s="2">
        <v>1</v>
      </c>
    </row>
    <row r="35" spans="1:11" ht="15.75" customHeight="1" x14ac:dyDescent="0.2">
      <c r="A35" s="2">
        <v>34</v>
      </c>
      <c r="B35" s="2">
        <v>2</v>
      </c>
      <c r="C35" s="3">
        <f t="shared" si="0"/>
        <v>44969</v>
      </c>
      <c r="E35" s="2">
        <v>98</v>
      </c>
      <c r="F35" s="2" t="s">
        <v>343</v>
      </c>
      <c r="G35" s="2">
        <v>986</v>
      </c>
      <c r="H35" s="2" t="s">
        <v>7</v>
      </c>
      <c r="I35" s="8">
        <v>0.83599999999999997</v>
      </c>
      <c r="K35" s="2">
        <v>1</v>
      </c>
    </row>
    <row r="36" spans="1:11" ht="15.75" customHeight="1" x14ac:dyDescent="0.2">
      <c r="A36" s="2">
        <v>35</v>
      </c>
      <c r="B36" s="2">
        <v>2</v>
      </c>
      <c r="C36" s="3">
        <f t="shared" si="0"/>
        <v>44970</v>
      </c>
      <c r="E36" s="2">
        <v>98</v>
      </c>
      <c r="F36" s="2" t="s">
        <v>343</v>
      </c>
      <c r="G36" s="2">
        <v>987</v>
      </c>
      <c r="H36" s="2" t="s">
        <v>7</v>
      </c>
      <c r="I36" s="8">
        <v>0.88800000000000001</v>
      </c>
      <c r="K36" s="2">
        <v>1</v>
      </c>
    </row>
    <row r="37" spans="1:11" ht="15.75" customHeight="1" x14ac:dyDescent="0.2">
      <c r="A37" s="2">
        <v>36</v>
      </c>
      <c r="B37" s="2">
        <v>2</v>
      </c>
      <c r="C37" s="3">
        <f t="shared" si="0"/>
        <v>44971</v>
      </c>
      <c r="E37" s="2">
        <v>98</v>
      </c>
      <c r="F37" s="2" t="s">
        <v>343</v>
      </c>
      <c r="G37" s="2">
        <v>988</v>
      </c>
      <c r="H37" s="2" t="s">
        <v>7</v>
      </c>
      <c r="I37" s="8">
        <v>0.85699999999999998</v>
      </c>
      <c r="K37" s="2">
        <v>1</v>
      </c>
    </row>
    <row r="38" spans="1:11" ht="15.75" customHeight="1" x14ac:dyDescent="0.2">
      <c r="A38" s="2">
        <v>37</v>
      </c>
      <c r="B38" s="2">
        <v>2</v>
      </c>
      <c r="C38" s="3">
        <f t="shared" si="0"/>
        <v>44972</v>
      </c>
      <c r="E38" s="2">
        <v>98</v>
      </c>
      <c r="F38" s="2" t="s">
        <v>343</v>
      </c>
      <c r="G38" s="2">
        <v>989</v>
      </c>
      <c r="H38" s="2" t="s">
        <v>7</v>
      </c>
      <c r="I38" s="8">
        <v>0.874</v>
      </c>
      <c r="K38" s="2">
        <v>1</v>
      </c>
    </row>
    <row r="39" spans="1:11" ht="15.75" customHeight="1" x14ac:dyDescent="0.2">
      <c r="A39" s="2">
        <v>38</v>
      </c>
      <c r="B39" s="2">
        <v>2</v>
      </c>
      <c r="C39" s="3">
        <f t="shared" si="0"/>
        <v>44973</v>
      </c>
      <c r="E39" s="2">
        <v>98</v>
      </c>
      <c r="F39" s="2" t="s">
        <v>343</v>
      </c>
      <c r="G39" s="2">
        <v>990</v>
      </c>
      <c r="H39" s="2" t="s">
        <v>7</v>
      </c>
      <c r="I39" s="8">
        <v>0.90400000000000003</v>
      </c>
      <c r="K39" s="2">
        <v>1</v>
      </c>
    </row>
    <row r="40" spans="1:11" ht="15.75" customHeight="1" x14ac:dyDescent="0.2">
      <c r="A40" s="2">
        <v>39</v>
      </c>
      <c r="B40" s="2">
        <v>2</v>
      </c>
      <c r="C40" s="3">
        <f t="shared" si="0"/>
        <v>44974</v>
      </c>
      <c r="E40" s="2">
        <v>98</v>
      </c>
      <c r="F40" s="2" t="s">
        <v>343</v>
      </c>
      <c r="G40" s="2">
        <v>991</v>
      </c>
      <c r="H40" s="2" t="s">
        <v>7</v>
      </c>
      <c r="I40" s="8">
        <v>0.995</v>
      </c>
      <c r="K40" s="2">
        <v>1</v>
      </c>
    </row>
    <row r="41" spans="1:11" ht="15.75" customHeight="1" x14ac:dyDescent="0.2">
      <c r="A41" s="2">
        <v>40</v>
      </c>
      <c r="B41" s="2">
        <v>2</v>
      </c>
      <c r="C41" s="3">
        <f t="shared" si="0"/>
        <v>44975</v>
      </c>
      <c r="E41" s="2">
        <v>98</v>
      </c>
      <c r="F41" s="2" t="s">
        <v>343</v>
      </c>
      <c r="G41" s="2">
        <v>992</v>
      </c>
      <c r="H41" s="2" t="s">
        <v>7</v>
      </c>
      <c r="I41" s="8">
        <v>0.91</v>
      </c>
      <c r="K41" s="2">
        <v>1</v>
      </c>
    </row>
    <row r="42" spans="1:11" ht="15.75" customHeight="1" x14ac:dyDescent="0.2">
      <c r="A42" s="2">
        <v>41</v>
      </c>
      <c r="B42" s="2">
        <v>2</v>
      </c>
      <c r="C42" s="3">
        <f t="shared" si="0"/>
        <v>44976</v>
      </c>
      <c r="E42" s="2">
        <v>98</v>
      </c>
      <c r="F42" s="2" t="s">
        <v>343</v>
      </c>
      <c r="G42" s="2">
        <v>993</v>
      </c>
      <c r="H42" s="2" t="s">
        <v>7</v>
      </c>
      <c r="I42" s="8">
        <v>0.92500000000000004</v>
      </c>
      <c r="K42" s="2">
        <v>1</v>
      </c>
    </row>
    <row r="43" spans="1:11" ht="15.75" customHeight="1" x14ac:dyDescent="0.2">
      <c r="A43" s="2">
        <v>42</v>
      </c>
      <c r="B43" s="2">
        <v>2</v>
      </c>
      <c r="C43" s="3">
        <f t="shared" si="0"/>
        <v>44977</v>
      </c>
      <c r="E43" s="2">
        <v>98</v>
      </c>
      <c r="F43" s="2" t="s">
        <v>343</v>
      </c>
      <c r="G43" s="2">
        <v>994</v>
      </c>
      <c r="H43" s="2" t="s">
        <v>7</v>
      </c>
      <c r="I43" s="8">
        <v>0.83399999999999996</v>
      </c>
      <c r="K43" s="2">
        <v>1</v>
      </c>
    </row>
    <row r="44" spans="1:11" ht="15.75" customHeight="1" x14ac:dyDescent="0.2">
      <c r="A44" s="2">
        <v>43</v>
      </c>
      <c r="B44" s="2">
        <v>2</v>
      </c>
      <c r="C44" s="3">
        <f t="shared" si="0"/>
        <v>44978</v>
      </c>
      <c r="E44" s="2">
        <v>117</v>
      </c>
      <c r="F44" s="2" t="s">
        <v>340</v>
      </c>
      <c r="G44" s="2">
        <v>153</v>
      </c>
      <c r="H44" s="2" t="s">
        <v>7</v>
      </c>
      <c r="I44" s="8">
        <v>0.86299999999999999</v>
      </c>
      <c r="K44" s="2">
        <v>1</v>
      </c>
    </row>
    <row r="45" spans="1:11" ht="15.75" customHeight="1" x14ac:dyDescent="0.2">
      <c r="A45" s="2">
        <v>44</v>
      </c>
      <c r="B45" s="2">
        <v>2</v>
      </c>
      <c r="C45" s="3">
        <f t="shared" si="0"/>
        <v>44979</v>
      </c>
      <c r="E45" s="2">
        <v>117</v>
      </c>
      <c r="F45" s="2" t="s">
        <v>340</v>
      </c>
      <c r="G45" s="2">
        <v>154</v>
      </c>
      <c r="H45" s="2" t="s">
        <v>7</v>
      </c>
      <c r="I45" s="8">
        <v>0.95199999999999996</v>
      </c>
      <c r="K45" s="2">
        <v>1</v>
      </c>
    </row>
    <row r="46" spans="1:11" ht="15.75" customHeight="1" x14ac:dyDescent="0.2">
      <c r="A46" s="2">
        <v>45</v>
      </c>
      <c r="B46" s="2">
        <v>2</v>
      </c>
      <c r="C46" s="3">
        <f t="shared" si="0"/>
        <v>44980</v>
      </c>
      <c r="E46" s="2">
        <v>117</v>
      </c>
      <c r="F46" s="2" t="s">
        <v>340</v>
      </c>
      <c r="G46" s="2">
        <v>155</v>
      </c>
      <c r="H46" s="2" t="s">
        <v>7</v>
      </c>
      <c r="I46" s="8">
        <v>0.94799999999999995</v>
      </c>
      <c r="K46" s="2">
        <v>1</v>
      </c>
    </row>
    <row r="47" spans="1:11" ht="15.75" customHeight="1" x14ac:dyDescent="0.2">
      <c r="A47" s="2">
        <v>46</v>
      </c>
      <c r="B47" s="2">
        <v>2</v>
      </c>
      <c r="C47" s="3">
        <f t="shared" si="0"/>
        <v>44981</v>
      </c>
      <c r="E47" s="2">
        <v>117</v>
      </c>
      <c r="F47" s="2" t="s">
        <v>340</v>
      </c>
      <c r="G47" s="2">
        <v>156</v>
      </c>
      <c r="H47" s="2" t="s">
        <v>7</v>
      </c>
      <c r="I47" s="8">
        <v>0.81</v>
      </c>
      <c r="K47" s="2">
        <v>1</v>
      </c>
    </row>
    <row r="48" spans="1:11" ht="15.75" customHeight="1" x14ac:dyDescent="0.2">
      <c r="A48" s="2">
        <v>47</v>
      </c>
      <c r="B48" s="2">
        <v>2</v>
      </c>
      <c r="C48" s="3">
        <f t="shared" si="0"/>
        <v>44982</v>
      </c>
      <c r="E48" s="2">
        <v>111</v>
      </c>
      <c r="F48" s="2" t="s">
        <v>344</v>
      </c>
      <c r="G48" s="2">
        <v>1095</v>
      </c>
      <c r="H48" s="2" t="s">
        <v>7</v>
      </c>
      <c r="I48" s="8">
        <v>0.97099999999999997</v>
      </c>
      <c r="K48" s="2">
        <v>1</v>
      </c>
    </row>
    <row r="49" spans="1:11" ht="15.75" customHeight="1" x14ac:dyDescent="0.2">
      <c r="A49" s="2">
        <v>48</v>
      </c>
      <c r="B49" s="2">
        <v>2</v>
      </c>
      <c r="C49" s="3">
        <f t="shared" si="0"/>
        <v>44983</v>
      </c>
      <c r="E49" s="2">
        <v>111</v>
      </c>
      <c r="F49" s="2" t="s">
        <v>344</v>
      </c>
      <c r="G49" s="2">
        <v>1096</v>
      </c>
      <c r="H49" s="2" t="s">
        <v>7</v>
      </c>
      <c r="I49" s="8">
        <v>0.86599999999999999</v>
      </c>
      <c r="K49" s="2">
        <v>1</v>
      </c>
    </row>
    <row r="50" spans="1:11" ht="15.75" customHeight="1" x14ac:dyDescent="0.2">
      <c r="A50" s="2">
        <v>49</v>
      </c>
      <c r="B50" s="2">
        <v>2</v>
      </c>
      <c r="C50" s="3">
        <f t="shared" si="0"/>
        <v>44984</v>
      </c>
      <c r="E50" s="2">
        <v>111</v>
      </c>
      <c r="F50" s="2" t="s">
        <v>344</v>
      </c>
      <c r="G50" s="2">
        <v>1097</v>
      </c>
      <c r="H50" s="2" t="s">
        <v>7</v>
      </c>
      <c r="I50" s="8">
        <v>0.97499999999999998</v>
      </c>
      <c r="K50" s="2">
        <v>1</v>
      </c>
    </row>
    <row r="51" spans="1:11" ht="15.75" customHeight="1" x14ac:dyDescent="0.2">
      <c r="A51" s="2">
        <v>50</v>
      </c>
      <c r="B51" s="2">
        <v>29</v>
      </c>
      <c r="C51" s="3">
        <v>45030</v>
      </c>
      <c r="E51" s="2">
        <v>38</v>
      </c>
      <c r="F51" s="2" t="s">
        <v>42</v>
      </c>
      <c r="G51" s="2">
        <v>451</v>
      </c>
      <c r="H51" s="2" t="s">
        <v>7</v>
      </c>
      <c r="I51" s="8">
        <v>0.92</v>
      </c>
      <c r="K51" s="2">
        <v>1</v>
      </c>
    </row>
    <row r="52" spans="1:11" ht="15.75" customHeight="1" x14ac:dyDescent="0.2">
      <c r="A52" s="2">
        <v>51</v>
      </c>
      <c r="B52" s="2">
        <v>29</v>
      </c>
      <c r="C52" s="3">
        <v>45030</v>
      </c>
      <c r="E52" s="2">
        <v>39</v>
      </c>
      <c r="F52" s="2" t="s">
        <v>30</v>
      </c>
      <c r="G52" s="2">
        <v>463</v>
      </c>
      <c r="H52" s="2" t="s">
        <v>7</v>
      </c>
      <c r="I52" s="8">
        <v>0.98</v>
      </c>
      <c r="K52" s="2">
        <v>1</v>
      </c>
    </row>
    <row r="53" spans="1:11" ht="15.75" customHeight="1" x14ac:dyDescent="0.2">
      <c r="A53" s="2">
        <v>52</v>
      </c>
      <c r="B53" s="2">
        <v>29</v>
      </c>
      <c r="C53" s="3">
        <v>44981</v>
      </c>
      <c r="E53" s="2">
        <v>38</v>
      </c>
      <c r="F53" s="2" t="s">
        <v>42</v>
      </c>
      <c r="G53" s="2">
        <v>283</v>
      </c>
      <c r="H53" s="2" t="s">
        <v>7</v>
      </c>
      <c r="I53" s="8">
        <v>0.995</v>
      </c>
      <c r="K53" s="2">
        <v>1</v>
      </c>
    </row>
    <row r="54" spans="1:11" ht="15.75" customHeight="1" x14ac:dyDescent="0.2">
      <c r="A54" s="2">
        <v>53</v>
      </c>
      <c r="B54" s="2">
        <v>29</v>
      </c>
      <c r="C54" s="3">
        <v>45028</v>
      </c>
      <c r="E54" s="2">
        <v>41</v>
      </c>
      <c r="F54" s="2" t="s">
        <v>345</v>
      </c>
      <c r="G54" s="2">
        <v>487</v>
      </c>
      <c r="H54" s="2" t="s">
        <v>7</v>
      </c>
      <c r="I54" s="8">
        <v>0.995</v>
      </c>
      <c r="K54" s="2">
        <v>1</v>
      </c>
    </row>
    <row r="55" spans="1:11" ht="15.75" customHeight="1" x14ac:dyDescent="0.2">
      <c r="A55" s="2">
        <v>54</v>
      </c>
      <c r="B55" s="2">
        <v>29</v>
      </c>
      <c r="C55" s="3">
        <v>45028</v>
      </c>
      <c r="E55" s="2">
        <v>42</v>
      </c>
      <c r="F55" s="2" t="s">
        <v>346</v>
      </c>
      <c r="G55" s="2">
        <v>499</v>
      </c>
      <c r="H55" s="2" t="s">
        <v>7</v>
      </c>
      <c r="I55" s="8">
        <v>0.995</v>
      </c>
      <c r="K55" s="2">
        <v>1</v>
      </c>
    </row>
    <row r="56" spans="1:11" ht="15.75" customHeight="1" x14ac:dyDescent="0.2">
      <c r="A56" s="2">
        <v>55</v>
      </c>
      <c r="B56" s="2">
        <v>29</v>
      </c>
      <c r="C56" s="3">
        <v>45028</v>
      </c>
      <c r="E56" s="2" t="s">
        <v>347</v>
      </c>
      <c r="F56" s="9" t="s">
        <v>348</v>
      </c>
      <c r="G56" s="2">
        <v>499</v>
      </c>
      <c r="H56" s="2" t="s">
        <v>7</v>
      </c>
      <c r="I56" s="8">
        <v>0.995</v>
      </c>
      <c r="K56" s="2">
        <v>1</v>
      </c>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howErrorMessage="1" sqref="H2:H56" xr:uid="{00000000-0002-0000-0900-000000000000}">
      <formula1>"PACE,Repeat PACE,Coursework,Essay"</formula1>
    </dataValidation>
  </dataValidations>
  <pageMargins left="0.7" right="0.7" top="0.75" bottom="0.75"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baseColWidth="10" defaultColWidth="14.5" defaultRowHeight="15" customHeight="1" x14ac:dyDescent="0.2"/>
  <cols>
    <col min="1" max="1" width="5.33203125" customWidth="1"/>
    <col min="2" max="2" width="12.33203125" customWidth="1"/>
    <col min="3" max="26" width="11.5" customWidth="1"/>
  </cols>
  <sheetData>
    <row r="1" spans="1:2" x14ac:dyDescent="0.2">
      <c r="A1" s="1" t="s">
        <v>56</v>
      </c>
      <c r="B1" s="1" t="s">
        <v>349</v>
      </c>
    </row>
    <row r="2" spans="1:2" x14ac:dyDescent="0.2">
      <c r="A2" s="2">
        <v>0</v>
      </c>
      <c r="B2" s="2" t="s">
        <v>104</v>
      </c>
    </row>
    <row r="3" spans="1:2" x14ac:dyDescent="0.2">
      <c r="A3" s="2">
        <v>1</v>
      </c>
      <c r="B3" s="2" t="s">
        <v>350</v>
      </c>
    </row>
    <row r="4" spans="1:2" x14ac:dyDescent="0.2">
      <c r="A4" s="2">
        <v>2</v>
      </c>
      <c r="B4" s="2" t="s">
        <v>351</v>
      </c>
    </row>
    <row r="5" spans="1:2" x14ac:dyDescent="0.2">
      <c r="A5" s="2">
        <v>3</v>
      </c>
      <c r="B5" s="2" t="s">
        <v>352</v>
      </c>
    </row>
    <row r="6" spans="1:2" x14ac:dyDescent="0.2">
      <c r="A6" s="2">
        <v>4</v>
      </c>
      <c r="B6" s="2" t="s">
        <v>353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6" xr:uid="{00000000-0009-0000-0000-00000A00000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8D8D8"/>
  </sheetPr>
  <dimension ref="A1:F1000"/>
  <sheetViews>
    <sheetView workbookViewId="0"/>
  </sheetViews>
  <sheetFormatPr baseColWidth="10" defaultColWidth="14.5" defaultRowHeight="15" customHeight="1" x14ac:dyDescent="0.2"/>
  <cols>
    <col min="1" max="1" width="2.83203125" customWidth="1"/>
    <col min="2" max="2" width="23.5" customWidth="1"/>
    <col min="3" max="26" width="8.83203125" customWidth="1"/>
  </cols>
  <sheetData>
    <row r="1" spans="1:6" x14ac:dyDescent="0.2">
      <c r="A1" s="1" t="s">
        <v>56</v>
      </c>
      <c r="B1" s="1" t="s">
        <v>354</v>
      </c>
      <c r="C1" s="1" t="s">
        <v>355</v>
      </c>
      <c r="D1" s="1"/>
      <c r="E1" s="1"/>
      <c r="F1" s="1"/>
    </row>
    <row r="2" spans="1:6" x14ac:dyDescent="0.2">
      <c r="A2" s="2">
        <v>1</v>
      </c>
      <c r="B2" s="2" t="s">
        <v>356</v>
      </c>
      <c r="C2" s="2">
        <v>1</v>
      </c>
    </row>
    <row r="3" spans="1:6" x14ac:dyDescent="0.2">
      <c r="A3" s="2">
        <v>2</v>
      </c>
      <c r="B3" s="2" t="s">
        <v>357</v>
      </c>
      <c r="C3" s="2">
        <v>2</v>
      </c>
    </row>
    <row r="4" spans="1:6" x14ac:dyDescent="0.2">
      <c r="A4" s="2">
        <v>3</v>
      </c>
      <c r="B4" s="2" t="s">
        <v>358</v>
      </c>
      <c r="C4" s="2">
        <v>3</v>
      </c>
    </row>
    <row r="5" spans="1:6" x14ac:dyDescent="0.2">
      <c r="A5" s="2">
        <v>4</v>
      </c>
      <c r="B5" s="2" t="s">
        <v>359</v>
      </c>
      <c r="C5" s="2">
        <v>4</v>
      </c>
    </row>
    <row r="6" spans="1:6" x14ac:dyDescent="0.2">
      <c r="A6" s="2">
        <v>5</v>
      </c>
      <c r="B6" s="2" t="s">
        <v>360</v>
      </c>
      <c r="C6" s="2">
        <v>5</v>
      </c>
    </row>
    <row r="7" spans="1:6" x14ac:dyDescent="0.2">
      <c r="A7" s="2">
        <v>6</v>
      </c>
      <c r="B7" s="2" t="s">
        <v>361</v>
      </c>
      <c r="C7" s="2">
        <v>6</v>
      </c>
    </row>
    <row r="8" spans="1:6" x14ac:dyDescent="0.2">
      <c r="A8" s="2">
        <v>7</v>
      </c>
      <c r="B8" s="2" t="s">
        <v>362</v>
      </c>
      <c r="C8" s="2">
        <v>7</v>
      </c>
    </row>
    <row r="9" spans="1:6" x14ac:dyDescent="0.2">
      <c r="A9" s="2">
        <v>8</v>
      </c>
      <c r="B9" s="2" t="s">
        <v>363</v>
      </c>
      <c r="C9" s="2">
        <v>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8D8D8"/>
  </sheetPr>
  <dimension ref="A1:E1000"/>
  <sheetViews>
    <sheetView workbookViewId="0"/>
  </sheetViews>
  <sheetFormatPr baseColWidth="10" defaultColWidth="14.5" defaultRowHeight="15" customHeight="1" x14ac:dyDescent="0.2"/>
  <cols>
    <col min="1" max="1" width="5.33203125" customWidth="1"/>
    <col min="2" max="2" width="17.1640625" customWidth="1"/>
    <col min="3" max="3" width="10" customWidth="1"/>
    <col min="4" max="4" width="11.1640625" customWidth="1"/>
    <col min="5" max="26" width="8.83203125" customWidth="1"/>
  </cols>
  <sheetData>
    <row r="1" spans="1:5" x14ac:dyDescent="0.2">
      <c r="A1" s="1" t="s">
        <v>56</v>
      </c>
      <c r="B1" s="1" t="s">
        <v>354</v>
      </c>
      <c r="C1" s="10" t="s">
        <v>364</v>
      </c>
      <c r="D1" s="1" t="s">
        <v>365</v>
      </c>
      <c r="E1" s="1" t="s">
        <v>366</v>
      </c>
    </row>
    <row r="2" spans="1:5" x14ac:dyDescent="0.2">
      <c r="A2" s="11">
        <v>1</v>
      </c>
      <c r="B2" s="2" t="s">
        <v>62</v>
      </c>
      <c r="C2" s="12" t="s">
        <v>367</v>
      </c>
      <c r="D2" s="2" t="s">
        <v>368</v>
      </c>
      <c r="E2" s="2" t="s">
        <v>369</v>
      </c>
    </row>
    <row r="3" spans="1:5" x14ac:dyDescent="0.2">
      <c r="A3" s="11">
        <v>2</v>
      </c>
      <c r="B3" s="2" t="s">
        <v>261</v>
      </c>
      <c r="C3" s="12" t="s">
        <v>370</v>
      </c>
      <c r="D3" s="2" t="s">
        <v>368</v>
      </c>
      <c r="E3" s="2" t="s">
        <v>371</v>
      </c>
    </row>
    <row r="4" spans="1:5" x14ac:dyDescent="0.2">
      <c r="A4" s="11">
        <v>3</v>
      </c>
      <c r="B4" s="2" t="s">
        <v>30</v>
      </c>
      <c r="C4" s="12" t="s">
        <v>372</v>
      </c>
      <c r="D4" s="2" t="s">
        <v>368</v>
      </c>
      <c r="E4" s="2" t="s">
        <v>373</v>
      </c>
    </row>
    <row r="5" spans="1:5" x14ac:dyDescent="0.2">
      <c r="A5" s="11">
        <v>4</v>
      </c>
      <c r="B5" s="2" t="s">
        <v>55</v>
      </c>
      <c r="C5" s="12" t="s">
        <v>374</v>
      </c>
      <c r="D5" s="2" t="s">
        <v>368</v>
      </c>
      <c r="E5" s="2" t="s">
        <v>375</v>
      </c>
    </row>
    <row r="6" spans="1:5" x14ac:dyDescent="0.2">
      <c r="A6" s="11">
        <v>5</v>
      </c>
      <c r="B6" s="2" t="s">
        <v>28</v>
      </c>
      <c r="C6" s="12" t="s">
        <v>376</v>
      </c>
      <c r="D6" s="2" t="s">
        <v>368</v>
      </c>
      <c r="E6" s="2" t="s">
        <v>377</v>
      </c>
    </row>
    <row r="7" spans="1:5" x14ac:dyDescent="0.2">
      <c r="A7" s="11">
        <v>6</v>
      </c>
      <c r="B7" s="2" t="s">
        <v>63</v>
      </c>
      <c r="C7" s="12" t="s">
        <v>378</v>
      </c>
      <c r="D7" s="2" t="s">
        <v>368</v>
      </c>
      <c r="E7" s="2" t="s">
        <v>379</v>
      </c>
    </row>
    <row r="8" spans="1:5" x14ac:dyDescent="0.2">
      <c r="A8" s="11">
        <v>7</v>
      </c>
      <c r="B8" s="2" t="s">
        <v>380</v>
      </c>
      <c r="C8" s="12" t="s">
        <v>381</v>
      </c>
      <c r="D8" s="2" t="s">
        <v>382</v>
      </c>
      <c r="E8" s="2" t="s">
        <v>383</v>
      </c>
    </row>
    <row r="9" spans="1:5" x14ac:dyDescent="0.2">
      <c r="A9" s="11">
        <v>8</v>
      </c>
      <c r="B9" s="2" t="s">
        <v>384</v>
      </c>
      <c r="C9" s="12" t="s">
        <v>385</v>
      </c>
      <c r="D9" s="2" t="s">
        <v>386</v>
      </c>
      <c r="E9" s="2" t="s">
        <v>387</v>
      </c>
    </row>
    <row r="10" spans="1:5" x14ac:dyDescent="0.2">
      <c r="A10" s="11">
        <v>9</v>
      </c>
      <c r="B10" s="2" t="s">
        <v>360</v>
      </c>
      <c r="C10" s="12" t="s">
        <v>388</v>
      </c>
      <c r="D10" s="2" t="s">
        <v>368</v>
      </c>
      <c r="E10" s="2" t="s">
        <v>389</v>
      </c>
    </row>
    <row r="11" spans="1:5" x14ac:dyDescent="0.2">
      <c r="A11" s="11">
        <v>10</v>
      </c>
      <c r="B11" s="2" t="s">
        <v>390</v>
      </c>
      <c r="C11" s="12" t="s">
        <v>391</v>
      </c>
      <c r="D11" s="2" t="s">
        <v>386</v>
      </c>
      <c r="E11" s="2" t="s">
        <v>392</v>
      </c>
    </row>
    <row r="12" spans="1:5" x14ac:dyDescent="0.2">
      <c r="A12" s="11"/>
      <c r="C12" s="12"/>
    </row>
    <row r="13" spans="1:5" x14ac:dyDescent="0.2">
      <c r="A13" s="11"/>
      <c r="C13" s="12"/>
    </row>
    <row r="14" spans="1:5" x14ac:dyDescent="0.2">
      <c r="A14" s="11"/>
      <c r="C14" s="12"/>
    </row>
    <row r="15" spans="1:5" x14ac:dyDescent="0.2">
      <c r="A15" s="11"/>
      <c r="C15" s="12"/>
    </row>
    <row r="16" spans="1:5" x14ac:dyDescent="0.2">
      <c r="A16" s="11"/>
      <c r="C16" s="12"/>
    </row>
    <row r="17" spans="1:3" x14ac:dyDescent="0.2">
      <c r="A17" s="11"/>
      <c r="C17" s="12"/>
    </row>
    <row r="18" spans="1:3" x14ac:dyDescent="0.2">
      <c r="A18" s="11"/>
      <c r="C18" s="12"/>
    </row>
    <row r="19" spans="1:3" x14ac:dyDescent="0.2">
      <c r="A19" s="11"/>
      <c r="C19" s="12"/>
    </row>
    <row r="20" spans="1:3" x14ac:dyDescent="0.2">
      <c r="A20" s="11"/>
      <c r="C20" s="12"/>
    </row>
    <row r="21" spans="1:3" ht="15.75" customHeight="1" x14ac:dyDescent="0.2">
      <c r="A21" s="11"/>
      <c r="C21" s="12"/>
    </row>
    <row r="22" spans="1:3" ht="15.75" customHeight="1" x14ac:dyDescent="0.2">
      <c r="A22" s="11"/>
      <c r="C22" s="12"/>
    </row>
    <row r="23" spans="1:3" ht="15.75" customHeight="1" x14ac:dyDescent="0.2">
      <c r="A23" s="11"/>
      <c r="C23" s="12"/>
    </row>
    <row r="24" spans="1:3" ht="15.75" customHeight="1" x14ac:dyDescent="0.2">
      <c r="A24" s="11"/>
      <c r="C24" s="12"/>
    </row>
    <row r="25" spans="1:3" ht="15.75" customHeight="1" x14ac:dyDescent="0.2">
      <c r="A25" s="11"/>
      <c r="C25" s="12"/>
    </row>
    <row r="26" spans="1:3" ht="15.75" customHeight="1" x14ac:dyDescent="0.2">
      <c r="C26" s="12"/>
    </row>
    <row r="27" spans="1:3" ht="15.75" customHeight="1" x14ac:dyDescent="0.2">
      <c r="C27" s="12"/>
    </row>
    <row r="28" spans="1:3" ht="15.75" customHeight="1" x14ac:dyDescent="0.2">
      <c r="C28" s="12"/>
    </row>
    <row r="29" spans="1:3" ht="15.75" customHeight="1" x14ac:dyDescent="0.2">
      <c r="C29" s="12"/>
    </row>
    <row r="30" spans="1:3" ht="15.75" customHeight="1" x14ac:dyDescent="0.2">
      <c r="C30" s="12"/>
    </row>
    <row r="31" spans="1:3" ht="15.75" customHeight="1" x14ac:dyDescent="0.2">
      <c r="C31" s="12"/>
    </row>
    <row r="32" spans="1:3" ht="15.75" customHeight="1" x14ac:dyDescent="0.2">
      <c r="C32" s="12"/>
    </row>
    <row r="33" spans="3:3" ht="15.75" customHeight="1" x14ac:dyDescent="0.2">
      <c r="C33" s="12"/>
    </row>
    <row r="34" spans="3:3" ht="15.75" customHeight="1" x14ac:dyDescent="0.2">
      <c r="C34" s="12"/>
    </row>
    <row r="35" spans="3:3" ht="15.75" customHeight="1" x14ac:dyDescent="0.2">
      <c r="C35" s="12"/>
    </row>
    <row r="36" spans="3:3" ht="15.75" customHeight="1" x14ac:dyDescent="0.2">
      <c r="C36" s="12"/>
    </row>
    <row r="37" spans="3:3" ht="15.75" customHeight="1" x14ac:dyDescent="0.2">
      <c r="C37" s="12"/>
    </row>
    <row r="38" spans="3:3" ht="15.75" customHeight="1" x14ac:dyDescent="0.2">
      <c r="C38" s="12"/>
    </row>
    <row r="39" spans="3:3" ht="15.75" customHeight="1" x14ac:dyDescent="0.2">
      <c r="C39" s="12"/>
    </row>
    <row r="40" spans="3:3" ht="15.75" customHeight="1" x14ac:dyDescent="0.2">
      <c r="C40" s="12"/>
    </row>
    <row r="41" spans="3:3" ht="15.75" customHeight="1" x14ac:dyDescent="0.2">
      <c r="C41" s="12"/>
    </row>
    <row r="42" spans="3:3" ht="15.75" customHeight="1" x14ac:dyDescent="0.2">
      <c r="C42" s="12"/>
    </row>
    <row r="43" spans="3:3" ht="15.75" customHeight="1" x14ac:dyDescent="0.2">
      <c r="C43" s="12"/>
    </row>
    <row r="44" spans="3:3" ht="15.75" customHeight="1" x14ac:dyDescent="0.2">
      <c r="C44" s="12"/>
    </row>
    <row r="45" spans="3:3" ht="15.75" customHeight="1" x14ac:dyDescent="0.2">
      <c r="C45" s="12"/>
    </row>
    <row r="46" spans="3:3" ht="15.75" customHeight="1" x14ac:dyDescent="0.2">
      <c r="C46" s="12"/>
    </row>
    <row r="47" spans="3:3" ht="15.75" customHeight="1" x14ac:dyDescent="0.2">
      <c r="C47" s="12"/>
    </row>
    <row r="48" spans="3:3" ht="15.75" customHeight="1" x14ac:dyDescent="0.2">
      <c r="C48" s="12"/>
    </row>
    <row r="49" spans="3:3" ht="15.75" customHeight="1" x14ac:dyDescent="0.2">
      <c r="C49" s="12"/>
    </row>
    <row r="50" spans="3:3" ht="15.75" customHeight="1" x14ac:dyDescent="0.2">
      <c r="C50" s="12"/>
    </row>
    <row r="51" spans="3:3" ht="15.75" customHeight="1" x14ac:dyDescent="0.2">
      <c r="C51" s="12"/>
    </row>
    <row r="52" spans="3:3" ht="15.75" customHeight="1" x14ac:dyDescent="0.2">
      <c r="C52" s="12"/>
    </row>
    <row r="53" spans="3:3" ht="15.75" customHeight="1" x14ac:dyDescent="0.2">
      <c r="C53" s="12"/>
    </row>
    <row r="54" spans="3:3" ht="15.75" customHeight="1" x14ac:dyDescent="0.2">
      <c r="C54" s="12"/>
    </row>
    <row r="55" spans="3:3" ht="15.75" customHeight="1" x14ac:dyDescent="0.2">
      <c r="C55" s="12"/>
    </row>
    <row r="56" spans="3:3" ht="15.75" customHeight="1" x14ac:dyDescent="0.2">
      <c r="C56" s="12"/>
    </row>
    <row r="57" spans="3:3" ht="15.75" customHeight="1" x14ac:dyDescent="0.2">
      <c r="C57" s="12"/>
    </row>
    <row r="58" spans="3:3" ht="15.75" customHeight="1" x14ac:dyDescent="0.2">
      <c r="C58" s="12"/>
    </row>
    <row r="59" spans="3:3" ht="15.75" customHeight="1" x14ac:dyDescent="0.2">
      <c r="C59" s="12"/>
    </row>
    <row r="60" spans="3:3" ht="15.75" customHeight="1" x14ac:dyDescent="0.2">
      <c r="C60" s="12"/>
    </row>
    <row r="61" spans="3:3" ht="15.75" customHeight="1" x14ac:dyDescent="0.2">
      <c r="C61" s="12"/>
    </row>
    <row r="62" spans="3:3" ht="15.75" customHeight="1" x14ac:dyDescent="0.2">
      <c r="C62" s="12"/>
    </row>
    <row r="63" spans="3:3" ht="15.75" customHeight="1" x14ac:dyDescent="0.2">
      <c r="C63" s="12"/>
    </row>
    <row r="64" spans="3:3" ht="15.75" customHeight="1" x14ac:dyDescent="0.2">
      <c r="C64" s="12"/>
    </row>
    <row r="65" spans="3:3" ht="15.75" customHeight="1" x14ac:dyDescent="0.2">
      <c r="C65" s="12"/>
    </row>
    <row r="66" spans="3:3" ht="15.75" customHeight="1" x14ac:dyDescent="0.2">
      <c r="C66" s="12"/>
    </row>
    <row r="67" spans="3:3" ht="15.75" customHeight="1" x14ac:dyDescent="0.2">
      <c r="C67" s="12"/>
    </row>
    <row r="68" spans="3:3" ht="15.75" customHeight="1" x14ac:dyDescent="0.2">
      <c r="C68" s="12"/>
    </row>
    <row r="69" spans="3:3" ht="15.75" customHeight="1" x14ac:dyDescent="0.2">
      <c r="C69" s="12"/>
    </row>
    <row r="70" spans="3:3" ht="15.75" customHeight="1" x14ac:dyDescent="0.2">
      <c r="C70" s="12"/>
    </row>
    <row r="71" spans="3:3" ht="15.75" customHeight="1" x14ac:dyDescent="0.2">
      <c r="C71" s="12"/>
    </row>
    <row r="72" spans="3:3" ht="15.75" customHeight="1" x14ac:dyDescent="0.2">
      <c r="C72" s="12"/>
    </row>
    <row r="73" spans="3:3" ht="15.75" customHeight="1" x14ac:dyDescent="0.2">
      <c r="C73" s="12"/>
    </row>
    <row r="74" spans="3:3" ht="15.75" customHeight="1" x14ac:dyDescent="0.2">
      <c r="C74" s="12"/>
    </row>
    <row r="75" spans="3:3" ht="15.75" customHeight="1" x14ac:dyDescent="0.2">
      <c r="C75" s="12"/>
    </row>
    <row r="76" spans="3:3" ht="15.75" customHeight="1" x14ac:dyDescent="0.2">
      <c r="C76" s="12"/>
    </row>
    <row r="77" spans="3:3" ht="15.75" customHeight="1" x14ac:dyDescent="0.2">
      <c r="C77" s="12"/>
    </row>
    <row r="78" spans="3:3" ht="15.75" customHeight="1" x14ac:dyDescent="0.2">
      <c r="C78" s="12"/>
    </row>
    <row r="79" spans="3:3" ht="15.75" customHeight="1" x14ac:dyDescent="0.2">
      <c r="C79" s="12"/>
    </row>
    <row r="80" spans="3:3" ht="15.75" customHeight="1" x14ac:dyDescent="0.2">
      <c r="C80" s="12"/>
    </row>
    <row r="81" spans="3:3" ht="15.75" customHeight="1" x14ac:dyDescent="0.2">
      <c r="C81" s="12"/>
    </row>
    <row r="82" spans="3:3" ht="15.75" customHeight="1" x14ac:dyDescent="0.2">
      <c r="C82" s="12"/>
    </row>
    <row r="83" spans="3:3" ht="15.75" customHeight="1" x14ac:dyDescent="0.2">
      <c r="C83" s="12"/>
    </row>
    <row r="84" spans="3:3" ht="15.75" customHeight="1" x14ac:dyDescent="0.2">
      <c r="C84" s="12"/>
    </row>
    <row r="85" spans="3:3" ht="15.75" customHeight="1" x14ac:dyDescent="0.2">
      <c r="C85" s="12"/>
    </row>
    <row r="86" spans="3:3" ht="15.75" customHeight="1" x14ac:dyDescent="0.2">
      <c r="C86" s="12"/>
    </row>
    <row r="87" spans="3:3" ht="15.75" customHeight="1" x14ac:dyDescent="0.2">
      <c r="C87" s="12"/>
    </row>
    <row r="88" spans="3:3" ht="15.75" customHeight="1" x14ac:dyDescent="0.2">
      <c r="C88" s="12"/>
    </row>
    <row r="89" spans="3:3" ht="15.75" customHeight="1" x14ac:dyDescent="0.2">
      <c r="C89" s="12"/>
    </row>
    <row r="90" spans="3:3" ht="15.75" customHeight="1" x14ac:dyDescent="0.2">
      <c r="C90" s="12"/>
    </row>
    <row r="91" spans="3:3" ht="15.75" customHeight="1" x14ac:dyDescent="0.2">
      <c r="C91" s="12"/>
    </row>
    <row r="92" spans="3:3" ht="15.75" customHeight="1" x14ac:dyDescent="0.2">
      <c r="C92" s="12"/>
    </row>
    <row r="93" spans="3:3" ht="15.75" customHeight="1" x14ac:dyDescent="0.2">
      <c r="C93" s="12"/>
    </row>
    <row r="94" spans="3:3" ht="15.75" customHeight="1" x14ac:dyDescent="0.2">
      <c r="C94" s="12"/>
    </row>
    <row r="95" spans="3:3" ht="15.75" customHeight="1" x14ac:dyDescent="0.2">
      <c r="C95" s="12"/>
    </row>
    <row r="96" spans="3:3" ht="15.75" customHeight="1" x14ac:dyDescent="0.2">
      <c r="C96" s="12"/>
    </row>
    <row r="97" spans="3:3" ht="15.75" customHeight="1" x14ac:dyDescent="0.2">
      <c r="C97" s="12"/>
    </row>
    <row r="98" spans="3:3" ht="15.75" customHeight="1" x14ac:dyDescent="0.2">
      <c r="C98" s="12"/>
    </row>
    <row r="99" spans="3:3" ht="15.75" customHeight="1" x14ac:dyDescent="0.2">
      <c r="C99" s="12"/>
    </row>
    <row r="100" spans="3:3" ht="15.75" customHeight="1" x14ac:dyDescent="0.2">
      <c r="C100" s="12"/>
    </row>
    <row r="101" spans="3:3" ht="15.75" customHeight="1" x14ac:dyDescent="0.2">
      <c r="C101" s="12"/>
    </row>
    <row r="102" spans="3:3" ht="15.75" customHeight="1" x14ac:dyDescent="0.2">
      <c r="C102" s="12"/>
    </row>
    <row r="103" spans="3:3" ht="15.75" customHeight="1" x14ac:dyDescent="0.2">
      <c r="C103" s="12"/>
    </row>
    <row r="104" spans="3:3" ht="15.75" customHeight="1" x14ac:dyDescent="0.2">
      <c r="C104" s="12"/>
    </row>
    <row r="105" spans="3:3" ht="15.75" customHeight="1" x14ac:dyDescent="0.2">
      <c r="C105" s="12"/>
    </row>
    <row r="106" spans="3:3" ht="15.75" customHeight="1" x14ac:dyDescent="0.2">
      <c r="C106" s="12"/>
    </row>
    <row r="107" spans="3:3" ht="15.75" customHeight="1" x14ac:dyDescent="0.2">
      <c r="C107" s="12"/>
    </row>
    <row r="108" spans="3:3" ht="15.75" customHeight="1" x14ac:dyDescent="0.2">
      <c r="C108" s="12"/>
    </row>
    <row r="109" spans="3:3" ht="15.75" customHeight="1" x14ac:dyDescent="0.2">
      <c r="C109" s="12"/>
    </row>
    <row r="110" spans="3:3" ht="15.75" customHeight="1" x14ac:dyDescent="0.2">
      <c r="C110" s="12"/>
    </row>
    <row r="111" spans="3:3" ht="15.75" customHeight="1" x14ac:dyDescent="0.2">
      <c r="C111" s="12"/>
    </row>
    <row r="112" spans="3:3" ht="15.75" customHeight="1" x14ac:dyDescent="0.2">
      <c r="C112" s="12"/>
    </row>
    <row r="113" spans="3:3" ht="15.75" customHeight="1" x14ac:dyDescent="0.2">
      <c r="C113" s="12"/>
    </row>
    <row r="114" spans="3:3" ht="15.75" customHeight="1" x14ac:dyDescent="0.2">
      <c r="C114" s="12"/>
    </row>
    <row r="115" spans="3:3" ht="15.75" customHeight="1" x14ac:dyDescent="0.2">
      <c r="C115" s="12"/>
    </row>
    <row r="116" spans="3:3" ht="15.75" customHeight="1" x14ac:dyDescent="0.2">
      <c r="C116" s="12"/>
    </row>
    <row r="117" spans="3:3" ht="15.75" customHeight="1" x14ac:dyDescent="0.2">
      <c r="C117" s="12"/>
    </row>
    <row r="118" spans="3:3" ht="15.75" customHeight="1" x14ac:dyDescent="0.2">
      <c r="C118" s="12"/>
    </row>
    <row r="119" spans="3:3" ht="15.75" customHeight="1" x14ac:dyDescent="0.2">
      <c r="C119" s="12"/>
    </row>
    <row r="120" spans="3:3" ht="15.75" customHeight="1" x14ac:dyDescent="0.2">
      <c r="C120" s="12"/>
    </row>
    <row r="121" spans="3:3" ht="15.75" customHeight="1" x14ac:dyDescent="0.2">
      <c r="C121" s="12"/>
    </row>
    <row r="122" spans="3:3" ht="15.75" customHeight="1" x14ac:dyDescent="0.2">
      <c r="C122" s="12"/>
    </row>
    <row r="123" spans="3:3" ht="15.75" customHeight="1" x14ac:dyDescent="0.2">
      <c r="C123" s="12"/>
    </row>
    <row r="124" spans="3:3" ht="15.75" customHeight="1" x14ac:dyDescent="0.2">
      <c r="C124" s="12"/>
    </row>
    <row r="125" spans="3:3" ht="15.75" customHeight="1" x14ac:dyDescent="0.2">
      <c r="C125" s="12"/>
    </row>
    <row r="126" spans="3:3" ht="15.75" customHeight="1" x14ac:dyDescent="0.2">
      <c r="C126" s="12"/>
    </row>
    <row r="127" spans="3:3" ht="15.75" customHeight="1" x14ac:dyDescent="0.2">
      <c r="C127" s="12"/>
    </row>
    <row r="128" spans="3:3" ht="15.75" customHeight="1" x14ac:dyDescent="0.2">
      <c r="C128" s="12"/>
    </row>
    <row r="129" spans="3:3" ht="15.75" customHeight="1" x14ac:dyDescent="0.2">
      <c r="C129" s="12"/>
    </row>
    <row r="130" spans="3:3" ht="15.75" customHeight="1" x14ac:dyDescent="0.2">
      <c r="C130" s="12"/>
    </row>
    <row r="131" spans="3:3" ht="15.75" customHeight="1" x14ac:dyDescent="0.2">
      <c r="C131" s="12"/>
    </row>
    <row r="132" spans="3:3" ht="15.75" customHeight="1" x14ac:dyDescent="0.2">
      <c r="C132" s="12"/>
    </row>
    <row r="133" spans="3:3" ht="15.75" customHeight="1" x14ac:dyDescent="0.2">
      <c r="C133" s="12"/>
    </row>
    <row r="134" spans="3:3" ht="15.75" customHeight="1" x14ac:dyDescent="0.2">
      <c r="C134" s="12"/>
    </row>
    <row r="135" spans="3:3" ht="15.75" customHeight="1" x14ac:dyDescent="0.2">
      <c r="C135" s="12"/>
    </row>
    <row r="136" spans="3:3" ht="15.75" customHeight="1" x14ac:dyDescent="0.2">
      <c r="C136" s="12"/>
    </row>
    <row r="137" spans="3:3" ht="15.75" customHeight="1" x14ac:dyDescent="0.2">
      <c r="C137" s="12"/>
    </row>
    <row r="138" spans="3:3" ht="15.75" customHeight="1" x14ac:dyDescent="0.2">
      <c r="C138" s="12"/>
    </row>
    <row r="139" spans="3:3" ht="15.75" customHeight="1" x14ac:dyDescent="0.2">
      <c r="C139" s="12"/>
    </row>
    <row r="140" spans="3:3" ht="15.75" customHeight="1" x14ac:dyDescent="0.2">
      <c r="C140" s="12"/>
    </row>
    <row r="141" spans="3:3" ht="15.75" customHeight="1" x14ac:dyDescent="0.2">
      <c r="C141" s="12"/>
    </row>
    <row r="142" spans="3:3" ht="15.75" customHeight="1" x14ac:dyDescent="0.2">
      <c r="C142" s="12"/>
    </row>
    <row r="143" spans="3:3" ht="15.75" customHeight="1" x14ac:dyDescent="0.2">
      <c r="C143" s="12"/>
    </row>
    <row r="144" spans="3:3" ht="15.75" customHeight="1" x14ac:dyDescent="0.2">
      <c r="C144" s="12"/>
    </row>
    <row r="145" spans="3:3" ht="15.75" customHeight="1" x14ac:dyDescent="0.2">
      <c r="C145" s="12"/>
    </row>
    <row r="146" spans="3:3" ht="15.75" customHeight="1" x14ac:dyDescent="0.2">
      <c r="C146" s="12"/>
    </row>
    <row r="147" spans="3:3" ht="15.75" customHeight="1" x14ac:dyDescent="0.2">
      <c r="C147" s="12"/>
    </row>
    <row r="148" spans="3:3" ht="15.75" customHeight="1" x14ac:dyDescent="0.2">
      <c r="C148" s="12"/>
    </row>
    <row r="149" spans="3:3" ht="15.75" customHeight="1" x14ac:dyDescent="0.2">
      <c r="C149" s="12"/>
    </row>
    <row r="150" spans="3:3" ht="15.75" customHeight="1" x14ac:dyDescent="0.2">
      <c r="C150" s="12"/>
    </row>
    <row r="151" spans="3:3" ht="15.75" customHeight="1" x14ac:dyDescent="0.2">
      <c r="C151" s="12"/>
    </row>
    <row r="152" spans="3:3" ht="15.75" customHeight="1" x14ac:dyDescent="0.2">
      <c r="C152" s="12"/>
    </row>
    <row r="153" spans="3:3" ht="15.75" customHeight="1" x14ac:dyDescent="0.2">
      <c r="C153" s="12"/>
    </row>
    <row r="154" spans="3:3" ht="15.75" customHeight="1" x14ac:dyDescent="0.2">
      <c r="C154" s="12"/>
    </row>
    <row r="155" spans="3:3" ht="15.75" customHeight="1" x14ac:dyDescent="0.2">
      <c r="C155" s="12"/>
    </row>
    <row r="156" spans="3:3" ht="15.75" customHeight="1" x14ac:dyDescent="0.2">
      <c r="C156" s="12"/>
    </row>
    <row r="157" spans="3:3" ht="15.75" customHeight="1" x14ac:dyDescent="0.2">
      <c r="C157" s="12"/>
    </row>
    <row r="158" spans="3:3" ht="15.75" customHeight="1" x14ac:dyDescent="0.2">
      <c r="C158" s="12"/>
    </row>
    <row r="159" spans="3:3" ht="15.75" customHeight="1" x14ac:dyDescent="0.2">
      <c r="C159" s="12"/>
    </row>
    <row r="160" spans="3:3" ht="15.75" customHeight="1" x14ac:dyDescent="0.2">
      <c r="C160" s="12"/>
    </row>
    <row r="161" spans="3:3" ht="15.75" customHeight="1" x14ac:dyDescent="0.2">
      <c r="C161" s="12"/>
    </row>
    <row r="162" spans="3:3" ht="15.75" customHeight="1" x14ac:dyDescent="0.2">
      <c r="C162" s="12"/>
    </row>
    <row r="163" spans="3:3" ht="15.75" customHeight="1" x14ac:dyDescent="0.2">
      <c r="C163" s="12"/>
    </row>
    <row r="164" spans="3:3" ht="15.75" customHeight="1" x14ac:dyDescent="0.2">
      <c r="C164" s="12"/>
    </row>
    <row r="165" spans="3:3" ht="15.75" customHeight="1" x14ac:dyDescent="0.2">
      <c r="C165" s="12"/>
    </row>
    <row r="166" spans="3:3" ht="15.75" customHeight="1" x14ac:dyDescent="0.2">
      <c r="C166" s="12"/>
    </row>
    <row r="167" spans="3:3" ht="15.75" customHeight="1" x14ac:dyDescent="0.2">
      <c r="C167" s="12"/>
    </row>
    <row r="168" spans="3:3" ht="15.75" customHeight="1" x14ac:dyDescent="0.2">
      <c r="C168" s="12"/>
    </row>
    <row r="169" spans="3:3" ht="15.75" customHeight="1" x14ac:dyDescent="0.2">
      <c r="C169" s="12"/>
    </row>
    <row r="170" spans="3:3" ht="15.75" customHeight="1" x14ac:dyDescent="0.2">
      <c r="C170" s="12"/>
    </row>
    <row r="171" spans="3:3" ht="15.75" customHeight="1" x14ac:dyDescent="0.2">
      <c r="C171" s="12"/>
    </row>
    <row r="172" spans="3:3" ht="15.75" customHeight="1" x14ac:dyDescent="0.2">
      <c r="C172" s="12"/>
    </row>
    <row r="173" spans="3:3" ht="15.75" customHeight="1" x14ac:dyDescent="0.2">
      <c r="C173" s="12"/>
    </row>
    <row r="174" spans="3:3" ht="15.75" customHeight="1" x14ac:dyDescent="0.2">
      <c r="C174" s="12"/>
    </row>
    <row r="175" spans="3:3" ht="15.75" customHeight="1" x14ac:dyDescent="0.2">
      <c r="C175" s="12"/>
    </row>
    <row r="176" spans="3:3" ht="15.75" customHeight="1" x14ac:dyDescent="0.2">
      <c r="C176" s="12"/>
    </row>
    <row r="177" spans="3:3" ht="15.75" customHeight="1" x14ac:dyDescent="0.2">
      <c r="C177" s="12"/>
    </row>
    <row r="178" spans="3:3" ht="15.75" customHeight="1" x14ac:dyDescent="0.2">
      <c r="C178" s="12"/>
    </row>
    <row r="179" spans="3:3" ht="15.75" customHeight="1" x14ac:dyDescent="0.2">
      <c r="C179" s="12"/>
    </row>
    <row r="180" spans="3:3" ht="15.75" customHeight="1" x14ac:dyDescent="0.2">
      <c r="C180" s="12"/>
    </row>
    <row r="181" spans="3:3" ht="15.75" customHeight="1" x14ac:dyDescent="0.2">
      <c r="C181" s="12"/>
    </row>
    <row r="182" spans="3:3" ht="15.75" customHeight="1" x14ac:dyDescent="0.2">
      <c r="C182" s="12"/>
    </row>
    <row r="183" spans="3:3" ht="15.75" customHeight="1" x14ac:dyDescent="0.2">
      <c r="C183" s="12"/>
    </row>
    <row r="184" spans="3:3" ht="15.75" customHeight="1" x14ac:dyDescent="0.2">
      <c r="C184" s="12"/>
    </row>
    <row r="185" spans="3:3" ht="15.75" customHeight="1" x14ac:dyDescent="0.2">
      <c r="C185" s="12"/>
    </row>
    <row r="186" spans="3:3" ht="15.75" customHeight="1" x14ac:dyDescent="0.2">
      <c r="C186" s="12"/>
    </row>
    <row r="187" spans="3:3" ht="15.75" customHeight="1" x14ac:dyDescent="0.2">
      <c r="C187" s="12"/>
    </row>
    <row r="188" spans="3:3" ht="15.75" customHeight="1" x14ac:dyDescent="0.2">
      <c r="C188" s="12"/>
    </row>
    <row r="189" spans="3:3" ht="15.75" customHeight="1" x14ac:dyDescent="0.2">
      <c r="C189" s="12"/>
    </row>
    <row r="190" spans="3:3" ht="15.75" customHeight="1" x14ac:dyDescent="0.2">
      <c r="C190" s="12"/>
    </row>
    <row r="191" spans="3:3" ht="15.75" customHeight="1" x14ac:dyDescent="0.2">
      <c r="C191" s="12"/>
    </row>
    <row r="192" spans="3:3" ht="15.75" customHeight="1" x14ac:dyDescent="0.2">
      <c r="C192" s="12"/>
    </row>
    <row r="193" spans="3:3" ht="15.75" customHeight="1" x14ac:dyDescent="0.2">
      <c r="C193" s="12"/>
    </row>
    <row r="194" spans="3:3" ht="15.75" customHeight="1" x14ac:dyDescent="0.2">
      <c r="C194" s="12"/>
    </row>
    <row r="195" spans="3:3" ht="15.75" customHeight="1" x14ac:dyDescent="0.2">
      <c r="C195" s="12"/>
    </row>
    <row r="196" spans="3:3" ht="15.75" customHeight="1" x14ac:dyDescent="0.2">
      <c r="C196" s="12"/>
    </row>
    <row r="197" spans="3:3" ht="15.75" customHeight="1" x14ac:dyDescent="0.2">
      <c r="C197" s="12"/>
    </row>
    <row r="198" spans="3:3" ht="15.75" customHeight="1" x14ac:dyDescent="0.2">
      <c r="C198" s="12"/>
    </row>
    <row r="199" spans="3:3" ht="15.75" customHeight="1" x14ac:dyDescent="0.2">
      <c r="C199" s="12"/>
    </row>
    <row r="200" spans="3:3" ht="15.75" customHeight="1" x14ac:dyDescent="0.2">
      <c r="C200" s="12"/>
    </row>
    <row r="201" spans="3:3" ht="15.75" customHeight="1" x14ac:dyDescent="0.2">
      <c r="C201" s="12"/>
    </row>
    <row r="202" spans="3:3" ht="15.75" customHeight="1" x14ac:dyDescent="0.2">
      <c r="C202" s="12"/>
    </row>
    <row r="203" spans="3:3" ht="15.75" customHeight="1" x14ac:dyDescent="0.2">
      <c r="C203" s="12"/>
    </row>
    <row r="204" spans="3:3" ht="15.75" customHeight="1" x14ac:dyDescent="0.2">
      <c r="C204" s="12"/>
    </row>
    <row r="205" spans="3:3" ht="15.75" customHeight="1" x14ac:dyDescent="0.2">
      <c r="C205" s="12"/>
    </row>
    <row r="206" spans="3:3" ht="15.75" customHeight="1" x14ac:dyDescent="0.2">
      <c r="C206" s="12"/>
    </row>
    <row r="207" spans="3:3" ht="15.75" customHeight="1" x14ac:dyDescent="0.2">
      <c r="C207" s="12"/>
    </row>
    <row r="208" spans="3:3" ht="15.75" customHeight="1" x14ac:dyDescent="0.2">
      <c r="C208" s="12"/>
    </row>
    <row r="209" spans="3:3" ht="15.75" customHeight="1" x14ac:dyDescent="0.2">
      <c r="C209" s="12"/>
    </row>
    <row r="210" spans="3:3" ht="15.75" customHeight="1" x14ac:dyDescent="0.2">
      <c r="C210" s="12"/>
    </row>
    <row r="211" spans="3:3" ht="15.75" customHeight="1" x14ac:dyDescent="0.2">
      <c r="C211" s="12"/>
    </row>
    <row r="212" spans="3:3" ht="15.75" customHeight="1" x14ac:dyDescent="0.2">
      <c r="C212" s="12"/>
    </row>
    <row r="213" spans="3:3" ht="15.75" customHeight="1" x14ac:dyDescent="0.2">
      <c r="C213" s="12"/>
    </row>
    <row r="214" spans="3:3" ht="15.75" customHeight="1" x14ac:dyDescent="0.2">
      <c r="C214" s="12"/>
    </row>
    <row r="215" spans="3:3" ht="15.75" customHeight="1" x14ac:dyDescent="0.2">
      <c r="C215" s="12"/>
    </row>
    <row r="216" spans="3:3" ht="15.75" customHeight="1" x14ac:dyDescent="0.2">
      <c r="C216" s="12"/>
    </row>
    <row r="217" spans="3:3" ht="15.75" customHeight="1" x14ac:dyDescent="0.2">
      <c r="C217" s="12"/>
    </row>
    <row r="218" spans="3:3" ht="15.75" customHeight="1" x14ac:dyDescent="0.2">
      <c r="C218" s="12"/>
    </row>
    <row r="219" spans="3:3" ht="15.75" customHeight="1" x14ac:dyDescent="0.2">
      <c r="C219" s="12"/>
    </row>
    <row r="220" spans="3:3" ht="15.75" customHeight="1" x14ac:dyDescent="0.2">
      <c r="C220" s="12"/>
    </row>
    <row r="221" spans="3:3" ht="15.75" customHeight="1" x14ac:dyDescent="0.2">
      <c r="C221" s="12"/>
    </row>
    <row r="222" spans="3:3" ht="15.75" customHeight="1" x14ac:dyDescent="0.2">
      <c r="C222" s="12"/>
    </row>
    <row r="223" spans="3:3" ht="15.75" customHeight="1" x14ac:dyDescent="0.2">
      <c r="C223" s="12"/>
    </row>
    <row r="224" spans="3:3" ht="15.75" customHeight="1" x14ac:dyDescent="0.2">
      <c r="C224" s="12"/>
    </row>
    <row r="225" spans="3:3" ht="15.75" customHeight="1" x14ac:dyDescent="0.2">
      <c r="C225" s="12"/>
    </row>
    <row r="226" spans="3:3" ht="15.75" customHeight="1" x14ac:dyDescent="0.2">
      <c r="C226" s="12"/>
    </row>
    <row r="227" spans="3:3" ht="15.75" customHeight="1" x14ac:dyDescent="0.2">
      <c r="C227" s="12"/>
    </row>
    <row r="228" spans="3:3" ht="15.75" customHeight="1" x14ac:dyDescent="0.2">
      <c r="C228" s="12"/>
    </row>
    <row r="229" spans="3:3" ht="15.75" customHeight="1" x14ac:dyDescent="0.2">
      <c r="C229" s="12"/>
    </row>
    <row r="230" spans="3:3" ht="15.75" customHeight="1" x14ac:dyDescent="0.2">
      <c r="C230" s="12"/>
    </row>
    <row r="231" spans="3:3" ht="15.75" customHeight="1" x14ac:dyDescent="0.2">
      <c r="C231" s="12"/>
    </row>
    <row r="232" spans="3:3" ht="15.75" customHeight="1" x14ac:dyDescent="0.2">
      <c r="C232" s="12"/>
    </row>
    <row r="233" spans="3:3" ht="15.75" customHeight="1" x14ac:dyDescent="0.2">
      <c r="C233" s="12"/>
    </row>
    <row r="234" spans="3:3" ht="15.75" customHeight="1" x14ac:dyDescent="0.2">
      <c r="C234" s="12"/>
    </row>
    <row r="235" spans="3:3" ht="15.75" customHeight="1" x14ac:dyDescent="0.2">
      <c r="C235" s="12"/>
    </row>
    <row r="236" spans="3:3" ht="15.75" customHeight="1" x14ac:dyDescent="0.2">
      <c r="C236" s="12"/>
    </row>
    <row r="237" spans="3:3" ht="15.75" customHeight="1" x14ac:dyDescent="0.2">
      <c r="C237" s="12"/>
    </row>
    <row r="238" spans="3:3" ht="15.75" customHeight="1" x14ac:dyDescent="0.2">
      <c r="C238" s="12"/>
    </row>
    <row r="239" spans="3:3" ht="15.75" customHeight="1" x14ac:dyDescent="0.2">
      <c r="C239" s="12"/>
    </row>
    <row r="240" spans="3:3" ht="15.75" customHeight="1" x14ac:dyDescent="0.2">
      <c r="C240" s="12"/>
    </row>
    <row r="241" spans="3:3" ht="15.75" customHeight="1" x14ac:dyDescent="0.2">
      <c r="C241" s="12"/>
    </row>
    <row r="242" spans="3:3" ht="15.75" customHeight="1" x14ac:dyDescent="0.2">
      <c r="C242" s="12"/>
    </row>
    <row r="243" spans="3:3" ht="15.75" customHeight="1" x14ac:dyDescent="0.2">
      <c r="C243" s="12"/>
    </row>
    <row r="244" spans="3:3" ht="15.75" customHeight="1" x14ac:dyDescent="0.2">
      <c r="C244" s="12"/>
    </row>
    <row r="245" spans="3:3" ht="15.75" customHeight="1" x14ac:dyDescent="0.2">
      <c r="C245" s="12"/>
    </row>
    <row r="246" spans="3:3" ht="15.75" customHeight="1" x14ac:dyDescent="0.2">
      <c r="C246" s="12"/>
    </row>
    <row r="247" spans="3:3" ht="15.75" customHeight="1" x14ac:dyDescent="0.2">
      <c r="C247" s="12"/>
    </row>
    <row r="248" spans="3:3" ht="15.75" customHeight="1" x14ac:dyDescent="0.2">
      <c r="C248" s="12"/>
    </row>
    <row r="249" spans="3:3" ht="15.75" customHeight="1" x14ac:dyDescent="0.2">
      <c r="C249" s="12"/>
    </row>
    <row r="250" spans="3:3" ht="15.75" customHeight="1" x14ac:dyDescent="0.2">
      <c r="C250" s="12"/>
    </row>
    <row r="251" spans="3:3" ht="15.75" customHeight="1" x14ac:dyDescent="0.2">
      <c r="C251" s="12"/>
    </row>
    <row r="252" spans="3:3" ht="15.75" customHeight="1" x14ac:dyDescent="0.2">
      <c r="C252" s="12"/>
    </row>
    <row r="253" spans="3:3" ht="15.75" customHeight="1" x14ac:dyDescent="0.2">
      <c r="C253" s="12"/>
    </row>
    <row r="254" spans="3:3" ht="15.75" customHeight="1" x14ac:dyDescent="0.2">
      <c r="C254" s="12"/>
    </row>
    <row r="255" spans="3:3" ht="15.75" customHeight="1" x14ac:dyDescent="0.2">
      <c r="C255" s="12"/>
    </row>
    <row r="256" spans="3:3" ht="15.75" customHeight="1" x14ac:dyDescent="0.2">
      <c r="C256" s="12"/>
    </row>
    <row r="257" spans="3:3" ht="15.75" customHeight="1" x14ac:dyDescent="0.2">
      <c r="C257" s="12"/>
    </row>
    <row r="258" spans="3:3" ht="15.75" customHeight="1" x14ac:dyDescent="0.2">
      <c r="C258" s="12"/>
    </row>
    <row r="259" spans="3:3" ht="15.75" customHeight="1" x14ac:dyDescent="0.2">
      <c r="C259" s="12"/>
    </row>
    <row r="260" spans="3:3" ht="15.75" customHeight="1" x14ac:dyDescent="0.2">
      <c r="C260" s="12"/>
    </row>
    <row r="261" spans="3:3" ht="15.75" customHeight="1" x14ac:dyDescent="0.2">
      <c r="C261" s="12"/>
    </row>
    <row r="262" spans="3:3" ht="15.75" customHeight="1" x14ac:dyDescent="0.2">
      <c r="C262" s="12"/>
    </row>
    <row r="263" spans="3:3" ht="15.75" customHeight="1" x14ac:dyDescent="0.2">
      <c r="C263" s="12"/>
    </row>
    <row r="264" spans="3:3" ht="15.75" customHeight="1" x14ac:dyDescent="0.2">
      <c r="C264" s="12"/>
    </row>
    <row r="265" spans="3:3" ht="15.75" customHeight="1" x14ac:dyDescent="0.2">
      <c r="C265" s="12"/>
    </row>
    <row r="266" spans="3:3" ht="15.75" customHeight="1" x14ac:dyDescent="0.2">
      <c r="C266" s="12"/>
    </row>
    <row r="267" spans="3:3" ht="15.75" customHeight="1" x14ac:dyDescent="0.2">
      <c r="C267" s="12"/>
    </row>
    <row r="268" spans="3:3" ht="15.75" customHeight="1" x14ac:dyDescent="0.2">
      <c r="C268" s="12"/>
    </row>
    <row r="269" spans="3:3" ht="15.75" customHeight="1" x14ac:dyDescent="0.2">
      <c r="C269" s="12"/>
    </row>
    <row r="270" spans="3:3" ht="15.75" customHeight="1" x14ac:dyDescent="0.2">
      <c r="C270" s="12"/>
    </row>
    <row r="271" spans="3:3" ht="15.75" customHeight="1" x14ac:dyDescent="0.2">
      <c r="C271" s="12"/>
    </row>
    <row r="272" spans="3:3" ht="15.75" customHeight="1" x14ac:dyDescent="0.2">
      <c r="C272" s="12"/>
    </row>
    <row r="273" spans="3:3" ht="15.75" customHeight="1" x14ac:dyDescent="0.2">
      <c r="C273" s="12"/>
    </row>
    <row r="274" spans="3:3" ht="15.75" customHeight="1" x14ac:dyDescent="0.2">
      <c r="C274" s="12"/>
    </row>
    <row r="275" spans="3:3" ht="15.75" customHeight="1" x14ac:dyDescent="0.2">
      <c r="C275" s="12"/>
    </row>
    <row r="276" spans="3:3" ht="15.75" customHeight="1" x14ac:dyDescent="0.2">
      <c r="C276" s="12"/>
    </row>
    <row r="277" spans="3:3" ht="15.75" customHeight="1" x14ac:dyDescent="0.2">
      <c r="C277" s="12"/>
    </row>
    <row r="278" spans="3:3" ht="15.75" customHeight="1" x14ac:dyDescent="0.2">
      <c r="C278" s="12"/>
    </row>
    <row r="279" spans="3:3" ht="15.75" customHeight="1" x14ac:dyDescent="0.2">
      <c r="C279" s="12"/>
    </row>
    <row r="280" spans="3:3" ht="15.75" customHeight="1" x14ac:dyDescent="0.2">
      <c r="C280" s="12"/>
    </row>
    <row r="281" spans="3:3" ht="15.75" customHeight="1" x14ac:dyDescent="0.2">
      <c r="C281" s="12"/>
    </row>
    <row r="282" spans="3:3" ht="15.75" customHeight="1" x14ac:dyDescent="0.2">
      <c r="C282" s="12"/>
    </row>
    <row r="283" spans="3:3" ht="15.75" customHeight="1" x14ac:dyDescent="0.2">
      <c r="C283" s="12"/>
    </row>
    <row r="284" spans="3:3" ht="15.75" customHeight="1" x14ac:dyDescent="0.2">
      <c r="C284" s="12"/>
    </row>
    <row r="285" spans="3:3" ht="15.75" customHeight="1" x14ac:dyDescent="0.2">
      <c r="C285" s="12"/>
    </row>
    <row r="286" spans="3:3" ht="15.75" customHeight="1" x14ac:dyDescent="0.2">
      <c r="C286" s="12"/>
    </row>
    <row r="287" spans="3:3" ht="15.75" customHeight="1" x14ac:dyDescent="0.2">
      <c r="C287" s="12"/>
    </row>
    <row r="288" spans="3:3" ht="15.75" customHeight="1" x14ac:dyDescent="0.2">
      <c r="C288" s="12"/>
    </row>
    <row r="289" spans="3:3" ht="15.75" customHeight="1" x14ac:dyDescent="0.2">
      <c r="C289" s="12"/>
    </row>
    <row r="290" spans="3:3" ht="15.75" customHeight="1" x14ac:dyDescent="0.2">
      <c r="C290" s="12"/>
    </row>
    <row r="291" spans="3:3" ht="15.75" customHeight="1" x14ac:dyDescent="0.2">
      <c r="C291" s="12"/>
    </row>
    <row r="292" spans="3:3" ht="15.75" customHeight="1" x14ac:dyDescent="0.2">
      <c r="C292" s="12"/>
    </row>
    <row r="293" spans="3:3" ht="15.75" customHeight="1" x14ac:dyDescent="0.2">
      <c r="C293" s="12"/>
    </row>
    <row r="294" spans="3:3" ht="15.75" customHeight="1" x14ac:dyDescent="0.2">
      <c r="C294" s="12"/>
    </row>
    <row r="295" spans="3:3" ht="15.75" customHeight="1" x14ac:dyDescent="0.2">
      <c r="C295" s="12"/>
    </row>
    <row r="296" spans="3:3" ht="15.75" customHeight="1" x14ac:dyDescent="0.2">
      <c r="C296" s="12"/>
    </row>
    <row r="297" spans="3:3" ht="15.75" customHeight="1" x14ac:dyDescent="0.2">
      <c r="C297" s="12"/>
    </row>
    <row r="298" spans="3:3" ht="15.75" customHeight="1" x14ac:dyDescent="0.2">
      <c r="C298" s="12"/>
    </row>
    <row r="299" spans="3:3" ht="15.75" customHeight="1" x14ac:dyDescent="0.2">
      <c r="C299" s="12"/>
    </row>
    <row r="300" spans="3:3" ht="15.75" customHeight="1" x14ac:dyDescent="0.2">
      <c r="C300" s="12"/>
    </row>
    <row r="301" spans="3:3" ht="15.75" customHeight="1" x14ac:dyDescent="0.2">
      <c r="C301" s="12"/>
    </row>
    <row r="302" spans="3:3" ht="15.75" customHeight="1" x14ac:dyDescent="0.2">
      <c r="C302" s="12"/>
    </row>
    <row r="303" spans="3:3" ht="15.75" customHeight="1" x14ac:dyDescent="0.2">
      <c r="C303" s="12"/>
    </row>
    <row r="304" spans="3:3" ht="15.75" customHeight="1" x14ac:dyDescent="0.2">
      <c r="C304" s="12"/>
    </row>
    <row r="305" spans="3:3" ht="15.75" customHeight="1" x14ac:dyDescent="0.2">
      <c r="C305" s="12"/>
    </row>
    <row r="306" spans="3:3" ht="15.75" customHeight="1" x14ac:dyDescent="0.2">
      <c r="C306" s="12"/>
    </row>
    <row r="307" spans="3:3" ht="15.75" customHeight="1" x14ac:dyDescent="0.2">
      <c r="C307" s="12"/>
    </row>
    <row r="308" spans="3:3" ht="15.75" customHeight="1" x14ac:dyDescent="0.2">
      <c r="C308" s="12"/>
    </row>
    <row r="309" spans="3:3" ht="15.75" customHeight="1" x14ac:dyDescent="0.2">
      <c r="C309" s="12"/>
    </row>
    <row r="310" spans="3:3" ht="15.75" customHeight="1" x14ac:dyDescent="0.2">
      <c r="C310" s="12"/>
    </row>
    <row r="311" spans="3:3" ht="15.75" customHeight="1" x14ac:dyDescent="0.2">
      <c r="C311" s="12"/>
    </row>
    <row r="312" spans="3:3" ht="15.75" customHeight="1" x14ac:dyDescent="0.2">
      <c r="C312" s="12"/>
    </row>
    <row r="313" spans="3:3" ht="15.75" customHeight="1" x14ac:dyDescent="0.2">
      <c r="C313" s="12"/>
    </row>
    <row r="314" spans="3:3" ht="15.75" customHeight="1" x14ac:dyDescent="0.2">
      <c r="C314" s="12"/>
    </row>
    <row r="315" spans="3:3" ht="15.75" customHeight="1" x14ac:dyDescent="0.2">
      <c r="C315" s="12"/>
    </row>
    <row r="316" spans="3:3" ht="15.75" customHeight="1" x14ac:dyDescent="0.2">
      <c r="C316" s="12"/>
    </row>
    <row r="317" spans="3:3" ht="15.75" customHeight="1" x14ac:dyDescent="0.2">
      <c r="C317" s="12"/>
    </row>
    <row r="318" spans="3:3" ht="15.75" customHeight="1" x14ac:dyDescent="0.2">
      <c r="C318" s="12"/>
    </row>
    <row r="319" spans="3:3" ht="15.75" customHeight="1" x14ac:dyDescent="0.2">
      <c r="C319" s="12"/>
    </row>
    <row r="320" spans="3:3" ht="15.75" customHeight="1" x14ac:dyDescent="0.2">
      <c r="C320" s="12"/>
    </row>
    <row r="321" spans="3:3" ht="15.75" customHeight="1" x14ac:dyDescent="0.2">
      <c r="C321" s="12"/>
    </row>
    <row r="322" spans="3:3" ht="15.75" customHeight="1" x14ac:dyDescent="0.2">
      <c r="C322" s="12"/>
    </row>
    <row r="323" spans="3:3" ht="15.75" customHeight="1" x14ac:dyDescent="0.2">
      <c r="C323" s="12"/>
    </row>
    <row r="324" spans="3:3" ht="15.75" customHeight="1" x14ac:dyDescent="0.2">
      <c r="C324" s="12"/>
    </row>
    <row r="325" spans="3:3" ht="15.75" customHeight="1" x14ac:dyDescent="0.2">
      <c r="C325" s="12"/>
    </row>
    <row r="326" spans="3:3" ht="15.75" customHeight="1" x14ac:dyDescent="0.2">
      <c r="C326" s="12"/>
    </row>
    <row r="327" spans="3:3" ht="15.75" customHeight="1" x14ac:dyDescent="0.2">
      <c r="C327" s="12"/>
    </row>
    <row r="328" spans="3:3" ht="15.75" customHeight="1" x14ac:dyDescent="0.2">
      <c r="C328" s="12"/>
    </row>
    <row r="329" spans="3:3" ht="15.75" customHeight="1" x14ac:dyDescent="0.2">
      <c r="C329" s="12"/>
    </row>
    <row r="330" spans="3:3" ht="15.75" customHeight="1" x14ac:dyDescent="0.2">
      <c r="C330" s="12"/>
    </row>
    <row r="331" spans="3:3" ht="15.75" customHeight="1" x14ac:dyDescent="0.2">
      <c r="C331" s="12"/>
    </row>
    <row r="332" spans="3:3" ht="15.75" customHeight="1" x14ac:dyDescent="0.2">
      <c r="C332" s="12"/>
    </row>
    <row r="333" spans="3:3" ht="15.75" customHeight="1" x14ac:dyDescent="0.2">
      <c r="C333" s="12"/>
    </row>
    <row r="334" spans="3:3" ht="15.75" customHeight="1" x14ac:dyDescent="0.2">
      <c r="C334" s="12"/>
    </row>
    <row r="335" spans="3:3" ht="15.75" customHeight="1" x14ac:dyDescent="0.2">
      <c r="C335" s="12"/>
    </row>
    <row r="336" spans="3:3" ht="15.75" customHeight="1" x14ac:dyDescent="0.2">
      <c r="C336" s="12"/>
    </row>
    <row r="337" spans="3:3" ht="15.75" customHeight="1" x14ac:dyDescent="0.2">
      <c r="C337" s="12"/>
    </row>
    <row r="338" spans="3:3" ht="15.75" customHeight="1" x14ac:dyDescent="0.2">
      <c r="C338" s="12"/>
    </row>
    <row r="339" spans="3:3" ht="15.75" customHeight="1" x14ac:dyDescent="0.2">
      <c r="C339" s="12"/>
    </row>
    <row r="340" spans="3:3" ht="15.75" customHeight="1" x14ac:dyDescent="0.2">
      <c r="C340" s="12"/>
    </row>
    <row r="341" spans="3:3" ht="15.75" customHeight="1" x14ac:dyDescent="0.2">
      <c r="C341" s="12"/>
    </row>
    <row r="342" spans="3:3" ht="15.75" customHeight="1" x14ac:dyDescent="0.2">
      <c r="C342" s="12"/>
    </row>
    <row r="343" spans="3:3" ht="15.75" customHeight="1" x14ac:dyDescent="0.2">
      <c r="C343" s="12"/>
    </row>
    <row r="344" spans="3:3" ht="15.75" customHeight="1" x14ac:dyDescent="0.2">
      <c r="C344" s="12"/>
    </row>
    <row r="345" spans="3:3" ht="15.75" customHeight="1" x14ac:dyDescent="0.2">
      <c r="C345" s="12"/>
    </row>
    <row r="346" spans="3:3" ht="15.75" customHeight="1" x14ac:dyDescent="0.2">
      <c r="C346" s="12"/>
    </row>
    <row r="347" spans="3:3" ht="15.75" customHeight="1" x14ac:dyDescent="0.2">
      <c r="C347" s="12"/>
    </row>
    <row r="348" spans="3:3" ht="15.75" customHeight="1" x14ac:dyDescent="0.2">
      <c r="C348" s="12"/>
    </row>
    <row r="349" spans="3:3" ht="15.75" customHeight="1" x14ac:dyDescent="0.2">
      <c r="C349" s="12"/>
    </row>
    <row r="350" spans="3:3" ht="15.75" customHeight="1" x14ac:dyDescent="0.2">
      <c r="C350" s="12"/>
    </row>
    <row r="351" spans="3:3" ht="15.75" customHeight="1" x14ac:dyDescent="0.2">
      <c r="C351" s="12"/>
    </row>
    <row r="352" spans="3:3" ht="15.75" customHeight="1" x14ac:dyDescent="0.2">
      <c r="C352" s="12"/>
    </row>
    <row r="353" spans="3:3" ht="15.75" customHeight="1" x14ac:dyDescent="0.2">
      <c r="C353" s="12"/>
    </row>
    <row r="354" spans="3:3" ht="15.75" customHeight="1" x14ac:dyDescent="0.2">
      <c r="C354" s="12"/>
    </row>
    <row r="355" spans="3:3" ht="15.75" customHeight="1" x14ac:dyDescent="0.2">
      <c r="C355" s="12"/>
    </row>
    <row r="356" spans="3:3" ht="15.75" customHeight="1" x14ac:dyDescent="0.2">
      <c r="C356" s="12"/>
    </row>
    <row r="357" spans="3:3" ht="15.75" customHeight="1" x14ac:dyDescent="0.2">
      <c r="C357" s="12"/>
    </row>
    <row r="358" spans="3:3" ht="15.75" customHeight="1" x14ac:dyDescent="0.2">
      <c r="C358" s="12"/>
    </row>
    <row r="359" spans="3:3" ht="15.75" customHeight="1" x14ac:dyDescent="0.2">
      <c r="C359" s="12"/>
    </row>
    <row r="360" spans="3:3" ht="15.75" customHeight="1" x14ac:dyDescent="0.2">
      <c r="C360" s="12"/>
    </row>
    <row r="361" spans="3:3" ht="15.75" customHeight="1" x14ac:dyDescent="0.2">
      <c r="C361" s="12"/>
    </row>
    <row r="362" spans="3:3" ht="15.75" customHeight="1" x14ac:dyDescent="0.2">
      <c r="C362" s="12"/>
    </row>
    <row r="363" spans="3:3" ht="15.75" customHeight="1" x14ac:dyDescent="0.2">
      <c r="C363" s="12"/>
    </row>
    <row r="364" spans="3:3" ht="15.75" customHeight="1" x14ac:dyDescent="0.2">
      <c r="C364" s="12"/>
    </row>
    <row r="365" spans="3:3" ht="15.75" customHeight="1" x14ac:dyDescent="0.2">
      <c r="C365" s="12"/>
    </row>
    <row r="366" spans="3:3" ht="15.75" customHeight="1" x14ac:dyDescent="0.2">
      <c r="C366" s="12"/>
    </row>
    <row r="367" spans="3:3" ht="15.75" customHeight="1" x14ac:dyDescent="0.2">
      <c r="C367" s="12"/>
    </row>
    <row r="368" spans="3:3" ht="15.75" customHeight="1" x14ac:dyDescent="0.2">
      <c r="C368" s="12"/>
    </row>
    <row r="369" spans="3:3" ht="15.75" customHeight="1" x14ac:dyDescent="0.2">
      <c r="C369" s="12"/>
    </row>
    <row r="370" spans="3:3" ht="15.75" customHeight="1" x14ac:dyDescent="0.2">
      <c r="C370" s="12"/>
    </row>
    <row r="371" spans="3:3" ht="15.75" customHeight="1" x14ac:dyDescent="0.2">
      <c r="C371" s="12"/>
    </row>
    <row r="372" spans="3:3" ht="15.75" customHeight="1" x14ac:dyDescent="0.2">
      <c r="C372" s="12"/>
    </row>
    <row r="373" spans="3:3" ht="15.75" customHeight="1" x14ac:dyDescent="0.2">
      <c r="C373" s="12"/>
    </row>
    <row r="374" spans="3:3" ht="15.75" customHeight="1" x14ac:dyDescent="0.2">
      <c r="C374" s="12"/>
    </row>
    <row r="375" spans="3:3" ht="15.75" customHeight="1" x14ac:dyDescent="0.2">
      <c r="C375" s="12"/>
    </row>
    <row r="376" spans="3:3" ht="15.75" customHeight="1" x14ac:dyDescent="0.2">
      <c r="C376" s="12"/>
    </row>
    <row r="377" spans="3:3" ht="15.75" customHeight="1" x14ac:dyDescent="0.2">
      <c r="C377" s="12"/>
    </row>
    <row r="378" spans="3:3" ht="15.75" customHeight="1" x14ac:dyDescent="0.2">
      <c r="C378" s="12"/>
    </row>
    <row r="379" spans="3:3" ht="15.75" customHeight="1" x14ac:dyDescent="0.2">
      <c r="C379" s="12"/>
    </row>
    <row r="380" spans="3:3" ht="15.75" customHeight="1" x14ac:dyDescent="0.2">
      <c r="C380" s="12"/>
    </row>
    <row r="381" spans="3:3" ht="15.75" customHeight="1" x14ac:dyDescent="0.2">
      <c r="C381" s="12"/>
    </row>
    <row r="382" spans="3:3" ht="15.75" customHeight="1" x14ac:dyDescent="0.2">
      <c r="C382" s="12"/>
    </row>
    <row r="383" spans="3:3" ht="15.75" customHeight="1" x14ac:dyDescent="0.2">
      <c r="C383" s="12"/>
    </row>
    <row r="384" spans="3:3" ht="15.75" customHeight="1" x14ac:dyDescent="0.2">
      <c r="C384" s="12"/>
    </row>
    <row r="385" spans="3:3" ht="15.75" customHeight="1" x14ac:dyDescent="0.2">
      <c r="C385" s="12"/>
    </row>
    <row r="386" spans="3:3" ht="15.75" customHeight="1" x14ac:dyDescent="0.2">
      <c r="C386" s="12"/>
    </row>
    <row r="387" spans="3:3" ht="15.75" customHeight="1" x14ac:dyDescent="0.2">
      <c r="C387" s="12"/>
    </row>
    <row r="388" spans="3:3" ht="15.75" customHeight="1" x14ac:dyDescent="0.2">
      <c r="C388" s="12"/>
    </row>
    <row r="389" spans="3:3" ht="15.75" customHeight="1" x14ac:dyDescent="0.2">
      <c r="C389" s="12"/>
    </row>
    <row r="390" spans="3:3" ht="15.75" customHeight="1" x14ac:dyDescent="0.2">
      <c r="C390" s="12"/>
    </row>
    <row r="391" spans="3:3" ht="15.75" customHeight="1" x14ac:dyDescent="0.2">
      <c r="C391" s="12"/>
    </row>
    <row r="392" spans="3:3" ht="15.75" customHeight="1" x14ac:dyDescent="0.2">
      <c r="C392" s="12"/>
    </row>
    <row r="393" spans="3:3" ht="15.75" customHeight="1" x14ac:dyDescent="0.2">
      <c r="C393" s="12"/>
    </row>
    <row r="394" spans="3:3" ht="15.75" customHeight="1" x14ac:dyDescent="0.2">
      <c r="C394" s="12"/>
    </row>
    <row r="395" spans="3:3" ht="15.75" customHeight="1" x14ac:dyDescent="0.2">
      <c r="C395" s="12"/>
    </row>
    <row r="396" spans="3:3" ht="15.75" customHeight="1" x14ac:dyDescent="0.2">
      <c r="C396" s="12"/>
    </row>
    <row r="397" spans="3:3" ht="15.75" customHeight="1" x14ac:dyDescent="0.2">
      <c r="C397" s="12"/>
    </row>
    <row r="398" spans="3:3" ht="15.75" customHeight="1" x14ac:dyDescent="0.2">
      <c r="C398" s="12"/>
    </row>
    <row r="399" spans="3:3" ht="15.75" customHeight="1" x14ac:dyDescent="0.2">
      <c r="C399" s="12"/>
    </row>
    <row r="400" spans="3:3" ht="15.75" customHeight="1" x14ac:dyDescent="0.2">
      <c r="C400" s="12"/>
    </row>
    <row r="401" spans="3:3" ht="15.75" customHeight="1" x14ac:dyDescent="0.2">
      <c r="C401" s="12"/>
    </row>
    <row r="402" spans="3:3" ht="15.75" customHeight="1" x14ac:dyDescent="0.2">
      <c r="C402" s="12"/>
    </row>
    <row r="403" spans="3:3" ht="15.75" customHeight="1" x14ac:dyDescent="0.2">
      <c r="C403" s="12"/>
    </row>
    <row r="404" spans="3:3" ht="15.75" customHeight="1" x14ac:dyDescent="0.2">
      <c r="C404" s="12"/>
    </row>
    <row r="405" spans="3:3" ht="15.75" customHeight="1" x14ac:dyDescent="0.2">
      <c r="C405" s="12"/>
    </row>
    <row r="406" spans="3:3" ht="15.75" customHeight="1" x14ac:dyDescent="0.2">
      <c r="C406" s="12"/>
    </row>
    <row r="407" spans="3:3" ht="15.75" customHeight="1" x14ac:dyDescent="0.2">
      <c r="C407" s="12"/>
    </row>
    <row r="408" spans="3:3" ht="15.75" customHeight="1" x14ac:dyDescent="0.2">
      <c r="C408" s="12"/>
    </row>
    <row r="409" spans="3:3" ht="15.75" customHeight="1" x14ac:dyDescent="0.2">
      <c r="C409" s="12"/>
    </row>
    <row r="410" spans="3:3" ht="15.75" customHeight="1" x14ac:dyDescent="0.2">
      <c r="C410" s="12"/>
    </row>
    <row r="411" spans="3:3" ht="15.75" customHeight="1" x14ac:dyDescent="0.2">
      <c r="C411" s="12"/>
    </row>
    <row r="412" spans="3:3" ht="15.75" customHeight="1" x14ac:dyDescent="0.2">
      <c r="C412" s="12"/>
    </row>
    <row r="413" spans="3:3" ht="15.75" customHeight="1" x14ac:dyDescent="0.2">
      <c r="C413" s="12"/>
    </row>
    <row r="414" spans="3:3" ht="15.75" customHeight="1" x14ac:dyDescent="0.2">
      <c r="C414" s="12"/>
    </row>
    <row r="415" spans="3:3" ht="15.75" customHeight="1" x14ac:dyDescent="0.2">
      <c r="C415" s="12"/>
    </row>
    <row r="416" spans="3:3" ht="15.75" customHeight="1" x14ac:dyDescent="0.2">
      <c r="C416" s="12"/>
    </row>
    <row r="417" spans="3:3" ht="15.75" customHeight="1" x14ac:dyDescent="0.2">
      <c r="C417" s="12"/>
    </row>
    <row r="418" spans="3:3" ht="15.75" customHeight="1" x14ac:dyDescent="0.2">
      <c r="C418" s="12"/>
    </row>
    <row r="419" spans="3:3" ht="15.75" customHeight="1" x14ac:dyDescent="0.2">
      <c r="C419" s="12"/>
    </row>
    <row r="420" spans="3:3" ht="15.75" customHeight="1" x14ac:dyDescent="0.2">
      <c r="C420" s="12"/>
    </row>
    <row r="421" spans="3:3" ht="15.75" customHeight="1" x14ac:dyDescent="0.2">
      <c r="C421" s="12"/>
    </row>
    <row r="422" spans="3:3" ht="15.75" customHeight="1" x14ac:dyDescent="0.2">
      <c r="C422" s="12"/>
    </row>
    <row r="423" spans="3:3" ht="15.75" customHeight="1" x14ac:dyDescent="0.2">
      <c r="C423" s="12"/>
    </row>
    <row r="424" spans="3:3" ht="15.75" customHeight="1" x14ac:dyDescent="0.2">
      <c r="C424" s="12"/>
    </row>
    <row r="425" spans="3:3" ht="15.75" customHeight="1" x14ac:dyDescent="0.2">
      <c r="C425" s="12"/>
    </row>
    <row r="426" spans="3:3" ht="15.75" customHeight="1" x14ac:dyDescent="0.2">
      <c r="C426" s="12"/>
    </row>
    <row r="427" spans="3:3" ht="15.75" customHeight="1" x14ac:dyDescent="0.2">
      <c r="C427" s="12"/>
    </row>
    <row r="428" spans="3:3" ht="15.75" customHeight="1" x14ac:dyDescent="0.2">
      <c r="C428" s="12"/>
    </row>
    <row r="429" spans="3:3" ht="15.75" customHeight="1" x14ac:dyDescent="0.2">
      <c r="C429" s="12"/>
    </row>
    <row r="430" spans="3:3" ht="15.75" customHeight="1" x14ac:dyDescent="0.2">
      <c r="C430" s="12"/>
    </row>
    <row r="431" spans="3:3" ht="15.75" customHeight="1" x14ac:dyDescent="0.2">
      <c r="C431" s="12"/>
    </row>
    <row r="432" spans="3:3" ht="15.75" customHeight="1" x14ac:dyDescent="0.2">
      <c r="C432" s="12"/>
    </row>
    <row r="433" spans="3:3" ht="15.75" customHeight="1" x14ac:dyDescent="0.2">
      <c r="C433" s="12"/>
    </row>
    <row r="434" spans="3:3" ht="15.75" customHeight="1" x14ac:dyDescent="0.2">
      <c r="C434" s="12"/>
    </row>
    <row r="435" spans="3:3" ht="15.75" customHeight="1" x14ac:dyDescent="0.2">
      <c r="C435" s="12"/>
    </row>
    <row r="436" spans="3:3" ht="15.75" customHeight="1" x14ac:dyDescent="0.2">
      <c r="C436" s="12"/>
    </row>
    <row r="437" spans="3:3" ht="15.75" customHeight="1" x14ac:dyDescent="0.2">
      <c r="C437" s="12"/>
    </row>
    <row r="438" spans="3:3" ht="15.75" customHeight="1" x14ac:dyDescent="0.2">
      <c r="C438" s="12"/>
    </row>
    <row r="439" spans="3:3" ht="15.75" customHeight="1" x14ac:dyDescent="0.2">
      <c r="C439" s="12"/>
    </row>
    <row r="440" spans="3:3" ht="15.75" customHeight="1" x14ac:dyDescent="0.2">
      <c r="C440" s="12"/>
    </row>
    <row r="441" spans="3:3" ht="15.75" customHeight="1" x14ac:dyDescent="0.2">
      <c r="C441" s="12"/>
    </row>
    <row r="442" spans="3:3" ht="15.75" customHeight="1" x14ac:dyDescent="0.2">
      <c r="C442" s="12"/>
    </row>
    <row r="443" spans="3:3" ht="15.75" customHeight="1" x14ac:dyDescent="0.2">
      <c r="C443" s="12"/>
    </row>
    <row r="444" spans="3:3" ht="15.75" customHeight="1" x14ac:dyDescent="0.2">
      <c r="C444" s="12"/>
    </row>
    <row r="445" spans="3:3" ht="15.75" customHeight="1" x14ac:dyDescent="0.2">
      <c r="C445" s="12"/>
    </row>
    <row r="446" spans="3:3" ht="15.75" customHeight="1" x14ac:dyDescent="0.2">
      <c r="C446" s="12"/>
    </row>
    <row r="447" spans="3:3" ht="15.75" customHeight="1" x14ac:dyDescent="0.2">
      <c r="C447" s="12"/>
    </row>
    <row r="448" spans="3:3" ht="15.75" customHeight="1" x14ac:dyDescent="0.2">
      <c r="C448" s="12"/>
    </row>
    <row r="449" spans="3:3" ht="15.75" customHeight="1" x14ac:dyDescent="0.2">
      <c r="C449" s="12"/>
    </row>
    <row r="450" spans="3:3" ht="15.75" customHeight="1" x14ac:dyDescent="0.2">
      <c r="C450" s="12"/>
    </row>
    <row r="451" spans="3:3" ht="15.75" customHeight="1" x14ac:dyDescent="0.2">
      <c r="C451" s="12"/>
    </row>
    <row r="452" spans="3:3" ht="15.75" customHeight="1" x14ac:dyDescent="0.2">
      <c r="C452" s="12"/>
    </row>
    <row r="453" spans="3:3" ht="15.75" customHeight="1" x14ac:dyDescent="0.2">
      <c r="C453" s="12"/>
    </row>
    <row r="454" spans="3:3" ht="15.75" customHeight="1" x14ac:dyDescent="0.2">
      <c r="C454" s="12"/>
    </row>
    <row r="455" spans="3:3" ht="15.75" customHeight="1" x14ac:dyDescent="0.2">
      <c r="C455" s="12"/>
    </row>
    <row r="456" spans="3:3" ht="15.75" customHeight="1" x14ac:dyDescent="0.2">
      <c r="C456" s="12"/>
    </row>
    <row r="457" spans="3:3" ht="15.75" customHeight="1" x14ac:dyDescent="0.2">
      <c r="C457" s="12"/>
    </row>
    <row r="458" spans="3:3" ht="15.75" customHeight="1" x14ac:dyDescent="0.2">
      <c r="C458" s="12"/>
    </row>
    <row r="459" spans="3:3" ht="15.75" customHeight="1" x14ac:dyDescent="0.2">
      <c r="C459" s="12"/>
    </row>
    <row r="460" spans="3:3" ht="15.75" customHeight="1" x14ac:dyDescent="0.2">
      <c r="C460" s="12"/>
    </row>
    <row r="461" spans="3:3" ht="15.75" customHeight="1" x14ac:dyDescent="0.2">
      <c r="C461" s="12"/>
    </row>
    <row r="462" spans="3:3" ht="15.75" customHeight="1" x14ac:dyDescent="0.2">
      <c r="C462" s="12"/>
    </row>
    <row r="463" spans="3:3" ht="15.75" customHeight="1" x14ac:dyDescent="0.2">
      <c r="C463" s="12"/>
    </row>
    <row r="464" spans="3:3" ht="15.75" customHeight="1" x14ac:dyDescent="0.2">
      <c r="C464" s="12"/>
    </row>
    <row r="465" spans="3:3" ht="15.75" customHeight="1" x14ac:dyDescent="0.2">
      <c r="C465" s="12"/>
    </row>
    <row r="466" spans="3:3" ht="15.75" customHeight="1" x14ac:dyDescent="0.2">
      <c r="C466" s="12"/>
    </row>
    <row r="467" spans="3:3" ht="15.75" customHeight="1" x14ac:dyDescent="0.2">
      <c r="C467" s="12"/>
    </row>
    <row r="468" spans="3:3" ht="15.75" customHeight="1" x14ac:dyDescent="0.2">
      <c r="C468" s="12"/>
    </row>
    <row r="469" spans="3:3" ht="15.75" customHeight="1" x14ac:dyDescent="0.2">
      <c r="C469" s="12"/>
    </row>
    <row r="470" spans="3:3" ht="15.75" customHeight="1" x14ac:dyDescent="0.2">
      <c r="C470" s="12"/>
    </row>
    <row r="471" spans="3:3" ht="15.75" customHeight="1" x14ac:dyDescent="0.2">
      <c r="C471" s="12"/>
    </row>
    <row r="472" spans="3:3" ht="15.75" customHeight="1" x14ac:dyDescent="0.2">
      <c r="C472" s="12"/>
    </row>
    <row r="473" spans="3:3" ht="15.75" customHeight="1" x14ac:dyDescent="0.2">
      <c r="C473" s="12"/>
    </row>
    <row r="474" spans="3:3" ht="15.75" customHeight="1" x14ac:dyDescent="0.2">
      <c r="C474" s="12"/>
    </row>
    <row r="475" spans="3:3" ht="15.75" customHeight="1" x14ac:dyDescent="0.2">
      <c r="C475" s="12"/>
    </row>
    <row r="476" spans="3:3" ht="15.75" customHeight="1" x14ac:dyDescent="0.2">
      <c r="C476" s="12"/>
    </row>
    <row r="477" spans="3:3" ht="15.75" customHeight="1" x14ac:dyDescent="0.2">
      <c r="C477" s="12"/>
    </row>
    <row r="478" spans="3:3" ht="15.75" customHeight="1" x14ac:dyDescent="0.2">
      <c r="C478" s="12"/>
    </row>
    <row r="479" spans="3:3" ht="15.75" customHeight="1" x14ac:dyDescent="0.2">
      <c r="C479" s="12"/>
    </row>
    <row r="480" spans="3:3" ht="15.75" customHeight="1" x14ac:dyDescent="0.2">
      <c r="C480" s="12"/>
    </row>
    <row r="481" spans="3:3" ht="15.75" customHeight="1" x14ac:dyDescent="0.2">
      <c r="C481" s="12"/>
    </row>
    <row r="482" spans="3:3" ht="15.75" customHeight="1" x14ac:dyDescent="0.2">
      <c r="C482" s="12"/>
    </row>
    <row r="483" spans="3:3" ht="15.75" customHeight="1" x14ac:dyDescent="0.2">
      <c r="C483" s="12"/>
    </row>
    <row r="484" spans="3:3" ht="15.75" customHeight="1" x14ac:dyDescent="0.2">
      <c r="C484" s="12"/>
    </row>
    <row r="485" spans="3:3" ht="15.75" customHeight="1" x14ac:dyDescent="0.2">
      <c r="C485" s="12"/>
    </row>
    <row r="486" spans="3:3" ht="15.75" customHeight="1" x14ac:dyDescent="0.2">
      <c r="C486" s="12"/>
    </row>
    <row r="487" spans="3:3" ht="15.75" customHeight="1" x14ac:dyDescent="0.2">
      <c r="C487" s="12"/>
    </row>
    <row r="488" spans="3:3" ht="15.75" customHeight="1" x14ac:dyDescent="0.2">
      <c r="C488" s="12"/>
    </row>
    <row r="489" spans="3:3" ht="15.75" customHeight="1" x14ac:dyDescent="0.2">
      <c r="C489" s="12"/>
    </row>
    <row r="490" spans="3:3" ht="15.75" customHeight="1" x14ac:dyDescent="0.2">
      <c r="C490" s="12"/>
    </row>
    <row r="491" spans="3:3" ht="15.75" customHeight="1" x14ac:dyDescent="0.2">
      <c r="C491" s="12"/>
    </row>
    <row r="492" spans="3:3" ht="15.75" customHeight="1" x14ac:dyDescent="0.2">
      <c r="C492" s="12"/>
    </row>
    <row r="493" spans="3:3" ht="15.75" customHeight="1" x14ac:dyDescent="0.2">
      <c r="C493" s="12"/>
    </row>
    <row r="494" spans="3:3" ht="15.75" customHeight="1" x14ac:dyDescent="0.2">
      <c r="C494" s="12"/>
    </row>
    <row r="495" spans="3:3" ht="15.75" customHeight="1" x14ac:dyDescent="0.2">
      <c r="C495" s="12"/>
    </row>
    <row r="496" spans="3:3" ht="15.75" customHeight="1" x14ac:dyDescent="0.2">
      <c r="C496" s="12"/>
    </row>
    <row r="497" spans="3:3" ht="15.75" customHeight="1" x14ac:dyDescent="0.2">
      <c r="C497" s="12"/>
    </row>
    <row r="498" spans="3:3" ht="15.75" customHeight="1" x14ac:dyDescent="0.2">
      <c r="C498" s="12"/>
    </row>
    <row r="499" spans="3:3" ht="15.75" customHeight="1" x14ac:dyDescent="0.2">
      <c r="C499" s="12"/>
    </row>
    <row r="500" spans="3:3" ht="15.75" customHeight="1" x14ac:dyDescent="0.2">
      <c r="C500" s="12"/>
    </row>
    <row r="501" spans="3:3" ht="15.75" customHeight="1" x14ac:dyDescent="0.2">
      <c r="C501" s="12"/>
    </row>
    <row r="502" spans="3:3" ht="15.75" customHeight="1" x14ac:dyDescent="0.2">
      <c r="C502" s="12"/>
    </row>
    <row r="503" spans="3:3" ht="15.75" customHeight="1" x14ac:dyDescent="0.2">
      <c r="C503" s="12"/>
    </row>
    <row r="504" spans="3:3" ht="15.75" customHeight="1" x14ac:dyDescent="0.2">
      <c r="C504" s="12"/>
    </row>
    <row r="505" spans="3:3" ht="15.75" customHeight="1" x14ac:dyDescent="0.2">
      <c r="C505" s="12"/>
    </row>
    <row r="506" spans="3:3" ht="15.75" customHeight="1" x14ac:dyDescent="0.2">
      <c r="C506" s="12"/>
    </row>
    <row r="507" spans="3:3" ht="15.75" customHeight="1" x14ac:dyDescent="0.2">
      <c r="C507" s="12"/>
    </row>
    <row r="508" spans="3:3" ht="15.75" customHeight="1" x14ac:dyDescent="0.2">
      <c r="C508" s="12"/>
    </row>
    <row r="509" spans="3:3" ht="15.75" customHeight="1" x14ac:dyDescent="0.2">
      <c r="C509" s="12"/>
    </row>
    <row r="510" spans="3:3" ht="15.75" customHeight="1" x14ac:dyDescent="0.2">
      <c r="C510" s="12"/>
    </row>
    <row r="511" spans="3:3" ht="15.75" customHeight="1" x14ac:dyDescent="0.2">
      <c r="C511" s="12"/>
    </row>
    <row r="512" spans="3:3" ht="15.75" customHeight="1" x14ac:dyDescent="0.2">
      <c r="C512" s="12"/>
    </row>
    <row r="513" spans="3:3" ht="15.75" customHeight="1" x14ac:dyDescent="0.2">
      <c r="C513" s="12"/>
    </row>
    <row r="514" spans="3:3" ht="15.75" customHeight="1" x14ac:dyDescent="0.2">
      <c r="C514" s="12"/>
    </row>
    <row r="515" spans="3:3" ht="15.75" customHeight="1" x14ac:dyDescent="0.2">
      <c r="C515" s="12"/>
    </row>
    <row r="516" spans="3:3" ht="15.75" customHeight="1" x14ac:dyDescent="0.2">
      <c r="C516" s="12"/>
    </row>
    <row r="517" spans="3:3" ht="15.75" customHeight="1" x14ac:dyDescent="0.2">
      <c r="C517" s="12"/>
    </row>
    <row r="518" spans="3:3" ht="15.75" customHeight="1" x14ac:dyDescent="0.2">
      <c r="C518" s="12"/>
    </row>
    <row r="519" spans="3:3" ht="15.75" customHeight="1" x14ac:dyDescent="0.2">
      <c r="C519" s="12"/>
    </row>
    <row r="520" spans="3:3" ht="15.75" customHeight="1" x14ac:dyDescent="0.2">
      <c r="C520" s="12"/>
    </row>
    <row r="521" spans="3:3" ht="15.75" customHeight="1" x14ac:dyDescent="0.2">
      <c r="C521" s="12"/>
    </row>
    <row r="522" spans="3:3" ht="15.75" customHeight="1" x14ac:dyDescent="0.2">
      <c r="C522" s="12"/>
    </row>
    <row r="523" spans="3:3" ht="15.75" customHeight="1" x14ac:dyDescent="0.2">
      <c r="C523" s="12"/>
    </row>
    <row r="524" spans="3:3" ht="15.75" customHeight="1" x14ac:dyDescent="0.2">
      <c r="C524" s="12"/>
    </row>
    <row r="525" spans="3:3" ht="15.75" customHeight="1" x14ac:dyDescent="0.2">
      <c r="C525" s="12"/>
    </row>
    <row r="526" spans="3:3" ht="15.75" customHeight="1" x14ac:dyDescent="0.2">
      <c r="C526" s="12"/>
    </row>
    <row r="527" spans="3:3" ht="15.75" customHeight="1" x14ac:dyDescent="0.2">
      <c r="C527" s="12"/>
    </row>
    <row r="528" spans="3:3" ht="15.75" customHeight="1" x14ac:dyDescent="0.2">
      <c r="C528" s="12"/>
    </row>
    <row r="529" spans="3:3" ht="15.75" customHeight="1" x14ac:dyDescent="0.2">
      <c r="C529" s="12"/>
    </row>
    <row r="530" spans="3:3" ht="15.75" customHeight="1" x14ac:dyDescent="0.2">
      <c r="C530" s="12"/>
    </row>
    <row r="531" spans="3:3" ht="15.75" customHeight="1" x14ac:dyDescent="0.2">
      <c r="C531" s="12"/>
    </row>
    <row r="532" spans="3:3" ht="15.75" customHeight="1" x14ac:dyDescent="0.2">
      <c r="C532" s="12"/>
    </row>
    <row r="533" spans="3:3" ht="15.75" customHeight="1" x14ac:dyDescent="0.2">
      <c r="C533" s="12"/>
    </row>
    <row r="534" spans="3:3" ht="15.75" customHeight="1" x14ac:dyDescent="0.2">
      <c r="C534" s="12"/>
    </row>
    <row r="535" spans="3:3" ht="15.75" customHeight="1" x14ac:dyDescent="0.2">
      <c r="C535" s="12"/>
    </row>
    <row r="536" spans="3:3" ht="15.75" customHeight="1" x14ac:dyDescent="0.2">
      <c r="C536" s="12"/>
    </row>
    <row r="537" spans="3:3" ht="15.75" customHeight="1" x14ac:dyDescent="0.2">
      <c r="C537" s="12"/>
    </row>
    <row r="538" spans="3:3" ht="15.75" customHeight="1" x14ac:dyDescent="0.2">
      <c r="C538" s="12"/>
    </row>
    <row r="539" spans="3:3" ht="15.75" customHeight="1" x14ac:dyDescent="0.2">
      <c r="C539" s="12"/>
    </row>
    <row r="540" spans="3:3" ht="15.75" customHeight="1" x14ac:dyDescent="0.2">
      <c r="C540" s="12"/>
    </row>
    <row r="541" spans="3:3" ht="15.75" customHeight="1" x14ac:dyDescent="0.2">
      <c r="C541" s="12"/>
    </row>
    <row r="542" spans="3:3" ht="15.75" customHeight="1" x14ac:dyDescent="0.2">
      <c r="C542" s="12"/>
    </row>
    <row r="543" spans="3:3" ht="15.75" customHeight="1" x14ac:dyDescent="0.2">
      <c r="C543" s="12"/>
    </row>
    <row r="544" spans="3:3" ht="15.75" customHeight="1" x14ac:dyDescent="0.2">
      <c r="C544" s="12"/>
    </row>
    <row r="545" spans="3:3" ht="15.75" customHeight="1" x14ac:dyDescent="0.2">
      <c r="C545" s="12"/>
    </row>
    <row r="546" spans="3:3" ht="15.75" customHeight="1" x14ac:dyDescent="0.2">
      <c r="C546" s="12"/>
    </row>
    <row r="547" spans="3:3" ht="15.75" customHeight="1" x14ac:dyDescent="0.2">
      <c r="C547" s="12"/>
    </row>
    <row r="548" spans="3:3" ht="15.75" customHeight="1" x14ac:dyDescent="0.2">
      <c r="C548" s="12"/>
    </row>
    <row r="549" spans="3:3" ht="15.75" customHeight="1" x14ac:dyDescent="0.2">
      <c r="C549" s="12"/>
    </row>
    <row r="550" spans="3:3" ht="15.75" customHeight="1" x14ac:dyDescent="0.2">
      <c r="C550" s="12"/>
    </row>
    <row r="551" spans="3:3" ht="15.75" customHeight="1" x14ac:dyDescent="0.2">
      <c r="C551" s="12"/>
    </row>
    <row r="552" spans="3:3" ht="15.75" customHeight="1" x14ac:dyDescent="0.2">
      <c r="C552" s="12"/>
    </row>
    <row r="553" spans="3:3" ht="15.75" customHeight="1" x14ac:dyDescent="0.2">
      <c r="C553" s="12"/>
    </row>
    <row r="554" spans="3:3" ht="15.75" customHeight="1" x14ac:dyDescent="0.2">
      <c r="C554" s="12"/>
    </row>
    <row r="555" spans="3:3" ht="15.75" customHeight="1" x14ac:dyDescent="0.2">
      <c r="C555" s="12"/>
    </row>
    <row r="556" spans="3:3" ht="15.75" customHeight="1" x14ac:dyDescent="0.2">
      <c r="C556" s="12"/>
    </row>
    <row r="557" spans="3:3" ht="15.75" customHeight="1" x14ac:dyDescent="0.2">
      <c r="C557" s="12"/>
    </row>
    <row r="558" spans="3:3" ht="15.75" customHeight="1" x14ac:dyDescent="0.2">
      <c r="C558" s="12"/>
    </row>
    <row r="559" spans="3:3" ht="15.75" customHeight="1" x14ac:dyDescent="0.2">
      <c r="C559" s="12"/>
    </row>
    <row r="560" spans="3:3" ht="15.75" customHeight="1" x14ac:dyDescent="0.2">
      <c r="C560" s="12"/>
    </row>
    <row r="561" spans="3:3" ht="15.75" customHeight="1" x14ac:dyDescent="0.2">
      <c r="C561" s="12"/>
    </row>
    <row r="562" spans="3:3" ht="15.75" customHeight="1" x14ac:dyDescent="0.2">
      <c r="C562" s="12"/>
    </row>
    <row r="563" spans="3:3" ht="15.75" customHeight="1" x14ac:dyDescent="0.2">
      <c r="C563" s="12"/>
    </row>
    <row r="564" spans="3:3" ht="15.75" customHeight="1" x14ac:dyDescent="0.2">
      <c r="C564" s="12"/>
    </row>
    <row r="565" spans="3:3" ht="15.75" customHeight="1" x14ac:dyDescent="0.2">
      <c r="C565" s="12"/>
    </row>
    <row r="566" spans="3:3" ht="15.75" customHeight="1" x14ac:dyDescent="0.2">
      <c r="C566" s="12"/>
    </row>
    <row r="567" spans="3:3" ht="15.75" customHeight="1" x14ac:dyDescent="0.2">
      <c r="C567" s="12"/>
    </row>
    <row r="568" spans="3:3" ht="15.75" customHeight="1" x14ac:dyDescent="0.2">
      <c r="C568" s="12"/>
    </row>
    <row r="569" spans="3:3" ht="15.75" customHeight="1" x14ac:dyDescent="0.2">
      <c r="C569" s="12"/>
    </row>
    <row r="570" spans="3:3" ht="15.75" customHeight="1" x14ac:dyDescent="0.2">
      <c r="C570" s="12"/>
    </row>
    <row r="571" spans="3:3" ht="15.75" customHeight="1" x14ac:dyDescent="0.2">
      <c r="C571" s="12"/>
    </row>
    <row r="572" spans="3:3" ht="15.75" customHeight="1" x14ac:dyDescent="0.2">
      <c r="C572" s="12"/>
    </row>
    <row r="573" spans="3:3" ht="15.75" customHeight="1" x14ac:dyDescent="0.2">
      <c r="C573" s="12"/>
    </row>
    <row r="574" spans="3:3" ht="15.75" customHeight="1" x14ac:dyDescent="0.2">
      <c r="C574" s="12"/>
    </row>
    <row r="575" spans="3:3" ht="15.75" customHeight="1" x14ac:dyDescent="0.2">
      <c r="C575" s="12"/>
    </row>
    <row r="576" spans="3:3" ht="15.75" customHeight="1" x14ac:dyDescent="0.2">
      <c r="C576" s="12"/>
    </row>
    <row r="577" spans="3:3" ht="15.75" customHeight="1" x14ac:dyDescent="0.2">
      <c r="C577" s="12"/>
    </row>
    <row r="578" spans="3:3" ht="15.75" customHeight="1" x14ac:dyDescent="0.2">
      <c r="C578" s="12"/>
    </row>
    <row r="579" spans="3:3" ht="15.75" customHeight="1" x14ac:dyDescent="0.2">
      <c r="C579" s="12"/>
    </row>
    <row r="580" spans="3:3" ht="15.75" customHeight="1" x14ac:dyDescent="0.2">
      <c r="C580" s="12"/>
    </row>
    <row r="581" spans="3:3" ht="15.75" customHeight="1" x14ac:dyDescent="0.2">
      <c r="C581" s="12"/>
    </row>
    <row r="582" spans="3:3" ht="15.75" customHeight="1" x14ac:dyDescent="0.2">
      <c r="C582" s="12"/>
    </row>
    <row r="583" spans="3:3" ht="15.75" customHeight="1" x14ac:dyDescent="0.2">
      <c r="C583" s="12"/>
    </row>
    <row r="584" spans="3:3" ht="15.75" customHeight="1" x14ac:dyDescent="0.2">
      <c r="C584" s="12"/>
    </row>
    <row r="585" spans="3:3" ht="15.75" customHeight="1" x14ac:dyDescent="0.2">
      <c r="C585" s="12"/>
    </row>
    <row r="586" spans="3:3" ht="15.75" customHeight="1" x14ac:dyDescent="0.2">
      <c r="C586" s="12"/>
    </row>
    <row r="587" spans="3:3" ht="15.75" customHeight="1" x14ac:dyDescent="0.2">
      <c r="C587" s="12"/>
    </row>
    <row r="588" spans="3:3" ht="15.75" customHeight="1" x14ac:dyDescent="0.2">
      <c r="C588" s="12"/>
    </row>
    <row r="589" spans="3:3" ht="15.75" customHeight="1" x14ac:dyDescent="0.2">
      <c r="C589" s="12"/>
    </row>
    <row r="590" spans="3:3" ht="15.75" customHeight="1" x14ac:dyDescent="0.2">
      <c r="C590" s="12"/>
    </row>
    <row r="591" spans="3:3" ht="15.75" customHeight="1" x14ac:dyDescent="0.2">
      <c r="C591" s="12"/>
    </row>
    <row r="592" spans="3:3" ht="15.75" customHeight="1" x14ac:dyDescent="0.2">
      <c r="C592" s="12"/>
    </row>
    <row r="593" spans="3:3" ht="15.75" customHeight="1" x14ac:dyDescent="0.2">
      <c r="C593" s="12"/>
    </row>
    <row r="594" spans="3:3" ht="15.75" customHeight="1" x14ac:dyDescent="0.2">
      <c r="C594" s="12"/>
    </row>
    <row r="595" spans="3:3" ht="15.75" customHeight="1" x14ac:dyDescent="0.2">
      <c r="C595" s="12"/>
    </row>
    <row r="596" spans="3:3" ht="15.75" customHeight="1" x14ac:dyDescent="0.2">
      <c r="C596" s="12"/>
    </row>
    <row r="597" spans="3:3" ht="15.75" customHeight="1" x14ac:dyDescent="0.2">
      <c r="C597" s="12"/>
    </row>
    <row r="598" spans="3:3" ht="15.75" customHeight="1" x14ac:dyDescent="0.2">
      <c r="C598" s="12"/>
    </row>
    <row r="599" spans="3:3" ht="15.75" customHeight="1" x14ac:dyDescent="0.2">
      <c r="C599" s="12"/>
    </row>
    <row r="600" spans="3:3" ht="15.75" customHeight="1" x14ac:dyDescent="0.2">
      <c r="C600" s="12"/>
    </row>
    <row r="601" spans="3:3" ht="15.75" customHeight="1" x14ac:dyDescent="0.2">
      <c r="C601" s="12"/>
    </row>
    <row r="602" spans="3:3" ht="15.75" customHeight="1" x14ac:dyDescent="0.2">
      <c r="C602" s="12"/>
    </row>
    <row r="603" spans="3:3" ht="15.75" customHeight="1" x14ac:dyDescent="0.2">
      <c r="C603" s="12"/>
    </row>
    <row r="604" spans="3:3" ht="15.75" customHeight="1" x14ac:dyDescent="0.2">
      <c r="C604" s="12"/>
    </row>
    <row r="605" spans="3:3" ht="15.75" customHeight="1" x14ac:dyDescent="0.2">
      <c r="C605" s="12"/>
    </row>
    <row r="606" spans="3:3" ht="15.75" customHeight="1" x14ac:dyDescent="0.2">
      <c r="C606" s="12"/>
    </row>
    <row r="607" spans="3:3" ht="15.75" customHeight="1" x14ac:dyDescent="0.2">
      <c r="C607" s="12"/>
    </row>
    <row r="608" spans="3:3" ht="15.75" customHeight="1" x14ac:dyDescent="0.2">
      <c r="C608" s="12"/>
    </row>
    <row r="609" spans="3:3" ht="15.75" customHeight="1" x14ac:dyDescent="0.2">
      <c r="C609" s="12"/>
    </row>
    <row r="610" spans="3:3" ht="15.75" customHeight="1" x14ac:dyDescent="0.2">
      <c r="C610" s="12"/>
    </row>
    <row r="611" spans="3:3" ht="15.75" customHeight="1" x14ac:dyDescent="0.2">
      <c r="C611" s="12"/>
    </row>
    <row r="612" spans="3:3" ht="15.75" customHeight="1" x14ac:dyDescent="0.2">
      <c r="C612" s="12"/>
    </row>
    <row r="613" spans="3:3" ht="15.75" customHeight="1" x14ac:dyDescent="0.2">
      <c r="C613" s="12"/>
    </row>
    <row r="614" spans="3:3" ht="15.75" customHeight="1" x14ac:dyDescent="0.2">
      <c r="C614" s="12"/>
    </row>
    <row r="615" spans="3:3" ht="15.75" customHeight="1" x14ac:dyDescent="0.2">
      <c r="C615" s="12"/>
    </row>
    <row r="616" spans="3:3" ht="15.75" customHeight="1" x14ac:dyDescent="0.2">
      <c r="C616" s="12"/>
    </row>
    <row r="617" spans="3:3" ht="15.75" customHeight="1" x14ac:dyDescent="0.2">
      <c r="C617" s="12"/>
    </row>
    <row r="618" spans="3:3" ht="15.75" customHeight="1" x14ac:dyDescent="0.2">
      <c r="C618" s="12"/>
    </row>
    <row r="619" spans="3:3" ht="15.75" customHeight="1" x14ac:dyDescent="0.2">
      <c r="C619" s="12"/>
    </row>
    <row r="620" spans="3:3" ht="15.75" customHeight="1" x14ac:dyDescent="0.2">
      <c r="C620" s="12"/>
    </row>
    <row r="621" spans="3:3" ht="15.75" customHeight="1" x14ac:dyDescent="0.2">
      <c r="C621" s="12"/>
    </row>
    <row r="622" spans="3:3" ht="15.75" customHeight="1" x14ac:dyDescent="0.2">
      <c r="C622" s="12"/>
    </row>
    <row r="623" spans="3:3" ht="15.75" customHeight="1" x14ac:dyDescent="0.2">
      <c r="C623" s="12"/>
    </row>
    <row r="624" spans="3:3" ht="15.75" customHeight="1" x14ac:dyDescent="0.2">
      <c r="C624" s="12"/>
    </row>
    <row r="625" spans="3:3" ht="15.75" customHeight="1" x14ac:dyDescent="0.2">
      <c r="C625" s="12"/>
    </row>
    <row r="626" spans="3:3" ht="15.75" customHeight="1" x14ac:dyDescent="0.2">
      <c r="C626" s="12"/>
    </row>
    <row r="627" spans="3:3" ht="15.75" customHeight="1" x14ac:dyDescent="0.2">
      <c r="C627" s="12"/>
    </row>
    <row r="628" spans="3:3" ht="15.75" customHeight="1" x14ac:dyDescent="0.2">
      <c r="C628" s="12"/>
    </row>
    <row r="629" spans="3:3" ht="15.75" customHeight="1" x14ac:dyDescent="0.2">
      <c r="C629" s="12"/>
    </row>
    <row r="630" spans="3:3" ht="15.75" customHeight="1" x14ac:dyDescent="0.2">
      <c r="C630" s="12"/>
    </row>
    <row r="631" spans="3:3" ht="15.75" customHeight="1" x14ac:dyDescent="0.2">
      <c r="C631" s="12"/>
    </row>
    <row r="632" spans="3:3" ht="15.75" customHeight="1" x14ac:dyDescent="0.2">
      <c r="C632" s="12"/>
    </row>
    <row r="633" spans="3:3" ht="15.75" customHeight="1" x14ac:dyDescent="0.2">
      <c r="C633" s="12"/>
    </row>
    <row r="634" spans="3:3" ht="15.75" customHeight="1" x14ac:dyDescent="0.2">
      <c r="C634" s="12"/>
    </row>
    <row r="635" spans="3:3" ht="15.75" customHeight="1" x14ac:dyDescent="0.2">
      <c r="C635" s="12"/>
    </row>
    <row r="636" spans="3:3" ht="15.75" customHeight="1" x14ac:dyDescent="0.2">
      <c r="C636" s="12"/>
    </row>
    <row r="637" spans="3:3" ht="15.75" customHeight="1" x14ac:dyDescent="0.2">
      <c r="C637" s="12"/>
    </row>
    <row r="638" spans="3:3" ht="15.75" customHeight="1" x14ac:dyDescent="0.2">
      <c r="C638" s="12"/>
    </row>
    <row r="639" spans="3:3" ht="15.75" customHeight="1" x14ac:dyDescent="0.2">
      <c r="C639" s="12"/>
    </row>
    <row r="640" spans="3:3" ht="15.75" customHeight="1" x14ac:dyDescent="0.2">
      <c r="C640" s="12"/>
    </row>
    <row r="641" spans="3:3" ht="15.75" customHeight="1" x14ac:dyDescent="0.2">
      <c r="C641" s="12"/>
    </row>
    <row r="642" spans="3:3" ht="15.75" customHeight="1" x14ac:dyDescent="0.2">
      <c r="C642" s="12"/>
    </row>
    <row r="643" spans="3:3" ht="15.75" customHeight="1" x14ac:dyDescent="0.2">
      <c r="C643" s="12"/>
    </row>
    <row r="644" spans="3:3" ht="15.75" customHeight="1" x14ac:dyDescent="0.2">
      <c r="C644" s="12"/>
    </row>
    <row r="645" spans="3:3" ht="15.75" customHeight="1" x14ac:dyDescent="0.2">
      <c r="C645" s="12"/>
    </row>
    <row r="646" spans="3:3" ht="15.75" customHeight="1" x14ac:dyDescent="0.2">
      <c r="C646" s="12"/>
    </row>
    <row r="647" spans="3:3" ht="15.75" customHeight="1" x14ac:dyDescent="0.2">
      <c r="C647" s="12"/>
    </row>
    <row r="648" spans="3:3" ht="15.75" customHeight="1" x14ac:dyDescent="0.2">
      <c r="C648" s="12"/>
    </row>
    <row r="649" spans="3:3" ht="15.75" customHeight="1" x14ac:dyDescent="0.2">
      <c r="C649" s="12"/>
    </row>
    <row r="650" spans="3:3" ht="15.75" customHeight="1" x14ac:dyDescent="0.2">
      <c r="C650" s="12"/>
    </row>
    <row r="651" spans="3:3" ht="15.75" customHeight="1" x14ac:dyDescent="0.2">
      <c r="C651" s="12"/>
    </row>
    <row r="652" spans="3:3" ht="15.75" customHeight="1" x14ac:dyDescent="0.2">
      <c r="C652" s="12"/>
    </row>
    <row r="653" spans="3:3" ht="15.75" customHeight="1" x14ac:dyDescent="0.2">
      <c r="C653" s="12"/>
    </row>
    <row r="654" spans="3:3" ht="15.75" customHeight="1" x14ac:dyDescent="0.2">
      <c r="C654" s="12"/>
    </row>
    <row r="655" spans="3:3" ht="15.75" customHeight="1" x14ac:dyDescent="0.2">
      <c r="C655" s="12"/>
    </row>
    <row r="656" spans="3:3" ht="15.75" customHeight="1" x14ac:dyDescent="0.2">
      <c r="C656" s="12"/>
    </row>
    <row r="657" spans="3:3" ht="15.75" customHeight="1" x14ac:dyDescent="0.2">
      <c r="C657" s="12"/>
    </row>
    <row r="658" spans="3:3" ht="15.75" customHeight="1" x14ac:dyDescent="0.2">
      <c r="C658" s="12"/>
    </row>
    <row r="659" spans="3:3" ht="15.75" customHeight="1" x14ac:dyDescent="0.2">
      <c r="C659" s="12"/>
    </row>
    <row r="660" spans="3:3" ht="15.75" customHeight="1" x14ac:dyDescent="0.2">
      <c r="C660" s="12"/>
    </row>
    <row r="661" spans="3:3" ht="15.75" customHeight="1" x14ac:dyDescent="0.2">
      <c r="C661" s="12"/>
    </row>
    <row r="662" spans="3:3" ht="15.75" customHeight="1" x14ac:dyDescent="0.2">
      <c r="C662" s="12"/>
    </row>
    <row r="663" spans="3:3" ht="15.75" customHeight="1" x14ac:dyDescent="0.2">
      <c r="C663" s="12"/>
    </row>
    <row r="664" spans="3:3" ht="15.75" customHeight="1" x14ac:dyDescent="0.2">
      <c r="C664" s="12"/>
    </row>
    <row r="665" spans="3:3" ht="15.75" customHeight="1" x14ac:dyDescent="0.2">
      <c r="C665" s="12"/>
    </row>
    <row r="666" spans="3:3" ht="15.75" customHeight="1" x14ac:dyDescent="0.2">
      <c r="C666" s="12"/>
    </row>
    <row r="667" spans="3:3" ht="15.75" customHeight="1" x14ac:dyDescent="0.2">
      <c r="C667" s="12"/>
    </row>
    <row r="668" spans="3:3" ht="15.75" customHeight="1" x14ac:dyDescent="0.2">
      <c r="C668" s="12"/>
    </row>
    <row r="669" spans="3:3" ht="15.75" customHeight="1" x14ac:dyDescent="0.2">
      <c r="C669" s="12"/>
    </row>
    <row r="670" spans="3:3" ht="15.75" customHeight="1" x14ac:dyDescent="0.2">
      <c r="C670" s="12"/>
    </row>
    <row r="671" spans="3:3" ht="15.75" customHeight="1" x14ac:dyDescent="0.2">
      <c r="C671" s="12"/>
    </row>
    <row r="672" spans="3:3" ht="15.75" customHeight="1" x14ac:dyDescent="0.2">
      <c r="C672" s="12"/>
    </row>
    <row r="673" spans="3:3" ht="15.75" customHeight="1" x14ac:dyDescent="0.2">
      <c r="C673" s="12"/>
    </row>
    <row r="674" spans="3:3" ht="15.75" customHeight="1" x14ac:dyDescent="0.2">
      <c r="C674" s="12"/>
    </row>
    <row r="675" spans="3:3" ht="15.75" customHeight="1" x14ac:dyDescent="0.2">
      <c r="C675" s="12"/>
    </row>
    <row r="676" spans="3:3" ht="15.75" customHeight="1" x14ac:dyDescent="0.2">
      <c r="C676" s="12"/>
    </row>
    <row r="677" spans="3:3" ht="15.75" customHeight="1" x14ac:dyDescent="0.2">
      <c r="C677" s="12"/>
    </row>
    <row r="678" spans="3:3" ht="15.75" customHeight="1" x14ac:dyDescent="0.2">
      <c r="C678" s="12"/>
    </row>
    <row r="679" spans="3:3" ht="15.75" customHeight="1" x14ac:dyDescent="0.2">
      <c r="C679" s="12"/>
    </row>
    <row r="680" spans="3:3" ht="15.75" customHeight="1" x14ac:dyDescent="0.2">
      <c r="C680" s="12"/>
    </row>
    <row r="681" spans="3:3" ht="15.75" customHeight="1" x14ac:dyDescent="0.2">
      <c r="C681" s="12"/>
    </row>
    <row r="682" spans="3:3" ht="15.75" customHeight="1" x14ac:dyDescent="0.2">
      <c r="C682" s="12"/>
    </row>
    <row r="683" spans="3:3" ht="15.75" customHeight="1" x14ac:dyDescent="0.2">
      <c r="C683" s="12"/>
    </row>
    <row r="684" spans="3:3" ht="15.75" customHeight="1" x14ac:dyDescent="0.2">
      <c r="C684" s="12"/>
    </row>
    <row r="685" spans="3:3" ht="15.75" customHeight="1" x14ac:dyDescent="0.2">
      <c r="C685" s="12"/>
    </row>
    <row r="686" spans="3:3" ht="15.75" customHeight="1" x14ac:dyDescent="0.2">
      <c r="C686" s="12"/>
    </row>
    <row r="687" spans="3:3" ht="15.75" customHeight="1" x14ac:dyDescent="0.2">
      <c r="C687" s="12"/>
    </row>
    <row r="688" spans="3:3" ht="15.75" customHeight="1" x14ac:dyDescent="0.2">
      <c r="C688" s="12"/>
    </row>
    <row r="689" spans="3:3" ht="15.75" customHeight="1" x14ac:dyDescent="0.2">
      <c r="C689" s="12"/>
    </row>
    <row r="690" spans="3:3" ht="15.75" customHeight="1" x14ac:dyDescent="0.2">
      <c r="C690" s="12"/>
    </row>
    <row r="691" spans="3:3" ht="15.75" customHeight="1" x14ac:dyDescent="0.2">
      <c r="C691" s="12"/>
    </row>
    <row r="692" spans="3:3" ht="15.75" customHeight="1" x14ac:dyDescent="0.2">
      <c r="C692" s="12"/>
    </row>
    <row r="693" spans="3:3" ht="15.75" customHeight="1" x14ac:dyDescent="0.2">
      <c r="C693" s="12"/>
    </row>
    <row r="694" spans="3:3" ht="15.75" customHeight="1" x14ac:dyDescent="0.2">
      <c r="C694" s="12"/>
    </row>
    <row r="695" spans="3:3" ht="15.75" customHeight="1" x14ac:dyDescent="0.2">
      <c r="C695" s="12"/>
    </row>
    <row r="696" spans="3:3" ht="15.75" customHeight="1" x14ac:dyDescent="0.2">
      <c r="C696" s="12"/>
    </row>
    <row r="697" spans="3:3" ht="15.75" customHeight="1" x14ac:dyDescent="0.2">
      <c r="C697" s="12"/>
    </row>
    <row r="698" spans="3:3" ht="15.75" customHeight="1" x14ac:dyDescent="0.2">
      <c r="C698" s="12"/>
    </row>
    <row r="699" spans="3:3" ht="15.75" customHeight="1" x14ac:dyDescent="0.2">
      <c r="C699" s="12"/>
    </row>
    <row r="700" spans="3:3" ht="15.75" customHeight="1" x14ac:dyDescent="0.2">
      <c r="C700" s="12"/>
    </row>
    <row r="701" spans="3:3" ht="15.75" customHeight="1" x14ac:dyDescent="0.2">
      <c r="C701" s="12"/>
    </row>
    <row r="702" spans="3:3" ht="15.75" customHeight="1" x14ac:dyDescent="0.2">
      <c r="C702" s="12"/>
    </row>
    <row r="703" spans="3:3" ht="15.75" customHeight="1" x14ac:dyDescent="0.2">
      <c r="C703" s="12"/>
    </row>
    <row r="704" spans="3:3" ht="15.75" customHeight="1" x14ac:dyDescent="0.2">
      <c r="C704" s="12"/>
    </row>
    <row r="705" spans="3:3" ht="15.75" customHeight="1" x14ac:dyDescent="0.2">
      <c r="C705" s="12"/>
    </row>
    <row r="706" spans="3:3" ht="15.75" customHeight="1" x14ac:dyDescent="0.2">
      <c r="C706" s="12"/>
    </row>
    <row r="707" spans="3:3" ht="15.75" customHeight="1" x14ac:dyDescent="0.2">
      <c r="C707" s="12"/>
    </row>
    <row r="708" spans="3:3" ht="15.75" customHeight="1" x14ac:dyDescent="0.2">
      <c r="C708" s="12"/>
    </row>
    <row r="709" spans="3:3" ht="15.75" customHeight="1" x14ac:dyDescent="0.2">
      <c r="C709" s="12"/>
    </row>
    <row r="710" spans="3:3" ht="15.75" customHeight="1" x14ac:dyDescent="0.2">
      <c r="C710" s="12"/>
    </row>
    <row r="711" spans="3:3" ht="15.75" customHeight="1" x14ac:dyDescent="0.2">
      <c r="C711" s="12"/>
    </row>
    <row r="712" spans="3:3" ht="15.75" customHeight="1" x14ac:dyDescent="0.2">
      <c r="C712" s="12"/>
    </row>
    <row r="713" spans="3:3" ht="15.75" customHeight="1" x14ac:dyDescent="0.2">
      <c r="C713" s="12"/>
    </row>
    <row r="714" spans="3:3" ht="15.75" customHeight="1" x14ac:dyDescent="0.2">
      <c r="C714" s="12"/>
    </row>
    <row r="715" spans="3:3" ht="15.75" customHeight="1" x14ac:dyDescent="0.2">
      <c r="C715" s="12"/>
    </row>
    <row r="716" spans="3:3" ht="15.75" customHeight="1" x14ac:dyDescent="0.2">
      <c r="C716" s="12"/>
    </row>
    <row r="717" spans="3:3" ht="15.75" customHeight="1" x14ac:dyDescent="0.2">
      <c r="C717" s="12"/>
    </row>
    <row r="718" spans="3:3" ht="15.75" customHeight="1" x14ac:dyDescent="0.2">
      <c r="C718" s="12"/>
    </row>
    <row r="719" spans="3:3" ht="15.75" customHeight="1" x14ac:dyDescent="0.2">
      <c r="C719" s="12"/>
    </row>
    <row r="720" spans="3:3" ht="15.75" customHeight="1" x14ac:dyDescent="0.2">
      <c r="C720" s="12"/>
    </row>
    <row r="721" spans="3:3" ht="15.75" customHeight="1" x14ac:dyDescent="0.2">
      <c r="C721" s="12"/>
    </row>
    <row r="722" spans="3:3" ht="15.75" customHeight="1" x14ac:dyDescent="0.2">
      <c r="C722" s="12"/>
    </row>
    <row r="723" spans="3:3" ht="15.75" customHeight="1" x14ac:dyDescent="0.2">
      <c r="C723" s="12"/>
    </row>
    <row r="724" spans="3:3" ht="15.75" customHeight="1" x14ac:dyDescent="0.2">
      <c r="C724" s="12"/>
    </row>
    <row r="725" spans="3:3" ht="15.75" customHeight="1" x14ac:dyDescent="0.2">
      <c r="C725" s="12"/>
    </row>
    <row r="726" spans="3:3" ht="15.75" customHeight="1" x14ac:dyDescent="0.2">
      <c r="C726" s="12"/>
    </row>
    <row r="727" spans="3:3" ht="15.75" customHeight="1" x14ac:dyDescent="0.2">
      <c r="C727" s="12"/>
    </row>
    <row r="728" spans="3:3" ht="15.75" customHeight="1" x14ac:dyDescent="0.2">
      <c r="C728" s="12"/>
    </row>
    <row r="729" spans="3:3" ht="15.75" customHeight="1" x14ac:dyDescent="0.2">
      <c r="C729" s="12"/>
    </row>
    <row r="730" spans="3:3" ht="15.75" customHeight="1" x14ac:dyDescent="0.2">
      <c r="C730" s="12"/>
    </row>
    <row r="731" spans="3:3" ht="15.75" customHeight="1" x14ac:dyDescent="0.2">
      <c r="C731" s="12"/>
    </row>
    <row r="732" spans="3:3" ht="15.75" customHeight="1" x14ac:dyDescent="0.2">
      <c r="C732" s="12"/>
    </row>
    <row r="733" spans="3:3" ht="15.75" customHeight="1" x14ac:dyDescent="0.2">
      <c r="C733" s="12"/>
    </row>
    <row r="734" spans="3:3" ht="15.75" customHeight="1" x14ac:dyDescent="0.2">
      <c r="C734" s="12"/>
    </row>
    <row r="735" spans="3:3" ht="15.75" customHeight="1" x14ac:dyDescent="0.2">
      <c r="C735" s="12"/>
    </row>
    <row r="736" spans="3:3" ht="15.75" customHeight="1" x14ac:dyDescent="0.2">
      <c r="C736" s="12"/>
    </row>
    <row r="737" spans="3:3" ht="15.75" customHeight="1" x14ac:dyDescent="0.2">
      <c r="C737" s="12"/>
    </row>
    <row r="738" spans="3:3" ht="15.75" customHeight="1" x14ac:dyDescent="0.2">
      <c r="C738" s="12"/>
    </row>
    <row r="739" spans="3:3" ht="15.75" customHeight="1" x14ac:dyDescent="0.2">
      <c r="C739" s="12"/>
    </row>
    <row r="740" spans="3:3" ht="15.75" customHeight="1" x14ac:dyDescent="0.2">
      <c r="C740" s="12"/>
    </row>
    <row r="741" spans="3:3" ht="15.75" customHeight="1" x14ac:dyDescent="0.2">
      <c r="C741" s="12"/>
    </row>
    <row r="742" spans="3:3" ht="15.75" customHeight="1" x14ac:dyDescent="0.2">
      <c r="C742" s="12"/>
    </row>
    <row r="743" spans="3:3" ht="15.75" customHeight="1" x14ac:dyDescent="0.2">
      <c r="C743" s="12"/>
    </row>
    <row r="744" spans="3:3" ht="15.75" customHeight="1" x14ac:dyDescent="0.2">
      <c r="C744" s="12"/>
    </row>
    <row r="745" spans="3:3" ht="15.75" customHeight="1" x14ac:dyDescent="0.2">
      <c r="C745" s="12"/>
    </row>
    <row r="746" spans="3:3" ht="15.75" customHeight="1" x14ac:dyDescent="0.2">
      <c r="C746" s="12"/>
    </row>
    <row r="747" spans="3:3" ht="15.75" customHeight="1" x14ac:dyDescent="0.2">
      <c r="C747" s="12"/>
    </row>
    <row r="748" spans="3:3" ht="15.75" customHeight="1" x14ac:dyDescent="0.2">
      <c r="C748" s="12"/>
    </row>
    <row r="749" spans="3:3" ht="15.75" customHeight="1" x14ac:dyDescent="0.2">
      <c r="C749" s="12"/>
    </row>
    <row r="750" spans="3:3" ht="15.75" customHeight="1" x14ac:dyDescent="0.2">
      <c r="C750" s="12"/>
    </row>
    <row r="751" spans="3:3" ht="15.75" customHeight="1" x14ac:dyDescent="0.2">
      <c r="C751" s="12"/>
    </row>
    <row r="752" spans="3:3" ht="15.75" customHeight="1" x14ac:dyDescent="0.2">
      <c r="C752" s="12"/>
    </row>
    <row r="753" spans="3:3" ht="15.75" customHeight="1" x14ac:dyDescent="0.2">
      <c r="C753" s="12"/>
    </row>
    <row r="754" spans="3:3" ht="15.75" customHeight="1" x14ac:dyDescent="0.2">
      <c r="C754" s="12"/>
    </row>
    <row r="755" spans="3:3" ht="15.75" customHeight="1" x14ac:dyDescent="0.2">
      <c r="C755" s="12"/>
    </row>
    <row r="756" spans="3:3" ht="15.75" customHeight="1" x14ac:dyDescent="0.2">
      <c r="C756" s="12"/>
    </row>
    <row r="757" spans="3:3" ht="15.75" customHeight="1" x14ac:dyDescent="0.2">
      <c r="C757" s="12"/>
    </row>
    <row r="758" spans="3:3" ht="15.75" customHeight="1" x14ac:dyDescent="0.2">
      <c r="C758" s="12"/>
    </row>
    <row r="759" spans="3:3" ht="15.75" customHeight="1" x14ac:dyDescent="0.2">
      <c r="C759" s="12"/>
    </row>
    <row r="760" spans="3:3" ht="15.75" customHeight="1" x14ac:dyDescent="0.2">
      <c r="C760" s="12"/>
    </row>
    <row r="761" spans="3:3" ht="15.75" customHeight="1" x14ac:dyDescent="0.2">
      <c r="C761" s="12"/>
    </row>
    <row r="762" spans="3:3" ht="15.75" customHeight="1" x14ac:dyDescent="0.2">
      <c r="C762" s="12"/>
    </row>
    <row r="763" spans="3:3" ht="15.75" customHeight="1" x14ac:dyDescent="0.2">
      <c r="C763" s="12"/>
    </row>
    <row r="764" spans="3:3" ht="15.75" customHeight="1" x14ac:dyDescent="0.2">
      <c r="C764" s="12"/>
    </row>
    <row r="765" spans="3:3" ht="15.75" customHeight="1" x14ac:dyDescent="0.2">
      <c r="C765" s="12"/>
    </row>
    <row r="766" spans="3:3" ht="15.75" customHeight="1" x14ac:dyDescent="0.2">
      <c r="C766" s="12"/>
    </row>
    <row r="767" spans="3:3" ht="15.75" customHeight="1" x14ac:dyDescent="0.2">
      <c r="C767" s="12"/>
    </row>
    <row r="768" spans="3:3" ht="15.75" customHeight="1" x14ac:dyDescent="0.2">
      <c r="C768" s="12"/>
    </row>
    <row r="769" spans="3:3" ht="15.75" customHeight="1" x14ac:dyDescent="0.2">
      <c r="C769" s="12"/>
    </row>
    <row r="770" spans="3:3" ht="15.75" customHeight="1" x14ac:dyDescent="0.2">
      <c r="C770" s="12"/>
    </row>
    <row r="771" spans="3:3" ht="15.75" customHeight="1" x14ac:dyDescent="0.2">
      <c r="C771" s="12"/>
    </row>
    <row r="772" spans="3:3" ht="15.75" customHeight="1" x14ac:dyDescent="0.2">
      <c r="C772" s="12"/>
    </row>
    <row r="773" spans="3:3" ht="15.75" customHeight="1" x14ac:dyDescent="0.2">
      <c r="C773" s="12"/>
    </row>
    <row r="774" spans="3:3" ht="15.75" customHeight="1" x14ac:dyDescent="0.2">
      <c r="C774" s="12"/>
    </row>
    <row r="775" spans="3:3" ht="15.75" customHeight="1" x14ac:dyDescent="0.2">
      <c r="C775" s="12"/>
    </row>
    <row r="776" spans="3:3" ht="15.75" customHeight="1" x14ac:dyDescent="0.2">
      <c r="C776" s="12"/>
    </row>
    <row r="777" spans="3:3" ht="15.75" customHeight="1" x14ac:dyDescent="0.2">
      <c r="C777" s="12"/>
    </row>
    <row r="778" spans="3:3" ht="15.75" customHeight="1" x14ac:dyDescent="0.2">
      <c r="C778" s="12"/>
    </row>
    <row r="779" spans="3:3" ht="15.75" customHeight="1" x14ac:dyDescent="0.2">
      <c r="C779" s="12"/>
    </row>
    <row r="780" spans="3:3" ht="15.75" customHeight="1" x14ac:dyDescent="0.2">
      <c r="C780" s="12"/>
    </row>
    <row r="781" spans="3:3" ht="15.75" customHeight="1" x14ac:dyDescent="0.2">
      <c r="C781" s="12"/>
    </row>
    <row r="782" spans="3:3" ht="15.75" customHeight="1" x14ac:dyDescent="0.2">
      <c r="C782" s="12"/>
    </row>
    <row r="783" spans="3:3" ht="15.75" customHeight="1" x14ac:dyDescent="0.2">
      <c r="C783" s="12"/>
    </row>
    <row r="784" spans="3:3" ht="15.75" customHeight="1" x14ac:dyDescent="0.2">
      <c r="C784" s="12"/>
    </row>
    <row r="785" spans="3:3" ht="15.75" customHeight="1" x14ac:dyDescent="0.2">
      <c r="C785" s="12"/>
    </row>
    <row r="786" spans="3:3" ht="15.75" customHeight="1" x14ac:dyDescent="0.2">
      <c r="C786" s="12"/>
    </row>
    <row r="787" spans="3:3" ht="15.75" customHeight="1" x14ac:dyDescent="0.2">
      <c r="C787" s="12"/>
    </row>
    <row r="788" spans="3:3" ht="15.75" customHeight="1" x14ac:dyDescent="0.2">
      <c r="C788" s="12"/>
    </row>
    <row r="789" spans="3:3" ht="15.75" customHeight="1" x14ac:dyDescent="0.2">
      <c r="C789" s="12"/>
    </row>
    <row r="790" spans="3:3" ht="15.75" customHeight="1" x14ac:dyDescent="0.2">
      <c r="C790" s="12"/>
    </row>
    <row r="791" spans="3:3" ht="15.75" customHeight="1" x14ac:dyDescent="0.2">
      <c r="C791" s="12"/>
    </row>
    <row r="792" spans="3:3" ht="15.75" customHeight="1" x14ac:dyDescent="0.2">
      <c r="C792" s="12"/>
    </row>
    <row r="793" spans="3:3" ht="15.75" customHeight="1" x14ac:dyDescent="0.2">
      <c r="C793" s="12"/>
    </row>
    <row r="794" spans="3:3" ht="15.75" customHeight="1" x14ac:dyDescent="0.2">
      <c r="C794" s="12"/>
    </row>
    <row r="795" spans="3:3" ht="15.75" customHeight="1" x14ac:dyDescent="0.2">
      <c r="C795" s="12"/>
    </row>
    <row r="796" spans="3:3" ht="15.75" customHeight="1" x14ac:dyDescent="0.2">
      <c r="C796" s="12"/>
    </row>
    <row r="797" spans="3:3" ht="15.75" customHeight="1" x14ac:dyDescent="0.2">
      <c r="C797" s="12"/>
    </row>
    <row r="798" spans="3:3" ht="15.75" customHeight="1" x14ac:dyDescent="0.2">
      <c r="C798" s="12"/>
    </row>
    <row r="799" spans="3:3" ht="15.75" customHeight="1" x14ac:dyDescent="0.2">
      <c r="C799" s="12"/>
    </row>
    <row r="800" spans="3:3" ht="15.75" customHeight="1" x14ac:dyDescent="0.2">
      <c r="C800" s="12"/>
    </row>
    <row r="801" spans="3:3" ht="15.75" customHeight="1" x14ac:dyDescent="0.2">
      <c r="C801" s="12"/>
    </row>
    <row r="802" spans="3:3" ht="15.75" customHeight="1" x14ac:dyDescent="0.2">
      <c r="C802" s="12"/>
    </row>
    <row r="803" spans="3:3" ht="15.75" customHeight="1" x14ac:dyDescent="0.2">
      <c r="C803" s="12"/>
    </row>
    <row r="804" spans="3:3" ht="15.75" customHeight="1" x14ac:dyDescent="0.2">
      <c r="C804" s="12"/>
    </row>
    <row r="805" spans="3:3" ht="15.75" customHeight="1" x14ac:dyDescent="0.2">
      <c r="C805" s="12"/>
    </row>
    <row r="806" spans="3:3" ht="15.75" customHeight="1" x14ac:dyDescent="0.2">
      <c r="C806" s="12"/>
    </row>
    <row r="807" spans="3:3" ht="15.75" customHeight="1" x14ac:dyDescent="0.2">
      <c r="C807" s="12"/>
    </row>
    <row r="808" spans="3:3" ht="15.75" customHeight="1" x14ac:dyDescent="0.2">
      <c r="C808" s="12"/>
    </row>
    <row r="809" spans="3:3" ht="15.75" customHeight="1" x14ac:dyDescent="0.2">
      <c r="C809" s="12"/>
    </row>
    <row r="810" spans="3:3" ht="15.75" customHeight="1" x14ac:dyDescent="0.2">
      <c r="C810" s="12"/>
    </row>
    <row r="811" spans="3:3" ht="15.75" customHeight="1" x14ac:dyDescent="0.2">
      <c r="C811" s="12"/>
    </row>
    <row r="812" spans="3:3" ht="15.75" customHeight="1" x14ac:dyDescent="0.2">
      <c r="C812" s="12"/>
    </row>
    <row r="813" spans="3:3" ht="15.75" customHeight="1" x14ac:dyDescent="0.2">
      <c r="C813" s="12"/>
    </row>
    <row r="814" spans="3:3" ht="15.75" customHeight="1" x14ac:dyDescent="0.2">
      <c r="C814" s="12"/>
    </row>
    <row r="815" spans="3:3" ht="15.75" customHeight="1" x14ac:dyDescent="0.2">
      <c r="C815" s="12"/>
    </row>
    <row r="816" spans="3:3" ht="15.75" customHeight="1" x14ac:dyDescent="0.2">
      <c r="C816" s="12"/>
    </row>
    <row r="817" spans="3:3" ht="15.75" customHeight="1" x14ac:dyDescent="0.2">
      <c r="C817" s="12"/>
    </row>
    <row r="818" spans="3:3" ht="15.75" customHeight="1" x14ac:dyDescent="0.2">
      <c r="C818" s="12"/>
    </row>
    <row r="819" spans="3:3" ht="15.75" customHeight="1" x14ac:dyDescent="0.2">
      <c r="C819" s="12"/>
    </row>
    <row r="820" spans="3:3" ht="15.75" customHeight="1" x14ac:dyDescent="0.2">
      <c r="C820" s="12"/>
    </row>
    <row r="821" spans="3:3" ht="15.75" customHeight="1" x14ac:dyDescent="0.2">
      <c r="C821" s="12"/>
    </row>
    <row r="822" spans="3:3" ht="15.75" customHeight="1" x14ac:dyDescent="0.2">
      <c r="C822" s="12"/>
    </row>
    <row r="823" spans="3:3" ht="15.75" customHeight="1" x14ac:dyDescent="0.2">
      <c r="C823" s="12"/>
    </row>
    <row r="824" spans="3:3" ht="15.75" customHeight="1" x14ac:dyDescent="0.2">
      <c r="C824" s="12"/>
    </row>
    <row r="825" spans="3:3" ht="15.75" customHeight="1" x14ac:dyDescent="0.2">
      <c r="C825" s="12"/>
    </row>
    <row r="826" spans="3:3" ht="15.75" customHeight="1" x14ac:dyDescent="0.2">
      <c r="C826" s="12"/>
    </row>
    <row r="827" spans="3:3" ht="15.75" customHeight="1" x14ac:dyDescent="0.2">
      <c r="C827" s="12"/>
    </row>
    <row r="828" spans="3:3" ht="15.75" customHeight="1" x14ac:dyDescent="0.2">
      <c r="C828" s="12"/>
    </row>
    <row r="829" spans="3:3" ht="15.75" customHeight="1" x14ac:dyDescent="0.2">
      <c r="C829" s="12"/>
    </row>
    <row r="830" spans="3:3" ht="15.75" customHeight="1" x14ac:dyDescent="0.2">
      <c r="C830" s="12"/>
    </row>
    <row r="831" spans="3:3" ht="15.75" customHeight="1" x14ac:dyDescent="0.2">
      <c r="C831" s="12"/>
    </row>
    <row r="832" spans="3:3" ht="15.75" customHeight="1" x14ac:dyDescent="0.2">
      <c r="C832" s="12"/>
    </row>
    <row r="833" spans="3:3" ht="15.75" customHeight="1" x14ac:dyDescent="0.2">
      <c r="C833" s="12"/>
    </row>
    <row r="834" spans="3:3" ht="15.75" customHeight="1" x14ac:dyDescent="0.2">
      <c r="C834" s="12"/>
    </row>
    <row r="835" spans="3:3" ht="15.75" customHeight="1" x14ac:dyDescent="0.2">
      <c r="C835" s="12"/>
    </row>
    <row r="836" spans="3:3" ht="15.75" customHeight="1" x14ac:dyDescent="0.2">
      <c r="C836" s="12"/>
    </row>
    <row r="837" spans="3:3" ht="15.75" customHeight="1" x14ac:dyDescent="0.2">
      <c r="C837" s="12"/>
    </row>
    <row r="838" spans="3:3" ht="15.75" customHeight="1" x14ac:dyDescent="0.2">
      <c r="C838" s="12"/>
    </row>
    <row r="839" spans="3:3" ht="15.75" customHeight="1" x14ac:dyDescent="0.2">
      <c r="C839" s="12"/>
    </row>
    <row r="840" spans="3:3" ht="15.75" customHeight="1" x14ac:dyDescent="0.2">
      <c r="C840" s="12"/>
    </row>
    <row r="841" spans="3:3" ht="15.75" customHeight="1" x14ac:dyDescent="0.2">
      <c r="C841" s="12"/>
    </row>
    <row r="842" spans="3:3" ht="15.75" customHeight="1" x14ac:dyDescent="0.2">
      <c r="C842" s="12"/>
    </row>
    <row r="843" spans="3:3" ht="15.75" customHeight="1" x14ac:dyDescent="0.2">
      <c r="C843" s="12"/>
    </row>
    <row r="844" spans="3:3" ht="15.75" customHeight="1" x14ac:dyDescent="0.2">
      <c r="C844" s="12"/>
    </row>
    <row r="845" spans="3:3" ht="15.75" customHeight="1" x14ac:dyDescent="0.2">
      <c r="C845" s="12"/>
    </row>
    <row r="846" spans="3:3" ht="15.75" customHeight="1" x14ac:dyDescent="0.2">
      <c r="C846" s="12"/>
    </row>
    <row r="847" spans="3:3" ht="15.75" customHeight="1" x14ac:dyDescent="0.2">
      <c r="C847" s="12"/>
    </row>
    <row r="848" spans="3:3" ht="15.75" customHeight="1" x14ac:dyDescent="0.2">
      <c r="C848" s="12"/>
    </row>
    <row r="849" spans="3:3" ht="15.75" customHeight="1" x14ac:dyDescent="0.2">
      <c r="C849" s="12"/>
    </row>
    <row r="850" spans="3:3" ht="15.75" customHeight="1" x14ac:dyDescent="0.2">
      <c r="C850" s="12"/>
    </row>
    <row r="851" spans="3:3" ht="15.75" customHeight="1" x14ac:dyDescent="0.2">
      <c r="C851" s="12"/>
    </row>
    <row r="852" spans="3:3" ht="15.75" customHeight="1" x14ac:dyDescent="0.2">
      <c r="C852" s="12"/>
    </row>
    <row r="853" spans="3:3" ht="15.75" customHeight="1" x14ac:dyDescent="0.2">
      <c r="C853" s="12"/>
    </row>
    <row r="854" spans="3:3" ht="15.75" customHeight="1" x14ac:dyDescent="0.2">
      <c r="C854" s="12"/>
    </row>
    <row r="855" spans="3:3" ht="15.75" customHeight="1" x14ac:dyDescent="0.2">
      <c r="C855" s="12"/>
    </row>
    <row r="856" spans="3:3" ht="15.75" customHeight="1" x14ac:dyDescent="0.2">
      <c r="C856" s="12"/>
    </row>
    <row r="857" spans="3:3" ht="15.75" customHeight="1" x14ac:dyDescent="0.2">
      <c r="C857" s="12"/>
    </row>
    <row r="858" spans="3:3" ht="15.75" customHeight="1" x14ac:dyDescent="0.2">
      <c r="C858" s="12"/>
    </row>
    <row r="859" spans="3:3" ht="15.75" customHeight="1" x14ac:dyDescent="0.2">
      <c r="C859" s="12"/>
    </row>
    <row r="860" spans="3:3" ht="15.75" customHeight="1" x14ac:dyDescent="0.2">
      <c r="C860" s="12"/>
    </row>
    <row r="861" spans="3:3" ht="15.75" customHeight="1" x14ac:dyDescent="0.2">
      <c r="C861" s="12"/>
    </row>
    <row r="862" spans="3:3" ht="15.75" customHeight="1" x14ac:dyDescent="0.2">
      <c r="C862" s="12"/>
    </row>
    <row r="863" spans="3:3" ht="15.75" customHeight="1" x14ac:dyDescent="0.2">
      <c r="C863" s="12"/>
    </row>
    <row r="864" spans="3:3" ht="15.75" customHeight="1" x14ac:dyDescent="0.2">
      <c r="C864" s="12"/>
    </row>
    <row r="865" spans="3:3" ht="15.75" customHeight="1" x14ac:dyDescent="0.2">
      <c r="C865" s="12"/>
    </row>
    <row r="866" spans="3:3" ht="15.75" customHeight="1" x14ac:dyDescent="0.2">
      <c r="C866" s="12"/>
    </row>
    <row r="867" spans="3:3" ht="15.75" customHeight="1" x14ac:dyDescent="0.2">
      <c r="C867" s="12"/>
    </row>
    <row r="868" spans="3:3" ht="15.75" customHeight="1" x14ac:dyDescent="0.2">
      <c r="C868" s="12"/>
    </row>
    <row r="869" spans="3:3" ht="15.75" customHeight="1" x14ac:dyDescent="0.2">
      <c r="C869" s="12"/>
    </row>
    <row r="870" spans="3:3" ht="15.75" customHeight="1" x14ac:dyDescent="0.2">
      <c r="C870" s="12"/>
    </row>
    <row r="871" spans="3:3" ht="15.75" customHeight="1" x14ac:dyDescent="0.2">
      <c r="C871" s="12"/>
    </row>
    <row r="872" spans="3:3" ht="15.75" customHeight="1" x14ac:dyDescent="0.2">
      <c r="C872" s="12"/>
    </row>
    <row r="873" spans="3:3" ht="15.75" customHeight="1" x14ac:dyDescent="0.2">
      <c r="C873" s="12"/>
    </row>
    <row r="874" spans="3:3" ht="15.75" customHeight="1" x14ac:dyDescent="0.2">
      <c r="C874" s="12"/>
    </row>
    <row r="875" spans="3:3" ht="15.75" customHeight="1" x14ac:dyDescent="0.2">
      <c r="C875" s="12"/>
    </row>
    <row r="876" spans="3:3" ht="15.75" customHeight="1" x14ac:dyDescent="0.2">
      <c r="C876" s="12"/>
    </row>
    <row r="877" spans="3:3" ht="15.75" customHeight="1" x14ac:dyDescent="0.2">
      <c r="C877" s="12"/>
    </row>
    <row r="878" spans="3:3" ht="15.75" customHeight="1" x14ac:dyDescent="0.2">
      <c r="C878" s="12"/>
    </row>
    <row r="879" spans="3:3" ht="15.75" customHeight="1" x14ac:dyDescent="0.2">
      <c r="C879" s="12"/>
    </row>
    <row r="880" spans="3:3" ht="15.75" customHeight="1" x14ac:dyDescent="0.2">
      <c r="C880" s="12"/>
    </row>
    <row r="881" spans="3:3" ht="15.75" customHeight="1" x14ac:dyDescent="0.2">
      <c r="C881" s="12"/>
    </row>
    <row r="882" spans="3:3" ht="15.75" customHeight="1" x14ac:dyDescent="0.2">
      <c r="C882" s="12"/>
    </row>
    <row r="883" spans="3:3" ht="15.75" customHeight="1" x14ac:dyDescent="0.2">
      <c r="C883" s="12"/>
    </row>
    <row r="884" spans="3:3" ht="15.75" customHeight="1" x14ac:dyDescent="0.2">
      <c r="C884" s="12"/>
    </row>
    <row r="885" spans="3:3" ht="15.75" customHeight="1" x14ac:dyDescent="0.2">
      <c r="C885" s="12"/>
    </row>
    <row r="886" spans="3:3" ht="15.75" customHeight="1" x14ac:dyDescent="0.2">
      <c r="C886" s="12"/>
    </row>
    <row r="887" spans="3:3" ht="15.75" customHeight="1" x14ac:dyDescent="0.2">
      <c r="C887" s="12"/>
    </row>
    <row r="888" spans="3:3" ht="15.75" customHeight="1" x14ac:dyDescent="0.2">
      <c r="C888" s="12"/>
    </row>
    <row r="889" spans="3:3" ht="15.75" customHeight="1" x14ac:dyDescent="0.2">
      <c r="C889" s="12"/>
    </row>
    <row r="890" spans="3:3" ht="15.75" customHeight="1" x14ac:dyDescent="0.2">
      <c r="C890" s="12"/>
    </row>
    <row r="891" spans="3:3" ht="15.75" customHeight="1" x14ac:dyDescent="0.2">
      <c r="C891" s="12"/>
    </row>
    <row r="892" spans="3:3" ht="15.75" customHeight="1" x14ac:dyDescent="0.2">
      <c r="C892" s="12"/>
    </row>
    <row r="893" spans="3:3" ht="15.75" customHeight="1" x14ac:dyDescent="0.2">
      <c r="C893" s="12"/>
    </row>
    <row r="894" spans="3:3" ht="15.75" customHeight="1" x14ac:dyDescent="0.2">
      <c r="C894" s="12"/>
    </row>
    <row r="895" spans="3:3" ht="15.75" customHeight="1" x14ac:dyDescent="0.2">
      <c r="C895" s="12"/>
    </row>
    <row r="896" spans="3:3" ht="15.75" customHeight="1" x14ac:dyDescent="0.2">
      <c r="C896" s="12"/>
    </row>
    <row r="897" spans="3:3" ht="15.75" customHeight="1" x14ac:dyDescent="0.2">
      <c r="C897" s="12"/>
    </row>
    <row r="898" spans="3:3" ht="15.75" customHeight="1" x14ac:dyDescent="0.2">
      <c r="C898" s="12"/>
    </row>
    <row r="899" spans="3:3" ht="15.75" customHeight="1" x14ac:dyDescent="0.2">
      <c r="C899" s="12"/>
    </row>
    <row r="900" spans="3:3" ht="15.75" customHeight="1" x14ac:dyDescent="0.2">
      <c r="C900" s="12"/>
    </row>
    <row r="901" spans="3:3" ht="15.75" customHeight="1" x14ac:dyDescent="0.2">
      <c r="C901" s="12"/>
    </row>
    <row r="902" spans="3:3" ht="15.75" customHeight="1" x14ac:dyDescent="0.2">
      <c r="C902" s="12"/>
    </row>
    <row r="903" spans="3:3" ht="15.75" customHeight="1" x14ac:dyDescent="0.2">
      <c r="C903" s="12"/>
    </row>
    <row r="904" spans="3:3" ht="15.75" customHeight="1" x14ac:dyDescent="0.2">
      <c r="C904" s="12"/>
    </row>
    <row r="905" spans="3:3" ht="15.75" customHeight="1" x14ac:dyDescent="0.2">
      <c r="C905" s="12"/>
    </row>
    <row r="906" spans="3:3" ht="15.75" customHeight="1" x14ac:dyDescent="0.2">
      <c r="C906" s="12"/>
    </row>
    <row r="907" spans="3:3" ht="15.75" customHeight="1" x14ac:dyDescent="0.2">
      <c r="C907" s="12"/>
    </row>
    <row r="908" spans="3:3" ht="15.75" customHeight="1" x14ac:dyDescent="0.2">
      <c r="C908" s="12"/>
    </row>
    <row r="909" spans="3:3" ht="15.75" customHeight="1" x14ac:dyDescent="0.2">
      <c r="C909" s="12"/>
    </row>
    <row r="910" spans="3:3" ht="15.75" customHeight="1" x14ac:dyDescent="0.2">
      <c r="C910" s="12"/>
    </row>
    <row r="911" spans="3:3" ht="15.75" customHeight="1" x14ac:dyDescent="0.2">
      <c r="C911" s="12"/>
    </row>
    <row r="912" spans="3:3" ht="15.75" customHeight="1" x14ac:dyDescent="0.2">
      <c r="C912" s="12"/>
    </row>
    <row r="913" spans="3:3" ht="15.75" customHeight="1" x14ac:dyDescent="0.2">
      <c r="C913" s="12"/>
    </row>
    <row r="914" spans="3:3" ht="15.75" customHeight="1" x14ac:dyDescent="0.2">
      <c r="C914" s="12"/>
    </row>
    <row r="915" spans="3:3" ht="15.75" customHeight="1" x14ac:dyDescent="0.2">
      <c r="C915" s="12"/>
    </row>
    <row r="916" spans="3:3" ht="15.75" customHeight="1" x14ac:dyDescent="0.2">
      <c r="C916" s="12"/>
    </row>
    <row r="917" spans="3:3" ht="15.75" customHeight="1" x14ac:dyDescent="0.2">
      <c r="C917" s="12"/>
    </row>
    <row r="918" spans="3:3" ht="15.75" customHeight="1" x14ac:dyDescent="0.2">
      <c r="C918" s="12"/>
    </row>
    <row r="919" spans="3:3" ht="15.75" customHeight="1" x14ac:dyDescent="0.2">
      <c r="C919" s="12"/>
    </row>
    <row r="920" spans="3:3" ht="15.75" customHeight="1" x14ac:dyDescent="0.2">
      <c r="C920" s="12"/>
    </row>
    <row r="921" spans="3:3" ht="15.75" customHeight="1" x14ac:dyDescent="0.2">
      <c r="C921" s="12"/>
    </row>
    <row r="922" spans="3:3" ht="15.75" customHeight="1" x14ac:dyDescent="0.2">
      <c r="C922" s="12"/>
    </row>
    <row r="923" spans="3:3" ht="15.75" customHeight="1" x14ac:dyDescent="0.2">
      <c r="C923" s="12"/>
    </row>
    <row r="924" spans="3:3" ht="15.75" customHeight="1" x14ac:dyDescent="0.2">
      <c r="C924" s="12"/>
    </row>
    <row r="925" spans="3:3" ht="15.75" customHeight="1" x14ac:dyDescent="0.2">
      <c r="C925" s="12"/>
    </row>
    <row r="926" spans="3:3" ht="15.75" customHeight="1" x14ac:dyDescent="0.2">
      <c r="C926" s="12"/>
    </row>
    <row r="927" spans="3:3" ht="15.75" customHeight="1" x14ac:dyDescent="0.2">
      <c r="C927" s="12"/>
    </row>
    <row r="928" spans="3:3" ht="15.75" customHeight="1" x14ac:dyDescent="0.2">
      <c r="C928" s="12"/>
    </row>
    <row r="929" spans="3:3" ht="15.75" customHeight="1" x14ac:dyDescent="0.2">
      <c r="C929" s="12"/>
    </row>
    <row r="930" spans="3:3" ht="15.75" customHeight="1" x14ac:dyDescent="0.2">
      <c r="C930" s="12"/>
    </row>
    <row r="931" spans="3:3" ht="15.75" customHeight="1" x14ac:dyDescent="0.2">
      <c r="C931" s="12"/>
    </row>
    <row r="932" spans="3:3" ht="15.75" customHeight="1" x14ac:dyDescent="0.2">
      <c r="C932" s="12"/>
    </row>
    <row r="933" spans="3:3" ht="15.75" customHeight="1" x14ac:dyDescent="0.2">
      <c r="C933" s="12"/>
    </row>
    <row r="934" spans="3:3" ht="15.75" customHeight="1" x14ac:dyDescent="0.2">
      <c r="C934" s="12"/>
    </row>
    <row r="935" spans="3:3" ht="15.75" customHeight="1" x14ac:dyDescent="0.2">
      <c r="C935" s="12"/>
    </row>
    <row r="936" spans="3:3" ht="15.75" customHeight="1" x14ac:dyDescent="0.2">
      <c r="C936" s="12"/>
    </row>
    <row r="937" spans="3:3" ht="15.75" customHeight="1" x14ac:dyDescent="0.2">
      <c r="C937" s="12"/>
    </row>
    <row r="938" spans="3:3" ht="15.75" customHeight="1" x14ac:dyDescent="0.2">
      <c r="C938" s="12"/>
    </row>
    <row r="939" spans="3:3" ht="15.75" customHeight="1" x14ac:dyDescent="0.2">
      <c r="C939" s="12"/>
    </row>
    <row r="940" spans="3:3" ht="15.75" customHeight="1" x14ac:dyDescent="0.2">
      <c r="C940" s="12"/>
    </row>
    <row r="941" spans="3:3" ht="15.75" customHeight="1" x14ac:dyDescent="0.2">
      <c r="C941" s="12"/>
    </row>
    <row r="942" spans="3:3" ht="15.75" customHeight="1" x14ac:dyDescent="0.2">
      <c r="C942" s="12"/>
    </row>
    <row r="943" spans="3:3" ht="15.75" customHeight="1" x14ac:dyDescent="0.2">
      <c r="C943" s="12"/>
    </row>
    <row r="944" spans="3:3" ht="15.75" customHeight="1" x14ac:dyDescent="0.2">
      <c r="C944" s="12"/>
    </row>
    <row r="945" spans="3:3" ht="15.75" customHeight="1" x14ac:dyDescent="0.2">
      <c r="C945" s="12"/>
    </row>
    <row r="946" spans="3:3" ht="15.75" customHeight="1" x14ac:dyDescent="0.2">
      <c r="C946" s="12"/>
    </row>
    <row r="947" spans="3:3" ht="15.75" customHeight="1" x14ac:dyDescent="0.2">
      <c r="C947" s="12"/>
    </row>
    <row r="948" spans="3:3" ht="15.75" customHeight="1" x14ac:dyDescent="0.2">
      <c r="C948" s="12"/>
    </row>
    <row r="949" spans="3:3" ht="15.75" customHeight="1" x14ac:dyDescent="0.2">
      <c r="C949" s="12"/>
    </row>
    <row r="950" spans="3:3" ht="15.75" customHeight="1" x14ac:dyDescent="0.2">
      <c r="C950" s="12"/>
    </row>
    <row r="951" spans="3:3" ht="15.75" customHeight="1" x14ac:dyDescent="0.2">
      <c r="C951" s="12"/>
    </row>
    <row r="952" spans="3:3" ht="15.75" customHeight="1" x14ac:dyDescent="0.2">
      <c r="C952" s="12"/>
    </row>
    <row r="953" spans="3:3" ht="15.75" customHeight="1" x14ac:dyDescent="0.2">
      <c r="C953" s="12"/>
    </row>
    <row r="954" spans="3:3" ht="15.75" customHeight="1" x14ac:dyDescent="0.2">
      <c r="C954" s="12"/>
    </row>
    <row r="955" spans="3:3" ht="15.75" customHeight="1" x14ac:dyDescent="0.2">
      <c r="C955" s="12"/>
    </row>
    <row r="956" spans="3:3" ht="15.75" customHeight="1" x14ac:dyDescent="0.2">
      <c r="C956" s="12"/>
    </row>
    <row r="957" spans="3:3" ht="15.75" customHeight="1" x14ac:dyDescent="0.2">
      <c r="C957" s="12"/>
    </row>
    <row r="958" spans="3:3" ht="15.75" customHeight="1" x14ac:dyDescent="0.2">
      <c r="C958" s="12"/>
    </row>
    <row r="959" spans="3:3" ht="15.75" customHeight="1" x14ac:dyDescent="0.2">
      <c r="C959" s="12"/>
    </row>
    <row r="960" spans="3:3" ht="15.75" customHeight="1" x14ac:dyDescent="0.2">
      <c r="C960" s="12"/>
    </row>
    <row r="961" spans="3:3" ht="15.75" customHeight="1" x14ac:dyDescent="0.2">
      <c r="C961" s="12"/>
    </row>
    <row r="962" spans="3:3" ht="15.75" customHeight="1" x14ac:dyDescent="0.2">
      <c r="C962" s="12"/>
    </row>
    <row r="963" spans="3:3" ht="15.75" customHeight="1" x14ac:dyDescent="0.2">
      <c r="C963" s="12"/>
    </row>
    <row r="964" spans="3:3" ht="15.75" customHeight="1" x14ac:dyDescent="0.2">
      <c r="C964" s="12"/>
    </row>
    <row r="965" spans="3:3" ht="15.75" customHeight="1" x14ac:dyDescent="0.2">
      <c r="C965" s="12"/>
    </row>
    <row r="966" spans="3:3" ht="15.75" customHeight="1" x14ac:dyDescent="0.2">
      <c r="C966" s="12"/>
    </row>
    <row r="967" spans="3:3" ht="15.75" customHeight="1" x14ac:dyDescent="0.2">
      <c r="C967" s="12"/>
    </row>
    <row r="968" spans="3:3" ht="15.75" customHeight="1" x14ac:dyDescent="0.2">
      <c r="C968" s="12"/>
    </row>
    <row r="969" spans="3:3" ht="15.75" customHeight="1" x14ac:dyDescent="0.2">
      <c r="C969" s="12"/>
    </row>
    <row r="970" spans="3:3" ht="15.75" customHeight="1" x14ac:dyDescent="0.2">
      <c r="C970" s="12"/>
    </row>
    <row r="971" spans="3:3" ht="15.75" customHeight="1" x14ac:dyDescent="0.2">
      <c r="C971" s="12"/>
    </row>
    <row r="972" spans="3:3" ht="15.75" customHeight="1" x14ac:dyDescent="0.2">
      <c r="C972" s="12"/>
    </row>
    <row r="973" spans="3:3" ht="15.75" customHeight="1" x14ac:dyDescent="0.2">
      <c r="C973" s="12"/>
    </row>
    <row r="974" spans="3:3" ht="15.75" customHeight="1" x14ac:dyDescent="0.2">
      <c r="C974" s="12"/>
    </row>
    <row r="975" spans="3:3" ht="15.75" customHeight="1" x14ac:dyDescent="0.2">
      <c r="C975" s="12"/>
    </row>
    <row r="976" spans="3:3" ht="15.75" customHeight="1" x14ac:dyDescent="0.2">
      <c r="C976" s="12"/>
    </row>
    <row r="977" spans="3:3" ht="15.75" customHeight="1" x14ac:dyDescent="0.2">
      <c r="C977" s="12"/>
    </row>
    <row r="978" spans="3:3" ht="15.75" customHeight="1" x14ac:dyDescent="0.2">
      <c r="C978" s="12"/>
    </row>
    <row r="979" spans="3:3" ht="15.75" customHeight="1" x14ac:dyDescent="0.2">
      <c r="C979" s="12"/>
    </row>
    <row r="980" spans="3:3" ht="15.75" customHeight="1" x14ac:dyDescent="0.2">
      <c r="C980" s="12"/>
    </row>
    <row r="981" spans="3:3" ht="15.75" customHeight="1" x14ac:dyDescent="0.2">
      <c r="C981" s="12"/>
    </row>
    <row r="982" spans="3:3" ht="15.75" customHeight="1" x14ac:dyDescent="0.2">
      <c r="C982" s="12"/>
    </row>
    <row r="983" spans="3:3" ht="15.75" customHeight="1" x14ac:dyDescent="0.2">
      <c r="C983" s="12"/>
    </row>
    <row r="984" spans="3:3" ht="15.75" customHeight="1" x14ac:dyDescent="0.2">
      <c r="C984" s="12"/>
    </row>
    <row r="985" spans="3:3" ht="15.75" customHeight="1" x14ac:dyDescent="0.2">
      <c r="C985" s="12"/>
    </row>
    <row r="986" spans="3:3" ht="15.75" customHeight="1" x14ac:dyDescent="0.2">
      <c r="C986" s="12"/>
    </row>
    <row r="987" spans="3:3" ht="15.75" customHeight="1" x14ac:dyDescent="0.2">
      <c r="C987" s="12"/>
    </row>
    <row r="988" spans="3:3" ht="15.75" customHeight="1" x14ac:dyDescent="0.2">
      <c r="C988" s="12"/>
    </row>
    <row r="989" spans="3:3" ht="15.75" customHeight="1" x14ac:dyDescent="0.2">
      <c r="C989" s="12"/>
    </row>
    <row r="990" spans="3:3" ht="15.75" customHeight="1" x14ac:dyDescent="0.2">
      <c r="C990" s="12"/>
    </row>
    <row r="991" spans="3:3" ht="15.75" customHeight="1" x14ac:dyDescent="0.2">
      <c r="C991" s="12"/>
    </row>
    <row r="992" spans="3:3" ht="15.75" customHeight="1" x14ac:dyDescent="0.2">
      <c r="C992" s="12"/>
    </row>
    <row r="993" spans="3:3" ht="15.75" customHeight="1" x14ac:dyDescent="0.2">
      <c r="C993" s="12"/>
    </row>
    <row r="994" spans="3:3" ht="15.75" customHeight="1" x14ac:dyDescent="0.2">
      <c r="C994" s="12"/>
    </row>
    <row r="995" spans="3:3" ht="15.75" customHeight="1" x14ac:dyDescent="0.2">
      <c r="C995" s="12"/>
    </row>
    <row r="996" spans="3:3" ht="15.75" customHeight="1" x14ac:dyDescent="0.2">
      <c r="C996" s="12"/>
    </row>
    <row r="997" spans="3:3" ht="15.75" customHeight="1" x14ac:dyDescent="0.2">
      <c r="C997" s="12"/>
    </row>
    <row r="998" spans="3:3" ht="15.75" customHeight="1" x14ac:dyDescent="0.2">
      <c r="C998" s="12"/>
    </row>
    <row r="999" spans="3:3" ht="15.75" customHeight="1" x14ac:dyDescent="0.2">
      <c r="C999" s="12"/>
    </row>
    <row r="1000" spans="3:3" ht="15.75" customHeight="1" x14ac:dyDescent="0.2">
      <c r="C1000" s="12"/>
    </row>
  </sheetData>
  <autoFilter ref="A1:D11" xr:uid="{00000000-0009-0000-0000-00000C000000}"/>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00"/>
  <sheetViews>
    <sheetView workbookViewId="0"/>
  </sheetViews>
  <sheetFormatPr baseColWidth="10" defaultColWidth="14.5" defaultRowHeight="15" customHeight="1" x14ac:dyDescent="0.2"/>
  <cols>
    <col min="1" max="1" width="3.1640625" customWidth="1"/>
    <col min="2" max="2" width="22.83203125" customWidth="1"/>
    <col min="3" max="26" width="11.5" customWidth="1"/>
  </cols>
  <sheetData>
    <row r="1" spans="1:2" x14ac:dyDescent="0.2">
      <c r="A1" s="1" t="s">
        <v>56</v>
      </c>
      <c r="B1" s="1" t="s">
        <v>393</v>
      </c>
    </row>
    <row r="2" spans="1:2" x14ac:dyDescent="0.2">
      <c r="A2" s="2">
        <v>1</v>
      </c>
      <c r="B2" s="2" t="s">
        <v>394</v>
      </c>
    </row>
    <row r="3" spans="1:2" x14ac:dyDescent="0.2">
      <c r="A3" s="2">
        <v>2</v>
      </c>
      <c r="B3" s="2" t="s">
        <v>395</v>
      </c>
    </row>
    <row r="4" spans="1:2" x14ac:dyDescent="0.2">
      <c r="A4" s="2">
        <v>3</v>
      </c>
      <c r="B4" s="2" t="s">
        <v>396</v>
      </c>
    </row>
    <row r="5" spans="1:2" x14ac:dyDescent="0.2">
      <c r="A5" s="2">
        <v>4</v>
      </c>
      <c r="B5" s="2" t="s">
        <v>397</v>
      </c>
    </row>
    <row r="6" spans="1:2" x14ac:dyDescent="0.2">
      <c r="A6" s="2">
        <v>5</v>
      </c>
      <c r="B6" s="2" t="s">
        <v>398</v>
      </c>
    </row>
    <row r="7" spans="1:2" x14ac:dyDescent="0.2">
      <c r="A7" s="2">
        <v>6</v>
      </c>
      <c r="B7" s="2" t="s">
        <v>399</v>
      </c>
    </row>
    <row r="8" spans="1:2" x14ac:dyDescent="0.2">
      <c r="A8" s="2">
        <v>7</v>
      </c>
      <c r="B8" s="2" t="s">
        <v>400</v>
      </c>
    </row>
    <row r="9" spans="1:2" x14ac:dyDescent="0.2">
      <c r="A9" s="2">
        <v>8</v>
      </c>
      <c r="B9" s="2" t="s">
        <v>401</v>
      </c>
    </row>
    <row r="10" spans="1:2" x14ac:dyDescent="0.2">
      <c r="A10" s="2">
        <v>9</v>
      </c>
      <c r="B10" s="2" t="s">
        <v>402</v>
      </c>
    </row>
    <row r="11" spans="1:2" x14ac:dyDescent="0.2">
      <c r="A11" s="2">
        <v>10</v>
      </c>
      <c r="B11" s="2" t="s">
        <v>403</v>
      </c>
    </row>
    <row r="12" spans="1:2" x14ac:dyDescent="0.2">
      <c r="A12" s="2">
        <v>11</v>
      </c>
      <c r="B12" s="2" t="s">
        <v>404</v>
      </c>
    </row>
    <row r="13" spans="1:2" x14ac:dyDescent="0.2">
      <c r="A13" s="2">
        <v>12</v>
      </c>
      <c r="B13" s="2" t="s">
        <v>405</v>
      </c>
    </row>
    <row r="14" spans="1:2" x14ac:dyDescent="0.2">
      <c r="A14" s="2">
        <v>13</v>
      </c>
      <c r="B14" s="2" t="s">
        <v>406</v>
      </c>
    </row>
    <row r="15" spans="1:2" x14ac:dyDescent="0.2">
      <c r="A15" s="2">
        <v>14</v>
      </c>
      <c r="B15" s="2" t="s">
        <v>407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FFC000"/>
  </sheetPr>
  <dimension ref="A1:K1000"/>
  <sheetViews>
    <sheetView workbookViewId="0"/>
  </sheetViews>
  <sheetFormatPr baseColWidth="10" defaultColWidth="14.5" defaultRowHeight="15" customHeight="1" x14ac:dyDescent="0.2"/>
  <cols>
    <col min="1" max="1" width="5.33203125" customWidth="1"/>
    <col min="2" max="2" width="22.83203125" customWidth="1"/>
    <col min="3" max="3" width="13.5" customWidth="1"/>
    <col min="4" max="4" width="25.83203125" customWidth="1"/>
    <col min="5" max="5" width="11.5" customWidth="1"/>
    <col min="6" max="6" width="17.83203125" customWidth="1"/>
    <col min="7" max="7" width="20.1640625" customWidth="1"/>
    <col min="8" max="8" width="13.5" customWidth="1"/>
    <col min="9" max="26" width="11.5" customWidth="1"/>
  </cols>
  <sheetData>
    <row r="1" spans="1:11" ht="16" x14ac:dyDescent="0.2">
      <c r="A1" s="1" t="s">
        <v>56</v>
      </c>
      <c r="B1" s="1" t="s">
        <v>393</v>
      </c>
      <c r="C1" s="1" t="s">
        <v>408</v>
      </c>
      <c r="D1" s="13" t="s">
        <v>409</v>
      </c>
      <c r="E1" s="1" t="s">
        <v>410</v>
      </c>
      <c r="F1" s="1" t="s">
        <v>2</v>
      </c>
      <c r="G1" s="1" t="s">
        <v>411</v>
      </c>
      <c r="H1" s="1" t="s">
        <v>412</v>
      </c>
      <c r="I1" s="1" t="s">
        <v>413</v>
      </c>
      <c r="J1" s="1" t="s">
        <v>414</v>
      </c>
      <c r="K1" s="1" t="s">
        <v>415</v>
      </c>
    </row>
    <row r="2" spans="1:11" ht="16" x14ac:dyDescent="0.2">
      <c r="A2" s="2">
        <v>1</v>
      </c>
      <c r="B2" s="2" t="str">
        <f>VLOOKUP(C2,ICCE_Certificate!$A$2:$B$10,2, FALSE)</f>
        <v>Advanced</v>
      </c>
      <c r="C2" s="2">
        <v>4</v>
      </c>
      <c r="D2" s="14" t="s">
        <v>416</v>
      </c>
      <c r="E2" s="2" t="s">
        <v>417</v>
      </c>
      <c r="F2" s="2" t="s">
        <v>380</v>
      </c>
      <c r="G2" s="2" t="str">
        <f>VLOOKUP(H2, SubjectGroup!$A$2:$B$9, 2, FALSE)</f>
        <v>Christian Studies</v>
      </c>
      <c r="H2" s="2">
        <v>1</v>
      </c>
      <c r="I2" s="2">
        <v>12</v>
      </c>
    </row>
    <row r="3" spans="1:11" ht="16" hidden="1" x14ac:dyDescent="0.2">
      <c r="A3" s="2">
        <v>2</v>
      </c>
      <c r="B3" s="2" t="str">
        <f>VLOOKUP(C3,ICCE_Certificate!$A$2:$B$10,2, FALSE)</f>
        <v>Advanced</v>
      </c>
      <c r="C3" s="2">
        <v>4</v>
      </c>
      <c r="D3" s="14" t="s">
        <v>418</v>
      </c>
      <c r="E3" s="2" t="s">
        <v>417</v>
      </c>
      <c r="G3" s="2" t="str">
        <f>VLOOKUP(H3, SubjectGroup!$A$2:$B$9, 2, FALSE)</f>
        <v>Christian Studies</v>
      </c>
      <c r="H3" s="2">
        <v>1</v>
      </c>
      <c r="I3" s="2">
        <v>6</v>
      </c>
    </row>
    <row r="4" spans="1:11" ht="16" hidden="1" x14ac:dyDescent="0.2">
      <c r="A4" s="2">
        <v>3</v>
      </c>
      <c r="B4" s="2" t="str">
        <f>VLOOKUP(C4,ICCE_Certificate!$A$2:$B$10,2, FALSE)</f>
        <v>Advanced</v>
      </c>
      <c r="C4" s="2">
        <v>4</v>
      </c>
      <c r="D4" s="14" t="s">
        <v>343</v>
      </c>
      <c r="E4" s="2" t="s">
        <v>419</v>
      </c>
      <c r="G4" s="2" t="str">
        <f>VLOOKUP(H4, SubjectGroup!$A$2:$B$9, 2, FALSE)</f>
        <v>Core Academic Studies</v>
      </c>
      <c r="H4" s="2">
        <v>2</v>
      </c>
      <c r="I4" s="2">
        <v>12</v>
      </c>
    </row>
    <row r="5" spans="1:11" ht="16" hidden="1" x14ac:dyDescent="0.2">
      <c r="A5" s="2">
        <v>4</v>
      </c>
      <c r="B5" s="2" t="str">
        <f>VLOOKUP(C5,ICCE_Certificate!$A$2:$B$10,2, FALSE)</f>
        <v>Advanced</v>
      </c>
      <c r="C5" s="2">
        <v>4</v>
      </c>
      <c r="D5" s="14" t="s">
        <v>420</v>
      </c>
      <c r="E5" s="2" t="s">
        <v>417</v>
      </c>
      <c r="F5" s="2" t="s">
        <v>42</v>
      </c>
      <c r="G5" s="2" t="str">
        <f>VLOOKUP(H5, SubjectGroup!$A$2:$B$9, 2, FALSE)</f>
        <v>Core Academic Studies</v>
      </c>
      <c r="H5" s="2">
        <v>2</v>
      </c>
      <c r="I5" s="2">
        <v>12</v>
      </c>
    </row>
    <row r="6" spans="1:11" ht="16" hidden="1" x14ac:dyDescent="0.2">
      <c r="A6" s="2">
        <v>5</v>
      </c>
      <c r="B6" s="2" t="str">
        <f>VLOOKUP(C6,ICCE_Certificate!$A$2:$B$10,2, FALSE)</f>
        <v>Advanced</v>
      </c>
      <c r="C6" s="2">
        <v>4</v>
      </c>
      <c r="D6" s="14" t="s">
        <v>421</v>
      </c>
      <c r="E6" s="2" t="s">
        <v>417</v>
      </c>
      <c r="F6" s="2" t="s">
        <v>422</v>
      </c>
      <c r="G6" s="2" t="str">
        <f>VLOOKUP(H6, SubjectGroup!$A$2:$B$9, 2, FALSE)</f>
        <v>Core Academic Studies</v>
      </c>
      <c r="H6" s="2">
        <v>2</v>
      </c>
      <c r="I6" s="2">
        <v>12</v>
      </c>
    </row>
    <row r="7" spans="1:11" ht="16" hidden="1" x14ac:dyDescent="0.2">
      <c r="A7" s="2">
        <v>6</v>
      </c>
      <c r="B7" s="2" t="str">
        <f>VLOOKUP(C7,ICCE_Certificate!$A$2:$B$10,2, FALSE)</f>
        <v>Advanced</v>
      </c>
      <c r="C7" s="2">
        <v>4</v>
      </c>
      <c r="D7" s="14" t="s">
        <v>423</v>
      </c>
      <c r="E7" s="2" t="s">
        <v>419</v>
      </c>
      <c r="G7" s="2" t="str">
        <f>VLOOKUP(H7, SubjectGroup!$A$2:$B$9, 2, FALSE)</f>
        <v>Core Academic Studies</v>
      </c>
      <c r="H7" s="2">
        <v>2</v>
      </c>
      <c r="I7" s="2">
        <v>12</v>
      </c>
    </row>
    <row r="8" spans="1:11" ht="16" hidden="1" x14ac:dyDescent="0.2">
      <c r="A8" s="2">
        <v>7</v>
      </c>
      <c r="B8" s="2" t="str">
        <f>VLOOKUP(C8,ICCE_Certificate!$A$2:$B$10,2, FALSE)</f>
        <v>Advanced</v>
      </c>
      <c r="C8" s="2">
        <v>4</v>
      </c>
      <c r="D8" s="14" t="s">
        <v>424</v>
      </c>
      <c r="E8" s="2" t="s">
        <v>419</v>
      </c>
      <c r="F8" s="2" t="s">
        <v>424</v>
      </c>
      <c r="G8" s="2" t="str">
        <f>VLOOKUP(H8, SubjectGroup!$A$2:$B$9, 2, FALSE)</f>
        <v>Miscellaneous</v>
      </c>
      <c r="H8" s="2">
        <v>8</v>
      </c>
      <c r="I8" s="2">
        <v>12</v>
      </c>
    </row>
    <row r="9" spans="1:11" ht="16" hidden="1" x14ac:dyDescent="0.2">
      <c r="A9" s="2">
        <v>8</v>
      </c>
      <c r="B9" s="2" t="str">
        <f>VLOOKUP(C9,ICCE_Certificate!$A$2:$B$10,2, FALSE)</f>
        <v>Advanced</v>
      </c>
      <c r="C9" s="2">
        <v>4</v>
      </c>
      <c r="D9" s="14" t="s">
        <v>425</v>
      </c>
      <c r="E9" s="2" t="s">
        <v>417</v>
      </c>
      <c r="F9" s="2" t="s">
        <v>362</v>
      </c>
      <c r="G9" s="2" t="str">
        <f>VLOOKUP(H9, SubjectGroup!$A$2:$B$9, 2, FALSE)</f>
        <v>Coursework</v>
      </c>
      <c r="H9" s="2">
        <v>7</v>
      </c>
      <c r="I9" s="2">
        <v>2</v>
      </c>
    </row>
    <row r="10" spans="1:11" ht="16" hidden="1" x14ac:dyDescent="0.2">
      <c r="A10" s="2">
        <v>9</v>
      </c>
      <c r="B10" s="2" t="str">
        <f>VLOOKUP(C10,ICCE_Certificate!$A$2:$B$10,2, FALSE)</f>
        <v>Advanced</v>
      </c>
      <c r="C10" s="2">
        <v>4</v>
      </c>
      <c r="D10" s="14" t="s">
        <v>426</v>
      </c>
      <c r="E10" s="2" t="s">
        <v>417</v>
      </c>
      <c r="F10" s="2" t="s">
        <v>362</v>
      </c>
      <c r="G10" s="2" t="str">
        <f>VLOOKUP(H10, SubjectGroup!$A$2:$B$9, 2, FALSE)</f>
        <v>Coursework</v>
      </c>
      <c r="H10" s="2">
        <v>7</v>
      </c>
      <c r="I10" s="2">
        <v>2</v>
      </c>
    </row>
    <row r="11" spans="1:11" ht="16" hidden="1" x14ac:dyDescent="0.2">
      <c r="A11" s="2">
        <v>10</v>
      </c>
      <c r="B11" s="2" t="str">
        <f>VLOOKUP(C11,ICCE_Certificate!$A$2:$B$10,2, FALSE)</f>
        <v>Advanced</v>
      </c>
      <c r="C11" s="2">
        <v>4</v>
      </c>
      <c r="D11" s="14" t="s">
        <v>427</v>
      </c>
      <c r="E11" s="2" t="s">
        <v>417</v>
      </c>
      <c r="F11" s="2" t="s">
        <v>362</v>
      </c>
      <c r="G11" s="2" t="str">
        <f>VLOOKUP(H11, SubjectGroup!$A$2:$B$9, 2, FALSE)</f>
        <v>Coursework</v>
      </c>
      <c r="H11" s="2">
        <v>7</v>
      </c>
      <c r="I11" s="2">
        <v>2</v>
      </c>
    </row>
    <row r="12" spans="1:11" ht="34.5" customHeight="1" x14ac:dyDescent="0.2">
      <c r="A12" s="2">
        <v>11</v>
      </c>
      <c r="B12" s="2" t="str">
        <f>VLOOKUP(C12,ICCE_Certificate!$A$2:$B$10,2, FALSE)</f>
        <v>Advanced Maths Bias</v>
      </c>
      <c r="C12" s="2">
        <v>6</v>
      </c>
      <c r="D12" s="14" t="s">
        <v>416</v>
      </c>
      <c r="E12" s="2" t="s">
        <v>417</v>
      </c>
      <c r="F12" s="2" t="s">
        <v>380</v>
      </c>
      <c r="G12" s="2" t="str">
        <f>VLOOKUP(H12, SubjectGroup!$A$2:$B$9, 2, FALSE)</f>
        <v>Christian Studies</v>
      </c>
      <c r="H12" s="2">
        <v>1</v>
      </c>
      <c r="I12" s="2">
        <v>12</v>
      </c>
      <c r="K12" s="2">
        <v>10</v>
      </c>
    </row>
    <row r="13" spans="1:11" ht="16" hidden="1" x14ac:dyDescent="0.2">
      <c r="A13" s="2">
        <v>12</v>
      </c>
      <c r="B13" s="2" t="str">
        <f>VLOOKUP(C13,ICCE_Certificate!$A$2:$B$10,2, FALSE)</f>
        <v>Advanced Maths Bias</v>
      </c>
      <c r="C13" s="2">
        <v>6</v>
      </c>
      <c r="D13" s="14" t="s">
        <v>418</v>
      </c>
      <c r="E13" s="2" t="s">
        <v>417</v>
      </c>
      <c r="F13" s="2" t="s">
        <v>380</v>
      </c>
      <c r="G13" s="2" t="str">
        <f>VLOOKUP(H13, SubjectGroup!$A$2:$B$9, 2, FALSE)</f>
        <v>Christian Studies</v>
      </c>
      <c r="H13" s="2">
        <v>1</v>
      </c>
      <c r="I13" s="2">
        <v>6</v>
      </c>
      <c r="K13" s="2">
        <v>11</v>
      </c>
    </row>
    <row r="14" spans="1:11" ht="16" hidden="1" x14ac:dyDescent="0.2">
      <c r="A14" s="2">
        <v>13</v>
      </c>
      <c r="B14" s="2" t="str">
        <f>VLOOKUP(C14,ICCE_Certificate!$A$2:$B$10,2, FALSE)</f>
        <v>Advanced Maths Bias</v>
      </c>
      <c r="C14" s="2">
        <v>6</v>
      </c>
      <c r="D14" s="14" t="s">
        <v>343</v>
      </c>
      <c r="E14" s="2" t="s">
        <v>419</v>
      </c>
      <c r="G14" s="2" t="str">
        <f>VLOOKUP(H14, SubjectGroup!$A$2:$B$9, 2, FALSE)</f>
        <v>Core Academic Studies</v>
      </c>
      <c r="H14" s="2">
        <v>2</v>
      </c>
      <c r="I14" s="2">
        <v>12</v>
      </c>
      <c r="K14" s="2">
        <v>1</v>
      </c>
    </row>
    <row r="15" spans="1:11" ht="16" hidden="1" x14ac:dyDescent="0.2">
      <c r="A15" s="2">
        <v>14</v>
      </c>
      <c r="B15" s="2" t="str">
        <f>VLOOKUP(C15,ICCE_Certificate!$A$2:$B$10,2, FALSE)</f>
        <v>Advanced Maths Bias</v>
      </c>
      <c r="C15" s="2">
        <v>6</v>
      </c>
      <c r="D15" s="14" t="s">
        <v>344</v>
      </c>
      <c r="E15" s="2" t="s">
        <v>419</v>
      </c>
      <c r="G15" s="2" t="str">
        <f>VLOOKUP(H15, SubjectGroup!$A$2:$B$9, 2, FALSE)</f>
        <v>Core Academic Studies</v>
      </c>
      <c r="H15" s="2">
        <v>2</v>
      </c>
      <c r="I15" s="2">
        <v>6</v>
      </c>
      <c r="K15" s="2">
        <f t="shared" ref="K15:K18" si="0">K14+1</f>
        <v>2</v>
      </c>
    </row>
    <row r="16" spans="1:11" ht="16" hidden="1" x14ac:dyDescent="0.2">
      <c r="A16" s="2">
        <v>15</v>
      </c>
      <c r="B16" s="2" t="str">
        <f>VLOOKUP(C16,ICCE_Certificate!$A$2:$B$10,2, FALSE)</f>
        <v>Advanced Maths Bias</v>
      </c>
      <c r="C16" s="2">
        <v>6</v>
      </c>
      <c r="D16" s="14" t="s">
        <v>428</v>
      </c>
      <c r="E16" s="2" t="s">
        <v>419</v>
      </c>
      <c r="G16" s="2" t="str">
        <f>VLOOKUP(H16, SubjectGroup!$A$2:$B$9, 2, FALSE)</f>
        <v>Core Academic Studies</v>
      </c>
      <c r="H16" s="2">
        <v>2</v>
      </c>
      <c r="I16" s="2">
        <v>6</v>
      </c>
      <c r="K16" s="2">
        <f t="shared" si="0"/>
        <v>3</v>
      </c>
    </row>
    <row r="17" spans="1:11" ht="16" hidden="1" x14ac:dyDescent="0.2">
      <c r="A17" s="2">
        <v>16</v>
      </c>
      <c r="B17" s="2" t="str">
        <f>VLOOKUP(C17,ICCE_Certificate!$A$2:$B$10,2, FALSE)</f>
        <v>Advanced Maths Bias</v>
      </c>
      <c r="C17" s="2">
        <v>6</v>
      </c>
      <c r="D17" s="14" t="s">
        <v>429</v>
      </c>
      <c r="E17" s="2" t="s">
        <v>419</v>
      </c>
      <c r="G17" s="2" t="str">
        <f>VLOOKUP(H17, SubjectGroup!$A$2:$B$9, 2, FALSE)</f>
        <v>Core Academic Studies</v>
      </c>
      <c r="H17" s="2">
        <v>2</v>
      </c>
      <c r="I17" s="2">
        <v>12</v>
      </c>
      <c r="K17" s="2">
        <f t="shared" si="0"/>
        <v>4</v>
      </c>
    </row>
    <row r="18" spans="1:11" ht="16" hidden="1" x14ac:dyDescent="0.2">
      <c r="A18" s="2">
        <v>17</v>
      </c>
      <c r="B18" s="2" t="str">
        <f>VLOOKUP(C18,ICCE_Certificate!$A$2:$B$10,2, FALSE)</f>
        <v>Advanced Maths Bias</v>
      </c>
      <c r="C18" s="2">
        <v>6</v>
      </c>
      <c r="D18" s="14" t="s">
        <v>430</v>
      </c>
      <c r="E18" s="2" t="s">
        <v>419</v>
      </c>
      <c r="G18" s="2" t="str">
        <f>VLOOKUP(H18, SubjectGroup!$A$2:$B$9, 2, FALSE)</f>
        <v>Core Academic Studies</v>
      </c>
      <c r="H18" s="2">
        <v>2</v>
      </c>
      <c r="I18" s="2">
        <v>12</v>
      </c>
      <c r="K18" s="2">
        <f t="shared" si="0"/>
        <v>5</v>
      </c>
    </row>
    <row r="19" spans="1:11" ht="16" hidden="1" x14ac:dyDescent="0.2">
      <c r="A19" s="2">
        <v>18</v>
      </c>
      <c r="B19" s="2" t="str">
        <f>VLOOKUP(C19,ICCE_Certificate!$A$2:$B$10,2, FALSE)</f>
        <v>Advanced Maths Bias</v>
      </c>
      <c r="C19" s="2">
        <v>6</v>
      </c>
      <c r="D19" s="14" t="s">
        <v>340</v>
      </c>
      <c r="E19" s="2" t="s">
        <v>419</v>
      </c>
      <c r="G19" s="2" t="str">
        <f>VLOOKUP(H19, SubjectGroup!$A$2:$B$9, 2, FALSE)</f>
        <v>Core Academic Studies</v>
      </c>
      <c r="H19" s="2">
        <v>2</v>
      </c>
      <c r="I19" s="2">
        <v>12</v>
      </c>
      <c r="K19" s="2">
        <v>7</v>
      </c>
    </row>
    <row r="20" spans="1:11" ht="16" hidden="1" x14ac:dyDescent="0.2">
      <c r="A20" s="2">
        <v>19</v>
      </c>
      <c r="B20" s="2" t="str">
        <f>VLOOKUP(C20,ICCE_Certificate!$A$2:$B$10,2, FALSE)</f>
        <v>Advanced Maths Bias</v>
      </c>
      <c r="C20" s="2">
        <v>6</v>
      </c>
      <c r="D20" s="14" t="s">
        <v>431</v>
      </c>
      <c r="E20" s="2" t="s">
        <v>417</v>
      </c>
      <c r="F20" s="2" t="s">
        <v>431</v>
      </c>
      <c r="G20" s="2" t="str">
        <f>VLOOKUP(H20, SubjectGroup!$A$2:$B$9, 2, FALSE)</f>
        <v>Core Expanded Studies</v>
      </c>
      <c r="H20" s="2">
        <v>3</v>
      </c>
      <c r="I20" s="2">
        <v>12</v>
      </c>
      <c r="K20" s="2">
        <v>12</v>
      </c>
    </row>
    <row r="21" spans="1:11" ht="15.75" hidden="1" customHeight="1" x14ac:dyDescent="0.2">
      <c r="A21" s="2">
        <v>20</v>
      </c>
      <c r="B21" s="2" t="str">
        <f>VLOOKUP(C21,ICCE_Certificate!$A$2:$B$10,2, FALSE)</f>
        <v>Advanced Maths Bias</v>
      </c>
      <c r="C21" s="2">
        <v>6</v>
      </c>
      <c r="D21" s="14" t="s">
        <v>424</v>
      </c>
      <c r="E21" s="2" t="s">
        <v>417</v>
      </c>
      <c r="F21" s="2" t="s">
        <v>424</v>
      </c>
      <c r="G21" s="2" t="str">
        <f>VLOOKUP(H21, SubjectGroup!$A$2:$B$9, 2, FALSE)</f>
        <v>Core Academic Studies</v>
      </c>
      <c r="H21" s="2">
        <v>2</v>
      </c>
      <c r="I21" s="2">
        <v>12</v>
      </c>
      <c r="K21" s="2">
        <f>K20+1</f>
        <v>13</v>
      </c>
    </row>
    <row r="22" spans="1:11" ht="15.75" hidden="1" customHeight="1" x14ac:dyDescent="0.2">
      <c r="A22" s="2">
        <v>21</v>
      </c>
      <c r="B22" s="2" t="str">
        <f>VLOOKUP(C22,ICCE_Certificate!$A$2:$B$10,2, FALSE)</f>
        <v>Advanced Maths Bias</v>
      </c>
      <c r="C22" s="2">
        <v>6</v>
      </c>
      <c r="D22" s="14" t="s">
        <v>425</v>
      </c>
      <c r="E22" s="2" t="s">
        <v>417</v>
      </c>
      <c r="F22" s="2" t="s">
        <v>362</v>
      </c>
      <c r="G22" s="2" t="str">
        <f>VLOOKUP(H22, SubjectGroup!$A$2:$B$9, 2, FALSE)</f>
        <v>Coursework</v>
      </c>
      <c r="H22" s="2">
        <v>7</v>
      </c>
      <c r="I22" s="2">
        <v>2</v>
      </c>
      <c r="K22" s="2">
        <v>6</v>
      </c>
    </row>
    <row r="23" spans="1:11" ht="15.75" hidden="1" customHeight="1" x14ac:dyDescent="0.2">
      <c r="A23" s="2">
        <v>22</v>
      </c>
      <c r="B23" s="2" t="str">
        <f>VLOOKUP(C23,ICCE_Certificate!$A$2:$B$10,2, FALSE)</f>
        <v>Advanced Maths Bias</v>
      </c>
      <c r="C23" s="2">
        <v>6</v>
      </c>
      <c r="D23" s="14" t="s">
        <v>426</v>
      </c>
      <c r="E23" s="2" t="s">
        <v>417</v>
      </c>
      <c r="F23" s="2" t="s">
        <v>362</v>
      </c>
      <c r="G23" s="2" t="str">
        <f>VLOOKUP(H23, SubjectGroup!$A$2:$B$9, 2, FALSE)</f>
        <v>Coursework</v>
      </c>
      <c r="H23" s="2">
        <v>7</v>
      </c>
      <c r="I23" s="2">
        <v>2</v>
      </c>
      <c r="K23" s="2">
        <v>8</v>
      </c>
    </row>
    <row r="24" spans="1:11" ht="15.75" hidden="1" customHeight="1" x14ac:dyDescent="0.2">
      <c r="A24" s="2">
        <v>23</v>
      </c>
      <c r="B24" s="2" t="str">
        <f>VLOOKUP(C24,ICCE_Certificate!$A$2:$B$10,2, FALSE)</f>
        <v>Advanced Maths Bias</v>
      </c>
      <c r="C24" s="2">
        <v>6</v>
      </c>
      <c r="D24" s="14" t="s">
        <v>427</v>
      </c>
      <c r="E24" s="2" t="s">
        <v>417</v>
      </c>
      <c r="F24" s="2" t="s">
        <v>362</v>
      </c>
      <c r="G24" s="2" t="str">
        <f>VLOOKUP(H24, SubjectGroup!$A$2:$B$9, 2, FALSE)</f>
        <v>Coursework</v>
      </c>
      <c r="H24" s="2">
        <v>7</v>
      </c>
      <c r="I24" s="2">
        <v>2</v>
      </c>
      <c r="K24" s="2">
        <v>9</v>
      </c>
    </row>
    <row r="25" spans="1:11" ht="15.75" customHeight="1" x14ac:dyDescent="0.2">
      <c r="A25" s="2">
        <v>24</v>
      </c>
      <c r="B25" s="2" t="str">
        <f>VLOOKUP(C25,ICCE_Certificate!$A$2:$B$10,2, FALSE)</f>
        <v>Advanced Social Studies Bias</v>
      </c>
      <c r="C25" s="2">
        <v>7</v>
      </c>
      <c r="D25" s="14" t="s">
        <v>416</v>
      </c>
      <c r="E25" s="2" t="s">
        <v>417</v>
      </c>
      <c r="F25" s="2" t="s">
        <v>380</v>
      </c>
      <c r="G25" s="2" t="str">
        <f>VLOOKUP(H25, SubjectGroup!$A$2:$B$9, 2, FALSE)</f>
        <v>Christian Studies</v>
      </c>
      <c r="H25" s="2">
        <v>1</v>
      </c>
      <c r="I25" s="2">
        <v>12</v>
      </c>
    </row>
    <row r="26" spans="1:11" ht="15.75" hidden="1" customHeight="1" x14ac:dyDescent="0.2">
      <c r="A26" s="2">
        <v>25</v>
      </c>
      <c r="B26" s="2" t="str">
        <f>VLOOKUP(C26,ICCE_Certificate!$A$2:$B$10,2, FALSE)</f>
        <v>Advanced Social Studies Bias</v>
      </c>
      <c r="C26" s="2">
        <v>7</v>
      </c>
      <c r="D26" s="14" t="s">
        <v>418</v>
      </c>
      <c r="E26" s="2" t="s">
        <v>419</v>
      </c>
      <c r="G26" s="2" t="str">
        <f>VLOOKUP(H26, SubjectGroup!$A$2:$B$9, 2, FALSE)</f>
        <v>Christian Studies</v>
      </c>
      <c r="H26" s="2">
        <v>1</v>
      </c>
      <c r="I26" s="2">
        <v>6</v>
      </c>
    </row>
    <row r="27" spans="1:11" ht="15.75" hidden="1" customHeight="1" x14ac:dyDescent="0.2">
      <c r="A27" s="2">
        <v>26</v>
      </c>
      <c r="B27" s="2" t="str">
        <f>VLOOKUP(C27,ICCE_Certificate!$A$2:$B$10,2, FALSE)</f>
        <v>Advanced Social Studies Bias</v>
      </c>
      <c r="C27" s="2">
        <v>7</v>
      </c>
      <c r="D27" s="14" t="s">
        <v>432</v>
      </c>
      <c r="E27" s="2" t="s">
        <v>419</v>
      </c>
      <c r="G27" s="2" t="str">
        <f>VLOOKUP(H27, SubjectGroup!$A$2:$B$9, 2, FALSE)</f>
        <v>Core Academic Studies</v>
      </c>
      <c r="H27" s="2">
        <v>2</v>
      </c>
      <c r="I27" s="2">
        <v>12</v>
      </c>
    </row>
    <row r="28" spans="1:11" ht="15.75" hidden="1" customHeight="1" x14ac:dyDescent="0.2">
      <c r="A28" s="2">
        <v>27</v>
      </c>
      <c r="B28" s="2" t="str">
        <f>VLOOKUP(C28,ICCE_Certificate!$A$2:$B$10,2, FALSE)</f>
        <v>Advanced Social Studies Bias</v>
      </c>
      <c r="C28" s="2">
        <v>7</v>
      </c>
      <c r="D28" s="15" t="s">
        <v>433</v>
      </c>
      <c r="E28" s="2" t="s">
        <v>419</v>
      </c>
      <c r="G28" s="2" t="str">
        <f>VLOOKUP(H28, SubjectGroup!$A$2:$B$9, 2, FALSE)</f>
        <v>Core Academic Studies</v>
      </c>
      <c r="H28" s="2">
        <v>2</v>
      </c>
      <c r="I28" s="2">
        <v>12</v>
      </c>
      <c r="J28" s="2" t="s">
        <v>434</v>
      </c>
    </row>
    <row r="29" spans="1:11" ht="15.75" hidden="1" customHeight="1" x14ac:dyDescent="0.2">
      <c r="A29" s="2">
        <v>28</v>
      </c>
      <c r="B29" s="2" t="str">
        <f>VLOOKUP(C29,ICCE_Certificate!$A$2:$B$10,2, FALSE)</f>
        <v>Advanced Social Studies Bias</v>
      </c>
      <c r="C29" s="2">
        <v>7</v>
      </c>
      <c r="D29" s="14" t="s">
        <v>423</v>
      </c>
      <c r="E29" s="2" t="s">
        <v>419</v>
      </c>
      <c r="G29" s="2" t="str">
        <f>VLOOKUP(H29, SubjectGroup!$A$2:$B$9, 2, FALSE)</f>
        <v>Core Academic Studies</v>
      </c>
      <c r="H29" s="2">
        <v>2</v>
      </c>
      <c r="I29" s="2">
        <v>12</v>
      </c>
    </row>
    <row r="30" spans="1:11" ht="15.75" hidden="1" customHeight="1" x14ac:dyDescent="0.2">
      <c r="A30" s="2">
        <v>29</v>
      </c>
      <c r="B30" s="2" t="str">
        <f>VLOOKUP(C30,ICCE_Certificate!$A$2:$B$10,2, FALSE)</f>
        <v>Advanced Social Studies Bias</v>
      </c>
      <c r="C30" s="2">
        <v>7</v>
      </c>
      <c r="D30" s="15" t="s">
        <v>435</v>
      </c>
      <c r="E30" s="2" t="s">
        <v>419</v>
      </c>
      <c r="G30" s="2" t="str">
        <f>VLOOKUP(H30, SubjectGroup!$A$2:$B$9, 2, FALSE)</f>
        <v>Core Academic Studies</v>
      </c>
      <c r="H30" s="2">
        <v>2</v>
      </c>
      <c r="I30" s="2">
        <v>12</v>
      </c>
      <c r="J30" s="2" t="s">
        <v>436</v>
      </c>
    </row>
    <row r="31" spans="1:11" ht="15.75" hidden="1" customHeight="1" x14ac:dyDescent="0.2">
      <c r="A31" s="2">
        <v>30</v>
      </c>
      <c r="B31" s="2" t="str">
        <f>VLOOKUP(C31,ICCE_Certificate!$A$2:$B$10,2, FALSE)</f>
        <v>Advanced Social Studies Bias</v>
      </c>
      <c r="C31" s="2">
        <v>7</v>
      </c>
      <c r="D31" s="14" t="s">
        <v>424</v>
      </c>
      <c r="E31" s="2" t="s">
        <v>417</v>
      </c>
      <c r="F31" s="2" t="s">
        <v>424</v>
      </c>
      <c r="G31" s="2" t="str">
        <f>VLOOKUP(H31, SubjectGroup!$A$2:$B$9, 2, FALSE)</f>
        <v>Miscellaneous</v>
      </c>
      <c r="H31" s="2">
        <v>8</v>
      </c>
      <c r="I31" s="2">
        <v>12</v>
      </c>
    </row>
    <row r="32" spans="1:11" ht="15.75" hidden="1" customHeight="1" x14ac:dyDescent="0.2">
      <c r="A32" s="2">
        <v>31</v>
      </c>
      <c r="B32" s="2" t="str">
        <f>VLOOKUP(C32,ICCE_Certificate!$A$2:$B$10,2, FALSE)</f>
        <v>Advanced Social Studies Bias</v>
      </c>
      <c r="C32" s="2">
        <v>7</v>
      </c>
      <c r="D32" s="14" t="s">
        <v>425</v>
      </c>
      <c r="E32" s="2" t="s">
        <v>417</v>
      </c>
      <c r="F32" s="2" t="s">
        <v>362</v>
      </c>
      <c r="G32" s="2" t="str">
        <f>VLOOKUP(H32, SubjectGroup!$A$2:$B$9, 2, FALSE)</f>
        <v>Coursework</v>
      </c>
      <c r="H32" s="2">
        <v>7</v>
      </c>
      <c r="I32" s="2">
        <v>2</v>
      </c>
    </row>
    <row r="33" spans="1:9" ht="15.75" hidden="1" customHeight="1" x14ac:dyDescent="0.2">
      <c r="A33" s="2">
        <v>32</v>
      </c>
      <c r="B33" s="2" t="str">
        <f>VLOOKUP(C33,ICCE_Certificate!$A$2:$B$10,2, FALSE)</f>
        <v>Advanced Social Studies Bias</v>
      </c>
      <c r="C33" s="2">
        <v>7</v>
      </c>
      <c r="D33" s="14" t="s">
        <v>426</v>
      </c>
      <c r="E33" s="2" t="s">
        <v>417</v>
      </c>
      <c r="F33" s="2" t="s">
        <v>362</v>
      </c>
      <c r="G33" s="2" t="str">
        <f>VLOOKUP(H33, SubjectGroup!$A$2:$B$9, 2, FALSE)</f>
        <v>Coursework</v>
      </c>
      <c r="H33" s="2">
        <v>7</v>
      </c>
      <c r="I33" s="2">
        <v>2</v>
      </c>
    </row>
    <row r="34" spans="1:9" ht="15.75" hidden="1" customHeight="1" x14ac:dyDescent="0.2">
      <c r="A34" s="2">
        <v>33</v>
      </c>
      <c r="B34" s="2" t="str">
        <f>VLOOKUP(C34,ICCE_Certificate!$A$2:$B$10,2, FALSE)</f>
        <v>Advanced Social Studies Bias</v>
      </c>
      <c r="C34" s="2">
        <v>7</v>
      </c>
      <c r="D34" s="14" t="s">
        <v>427</v>
      </c>
      <c r="E34" s="2" t="s">
        <v>417</v>
      </c>
      <c r="F34" s="2" t="s">
        <v>362</v>
      </c>
      <c r="G34" s="2" t="str">
        <f>VLOOKUP(H34, SubjectGroup!$A$2:$B$9, 2, FALSE)</f>
        <v>Coursework</v>
      </c>
      <c r="H34" s="2">
        <v>7</v>
      </c>
      <c r="I34" s="2">
        <v>2</v>
      </c>
    </row>
    <row r="35" spans="1:9" ht="15.75" customHeight="1" x14ac:dyDescent="0.2">
      <c r="A35" s="2">
        <v>34</v>
      </c>
      <c r="B35" s="2" t="str">
        <f>VLOOKUP(C35,ICCE_Certificate!$A$2:$B$10,2, FALSE)</f>
        <v>Advanced Science Bias</v>
      </c>
      <c r="C35" s="2">
        <v>8</v>
      </c>
      <c r="D35" s="14" t="s">
        <v>416</v>
      </c>
      <c r="E35" s="2" t="s">
        <v>417</v>
      </c>
      <c r="G35" s="2" t="str">
        <f>VLOOKUP(H35, SubjectGroup!$A$2:$B$9, 2, FALSE)</f>
        <v>Christian Studies</v>
      </c>
      <c r="H35" s="2">
        <v>1</v>
      </c>
      <c r="I35" s="2">
        <v>12</v>
      </c>
    </row>
    <row r="36" spans="1:9" ht="15.75" hidden="1" customHeight="1" x14ac:dyDescent="0.2">
      <c r="A36" s="2">
        <v>35</v>
      </c>
      <c r="B36" s="2" t="str">
        <f>VLOOKUP(C36,ICCE_Certificate!$A$2:$B$10,2, FALSE)</f>
        <v>Advanced Science Bias</v>
      </c>
      <c r="C36" s="2">
        <v>8</v>
      </c>
      <c r="D36" s="14" t="s">
        <v>418</v>
      </c>
      <c r="E36" s="2" t="s">
        <v>419</v>
      </c>
      <c r="G36" s="2" t="str">
        <f>VLOOKUP(H36, SubjectGroup!$A$2:$B$9, 2, FALSE)</f>
        <v>Christian Studies</v>
      </c>
      <c r="H36" s="2">
        <v>1</v>
      </c>
      <c r="I36" s="2">
        <v>6</v>
      </c>
    </row>
    <row r="37" spans="1:9" ht="15.75" hidden="1" customHeight="1" x14ac:dyDescent="0.2">
      <c r="A37" s="2">
        <v>36</v>
      </c>
      <c r="B37" s="2" t="str">
        <f>VLOOKUP(C37,ICCE_Certificate!$A$2:$B$10,2, FALSE)</f>
        <v>Advanced Science Bias</v>
      </c>
      <c r="C37" s="2">
        <v>8</v>
      </c>
      <c r="D37" s="14" t="s">
        <v>343</v>
      </c>
      <c r="E37" s="2" t="s">
        <v>419</v>
      </c>
      <c r="G37" s="2" t="str">
        <f>VLOOKUP(H37, SubjectGroup!$A$2:$B$9, 2, FALSE)</f>
        <v>Core Academic Studies</v>
      </c>
      <c r="H37" s="2">
        <v>2</v>
      </c>
      <c r="I37" s="2">
        <v>12</v>
      </c>
    </row>
    <row r="38" spans="1:9" ht="15.75" hidden="1" customHeight="1" x14ac:dyDescent="0.2">
      <c r="A38" s="2">
        <v>37</v>
      </c>
      <c r="B38" s="2" t="str">
        <f>VLOOKUP(C38,ICCE_Certificate!$A$2:$B$10,2, FALSE)</f>
        <v>Advanced Science Bias</v>
      </c>
      <c r="C38" s="2">
        <v>8</v>
      </c>
      <c r="D38" s="14" t="s">
        <v>344</v>
      </c>
      <c r="E38" s="2" t="s">
        <v>419</v>
      </c>
      <c r="G38" s="2" t="str">
        <f>VLOOKUP(H38, SubjectGroup!$A$2:$B$9, 2, FALSE)</f>
        <v>Core Academic Studies</v>
      </c>
      <c r="H38" s="2">
        <v>2</v>
      </c>
      <c r="I38" s="2">
        <v>6</v>
      </c>
    </row>
    <row r="39" spans="1:9" ht="15.75" hidden="1" customHeight="1" x14ac:dyDescent="0.2">
      <c r="A39" s="2">
        <v>38</v>
      </c>
      <c r="B39" s="2" t="str">
        <f>VLOOKUP(C39,ICCE_Certificate!$A$2:$B$10,2, FALSE)</f>
        <v>Advanced Science Bias</v>
      </c>
      <c r="C39" s="2">
        <v>8</v>
      </c>
      <c r="D39" s="14" t="s">
        <v>428</v>
      </c>
      <c r="E39" s="2" t="s">
        <v>419</v>
      </c>
      <c r="G39" s="2" t="str">
        <f>VLOOKUP(H39, SubjectGroup!$A$2:$B$9, 2, FALSE)</f>
        <v>Core Academic Studies</v>
      </c>
      <c r="H39" s="2">
        <v>2</v>
      </c>
      <c r="I39" s="2">
        <v>6</v>
      </c>
    </row>
    <row r="40" spans="1:9" ht="15.75" hidden="1" customHeight="1" x14ac:dyDescent="0.2">
      <c r="A40" s="2">
        <v>39</v>
      </c>
      <c r="B40" s="2" t="str">
        <f>VLOOKUP(C40,ICCE_Certificate!$A$2:$B$10,2, FALSE)</f>
        <v>Advanced Science Bias</v>
      </c>
      <c r="C40" s="2">
        <v>8</v>
      </c>
      <c r="D40" s="14" t="s">
        <v>422</v>
      </c>
      <c r="E40" s="2" t="s">
        <v>419</v>
      </c>
      <c r="G40" s="2" t="str">
        <f>VLOOKUP(H40, SubjectGroup!$A$2:$B$9, 2, FALSE)</f>
        <v>Core Academic Studies</v>
      </c>
      <c r="H40" s="2">
        <v>2</v>
      </c>
      <c r="I40" s="2">
        <v>12</v>
      </c>
    </row>
    <row r="41" spans="1:9" ht="15.75" hidden="1" customHeight="1" x14ac:dyDescent="0.2">
      <c r="A41" s="2">
        <v>40</v>
      </c>
      <c r="B41" s="2" t="str">
        <f>VLOOKUP(C41,ICCE_Certificate!$A$2:$B$10,2, FALSE)</f>
        <v>Advanced Science Bias</v>
      </c>
      <c r="C41" s="2">
        <v>8</v>
      </c>
      <c r="D41" s="14" t="s">
        <v>340</v>
      </c>
      <c r="E41" s="2" t="s">
        <v>419</v>
      </c>
      <c r="G41" s="2" t="str">
        <f>VLOOKUP(H41, SubjectGroup!$A$2:$B$9, 2, FALSE)</f>
        <v>Core Academic Studies</v>
      </c>
      <c r="H41" s="2">
        <v>2</v>
      </c>
      <c r="I41" s="2">
        <v>12</v>
      </c>
    </row>
    <row r="42" spans="1:9" ht="15.75" hidden="1" customHeight="1" x14ac:dyDescent="0.2">
      <c r="A42" s="2">
        <v>41</v>
      </c>
      <c r="B42" s="2" t="str">
        <f>VLOOKUP(C42,ICCE_Certificate!$A$2:$B$10,2, FALSE)</f>
        <v>Advanced Science Bias</v>
      </c>
      <c r="C42" s="2">
        <v>8</v>
      </c>
      <c r="D42" s="14" t="s">
        <v>437</v>
      </c>
      <c r="E42" s="2" t="s">
        <v>419</v>
      </c>
      <c r="G42" s="2" t="str">
        <f>VLOOKUP(H42, SubjectGroup!$A$2:$B$9, 2, FALSE)</f>
        <v>Core Academic Studies</v>
      </c>
      <c r="H42" s="2">
        <v>2</v>
      </c>
      <c r="I42" s="2">
        <v>12</v>
      </c>
    </row>
    <row r="43" spans="1:9" ht="15.75" hidden="1" customHeight="1" x14ac:dyDescent="0.2">
      <c r="A43" s="2">
        <v>42</v>
      </c>
      <c r="B43" s="2" t="str">
        <f>VLOOKUP(C43,ICCE_Certificate!$A$2:$B$10,2, FALSE)</f>
        <v>Advanced Science Bias</v>
      </c>
      <c r="C43" s="2">
        <v>8</v>
      </c>
      <c r="D43" s="14" t="s">
        <v>424</v>
      </c>
      <c r="E43" s="2" t="s">
        <v>419</v>
      </c>
      <c r="G43" s="2" t="str">
        <f>VLOOKUP(H43, SubjectGroup!$A$2:$B$9, 2, FALSE)</f>
        <v>Miscellaneous</v>
      </c>
      <c r="H43" s="2">
        <v>8</v>
      </c>
      <c r="I43" s="2">
        <v>12</v>
      </c>
    </row>
    <row r="44" spans="1:9" ht="15.75" hidden="1" customHeight="1" x14ac:dyDescent="0.2">
      <c r="A44" s="2">
        <v>43</v>
      </c>
      <c r="B44" s="2" t="str">
        <f>VLOOKUP(C44,ICCE_Certificate!$A$2:$B$10,2, FALSE)</f>
        <v>Advanced Science Bias</v>
      </c>
      <c r="C44" s="2">
        <v>8</v>
      </c>
      <c r="D44" s="14" t="s">
        <v>425</v>
      </c>
      <c r="E44" s="2" t="s">
        <v>417</v>
      </c>
      <c r="F44" s="2" t="s">
        <v>362</v>
      </c>
      <c r="G44" s="2" t="str">
        <f>VLOOKUP(H44, SubjectGroup!$A$2:$B$9, 2, FALSE)</f>
        <v>Coursework</v>
      </c>
      <c r="H44" s="2">
        <v>7</v>
      </c>
      <c r="I44" s="2">
        <v>2</v>
      </c>
    </row>
    <row r="45" spans="1:9" ht="15.75" hidden="1" customHeight="1" x14ac:dyDescent="0.2">
      <c r="A45" s="2">
        <v>44</v>
      </c>
      <c r="B45" s="2" t="str">
        <f>VLOOKUP(C45,ICCE_Certificate!$A$2:$B$10,2, FALSE)</f>
        <v>Advanced Science Bias</v>
      </c>
      <c r="C45" s="2">
        <v>8</v>
      </c>
      <c r="D45" s="14" t="s">
        <v>426</v>
      </c>
      <c r="E45" s="2" t="s">
        <v>417</v>
      </c>
      <c r="F45" s="2" t="s">
        <v>362</v>
      </c>
      <c r="G45" s="2" t="str">
        <f>VLOOKUP(H45, SubjectGroup!$A$2:$B$9, 2, FALSE)</f>
        <v>Coursework</v>
      </c>
      <c r="H45" s="2">
        <v>7</v>
      </c>
      <c r="I45" s="2">
        <v>2</v>
      </c>
    </row>
    <row r="46" spans="1:9" ht="15.75" hidden="1" customHeight="1" x14ac:dyDescent="0.2">
      <c r="A46" s="2">
        <v>45</v>
      </c>
      <c r="B46" s="2" t="str">
        <f>VLOOKUP(C46,ICCE_Certificate!$A$2:$B$10,2, FALSE)</f>
        <v>Advanced Science Bias</v>
      </c>
      <c r="C46" s="2">
        <v>8</v>
      </c>
      <c r="D46" s="14" t="s">
        <v>427</v>
      </c>
      <c r="E46" s="2" t="s">
        <v>417</v>
      </c>
      <c r="F46" s="2" t="s">
        <v>362</v>
      </c>
      <c r="G46" s="2" t="str">
        <f>VLOOKUP(H46, SubjectGroup!$A$2:$B$9, 2, FALSE)</f>
        <v>Coursework</v>
      </c>
      <c r="H46" s="2">
        <v>7</v>
      </c>
      <c r="I46" s="2">
        <v>2</v>
      </c>
    </row>
    <row r="47" spans="1:9" ht="15.75" hidden="1" customHeight="1" x14ac:dyDescent="0.2">
      <c r="A47" s="2">
        <v>46</v>
      </c>
      <c r="B47" s="2" t="str">
        <f>VLOOKUP(C47,ICCE_Certificate!$A$2:$B$20,2, FALSE)</f>
        <v>Vocational Level 7</v>
      </c>
      <c r="C47" s="2">
        <v>1</v>
      </c>
      <c r="D47" s="14" t="s">
        <v>438</v>
      </c>
      <c r="E47" s="2" t="s">
        <v>419</v>
      </c>
      <c r="G47" s="2" t="str">
        <f>VLOOKUP(H47, SubjectGroup!$A$2:$B$9, 2, FALSE)</f>
        <v>Core Academic Studies</v>
      </c>
      <c r="H47" s="2">
        <v>2</v>
      </c>
      <c r="I47" s="2">
        <v>12</v>
      </c>
    </row>
    <row r="48" spans="1:9" ht="15.75" hidden="1" customHeight="1" x14ac:dyDescent="0.2">
      <c r="A48" s="2">
        <v>47</v>
      </c>
      <c r="B48" s="2" t="str">
        <f>VLOOKUP(C48,ICCE_Certificate!$A$2:$B$20,2, FALSE)</f>
        <v>Vocational Level 7</v>
      </c>
      <c r="C48" s="2">
        <v>1</v>
      </c>
      <c r="D48" s="14" t="s">
        <v>439</v>
      </c>
      <c r="E48" s="2" t="s">
        <v>419</v>
      </c>
      <c r="G48" s="2" t="str">
        <f>VLOOKUP(H48, SubjectGroup!$A$2:$B$9, 2, FALSE)</f>
        <v>Core Academic Studies</v>
      </c>
      <c r="H48" s="2">
        <v>2</v>
      </c>
      <c r="I48" s="2">
        <v>12</v>
      </c>
    </row>
    <row r="49" spans="1:9" ht="15.75" hidden="1" customHeight="1" x14ac:dyDescent="0.2">
      <c r="A49" s="2">
        <v>48</v>
      </c>
      <c r="B49" s="2" t="str">
        <f>VLOOKUP(C49,ICCE_Certificate!$A$2:$B$20,2, FALSE)</f>
        <v>Vocational Level 7</v>
      </c>
      <c r="C49" s="2">
        <v>1</v>
      </c>
      <c r="D49" s="14" t="s">
        <v>440</v>
      </c>
      <c r="E49" s="2" t="s">
        <v>419</v>
      </c>
      <c r="G49" s="2" t="str">
        <f>VLOOKUP(H49, SubjectGroup!$A$2:$B$9, 2, FALSE)</f>
        <v>Core Academic Studies</v>
      </c>
      <c r="H49" s="2">
        <v>2</v>
      </c>
      <c r="I49" s="2">
        <v>12</v>
      </c>
    </row>
    <row r="50" spans="1:9" ht="15.75" hidden="1" customHeight="1" x14ac:dyDescent="0.2">
      <c r="A50" s="2">
        <v>49</v>
      </c>
      <c r="B50" s="2" t="str">
        <f>VLOOKUP(C50,ICCE_Certificate!$A$2:$B$20,2, FALSE)</f>
        <v>Vocational Level 7</v>
      </c>
      <c r="C50" s="2">
        <v>1</v>
      </c>
      <c r="D50" s="14" t="s">
        <v>441</v>
      </c>
      <c r="E50" s="2" t="s">
        <v>419</v>
      </c>
      <c r="G50" s="2" t="str">
        <f>VLOOKUP(H50, SubjectGroup!$A$2:$B$9, 2, FALSE)</f>
        <v>Core Academic Studies</v>
      </c>
      <c r="H50" s="2">
        <v>2</v>
      </c>
      <c r="I50" s="2">
        <v>12</v>
      </c>
    </row>
    <row r="51" spans="1:9" ht="15.75" hidden="1" customHeight="1" x14ac:dyDescent="0.2">
      <c r="A51" s="2">
        <v>50</v>
      </c>
      <c r="B51" s="2" t="str">
        <f>VLOOKUP(C51,ICCE_Certificate!$A$2:$B$20,2, FALSE)</f>
        <v>Vocational Level 7</v>
      </c>
      <c r="C51" s="2">
        <v>1</v>
      </c>
      <c r="D51" s="14" t="s">
        <v>442</v>
      </c>
      <c r="E51" s="2" t="s">
        <v>419</v>
      </c>
      <c r="G51" s="2" t="str">
        <f>VLOOKUP(H51, SubjectGroup!$A$2:$B$9, 2, FALSE)</f>
        <v>Core Academic Studies</v>
      </c>
      <c r="H51" s="2">
        <v>2</v>
      </c>
      <c r="I51" s="2">
        <v>6</v>
      </c>
    </row>
    <row r="52" spans="1:9" ht="15.75" hidden="1" customHeight="1" x14ac:dyDescent="0.2">
      <c r="A52" s="2">
        <v>51</v>
      </c>
      <c r="B52" s="2" t="str">
        <f>VLOOKUP(C52,ICCE_Certificate!$A$2:$B$20,2, FALSE)</f>
        <v>Vocational Level 7</v>
      </c>
      <c r="C52" s="2">
        <v>1</v>
      </c>
      <c r="D52" s="14" t="s">
        <v>443</v>
      </c>
      <c r="E52" s="2" t="s">
        <v>419</v>
      </c>
      <c r="G52" s="2" t="str">
        <f>VLOOKUP(H52, SubjectGroup!$A$2:$B$9, 2, FALSE)</f>
        <v>Core Academic Studies</v>
      </c>
      <c r="H52" s="2">
        <v>2</v>
      </c>
      <c r="I52" s="2">
        <v>12</v>
      </c>
    </row>
    <row r="53" spans="1:9" ht="15.75" hidden="1" customHeight="1" x14ac:dyDescent="0.2">
      <c r="A53" s="2">
        <v>52</v>
      </c>
      <c r="B53" s="2" t="str">
        <f>VLOOKUP(C53,ICCE_Certificate!$A$2:$B$20,2, FALSE)</f>
        <v>Vocational Level 7</v>
      </c>
      <c r="C53" s="2">
        <v>1</v>
      </c>
      <c r="D53" s="14" t="s">
        <v>444</v>
      </c>
      <c r="E53" s="2" t="s">
        <v>419</v>
      </c>
      <c r="G53" s="2" t="str">
        <f>VLOOKUP(H53, SubjectGroup!$A$2:$B$9, 2, FALSE)</f>
        <v>Core Academic Studies</v>
      </c>
      <c r="H53" s="2">
        <v>2</v>
      </c>
      <c r="I53" s="2">
        <v>6</v>
      </c>
    </row>
    <row r="54" spans="1:9" ht="15.75" hidden="1" customHeight="1" x14ac:dyDescent="0.2">
      <c r="A54" s="2">
        <v>53</v>
      </c>
      <c r="B54" s="2" t="str">
        <f>VLOOKUP(C54,ICCE_Certificate!$A$2:$B$20,2, FALSE)</f>
        <v>Vocational Level 7</v>
      </c>
      <c r="C54" s="2">
        <v>1</v>
      </c>
      <c r="D54" s="14" t="s">
        <v>64</v>
      </c>
      <c r="E54" s="2" t="s">
        <v>419</v>
      </c>
      <c r="G54" s="2" t="str">
        <f>VLOOKUP(H54, SubjectGroup!$A$2:$B$9, 2, FALSE)</f>
        <v>Core Academic Studies</v>
      </c>
      <c r="H54" s="2">
        <v>2</v>
      </c>
      <c r="I54" s="2">
        <v>3</v>
      </c>
    </row>
    <row r="55" spans="1:9" ht="15.75" hidden="1" customHeight="1" x14ac:dyDescent="0.2">
      <c r="A55" s="2">
        <v>54</v>
      </c>
      <c r="B55" s="2" t="str">
        <f>VLOOKUP(C55,ICCE_Certificate!$A$2:$B$20,2, FALSE)</f>
        <v>General Level 8</v>
      </c>
      <c r="C55" s="2">
        <v>9</v>
      </c>
      <c r="D55" s="14" t="s">
        <v>86</v>
      </c>
      <c r="E55" s="2" t="s">
        <v>419</v>
      </c>
      <c r="G55" s="2" t="str">
        <f>VLOOKUP(H55, SubjectGroup!$A$2:$B$9, 2, FALSE)</f>
        <v>Core Academic Studies</v>
      </c>
      <c r="H55" s="2">
        <v>2</v>
      </c>
      <c r="I55" s="2">
        <v>12</v>
      </c>
    </row>
    <row r="56" spans="1:9" ht="15.75" hidden="1" customHeight="1" x14ac:dyDescent="0.2">
      <c r="A56" s="2">
        <v>55</v>
      </c>
      <c r="B56" s="2" t="str">
        <f>VLOOKUP(C56,ICCE_Certificate!$A$2:$B$20,2, FALSE)</f>
        <v>General Level 8</v>
      </c>
      <c r="C56" s="2">
        <v>9</v>
      </c>
      <c r="D56" s="14" t="s">
        <v>87</v>
      </c>
      <c r="E56" s="2" t="s">
        <v>419</v>
      </c>
      <c r="G56" s="2" t="str">
        <f>VLOOKUP(H56, SubjectGroup!$A$2:$B$9, 2, FALSE)</f>
        <v>Core Academic Studies</v>
      </c>
      <c r="H56" s="2">
        <v>2</v>
      </c>
      <c r="I56" s="2">
        <v>12</v>
      </c>
    </row>
    <row r="57" spans="1:9" ht="15.75" hidden="1" customHeight="1" x14ac:dyDescent="0.2">
      <c r="A57" s="2">
        <v>56</v>
      </c>
      <c r="B57" s="2" t="str">
        <f>VLOOKUP(C57,ICCE_Certificate!$A$2:$B$20,2, FALSE)</f>
        <v>General Level 8</v>
      </c>
      <c r="C57" s="2">
        <v>9</v>
      </c>
      <c r="D57" s="14" t="s">
        <v>445</v>
      </c>
      <c r="E57" s="2" t="s">
        <v>419</v>
      </c>
      <c r="G57" s="2" t="str">
        <f>VLOOKUP(H57, SubjectGroup!$A$2:$B$9, 2, FALSE)</f>
        <v>Core Academic Studies</v>
      </c>
      <c r="H57" s="2">
        <v>2</v>
      </c>
      <c r="I57" s="2">
        <v>12</v>
      </c>
    </row>
    <row r="58" spans="1:9" ht="15.75" hidden="1" customHeight="1" x14ac:dyDescent="0.2">
      <c r="A58" s="2">
        <v>57</v>
      </c>
      <c r="B58" s="2" t="str">
        <f>VLOOKUP(C58,ICCE_Certificate!$A$2:$B$20,2, FALSE)</f>
        <v>General Level 8</v>
      </c>
      <c r="C58" s="2">
        <v>9</v>
      </c>
      <c r="D58" s="14" t="s">
        <v>446</v>
      </c>
      <c r="E58" s="2" t="s">
        <v>419</v>
      </c>
      <c r="G58" s="2" t="str">
        <f>VLOOKUP(H58, SubjectGroup!$A$2:$B$9, 2, FALSE)</f>
        <v>Core Academic Studies</v>
      </c>
      <c r="H58" s="2">
        <v>2</v>
      </c>
      <c r="I58" s="2">
        <v>6</v>
      </c>
    </row>
    <row r="59" spans="1:9" ht="15.75" hidden="1" customHeight="1" x14ac:dyDescent="0.2">
      <c r="A59" s="2">
        <v>58</v>
      </c>
      <c r="B59" s="2" t="str">
        <f>VLOOKUP(C59,ICCE_Certificate!$A$2:$B$20,2, FALSE)</f>
        <v>General Level 8</v>
      </c>
      <c r="C59" s="2">
        <v>9</v>
      </c>
      <c r="D59" s="14" t="s">
        <v>447</v>
      </c>
      <c r="E59" s="2" t="s">
        <v>419</v>
      </c>
      <c r="G59" s="2" t="str">
        <f>VLOOKUP(H59, SubjectGroup!$A$2:$B$9, 2, FALSE)</f>
        <v>Core Academic Studies</v>
      </c>
      <c r="H59" s="2">
        <v>2</v>
      </c>
      <c r="I59" s="2">
        <v>12</v>
      </c>
    </row>
    <row r="60" spans="1:9" ht="15.75" hidden="1" customHeight="1" x14ac:dyDescent="0.2">
      <c r="A60" s="2">
        <v>59</v>
      </c>
      <c r="B60" s="2" t="str">
        <f>VLOOKUP(C60,ICCE_Certificate!$A$2:$B$20,2, FALSE)</f>
        <v>General Level 8</v>
      </c>
      <c r="C60" s="2">
        <v>9</v>
      </c>
      <c r="D60" s="14" t="s">
        <v>448</v>
      </c>
      <c r="E60" s="2" t="s">
        <v>417</v>
      </c>
      <c r="F60" s="2" t="s">
        <v>424</v>
      </c>
      <c r="G60" s="2" t="str">
        <f>VLOOKUP(H60, SubjectGroup!$A$2:$B$9, 2, FALSE)</f>
        <v>Core Academic Studies</v>
      </c>
      <c r="H60" s="2">
        <v>2</v>
      </c>
      <c r="I60" s="2">
        <v>12</v>
      </c>
    </row>
    <row r="61" spans="1:9" ht="15.75" hidden="1" customHeight="1" x14ac:dyDescent="0.2">
      <c r="A61" s="2">
        <v>60</v>
      </c>
      <c r="B61" s="2" t="str">
        <f>VLOOKUP(C61,ICCE_Certificate!$A$2:$B$20,2, FALSE)</f>
        <v>General Level 8</v>
      </c>
      <c r="C61" s="2">
        <v>9</v>
      </c>
      <c r="D61" s="14" t="s">
        <v>449</v>
      </c>
      <c r="E61" s="2" t="s">
        <v>419</v>
      </c>
      <c r="G61" s="2" t="str">
        <f>VLOOKUP(H61, SubjectGroup!$A$2:$B$9, 2, FALSE)</f>
        <v>Christian Studies</v>
      </c>
      <c r="H61" s="2">
        <v>1</v>
      </c>
      <c r="I61" s="2">
        <v>12</v>
      </c>
    </row>
    <row r="62" spans="1:9" ht="15.75" hidden="1" customHeight="1" x14ac:dyDescent="0.2">
      <c r="A62" s="2">
        <v>61</v>
      </c>
      <c r="B62" s="2" t="str">
        <f>VLOOKUP(C62,ICCE_Certificate!$A$2:$B$20,2, FALSE)</f>
        <v>General Level 9</v>
      </c>
      <c r="C62" s="2">
        <v>2</v>
      </c>
      <c r="D62" s="2" t="s">
        <v>450</v>
      </c>
      <c r="E62" s="2" t="s">
        <v>419</v>
      </c>
      <c r="G62" s="2" t="str">
        <f>VLOOKUP(H62, SubjectGroup!$A$2:$B$9, 2, FALSE)</f>
        <v>Core Academic Studies</v>
      </c>
      <c r="H62" s="2">
        <v>2</v>
      </c>
      <c r="I62" s="2">
        <v>12</v>
      </c>
    </row>
    <row r="63" spans="1:9" ht="15.75" hidden="1" customHeight="1" x14ac:dyDescent="0.2">
      <c r="A63" s="2">
        <v>62</v>
      </c>
      <c r="B63" s="2" t="str">
        <f>VLOOKUP(C63,ICCE_Certificate!$A$2:$B$20,2, FALSE)</f>
        <v>General Level 9</v>
      </c>
      <c r="C63" s="2">
        <v>2</v>
      </c>
      <c r="D63" s="2" t="s">
        <v>451</v>
      </c>
      <c r="E63" s="2" t="s">
        <v>419</v>
      </c>
      <c r="G63" s="2" t="str">
        <f>VLOOKUP(H63, SubjectGroup!$A$2:$B$9, 2, FALSE)</f>
        <v>Core Academic Studies</v>
      </c>
      <c r="H63" s="2">
        <v>2</v>
      </c>
      <c r="I63" s="2">
        <v>12</v>
      </c>
    </row>
    <row r="64" spans="1:9" ht="15.75" hidden="1" customHeight="1" x14ac:dyDescent="0.2">
      <c r="A64" s="2">
        <v>63</v>
      </c>
      <c r="B64" s="2" t="str">
        <f>VLOOKUP(C64,ICCE_Certificate!$A$2:$B$20,2, FALSE)</f>
        <v>General Level 9</v>
      </c>
      <c r="C64" s="2">
        <v>2</v>
      </c>
      <c r="D64" s="2" t="s">
        <v>32</v>
      </c>
      <c r="E64" s="2" t="s">
        <v>419</v>
      </c>
      <c r="G64" s="2" t="str">
        <f>VLOOKUP(H64, SubjectGroup!$A$2:$B$9, 2, FALSE)</f>
        <v>Core Academic Studies</v>
      </c>
      <c r="H64" s="2">
        <v>2</v>
      </c>
      <c r="I64" s="2">
        <v>12</v>
      </c>
    </row>
    <row r="65" spans="1:10" ht="15.75" hidden="1" customHeight="1" x14ac:dyDescent="0.2">
      <c r="A65" s="2">
        <v>64</v>
      </c>
      <c r="B65" s="2" t="str">
        <f>VLOOKUP(C65,ICCE_Certificate!$A$2:$B$20,2, FALSE)</f>
        <v>General Level 9</v>
      </c>
      <c r="C65" s="2">
        <v>2</v>
      </c>
      <c r="D65" s="16" t="s">
        <v>452</v>
      </c>
      <c r="E65" s="2" t="s">
        <v>417</v>
      </c>
      <c r="G65" s="2" t="str">
        <f>VLOOKUP(H65, SubjectGroup!$A$2:$B$9, 2, FALSE)</f>
        <v>Core Academic Studies</v>
      </c>
      <c r="H65" s="2">
        <v>2</v>
      </c>
      <c r="I65" s="2">
        <v>6</v>
      </c>
    </row>
    <row r="66" spans="1:10" ht="15.75" hidden="1" customHeight="1" x14ac:dyDescent="0.2">
      <c r="A66" s="2">
        <v>65</v>
      </c>
      <c r="B66" s="2" t="str">
        <f>VLOOKUP(C66,ICCE_Certificate!$A$2:$B$20,2, FALSE)</f>
        <v>General Level 9</v>
      </c>
      <c r="C66" s="2">
        <v>2</v>
      </c>
      <c r="D66" s="2" t="s">
        <v>453</v>
      </c>
      <c r="E66" s="2" t="s">
        <v>419</v>
      </c>
      <c r="G66" s="2" t="str">
        <f>VLOOKUP(H66, SubjectGroup!$A$2:$B$9, 2, FALSE)</f>
        <v>Core Academic Studies</v>
      </c>
      <c r="H66" s="2">
        <v>2</v>
      </c>
      <c r="I66" s="2">
        <v>12</v>
      </c>
    </row>
    <row r="67" spans="1:10" ht="15.75" hidden="1" customHeight="1" x14ac:dyDescent="0.2">
      <c r="A67" s="2">
        <v>66</v>
      </c>
      <c r="B67" s="2" t="str">
        <f>VLOOKUP(C67,ICCE_Certificate!$A$2:$B$20,2, FALSE)</f>
        <v>General Level 9</v>
      </c>
      <c r="C67" s="2">
        <v>2</v>
      </c>
      <c r="D67" s="2" t="s">
        <v>69</v>
      </c>
      <c r="E67" s="2" t="s">
        <v>419</v>
      </c>
      <c r="G67" s="2" t="str">
        <f>VLOOKUP(H67, SubjectGroup!$A$2:$B$9, 2, FALSE)</f>
        <v>Core Academic Studies</v>
      </c>
      <c r="H67" s="2">
        <v>2</v>
      </c>
      <c r="I67" s="2">
        <v>12</v>
      </c>
    </row>
    <row r="68" spans="1:10" ht="15.75" hidden="1" customHeight="1" x14ac:dyDescent="0.2">
      <c r="A68" s="2">
        <v>67</v>
      </c>
      <c r="B68" s="2" t="str">
        <f>VLOOKUP(C68,ICCE_Certificate!$A$2:$B$20,2, FALSE)</f>
        <v>General Level 9</v>
      </c>
      <c r="C68" s="2">
        <v>2</v>
      </c>
      <c r="D68" s="2" t="s">
        <v>454</v>
      </c>
      <c r="E68" s="2" t="s">
        <v>417</v>
      </c>
      <c r="F68" s="2" t="s">
        <v>380</v>
      </c>
      <c r="G68" s="2" t="str">
        <f>VLOOKUP(H68, SubjectGroup!$A$2:$B$9, 2, FALSE)</f>
        <v>Christian Studies</v>
      </c>
      <c r="H68" s="2">
        <v>1</v>
      </c>
      <c r="I68" s="2">
        <v>6</v>
      </c>
      <c r="J68" s="2" t="s">
        <v>455</v>
      </c>
    </row>
    <row r="69" spans="1:10" ht="15.75" hidden="1" customHeight="1" x14ac:dyDescent="0.2">
      <c r="A69" s="2">
        <v>68</v>
      </c>
      <c r="B69" s="2" t="str">
        <f>VLOOKUP(C69,ICCE_Certificate!$A$2:$B$20,2, FALSE)</f>
        <v>General Level 9</v>
      </c>
      <c r="C69" s="2">
        <v>2</v>
      </c>
      <c r="D69" s="2" t="s">
        <v>16</v>
      </c>
      <c r="E69" s="2" t="s">
        <v>419</v>
      </c>
      <c r="F69" s="2" t="s">
        <v>380</v>
      </c>
      <c r="G69" s="2" t="str">
        <f>VLOOKUP(H69, SubjectGroup!$A$2:$B$9, 2, FALSE)</f>
        <v>Christian Studies</v>
      </c>
      <c r="H69" s="2">
        <v>1</v>
      </c>
      <c r="I69" s="2">
        <v>12</v>
      </c>
    </row>
    <row r="70" spans="1:10" ht="15.75" hidden="1" customHeight="1" x14ac:dyDescent="0.2">
      <c r="A70" s="2">
        <v>69</v>
      </c>
      <c r="B70" s="2" t="str">
        <f>VLOOKUP(C70,ICCE_Certificate!$A$2:$B$20,2, FALSE)</f>
        <v>General Level 9</v>
      </c>
      <c r="C70" s="2">
        <v>2</v>
      </c>
      <c r="D70" s="14" t="s">
        <v>424</v>
      </c>
      <c r="E70" s="2" t="s">
        <v>417</v>
      </c>
      <c r="F70" s="2" t="s">
        <v>424</v>
      </c>
      <c r="G70" s="2" t="str">
        <f>VLOOKUP(H70, SubjectGroup!$A$2:$B$9, 2, FALSE)</f>
        <v>Core Academic Studies</v>
      </c>
      <c r="H70" s="2">
        <v>2</v>
      </c>
      <c r="I70" s="2">
        <v>12</v>
      </c>
    </row>
    <row r="71" spans="1:10" ht="15.75" hidden="1" customHeight="1" x14ac:dyDescent="0.2">
      <c r="A71" s="2">
        <v>70</v>
      </c>
      <c r="B71" s="2" t="str">
        <f>VLOOKUP(C71,ICCE_Certificate!$A$2:$B$20,2, FALSE)</f>
        <v>General Level 9</v>
      </c>
      <c r="C71" s="2">
        <v>2</v>
      </c>
      <c r="D71" s="14" t="s">
        <v>425</v>
      </c>
      <c r="E71" s="2" t="s">
        <v>417</v>
      </c>
      <c r="F71" s="2" t="s">
        <v>362</v>
      </c>
      <c r="G71" s="2" t="str">
        <f>VLOOKUP(H71, SubjectGroup!$A$2:$B$9, 2, FALSE)</f>
        <v>Core Academic Studies</v>
      </c>
      <c r="H71" s="2">
        <v>2</v>
      </c>
      <c r="I71" s="2">
        <v>3</v>
      </c>
    </row>
    <row r="72" spans="1:10" ht="15.75" hidden="1" customHeight="1" x14ac:dyDescent="0.2">
      <c r="A72" s="2">
        <v>71</v>
      </c>
      <c r="B72" s="2" t="str">
        <f>VLOOKUP(C72,ICCE_Certificate!$A$2:$B$20,2, FALSE)</f>
        <v>General Level 9</v>
      </c>
      <c r="C72" s="2">
        <v>2</v>
      </c>
      <c r="D72" s="14" t="s">
        <v>426</v>
      </c>
      <c r="E72" s="2" t="s">
        <v>417</v>
      </c>
      <c r="F72" s="2" t="s">
        <v>362</v>
      </c>
      <c r="G72" s="2" t="str">
        <f>VLOOKUP(H72, SubjectGroup!$A$2:$B$9, 2, FALSE)</f>
        <v>Coursework</v>
      </c>
      <c r="H72" s="2">
        <v>7</v>
      </c>
      <c r="I72" s="2">
        <v>3</v>
      </c>
    </row>
    <row r="73" spans="1:10" ht="15.75" hidden="1" customHeight="1" x14ac:dyDescent="0.2">
      <c r="A73" s="2">
        <v>72</v>
      </c>
      <c r="B73" s="2" t="str">
        <f>VLOOKUP(C73,ICCE_Certificate!$A$2:$B$20,2, FALSE)</f>
        <v>Intermediate</v>
      </c>
      <c r="C73" s="2">
        <v>3</v>
      </c>
      <c r="D73" s="2" t="s">
        <v>74</v>
      </c>
      <c r="E73" s="2" t="s">
        <v>419</v>
      </c>
      <c r="G73" s="2" t="str">
        <f>VLOOKUP(H73, SubjectGroup!$A$2:$B$9, 2, FALSE)</f>
        <v>Core Academic Studies</v>
      </c>
      <c r="H73" s="2">
        <v>2</v>
      </c>
      <c r="I73" s="2">
        <v>12</v>
      </c>
    </row>
    <row r="74" spans="1:10" ht="15.75" hidden="1" customHeight="1" x14ac:dyDescent="0.2">
      <c r="A74" s="2">
        <v>73</v>
      </c>
      <c r="B74" s="2" t="str">
        <f>VLOOKUP(C74,ICCE_Certificate!$A$2:$B$20,2, FALSE)</f>
        <v>Intermediate</v>
      </c>
      <c r="C74" s="2">
        <v>3</v>
      </c>
      <c r="D74" s="2" t="s">
        <v>75</v>
      </c>
      <c r="E74" s="2" t="s">
        <v>419</v>
      </c>
      <c r="G74" s="2" t="str">
        <f>VLOOKUP(H74, SubjectGroup!$A$2:$B$9, 2, FALSE)</f>
        <v>Core Academic Studies</v>
      </c>
      <c r="H74" s="2">
        <v>2</v>
      </c>
      <c r="I74" s="2">
        <v>12</v>
      </c>
    </row>
    <row r="75" spans="1:10" ht="15.75" hidden="1" customHeight="1" x14ac:dyDescent="0.2">
      <c r="A75" s="2">
        <v>74</v>
      </c>
      <c r="B75" s="2" t="str">
        <f>VLOOKUP(C75,ICCE_Certificate!$A$2:$B$20,2, FALSE)</f>
        <v>Intermediate</v>
      </c>
      <c r="C75" s="2">
        <v>3</v>
      </c>
      <c r="D75" s="2" t="s">
        <v>96</v>
      </c>
      <c r="E75" s="2" t="s">
        <v>419</v>
      </c>
      <c r="G75" s="2" t="str">
        <f>VLOOKUP(H75, SubjectGroup!$A$2:$B$9, 2, FALSE)</f>
        <v>Christian Studies</v>
      </c>
      <c r="H75" s="2">
        <v>1</v>
      </c>
      <c r="I75" s="2">
        <v>6</v>
      </c>
      <c r="J75" s="2" t="s">
        <v>456</v>
      </c>
    </row>
    <row r="76" spans="1:10" ht="15.75" hidden="1" customHeight="1" x14ac:dyDescent="0.2">
      <c r="A76" s="2">
        <v>75</v>
      </c>
      <c r="B76" s="2" t="str">
        <f>VLOOKUP(C76,ICCE_Certificate!$A$2:$B$20,2, FALSE)</f>
        <v>Intermediate</v>
      </c>
      <c r="C76" s="2">
        <v>3</v>
      </c>
      <c r="D76" s="2" t="s">
        <v>457</v>
      </c>
      <c r="E76" s="2" t="s">
        <v>419</v>
      </c>
      <c r="G76" s="2" t="str">
        <f>VLOOKUP(H76, SubjectGroup!$A$2:$B$9, 2, FALSE)</f>
        <v>Christian Studies</v>
      </c>
      <c r="H76" s="2">
        <v>1</v>
      </c>
      <c r="I76" s="2">
        <v>12</v>
      </c>
    </row>
    <row r="77" spans="1:10" ht="15.75" hidden="1" customHeight="1" x14ac:dyDescent="0.2">
      <c r="A77" s="2">
        <v>76</v>
      </c>
      <c r="B77" s="2" t="str">
        <f>VLOOKUP(C77,ICCE_Certificate!$A$2:$B$20,2, FALSE)</f>
        <v>Intermediate</v>
      </c>
      <c r="C77" s="2">
        <v>3</v>
      </c>
      <c r="D77" s="2" t="s">
        <v>76</v>
      </c>
      <c r="E77" s="2" t="s">
        <v>419</v>
      </c>
      <c r="G77" s="2" t="str">
        <f>VLOOKUP(H77, SubjectGroup!$A$2:$B$9, 2, FALSE)</f>
        <v>Core Academic Studies</v>
      </c>
      <c r="H77" s="2">
        <v>2</v>
      </c>
      <c r="I77" s="2">
        <v>12</v>
      </c>
    </row>
    <row r="78" spans="1:10" ht="15.75" hidden="1" customHeight="1" x14ac:dyDescent="0.2">
      <c r="A78" s="2">
        <v>77</v>
      </c>
      <c r="B78" s="2" t="str">
        <f>VLOOKUP(C78,ICCE_Certificate!$A$2:$B$20,2, FALSE)</f>
        <v>Intermediate</v>
      </c>
      <c r="C78" s="2">
        <v>3</v>
      </c>
      <c r="D78" s="2" t="s">
        <v>458</v>
      </c>
      <c r="E78" s="2" t="s">
        <v>419</v>
      </c>
      <c r="G78" s="2" t="str">
        <f>VLOOKUP(H78, SubjectGroup!$A$2:$B$9, 2, FALSE)</f>
        <v>Core Academic Studies</v>
      </c>
      <c r="H78" s="2">
        <v>2</v>
      </c>
      <c r="I78" s="2">
        <v>12</v>
      </c>
    </row>
    <row r="79" spans="1:10" ht="15.75" hidden="1" customHeight="1" x14ac:dyDescent="0.2">
      <c r="A79" s="2">
        <v>78</v>
      </c>
      <c r="B79" s="2" t="str">
        <f>VLOOKUP(C79,ICCE_Certificate!$A$2:$B$20,2, FALSE)</f>
        <v>Intermediate</v>
      </c>
      <c r="C79" s="2">
        <v>3</v>
      </c>
      <c r="D79" s="14" t="s">
        <v>424</v>
      </c>
      <c r="E79" s="2" t="s">
        <v>417</v>
      </c>
      <c r="F79" s="2" t="s">
        <v>424</v>
      </c>
      <c r="G79" s="2" t="str">
        <f>VLOOKUP(H79, SubjectGroup!$A$2:$B$9, 2, FALSE)</f>
        <v>Core Academic Studies</v>
      </c>
      <c r="H79" s="2">
        <v>2</v>
      </c>
      <c r="I79" s="2">
        <v>12</v>
      </c>
    </row>
    <row r="80" spans="1:10" ht="15.75" hidden="1" customHeight="1" x14ac:dyDescent="0.2">
      <c r="A80" s="2">
        <v>79</v>
      </c>
      <c r="B80" s="2" t="str">
        <f>VLOOKUP(C80,ICCE_Certificate!$A$2:$B$20,2, FALSE)</f>
        <v>Intermediate</v>
      </c>
      <c r="C80" s="2">
        <v>3</v>
      </c>
      <c r="D80" s="14" t="s">
        <v>424</v>
      </c>
      <c r="E80" s="2" t="s">
        <v>417</v>
      </c>
      <c r="F80" s="2" t="s">
        <v>424</v>
      </c>
      <c r="G80" s="2" t="str">
        <f>VLOOKUP(H80, SubjectGroup!$A$2:$B$9, 2, FALSE)</f>
        <v>Applied Studies</v>
      </c>
      <c r="H80" s="2">
        <v>4</v>
      </c>
      <c r="I80" s="2">
        <v>12</v>
      </c>
    </row>
    <row r="81" spans="1:9" ht="15.75" hidden="1" customHeight="1" x14ac:dyDescent="0.2">
      <c r="A81" s="2">
        <v>80</v>
      </c>
      <c r="B81" s="2" t="str">
        <f>VLOOKUP(C81,ICCE_Certificate!$A$2:$B$20,2, FALSE)</f>
        <v>Intermediate</v>
      </c>
      <c r="C81" s="2">
        <v>3</v>
      </c>
      <c r="D81" s="14" t="s">
        <v>425</v>
      </c>
      <c r="E81" s="2" t="s">
        <v>417</v>
      </c>
      <c r="G81" s="2" t="str">
        <f>VLOOKUP(H81, SubjectGroup!$A$2:$B$9, 2, FALSE)</f>
        <v>Coursework</v>
      </c>
      <c r="H81" s="2">
        <v>7</v>
      </c>
      <c r="I81" s="2">
        <v>2</v>
      </c>
    </row>
    <row r="82" spans="1:9" ht="15.75" hidden="1" customHeight="1" x14ac:dyDescent="0.2">
      <c r="A82" s="2">
        <v>81</v>
      </c>
      <c r="B82" s="2" t="str">
        <f>VLOOKUP(C82,ICCE_Certificate!$A$2:$B$20,2, FALSE)</f>
        <v>Intermediate</v>
      </c>
      <c r="C82" s="2">
        <v>3</v>
      </c>
      <c r="D82" s="14" t="s">
        <v>426</v>
      </c>
      <c r="E82" s="2" t="s">
        <v>417</v>
      </c>
      <c r="G82" s="2" t="str">
        <f>VLOOKUP(H82, SubjectGroup!$A$2:$B$9, 2, FALSE)</f>
        <v>Coursework</v>
      </c>
      <c r="H82" s="2">
        <v>7</v>
      </c>
      <c r="I82" s="2">
        <v>2</v>
      </c>
    </row>
    <row r="83" spans="1:9" ht="15.75" hidden="1" customHeight="1" x14ac:dyDescent="0.2">
      <c r="A83" s="2">
        <v>82</v>
      </c>
      <c r="B83" s="2" t="str">
        <f>VLOOKUP(C83,ICCE_Certificate!$A$2:$B$20,2, FALSE)</f>
        <v>Intermediate</v>
      </c>
      <c r="C83" s="2">
        <v>3</v>
      </c>
      <c r="D83" s="14" t="s">
        <v>427</v>
      </c>
      <c r="E83" s="2" t="s">
        <v>417</v>
      </c>
      <c r="G83" s="2" t="str">
        <f>VLOOKUP(H83, SubjectGroup!$A$2:$B$9, 2, FALSE)</f>
        <v>Coursework</v>
      </c>
      <c r="H83" s="2">
        <v>7</v>
      </c>
      <c r="I83" s="2">
        <v>2</v>
      </c>
    </row>
    <row r="84" spans="1:9" ht="15.75" customHeight="1" x14ac:dyDescent="0.2">
      <c r="D84" s="14"/>
    </row>
    <row r="85" spans="1:9" ht="15.75" customHeight="1" x14ac:dyDescent="0.2">
      <c r="D85" s="14"/>
    </row>
    <row r="86" spans="1:9" ht="15.75" customHeight="1" x14ac:dyDescent="0.2">
      <c r="D86" s="14"/>
    </row>
    <row r="87" spans="1:9" ht="15.75" customHeight="1" x14ac:dyDescent="0.2">
      <c r="D87" s="14"/>
    </row>
    <row r="88" spans="1:9" ht="15.75" customHeight="1" x14ac:dyDescent="0.2">
      <c r="D88" s="14"/>
    </row>
    <row r="89" spans="1:9" ht="15.75" customHeight="1" x14ac:dyDescent="0.2">
      <c r="D89" s="14"/>
    </row>
    <row r="90" spans="1:9" ht="15.75" customHeight="1" x14ac:dyDescent="0.2">
      <c r="D90" s="14"/>
    </row>
    <row r="91" spans="1:9" ht="15.75" customHeight="1" x14ac:dyDescent="0.2">
      <c r="D91" s="14"/>
    </row>
    <row r="92" spans="1:9" ht="15.75" customHeight="1" x14ac:dyDescent="0.2">
      <c r="D92" s="14"/>
    </row>
    <row r="93" spans="1:9" ht="15.75" customHeight="1" x14ac:dyDescent="0.2">
      <c r="D93" s="14"/>
    </row>
    <row r="94" spans="1:9" ht="15.75" customHeight="1" x14ac:dyDescent="0.2">
      <c r="D94" s="14"/>
    </row>
    <row r="95" spans="1:9" ht="15.75" customHeight="1" x14ac:dyDescent="0.2">
      <c r="D95" s="14"/>
    </row>
    <row r="96" spans="1:9" ht="15.75" customHeight="1" x14ac:dyDescent="0.2">
      <c r="D96" s="14"/>
    </row>
    <row r="97" spans="4:4" ht="15.75" customHeight="1" x14ac:dyDescent="0.2">
      <c r="D97" s="14"/>
    </row>
    <row r="98" spans="4:4" ht="15.75" customHeight="1" x14ac:dyDescent="0.2">
      <c r="D98" s="14"/>
    </row>
    <row r="99" spans="4:4" ht="15.75" customHeight="1" x14ac:dyDescent="0.2">
      <c r="D99" s="14"/>
    </row>
    <row r="100" spans="4:4" ht="15.75" customHeight="1" x14ac:dyDescent="0.2">
      <c r="D100" s="14"/>
    </row>
    <row r="101" spans="4:4" ht="15.75" customHeight="1" x14ac:dyDescent="0.2">
      <c r="D101" s="14"/>
    </row>
    <row r="102" spans="4:4" ht="15.75" customHeight="1" x14ac:dyDescent="0.2">
      <c r="D102" s="14"/>
    </row>
    <row r="103" spans="4:4" ht="15.75" customHeight="1" x14ac:dyDescent="0.2">
      <c r="D103" s="14"/>
    </row>
    <row r="104" spans="4:4" ht="15.75" customHeight="1" x14ac:dyDescent="0.2">
      <c r="D104" s="14"/>
    </row>
    <row r="105" spans="4:4" ht="15.75" customHeight="1" x14ac:dyDescent="0.2">
      <c r="D105" s="14"/>
    </row>
    <row r="106" spans="4:4" ht="15.75" customHeight="1" x14ac:dyDescent="0.2">
      <c r="D106" s="14"/>
    </row>
    <row r="107" spans="4:4" ht="15.75" customHeight="1" x14ac:dyDescent="0.2">
      <c r="D107" s="14"/>
    </row>
    <row r="108" spans="4:4" ht="15.75" customHeight="1" x14ac:dyDescent="0.2">
      <c r="D108" s="14"/>
    </row>
    <row r="109" spans="4:4" ht="15.75" customHeight="1" x14ac:dyDescent="0.2">
      <c r="D109" s="14"/>
    </row>
    <row r="110" spans="4:4" ht="15.75" customHeight="1" x14ac:dyDescent="0.2">
      <c r="D110" s="14"/>
    </row>
    <row r="111" spans="4:4" ht="15.75" customHeight="1" x14ac:dyDescent="0.2">
      <c r="D111" s="14"/>
    </row>
    <row r="112" spans="4:4" ht="15.75" customHeight="1" x14ac:dyDescent="0.2">
      <c r="D112" s="14"/>
    </row>
    <row r="113" spans="4:4" ht="15.75" customHeight="1" x14ac:dyDescent="0.2">
      <c r="D113" s="14"/>
    </row>
    <row r="114" spans="4:4" ht="15.75" customHeight="1" x14ac:dyDescent="0.2">
      <c r="D114" s="14"/>
    </row>
    <row r="115" spans="4:4" ht="15.75" customHeight="1" x14ac:dyDescent="0.2">
      <c r="D115" s="14"/>
    </row>
    <row r="116" spans="4:4" ht="15.75" customHeight="1" x14ac:dyDescent="0.2">
      <c r="D116" s="14"/>
    </row>
    <row r="117" spans="4:4" ht="15.75" customHeight="1" x14ac:dyDescent="0.2">
      <c r="D117" s="14"/>
    </row>
    <row r="118" spans="4:4" ht="15.75" customHeight="1" x14ac:dyDescent="0.2">
      <c r="D118" s="14"/>
    </row>
    <row r="119" spans="4:4" ht="15.75" customHeight="1" x14ac:dyDescent="0.2">
      <c r="D119" s="14"/>
    </row>
    <row r="120" spans="4:4" ht="15.75" customHeight="1" x14ac:dyDescent="0.2">
      <c r="D120" s="14"/>
    </row>
    <row r="121" spans="4:4" ht="15.75" customHeight="1" x14ac:dyDescent="0.2">
      <c r="D121" s="14"/>
    </row>
    <row r="122" spans="4:4" ht="15.75" customHeight="1" x14ac:dyDescent="0.2">
      <c r="D122" s="14"/>
    </row>
    <row r="123" spans="4:4" ht="15.75" customHeight="1" x14ac:dyDescent="0.2">
      <c r="D123" s="14"/>
    </row>
    <row r="124" spans="4:4" ht="15.75" customHeight="1" x14ac:dyDescent="0.2">
      <c r="D124" s="14"/>
    </row>
    <row r="125" spans="4:4" ht="15.75" customHeight="1" x14ac:dyDescent="0.2">
      <c r="D125" s="14"/>
    </row>
    <row r="126" spans="4:4" ht="15.75" customHeight="1" x14ac:dyDescent="0.2">
      <c r="D126" s="14"/>
    </row>
    <row r="127" spans="4:4" ht="15.75" customHeight="1" x14ac:dyDescent="0.2">
      <c r="D127" s="14"/>
    </row>
    <row r="128" spans="4:4" ht="15.75" customHeight="1" x14ac:dyDescent="0.2">
      <c r="D128" s="14"/>
    </row>
    <row r="129" spans="4:4" ht="15.75" customHeight="1" x14ac:dyDescent="0.2">
      <c r="D129" s="14"/>
    </row>
    <row r="130" spans="4:4" ht="15.75" customHeight="1" x14ac:dyDescent="0.2">
      <c r="D130" s="14"/>
    </row>
    <row r="131" spans="4:4" ht="15.75" customHeight="1" x14ac:dyDescent="0.2">
      <c r="D131" s="14"/>
    </row>
    <row r="132" spans="4:4" ht="15.75" customHeight="1" x14ac:dyDescent="0.2">
      <c r="D132" s="14"/>
    </row>
    <row r="133" spans="4:4" ht="15.75" customHeight="1" x14ac:dyDescent="0.2">
      <c r="D133" s="14"/>
    </row>
    <row r="134" spans="4:4" ht="15.75" customHeight="1" x14ac:dyDescent="0.2">
      <c r="D134" s="14"/>
    </row>
    <row r="135" spans="4:4" ht="15.75" customHeight="1" x14ac:dyDescent="0.2">
      <c r="D135" s="14"/>
    </row>
    <row r="136" spans="4:4" ht="15.75" customHeight="1" x14ac:dyDescent="0.2">
      <c r="D136" s="14"/>
    </row>
    <row r="137" spans="4:4" ht="15.75" customHeight="1" x14ac:dyDescent="0.2">
      <c r="D137" s="14"/>
    </row>
    <row r="138" spans="4:4" ht="15.75" customHeight="1" x14ac:dyDescent="0.2">
      <c r="D138" s="14"/>
    </row>
    <row r="139" spans="4:4" ht="15.75" customHeight="1" x14ac:dyDescent="0.2">
      <c r="D139" s="14"/>
    </row>
    <row r="140" spans="4:4" ht="15.75" customHeight="1" x14ac:dyDescent="0.2">
      <c r="D140" s="14"/>
    </row>
    <row r="141" spans="4:4" ht="15.75" customHeight="1" x14ac:dyDescent="0.2">
      <c r="D141" s="14"/>
    </row>
    <row r="142" spans="4:4" ht="15.75" customHeight="1" x14ac:dyDescent="0.2">
      <c r="D142" s="14"/>
    </row>
    <row r="143" spans="4:4" ht="15.75" customHeight="1" x14ac:dyDescent="0.2">
      <c r="D143" s="14"/>
    </row>
    <row r="144" spans="4:4" ht="15.75" customHeight="1" x14ac:dyDescent="0.2">
      <c r="D144" s="14"/>
    </row>
    <row r="145" spans="4:4" ht="15.75" customHeight="1" x14ac:dyDescent="0.2">
      <c r="D145" s="14"/>
    </row>
    <row r="146" spans="4:4" ht="15.75" customHeight="1" x14ac:dyDescent="0.2">
      <c r="D146" s="14"/>
    </row>
    <row r="147" spans="4:4" ht="15.75" customHeight="1" x14ac:dyDescent="0.2">
      <c r="D147" s="14"/>
    </row>
    <row r="148" spans="4:4" ht="15.75" customHeight="1" x14ac:dyDescent="0.2">
      <c r="D148" s="14"/>
    </row>
    <row r="149" spans="4:4" ht="15.75" customHeight="1" x14ac:dyDescent="0.2">
      <c r="D149" s="14"/>
    </row>
    <row r="150" spans="4:4" ht="15.75" customHeight="1" x14ac:dyDescent="0.2">
      <c r="D150" s="14"/>
    </row>
    <row r="151" spans="4:4" ht="15.75" customHeight="1" x14ac:dyDescent="0.2">
      <c r="D151" s="14"/>
    </row>
    <row r="152" spans="4:4" ht="15.75" customHeight="1" x14ac:dyDescent="0.2">
      <c r="D152" s="14"/>
    </row>
    <row r="153" spans="4:4" ht="15.75" customHeight="1" x14ac:dyDescent="0.2">
      <c r="D153" s="14"/>
    </row>
    <row r="154" spans="4:4" ht="15.75" customHeight="1" x14ac:dyDescent="0.2">
      <c r="D154" s="14"/>
    </row>
    <row r="155" spans="4:4" ht="15.75" customHeight="1" x14ac:dyDescent="0.2">
      <c r="D155" s="14"/>
    </row>
    <row r="156" spans="4:4" ht="15.75" customHeight="1" x14ac:dyDescent="0.2">
      <c r="D156" s="14"/>
    </row>
    <row r="157" spans="4:4" ht="15.75" customHeight="1" x14ac:dyDescent="0.2">
      <c r="D157" s="14"/>
    </row>
    <row r="158" spans="4:4" ht="15.75" customHeight="1" x14ac:dyDescent="0.2">
      <c r="D158" s="14"/>
    </row>
    <row r="159" spans="4:4" ht="15.75" customHeight="1" x14ac:dyDescent="0.2">
      <c r="D159" s="14"/>
    </row>
    <row r="160" spans="4:4" ht="15.75" customHeight="1" x14ac:dyDescent="0.2">
      <c r="D160" s="14"/>
    </row>
    <row r="161" spans="4:4" ht="15.75" customHeight="1" x14ac:dyDescent="0.2">
      <c r="D161" s="14"/>
    </row>
    <row r="162" spans="4:4" ht="15.75" customHeight="1" x14ac:dyDescent="0.2">
      <c r="D162" s="14"/>
    </row>
    <row r="163" spans="4:4" ht="15.75" customHeight="1" x14ac:dyDescent="0.2">
      <c r="D163" s="14"/>
    </row>
    <row r="164" spans="4:4" ht="15.75" customHeight="1" x14ac:dyDescent="0.2">
      <c r="D164" s="14"/>
    </row>
    <row r="165" spans="4:4" ht="15.75" customHeight="1" x14ac:dyDescent="0.2">
      <c r="D165" s="14"/>
    </row>
    <row r="166" spans="4:4" ht="15.75" customHeight="1" x14ac:dyDescent="0.2">
      <c r="D166" s="14"/>
    </row>
    <row r="167" spans="4:4" ht="15.75" customHeight="1" x14ac:dyDescent="0.2">
      <c r="D167" s="14"/>
    </row>
    <row r="168" spans="4:4" ht="15.75" customHeight="1" x14ac:dyDescent="0.2">
      <c r="D168" s="14"/>
    </row>
    <row r="169" spans="4:4" ht="15.75" customHeight="1" x14ac:dyDescent="0.2">
      <c r="D169" s="14"/>
    </row>
    <row r="170" spans="4:4" ht="15.75" customHeight="1" x14ac:dyDescent="0.2">
      <c r="D170" s="14"/>
    </row>
    <row r="171" spans="4:4" ht="15.75" customHeight="1" x14ac:dyDescent="0.2">
      <c r="D171" s="14"/>
    </row>
    <row r="172" spans="4:4" ht="15.75" customHeight="1" x14ac:dyDescent="0.2">
      <c r="D172" s="14"/>
    </row>
    <row r="173" spans="4:4" ht="15.75" customHeight="1" x14ac:dyDescent="0.2">
      <c r="D173" s="14"/>
    </row>
    <row r="174" spans="4:4" ht="15.75" customHeight="1" x14ac:dyDescent="0.2">
      <c r="D174" s="14"/>
    </row>
    <row r="175" spans="4:4" ht="15.75" customHeight="1" x14ac:dyDescent="0.2">
      <c r="D175" s="14"/>
    </row>
    <row r="176" spans="4:4" ht="15.75" customHeight="1" x14ac:dyDescent="0.2">
      <c r="D176" s="14"/>
    </row>
    <row r="177" spans="4:4" ht="15.75" customHeight="1" x14ac:dyDescent="0.2">
      <c r="D177" s="14"/>
    </row>
    <row r="178" spans="4:4" ht="15.75" customHeight="1" x14ac:dyDescent="0.2">
      <c r="D178" s="14"/>
    </row>
    <row r="179" spans="4:4" ht="15.75" customHeight="1" x14ac:dyDescent="0.2">
      <c r="D179" s="14"/>
    </row>
    <row r="180" spans="4:4" ht="15.75" customHeight="1" x14ac:dyDescent="0.2">
      <c r="D180" s="14"/>
    </row>
    <row r="181" spans="4:4" ht="15.75" customHeight="1" x14ac:dyDescent="0.2">
      <c r="D181" s="14"/>
    </row>
    <row r="182" spans="4:4" ht="15.75" customHeight="1" x14ac:dyDescent="0.2">
      <c r="D182" s="14"/>
    </row>
    <row r="183" spans="4:4" ht="15.75" customHeight="1" x14ac:dyDescent="0.2">
      <c r="D183" s="14"/>
    </row>
    <row r="184" spans="4:4" ht="15.75" customHeight="1" x14ac:dyDescent="0.2">
      <c r="D184" s="14"/>
    </row>
    <row r="185" spans="4:4" ht="15.75" customHeight="1" x14ac:dyDescent="0.2">
      <c r="D185" s="14"/>
    </row>
    <row r="186" spans="4:4" ht="15.75" customHeight="1" x14ac:dyDescent="0.2">
      <c r="D186" s="14"/>
    </row>
    <row r="187" spans="4:4" ht="15.75" customHeight="1" x14ac:dyDescent="0.2">
      <c r="D187" s="14"/>
    </row>
    <row r="188" spans="4:4" ht="15.75" customHeight="1" x14ac:dyDescent="0.2">
      <c r="D188" s="14"/>
    </row>
    <row r="189" spans="4:4" ht="15.75" customHeight="1" x14ac:dyDescent="0.2">
      <c r="D189" s="14"/>
    </row>
    <row r="190" spans="4:4" ht="15.75" customHeight="1" x14ac:dyDescent="0.2">
      <c r="D190" s="14"/>
    </row>
    <row r="191" spans="4:4" ht="15.75" customHeight="1" x14ac:dyDescent="0.2">
      <c r="D191" s="14"/>
    </row>
    <row r="192" spans="4:4" ht="15.75" customHeight="1" x14ac:dyDescent="0.2">
      <c r="D192" s="14"/>
    </row>
    <row r="193" spans="4:4" ht="15.75" customHeight="1" x14ac:dyDescent="0.2">
      <c r="D193" s="14"/>
    </row>
    <row r="194" spans="4:4" ht="15.75" customHeight="1" x14ac:dyDescent="0.2">
      <c r="D194" s="14"/>
    </row>
    <row r="195" spans="4:4" ht="15.75" customHeight="1" x14ac:dyDescent="0.2">
      <c r="D195" s="14"/>
    </row>
    <row r="196" spans="4:4" ht="15.75" customHeight="1" x14ac:dyDescent="0.2">
      <c r="D196" s="14"/>
    </row>
    <row r="197" spans="4:4" ht="15.75" customHeight="1" x14ac:dyDescent="0.2">
      <c r="D197" s="14"/>
    </row>
    <row r="198" spans="4:4" ht="15.75" customHeight="1" x14ac:dyDescent="0.2">
      <c r="D198" s="14"/>
    </row>
    <row r="199" spans="4:4" ht="15.75" customHeight="1" x14ac:dyDescent="0.2">
      <c r="D199" s="14"/>
    </row>
    <row r="200" spans="4:4" ht="15.75" customHeight="1" x14ac:dyDescent="0.2">
      <c r="D200" s="14"/>
    </row>
    <row r="201" spans="4:4" ht="15.75" customHeight="1" x14ac:dyDescent="0.2">
      <c r="D201" s="14"/>
    </row>
    <row r="202" spans="4:4" ht="15.75" customHeight="1" x14ac:dyDescent="0.2">
      <c r="D202" s="14"/>
    </row>
    <row r="203" spans="4:4" ht="15.75" customHeight="1" x14ac:dyDescent="0.2">
      <c r="D203" s="14"/>
    </row>
    <row r="204" spans="4:4" ht="15.75" customHeight="1" x14ac:dyDescent="0.2">
      <c r="D204" s="14"/>
    </row>
    <row r="205" spans="4:4" ht="15.75" customHeight="1" x14ac:dyDescent="0.2">
      <c r="D205" s="14"/>
    </row>
    <row r="206" spans="4:4" ht="15.75" customHeight="1" x14ac:dyDescent="0.2">
      <c r="D206" s="14"/>
    </row>
    <row r="207" spans="4:4" ht="15.75" customHeight="1" x14ac:dyDescent="0.2">
      <c r="D207" s="14"/>
    </row>
    <row r="208" spans="4:4" ht="15.75" customHeight="1" x14ac:dyDescent="0.2">
      <c r="D208" s="14"/>
    </row>
    <row r="209" spans="4:4" ht="15.75" customHeight="1" x14ac:dyDescent="0.2">
      <c r="D209" s="14"/>
    </row>
    <row r="210" spans="4:4" ht="15.75" customHeight="1" x14ac:dyDescent="0.2">
      <c r="D210" s="14"/>
    </row>
    <row r="211" spans="4:4" ht="15.75" customHeight="1" x14ac:dyDescent="0.2">
      <c r="D211" s="14"/>
    </row>
    <row r="212" spans="4:4" ht="15.75" customHeight="1" x14ac:dyDescent="0.2">
      <c r="D212" s="14"/>
    </row>
    <row r="213" spans="4:4" ht="15.75" customHeight="1" x14ac:dyDescent="0.2">
      <c r="D213" s="14"/>
    </row>
    <row r="214" spans="4:4" ht="15.75" customHeight="1" x14ac:dyDescent="0.2">
      <c r="D214" s="14"/>
    </row>
    <row r="215" spans="4:4" ht="15.75" customHeight="1" x14ac:dyDescent="0.2">
      <c r="D215" s="14"/>
    </row>
    <row r="216" spans="4:4" ht="15.75" customHeight="1" x14ac:dyDescent="0.2">
      <c r="D216" s="14"/>
    </row>
    <row r="217" spans="4:4" ht="15.75" customHeight="1" x14ac:dyDescent="0.2">
      <c r="D217" s="14"/>
    </row>
    <row r="218" spans="4:4" ht="15.75" customHeight="1" x14ac:dyDescent="0.2">
      <c r="D218" s="14"/>
    </row>
    <row r="219" spans="4:4" ht="15.75" customHeight="1" x14ac:dyDescent="0.2">
      <c r="D219" s="14"/>
    </row>
    <row r="220" spans="4:4" ht="15.75" customHeight="1" x14ac:dyDescent="0.2">
      <c r="D220" s="14"/>
    </row>
    <row r="221" spans="4:4" ht="15.75" customHeight="1" x14ac:dyDescent="0.2">
      <c r="D221" s="14"/>
    </row>
    <row r="222" spans="4:4" ht="15.75" customHeight="1" x14ac:dyDescent="0.2">
      <c r="D222" s="14"/>
    </row>
    <row r="223" spans="4:4" ht="15.75" customHeight="1" x14ac:dyDescent="0.2">
      <c r="D223" s="14"/>
    </row>
    <row r="224" spans="4:4" ht="15.75" customHeight="1" x14ac:dyDescent="0.2">
      <c r="D224" s="14"/>
    </row>
    <row r="225" spans="4:4" ht="15.75" customHeight="1" x14ac:dyDescent="0.2">
      <c r="D225" s="14"/>
    </row>
    <row r="226" spans="4:4" ht="15.75" customHeight="1" x14ac:dyDescent="0.2">
      <c r="D226" s="14"/>
    </row>
    <row r="227" spans="4:4" ht="15.75" customHeight="1" x14ac:dyDescent="0.2">
      <c r="D227" s="14"/>
    </row>
    <row r="228" spans="4:4" ht="15.75" customHeight="1" x14ac:dyDescent="0.2">
      <c r="D228" s="14"/>
    </row>
    <row r="229" spans="4:4" ht="15.75" customHeight="1" x14ac:dyDescent="0.2">
      <c r="D229" s="14"/>
    </row>
    <row r="230" spans="4:4" ht="15.75" customHeight="1" x14ac:dyDescent="0.2">
      <c r="D230" s="14"/>
    </row>
    <row r="231" spans="4:4" ht="15.75" customHeight="1" x14ac:dyDescent="0.2">
      <c r="D231" s="14"/>
    </row>
    <row r="232" spans="4:4" ht="15.75" customHeight="1" x14ac:dyDescent="0.2">
      <c r="D232" s="14"/>
    </row>
    <row r="233" spans="4:4" ht="15.75" customHeight="1" x14ac:dyDescent="0.2">
      <c r="D233" s="14"/>
    </row>
    <row r="234" spans="4:4" ht="15.75" customHeight="1" x14ac:dyDescent="0.2">
      <c r="D234" s="14"/>
    </row>
    <row r="235" spans="4:4" ht="15.75" customHeight="1" x14ac:dyDescent="0.2">
      <c r="D235" s="14"/>
    </row>
    <row r="236" spans="4:4" ht="15.75" customHeight="1" x14ac:dyDescent="0.2">
      <c r="D236" s="14"/>
    </row>
    <row r="237" spans="4:4" ht="15.75" customHeight="1" x14ac:dyDescent="0.2">
      <c r="D237" s="14"/>
    </row>
    <row r="238" spans="4:4" ht="15.75" customHeight="1" x14ac:dyDescent="0.2">
      <c r="D238" s="14"/>
    </row>
    <row r="239" spans="4:4" ht="15.75" customHeight="1" x14ac:dyDescent="0.2">
      <c r="D239" s="14"/>
    </row>
    <row r="240" spans="4:4" ht="15.75" customHeight="1" x14ac:dyDescent="0.2">
      <c r="D240" s="14"/>
    </row>
    <row r="241" spans="4:4" ht="15.75" customHeight="1" x14ac:dyDescent="0.2">
      <c r="D241" s="14"/>
    </row>
    <row r="242" spans="4:4" ht="15.75" customHeight="1" x14ac:dyDescent="0.2">
      <c r="D242" s="14"/>
    </row>
    <row r="243" spans="4:4" ht="15.75" customHeight="1" x14ac:dyDescent="0.2">
      <c r="D243" s="14"/>
    </row>
    <row r="244" spans="4:4" ht="15.75" customHeight="1" x14ac:dyDescent="0.2">
      <c r="D244" s="14"/>
    </row>
    <row r="245" spans="4:4" ht="15.75" customHeight="1" x14ac:dyDescent="0.2">
      <c r="D245" s="14"/>
    </row>
    <row r="246" spans="4:4" ht="15.75" customHeight="1" x14ac:dyDescent="0.2">
      <c r="D246" s="14"/>
    </row>
    <row r="247" spans="4:4" ht="15.75" customHeight="1" x14ac:dyDescent="0.2">
      <c r="D247" s="14"/>
    </row>
    <row r="248" spans="4:4" ht="15.75" customHeight="1" x14ac:dyDescent="0.2">
      <c r="D248" s="14"/>
    </row>
    <row r="249" spans="4:4" ht="15.75" customHeight="1" x14ac:dyDescent="0.2">
      <c r="D249" s="14"/>
    </row>
    <row r="250" spans="4:4" ht="15.75" customHeight="1" x14ac:dyDescent="0.2">
      <c r="D250" s="14"/>
    </row>
    <row r="251" spans="4:4" ht="15.75" customHeight="1" x14ac:dyDescent="0.2">
      <c r="D251" s="14"/>
    </row>
    <row r="252" spans="4:4" ht="15.75" customHeight="1" x14ac:dyDescent="0.2">
      <c r="D252" s="14"/>
    </row>
    <row r="253" spans="4:4" ht="15.75" customHeight="1" x14ac:dyDescent="0.2">
      <c r="D253" s="14"/>
    </row>
    <row r="254" spans="4:4" ht="15.75" customHeight="1" x14ac:dyDescent="0.2">
      <c r="D254" s="14"/>
    </row>
    <row r="255" spans="4:4" ht="15.75" customHeight="1" x14ac:dyDescent="0.2">
      <c r="D255" s="14"/>
    </row>
    <row r="256" spans="4:4" ht="15.75" customHeight="1" x14ac:dyDescent="0.2">
      <c r="D256" s="14"/>
    </row>
    <row r="257" spans="4:4" ht="15.75" customHeight="1" x14ac:dyDescent="0.2">
      <c r="D257" s="14"/>
    </row>
    <row r="258" spans="4:4" ht="15.75" customHeight="1" x14ac:dyDescent="0.2">
      <c r="D258" s="14"/>
    </row>
    <row r="259" spans="4:4" ht="15.75" customHeight="1" x14ac:dyDescent="0.2">
      <c r="D259" s="14"/>
    </row>
    <row r="260" spans="4:4" ht="15.75" customHeight="1" x14ac:dyDescent="0.2">
      <c r="D260" s="14"/>
    </row>
    <row r="261" spans="4:4" ht="15.75" customHeight="1" x14ac:dyDescent="0.2">
      <c r="D261" s="14"/>
    </row>
    <row r="262" spans="4:4" ht="15.75" customHeight="1" x14ac:dyDescent="0.2">
      <c r="D262" s="14"/>
    </row>
    <row r="263" spans="4:4" ht="15.75" customHeight="1" x14ac:dyDescent="0.2">
      <c r="D263" s="14"/>
    </row>
    <row r="264" spans="4:4" ht="15.75" customHeight="1" x14ac:dyDescent="0.2">
      <c r="D264" s="14"/>
    </row>
    <row r="265" spans="4:4" ht="15.75" customHeight="1" x14ac:dyDescent="0.2">
      <c r="D265" s="14"/>
    </row>
    <row r="266" spans="4:4" ht="15.75" customHeight="1" x14ac:dyDescent="0.2">
      <c r="D266" s="14"/>
    </row>
    <row r="267" spans="4:4" ht="15.75" customHeight="1" x14ac:dyDescent="0.2">
      <c r="D267" s="14"/>
    </row>
    <row r="268" spans="4:4" ht="15.75" customHeight="1" x14ac:dyDescent="0.2">
      <c r="D268" s="14"/>
    </row>
    <row r="269" spans="4:4" ht="15.75" customHeight="1" x14ac:dyDescent="0.2">
      <c r="D269" s="14"/>
    </row>
    <row r="270" spans="4:4" ht="15.75" customHeight="1" x14ac:dyDescent="0.2">
      <c r="D270" s="14"/>
    </row>
    <row r="271" spans="4:4" ht="15.75" customHeight="1" x14ac:dyDescent="0.2">
      <c r="D271" s="14"/>
    </row>
    <row r="272" spans="4:4" ht="15.75" customHeight="1" x14ac:dyDescent="0.2">
      <c r="D272" s="14"/>
    </row>
    <row r="273" spans="4:4" ht="15.75" customHeight="1" x14ac:dyDescent="0.2">
      <c r="D273" s="14"/>
    </row>
    <row r="274" spans="4:4" ht="15.75" customHeight="1" x14ac:dyDescent="0.2">
      <c r="D274" s="14"/>
    </row>
    <row r="275" spans="4:4" ht="15.75" customHeight="1" x14ac:dyDescent="0.2">
      <c r="D275" s="14"/>
    </row>
    <row r="276" spans="4:4" ht="15.75" customHeight="1" x14ac:dyDescent="0.2">
      <c r="D276" s="14"/>
    </row>
    <row r="277" spans="4:4" ht="15.75" customHeight="1" x14ac:dyDescent="0.2">
      <c r="D277" s="14"/>
    </row>
    <row r="278" spans="4:4" ht="15.75" customHeight="1" x14ac:dyDescent="0.2">
      <c r="D278" s="14"/>
    </row>
    <row r="279" spans="4:4" ht="15.75" customHeight="1" x14ac:dyDescent="0.2">
      <c r="D279" s="14"/>
    </row>
    <row r="280" spans="4:4" ht="15.75" customHeight="1" x14ac:dyDescent="0.2">
      <c r="D280" s="14"/>
    </row>
    <row r="281" spans="4:4" ht="15.75" customHeight="1" x14ac:dyDescent="0.2">
      <c r="D281" s="14"/>
    </row>
    <row r="282" spans="4:4" ht="15.75" customHeight="1" x14ac:dyDescent="0.2">
      <c r="D282" s="14"/>
    </row>
    <row r="283" spans="4:4" ht="15.75" customHeight="1" x14ac:dyDescent="0.2">
      <c r="D283" s="14"/>
    </row>
    <row r="284" spans="4:4" ht="15.75" customHeight="1" x14ac:dyDescent="0.2">
      <c r="D284" s="14"/>
    </row>
    <row r="285" spans="4:4" ht="15.75" customHeight="1" x14ac:dyDescent="0.2">
      <c r="D285" s="14"/>
    </row>
    <row r="286" spans="4:4" ht="15.75" customHeight="1" x14ac:dyDescent="0.2">
      <c r="D286" s="14"/>
    </row>
    <row r="287" spans="4:4" ht="15.75" customHeight="1" x14ac:dyDescent="0.2">
      <c r="D287" s="14"/>
    </row>
    <row r="288" spans="4:4" ht="15.75" customHeight="1" x14ac:dyDescent="0.2">
      <c r="D288" s="14"/>
    </row>
    <row r="289" spans="4:4" ht="15.75" customHeight="1" x14ac:dyDescent="0.2">
      <c r="D289" s="14"/>
    </row>
    <row r="290" spans="4:4" ht="15.75" customHeight="1" x14ac:dyDescent="0.2">
      <c r="D290" s="14"/>
    </row>
    <row r="291" spans="4:4" ht="15.75" customHeight="1" x14ac:dyDescent="0.2">
      <c r="D291" s="14"/>
    </row>
    <row r="292" spans="4:4" ht="15.75" customHeight="1" x14ac:dyDescent="0.2">
      <c r="D292" s="14"/>
    </row>
    <row r="293" spans="4:4" ht="15.75" customHeight="1" x14ac:dyDescent="0.2">
      <c r="D293" s="14"/>
    </row>
    <row r="294" spans="4:4" ht="15.75" customHeight="1" x14ac:dyDescent="0.2">
      <c r="D294" s="14"/>
    </row>
    <row r="295" spans="4:4" ht="15.75" customHeight="1" x14ac:dyDescent="0.2">
      <c r="D295" s="14"/>
    </row>
    <row r="296" spans="4:4" ht="15.75" customHeight="1" x14ac:dyDescent="0.2">
      <c r="D296" s="14"/>
    </row>
    <row r="297" spans="4:4" ht="15.75" customHeight="1" x14ac:dyDescent="0.2">
      <c r="D297" s="14"/>
    </row>
    <row r="298" spans="4:4" ht="15.75" customHeight="1" x14ac:dyDescent="0.2">
      <c r="D298" s="14"/>
    </row>
    <row r="299" spans="4:4" ht="15.75" customHeight="1" x14ac:dyDescent="0.2">
      <c r="D299" s="14"/>
    </row>
    <row r="300" spans="4:4" ht="15.75" customHeight="1" x14ac:dyDescent="0.2">
      <c r="D300" s="14"/>
    </row>
    <row r="301" spans="4:4" ht="15.75" customHeight="1" x14ac:dyDescent="0.2">
      <c r="D301" s="14"/>
    </row>
    <row r="302" spans="4:4" ht="15.75" customHeight="1" x14ac:dyDescent="0.2">
      <c r="D302" s="14"/>
    </row>
    <row r="303" spans="4:4" ht="15.75" customHeight="1" x14ac:dyDescent="0.2">
      <c r="D303" s="14"/>
    </row>
    <row r="304" spans="4:4" ht="15.75" customHeight="1" x14ac:dyDescent="0.2">
      <c r="D304" s="14"/>
    </row>
    <row r="305" spans="4:4" ht="15.75" customHeight="1" x14ac:dyDescent="0.2">
      <c r="D305" s="14"/>
    </row>
    <row r="306" spans="4:4" ht="15.75" customHeight="1" x14ac:dyDescent="0.2">
      <c r="D306" s="14"/>
    </row>
    <row r="307" spans="4:4" ht="15.75" customHeight="1" x14ac:dyDescent="0.2">
      <c r="D307" s="14"/>
    </row>
    <row r="308" spans="4:4" ht="15.75" customHeight="1" x14ac:dyDescent="0.2">
      <c r="D308" s="14"/>
    </row>
    <row r="309" spans="4:4" ht="15.75" customHeight="1" x14ac:dyDescent="0.2">
      <c r="D309" s="14"/>
    </row>
    <row r="310" spans="4:4" ht="15.75" customHeight="1" x14ac:dyDescent="0.2">
      <c r="D310" s="14"/>
    </row>
    <row r="311" spans="4:4" ht="15.75" customHeight="1" x14ac:dyDescent="0.2">
      <c r="D311" s="14"/>
    </row>
    <row r="312" spans="4:4" ht="15.75" customHeight="1" x14ac:dyDescent="0.2">
      <c r="D312" s="14"/>
    </row>
    <row r="313" spans="4:4" ht="15.75" customHeight="1" x14ac:dyDescent="0.2">
      <c r="D313" s="14"/>
    </row>
    <row r="314" spans="4:4" ht="15.75" customHeight="1" x14ac:dyDescent="0.2">
      <c r="D314" s="14"/>
    </row>
    <row r="315" spans="4:4" ht="15.75" customHeight="1" x14ac:dyDescent="0.2">
      <c r="D315" s="14"/>
    </row>
    <row r="316" spans="4:4" ht="15.75" customHeight="1" x14ac:dyDescent="0.2">
      <c r="D316" s="14"/>
    </row>
    <row r="317" spans="4:4" ht="15.75" customHeight="1" x14ac:dyDescent="0.2">
      <c r="D317" s="14"/>
    </row>
    <row r="318" spans="4:4" ht="15.75" customHeight="1" x14ac:dyDescent="0.2">
      <c r="D318" s="14"/>
    </row>
    <row r="319" spans="4:4" ht="15.75" customHeight="1" x14ac:dyDescent="0.2">
      <c r="D319" s="14"/>
    </row>
    <row r="320" spans="4:4" ht="15.75" customHeight="1" x14ac:dyDescent="0.2">
      <c r="D320" s="14"/>
    </row>
    <row r="321" spans="4:4" ht="15.75" customHeight="1" x14ac:dyDescent="0.2">
      <c r="D321" s="14"/>
    </row>
    <row r="322" spans="4:4" ht="15.75" customHeight="1" x14ac:dyDescent="0.2">
      <c r="D322" s="14"/>
    </row>
    <row r="323" spans="4:4" ht="15.75" customHeight="1" x14ac:dyDescent="0.2">
      <c r="D323" s="14"/>
    </row>
    <row r="324" spans="4:4" ht="15.75" customHeight="1" x14ac:dyDescent="0.2">
      <c r="D324" s="14"/>
    </row>
    <row r="325" spans="4:4" ht="15.75" customHeight="1" x14ac:dyDescent="0.2">
      <c r="D325" s="14"/>
    </row>
    <row r="326" spans="4:4" ht="15.75" customHeight="1" x14ac:dyDescent="0.2">
      <c r="D326" s="14"/>
    </row>
    <row r="327" spans="4:4" ht="15.75" customHeight="1" x14ac:dyDescent="0.2">
      <c r="D327" s="14"/>
    </row>
    <row r="328" spans="4:4" ht="15.75" customHeight="1" x14ac:dyDescent="0.2">
      <c r="D328" s="14"/>
    </row>
    <row r="329" spans="4:4" ht="15.75" customHeight="1" x14ac:dyDescent="0.2">
      <c r="D329" s="14"/>
    </row>
    <row r="330" spans="4:4" ht="15.75" customHeight="1" x14ac:dyDescent="0.2">
      <c r="D330" s="14"/>
    </row>
    <row r="331" spans="4:4" ht="15.75" customHeight="1" x14ac:dyDescent="0.2">
      <c r="D331" s="14"/>
    </row>
    <row r="332" spans="4:4" ht="15.75" customHeight="1" x14ac:dyDescent="0.2">
      <c r="D332" s="14"/>
    </row>
    <row r="333" spans="4:4" ht="15.75" customHeight="1" x14ac:dyDescent="0.2">
      <c r="D333" s="14"/>
    </row>
    <row r="334" spans="4:4" ht="15.75" customHeight="1" x14ac:dyDescent="0.2">
      <c r="D334" s="14"/>
    </row>
    <row r="335" spans="4:4" ht="15.75" customHeight="1" x14ac:dyDescent="0.2">
      <c r="D335" s="14"/>
    </row>
    <row r="336" spans="4:4" ht="15.75" customHeight="1" x14ac:dyDescent="0.2">
      <c r="D336" s="14"/>
    </row>
    <row r="337" spans="4:4" ht="15.75" customHeight="1" x14ac:dyDescent="0.2">
      <c r="D337" s="14"/>
    </row>
    <row r="338" spans="4:4" ht="15.75" customHeight="1" x14ac:dyDescent="0.2">
      <c r="D338" s="14"/>
    </row>
    <row r="339" spans="4:4" ht="15.75" customHeight="1" x14ac:dyDescent="0.2">
      <c r="D339" s="14"/>
    </row>
    <row r="340" spans="4:4" ht="15.75" customHeight="1" x14ac:dyDescent="0.2">
      <c r="D340" s="14"/>
    </row>
    <row r="341" spans="4:4" ht="15.75" customHeight="1" x14ac:dyDescent="0.2">
      <c r="D341" s="14"/>
    </row>
    <row r="342" spans="4:4" ht="15.75" customHeight="1" x14ac:dyDescent="0.2">
      <c r="D342" s="14"/>
    </row>
    <row r="343" spans="4:4" ht="15.75" customHeight="1" x14ac:dyDescent="0.2">
      <c r="D343" s="14"/>
    </row>
    <row r="344" spans="4:4" ht="15.75" customHeight="1" x14ac:dyDescent="0.2">
      <c r="D344" s="14"/>
    </row>
    <row r="345" spans="4:4" ht="15.75" customHeight="1" x14ac:dyDescent="0.2">
      <c r="D345" s="14"/>
    </row>
    <row r="346" spans="4:4" ht="15.75" customHeight="1" x14ac:dyDescent="0.2">
      <c r="D346" s="14"/>
    </row>
    <row r="347" spans="4:4" ht="15.75" customHeight="1" x14ac:dyDescent="0.2">
      <c r="D347" s="14"/>
    </row>
    <row r="348" spans="4:4" ht="15.75" customHeight="1" x14ac:dyDescent="0.2">
      <c r="D348" s="14"/>
    </row>
    <row r="349" spans="4:4" ht="15.75" customHeight="1" x14ac:dyDescent="0.2">
      <c r="D349" s="14"/>
    </row>
    <row r="350" spans="4:4" ht="15.75" customHeight="1" x14ac:dyDescent="0.2">
      <c r="D350" s="14"/>
    </row>
    <row r="351" spans="4:4" ht="15.75" customHeight="1" x14ac:dyDescent="0.2">
      <c r="D351" s="14"/>
    </row>
    <row r="352" spans="4:4" ht="15.75" customHeight="1" x14ac:dyDescent="0.2">
      <c r="D352" s="14"/>
    </row>
    <row r="353" spans="4:4" ht="15.75" customHeight="1" x14ac:dyDescent="0.2">
      <c r="D353" s="14"/>
    </row>
    <row r="354" spans="4:4" ht="15.75" customHeight="1" x14ac:dyDescent="0.2">
      <c r="D354" s="14"/>
    </row>
    <row r="355" spans="4:4" ht="15.75" customHeight="1" x14ac:dyDescent="0.2">
      <c r="D355" s="14"/>
    </row>
    <row r="356" spans="4:4" ht="15.75" customHeight="1" x14ac:dyDescent="0.2">
      <c r="D356" s="14"/>
    </row>
    <row r="357" spans="4:4" ht="15.75" customHeight="1" x14ac:dyDescent="0.2">
      <c r="D357" s="14"/>
    </row>
    <row r="358" spans="4:4" ht="15.75" customHeight="1" x14ac:dyDescent="0.2">
      <c r="D358" s="14"/>
    </row>
    <row r="359" spans="4:4" ht="15.75" customHeight="1" x14ac:dyDescent="0.2">
      <c r="D359" s="14"/>
    </row>
    <row r="360" spans="4:4" ht="15.75" customHeight="1" x14ac:dyDescent="0.2">
      <c r="D360" s="14"/>
    </row>
    <row r="361" spans="4:4" ht="15.75" customHeight="1" x14ac:dyDescent="0.2">
      <c r="D361" s="14"/>
    </row>
    <row r="362" spans="4:4" ht="15.75" customHeight="1" x14ac:dyDescent="0.2">
      <c r="D362" s="14"/>
    </row>
    <row r="363" spans="4:4" ht="15.75" customHeight="1" x14ac:dyDescent="0.2">
      <c r="D363" s="14"/>
    </row>
    <row r="364" spans="4:4" ht="15.75" customHeight="1" x14ac:dyDescent="0.2">
      <c r="D364" s="14"/>
    </row>
    <row r="365" spans="4:4" ht="15.75" customHeight="1" x14ac:dyDescent="0.2">
      <c r="D365" s="14"/>
    </row>
    <row r="366" spans="4:4" ht="15.75" customHeight="1" x14ac:dyDescent="0.2">
      <c r="D366" s="14"/>
    </row>
    <row r="367" spans="4:4" ht="15.75" customHeight="1" x14ac:dyDescent="0.2">
      <c r="D367" s="14"/>
    </row>
    <row r="368" spans="4:4" ht="15.75" customHeight="1" x14ac:dyDescent="0.2">
      <c r="D368" s="14"/>
    </row>
    <row r="369" spans="4:4" ht="15.75" customHeight="1" x14ac:dyDescent="0.2">
      <c r="D369" s="14"/>
    </row>
    <row r="370" spans="4:4" ht="15.75" customHeight="1" x14ac:dyDescent="0.2">
      <c r="D370" s="14"/>
    </row>
    <row r="371" spans="4:4" ht="15.75" customHeight="1" x14ac:dyDescent="0.2">
      <c r="D371" s="14"/>
    </row>
    <row r="372" spans="4:4" ht="15.75" customHeight="1" x14ac:dyDescent="0.2">
      <c r="D372" s="14"/>
    </row>
    <row r="373" spans="4:4" ht="15.75" customHeight="1" x14ac:dyDescent="0.2">
      <c r="D373" s="14"/>
    </row>
    <row r="374" spans="4:4" ht="15.75" customHeight="1" x14ac:dyDescent="0.2">
      <c r="D374" s="14"/>
    </row>
    <row r="375" spans="4:4" ht="15.75" customHeight="1" x14ac:dyDescent="0.2">
      <c r="D375" s="14"/>
    </row>
    <row r="376" spans="4:4" ht="15.75" customHeight="1" x14ac:dyDescent="0.2">
      <c r="D376" s="14"/>
    </row>
    <row r="377" spans="4:4" ht="15.75" customHeight="1" x14ac:dyDescent="0.2">
      <c r="D377" s="14"/>
    </row>
    <row r="378" spans="4:4" ht="15.75" customHeight="1" x14ac:dyDescent="0.2">
      <c r="D378" s="14"/>
    </row>
    <row r="379" spans="4:4" ht="15.75" customHeight="1" x14ac:dyDescent="0.2">
      <c r="D379" s="14"/>
    </row>
    <row r="380" spans="4:4" ht="15.75" customHeight="1" x14ac:dyDescent="0.2">
      <c r="D380" s="14"/>
    </row>
    <row r="381" spans="4:4" ht="15.75" customHeight="1" x14ac:dyDescent="0.2">
      <c r="D381" s="14"/>
    </row>
    <row r="382" spans="4:4" ht="15.75" customHeight="1" x14ac:dyDescent="0.2">
      <c r="D382" s="14"/>
    </row>
    <row r="383" spans="4:4" ht="15.75" customHeight="1" x14ac:dyDescent="0.2">
      <c r="D383" s="14"/>
    </row>
    <row r="384" spans="4:4" ht="15.75" customHeight="1" x14ac:dyDescent="0.2">
      <c r="D384" s="14"/>
    </row>
    <row r="385" spans="4:4" ht="15.75" customHeight="1" x14ac:dyDescent="0.2">
      <c r="D385" s="14"/>
    </row>
    <row r="386" spans="4:4" ht="15.75" customHeight="1" x14ac:dyDescent="0.2">
      <c r="D386" s="14"/>
    </row>
    <row r="387" spans="4:4" ht="15.75" customHeight="1" x14ac:dyDescent="0.2">
      <c r="D387" s="14"/>
    </row>
    <row r="388" spans="4:4" ht="15.75" customHeight="1" x14ac:dyDescent="0.2">
      <c r="D388" s="14"/>
    </row>
    <row r="389" spans="4:4" ht="15.75" customHeight="1" x14ac:dyDescent="0.2">
      <c r="D389" s="14"/>
    </row>
    <row r="390" spans="4:4" ht="15.75" customHeight="1" x14ac:dyDescent="0.2">
      <c r="D390" s="14"/>
    </row>
    <row r="391" spans="4:4" ht="15.75" customHeight="1" x14ac:dyDescent="0.2">
      <c r="D391" s="14"/>
    </row>
    <row r="392" spans="4:4" ht="15.75" customHeight="1" x14ac:dyDescent="0.2">
      <c r="D392" s="14"/>
    </row>
    <row r="393" spans="4:4" ht="15.75" customHeight="1" x14ac:dyDescent="0.2">
      <c r="D393" s="14"/>
    </row>
    <row r="394" spans="4:4" ht="15.75" customHeight="1" x14ac:dyDescent="0.2">
      <c r="D394" s="14"/>
    </row>
    <row r="395" spans="4:4" ht="15.75" customHeight="1" x14ac:dyDescent="0.2">
      <c r="D395" s="14"/>
    </row>
    <row r="396" spans="4:4" ht="15.75" customHeight="1" x14ac:dyDescent="0.2">
      <c r="D396" s="14"/>
    </row>
    <row r="397" spans="4:4" ht="15.75" customHeight="1" x14ac:dyDescent="0.2">
      <c r="D397" s="14"/>
    </row>
    <row r="398" spans="4:4" ht="15.75" customHeight="1" x14ac:dyDescent="0.2">
      <c r="D398" s="14"/>
    </row>
    <row r="399" spans="4:4" ht="15.75" customHeight="1" x14ac:dyDescent="0.2">
      <c r="D399" s="14"/>
    </row>
    <row r="400" spans="4:4" ht="15.75" customHeight="1" x14ac:dyDescent="0.2">
      <c r="D400" s="14"/>
    </row>
    <row r="401" spans="4:4" ht="15.75" customHeight="1" x14ac:dyDescent="0.2">
      <c r="D401" s="14"/>
    </row>
    <row r="402" spans="4:4" ht="15.75" customHeight="1" x14ac:dyDescent="0.2">
      <c r="D402" s="14"/>
    </row>
    <row r="403" spans="4:4" ht="15.75" customHeight="1" x14ac:dyDescent="0.2">
      <c r="D403" s="14"/>
    </row>
    <row r="404" spans="4:4" ht="15.75" customHeight="1" x14ac:dyDescent="0.2">
      <c r="D404" s="14"/>
    </row>
    <row r="405" spans="4:4" ht="15.75" customHeight="1" x14ac:dyDescent="0.2">
      <c r="D405" s="14"/>
    </row>
    <row r="406" spans="4:4" ht="15.75" customHeight="1" x14ac:dyDescent="0.2">
      <c r="D406" s="14"/>
    </row>
    <row r="407" spans="4:4" ht="15.75" customHeight="1" x14ac:dyDescent="0.2">
      <c r="D407" s="14"/>
    </row>
    <row r="408" spans="4:4" ht="15.75" customHeight="1" x14ac:dyDescent="0.2">
      <c r="D408" s="14"/>
    </row>
    <row r="409" spans="4:4" ht="15.75" customHeight="1" x14ac:dyDescent="0.2">
      <c r="D409" s="14"/>
    </row>
    <row r="410" spans="4:4" ht="15.75" customHeight="1" x14ac:dyDescent="0.2">
      <c r="D410" s="14"/>
    </row>
    <row r="411" spans="4:4" ht="15.75" customHeight="1" x14ac:dyDescent="0.2">
      <c r="D411" s="14"/>
    </row>
    <row r="412" spans="4:4" ht="15.75" customHeight="1" x14ac:dyDescent="0.2">
      <c r="D412" s="14"/>
    </row>
    <row r="413" spans="4:4" ht="15.75" customHeight="1" x14ac:dyDescent="0.2">
      <c r="D413" s="14"/>
    </row>
    <row r="414" spans="4:4" ht="15.75" customHeight="1" x14ac:dyDescent="0.2">
      <c r="D414" s="14"/>
    </row>
    <row r="415" spans="4:4" ht="15.75" customHeight="1" x14ac:dyDescent="0.2">
      <c r="D415" s="14"/>
    </row>
    <row r="416" spans="4:4" ht="15.75" customHeight="1" x14ac:dyDescent="0.2">
      <c r="D416" s="14"/>
    </row>
    <row r="417" spans="4:4" ht="15.75" customHeight="1" x14ac:dyDescent="0.2">
      <c r="D417" s="14"/>
    </row>
    <row r="418" spans="4:4" ht="15.75" customHeight="1" x14ac:dyDescent="0.2">
      <c r="D418" s="14"/>
    </row>
    <row r="419" spans="4:4" ht="15.75" customHeight="1" x14ac:dyDescent="0.2">
      <c r="D419" s="14"/>
    </row>
    <row r="420" spans="4:4" ht="15.75" customHeight="1" x14ac:dyDescent="0.2">
      <c r="D420" s="14"/>
    </row>
    <row r="421" spans="4:4" ht="15.75" customHeight="1" x14ac:dyDescent="0.2">
      <c r="D421" s="14"/>
    </row>
    <row r="422" spans="4:4" ht="15.75" customHeight="1" x14ac:dyDescent="0.2">
      <c r="D422" s="14"/>
    </row>
    <row r="423" spans="4:4" ht="15.75" customHeight="1" x14ac:dyDescent="0.2">
      <c r="D423" s="14"/>
    </row>
    <row r="424" spans="4:4" ht="15.75" customHeight="1" x14ac:dyDescent="0.2">
      <c r="D424" s="14"/>
    </row>
    <row r="425" spans="4:4" ht="15.75" customHeight="1" x14ac:dyDescent="0.2">
      <c r="D425" s="14"/>
    </row>
    <row r="426" spans="4:4" ht="15.75" customHeight="1" x14ac:dyDescent="0.2">
      <c r="D426" s="14"/>
    </row>
    <row r="427" spans="4:4" ht="15.75" customHeight="1" x14ac:dyDescent="0.2">
      <c r="D427" s="14"/>
    </row>
    <row r="428" spans="4:4" ht="15.75" customHeight="1" x14ac:dyDescent="0.2">
      <c r="D428" s="14"/>
    </row>
    <row r="429" spans="4:4" ht="15.75" customHeight="1" x14ac:dyDescent="0.2">
      <c r="D429" s="14"/>
    </row>
    <row r="430" spans="4:4" ht="15.75" customHeight="1" x14ac:dyDescent="0.2">
      <c r="D430" s="14"/>
    </row>
    <row r="431" spans="4:4" ht="15.75" customHeight="1" x14ac:dyDescent="0.2">
      <c r="D431" s="14"/>
    </row>
    <row r="432" spans="4:4" ht="15.75" customHeight="1" x14ac:dyDescent="0.2">
      <c r="D432" s="14"/>
    </row>
    <row r="433" spans="4:4" ht="15.75" customHeight="1" x14ac:dyDescent="0.2">
      <c r="D433" s="14"/>
    </row>
    <row r="434" spans="4:4" ht="15.75" customHeight="1" x14ac:dyDescent="0.2">
      <c r="D434" s="14"/>
    </row>
    <row r="435" spans="4:4" ht="15.75" customHeight="1" x14ac:dyDescent="0.2">
      <c r="D435" s="14"/>
    </row>
    <row r="436" spans="4:4" ht="15.75" customHeight="1" x14ac:dyDescent="0.2">
      <c r="D436" s="14"/>
    </row>
    <row r="437" spans="4:4" ht="15.75" customHeight="1" x14ac:dyDescent="0.2">
      <c r="D437" s="14"/>
    </row>
    <row r="438" spans="4:4" ht="15.75" customHeight="1" x14ac:dyDescent="0.2">
      <c r="D438" s="14"/>
    </row>
    <row r="439" spans="4:4" ht="15.75" customHeight="1" x14ac:dyDescent="0.2">
      <c r="D439" s="14"/>
    </row>
    <row r="440" spans="4:4" ht="15.75" customHeight="1" x14ac:dyDescent="0.2">
      <c r="D440" s="14"/>
    </row>
    <row r="441" spans="4:4" ht="15.75" customHeight="1" x14ac:dyDescent="0.2">
      <c r="D441" s="14"/>
    </row>
    <row r="442" spans="4:4" ht="15.75" customHeight="1" x14ac:dyDescent="0.2">
      <c r="D442" s="14"/>
    </row>
    <row r="443" spans="4:4" ht="15.75" customHeight="1" x14ac:dyDescent="0.2">
      <c r="D443" s="14"/>
    </row>
    <row r="444" spans="4:4" ht="15.75" customHeight="1" x14ac:dyDescent="0.2">
      <c r="D444" s="14"/>
    </row>
    <row r="445" spans="4:4" ht="15.75" customHeight="1" x14ac:dyDescent="0.2">
      <c r="D445" s="14"/>
    </row>
    <row r="446" spans="4:4" ht="15.75" customHeight="1" x14ac:dyDescent="0.2">
      <c r="D446" s="14"/>
    </row>
    <row r="447" spans="4:4" ht="15.75" customHeight="1" x14ac:dyDescent="0.2">
      <c r="D447" s="14"/>
    </row>
    <row r="448" spans="4:4" ht="15.75" customHeight="1" x14ac:dyDescent="0.2">
      <c r="D448" s="14"/>
    </row>
    <row r="449" spans="4:4" ht="15.75" customHeight="1" x14ac:dyDescent="0.2">
      <c r="D449" s="14"/>
    </row>
    <row r="450" spans="4:4" ht="15.75" customHeight="1" x14ac:dyDescent="0.2">
      <c r="D450" s="14"/>
    </row>
    <row r="451" spans="4:4" ht="15.75" customHeight="1" x14ac:dyDescent="0.2">
      <c r="D451" s="14"/>
    </row>
    <row r="452" spans="4:4" ht="15.75" customHeight="1" x14ac:dyDescent="0.2">
      <c r="D452" s="14"/>
    </row>
    <row r="453" spans="4:4" ht="15.75" customHeight="1" x14ac:dyDescent="0.2">
      <c r="D453" s="14"/>
    </row>
    <row r="454" spans="4:4" ht="15.75" customHeight="1" x14ac:dyDescent="0.2">
      <c r="D454" s="14"/>
    </row>
    <row r="455" spans="4:4" ht="15.75" customHeight="1" x14ac:dyDescent="0.2">
      <c r="D455" s="14"/>
    </row>
    <row r="456" spans="4:4" ht="15.75" customHeight="1" x14ac:dyDescent="0.2">
      <c r="D456" s="14"/>
    </row>
    <row r="457" spans="4:4" ht="15.75" customHeight="1" x14ac:dyDescent="0.2">
      <c r="D457" s="14"/>
    </row>
    <row r="458" spans="4:4" ht="15.75" customHeight="1" x14ac:dyDescent="0.2">
      <c r="D458" s="14"/>
    </row>
    <row r="459" spans="4:4" ht="15.75" customHeight="1" x14ac:dyDescent="0.2">
      <c r="D459" s="14"/>
    </row>
    <row r="460" spans="4:4" ht="15.75" customHeight="1" x14ac:dyDescent="0.2">
      <c r="D460" s="14"/>
    </row>
    <row r="461" spans="4:4" ht="15.75" customHeight="1" x14ac:dyDescent="0.2">
      <c r="D461" s="14"/>
    </row>
    <row r="462" spans="4:4" ht="15.75" customHeight="1" x14ac:dyDescent="0.2">
      <c r="D462" s="14"/>
    </row>
    <row r="463" spans="4:4" ht="15.75" customHeight="1" x14ac:dyDescent="0.2">
      <c r="D463" s="14"/>
    </row>
    <row r="464" spans="4:4" ht="15.75" customHeight="1" x14ac:dyDescent="0.2">
      <c r="D464" s="14"/>
    </row>
    <row r="465" spans="4:4" ht="15.75" customHeight="1" x14ac:dyDescent="0.2">
      <c r="D465" s="14"/>
    </row>
    <row r="466" spans="4:4" ht="15.75" customHeight="1" x14ac:dyDescent="0.2">
      <c r="D466" s="14"/>
    </row>
    <row r="467" spans="4:4" ht="15.75" customHeight="1" x14ac:dyDescent="0.2">
      <c r="D467" s="14"/>
    </row>
    <row r="468" spans="4:4" ht="15.75" customHeight="1" x14ac:dyDescent="0.2">
      <c r="D468" s="14"/>
    </row>
    <row r="469" spans="4:4" ht="15.75" customHeight="1" x14ac:dyDescent="0.2">
      <c r="D469" s="14"/>
    </row>
    <row r="470" spans="4:4" ht="15.75" customHeight="1" x14ac:dyDescent="0.2">
      <c r="D470" s="14"/>
    </row>
    <row r="471" spans="4:4" ht="15.75" customHeight="1" x14ac:dyDescent="0.2">
      <c r="D471" s="14"/>
    </row>
    <row r="472" spans="4:4" ht="15.75" customHeight="1" x14ac:dyDescent="0.2">
      <c r="D472" s="14"/>
    </row>
    <row r="473" spans="4:4" ht="15.75" customHeight="1" x14ac:dyDescent="0.2">
      <c r="D473" s="14"/>
    </row>
    <row r="474" spans="4:4" ht="15.75" customHeight="1" x14ac:dyDescent="0.2">
      <c r="D474" s="14"/>
    </row>
    <row r="475" spans="4:4" ht="15.75" customHeight="1" x14ac:dyDescent="0.2">
      <c r="D475" s="14"/>
    </row>
    <row r="476" spans="4:4" ht="15.75" customHeight="1" x14ac:dyDescent="0.2">
      <c r="D476" s="14"/>
    </row>
    <row r="477" spans="4:4" ht="15.75" customHeight="1" x14ac:dyDescent="0.2">
      <c r="D477" s="14"/>
    </row>
    <row r="478" spans="4:4" ht="15.75" customHeight="1" x14ac:dyDescent="0.2">
      <c r="D478" s="14"/>
    </row>
    <row r="479" spans="4:4" ht="15.75" customHeight="1" x14ac:dyDescent="0.2">
      <c r="D479" s="14"/>
    </row>
    <row r="480" spans="4:4" ht="15.75" customHeight="1" x14ac:dyDescent="0.2">
      <c r="D480" s="14"/>
    </row>
    <row r="481" spans="4:4" ht="15.75" customHeight="1" x14ac:dyDescent="0.2">
      <c r="D481" s="14"/>
    </row>
    <row r="482" spans="4:4" ht="15.75" customHeight="1" x14ac:dyDescent="0.2">
      <c r="D482" s="14"/>
    </row>
    <row r="483" spans="4:4" ht="15.75" customHeight="1" x14ac:dyDescent="0.2">
      <c r="D483" s="14"/>
    </row>
    <row r="484" spans="4:4" ht="15.75" customHeight="1" x14ac:dyDescent="0.2">
      <c r="D484" s="14"/>
    </row>
    <row r="485" spans="4:4" ht="15.75" customHeight="1" x14ac:dyDescent="0.2">
      <c r="D485" s="14"/>
    </row>
    <row r="486" spans="4:4" ht="15.75" customHeight="1" x14ac:dyDescent="0.2">
      <c r="D486" s="14"/>
    </row>
    <row r="487" spans="4:4" ht="15.75" customHeight="1" x14ac:dyDescent="0.2">
      <c r="D487" s="14"/>
    </row>
    <row r="488" spans="4:4" ht="15.75" customHeight="1" x14ac:dyDescent="0.2">
      <c r="D488" s="14"/>
    </row>
    <row r="489" spans="4:4" ht="15.75" customHeight="1" x14ac:dyDescent="0.2">
      <c r="D489" s="14"/>
    </row>
    <row r="490" spans="4:4" ht="15.75" customHeight="1" x14ac:dyDescent="0.2">
      <c r="D490" s="14"/>
    </row>
    <row r="491" spans="4:4" ht="15.75" customHeight="1" x14ac:dyDescent="0.2">
      <c r="D491" s="14"/>
    </row>
    <row r="492" spans="4:4" ht="15.75" customHeight="1" x14ac:dyDescent="0.2">
      <c r="D492" s="14"/>
    </row>
    <row r="493" spans="4:4" ht="15.75" customHeight="1" x14ac:dyDescent="0.2">
      <c r="D493" s="14"/>
    </row>
    <row r="494" spans="4:4" ht="15.75" customHeight="1" x14ac:dyDescent="0.2">
      <c r="D494" s="14"/>
    </row>
    <row r="495" spans="4:4" ht="15.75" customHeight="1" x14ac:dyDescent="0.2">
      <c r="D495" s="14"/>
    </row>
    <row r="496" spans="4:4" ht="15.75" customHeight="1" x14ac:dyDescent="0.2">
      <c r="D496" s="14"/>
    </row>
    <row r="497" spans="4:4" ht="15.75" customHeight="1" x14ac:dyDescent="0.2">
      <c r="D497" s="14"/>
    </row>
    <row r="498" spans="4:4" ht="15.75" customHeight="1" x14ac:dyDescent="0.2">
      <c r="D498" s="14"/>
    </row>
    <row r="499" spans="4:4" ht="15.75" customHeight="1" x14ac:dyDescent="0.2">
      <c r="D499" s="14"/>
    </row>
    <row r="500" spans="4:4" ht="15.75" customHeight="1" x14ac:dyDescent="0.2">
      <c r="D500" s="14"/>
    </row>
    <row r="501" spans="4:4" ht="15.75" customHeight="1" x14ac:dyDescent="0.2">
      <c r="D501" s="14"/>
    </row>
    <row r="502" spans="4:4" ht="15.75" customHeight="1" x14ac:dyDescent="0.2">
      <c r="D502" s="14"/>
    </row>
    <row r="503" spans="4:4" ht="15.75" customHeight="1" x14ac:dyDescent="0.2">
      <c r="D503" s="14"/>
    </row>
    <row r="504" spans="4:4" ht="15.75" customHeight="1" x14ac:dyDescent="0.2">
      <c r="D504" s="14"/>
    </row>
    <row r="505" spans="4:4" ht="15.75" customHeight="1" x14ac:dyDescent="0.2">
      <c r="D505" s="14"/>
    </row>
    <row r="506" spans="4:4" ht="15.75" customHeight="1" x14ac:dyDescent="0.2">
      <c r="D506" s="14"/>
    </row>
    <row r="507" spans="4:4" ht="15.75" customHeight="1" x14ac:dyDescent="0.2">
      <c r="D507" s="14"/>
    </row>
    <row r="508" spans="4:4" ht="15.75" customHeight="1" x14ac:dyDescent="0.2">
      <c r="D508" s="14"/>
    </row>
    <row r="509" spans="4:4" ht="15.75" customHeight="1" x14ac:dyDescent="0.2">
      <c r="D509" s="14"/>
    </row>
    <row r="510" spans="4:4" ht="15.75" customHeight="1" x14ac:dyDescent="0.2">
      <c r="D510" s="14"/>
    </row>
    <row r="511" spans="4:4" ht="15.75" customHeight="1" x14ac:dyDescent="0.2">
      <c r="D511" s="14"/>
    </row>
    <row r="512" spans="4:4" ht="15.75" customHeight="1" x14ac:dyDescent="0.2">
      <c r="D512" s="14"/>
    </row>
    <row r="513" spans="4:4" ht="15.75" customHeight="1" x14ac:dyDescent="0.2">
      <c r="D513" s="14"/>
    </row>
    <row r="514" spans="4:4" ht="15.75" customHeight="1" x14ac:dyDescent="0.2">
      <c r="D514" s="14"/>
    </row>
    <row r="515" spans="4:4" ht="15.75" customHeight="1" x14ac:dyDescent="0.2">
      <c r="D515" s="14"/>
    </row>
    <row r="516" spans="4:4" ht="15.75" customHeight="1" x14ac:dyDescent="0.2">
      <c r="D516" s="14"/>
    </row>
    <row r="517" spans="4:4" ht="15.75" customHeight="1" x14ac:dyDescent="0.2">
      <c r="D517" s="14"/>
    </row>
    <row r="518" spans="4:4" ht="15.75" customHeight="1" x14ac:dyDescent="0.2">
      <c r="D518" s="14"/>
    </row>
    <row r="519" spans="4:4" ht="15.75" customHeight="1" x14ac:dyDescent="0.2">
      <c r="D519" s="14"/>
    </row>
    <row r="520" spans="4:4" ht="15.75" customHeight="1" x14ac:dyDescent="0.2">
      <c r="D520" s="14"/>
    </row>
    <row r="521" spans="4:4" ht="15.75" customHeight="1" x14ac:dyDescent="0.2">
      <c r="D521" s="14"/>
    </row>
    <row r="522" spans="4:4" ht="15.75" customHeight="1" x14ac:dyDescent="0.2">
      <c r="D522" s="14"/>
    </row>
    <row r="523" spans="4:4" ht="15.75" customHeight="1" x14ac:dyDescent="0.2">
      <c r="D523" s="14"/>
    </row>
    <row r="524" spans="4:4" ht="15.75" customHeight="1" x14ac:dyDescent="0.2">
      <c r="D524" s="14"/>
    </row>
    <row r="525" spans="4:4" ht="15.75" customHeight="1" x14ac:dyDescent="0.2">
      <c r="D525" s="14"/>
    </row>
    <row r="526" spans="4:4" ht="15.75" customHeight="1" x14ac:dyDescent="0.2">
      <c r="D526" s="14"/>
    </row>
    <row r="527" spans="4:4" ht="15.75" customHeight="1" x14ac:dyDescent="0.2">
      <c r="D527" s="14"/>
    </row>
    <row r="528" spans="4:4" ht="15.75" customHeight="1" x14ac:dyDescent="0.2">
      <c r="D528" s="14"/>
    </row>
    <row r="529" spans="4:4" ht="15.75" customHeight="1" x14ac:dyDescent="0.2">
      <c r="D529" s="14"/>
    </row>
    <row r="530" spans="4:4" ht="15.75" customHeight="1" x14ac:dyDescent="0.2">
      <c r="D530" s="14"/>
    </row>
    <row r="531" spans="4:4" ht="15.75" customHeight="1" x14ac:dyDescent="0.2">
      <c r="D531" s="14"/>
    </row>
    <row r="532" spans="4:4" ht="15.75" customHeight="1" x14ac:dyDescent="0.2">
      <c r="D532" s="14"/>
    </row>
    <row r="533" spans="4:4" ht="15.75" customHeight="1" x14ac:dyDescent="0.2">
      <c r="D533" s="14"/>
    </row>
    <row r="534" spans="4:4" ht="15.75" customHeight="1" x14ac:dyDescent="0.2">
      <c r="D534" s="14"/>
    </row>
    <row r="535" spans="4:4" ht="15.75" customHeight="1" x14ac:dyDescent="0.2">
      <c r="D535" s="14"/>
    </row>
    <row r="536" spans="4:4" ht="15.75" customHeight="1" x14ac:dyDescent="0.2">
      <c r="D536" s="14"/>
    </row>
    <row r="537" spans="4:4" ht="15.75" customHeight="1" x14ac:dyDescent="0.2">
      <c r="D537" s="14"/>
    </row>
    <row r="538" spans="4:4" ht="15.75" customHeight="1" x14ac:dyDescent="0.2">
      <c r="D538" s="14"/>
    </row>
    <row r="539" spans="4:4" ht="15.75" customHeight="1" x14ac:dyDescent="0.2">
      <c r="D539" s="14"/>
    </row>
    <row r="540" spans="4:4" ht="15.75" customHeight="1" x14ac:dyDescent="0.2">
      <c r="D540" s="14"/>
    </row>
    <row r="541" spans="4:4" ht="15.75" customHeight="1" x14ac:dyDescent="0.2">
      <c r="D541" s="14"/>
    </row>
    <row r="542" spans="4:4" ht="15.75" customHeight="1" x14ac:dyDescent="0.2">
      <c r="D542" s="14"/>
    </row>
    <row r="543" spans="4:4" ht="15.75" customHeight="1" x14ac:dyDescent="0.2">
      <c r="D543" s="14"/>
    </row>
    <row r="544" spans="4:4" ht="15.75" customHeight="1" x14ac:dyDescent="0.2">
      <c r="D544" s="14"/>
    </row>
    <row r="545" spans="4:4" ht="15.75" customHeight="1" x14ac:dyDescent="0.2">
      <c r="D545" s="14"/>
    </row>
    <row r="546" spans="4:4" ht="15.75" customHeight="1" x14ac:dyDescent="0.2">
      <c r="D546" s="14"/>
    </row>
    <row r="547" spans="4:4" ht="15.75" customHeight="1" x14ac:dyDescent="0.2">
      <c r="D547" s="14"/>
    </row>
    <row r="548" spans="4:4" ht="15.75" customHeight="1" x14ac:dyDescent="0.2">
      <c r="D548" s="14"/>
    </row>
    <row r="549" spans="4:4" ht="15.75" customHeight="1" x14ac:dyDescent="0.2">
      <c r="D549" s="14"/>
    </row>
    <row r="550" spans="4:4" ht="15.75" customHeight="1" x14ac:dyDescent="0.2">
      <c r="D550" s="14"/>
    </row>
    <row r="551" spans="4:4" ht="15.75" customHeight="1" x14ac:dyDescent="0.2">
      <c r="D551" s="14"/>
    </row>
    <row r="552" spans="4:4" ht="15.75" customHeight="1" x14ac:dyDescent="0.2">
      <c r="D552" s="14"/>
    </row>
    <row r="553" spans="4:4" ht="15.75" customHeight="1" x14ac:dyDescent="0.2">
      <c r="D553" s="14"/>
    </row>
    <row r="554" spans="4:4" ht="15.75" customHeight="1" x14ac:dyDescent="0.2">
      <c r="D554" s="14"/>
    </row>
    <row r="555" spans="4:4" ht="15.75" customHeight="1" x14ac:dyDescent="0.2">
      <c r="D555" s="14"/>
    </row>
    <row r="556" spans="4:4" ht="15.75" customHeight="1" x14ac:dyDescent="0.2">
      <c r="D556" s="14"/>
    </row>
    <row r="557" spans="4:4" ht="15.75" customHeight="1" x14ac:dyDescent="0.2">
      <c r="D557" s="14"/>
    </row>
    <row r="558" spans="4:4" ht="15.75" customHeight="1" x14ac:dyDescent="0.2">
      <c r="D558" s="14"/>
    </row>
    <row r="559" spans="4:4" ht="15.75" customHeight="1" x14ac:dyDescent="0.2">
      <c r="D559" s="14"/>
    </row>
    <row r="560" spans="4:4" ht="15.75" customHeight="1" x14ac:dyDescent="0.2">
      <c r="D560" s="14"/>
    </row>
    <row r="561" spans="4:4" ht="15.75" customHeight="1" x14ac:dyDescent="0.2">
      <c r="D561" s="14"/>
    </row>
    <row r="562" spans="4:4" ht="15.75" customHeight="1" x14ac:dyDescent="0.2">
      <c r="D562" s="14"/>
    </row>
    <row r="563" spans="4:4" ht="15.75" customHeight="1" x14ac:dyDescent="0.2">
      <c r="D563" s="14"/>
    </row>
    <row r="564" spans="4:4" ht="15.75" customHeight="1" x14ac:dyDescent="0.2">
      <c r="D564" s="14"/>
    </row>
    <row r="565" spans="4:4" ht="15.75" customHeight="1" x14ac:dyDescent="0.2">
      <c r="D565" s="14"/>
    </row>
    <row r="566" spans="4:4" ht="15.75" customHeight="1" x14ac:dyDescent="0.2">
      <c r="D566" s="14"/>
    </row>
    <row r="567" spans="4:4" ht="15.75" customHeight="1" x14ac:dyDescent="0.2">
      <c r="D567" s="14"/>
    </row>
    <row r="568" spans="4:4" ht="15.75" customHeight="1" x14ac:dyDescent="0.2">
      <c r="D568" s="14"/>
    </row>
    <row r="569" spans="4:4" ht="15.75" customHeight="1" x14ac:dyDescent="0.2">
      <c r="D569" s="14"/>
    </row>
    <row r="570" spans="4:4" ht="15.75" customHeight="1" x14ac:dyDescent="0.2">
      <c r="D570" s="14"/>
    </row>
    <row r="571" spans="4:4" ht="15.75" customHeight="1" x14ac:dyDescent="0.2">
      <c r="D571" s="14"/>
    </row>
    <row r="572" spans="4:4" ht="15.75" customHeight="1" x14ac:dyDescent="0.2">
      <c r="D572" s="14"/>
    </row>
    <row r="573" spans="4:4" ht="15.75" customHeight="1" x14ac:dyDescent="0.2">
      <c r="D573" s="14"/>
    </row>
    <row r="574" spans="4:4" ht="15.75" customHeight="1" x14ac:dyDescent="0.2">
      <c r="D574" s="14"/>
    </row>
    <row r="575" spans="4:4" ht="15.75" customHeight="1" x14ac:dyDescent="0.2">
      <c r="D575" s="14"/>
    </row>
    <row r="576" spans="4:4" ht="15.75" customHeight="1" x14ac:dyDescent="0.2">
      <c r="D576" s="14"/>
    </row>
    <row r="577" spans="4:4" ht="15.75" customHeight="1" x14ac:dyDescent="0.2">
      <c r="D577" s="14"/>
    </row>
    <row r="578" spans="4:4" ht="15.75" customHeight="1" x14ac:dyDescent="0.2">
      <c r="D578" s="14"/>
    </row>
    <row r="579" spans="4:4" ht="15.75" customHeight="1" x14ac:dyDescent="0.2">
      <c r="D579" s="14"/>
    </row>
    <row r="580" spans="4:4" ht="15.75" customHeight="1" x14ac:dyDescent="0.2">
      <c r="D580" s="14"/>
    </row>
    <row r="581" spans="4:4" ht="15.75" customHeight="1" x14ac:dyDescent="0.2">
      <c r="D581" s="14"/>
    </row>
    <row r="582" spans="4:4" ht="15.75" customHeight="1" x14ac:dyDescent="0.2">
      <c r="D582" s="14"/>
    </row>
    <row r="583" spans="4:4" ht="15.75" customHeight="1" x14ac:dyDescent="0.2">
      <c r="D583" s="14"/>
    </row>
    <row r="584" spans="4:4" ht="15.75" customHeight="1" x14ac:dyDescent="0.2">
      <c r="D584" s="14"/>
    </row>
    <row r="585" spans="4:4" ht="15.75" customHeight="1" x14ac:dyDescent="0.2">
      <c r="D585" s="14"/>
    </row>
    <row r="586" spans="4:4" ht="15.75" customHeight="1" x14ac:dyDescent="0.2">
      <c r="D586" s="14"/>
    </row>
    <row r="587" spans="4:4" ht="15.75" customHeight="1" x14ac:dyDescent="0.2">
      <c r="D587" s="14"/>
    </row>
    <row r="588" spans="4:4" ht="15.75" customHeight="1" x14ac:dyDescent="0.2">
      <c r="D588" s="14"/>
    </row>
    <row r="589" spans="4:4" ht="15.75" customHeight="1" x14ac:dyDescent="0.2">
      <c r="D589" s="14"/>
    </row>
    <row r="590" spans="4:4" ht="15.75" customHeight="1" x14ac:dyDescent="0.2">
      <c r="D590" s="14"/>
    </row>
    <row r="591" spans="4:4" ht="15.75" customHeight="1" x14ac:dyDescent="0.2">
      <c r="D591" s="14"/>
    </row>
    <row r="592" spans="4:4" ht="15.75" customHeight="1" x14ac:dyDescent="0.2">
      <c r="D592" s="14"/>
    </row>
    <row r="593" spans="4:4" ht="15.75" customHeight="1" x14ac:dyDescent="0.2">
      <c r="D593" s="14"/>
    </row>
    <row r="594" spans="4:4" ht="15.75" customHeight="1" x14ac:dyDescent="0.2">
      <c r="D594" s="14"/>
    </row>
    <row r="595" spans="4:4" ht="15.75" customHeight="1" x14ac:dyDescent="0.2">
      <c r="D595" s="14"/>
    </row>
    <row r="596" spans="4:4" ht="15.75" customHeight="1" x14ac:dyDescent="0.2">
      <c r="D596" s="14"/>
    </row>
    <row r="597" spans="4:4" ht="15.75" customHeight="1" x14ac:dyDescent="0.2">
      <c r="D597" s="14"/>
    </row>
    <row r="598" spans="4:4" ht="15.75" customHeight="1" x14ac:dyDescent="0.2">
      <c r="D598" s="14"/>
    </row>
    <row r="599" spans="4:4" ht="15.75" customHeight="1" x14ac:dyDescent="0.2">
      <c r="D599" s="14"/>
    </row>
    <row r="600" spans="4:4" ht="15.75" customHeight="1" x14ac:dyDescent="0.2">
      <c r="D600" s="14"/>
    </row>
    <row r="601" spans="4:4" ht="15.75" customHeight="1" x14ac:dyDescent="0.2">
      <c r="D601" s="14"/>
    </row>
    <row r="602" spans="4:4" ht="15.75" customHeight="1" x14ac:dyDescent="0.2">
      <c r="D602" s="14"/>
    </row>
    <row r="603" spans="4:4" ht="15.75" customHeight="1" x14ac:dyDescent="0.2">
      <c r="D603" s="14"/>
    </row>
    <row r="604" spans="4:4" ht="15.75" customHeight="1" x14ac:dyDescent="0.2">
      <c r="D604" s="14"/>
    </row>
    <row r="605" spans="4:4" ht="15.75" customHeight="1" x14ac:dyDescent="0.2">
      <c r="D605" s="14"/>
    </row>
    <row r="606" spans="4:4" ht="15.75" customHeight="1" x14ac:dyDescent="0.2">
      <c r="D606" s="14"/>
    </row>
    <row r="607" spans="4:4" ht="15.75" customHeight="1" x14ac:dyDescent="0.2">
      <c r="D607" s="14"/>
    </row>
    <row r="608" spans="4:4" ht="15.75" customHeight="1" x14ac:dyDescent="0.2">
      <c r="D608" s="14"/>
    </row>
    <row r="609" spans="4:4" ht="15.75" customHeight="1" x14ac:dyDescent="0.2">
      <c r="D609" s="14"/>
    </row>
    <row r="610" spans="4:4" ht="15.75" customHeight="1" x14ac:dyDescent="0.2">
      <c r="D610" s="14"/>
    </row>
    <row r="611" spans="4:4" ht="15.75" customHeight="1" x14ac:dyDescent="0.2">
      <c r="D611" s="14"/>
    </row>
    <row r="612" spans="4:4" ht="15.75" customHeight="1" x14ac:dyDescent="0.2">
      <c r="D612" s="14"/>
    </row>
    <row r="613" spans="4:4" ht="15.75" customHeight="1" x14ac:dyDescent="0.2">
      <c r="D613" s="14"/>
    </row>
    <row r="614" spans="4:4" ht="15.75" customHeight="1" x14ac:dyDescent="0.2">
      <c r="D614" s="14"/>
    </row>
    <row r="615" spans="4:4" ht="15.75" customHeight="1" x14ac:dyDescent="0.2">
      <c r="D615" s="14"/>
    </row>
    <row r="616" spans="4:4" ht="15.75" customHeight="1" x14ac:dyDescent="0.2">
      <c r="D616" s="14"/>
    </row>
    <row r="617" spans="4:4" ht="15.75" customHeight="1" x14ac:dyDescent="0.2">
      <c r="D617" s="14"/>
    </row>
    <row r="618" spans="4:4" ht="15.75" customHeight="1" x14ac:dyDescent="0.2">
      <c r="D618" s="14"/>
    </row>
    <row r="619" spans="4:4" ht="15.75" customHeight="1" x14ac:dyDescent="0.2">
      <c r="D619" s="14"/>
    </row>
    <row r="620" spans="4:4" ht="15.75" customHeight="1" x14ac:dyDescent="0.2">
      <c r="D620" s="14"/>
    </row>
    <row r="621" spans="4:4" ht="15.75" customHeight="1" x14ac:dyDescent="0.2">
      <c r="D621" s="14"/>
    </row>
    <row r="622" spans="4:4" ht="15.75" customHeight="1" x14ac:dyDescent="0.2">
      <c r="D622" s="14"/>
    </row>
    <row r="623" spans="4:4" ht="15.75" customHeight="1" x14ac:dyDescent="0.2">
      <c r="D623" s="14"/>
    </row>
    <row r="624" spans="4:4" ht="15.75" customHeight="1" x14ac:dyDescent="0.2">
      <c r="D624" s="14"/>
    </row>
    <row r="625" spans="4:4" ht="15.75" customHeight="1" x14ac:dyDescent="0.2">
      <c r="D625" s="14"/>
    </row>
    <row r="626" spans="4:4" ht="15.75" customHeight="1" x14ac:dyDescent="0.2">
      <c r="D626" s="14"/>
    </row>
    <row r="627" spans="4:4" ht="15.75" customHeight="1" x14ac:dyDescent="0.2">
      <c r="D627" s="14"/>
    </row>
    <row r="628" spans="4:4" ht="15.75" customHeight="1" x14ac:dyDescent="0.2">
      <c r="D628" s="14"/>
    </row>
    <row r="629" spans="4:4" ht="15.75" customHeight="1" x14ac:dyDescent="0.2">
      <c r="D629" s="14"/>
    </row>
    <row r="630" spans="4:4" ht="15.75" customHeight="1" x14ac:dyDescent="0.2">
      <c r="D630" s="14"/>
    </row>
    <row r="631" spans="4:4" ht="15.75" customHeight="1" x14ac:dyDescent="0.2">
      <c r="D631" s="14"/>
    </row>
    <row r="632" spans="4:4" ht="15.75" customHeight="1" x14ac:dyDescent="0.2">
      <c r="D632" s="14"/>
    </row>
    <row r="633" spans="4:4" ht="15.75" customHeight="1" x14ac:dyDescent="0.2">
      <c r="D633" s="14"/>
    </row>
    <row r="634" spans="4:4" ht="15.75" customHeight="1" x14ac:dyDescent="0.2">
      <c r="D634" s="14"/>
    </row>
    <row r="635" spans="4:4" ht="15.75" customHeight="1" x14ac:dyDescent="0.2">
      <c r="D635" s="14"/>
    </row>
    <row r="636" spans="4:4" ht="15.75" customHeight="1" x14ac:dyDescent="0.2">
      <c r="D636" s="14"/>
    </row>
    <row r="637" spans="4:4" ht="15.75" customHeight="1" x14ac:dyDescent="0.2">
      <c r="D637" s="14"/>
    </row>
    <row r="638" spans="4:4" ht="15.75" customHeight="1" x14ac:dyDescent="0.2">
      <c r="D638" s="14"/>
    </row>
    <row r="639" spans="4:4" ht="15.75" customHeight="1" x14ac:dyDescent="0.2">
      <c r="D639" s="14"/>
    </row>
    <row r="640" spans="4:4" ht="15.75" customHeight="1" x14ac:dyDescent="0.2">
      <c r="D640" s="14"/>
    </row>
    <row r="641" spans="4:4" ht="15.75" customHeight="1" x14ac:dyDescent="0.2">
      <c r="D641" s="14"/>
    </row>
    <row r="642" spans="4:4" ht="15.75" customHeight="1" x14ac:dyDescent="0.2">
      <c r="D642" s="14"/>
    </row>
    <row r="643" spans="4:4" ht="15.75" customHeight="1" x14ac:dyDescent="0.2">
      <c r="D643" s="14"/>
    </row>
    <row r="644" spans="4:4" ht="15.75" customHeight="1" x14ac:dyDescent="0.2">
      <c r="D644" s="14"/>
    </row>
    <row r="645" spans="4:4" ht="15.75" customHeight="1" x14ac:dyDescent="0.2">
      <c r="D645" s="14"/>
    </row>
    <row r="646" spans="4:4" ht="15.75" customHeight="1" x14ac:dyDescent="0.2">
      <c r="D646" s="14"/>
    </row>
    <row r="647" spans="4:4" ht="15.75" customHeight="1" x14ac:dyDescent="0.2">
      <c r="D647" s="14"/>
    </row>
    <row r="648" spans="4:4" ht="15.75" customHeight="1" x14ac:dyDescent="0.2">
      <c r="D648" s="14"/>
    </row>
    <row r="649" spans="4:4" ht="15.75" customHeight="1" x14ac:dyDescent="0.2">
      <c r="D649" s="14"/>
    </row>
    <row r="650" spans="4:4" ht="15.75" customHeight="1" x14ac:dyDescent="0.2">
      <c r="D650" s="14"/>
    </row>
    <row r="651" spans="4:4" ht="15.75" customHeight="1" x14ac:dyDescent="0.2">
      <c r="D651" s="14"/>
    </row>
    <row r="652" spans="4:4" ht="15.75" customHeight="1" x14ac:dyDescent="0.2">
      <c r="D652" s="14"/>
    </row>
    <row r="653" spans="4:4" ht="15.75" customHeight="1" x14ac:dyDescent="0.2">
      <c r="D653" s="14"/>
    </row>
    <row r="654" spans="4:4" ht="15.75" customHeight="1" x14ac:dyDescent="0.2">
      <c r="D654" s="14"/>
    </row>
    <row r="655" spans="4:4" ht="15.75" customHeight="1" x14ac:dyDescent="0.2">
      <c r="D655" s="14"/>
    </row>
    <row r="656" spans="4:4" ht="15.75" customHeight="1" x14ac:dyDescent="0.2">
      <c r="D656" s="14"/>
    </row>
    <row r="657" spans="4:4" ht="15.75" customHeight="1" x14ac:dyDescent="0.2">
      <c r="D657" s="14"/>
    </row>
    <row r="658" spans="4:4" ht="15.75" customHeight="1" x14ac:dyDescent="0.2">
      <c r="D658" s="14"/>
    </row>
    <row r="659" spans="4:4" ht="15.75" customHeight="1" x14ac:dyDescent="0.2">
      <c r="D659" s="14"/>
    </row>
    <row r="660" spans="4:4" ht="15.75" customHeight="1" x14ac:dyDescent="0.2">
      <c r="D660" s="14"/>
    </row>
    <row r="661" spans="4:4" ht="15.75" customHeight="1" x14ac:dyDescent="0.2">
      <c r="D661" s="14"/>
    </row>
    <row r="662" spans="4:4" ht="15.75" customHeight="1" x14ac:dyDescent="0.2">
      <c r="D662" s="14"/>
    </row>
    <row r="663" spans="4:4" ht="15.75" customHeight="1" x14ac:dyDescent="0.2">
      <c r="D663" s="14"/>
    </row>
    <row r="664" spans="4:4" ht="15.75" customHeight="1" x14ac:dyDescent="0.2">
      <c r="D664" s="14"/>
    </row>
    <row r="665" spans="4:4" ht="15.75" customHeight="1" x14ac:dyDescent="0.2">
      <c r="D665" s="14"/>
    </row>
    <row r="666" spans="4:4" ht="15.75" customHeight="1" x14ac:dyDescent="0.2">
      <c r="D666" s="14"/>
    </row>
    <row r="667" spans="4:4" ht="15.75" customHeight="1" x14ac:dyDescent="0.2">
      <c r="D667" s="14"/>
    </row>
    <row r="668" spans="4:4" ht="15.75" customHeight="1" x14ac:dyDescent="0.2">
      <c r="D668" s="14"/>
    </row>
    <row r="669" spans="4:4" ht="15.75" customHeight="1" x14ac:dyDescent="0.2">
      <c r="D669" s="14"/>
    </row>
    <row r="670" spans="4:4" ht="15.75" customHeight="1" x14ac:dyDescent="0.2">
      <c r="D670" s="14"/>
    </row>
    <row r="671" spans="4:4" ht="15.75" customHeight="1" x14ac:dyDescent="0.2">
      <c r="D671" s="14"/>
    </row>
    <row r="672" spans="4:4" ht="15.75" customHeight="1" x14ac:dyDescent="0.2">
      <c r="D672" s="14"/>
    </row>
    <row r="673" spans="4:4" ht="15.75" customHeight="1" x14ac:dyDescent="0.2">
      <c r="D673" s="14"/>
    </row>
    <row r="674" spans="4:4" ht="15.75" customHeight="1" x14ac:dyDescent="0.2">
      <c r="D674" s="14"/>
    </row>
    <row r="675" spans="4:4" ht="15.75" customHeight="1" x14ac:dyDescent="0.2">
      <c r="D675" s="14"/>
    </row>
    <row r="676" spans="4:4" ht="15.75" customHeight="1" x14ac:dyDescent="0.2">
      <c r="D676" s="14"/>
    </row>
    <row r="677" spans="4:4" ht="15.75" customHeight="1" x14ac:dyDescent="0.2">
      <c r="D677" s="14"/>
    </row>
    <row r="678" spans="4:4" ht="15.75" customHeight="1" x14ac:dyDescent="0.2">
      <c r="D678" s="14"/>
    </row>
    <row r="679" spans="4:4" ht="15.75" customHeight="1" x14ac:dyDescent="0.2">
      <c r="D679" s="14"/>
    </row>
    <row r="680" spans="4:4" ht="15.75" customHeight="1" x14ac:dyDescent="0.2">
      <c r="D680" s="14"/>
    </row>
    <row r="681" spans="4:4" ht="15.75" customHeight="1" x14ac:dyDescent="0.2">
      <c r="D681" s="14"/>
    </row>
    <row r="682" spans="4:4" ht="15.75" customHeight="1" x14ac:dyDescent="0.2">
      <c r="D682" s="14"/>
    </row>
    <row r="683" spans="4:4" ht="15.75" customHeight="1" x14ac:dyDescent="0.2">
      <c r="D683" s="14"/>
    </row>
    <row r="684" spans="4:4" ht="15.75" customHeight="1" x14ac:dyDescent="0.2">
      <c r="D684" s="14"/>
    </row>
    <row r="685" spans="4:4" ht="15.75" customHeight="1" x14ac:dyDescent="0.2">
      <c r="D685" s="14"/>
    </row>
    <row r="686" spans="4:4" ht="15.75" customHeight="1" x14ac:dyDescent="0.2">
      <c r="D686" s="14"/>
    </row>
    <row r="687" spans="4:4" ht="15.75" customHeight="1" x14ac:dyDescent="0.2">
      <c r="D687" s="14"/>
    </row>
    <row r="688" spans="4:4" ht="15.75" customHeight="1" x14ac:dyDescent="0.2">
      <c r="D688" s="14"/>
    </row>
    <row r="689" spans="4:4" ht="15.75" customHeight="1" x14ac:dyDescent="0.2">
      <c r="D689" s="14"/>
    </row>
    <row r="690" spans="4:4" ht="15.75" customHeight="1" x14ac:dyDescent="0.2">
      <c r="D690" s="14"/>
    </row>
    <row r="691" spans="4:4" ht="15.75" customHeight="1" x14ac:dyDescent="0.2">
      <c r="D691" s="14"/>
    </row>
    <row r="692" spans="4:4" ht="15.75" customHeight="1" x14ac:dyDescent="0.2">
      <c r="D692" s="14"/>
    </row>
    <row r="693" spans="4:4" ht="15.75" customHeight="1" x14ac:dyDescent="0.2">
      <c r="D693" s="14"/>
    </row>
    <row r="694" spans="4:4" ht="15.75" customHeight="1" x14ac:dyDescent="0.2">
      <c r="D694" s="14"/>
    </row>
    <row r="695" spans="4:4" ht="15.75" customHeight="1" x14ac:dyDescent="0.2">
      <c r="D695" s="14"/>
    </row>
    <row r="696" spans="4:4" ht="15.75" customHeight="1" x14ac:dyDescent="0.2">
      <c r="D696" s="14"/>
    </row>
    <row r="697" spans="4:4" ht="15.75" customHeight="1" x14ac:dyDescent="0.2">
      <c r="D697" s="14"/>
    </row>
    <row r="698" spans="4:4" ht="15.75" customHeight="1" x14ac:dyDescent="0.2">
      <c r="D698" s="14"/>
    </row>
    <row r="699" spans="4:4" ht="15.75" customHeight="1" x14ac:dyDescent="0.2">
      <c r="D699" s="14"/>
    </row>
    <row r="700" spans="4:4" ht="15.75" customHeight="1" x14ac:dyDescent="0.2">
      <c r="D700" s="14"/>
    </row>
    <row r="701" spans="4:4" ht="15.75" customHeight="1" x14ac:dyDescent="0.2">
      <c r="D701" s="14"/>
    </row>
    <row r="702" spans="4:4" ht="15.75" customHeight="1" x14ac:dyDescent="0.2">
      <c r="D702" s="14"/>
    </row>
    <row r="703" spans="4:4" ht="15.75" customHeight="1" x14ac:dyDescent="0.2">
      <c r="D703" s="14"/>
    </row>
    <row r="704" spans="4:4" ht="15.75" customHeight="1" x14ac:dyDescent="0.2">
      <c r="D704" s="14"/>
    </row>
    <row r="705" spans="4:4" ht="15.75" customHeight="1" x14ac:dyDescent="0.2">
      <c r="D705" s="14"/>
    </row>
    <row r="706" spans="4:4" ht="15.75" customHeight="1" x14ac:dyDescent="0.2">
      <c r="D706" s="14"/>
    </row>
    <row r="707" spans="4:4" ht="15.75" customHeight="1" x14ac:dyDescent="0.2">
      <c r="D707" s="14"/>
    </row>
    <row r="708" spans="4:4" ht="15.75" customHeight="1" x14ac:dyDescent="0.2">
      <c r="D708" s="14"/>
    </row>
    <row r="709" spans="4:4" ht="15.75" customHeight="1" x14ac:dyDescent="0.2">
      <c r="D709" s="14"/>
    </row>
    <row r="710" spans="4:4" ht="15.75" customHeight="1" x14ac:dyDescent="0.2">
      <c r="D710" s="14"/>
    </row>
    <row r="711" spans="4:4" ht="15.75" customHeight="1" x14ac:dyDescent="0.2">
      <c r="D711" s="14"/>
    </row>
    <row r="712" spans="4:4" ht="15.75" customHeight="1" x14ac:dyDescent="0.2">
      <c r="D712" s="14"/>
    </row>
    <row r="713" spans="4:4" ht="15.75" customHeight="1" x14ac:dyDescent="0.2">
      <c r="D713" s="14"/>
    </row>
    <row r="714" spans="4:4" ht="15.75" customHeight="1" x14ac:dyDescent="0.2">
      <c r="D714" s="14"/>
    </row>
    <row r="715" spans="4:4" ht="15.75" customHeight="1" x14ac:dyDescent="0.2">
      <c r="D715" s="14"/>
    </row>
    <row r="716" spans="4:4" ht="15.75" customHeight="1" x14ac:dyDescent="0.2">
      <c r="D716" s="14"/>
    </row>
    <row r="717" spans="4:4" ht="15.75" customHeight="1" x14ac:dyDescent="0.2">
      <c r="D717" s="14"/>
    </row>
    <row r="718" spans="4:4" ht="15.75" customHeight="1" x14ac:dyDescent="0.2">
      <c r="D718" s="14"/>
    </row>
    <row r="719" spans="4:4" ht="15.75" customHeight="1" x14ac:dyDescent="0.2">
      <c r="D719" s="14"/>
    </row>
    <row r="720" spans="4:4" ht="15.75" customHeight="1" x14ac:dyDescent="0.2">
      <c r="D720" s="14"/>
    </row>
    <row r="721" spans="4:4" ht="15.75" customHeight="1" x14ac:dyDescent="0.2">
      <c r="D721" s="14"/>
    </row>
    <row r="722" spans="4:4" ht="15.75" customHeight="1" x14ac:dyDescent="0.2">
      <c r="D722" s="14"/>
    </row>
    <row r="723" spans="4:4" ht="15.75" customHeight="1" x14ac:dyDescent="0.2">
      <c r="D723" s="14"/>
    </row>
    <row r="724" spans="4:4" ht="15.75" customHeight="1" x14ac:dyDescent="0.2">
      <c r="D724" s="14"/>
    </row>
    <row r="725" spans="4:4" ht="15.75" customHeight="1" x14ac:dyDescent="0.2">
      <c r="D725" s="14"/>
    </row>
    <row r="726" spans="4:4" ht="15.75" customHeight="1" x14ac:dyDescent="0.2">
      <c r="D726" s="14"/>
    </row>
    <row r="727" spans="4:4" ht="15.75" customHeight="1" x14ac:dyDescent="0.2">
      <c r="D727" s="14"/>
    </row>
    <row r="728" spans="4:4" ht="15.75" customHeight="1" x14ac:dyDescent="0.2">
      <c r="D728" s="14"/>
    </row>
    <row r="729" spans="4:4" ht="15.75" customHeight="1" x14ac:dyDescent="0.2">
      <c r="D729" s="14"/>
    </row>
    <row r="730" spans="4:4" ht="15.75" customHeight="1" x14ac:dyDescent="0.2">
      <c r="D730" s="14"/>
    </row>
    <row r="731" spans="4:4" ht="15.75" customHeight="1" x14ac:dyDescent="0.2">
      <c r="D731" s="14"/>
    </row>
    <row r="732" spans="4:4" ht="15.75" customHeight="1" x14ac:dyDescent="0.2">
      <c r="D732" s="14"/>
    </row>
    <row r="733" spans="4:4" ht="15.75" customHeight="1" x14ac:dyDescent="0.2">
      <c r="D733" s="14"/>
    </row>
    <row r="734" spans="4:4" ht="15.75" customHeight="1" x14ac:dyDescent="0.2">
      <c r="D734" s="14"/>
    </row>
    <row r="735" spans="4:4" ht="15.75" customHeight="1" x14ac:dyDescent="0.2">
      <c r="D735" s="14"/>
    </row>
    <row r="736" spans="4:4" ht="15.75" customHeight="1" x14ac:dyDescent="0.2">
      <c r="D736" s="14"/>
    </row>
    <row r="737" spans="4:4" ht="15.75" customHeight="1" x14ac:dyDescent="0.2">
      <c r="D737" s="14"/>
    </row>
    <row r="738" spans="4:4" ht="15.75" customHeight="1" x14ac:dyDescent="0.2">
      <c r="D738" s="14"/>
    </row>
    <row r="739" spans="4:4" ht="15.75" customHeight="1" x14ac:dyDescent="0.2">
      <c r="D739" s="14"/>
    </row>
    <row r="740" spans="4:4" ht="15.75" customHeight="1" x14ac:dyDescent="0.2">
      <c r="D740" s="14"/>
    </row>
    <row r="741" spans="4:4" ht="15.75" customHeight="1" x14ac:dyDescent="0.2">
      <c r="D741" s="14"/>
    </row>
    <row r="742" spans="4:4" ht="15.75" customHeight="1" x14ac:dyDescent="0.2">
      <c r="D742" s="14"/>
    </row>
    <row r="743" spans="4:4" ht="15.75" customHeight="1" x14ac:dyDescent="0.2">
      <c r="D743" s="14"/>
    </row>
    <row r="744" spans="4:4" ht="15.75" customHeight="1" x14ac:dyDescent="0.2">
      <c r="D744" s="14"/>
    </row>
    <row r="745" spans="4:4" ht="15.75" customHeight="1" x14ac:dyDescent="0.2">
      <c r="D745" s="14"/>
    </row>
    <row r="746" spans="4:4" ht="15.75" customHeight="1" x14ac:dyDescent="0.2">
      <c r="D746" s="14"/>
    </row>
    <row r="747" spans="4:4" ht="15.75" customHeight="1" x14ac:dyDescent="0.2">
      <c r="D747" s="14"/>
    </row>
    <row r="748" spans="4:4" ht="15.75" customHeight="1" x14ac:dyDescent="0.2">
      <c r="D748" s="14"/>
    </row>
    <row r="749" spans="4:4" ht="15.75" customHeight="1" x14ac:dyDescent="0.2">
      <c r="D749" s="14"/>
    </row>
    <row r="750" spans="4:4" ht="15.75" customHeight="1" x14ac:dyDescent="0.2">
      <c r="D750" s="14"/>
    </row>
    <row r="751" spans="4:4" ht="15.75" customHeight="1" x14ac:dyDescent="0.2">
      <c r="D751" s="14"/>
    </row>
    <row r="752" spans="4:4" ht="15.75" customHeight="1" x14ac:dyDescent="0.2">
      <c r="D752" s="14"/>
    </row>
    <row r="753" spans="4:4" ht="15.75" customHeight="1" x14ac:dyDescent="0.2">
      <c r="D753" s="14"/>
    </row>
    <row r="754" spans="4:4" ht="15.75" customHeight="1" x14ac:dyDescent="0.2">
      <c r="D754" s="14"/>
    </row>
    <row r="755" spans="4:4" ht="15.75" customHeight="1" x14ac:dyDescent="0.2">
      <c r="D755" s="14"/>
    </row>
    <row r="756" spans="4:4" ht="15.75" customHeight="1" x14ac:dyDescent="0.2">
      <c r="D756" s="14"/>
    </row>
    <row r="757" spans="4:4" ht="15.75" customHeight="1" x14ac:dyDescent="0.2">
      <c r="D757" s="14"/>
    </row>
    <row r="758" spans="4:4" ht="15.75" customHeight="1" x14ac:dyDescent="0.2">
      <c r="D758" s="14"/>
    </row>
    <row r="759" spans="4:4" ht="15.75" customHeight="1" x14ac:dyDescent="0.2">
      <c r="D759" s="14"/>
    </row>
    <row r="760" spans="4:4" ht="15.75" customHeight="1" x14ac:dyDescent="0.2">
      <c r="D760" s="14"/>
    </row>
    <row r="761" spans="4:4" ht="15.75" customHeight="1" x14ac:dyDescent="0.2">
      <c r="D761" s="14"/>
    </row>
    <row r="762" spans="4:4" ht="15.75" customHeight="1" x14ac:dyDescent="0.2">
      <c r="D762" s="14"/>
    </row>
    <row r="763" spans="4:4" ht="15.75" customHeight="1" x14ac:dyDescent="0.2">
      <c r="D763" s="14"/>
    </row>
    <row r="764" spans="4:4" ht="15.75" customHeight="1" x14ac:dyDescent="0.2">
      <c r="D764" s="14"/>
    </row>
    <row r="765" spans="4:4" ht="15.75" customHeight="1" x14ac:dyDescent="0.2">
      <c r="D765" s="14"/>
    </row>
    <row r="766" spans="4:4" ht="15.75" customHeight="1" x14ac:dyDescent="0.2">
      <c r="D766" s="14"/>
    </row>
    <row r="767" spans="4:4" ht="15.75" customHeight="1" x14ac:dyDescent="0.2">
      <c r="D767" s="14"/>
    </row>
    <row r="768" spans="4:4" ht="15.75" customHeight="1" x14ac:dyDescent="0.2">
      <c r="D768" s="14"/>
    </row>
    <row r="769" spans="4:4" ht="15.75" customHeight="1" x14ac:dyDescent="0.2">
      <c r="D769" s="14"/>
    </row>
    <row r="770" spans="4:4" ht="15.75" customHeight="1" x14ac:dyDescent="0.2">
      <c r="D770" s="14"/>
    </row>
    <row r="771" spans="4:4" ht="15.75" customHeight="1" x14ac:dyDescent="0.2">
      <c r="D771" s="14"/>
    </row>
    <row r="772" spans="4:4" ht="15.75" customHeight="1" x14ac:dyDescent="0.2">
      <c r="D772" s="14"/>
    </row>
    <row r="773" spans="4:4" ht="15.75" customHeight="1" x14ac:dyDescent="0.2">
      <c r="D773" s="14"/>
    </row>
    <row r="774" spans="4:4" ht="15.75" customHeight="1" x14ac:dyDescent="0.2">
      <c r="D774" s="14"/>
    </row>
    <row r="775" spans="4:4" ht="15.75" customHeight="1" x14ac:dyDescent="0.2">
      <c r="D775" s="14"/>
    </row>
    <row r="776" spans="4:4" ht="15.75" customHeight="1" x14ac:dyDescent="0.2">
      <c r="D776" s="14"/>
    </row>
    <row r="777" spans="4:4" ht="15.75" customHeight="1" x14ac:dyDescent="0.2">
      <c r="D777" s="14"/>
    </row>
    <row r="778" spans="4:4" ht="15.75" customHeight="1" x14ac:dyDescent="0.2">
      <c r="D778" s="14"/>
    </row>
    <row r="779" spans="4:4" ht="15.75" customHeight="1" x14ac:dyDescent="0.2">
      <c r="D779" s="14"/>
    </row>
    <row r="780" spans="4:4" ht="15.75" customHeight="1" x14ac:dyDescent="0.2">
      <c r="D780" s="14"/>
    </row>
    <row r="781" spans="4:4" ht="15.75" customHeight="1" x14ac:dyDescent="0.2">
      <c r="D781" s="14"/>
    </row>
    <row r="782" spans="4:4" ht="15.75" customHeight="1" x14ac:dyDescent="0.2">
      <c r="D782" s="14"/>
    </row>
    <row r="783" spans="4:4" ht="15.75" customHeight="1" x14ac:dyDescent="0.2">
      <c r="D783" s="14"/>
    </row>
    <row r="784" spans="4:4" ht="15.75" customHeight="1" x14ac:dyDescent="0.2">
      <c r="D784" s="14"/>
    </row>
    <row r="785" spans="4:4" ht="15.75" customHeight="1" x14ac:dyDescent="0.2">
      <c r="D785" s="14"/>
    </row>
    <row r="786" spans="4:4" ht="15.75" customHeight="1" x14ac:dyDescent="0.2">
      <c r="D786" s="14"/>
    </row>
    <row r="787" spans="4:4" ht="15.75" customHeight="1" x14ac:dyDescent="0.2">
      <c r="D787" s="14"/>
    </row>
    <row r="788" spans="4:4" ht="15.75" customHeight="1" x14ac:dyDescent="0.2">
      <c r="D788" s="14"/>
    </row>
    <row r="789" spans="4:4" ht="15.75" customHeight="1" x14ac:dyDescent="0.2">
      <c r="D789" s="14"/>
    </row>
    <row r="790" spans="4:4" ht="15.75" customHeight="1" x14ac:dyDescent="0.2">
      <c r="D790" s="14"/>
    </row>
    <row r="791" spans="4:4" ht="15.75" customHeight="1" x14ac:dyDescent="0.2">
      <c r="D791" s="14"/>
    </row>
    <row r="792" spans="4:4" ht="15.75" customHeight="1" x14ac:dyDescent="0.2">
      <c r="D792" s="14"/>
    </row>
    <row r="793" spans="4:4" ht="15.75" customHeight="1" x14ac:dyDescent="0.2">
      <c r="D793" s="14"/>
    </row>
    <row r="794" spans="4:4" ht="15.75" customHeight="1" x14ac:dyDescent="0.2">
      <c r="D794" s="14"/>
    </row>
    <row r="795" spans="4:4" ht="15.75" customHeight="1" x14ac:dyDescent="0.2">
      <c r="D795" s="14"/>
    </row>
    <row r="796" spans="4:4" ht="15.75" customHeight="1" x14ac:dyDescent="0.2">
      <c r="D796" s="14"/>
    </row>
    <row r="797" spans="4:4" ht="15.75" customHeight="1" x14ac:dyDescent="0.2">
      <c r="D797" s="14"/>
    </row>
    <row r="798" spans="4:4" ht="15.75" customHeight="1" x14ac:dyDescent="0.2">
      <c r="D798" s="14"/>
    </row>
    <row r="799" spans="4:4" ht="15.75" customHeight="1" x14ac:dyDescent="0.2">
      <c r="D799" s="14"/>
    </row>
    <row r="800" spans="4:4" ht="15.75" customHeight="1" x14ac:dyDescent="0.2">
      <c r="D800" s="14"/>
    </row>
    <row r="801" spans="4:4" ht="15.75" customHeight="1" x14ac:dyDescent="0.2">
      <c r="D801" s="14"/>
    </row>
    <row r="802" spans="4:4" ht="15.75" customHeight="1" x14ac:dyDescent="0.2">
      <c r="D802" s="14"/>
    </row>
    <row r="803" spans="4:4" ht="15.75" customHeight="1" x14ac:dyDescent="0.2">
      <c r="D803" s="14"/>
    </row>
    <row r="804" spans="4:4" ht="15.75" customHeight="1" x14ac:dyDescent="0.2">
      <c r="D804" s="14"/>
    </row>
    <row r="805" spans="4:4" ht="15.75" customHeight="1" x14ac:dyDescent="0.2">
      <c r="D805" s="14"/>
    </row>
    <row r="806" spans="4:4" ht="15.75" customHeight="1" x14ac:dyDescent="0.2">
      <c r="D806" s="14"/>
    </row>
    <row r="807" spans="4:4" ht="15.75" customHeight="1" x14ac:dyDescent="0.2">
      <c r="D807" s="14"/>
    </row>
    <row r="808" spans="4:4" ht="15.75" customHeight="1" x14ac:dyDescent="0.2">
      <c r="D808" s="14"/>
    </row>
    <row r="809" spans="4:4" ht="15.75" customHeight="1" x14ac:dyDescent="0.2">
      <c r="D809" s="14"/>
    </row>
    <row r="810" spans="4:4" ht="15.75" customHeight="1" x14ac:dyDescent="0.2">
      <c r="D810" s="14"/>
    </row>
    <row r="811" spans="4:4" ht="15.75" customHeight="1" x14ac:dyDescent="0.2">
      <c r="D811" s="14"/>
    </row>
    <row r="812" spans="4:4" ht="15.75" customHeight="1" x14ac:dyDescent="0.2">
      <c r="D812" s="14"/>
    </row>
    <row r="813" spans="4:4" ht="15.75" customHeight="1" x14ac:dyDescent="0.2">
      <c r="D813" s="14"/>
    </row>
    <row r="814" spans="4:4" ht="15.75" customHeight="1" x14ac:dyDescent="0.2">
      <c r="D814" s="14"/>
    </row>
    <row r="815" spans="4:4" ht="15.75" customHeight="1" x14ac:dyDescent="0.2">
      <c r="D815" s="14"/>
    </row>
    <row r="816" spans="4:4" ht="15.75" customHeight="1" x14ac:dyDescent="0.2">
      <c r="D816" s="14"/>
    </row>
    <row r="817" spans="4:4" ht="15.75" customHeight="1" x14ac:dyDescent="0.2">
      <c r="D817" s="14"/>
    </row>
    <row r="818" spans="4:4" ht="15.75" customHeight="1" x14ac:dyDescent="0.2">
      <c r="D818" s="14"/>
    </row>
    <row r="819" spans="4:4" ht="15.75" customHeight="1" x14ac:dyDescent="0.2">
      <c r="D819" s="14"/>
    </row>
    <row r="820" spans="4:4" ht="15.75" customHeight="1" x14ac:dyDescent="0.2">
      <c r="D820" s="14"/>
    </row>
    <row r="821" spans="4:4" ht="15.75" customHeight="1" x14ac:dyDescent="0.2">
      <c r="D821" s="14"/>
    </row>
    <row r="822" spans="4:4" ht="15.75" customHeight="1" x14ac:dyDescent="0.2">
      <c r="D822" s="14"/>
    </row>
    <row r="823" spans="4:4" ht="15.75" customHeight="1" x14ac:dyDescent="0.2">
      <c r="D823" s="14"/>
    </row>
    <row r="824" spans="4:4" ht="15.75" customHeight="1" x14ac:dyDescent="0.2">
      <c r="D824" s="14"/>
    </row>
    <row r="825" spans="4:4" ht="15.75" customHeight="1" x14ac:dyDescent="0.2">
      <c r="D825" s="14"/>
    </row>
    <row r="826" spans="4:4" ht="15.75" customHeight="1" x14ac:dyDescent="0.2">
      <c r="D826" s="14"/>
    </row>
    <row r="827" spans="4:4" ht="15.75" customHeight="1" x14ac:dyDescent="0.2">
      <c r="D827" s="14"/>
    </row>
    <row r="828" spans="4:4" ht="15.75" customHeight="1" x14ac:dyDescent="0.2">
      <c r="D828" s="14"/>
    </row>
    <row r="829" spans="4:4" ht="15.75" customHeight="1" x14ac:dyDescent="0.2">
      <c r="D829" s="14"/>
    </row>
    <row r="830" spans="4:4" ht="15.75" customHeight="1" x14ac:dyDescent="0.2">
      <c r="D830" s="14"/>
    </row>
    <row r="831" spans="4:4" ht="15.75" customHeight="1" x14ac:dyDescent="0.2">
      <c r="D831" s="14"/>
    </row>
    <row r="832" spans="4:4" ht="15.75" customHeight="1" x14ac:dyDescent="0.2">
      <c r="D832" s="14"/>
    </row>
    <row r="833" spans="4:4" ht="15.75" customHeight="1" x14ac:dyDescent="0.2">
      <c r="D833" s="14"/>
    </row>
    <row r="834" spans="4:4" ht="15.75" customHeight="1" x14ac:dyDescent="0.2">
      <c r="D834" s="14"/>
    </row>
    <row r="835" spans="4:4" ht="15.75" customHeight="1" x14ac:dyDescent="0.2">
      <c r="D835" s="14"/>
    </row>
    <row r="836" spans="4:4" ht="15.75" customHeight="1" x14ac:dyDescent="0.2">
      <c r="D836" s="14"/>
    </row>
    <row r="837" spans="4:4" ht="15.75" customHeight="1" x14ac:dyDescent="0.2">
      <c r="D837" s="14"/>
    </row>
    <row r="838" spans="4:4" ht="15.75" customHeight="1" x14ac:dyDescent="0.2">
      <c r="D838" s="14"/>
    </row>
    <row r="839" spans="4:4" ht="15.75" customHeight="1" x14ac:dyDescent="0.2">
      <c r="D839" s="14"/>
    </row>
    <row r="840" spans="4:4" ht="15.75" customHeight="1" x14ac:dyDescent="0.2">
      <c r="D840" s="14"/>
    </row>
    <row r="841" spans="4:4" ht="15.75" customHeight="1" x14ac:dyDescent="0.2">
      <c r="D841" s="14"/>
    </row>
    <row r="842" spans="4:4" ht="15.75" customHeight="1" x14ac:dyDescent="0.2">
      <c r="D842" s="14"/>
    </row>
    <row r="843" spans="4:4" ht="15.75" customHeight="1" x14ac:dyDescent="0.2">
      <c r="D843" s="14"/>
    </row>
    <row r="844" spans="4:4" ht="15.75" customHeight="1" x14ac:dyDescent="0.2">
      <c r="D844" s="14"/>
    </row>
    <row r="845" spans="4:4" ht="15.75" customHeight="1" x14ac:dyDescent="0.2">
      <c r="D845" s="14"/>
    </row>
    <row r="846" spans="4:4" ht="15.75" customHeight="1" x14ac:dyDescent="0.2">
      <c r="D846" s="14"/>
    </row>
    <row r="847" spans="4:4" ht="15.75" customHeight="1" x14ac:dyDescent="0.2">
      <c r="D847" s="14"/>
    </row>
    <row r="848" spans="4:4" ht="15.75" customHeight="1" x14ac:dyDescent="0.2">
      <c r="D848" s="14"/>
    </row>
    <row r="849" spans="4:4" ht="15.75" customHeight="1" x14ac:dyDescent="0.2">
      <c r="D849" s="14"/>
    </row>
    <row r="850" spans="4:4" ht="15.75" customHeight="1" x14ac:dyDescent="0.2">
      <c r="D850" s="14"/>
    </row>
    <row r="851" spans="4:4" ht="15.75" customHeight="1" x14ac:dyDescent="0.2">
      <c r="D851" s="14"/>
    </row>
    <row r="852" spans="4:4" ht="15.75" customHeight="1" x14ac:dyDescent="0.2">
      <c r="D852" s="14"/>
    </row>
    <row r="853" spans="4:4" ht="15.75" customHeight="1" x14ac:dyDescent="0.2">
      <c r="D853" s="14"/>
    </row>
    <row r="854" spans="4:4" ht="15.75" customHeight="1" x14ac:dyDescent="0.2">
      <c r="D854" s="14"/>
    </row>
    <row r="855" spans="4:4" ht="15.75" customHeight="1" x14ac:dyDescent="0.2">
      <c r="D855" s="14"/>
    </row>
    <row r="856" spans="4:4" ht="15.75" customHeight="1" x14ac:dyDescent="0.2">
      <c r="D856" s="14"/>
    </row>
    <row r="857" spans="4:4" ht="15.75" customHeight="1" x14ac:dyDescent="0.2">
      <c r="D857" s="14"/>
    </row>
    <row r="858" spans="4:4" ht="15.75" customHeight="1" x14ac:dyDescent="0.2">
      <c r="D858" s="14"/>
    </row>
    <row r="859" spans="4:4" ht="15.75" customHeight="1" x14ac:dyDescent="0.2">
      <c r="D859" s="14"/>
    </row>
    <row r="860" spans="4:4" ht="15.75" customHeight="1" x14ac:dyDescent="0.2">
      <c r="D860" s="14"/>
    </row>
    <row r="861" spans="4:4" ht="15.75" customHeight="1" x14ac:dyDescent="0.2">
      <c r="D861" s="14"/>
    </row>
    <row r="862" spans="4:4" ht="15.75" customHeight="1" x14ac:dyDescent="0.2">
      <c r="D862" s="14"/>
    </row>
    <row r="863" spans="4:4" ht="15.75" customHeight="1" x14ac:dyDescent="0.2">
      <c r="D863" s="14"/>
    </row>
    <row r="864" spans="4:4" ht="15.75" customHeight="1" x14ac:dyDescent="0.2">
      <c r="D864" s="14"/>
    </row>
    <row r="865" spans="4:4" ht="15.75" customHeight="1" x14ac:dyDescent="0.2">
      <c r="D865" s="14"/>
    </row>
    <row r="866" spans="4:4" ht="15.75" customHeight="1" x14ac:dyDescent="0.2">
      <c r="D866" s="14"/>
    </row>
    <row r="867" spans="4:4" ht="15.75" customHeight="1" x14ac:dyDescent="0.2">
      <c r="D867" s="14"/>
    </row>
    <row r="868" spans="4:4" ht="15.75" customHeight="1" x14ac:dyDescent="0.2">
      <c r="D868" s="14"/>
    </row>
    <row r="869" spans="4:4" ht="15.75" customHeight="1" x14ac:dyDescent="0.2">
      <c r="D869" s="14"/>
    </row>
    <row r="870" spans="4:4" ht="15.75" customHeight="1" x14ac:dyDescent="0.2">
      <c r="D870" s="14"/>
    </row>
    <row r="871" spans="4:4" ht="15.75" customHeight="1" x14ac:dyDescent="0.2">
      <c r="D871" s="14"/>
    </row>
    <row r="872" spans="4:4" ht="15.75" customHeight="1" x14ac:dyDescent="0.2">
      <c r="D872" s="14"/>
    </row>
    <row r="873" spans="4:4" ht="15.75" customHeight="1" x14ac:dyDescent="0.2">
      <c r="D873" s="14"/>
    </row>
    <row r="874" spans="4:4" ht="15.75" customHeight="1" x14ac:dyDescent="0.2">
      <c r="D874" s="14"/>
    </row>
    <row r="875" spans="4:4" ht="15.75" customHeight="1" x14ac:dyDescent="0.2">
      <c r="D875" s="14"/>
    </row>
    <row r="876" spans="4:4" ht="15.75" customHeight="1" x14ac:dyDescent="0.2">
      <c r="D876" s="14"/>
    </row>
    <row r="877" spans="4:4" ht="15.75" customHeight="1" x14ac:dyDescent="0.2">
      <c r="D877" s="14"/>
    </row>
    <row r="878" spans="4:4" ht="15.75" customHeight="1" x14ac:dyDescent="0.2">
      <c r="D878" s="14"/>
    </row>
    <row r="879" spans="4:4" ht="15.75" customHeight="1" x14ac:dyDescent="0.2">
      <c r="D879" s="14"/>
    </row>
    <row r="880" spans="4:4" ht="15.75" customHeight="1" x14ac:dyDescent="0.2">
      <c r="D880" s="14"/>
    </row>
    <row r="881" spans="4:4" ht="15.75" customHeight="1" x14ac:dyDescent="0.2">
      <c r="D881" s="14"/>
    </row>
    <row r="882" spans="4:4" ht="15.75" customHeight="1" x14ac:dyDescent="0.2">
      <c r="D882" s="14"/>
    </row>
    <row r="883" spans="4:4" ht="15.75" customHeight="1" x14ac:dyDescent="0.2">
      <c r="D883" s="14"/>
    </row>
    <row r="884" spans="4:4" ht="15.75" customHeight="1" x14ac:dyDescent="0.2">
      <c r="D884" s="14"/>
    </row>
    <row r="885" spans="4:4" ht="15.75" customHeight="1" x14ac:dyDescent="0.2">
      <c r="D885" s="14"/>
    </row>
    <row r="886" spans="4:4" ht="15.75" customHeight="1" x14ac:dyDescent="0.2">
      <c r="D886" s="14"/>
    </row>
    <row r="887" spans="4:4" ht="15.75" customHeight="1" x14ac:dyDescent="0.2">
      <c r="D887" s="14"/>
    </row>
    <row r="888" spans="4:4" ht="15.75" customHeight="1" x14ac:dyDescent="0.2">
      <c r="D888" s="14"/>
    </row>
    <row r="889" spans="4:4" ht="15.75" customHeight="1" x14ac:dyDescent="0.2">
      <c r="D889" s="14"/>
    </row>
    <row r="890" spans="4:4" ht="15.75" customHeight="1" x14ac:dyDescent="0.2">
      <c r="D890" s="14"/>
    </row>
    <row r="891" spans="4:4" ht="15.75" customHeight="1" x14ac:dyDescent="0.2">
      <c r="D891" s="14"/>
    </row>
    <row r="892" spans="4:4" ht="15.75" customHeight="1" x14ac:dyDescent="0.2">
      <c r="D892" s="14"/>
    </row>
    <row r="893" spans="4:4" ht="15.75" customHeight="1" x14ac:dyDescent="0.2">
      <c r="D893" s="14"/>
    </row>
    <row r="894" spans="4:4" ht="15.75" customHeight="1" x14ac:dyDescent="0.2">
      <c r="D894" s="14"/>
    </row>
    <row r="895" spans="4:4" ht="15.75" customHeight="1" x14ac:dyDescent="0.2">
      <c r="D895" s="14"/>
    </row>
    <row r="896" spans="4:4" ht="15.75" customHeight="1" x14ac:dyDescent="0.2">
      <c r="D896" s="14"/>
    </row>
    <row r="897" spans="4:4" ht="15.75" customHeight="1" x14ac:dyDescent="0.2">
      <c r="D897" s="14"/>
    </row>
    <row r="898" spans="4:4" ht="15.75" customHeight="1" x14ac:dyDescent="0.2">
      <c r="D898" s="14"/>
    </row>
    <row r="899" spans="4:4" ht="15.75" customHeight="1" x14ac:dyDescent="0.2">
      <c r="D899" s="14"/>
    </row>
    <row r="900" spans="4:4" ht="15.75" customHeight="1" x14ac:dyDescent="0.2">
      <c r="D900" s="14"/>
    </row>
    <row r="901" spans="4:4" ht="15.75" customHeight="1" x14ac:dyDescent="0.2">
      <c r="D901" s="14"/>
    </row>
    <row r="902" spans="4:4" ht="15.75" customHeight="1" x14ac:dyDescent="0.2">
      <c r="D902" s="14"/>
    </row>
    <row r="903" spans="4:4" ht="15.75" customHeight="1" x14ac:dyDescent="0.2">
      <c r="D903" s="14"/>
    </row>
    <row r="904" spans="4:4" ht="15.75" customHeight="1" x14ac:dyDescent="0.2">
      <c r="D904" s="14"/>
    </row>
    <row r="905" spans="4:4" ht="15.75" customHeight="1" x14ac:dyDescent="0.2">
      <c r="D905" s="14"/>
    </row>
    <row r="906" spans="4:4" ht="15.75" customHeight="1" x14ac:dyDescent="0.2">
      <c r="D906" s="14"/>
    </row>
    <row r="907" spans="4:4" ht="15.75" customHeight="1" x14ac:dyDescent="0.2">
      <c r="D907" s="14"/>
    </row>
    <row r="908" spans="4:4" ht="15.75" customHeight="1" x14ac:dyDescent="0.2">
      <c r="D908" s="14"/>
    </row>
    <row r="909" spans="4:4" ht="15.75" customHeight="1" x14ac:dyDescent="0.2">
      <c r="D909" s="14"/>
    </row>
    <row r="910" spans="4:4" ht="15.75" customHeight="1" x14ac:dyDescent="0.2">
      <c r="D910" s="14"/>
    </row>
    <row r="911" spans="4:4" ht="15.75" customHeight="1" x14ac:dyDescent="0.2">
      <c r="D911" s="14"/>
    </row>
    <row r="912" spans="4:4" ht="15.75" customHeight="1" x14ac:dyDescent="0.2">
      <c r="D912" s="14"/>
    </row>
    <row r="913" spans="4:4" ht="15.75" customHeight="1" x14ac:dyDescent="0.2">
      <c r="D913" s="14"/>
    </row>
    <row r="914" spans="4:4" ht="15.75" customHeight="1" x14ac:dyDescent="0.2">
      <c r="D914" s="14"/>
    </row>
    <row r="915" spans="4:4" ht="15.75" customHeight="1" x14ac:dyDescent="0.2">
      <c r="D915" s="14"/>
    </row>
    <row r="916" spans="4:4" ht="15.75" customHeight="1" x14ac:dyDescent="0.2">
      <c r="D916" s="14"/>
    </row>
    <row r="917" spans="4:4" ht="15.75" customHeight="1" x14ac:dyDescent="0.2">
      <c r="D917" s="14"/>
    </row>
    <row r="918" spans="4:4" ht="15.75" customHeight="1" x14ac:dyDescent="0.2">
      <c r="D918" s="14"/>
    </row>
    <row r="919" spans="4:4" ht="15.75" customHeight="1" x14ac:dyDescent="0.2">
      <c r="D919" s="14"/>
    </row>
    <row r="920" spans="4:4" ht="15.75" customHeight="1" x14ac:dyDescent="0.2">
      <c r="D920" s="14"/>
    </row>
    <row r="921" spans="4:4" ht="15.75" customHeight="1" x14ac:dyDescent="0.2">
      <c r="D921" s="14"/>
    </row>
    <row r="922" spans="4:4" ht="15.75" customHeight="1" x14ac:dyDescent="0.2">
      <c r="D922" s="14"/>
    </row>
    <row r="923" spans="4:4" ht="15.75" customHeight="1" x14ac:dyDescent="0.2">
      <c r="D923" s="14"/>
    </row>
    <row r="924" spans="4:4" ht="15.75" customHeight="1" x14ac:dyDescent="0.2">
      <c r="D924" s="14"/>
    </row>
    <row r="925" spans="4:4" ht="15.75" customHeight="1" x14ac:dyDescent="0.2">
      <c r="D925" s="14"/>
    </row>
    <row r="926" spans="4:4" ht="15.75" customHeight="1" x14ac:dyDescent="0.2">
      <c r="D926" s="14"/>
    </row>
    <row r="927" spans="4:4" ht="15.75" customHeight="1" x14ac:dyDescent="0.2">
      <c r="D927" s="14"/>
    </row>
    <row r="928" spans="4:4" ht="15.75" customHeight="1" x14ac:dyDescent="0.2">
      <c r="D928" s="14"/>
    </row>
    <row r="929" spans="4:4" ht="15.75" customHeight="1" x14ac:dyDescent="0.2">
      <c r="D929" s="14"/>
    </row>
    <row r="930" spans="4:4" ht="15.75" customHeight="1" x14ac:dyDescent="0.2">
      <c r="D930" s="14"/>
    </row>
    <row r="931" spans="4:4" ht="15.75" customHeight="1" x14ac:dyDescent="0.2">
      <c r="D931" s="14"/>
    </row>
    <row r="932" spans="4:4" ht="15.75" customHeight="1" x14ac:dyDescent="0.2">
      <c r="D932" s="14"/>
    </row>
    <row r="933" spans="4:4" ht="15.75" customHeight="1" x14ac:dyDescent="0.2">
      <c r="D933" s="14"/>
    </row>
    <row r="934" spans="4:4" ht="15.75" customHeight="1" x14ac:dyDescent="0.2">
      <c r="D934" s="14"/>
    </row>
    <row r="935" spans="4:4" ht="15.75" customHeight="1" x14ac:dyDescent="0.2">
      <c r="D935" s="14"/>
    </row>
    <row r="936" spans="4:4" ht="15.75" customHeight="1" x14ac:dyDescent="0.2">
      <c r="D936" s="14"/>
    </row>
    <row r="937" spans="4:4" ht="15.75" customHeight="1" x14ac:dyDescent="0.2">
      <c r="D937" s="14"/>
    </row>
    <row r="938" spans="4:4" ht="15.75" customHeight="1" x14ac:dyDescent="0.2">
      <c r="D938" s="14"/>
    </row>
    <row r="939" spans="4:4" ht="15.75" customHeight="1" x14ac:dyDescent="0.2">
      <c r="D939" s="14"/>
    </row>
    <row r="940" spans="4:4" ht="15.75" customHeight="1" x14ac:dyDescent="0.2">
      <c r="D940" s="14"/>
    </row>
    <row r="941" spans="4:4" ht="15.75" customHeight="1" x14ac:dyDescent="0.2">
      <c r="D941" s="14"/>
    </row>
    <row r="942" spans="4:4" ht="15.75" customHeight="1" x14ac:dyDescent="0.2">
      <c r="D942" s="14"/>
    </row>
    <row r="943" spans="4:4" ht="15.75" customHeight="1" x14ac:dyDescent="0.2">
      <c r="D943" s="14"/>
    </row>
    <row r="944" spans="4:4" ht="15.75" customHeight="1" x14ac:dyDescent="0.2">
      <c r="D944" s="14"/>
    </row>
    <row r="945" spans="4:4" ht="15.75" customHeight="1" x14ac:dyDescent="0.2">
      <c r="D945" s="14"/>
    </row>
    <row r="946" spans="4:4" ht="15.75" customHeight="1" x14ac:dyDescent="0.2">
      <c r="D946" s="14"/>
    </row>
    <row r="947" spans="4:4" ht="15.75" customHeight="1" x14ac:dyDescent="0.2">
      <c r="D947" s="14"/>
    </row>
    <row r="948" spans="4:4" ht="15.75" customHeight="1" x14ac:dyDescent="0.2">
      <c r="D948" s="14"/>
    </row>
    <row r="949" spans="4:4" ht="15.75" customHeight="1" x14ac:dyDescent="0.2">
      <c r="D949" s="14"/>
    </row>
    <row r="950" spans="4:4" ht="15.75" customHeight="1" x14ac:dyDescent="0.2">
      <c r="D950" s="14"/>
    </row>
    <row r="951" spans="4:4" ht="15.75" customHeight="1" x14ac:dyDescent="0.2">
      <c r="D951" s="14"/>
    </row>
    <row r="952" spans="4:4" ht="15.75" customHeight="1" x14ac:dyDescent="0.2">
      <c r="D952" s="14"/>
    </row>
    <row r="953" spans="4:4" ht="15.75" customHeight="1" x14ac:dyDescent="0.2">
      <c r="D953" s="14"/>
    </row>
    <row r="954" spans="4:4" ht="15.75" customHeight="1" x14ac:dyDescent="0.2">
      <c r="D954" s="14"/>
    </row>
    <row r="955" spans="4:4" ht="15.75" customHeight="1" x14ac:dyDescent="0.2">
      <c r="D955" s="14"/>
    </row>
    <row r="956" spans="4:4" ht="15.75" customHeight="1" x14ac:dyDescent="0.2">
      <c r="D956" s="14"/>
    </row>
    <row r="957" spans="4:4" ht="15.75" customHeight="1" x14ac:dyDescent="0.2">
      <c r="D957" s="14"/>
    </row>
    <row r="958" spans="4:4" ht="15.75" customHeight="1" x14ac:dyDescent="0.2">
      <c r="D958" s="14"/>
    </row>
    <row r="959" spans="4:4" ht="15.75" customHeight="1" x14ac:dyDescent="0.2">
      <c r="D959" s="14"/>
    </row>
    <row r="960" spans="4:4" ht="15.75" customHeight="1" x14ac:dyDescent="0.2">
      <c r="D960" s="14"/>
    </row>
    <row r="961" spans="4:4" ht="15.75" customHeight="1" x14ac:dyDescent="0.2">
      <c r="D961" s="14"/>
    </row>
    <row r="962" spans="4:4" ht="15.75" customHeight="1" x14ac:dyDescent="0.2">
      <c r="D962" s="14"/>
    </row>
    <row r="963" spans="4:4" ht="15.75" customHeight="1" x14ac:dyDescent="0.2">
      <c r="D963" s="14"/>
    </row>
    <row r="964" spans="4:4" ht="15.75" customHeight="1" x14ac:dyDescent="0.2">
      <c r="D964" s="14"/>
    </row>
    <row r="965" spans="4:4" ht="15.75" customHeight="1" x14ac:dyDescent="0.2">
      <c r="D965" s="14"/>
    </row>
    <row r="966" spans="4:4" ht="15.75" customHeight="1" x14ac:dyDescent="0.2">
      <c r="D966" s="14"/>
    </row>
    <row r="967" spans="4:4" ht="15.75" customHeight="1" x14ac:dyDescent="0.2">
      <c r="D967" s="14"/>
    </row>
    <row r="968" spans="4:4" ht="15.75" customHeight="1" x14ac:dyDescent="0.2">
      <c r="D968" s="14"/>
    </row>
    <row r="969" spans="4:4" ht="15.75" customHeight="1" x14ac:dyDescent="0.2">
      <c r="D969" s="14"/>
    </row>
    <row r="970" spans="4:4" ht="15.75" customHeight="1" x14ac:dyDescent="0.2">
      <c r="D970" s="14"/>
    </row>
    <row r="971" spans="4:4" ht="15.75" customHeight="1" x14ac:dyDescent="0.2">
      <c r="D971" s="14"/>
    </row>
    <row r="972" spans="4:4" ht="15.75" customHeight="1" x14ac:dyDescent="0.2">
      <c r="D972" s="14"/>
    </row>
    <row r="973" spans="4:4" ht="15.75" customHeight="1" x14ac:dyDescent="0.2">
      <c r="D973" s="14"/>
    </row>
    <row r="974" spans="4:4" ht="15.75" customHeight="1" x14ac:dyDescent="0.2">
      <c r="D974" s="14"/>
    </row>
    <row r="975" spans="4:4" ht="15.75" customHeight="1" x14ac:dyDescent="0.2">
      <c r="D975" s="14"/>
    </row>
    <row r="976" spans="4:4" ht="15.75" customHeight="1" x14ac:dyDescent="0.2">
      <c r="D976" s="14"/>
    </row>
    <row r="977" spans="4:4" ht="15.75" customHeight="1" x14ac:dyDescent="0.2">
      <c r="D977" s="14"/>
    </row>
    <row r="978" spans="4:4" ht="15.75" customHeight="1" x14ac:dyDescent="0.2">
      <c r="D978" s="14"/>
    </row>
    <row r="979" spans="4:4" ht="15.75" customHeight="1" x14ac:dyDescent="0.2">
      <c r="D979" s="14"/>
    </row>
    <row r="980" spans="4:4" ht="15.75" customHeight="1" x14ac:dyDescent="0.2">
      <c r="D980" s="14"/>
    </row>
    <row r="981" spans="4:4" ht="15.75" customHeight="1" x14ac:dyDescent="0.2">
      <c r="D981" s="14"/>
    </row>
    <row r="982" spans="4:4" ht="15.75" customHeight="1" x14ac:dyDescent="0.2">
      <c r="D982" s="14"/>
    </row>
    <row r="983" spans="4:4" ht="15.75" customHeight="1" x14ac:dyDescent="0.2">
      <c r="D983" s="14"/>
    </row>
    <row r="984" spans="4:4" ht="15.75" customHeight="1" x14ac:dyDescent="0.2">
      <c r="D984" s="14"/>
    </row>
    <row r="985" spans="4:4" ht="15.75" customHeight="1" x14ac:dyDescent="0.2">
      <c r="D985" s="14"/>
    </row>
    <row r="986" spans="4:4" ht="15.75" customHeight="1" x14ac:dyDescent="0.2">
      <c r="D986" s="14"/>
    </row>
    <row r="987" spans="4:4" ht="15.75" customHeight="1" x14ac:dyDescent="0.2">
      <c r="D987" s="14"/>
    </row>
    <row r="988" spans="4:4" ht="15.75" customHeight="1" x14ac:dyDescent="0.2">
      <c r="D988" s="14"/>
    </row>
    <row r="989" spans="4:4" ht="15.75" customHeight="1" x14ac:dyDescent="0.2">
      <c r="D989" s="14"/>
    </row>
    <row r="990" spans="4:4" ht="15.75" customHeight="1" x14ac:dyDescent="0.2">
      <c r="D990" s="14"/>
    </row>
    <row r="991" spans="4:4" ht="15.75" customHeight="1" x14ac:dyDescent="0.2">
      <c r="D991" s="14"/>
    </row>
    <row r="992" spans="4:4" ht="15.75" customHeight="1" x14ac:dyDescent="0.2">
      <c r="D992" s="14"/>
    </row>
    <row r="993" spans="4:4" ht="15.75" customHeight="1" x14ac:dyDescent="0.2">
      <c r="D993" s="14"/>
    </row>
    <row r="994" spans="4:4" ht="15.75" customHeight="1" x14ac:dyDescent="0.2">
      <c r="D994" s="14"/>
    </row>
    <row r="995" spans="4:4" ht="15.75" customHeight="1" x14ac:dyDescent="0.2">
      <c r="D995" s="14"/>
    </row>
    <row r="996" spans="4:4" ht="15.75" customHeight="1" x14ac:dyDescent="0.2">
      <c r="D996" s="14"/>
    </row>
    <row r="997" spans="4:4" ht="15.75" customHeight="1" x14ac:dyDescent="0.2">
      <c r="D997" s="14"/>
    </row>
    <row r="998" spans="4:4" ht="15.75" customHeight="1" x14ac:dyDescent="0.2">
      <c r="D998" s="14"/>
    </row>
    <row r="999" spans="4:4" ht="15.75" customHeight="1" x14ac:dyDescent="0.2">
      <c r="D999" s="14"/>
    </row>
    <row r="1000" spans="4:4" ht="15.75" customHeight="1" x14ac:dyDescent="0.2">
      <c r="D1000" s="14"/>
    </row>
  </sheetData>
  <autoFilter ref="A1:J83" xr:uid="{00000000-0009-0000-0000-00000E000000}">
    <filterColumn colId="3">
      <filters>
        <filter val="NT Church History / Life of Christ"/>
      </filters>
    </filterColumn>
  </autoFilter>
  <pageMargins left="0.7" right="0.7" top="0.75" bottom="0.75" header="0" footer="0"/>
  <pageSetup paperSize="9"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theme="4"/>
  </sheetPr>
  <dimension ref="A1:T1000"/>
  <sheetViews>
    <sheetView tabSelected="1" zoomScale="115" workbookViewId="0">
      <pane xSplit="3" ySplit="1" topLeftCell="D82" activePane="bottomRight" state="frozen"/>
      <selection pane="topRight" activeCell="D1" sqref="D1"/>
      <selection pane="bottomLeft" activeCell="A2" sqref="A2"/>
      <selection pane="bottomRight" activeCell="M93" sqref="M93"/>
    </sheetView>
  </sheetViews>
  <sheetFormatPr baseColWidth="10" defaultColWidth="14.5" defaultRowHeight="15" customHeight="1" x14ac:dyDescent="0.2"/>
  <cols>
    <col min="1" max="1" width="5.33203125" customWidth="1"/>
    <col min="2" max="2" width="14" customWidth="1"/>
    <col min="3" max="3" width="35.6640625" customWidth="1"/>
    <col min="4" max="4" width="30.5" customWidth="1"/>
    <col min="5" max="5" width="7.83203125" customWidth="1"/>
    <col min="6" max="6" width="9.33203125" customWidth="1"/>
    <col min="7" max="9" width="6.33203125" customWidth="1"/>
    <col min="10" max="10" width="7" customWidth="1"/>
    <col min="11" max="12" width="14.5" customWidth="1"/>
    <col min="13" max="13" width="33.6640625" customWidth="1"/>
    <col min="14" max="15" width="11.5" customWidth="1"/>
    <col min="16" max="16" width="21.6640625" customWidth="1"/>
    <col min="17" max="17" width="17.83203125" customWidth="1"/>
    <col min="18" max="18" width="30.6640625" customWidth="1"/>
    <col min="19" max="19" width="14.1640625" customWidth="1"/>
    <col min="20" max="26" width="11.5" customWidth="1"/>
  </cols>
  <sheetData>
    <row r="1" spans="1:20" ht="48" x14ac:dyDescent="0.2">
      <c r="A1" s="13" t="s">
        <v>56</v>
      </c>
      <c r="B1" s="13" t="s">
        <v>354</v>
      </c>
      <c r="C1" s="13" t="s">
        <v>3</v>
      </c>
      <c r="D1" s="13" t="s">
        <v>459</v>
      </c>
      <c r="E1" s="13" t="s">
        <v>460</v>
      </c>
      <c r="F1" s="17" t="s">
        <v>461</v>
      </c>
      <c r="G1" s="17" t="s">
        <v>462</v>
      </c>
      <c r="H1" s="17" t="s">
        <v>463</v>
      </c>
      <c r="I1" s="17" t="s">
        <v>413</v>
      </c>
      <c r="J1" s="13" t="s">
        <v>464</v>
      </c>
      <c r="K1" s="13" t="s">
        <v>465</v>
      </c>
      <c r="L1" s="13" t="s">
        <v>466</v>
      </c>
      <c r="M1" s="13" t="s">
        <v>239</v>
      </c>
      <c r="N1" s="18" t="s">
        <v>467</v>
      </c>
      <c r="O1" s="13" t="s">
        <v>412</v>
      </c>
      <c r="P1" s="13" t="s">
        <v>468</v>
      </c>
      <c r="Q1" s="13" t="s">
        <v>469</v>
      </c>
      <c r="R1" s="13" t="s">
        <v>58</v>
      </c>
      <c r="S1" s="13" t="s">
        <v>470</v>
      </c>
      <c r="T1" s="13" t="s">
        <v>112</v>
      </c>
    </row>
    <row r="2" spans="1:20" hidden="1" x14ac:dyDescent="0.2">
      <c r="A2" s="2">
        <v>1</v>
      </c>
      <c r="C2" s="2" t="s">
        <v>471</v>
      </c>
      <c r="E2" s="2">
        <v>0</v>
      </c>
      <c r="F2" s="2">
        <v>1</v>
      </c>
      <c r="G2" s="2">
        <v>12</v>
      </c>
      <c r="H2" s="2">
        <f t="shared" ref="H2:H128" si="0">G2-F2+1</f>
        <v>12</v>
      </c>
      <c r="I2" s="2">
        <v>12</v>
      </c>
      <c r="J2" s="2">
        <v>1</v>
      </c>
      <c r="K2" s="2" t="str">
        <f>VLOOKUP(J2, Subject!$A$2:$B$15, 2, FALSE)</f>
        <v>Maths</v>
      </c>
      <c r="L2" s="2" t="str">
        <f>VLOOKUP(J2, Subject!$A$2:$E$11, 5, FALSE)</f>
        <v>MA</v>
      </c>
      <c r="N2" s="2" t="s">
        <v>472</v>
      </c>
      <c r="O2" s="2">
        <v>2</v>
      </c>
      <c r="P2" s="2" t="str">
        <f>VLOOKUP(O2, SubjectGroup!$A$2:$B$8, 2, FALSE)</f>
        <v>Core Academic Studies</v>
      </c>
      <c r="Q2" s="2" t="s">
        <v>473</v>
      </c>
      <c r="R2" s="2" t="str">
        <f t="shared" ref="R2:R57" si="1">C2</f>
        <v>Maths Reading Readiness</v>
      </c>
      <c r="S2" s="2">
        <v>0.8</v>
      </c>
    </row>
    <row r="3" spans="1:20" hidden="1" x14ac:dyDescent="0.2">
      <c r="A3" s="2">
        <v>2</v>
      </c>
      <c r="C3" s="2" t="s">
        <v>474</v>
      </c>
      <c r="E3" s="2">
        <v>1</v>
      </c>
      <c r="F3" s="2">
        <v>1</v>
      </c>
      <c r="G3" s="2">
        <v>12</v>
      </c>
      <c r="H3" s="2">
        <f t="shared" si="0"/>
        <v>12</v>
      </c>
      <c r="I3" s="2">
        <v>12</v>
      </c>
      <c r="J3" s="2">
        <v>1</v>
      </c>
      <c r="K3" s="2" t="str">
        <f>VLOOKUP(J3, Subject!$A$2:$B$15, 2, FALSE)</f>
        <v>Maths</v>
      </c>
      <c r="L3" s="2" t="str">
        <f>VLOOKUP(J3, Subject!$A$2:$E$11, 5, FALSE)</f>
        <v>MA</v>
      </c>
      <c r="N3" s="2" t="s">
        <v>369</v>
      </c>
      <c r="O3" s="2">
        <v>2</v>
      </c>
      <c r="P3" s="2" t="str">
        <f>VLOOKUP(O3, SubjectGroup!$A$2:$B$8, 2, FALSE)</f>
        <v>Core Academic Studies</v>
      </c>
      <c r="Q3" s="2" t="s">
        <v>473</v>
      </c>
      <c r="R3" s="2" t="str">
        <f t="shared" si="1"/>
        <v>Maths Level 1</v>
      </c>
      <c r="S3" s="2">
        <v>0.8</v>
      </c>
    </row>
    <row r="4" spans="1:20" hidden="1" x14ac:dyDescent="0.2">
      <c r="A4" s="2">
        <v>3</v>
      </c>
      <c r="C4" s="2" t="s">
        <v>475</v>
      </c>
      <c r="E4" s="2">
        <v>1</v>
      </c>
      <c r="F4" s="2">
        <v>1</v>
      </c>
      <c r="G4" s="2">
        <v>12</v>
      </c>
      <c r="H4" s="2">
        <f t="shared" si="0"/>
        <v>12</v>
      </c>
      <c r="I4" s="2">
        <v>12</v>
      </c>
      <c r="J4" s="2">
        <v>2</v>
      </c>
      <c r="K4" s="2" t="str">
        <f>VLOOKUP(J4, Subject!$A$2:$B$15, 2, FALSE)</f>
        <v>Language</v>
      </c>
      <c r="L4" s="2" t="str">
        <f>VLOOKUP(J4, Subject!$A$2:$E$11, 5, FALSE)</f>
        <v>LA</v>
      </c>
      <c r="N4" s="2" t="s">
        <v>476</v>
      </c>
      <c r="O4" s="2">
        <v>2</v>
      </c>
      <c r="P4" s="2" t="str">
        <f>VLOOKUP(O4, SubjectGroup!$A$2:$B$8, 2, FALSE)</f>
        <v>Core Academic Studies</v>
      </c>
      <c r="Q4" s="2" t="s">
        <v>473</v>
      </c>
      <c r="R4" s="2" t="str">
        <f t="shared" si="1"/>
        <v>English Level 1</v>
      </c>
      <c r="S4" s="2">
        <v>0.8</v>
      </c>
    </row>
    <row r="5" spans="1:20" hidden="1" x14ac:dyDescent="0.2">
      <c r="A5" s="2">
        <v>4</v>
      </c>
      <c r="C5" s="2" t="s">
        <v>477</v>
      </c>
      <c r="E5" s="2">
        <v>1</v>
      </c>
      <c r="F5" s="2">
        <v>1</v>
      </c>
      <c r="G5" s="2">
        <v>12</v>
      </c>
      <c r="H5" s="2">
        <f t="shared" si="0"/>
        <v>12</v>
      </c>
      <c r="I5" s="2">
        <v>12</v>
      </c>
      <c r="J5" s="2">
        <v>3</v>
      </c>
      <c r="K5" s="2" t="str">
        <f>VLOOKUP(J5, Subject!$A$2:$B$15, 2, FALSE)</f>
        <v>Word Building</v>
      </c>
      <c r="L5" s="2" t="str">
        <f>VLOOKUP(J5, Subject!$A$2:$E$11, 5, FALSE)</f>
        <v>WB</v>
      </c>
      <c r="N5" s="2" t="s">
        <v>373</v>
      </c>
      <c r="O5" s="2">
        <v>2</v>
      </c>
      <c r="P5" s="2" t="str">
        <f>VLOOKUP(O5, SubjectGroup!$A$2:$B$8, 2, FALSE)</f>
        <v>Core Academic Studies</v>
      </c>
      <c r="Q5" s="2" t="s">
        <v>473</v>
      </c>
      <c r="R5" s="2" t="str">
        <f t="shared" si="1"/>
        <v>Word Building Level 1</v>
      </c>
      <c r="S5" s="2">
        <v>0.9</v>
      </c>
    </row>
    <row r="6" spans="1:20" hidden="1" x14ac:dyDescent="0.2">
      <c r="A6" s="2">
        <v>5</v>
      </c>
      <c r="C6" s="2" t="s">
        <v>478</v>
      </c>
      <c r="E6" s="2">
        <v>1</v>
      </c>
      <c r="F6" s="2">
        <v>1</v>
      </c>
      <c r="G6" s="2">
        <v>12</v>
      </c>
      <c r="H6" s="2">
        <f t="shared" si="0"/>
        <v>12</v>
      </c>
      <c r="I6" s="2">
        <v>12</v>
      </c>
      <c r="J6" s="2">
        <v>4</v>
      </c>
      <c r="K6" s="2" t="str">
        <f>VLOOKUP(J6, Subject!$A$2:$B$15, 2, FALSE)</f>
        <v>Literature</v>
      </c>
      <c r="L6" s="2" t="str">
        <f>VLOOKUP(J6, Subject!$A$2:$E$11, 5, FALSE)</f>
        <v>LI</v>
      </c>
      <c r="N6" s="2" t="s">
        <v>479</v>
      </c>
      <c r="O6" s="2">
        <v>2</v>
      </c>
      <c r="P6" s="2" t="str">
        <f>VLOOKUP(O6, SubjectGroup!$A$2:$B$8, 2, FALSE)</f>
        <v>Core Academic Studies</v>
      </c>
      <c r="Q6" s="2" t="s">
        <v>473</v>
      </c>
      <c r="R6" s="2" t="str">
        <f t="shared" si="1"/>
        <v>Literature and Creative Writing Level 1</v>
      </c>
      <c r="S6" s="2">
        <v>0.8</v>
      </c>
    </row>
    <row r="7" spans="1:20" hidden="1" x14ac:dyDescent="0.2">
      <c r="A7" s="2">
        <v>6</v>
      </c>
      <c r="B7" s="2" t="s">
        <v>480</v>
      </c>
      <c r="C7" s="2" t="s">
        <v>481</v>
      </c>
      <c r="E7" s="2">
        <v>1</v>
      </c>
      <c r="F7" s="2">
        <v>1</v>
      </c>
      <c r="G7" s="2">
        <v>12</v>
      </c>
      <c r="H7" s="2">
        <f t="shared" si="0"/>
        <v>12</v>
      </c>
      <c r="I7" s="2">
        <v>12</v>
      </c>
      <c r="J7" s="2">
        <v>5</v>
      </c>
      <c r="K7" s="2" t="str">
        <f>VLOOKUP(J7, Subject!$A$2:$B$15, 2, FALSE)</f>
        <v>Science</v>
      </c>
      <c r="L7" s="2" t="str">
        <f>VLOOKUP(J7, Subject!$A$2:$E$11, 5, FALSE)</f>
        <v>SC</v>
      </c>
      <c r="N7" s="2" t="s">
        <v>377</v>
      </c>
      <c r="O7" s="2">
        <v>2</v>
      </c>
      <c r="P7" s="2" t="str">
        <f>VLOOKUP(O7, SubjectGroup!$A$2:$B$8, 2, FALSE)</f>
        <v>Core Academic Studies</v>
      </c>
      <c r="Q7" s="2" t="s">
        <v>473</v>
      </c>
      <c r="R7" s="2" t="str">
        <f t="shared" si="1"/>
        <v>Science Level 1</v>
      </c>
      <c r="S7" s="2">
        <v>0.8</v>
      </c>
    </row>
    <row r="8" spans="1:20" hidden="1" x14ac:dyDescent="0.2">
      <c r="A8" s="2">
        <v>7</v>
      </c>
      <c r="C8" s="2" t="s">
        <v>482</v>
      </c>
      <c r="E8" s="2">
        <v>1</v>
      </c>
      <c r="F8" s="2">
        <v>1</v>
      </c>
      <c r="G8" s="2">
        <v>12</v>
      </c>
      <c r="H8" s="2">
        <f t="shared" si="0"/>
        <v>12</v>
      </c>
      <c r="I8" s="2">
        <v>12</v>
      </c>
      <c r="J8" s="2">
        <v>6</v>
      </c>
      <c r="K8" s="2" t="str">
        <f>VLOOKUP(J8, Subject!$A$2:$B$15, 2, FALSE)</f>
        <v>Social Studies</v>
      </c>
      <c r="L8" s="2" t="str">
        <f>VLOOKUP(J8, Subject!$A$2:$E$11, 5, FALSE)</f>
        <v>SS</v>
      </c>
      <c r="M8" s="14"/>
      <c r="N8" s="2" t="s">
        <v>379</v>
      </c>
      <c r="O8" s="2">
        <v>2</v>
      </c>
      <c r="P8" s="2" t="str">
        <f>VLOOKUP(O8, SubjectGroup!$A$2:$B$8, 2, FALSE)</f>
        <v>Core Academic Studies</v>
      </c>
      <c r="Q8" s="2" t="s">
        <v>473</v>
      </c>
      <c r="R8" s="2" t="str">
        <f t="shared" si="1"/>
        <v>Social Studies Level 1</v>
      </c>
      <c r="S8" s="2">
        <v>0.8</v>
      </c>
    </row>
    <row r="9" spans="1:20" hidden="1" x14ac:dyDescent="0.2">
      <c r="A9" s="2">
        <v>8</v>
      </c>
      <c r="C9" s="2" t="s">
        <v>483</v>
      </c>
      <c r="E9" s="2">
        <v>1</v>
      </c>
      <c r="F9" s="2">
        <v>1</v>
      </c>
      <c r="G9" s="2">
        <v>12</v>
      </c>
      <c r="H9" s="2">
        <f t="shared" si="0"/>
        <v>12</v>
      </c>
      <c r="I9" s="2">
        <v>12</v>
      </c>
      <c r="J9" s="2">
        <v>7</v>
      </c>
      <c r="K9" s="2" t="str">
        <f>VLOOKUP(J9, Subject!$A$2:$B$15, 2, FALSE)</f>
        <v>Biblical Studies</v>
      </c>
      <c r="L9" s="2" t="str">
        <f>VLOOKUP(J9, Subject!$A$2:$E$11, 5, FALSE)</f>
        <v>BS</v>
      </c>
      <c r="N9" s="2" t="s">
        <v>484</v>
      </c>
      <c r="O9" s="2">
        <v>1</v>
      </c>
      <c r="P9" s="2" t="str">
        <f>VLOOKUP(O9, SubjectGroup!$A$2:$B$8, 2, FALSE)</f>
        <v>Christian Studies</v>
      </c>
      <c r="Q9" s="2" t="s">
        <v>473</v>
      </c>
      <c r="R9" s="2" t="str">
        <f t="shared" si="1"/>
        <v>Bible Reading Level 1</v>
      </c>
      <c r="S9" s="2">
        <v>0.8</v>
      </c>
    </row>
    <row r="10" spans="1:20" hidden="1" x14ac:dyDescent="0.2">
      <c r="A10" s="2">
        <v>9</v>
      </c>
      <c r="C10" s="2" t="s">
        <v>485</v>
      </c>
      <c r="E10" s="2">
        <v>2</v>
      </c>
      <c r="F10" s="2">
        <v>13</v>
      </c>
      <c r="G10" s="2">
        <v>24</v>
      </c>
      <c r="H10" s="2">
        <f t="shared" si="0"/>
        <v>12</v>
      </c>
      <c r="I10" s="2">
        <v>12</v>
      </c>
      <c r="J10" s="2">
        <v>1</v>
      </c>
      <c r="K10" s="2" t="str">
        <f>VLOOKUP(J10, Subject!$A$2:$B$15, 2, FALSE)</f>
        <v>Maths</v>
      </c>
      <c r="L10" s="2" t="str">
        <f>VLOOKUP(J10, Subject!$A$2:$E$11, 5, FALSE)</f>
        <v>MA</v>
      </c>
      <c r="N10" s="2" t="s">
        <v>369</v>
      </c>
      <c r="O10" s="2">
        <v>2</v>
      </c>
      <c r="P10" s="2" t="str">
        <f>VLOOKUP(O10, SubjectGroup!$A$2:$B$8, 2, FALSE)</f>
        <v>Core Academic Studies</v>
      </c>
      <c r="Q10" s="2" t="s">
        <v>473</v>
      </c>
      <c r="R10" s="2" t="str">
        <f t="shared" si="1"/>
        <v>Maths Level 2</v>
      </c>
      <c r="S10" s="2">
        <v>0.8</v>
      </c>
    </row>
    <row r="11" spans="1:20" hidden="1" x14ac:dyDescent="0.2">
      <c r="A11" s="2">
        <v>10</v>
      </c>
      <c r="C11" s="2" t="s">
        <v>486</v>
      </c>
      <c r="E11" s="2">
        <v>2</v>
      </c>
      <c r="F11" s="2">
        <v>13</v>
      </c>
      <c r="G11" s="2">
        <v>24</v>
      </c>
      <c r="H11" s="2">
        <f t="shared" si="0"/>
        <v>12</v>
      </c>
      <c r="I11" s="2">
        <v>12</v>
      </c>
      <c r="J11" s="2">
        <v>2</v>
      </c>
      <c r="K11" s="2" t="str">
        <f>VLOOKUP(J11, Subject!$A$2:$B$15, 2, FALSE)</f>
        <v>Language</v>
      </c>
      <c r="L11" s="2" t="str">
        <f>VLOOKUP(J11, Subject!$A$2:$E$11, 5, FALSE)</f>
        <v>LA</v>
      </c>
      <c r="N11" s="2" t="s">
        <v>476</v>
      </c>
      <c r="O11" s="2">
        <v>2</v>
      </c>
      <c r="P11" s="2" t="str">
        <f>VLOOKUP(O11, SubjectGroup!$A$2:$B$8, 2, FALSE)</f>
        <v>Core Academic Studies</v>
      </c>
      <c r="Q11" s="2" t="s">
        <v>473</v>
      </c>
      <c r="R11" s="2" t="str">
        <f t="shared" si="1"/>
        <v>English Level 2</v>
      </c>
      <c r="S11" s="2">
        <v>0.8</v>
      </c>
    </row>
    <row r="12" spans="1:20" hidden="1" x14ac:dyDescent="0.2">
      <c r="A12" s="2">
        <v>11</v>
      </c>
      <c r="C12" s="2" t="s">
        <v>487</v>
      </c>
      <c r="E12" s="2">
        <v>2</v>
      </c>
      <c r="F12" s="2">
        <v>13</v>
      </c>
      <c r="G12" s="2">
        <v>24</v>
      </c>
      <c r="H12" s="2">
        <f t="shared" si="0"/>
        <v>12</v>
      </c>
      <c r="I12" s="2">
        <v>12</v>
      </c>
      <c r="J12" s="2">
        <v>3</v>
      </c>
      <c r="K12" s="2" t="str">
        <f>VLOOKUP(J12, Subject!$A$2:$B$15, 2, FALSE)</f>
        <v>Word Building</v>
      </c>
      <c r="L12" s="2" t="str">
        <f>VLOOKUP(J12, Subject!$A$2:$E$11, 5, FALSE)</f>
        <v>WB</v>
      </c>
      <c r="N12" s="2" t="s">
        <v>373</v>
      </c>
      <c r="O12" s="2">
        <v>2</v>
      </c>
      <c r="P12" s="2" t="str">
        <f>VLOOKUP(O12, SubjectGroup!$A$2:$B$8, 2, FALSE)</f>
        <v>Core Academic Studies</v>
      </c>
      <c r="Q12" s="2" t="s">
        <v>473</v>
      </c>
      <c r="R12" s="2" t="str">
        <f t="shared" si="1"/>
        <v>Word Building Level 2</v>
      </c>
      <c r="S12" s="2">
        <v>0.9</v>
      </c>
    </row>
    <row r="13" spans="1:20" hidden="1" x14ac:dyDescent="0.2">
      <c r="A13" s="2">
        <v>12</v>
      </c>
      <c r="C13" s="2" t="s">
        <v>488</v>
      </c>
      <c r="E13" s="2">
        <v>2</v>
      </c>
      <c r="F13" s="2">
        <v>13</v>
      </c>
      <c r="G13" s="2">
        <v>24</v>
      </c>
      <c r="H13" s="2">
        <f t="shared" si="0"/>
        <v>12</v>
      </c>
      <c r="I13" s="2">
        <v>12</v>
      </c>
      <c r="J13" s="2">
        <v>4</v>
      </c>
      <c r="K13" s="2" t="str">
        <f>VLOOKUP(J13, Subject!$A$2:$B$15, 2, FALSE)</f>
        <v>Literature</v>
      </c>
      <c r="L13" s="2" t="str">
        <f>VLOOKUP(J13, Subject!$A$2:$E$11, 5, FALSE)</f>
        <v>LI</v>
      </c>
      <c r="N13" s="2" t="s">
        <v>479</v>
      </c>
      <c r="O13" s="2">
        <v>2</v>
      </c>
      <c r="P13" s="2" t="str">
        <f>VLOOKUP(O13, SubjectGroup!$A$2:$B$8, 2, FALSE)</f>
        <v>Core Academic Studies</v>
      </c>
      <c r="Q13" s="2" t="s">
        <v>473</v>
      </c>
      <c r="R13" s="2" t="str">
        <f t="shared" si="1"/>
        <v>Literature and Creative Writing Level 2</v>
      </c>
      <c r="S13" s="2">
        <v>0.8</v>
      </c>
    </row>
    <row r="14" spans="1:20" hidden="1" x14ac:dyDescent="0.2">
      <c r="A14" s="2">
        <v>13</v>
      </c>
      <c r="B14" s="2" t="s">
        <v>489</v>
      </c>
      <c r="C14" s="2" t="s">
        <v>490</v>
      </c>
      <c r="E14" s="2">
        <v>2</v>
      </c>
      <c r="F14" s="2">
        <v>13</v>
      </c>
      <c r="G14" s="2">
        <v>24</v>
      </c>
      <c r="H14" s="2">
        <f t="shared" si="0"/>
        <v>12</v>
      </c>
      <c r="I14" s="2">
        <v>12</v>
      </c>
      <c r="J14" s="2">
        <v>5</v>
      </c>
      <c r="K14" s="2" t="str">
        <f>VLOOKUP(J14, Subject!$A$2:$B$15, 2, FALSE)</f>
        <v>Science</v>
      </c>
      <c r="L14" s="2" t="str">
        <f>VLOOKUP(J14, Subject!$A$2:$E$11, 5, FALSE)</f>
        <v>SC</v>
      </c>
      <c r="N14" s="2" t="s">
        <v>377</v>
      </c>
      <c r="O14" s="2">
        <v>2</v>
      </c>
      <c r="P14" s="2" t="str">
        <f>VLOOKUP(O14, SubjectGroup!$A$2:$B$8, 2, FALSE)</f>
        <v>Core Academic Studies</v>
      </c>
      <c r="Q14" s="2" t="s">
        <v>473</v>
      </c>
      <c r="R14" s="2" t="str">
        <f t="shared" si="1"/>
        <v>Science Level 2</v>
      </c>
      <c r="S14" s="2">
        <v>0.8</v>
      </c>
    </row>
    <row r="15" spans="1:20" hidden="1" x14ac:dyDescent="0.2">
      <c r="A15" s="2">
        <v>14</v>
      </c>
      <c r="C15" s="2" t="s">
        <v>491</v>
      </c>
      <c r="E15" s="2">
        <v>2</v>
      </c>
      <c r="F15" s="2">
        <v>13</v>
      </c>
      <c r="G15" s="2">
        <v>24</v>
      </c>
      <c r="H15" s="2">
        <f t="shared" si="0"/>
        <v>12</v>
      </c>
      <c r="I15" s="2">
        <v>12</v>
      </c>
      <c r="J15" s="2">
        <v>6</v>
      </c>
      <c r="K15" s="2" t="str">
        <f>VLOOKUP(J15, Subject!$A$2:$B$15, 2, FALSE)</f>
        <v>Social Studies</v>
      </c>
      <c r="L15" s="2" t="str">
        <f>VLOOKUP(J15, Subject!$A$2:$E$11, 5, FALSE)</f>
        <v>SS</v>
      </c>
      <c r="M15" s="14"/>
      <c r="N15" s="2" t="s">
        <v>379</v>
      </c>
      <c r="O15" s="2">
        <v>2</v>
      </c>
      <c r="P15" s="2" t="str">
        <f>VLOOKUP(O15, SubjectGroup!$A$2:$B$8, 2, FALSE)</f>
        <v>Core Academic Studies</v>
      </c>
      <c r="Q15" s="2" t="s">
        <v>473</v>
      </c>
      <c r="R15" s="2" t="str">
        <f t="shared" si="1"/>
        <v>Social Studies Level 2</v>
      </c>
      <c r="S15" s="2">
        <v>0.8</v>
      </c>
    </row>
    <row r="16" spans="1:20" hidden="1" x14ac:dyDescent="0.2">
      <c r="A16" s="2">
        <v>15</v>
      </c>
      <c r="C16" s="2" t="s">
        <v>492</v>
      </c>
      <c r="E16" s="2">
        <v>2</v>
      </c>
      <c r="F16" s="2">
        <v>13</v>
      </c>
      <c r="G16" s="2">
        <v>24</v>
      </c>
      <c r="H16" s="2">
        <f t="shared" si="0"/>
        <v>12</v>
      </c>
      <c r="I16" s="2">
        <v>12</v>
      </c>
      <c r="J16" s="2">
        <v>7</v>
      </c>
      <c r="K16" s="2" t="str">
        <f>VLOOKUP(J16, Subject!$A$2:$B$15, 2, FALSE)</f>
        <v>Biblical Studies</v>
      </c>
      <c r="L16" s="2" t="str">
        <f>VLOOKUP(J16, Subject!$A$2:$E$11, 5, FALSE)</f>
        <v>BS</v>
      </c>
      <c r="N16" s="2" t="s">
        <v>484</v>
      </c>
      <c r="O16" s="2">
        <v>1</v>
      </c>
      <c r="P16" s="2" t="str">
        <f>VLOOKUP(O16, SubjectGroup!$A$2:$B$8, 2, FALSE)</f>
        <v>Christian Studies</v>
      </c>
      <c r="Q16" s="2" t="s">
        <v>473</v>
      </c>
      <c r="R16" s="2" t="str">
        <f t="shared" si="1"/>
        <v>Bible Reading Level 2</v>
      </c>
      <c r="S16" s="2">
        <v>0.8</v>
      </c>
    </row>
    <row r="17" spans="1:19" hidden="1" x14ac:dyDescent="0.2">
      <c r="A17" s="2">
        <v>16</v>
      </c>
      <c r="C17" s="2" t="s">
        <v>493</v>
      </c>
      <c r="E17" s="2">
        <v>3</v>
      </c>
      <c r="F17" s="2">
        <v>25</v>
      </c>
      <c r="G17" s="2">
        <v>36</v>
      </c>
      <c r="H17" s="2">
        <f t="shared" si="0"/>
        <v>12</v>
      </c>
      <c r="I17" s="2">
        <v>12</v>
      </c>
      <c r="J17" s="2">
        <v>1</v>
      </c>
      <c r="K17" s="2" t="str">
        <f>VLOOKUP(J17, Subject!$A$2:$B$15, 2, FALSE)</f>
        <v>Maths</v>
      </c>
      <c r="L17" s="2" t="str">
        <f>VLOOKUP(J17, Subject!$A$2:$E$11, 5, FALSE)</f>
        <v>MA</v>
      </c>
      <c r="N17" s="2" t="s">
        <v>369</v>
      </c>
      <c r="O17" s="2">
        <v>2</v>
      </c>
      <c r="P17" s="2" t="str">
        <f>VLOOKUP(O17, SubjectGroup!$A$2:$B$8, 2, FALSE)</f>
        <v>Core Academic Studies</v>
      </c>
      <c r="Q17" s="2" t="s">
        <v>473</v>
      </c>
      <c r="R17" s="2" t="str">
        <f t="shared" si="1"/>
        <v>Maths Level 3</v>
      </c>
      <c r="S17" s="2">
        <v>0.8</v>
      </c>
    </row>
    <row r="18" spans="1:19" hidden="1" x14ac:dyDescent="0.2">
      <c r="A18" s="2">
        <v>17</v>
      </c>
      <c r="C18" s="2" t="s">
        <v>494</v>
      </c>
      <c r="E18" s="2">
        <v>3</v>
      </c>
      <c r="F18" s="2">
        <v>25</v>
      </c>
      <c r="G18" s="2">
        <v>36</v>
      </c>
      <c r="H18" s="2">
        <f t="shared" si="0"/>
        <v>12</v>
      </c>
      <c r="I18" s="2">
        <v>12</v>
      </c>
      <c r="J18" s="2">
        <v>2</v>
      </c>
      <c r="K18" s="2" t="str">
        <f>VLOOKUP(J18, Subject!$A$2:$B$15, 2, FALSE)</f>
        <v>Language</v>
      </c>
      <c r="L18" s="2" t="str">
        <f>VLOOKUP(J18, Subject!$A$2:$E$11, 5, FALSE)</f>
        <v>LA</v>
      </c>
      <c r="N18" s="2" t="s">
        <v>476</v>
      </c>
      <c r="O18" s="2">
        <v>2</v>
      </c>
      <c r="P18" s="2" t="str">
        <f>VLOOKUP(O18, SubjectGroup!$A$2:$B$8, 2, FALSE)</f>
        <v>Core Academic Studies</v>
      </c>
      <c r="Q18" s="2" t="s">
        <v>473</v>
      </c>
      <c r="R18" s="2" t="str">
        <f t="shared" si="1"/>
        <v>English Level 3</v>
      </c>
      <c r="S18" s="2">
        <v>0.8</v>
      </c>
    </row>
    <row r="19" spans="1:19" hidden="1" x14ac:dyDescent="0.2">
      <c r="A19" s="2">
        <v>18</v>
      </c>
      <c r="C19" s="2" t="s">
        <v>495</v>
      </c>
      <c r="E19" s="2">
        <v>3</v>
      </c>
      <c r="F19" s="2">
        <v>25</v>
      </c>
      <c r="G19" s="2">
        <v>36</v>
      </c>
      <c r="H19" s="2">
        <f t="shared" si="0"/>
        <v>12</v>
      </c>
      <c r="I19" s="2">
        <v>12</v>
      </c>
      <c r="J19" s="2">
        <v>3</v>
      </c>
      <c r="K19" s="2" t="str">
        <f>VLOOKUP(J19, Subject!$A$2:$B$15, 2, FALSE)</f>
        <v>Word Building</v>
      </c>
      <c r="L19" s="2" t="str">
        <f>VLOOKUP(J19, Subject!$A$2:$E$11, 5, FALSE)</f>
        <v>WB</v>
      </c>
      <c r="N19" s="2" t="s">
        <v>373</v>
      </c>
      <c r="O19" s="2">
        <v>2</v>
      </c>
      <c r="P19" s="2" t="str">
        <f>VLOOKUP(O19, SubjectGroup!$A$2:$B$8, 2, FALSE)</f>
        <v>Core Academic Studies</v>
      </c>
      <c r="Q19" s="2" t="s">
        <v>473</v>
      </c>
      <c r="R19" s="2" t="str">
        <f t="shared" si="1"/>
        <v>Word Building Level 3</v>
      </c>
      <c r="S19" s="2">
        <v>0.9</v>
      </c>
    </row>
    <row r="20" spans="1:19" hidden="1" x14ac:dyDescent="0.2">
      <c r="A20" s="2">
        <v>19</v>
      </c>
      <c r="C20" s="2" t="s">
        <v>496</v>
      </c>
      <c r="E20" s="2">
        <v>3</v>
      </c>
      <c r="F20" s="2">
        <v>25</v>
      </c>
      <c r="G20" s="2">
        <v>36</v>
      </c>
      <c r="H20" s="2">
        <f t="shared" si="0"/>
        <v>12</v>
      </c>
      <c r="I20" s="2">
        <v>12</v>
      </c>
      <c r="J20" s="2">
        <v>4</v>
      </c>
      <c r="K20" s="2" t="str">
        <f>VLOOKUP(J20, Subject!$A$2:$B$15, 2, FALSE)</f>
        <v>Literature</v>
      </c>
      <c r="L20" s="2" t="str">
        <f>VLOOKUP(J20, Subject!$A$2:$E$11, 5, FALSE)</f>
        <v>LI</v>
      </c>
      <c r="N20" s="2" t="s">
        <v>479</v>
      </c>
      <c r="O20" s="2">
        <v>2</v>
      </c>
      <c r="P20" s="2" t="str">
        <f>VLOOKUP(O20, SubjectGroup!$A$2:$B$8, 2, FALSE)</f>
        <v>Core Academic Studies</v>
      </c>
      <c r="Q20" s="2" t="s">
        <v>473</v>
      </c>
      <c r="R20" s="2" t="str">
        <f t="shared" si="1"/>
        <v>Literature and Creative Writing Level 3</v>
      </c>
      <c r="S20" s="2">
        <v>0.8</v>
      </c>
    </row>
    <row r="21" spans="1:19" ht="15.75" hidden="1" customHeight="1" x14ac:dyDescent="0.2">
      <c r="A21" s="2">
        <v>20</v>
      </c>
      <c r="B21" s="2" t="s">
        <v>497</v>
      </c>
      <c r="C21" s="2" t="s">
        <v>498</v>
      </c>
      <c r="E21" s="2">
        <v>3</v>
      </c>
      <c r="F21" s="2">
        <v>25</v>
      </c>
      <c r="G21" s="2">
        <v>36</v>
      </c>
      <c r="H21" s="2">
        <f t="shared" si="0"/>
        <v>12</v>
      </c>
      <c r="I21" s="2">
        <v>12</v>
      </c>
      <c r="J21" s="2">
        <v>5</v>
      </c>
      <c r="K21" s="2" t="str">
        <f>VLOOKUP(J21, Subject!$A$2:$B$15, 2, FALSE)</f>
        <v>Science</v>
      </c>
      <c r="L21" s="2" t="str">
        <f>VLOOKUP(J21, Subject!$A$2:$E$11, 5, FALSE)</f>
        <v>SC</v>
      </c>
      <c r="N21" s="2" t="s">
        <v>377</v>
      </c>
      <c r="O21" s="2">
        <v>2</v>
      </c>
      <c r="P21" s="2" t="str">
        <f>VLOOKUP(O21, SubjectGroup!$A$2:$B$8, 2, FALSE)</f>
        <v>Core Academic Studies</v>
      </c>
      <c r="Q21" s="2" t="s">
        <v>473</v>
      </c>
      <c r="R21" s="2" t="str">
        <f t="shared" si="1"/>
        <v>Science Level 3</v>
      </c>
      <c r="S21" s="2">
        <v>0.8</v>
      </c>
    </row>
    <row r="22" spans="1:19" ht="15.75" hidden="1" customHeight="1" x14ac:dyDescent="0.2">
      <c r="A22" s="2">
        <v>21</v>
      </c>
      <c r="C22" s="2" t="s">
        <v>499</v>
      </c>
      <c r="E22" s="2">
        <v>3</v>
      </c>
      <c r="F22" s="2">
        <v>25</v>
      </c>
      <c r="G22" s="2">
        <v>36</v>
      </c>
      <c r="H22" s="2">
        <f t="shared" si="0"/>
        <v>12</v>
      </c>
      <c r="I22" s="2">
        <v>12</v>
      </c>
      <c r="J22" s="2">
        <v>6</v>
      </c>
      <c r="K22" s="2" t="str">
        <f>VLOOKUP(J22, Subject!$A$2:$B$15, 2, FALSE)</f>
        <v>Social Studies</v>
      </c>
      <c r="L22" s="2" t="str">
        <f>VLOOKUP(J22, Subject!$A$2:$E$11, 5, FALSE)</f>
        <v>SS</v>
      </c>
      <c r="M22" s="14"/>
      <c r="N22" s="2" t="s">
        <v>379</v>
      </c>
      <c r="O22" s="2">
        <v>2</v>
      </c>
      <c r="P22" s="2" t="str">
        <f>VLOOKUP(O22, SubjectGroup!$A$2:$B$8, 2, FALSE)</f>
        <v>Core Academic Studies</v>
      </c>
      <c r="Q22" s="2" t="s">
        <v>473</v>
      </c>
      <c r="R22" s="2" t="str">
        <f t="shared" si="1"/>
        <v>Social Studies Level 3</v>
      </c>
      <c r="S22" s="2">
        <v>0.8</v>
      </c>
    </row>
    <row r="23" spans="1:19" ht="15.75" hidden="1" customHeight="1" x14ac:dyDescent="0.2">
      <c r="A23" s="2">
        <v>22</v>
      </c>
      <c r="C23" s="2" t="s">
        <v>500</v>
      </c>
      <c r="E23" s="2">
        <v>3</v>
      </c>
      <c r="F23" s="2">
        <v>25</v>
      </c>
      <c r="G23" s="2">
        <v>36</v>
      </c>
      <c r="H23" s="2">
        <f t="shared" si="0"/>
        <v>12</v>
      </c>
      <c r="I23" s="2">
        <v>12</v>
      </c>
      <c r="J23" s="2">
        <v>7</v>
      </c>
      <c r="K23" s="2" t="str">
        <f>VLOOKUP(J23, Subject!$A$2:$B$15, 2, FALSE)</f>
        <v>Biblical Studies</v>
      </c>
      <c r="L23" s="2" t="str">
        <f>VLOOKUP(J23, Subject!$A$2:$E$11, 5, FALSE)</f>
        <v>BS</v>
      </c>
      <c r="N23" s="2" t="s">
        <v>484</v>
      </c>
      <c r="O23" s="2">
        <v>1</v>
      </c>
      <c r="P23" s="2" t="str">
        <f>VLOOKUP(O23, SubjectGroup!$A$2:$B$8, 2, FALSE)</f>
        <v>Christian Studies</v>
      </c>
      <c r="Q23" s="2" t="s">
        <v>473</v>
      </c>
      <c r="R23" s="2" t="str">
        <f t="shared" si="1"/>
        <v>Bible Reading Level 3</v>
      </c>
      <c r="S23" s="2">
        <v>0.8</v>
      </c>
    </row>
    <row r="24" spans="1:19" ht="15.75" hidden="1" customHeight="1" x14ac:dyDescent="0.2">
      <c r="A24" s="2">
        <v>23</v>
      </c>
      <c r="C24" s="2" t="s">
        <v>501</v>
      </c>
      <c r="E24" s="2">
        <v>4</v>
      </c>
      <c r="F24" s="2">
        <v>37</v>
      </c>
      <c r="G24" s="2">
        <v>48</v>
      </c>
      <c r="H24" s="2">
        <f t="shared" si="0"/>
        <v>12</v>
      </c>
      <c r="I24" s="2">
        <v>12</v>
      </c>
      <c r="J24" s="2">
        <v>1</v>
      </c>
      <c r="K24" s="2" t="str">
        <f>VLOOKUP(J24, Subject!$A$2:$B$15, 2, FALSE)</f>
        <v>Maths</v>
      </c>
      <c r="L24" s="2" t="str">
        <f>VLOOKUP(J24, Subject!$A$2:$E$11, 5, FALSE)</f>
        <v>MA</v>
      </c>
      <c r="N24" s="2" t="s">
        <v>369</v>
      </c>
      <c r="O24" s="2">
        <v>2</v>
      </c>
      <c r="P24" s="2" t="str">
        <f>VLOOKUP(O24, SubjectGroup!$A$2:$B$8, 2, FALSE)</f>
        <v>Core Academic Studies</v>
      </c>
      <c r="Q24" s="2" t="s">
        <v>473</v>
      </c>
      <c r="R24" s="2" t="str">
        <f t="shared" si="1"/>
        <v>Maths Level 4</v>
      </c>
      <c r="S24" s="2">
        <v>0.8</v>
      </c>
    </row>
    <row r="25" spans="1:19" ht="15.75" hidden="1" customHeight="1" x14ac:dyDescent="0.2">
      <c r="A25" s="2">
        <v>24</v>
      </c>
      <c r="C25" s="2" t="s">
        <v>502</v>
      </c>
      <c r="E25" s="2">
        <v>4</v>
      </c>
      <c r="F25" s="2">
        <v>37</v>
      </c>
      <c r="G25" s="2">
        <v>48</v>
      </c>
      <c r="H25" s="2">
        <f t="shared" si="0"/>
        <v>12</v>
      </c>
      <c r="I25" s="2">
        <v>12</v>
      </c>
      <c r="J25" s="2">
        <v>2</v>
      </c>
      <c r="K25" s="2" t="str">
        <f>VLOOKUP(J25, Subject!$A$2:$B$15, 2, FALSE)</f>
        <v>Language</v>
      </c>
      <c r="L25" s="2" t="str">
        <f>VLOOKUP(J25, Subject!$A$2:$E$11, 5, FALSE)</f>
        <v>LA</v>
      </c>
      <c r="N25" s="2" t="s">
        <v>476</v>
      </c>
      <c r="O25" s="2">
        <v>2</v>
      </c>
      <c r="P25" s="2" t="str">
        <f>VLOOKUP(O25, SubjectGroup!$A$2:$B$8, 2, FALSE)</f>
        <v>Core Academic Studies</v>
      </c>
      <c r="Q25" s="2" t="s">
        <v>473</v>
      </c>
      <c r="R25" s="2" t="str">
        <f t="shared" si="1"/>
        <v>English Level 4</v>
      </c>
      <c r="S25" s="2">
        <v>0.8</v>
      </c>
    </row>
    <row r="26" spans="1:19" ht="15.75" hidden="1" customHeight="1" x14ac:dyDescent="0.2">
      <c r="A26" s="2">
        <v>25</v>
      </c>
      <c r="C26" s="2" t="s">
        <v>503</v>
      </c>
      <c r="E26" s="2">
        <v>4</v>
      </c>
      <c r="F26" s="2">
        <v>37</v>
      </c>
      <c r="G26" s="2">
        <v>48</v>
      </c>
      <c r="H26" s="2">
        <f t="shared" si="0"/>
        <v>12</v>
      </c>
      <c r="I26" s="2">
        <v>12</v>
      </c>
      <c r="J26" s="2">
        <v>3</v>
      </c>
      <c r="K26" s="2" t="str">
        <f>VLOOKUP(J26, Subject!$A$2:$B$15, 2, FALSE)</f>
        <v>Word Building</v>
      </c>
      <c r="L26" s="2" t="str">
        <f>VLOOKUP(J26, Subject!$A$2:$E$11, 5, FALSE)</f>
        <v>WB</v>
      </c>
      <c r="N26" s="2" t="s">
        <v>373</v>
      </c>
      <c r="O26" s="2">
        <v>2</v>
      </c>
      <c r="P26" s="2" t="str">
        <f>VLOOKUP(O26, SubjectGroup!$A$2:$B$8, 2, FALSE)</f>
        <v>Core Academic Studies</v>
      </c>
      <c r="Q26" s="2" t="s">
        <v>473</v>
      </c>
      <c r="R26" s="2" t="str">
        <f t="shared" si="1"/>
        <v>Word Building Level 4</v>
      </c>
      <c r="S26" s="2">
        <v>0.9</v>
      </c>
    </row>
    <row r="27" spans="1:19" ht="15.75" hidden="1" customHeight="1" x14ac:dyDescent="0.2">
      <c r="A27" s="2">
        <v>26</v>
      </c>
      <c r="C27" s="2" t="s">
        <v>504</v>
      </c>
      <c r="E27" s="2">
        <v>4</v>
      </c>
      <c r="F27" s="2">
        <v>37</v>
      </c>
      <c r="G27" s="2">
        <v>48</v>
      </c>
      <c r="H27" s="2">
        <f t="shared" si="0"/>
        <v>12</v>
      </c>
      <c r="I27" s="2">
        <v>12</v>
      </c>
      <c r="J27" s="2">
        <v>4</v>
      </c>
      <c r="K27" s="2" t="str">
        <f>VLOOKUP(J27, Subject!$A$2:$B$15, 2, FALSE)</f>
        <v>Literature</v>
      </c>
      <c r="L27" s="2" t="str">
        <f>VLOOKUP(J27, Subject!$A$2:$E$11, 5, FALSE)</f>
        <v>LI</v>
      </c>
      <c r="N27" s="2" t="s">
        <v>479</v>
      </c>
      <c r="O27" s="2">
        <v>2</v>
      </c>
      <c r="P27" s="2" t="str">
        <f>VLOOKUP(O27, SubjectGroup!$A$2:$B$8, 2, FALSE)</f>
        <v>Core Academic Studies</v>
      </c>
      <c r="Q27" s="2" t="s">
        <v>473</v>
      </c>
      <c r="R27" s="2" t="str">
        <f t="shared" si="1"/>
        <v>Literature and Creative Writing Level 4</v>
      </c>
      <c r="S27" s="2">
        <v>0.8</v>
      </c>
    </row>
    <row r="28" spans="1:19" ht="15.75" hidden="1" customHeight="1" x14ac:dyDescent="0.2">
      <c r="A28" s="2">
        <v>27</v>
      </c>
      <c r="B28" s="2" t="s">
        <v>505</v>
      </c>
      <c r="C28" s="2" t="s">
        <v>506</v>
      </c>
      <c r="E28" s="2">
        <v>4</v>
      </c>
      <c r="F28" s="2">
        <v>37</v>
      </c>
      <c r="G28" s="2">
        <v>48</v>
      </c>
      <c r="H28" s="2">
        <f t="shared" si="0"/>
        <v>12</v>
      </c>
      <c r="I28" s="2">
        <v>12</v>
      </c>
      <c r="J28" s="2">
        <v>5</v>
      </c>
      <c r="K28" s="2" t="str">
        <f>VLOOKUP(J28, Subject!$A$2:$B$15, 2, FALSE)</f>
        <v>Science</v>
      </c>
      <c r="L28" s="2" t="str">
        <f>VLOOKUP(J28, Subject!$A$2:$E$11, 5, FALSE)</f>
        <v>SC</v>
      </c>
      <c r="N28" s="2" t="s">
        <v>377</v>
      </c>
      <c r="O28" s="2">
        <v>2</v>
      </c>
      <c r="P28" s="2" t="str">
        <f>VLOOKUP(O28, SubjectGroup!$A$2:$B$8, 2, FALSE)</f>
        <v>Core Academic Studies</v>
      </c>
      <c r="Q28" s="2" t="s">
        <v>473</v>
      </c>
      <c r="R28" s="2" t="str">
        <f t="shared" si="1"/>
        <v>Science Level 4</v>
      </c>
      <c r="S28" s="2">
        <v>0.8</v>
      </c>
    </row>
    <row r="29" spans="1:19" ht="15.75" hidden="1" customHeight="1" x14ac:dyDescent="0.2">
      <c r="A29" s="2">
        <v>28</v>
      </c>
      <c r="C29" s="2" t="s">
        <v>507</v>
      </c>
      <c r="E29" s="2">
        <v>4</v>
      </c>
      <c r="F29" s="2">
        <v>37</v>
      </c>
      <c r="G29" s="2">
        <v>48</v>
      </c>
      <c r="H29" s="2">
        <f t="shared" si="0"/>
        <v>12</v>
      </c>
      <c r="I29" s="2">
        <v>12</v>
      </c>
      <c r="J29" s="2">
        <v>6</v>
      </c>
      <c r="K29" s="2" t="str">
        <f>VLOOKUP(J29, Subject!$A$2:$B$15, 2, FALSE)</f>
        <v>Social Studies</v>
      </c>
      <c r="L29" s="2" t="str">
        <f>VLOOKUP(J29, Subject!$A$2:$E$11, 5, FALSE)</f>
        <v>SS</v>
      </c>
      <c r="M29" s="14"/>
      <c r="N29" s="2" t="s">
        <v>379</v>
      </c>
      <c r="O29" s="2">
        <v>2</v>
      </c>
      <c r="P29" s="2" t="str">
        <f>VLOOKUP(O29, SubjectGroup!$A$2:$B$8, 2, FALSE)</f>
        <v>Core Academic Studies</v>
      </c>
      <c r="Q29" s="2" t="s">
        <v>473</v>
      </c>
      <c r="R29" s="2" t="str">
        <f t="shared" si="1"/>
        <v>Social Studies Level 4</v>
      </c>
      <c r="S29" s="2">
        <v>0.8</v>
      </c>
    </row>
    <row r="30" spans="1:19" ht="15.75" hidden="1" customHeight="1" x14ac:dyDescent="0.2">
      <c r="A30" s="2">
        <v>29</v>
      </c>
      <c r="C30" s="2" t="s">
        <v>508</v>
      </c>
      <c r="E30" s="2">
        <v>4</v>
      </c>
      <c r="F30" s="2">
        <v>37</v>
      </c>
      <c r="G30" s="2">
        <v>48</v>
      </c>
      <c r="H30" s="2">
        <f t="shared" si="0"/>
        <v>12</v>
      </c>
      <c r="I30" s="2">
        <v>12</v>
      </c>
      <c r="J30" s="2">
        <v>7</v>
      </c>
      <c r="K30" s="2" t="str">
        <f>VLOOKUP(J30, Subject!$A$2:$B$15, 2, FALSE)</f>
        <v>Biblical Studies</v>
      </c>
      <c r="L30" s="2" t="str">
        <f>VLOOKUP(J30, Subject!$A$2:$E$11, 5, FALSE)</f>
        <v>BS</v>
      </c>
      <c r="N30" s="2" t="s">
        <v>484</v>
      </c>
      <c r="O30" s="2">
        <v>1</v>
      </c>
      <c r="P30" s="2" t="str">
        <f>VLOOKUP(O30, SubjectGroup!$A$2:$B$8, 2, FALSE)</f>
        <v>Christian Studies</v>
      </c>
      <c r="Q30" s="2" t="s">
        <v>473</v>
      </c>
      <c r="R30" s="2" t="str">
        <f t="shared" si="1"/>
        <v>Bible Reading Level 4</v>
      </c>
      <c r="S30" s="2">
        <v>0.8</v>
      </c>
    </row>
    <row r="31" spans="1:19" ht="15.75" hidden="1" customHeight="1" x14ac:dyDescent="0.2">
      <c r="A31" s="2">
        <v>30</v>
      </c>
      <c r="C31" s="2" t="s">
        <v>509</v>
      </c>
      <c r="E31" s="2">
        <v>5</v>
      </c>
      <c r="F31" s="2">
        <v>49</v>
      </c>
      <c r="G31" s="2">
        <v>60</v>
      </c>
      <c r="H31" s="2">
        <f t="shared" si="0"/>
        <v>12</v>
      </c>
      <c r="I31" s="2">
        <v>12</v>
      </c>
      <c r="J31" s="2">
        <v>1</v>
      </c>
      <c r="K31" s="2" t="str">
        <f>VLOOKUP(J31, Subject!$A$2:$B$15, 2, FALSE)</f>
        <v>Maths</v>
      </c>
      <c r="L31" s="2" t="str">
        <f>VLOOKUP(J31, Subject!$A$2:$E$11, 5, FALSE)</f>
        <v>MA</v>
      </c>
      <c r="N31" s="2" t="s">
        <v>369</v>
      </c>
      <c r="O31" s="2">
        <v>2</v>
      </c>
      <c r="P31" s="2" t="str">
        <f>VLOOKUP(O31, SubjectGroup!$A$2:$B$8, 2, FALSE)</f>
        <v>Core Academic Studies</v>
      </c>
      <c r="Q31" s="2" t="s">
        <v>473</v>
      </c>
      <c r="R31" s="2" t="str">
        <f t="shared" si="1"/>
        <v>Maths Level 5</v>
      </c>
      <c r="S31" s="2">
        <v>0.8</v>
      </c>
    </row>
    <row r="32" spans="1:19" ht="15.75" hidden="1" customHeight="1" x14ac:dyDescent="0.2">
      <c r="A32" s="2">
        <v>31</v>
      </c>
      <c r="C32" s="2" t="s">
        <v>510</v>
      </c>
      <c r="E32" s="2">
        <v>5</v>
      </c>
      <c r="F32" s="2">
        <v>49</v>
      </c>
      <c r="G32" s="2">
        <v>60</v>
      </c>
      <c r="H32" s="2">
        <f t="shared" si="0"/>
        <v>12</v>
      </c>
      <c r="I32" s="2">
        <v>12</v>
      </c>
      <c r="J32" s="2">
        <v>2</v>
      </c>
      <c r="K32" s="2" t="str">
        <f>VLOOKUP(J32, Subject!$A$2:$B$15, 2, FALSE)</f>
        <v>Language</v>
      </c>
      <c r="L32" s="2" t="str">
        <f>VLOOKUP(J32, Subject!$A$2:$E$11, 5, FALSE)</f>
        <v>LA</v>
      </c>
      <c r="N32" s="2" t="s">
        <v>476</v>
      </c>
      <c r="O32" s="2">
        <v>2</v>
      </c>
      <c r="P32" s="2" t="str">
        <f>VLOOKUP(O32, SubjectGroup!$A$2:$B$8, 2, FALSE)</f>
        <v>Core Academic Studies</v>
      </c>
      <c r="Q32" s="2" t="s">
        <v>473</v>
      </c>
      <c r="R32" s="2" t="str">
        <f t="shared" si="1"/>
        <v>English Level 5</v>
      </c>
      <c r="S32" s="2">
        <v>0.8</v>
      </c>
    </row>
    <row r="33" spans="1:19" ht="15.75" hidden="1" customHeight="1" x14ac:dyDescent="0.2">
      <c r="A33" s="2">
        <v>32</v>
      </c>
      <c r="C33" s="2" t="s">
        <v>511</v>
      </c>
      <c r="E33" s="2">
        <v>5</v>
      </c>
      <c r="F33" s="2">
        <v>49</v>
      </c>
      <c r="G33" s="2">
        <v>60</v>
      </c>
      <c r="H33" s="2">
        <f t="shared" si="0"/>
        <v>12</v>
      </c>
      <c r="I33" s="2">
        <v>12</v>
      </c>
      <c r="J33" s="2">
        <v>3</v>
      </c>
      <c r="K33" s="2" t="str">
        <f>VLOOKUP(J33, Subject!$A$2:$B$15, 2, FALSE)</f>
        <v>Word Building</v>
      </c>
      <c r="L33" s="2" t="str">
        <f>VLOOKUP(J33, Subject!$A$2:$E$11, 5, FALSE)</f>
        <v>WB</v>
      </c>
      <c r="N33" s="2" t="s">
        <v>373</v>
      </c>
      <c r="O33" s="2">
        <v>2</v>
      </c>
      <c r="P33" s="2" t="str">
        <f>VLOOKUP(O33, SubjectGroup!$A$2:$B$8, 2, FALSE)</f>
        <v>Core Academic Studies</v>
      </c>
      <c r="Q33" s="2" t="s">
        <v>473</v>
      </c>
      <c r="R33" s="2" t="str">
        <f t="shared" si="1"/>
        <v>Word Building Level 5</v>
      </c>
      <c r="S33" s="2">
        <v>0.9</v>
      </c>
    </row>
    <row r="34" spans="1:19" ht="15.75" hidden="1" customHeight="1" x14ac:dyDescent="0.2">
      <c r="A34" s="2">
        <v>33</v>
      </c>
      <c r="C34" s="2" t="s">
        <v>512</v>
      </c>
      <c r="E34" s="2">
        <v>5</v>
      </c>
      <c r="F34" s="2">
        <v>49</v>
      </c>
      <c r="G34" s="2">
        <v>60</v>
      </c>
      <c r="H34" s="2">
        <f t="shared" si="0"/>
        <v>12</v>
      </c>
      <c r="I34" s="2">
        <v>12</v>
      </c>
      <c r="J34" s="2">
        <v>4</v>
      </c>
      <c r="K34" s="2" t="str">
        <f>VLOOKUP(J34, Subject!$A$2:$B$15, 2, FALSE)</f>
        <v>Literature</v>
      </c>
      <c r="L34" s="2" t="str">
        <f>VLOOKUP(J34, Subject!$A$2:$E$11, 5, FALSE)</f>
        <v>LI</v>
      </c>
      <c r="N34" s="2" t="s">
        <v>479</v>
      </c>
      <c r="O34" s="2">
        <v>2</v>
      </c>
      <c r="P34" s="2" t="str">
        <f>VLOOKUP(O34, SubjectGroup!$A$2:$B$8, 2, FALSE)</f>
        <v>Core Academic Studies</v>
      </c>
      <c r="Q34" s="2" t="s">
        <v>473</v>
      </c>
      <c r="R34" s="2" t="str">
        <f t="shared" si="1"/>
        <v>Literature and Creative Writing Level 5</v>
      </c>
      <c r="S34" s="2">
        <v>0.8</v>
      </c>
    </row>
    <row r="35" spans="1:19" ht="15.75" hidden="1" customHeight="1" x14ac:dyDescent="0.2">
      <c r="A35" s="2">
        <v>34</v>
      </c>
      <c r="B35" s="2" t="s">
        <v>513</v>
      </c>
      <c r="C35" s="2" t="s">
        <v>514</v>
      </c>
      <c r="E35" s="2">
        <v>5</v>
      </c>
      <c r="F35" s="2">
        <v>49</v>
      </c>
      <c r="G35" s="2">
        <v>60</v>
      </c>
      <c r="H35" s="2">
        <f t="shared" si="0"/>
        <v>12</v>
      </c>
      <c r="I35" s="2">
        <v>12</v>
      </c>
      <c r="J35" s="2">
        <v>5</v>
      </c>
      <c r="K35" s="2" t="str">
        <f>VLOOKUP(J35, Subject!$A$2:$B$15, 2, FALSE)</f>
        <v>Science</v>
      </c>
      <c r="L35" s="2" t="str">
        <f>VLOOKUP(J35, Subject!$A$2:$E$11, 5, FALSE)</f>
        <v>SC</v>
      </c>
      <c r="N35" s="2" t="s">
        <v>377</v>
      </c>
      <c r="O35" s="2">
        <v>2</v>
      </c>
      <c r="P35" s="2" t="str">
        <f>VLOOKUP(O35, SubjectGroup!$A$2:$B$8, 2, FALSE)</f>
        <v>Core Academic Studies</v>
      </c>
      <c r="Q35" s="2" t="s">
        <v>473</v>
      </c>
      <c r="R35" s="2" t="str">
        <f t="shared" si="1"/>
        <v>Science Level 5</v>
      </c>
      <c r="S35" s="2">
        <v>0.8</v>
      </c>
    </row>
    <row r="36" spans="1:19" ht="15.75" hidden="1" customHeight="1" x14ac:dyDescent="0.2">
      <c r="A36" s="2">
        <v>35</v>
      </c>
      <c r="C36" s="2" t="s">
        <v>515</v>
      </c>
      <c r="E36" s="2">
        <v>5</v>
      </c>
      <c r="F36" s="2">
        <v>49</v>
      </c>
      <c r="G36" s="2">
        <v>60</v>
      </c>
      <c r="H36" s="2">
        <f t="shared" si="0"/>
        <v>12</v>
      </c>
      <c r="I36" s="2">
        <v>12</v>
      </c>
      <c r="J36" s="2">
        <v>6</v>
      </c>
      <c r="K36" s="2" t="str">
        <f>VLOOKUP(J36, Subject!$A$2:$B$15, 2, FALSE)</f>
        <v>Social Studies</v>
      </c>
      <c r="L36" s="2" t="str">
        <f>VLOOKUP(J36, Subject!$A$2:$E$11, 5, FALSE)</f>
        <v>SS</v>
      </c>
      <c r="M36" s="14"/>
      <c r="N36" s="2" t="s">
        <v>379</v>
      </c>
      <c r="O36" s="2">
        <v>2</v>
      </c>
      <c r="P36" s="2" t="str">
        <f>VLOOKUP(O36, SubjectGroup!$A$2:$B$8, 2, FALSE)</f>
        <v>Core Academic Studies</v>
      </c>
      <c r="Q36" s="2" t="s">
        <v>473</v>
      </c>
      <c r="R36" s="2" t="str">
        <f t="shared" si="1"/>
        <v>Social Studies Level 5</v>
      </c>
      <c r="S36" s="2">
        <v>0.8</v>
      </c>
    </row>
    <row r="37" spans="1:19" ht="15.75" hidden="1" customHeight="1" x14ac:dyDescent="0.2">
      <c r="A37" s="2">
        <v>36</v>
      </c>
      <c r="C37" s="2" t="s">
        <v>516</v>
      </c>
      <c r="E37" s="2">
        <v>5</v>
      </c>
      <c r="F37" s="2">
        <v>49</v>
      </c>
      <c r="G37" s="2">
        <v>60</v>
      </c>
      <c r="H37" s="2">
        <f t="shared" si="0"/>
        <v>12</v>
      </c>
      <c r="I37" s="2">
        <v>12</v>
      </c>
      <c r="J37" s="2">
        <v>7</v>
      </c>
      <c r="K37" s="2" t="str">
        <f>VLOOKUP(J37, Subject!$A$2:$B$15, 2, FALSE)</f>
        <v>Biblical Studies</v>
      </c>
      <c r="L37" s="2" t="str">
        <f>VLOOKUP(J37, Subject!$A$2:$E$11, 5, FALSE)</f>
        <v>BS</v>
      </c>
      <c r="N37" s="2" t="s">
        <v>484</v>
      </c>
      <c r="O37" s="2">
        <v>1</v>
      </c>
      <c r="P37" s="2" t="str">
        <f>VLOOKUP(O37, SubjectGroup!$A$2:$B$8, 2, FALSE)</f>
        <v>Christian Studies</v>
      </c>
      <c r="Q37" s="2" t="s">
        <v>473</v>
      </c>
      <c r="R37" s="2" t="str">
        <f t="shared" si="1"/>
        <v>Bible Reading Level 5</v>
      </c>
      <c r="S37" s="2">
        <v>0.8</v>
      </c>
    </row>
    <row r="38" spans="1:19" ht="15.75" hidden="1" customHeight="1" x14ac:dyDescent="0.2">
      <c r="A38" s="2">
        <v>37</v>
      </c>
      <c r="C38" s="2" t="s">
        <v>517</v>
      </c>
      <c r="E38" s="2">
        <v>6</v>
      </c>
      <c r="F38" s="2">
        <v>61</v>
      </c>
      <c r="G38" s="2">
        <v>72</v>
      </c>
      <c r="H38" s="2">
        <f t="shared" si="0"/>
        <v>12</v>
      </c>
      <c r="I38" s="2">
        <v>12</v>
      </c>
      <c r="J38" s="2">
        <v>1</v>
      </c>
      <c r="K38" s="2" t="str">
        <f>VLOOKUP(J38, Subject!$A$2:$B$15, 2, FALSE)</f>
        <v>Maths</v>
      </c>
      <c r="L38" s="2" t="str">
        <f>VLOOKUP(J38, Subject!$A$2:$E$11, 5, FALSE)</f>
        <v>MA</v>
      </c>
      <c r="N38" s="2" t="s">
        <v>369</v>
      </c>
      <c r="O38" s="2">
        <v>2</v>
      </c>
      <c r="P38" s="2" t="str">
        <f>VLOOKUP(O38, SubjectGroup!$A$2:$B$8, 2, FALSE)</f>
        <v>Core Academic Studies</v>
      </c>
      <c r="Q38" s="2" t="s">
        <v>473</v>
      </c>
      <c r="R38" s="2" t="str">
        <f t="shared" si="1"/>
        <v>Maths Level 6</v>
      </c>
      <c r="S38" s="2">
        <v>0.8</v>
      </c>
    </row>
    <row r="39" spans="1:19" ht="15.75" hidden="1" customHeight="1" x14ac:dyDescent="0.2">
      <c r="A39" s="2">
        <v>38</v>
      </c>
      <c r="C39" s="2" t="s">
        <v>518</v>
      </c>
      <c r="E39" s="2">
        <v>6</v>
      </c>
      <c r="F39" s="2">
        <v>61</v>
      </c>
      <c r="G39" s="2">
        <v>72</v>
      </c>
      <c r="H39" s="2">
        <f t="shared" si="0"/>
        <v>12</v>
      </c>
      <c r="I39" s="2">
        <v>12</v>
      </c>
      <c r="J39" s="2">
        <v>2</v>
      </c>
      <c r="K39" s="2" t="str">
        <f>VLOOKUP(J39, Subject!$A$2:$B$15, 2, FALSE)</f>
        <v>Language</v>
      </c>
      <c r="L39" s="2" t="str">
        <f>VLOOKUP(J39, Subject!$A$2:$E$11, 5, FALSE)</f>
        <v>LA</v>
      </c>
      <c r="N39" s="2" t="s">
        <v>476</v>
      </c>
      <c r="O39" s="2">
        <v>2</v>
      </c>
      <c r="P39" s="2" t="str">
        <f>VLOOKUP(O39, SubjectGroup!$A$2:$B$8, 2, FALSE)</f>
        <v>Core Academic Studies</v>
      </c>
      <c r="Q39" s="2" t="s">
        <v>473</v>
      </c>
      <c r="R39" s="2" t="str">
        <f t="shared" si="1"/>
        <v>English Level 6</v>
      </c>
      <c r="S39" s="2">
        <v>0.8</v>
      </c>
    </row>
    <row r="40" spans="1:19" ht="15.75" hidden="1" customHeight="1" x14ac:dyDescent="0.2">
      <c r="A40" s="2">
        <v>39</v>
      </c>
      <c r="C40" s="2" t="s">
        <v>519</v>
      </c>
      <c r="E40" s="2">
        <v>6</v>
      </c>
      <c r="F40" s="2">
        <v>61</v>
      </c>
      <c r="G40" s="2">
        <v>72</v>
      </c>
      <c r="H40" s="2">
        <f t="shared" si="0"/>
        <v>12</v>
      </c>
      <c r="I40" s="2">
        <v>12</v>
      </c>
      <c r="J40" s="2">
        <v>3</v>
      </c>
      <c r="K40" s="2" t="str">
        <f>VLOOKUP(J40, Subject!$A$2:$B$15, 2, FALSE)</f>
        <v>Word Building</v>
      </c>
      <c r="L40" s="2" t="str">
        <f>VLOOKUP(J40, Subject!$A$2:$E$11, 5, FALSE)</f>
        <v>WB</v>
      </c>
      <c r="N40" s="2" t="s">
        <v>373</v>
      </c>
      <c r="O40" s="2">
        <v>2</v>
      </c>
      <c r="P40" s="2" t="str">
        <f>VLOOKUP(O40, SubjectGroup!$A$2:$B$8, 2, FALSE)</f>
        <v>Core Academic Studies</v>
      </c>
      <c r="Q40" s="2" t="s">
        <v>473</v>
      </c>
      <c r="R40" s="2" t="str">
        <f t="shared" si="1"/>
        <v>Word Building Level 6</v>
      </c>
      <c r="S40" s="2">
        <v>0.9</v>
      </c>
    </row>
    <row r="41" spans="1:19" ht="15.75" hidden="1" customHeight="1" x14ac:dyDescent="0.2">
      <c r="A41" s="2">
        <v>40</v>
      </c>
      <c r="C41" s="2" t="s">
        <v>520</v>
      </c>
      <c r="E41" s="2">
        <v>6</v>
      </c>
      <c r="F41" s="2">
        <v>61</v>
      </c>
      <c r="G41" s="2">
        <v>72</v>
      </c>
      <c r="H41" s="2">
        <f t="shared" si="0"/>
        <v>12</v>
      </c>
      <c r="I41" s="2">
        <v>12</v>
      </c>
      <c r="J41" s="2">
        <v>4</v>
      </c>
      <c r="K41" s="2" t="str">
        <f>VLOOKUP(J41, Subject!$A$2:$B$15, 2, FALSE)</f>
        <v>Literature</v>
      </c>
      <c r="L41" s="2" t="str">
        <f>VLOOKUP(J41, Subject!$A$2:$E$11, 5, FALSE)</f>
        <v>LI</v>
      </c>
      <c r="N41" s="2" t="s">
        <v>479</v>
      </c>
      <c r="O41" s="2">
        <v>2</v>
      </c>
      <c r="P41" s="2" t="str">
        <f>VLOOKUP(O41, SubjectGroup!$A$2:$B$8, 2, FALSE)</f>
        <v>Core Academic Studies</v>
      </c>
      <c r="Q41" s="2" t="s">
        <v>473</v>
      </c>
      <c r="R41" s="2" t="str">
        <f t="shared" si="1"/>
        <v>Literature and Creative Writing Level 6</v>
      </c>
      <c r="S41" s="2">
        <v>0.8</v>
      </c>
    </row>
    <row r="42" spans="1:19" ht="15.75" hidden="1" customHeight="1" x14ac:dyDescent="0.2">
      <c r="A42" s="2">
        <v>41</v>
      </c>
      <c r="B42" s="2" t="s">
        <v>521</v>
      </c>
      <c r="C42" s="2" t="s">
        <v>345</v>
      </c>
      <c r="E42" s="2">
        <v>6</v>
      </c>
      <c r="F42" s="2">
        <v>61</v>
      </c>
      <c r="G42" s="2">
        <v>72</v>
      </c>
      <c r="H42" s="2">
        <f t="shared" si="0"/>
        <v>12</v>
      </c>
      <c r="I42" s="2">
        <v>12</v>
      </c>
      <c r="J42" s="2">
        <v>5</v>
      </c>
      <c r="K42" s="2" t="str">
        <f>VLOOKUP(J42, Subject!$A$2:$B$15, 2, FALSE)</f>
        <v>Science</v>
      </c>
      <c r="L42" s="2" t="str">
        <f>VLOOKUP(J42, Subject!$A$2:$E$11, 5, FALSE)</f>
        <v>SC</v>
      </c>
      <c r="N42" s="2" t="s">
        <v>377</v>
      </c>
      <c r="O42" s="2">
        <v>2</v>
      </c>
      <c r="P42" s="2" t="str">
        <f>VLOOKUP(O42, SubjectGroup!$A$2:$B$8, 2, FALSE)</f>
        <v>Core Academic Studies</v>
      </c>
      <c r="Q42" s="2" t="s">
        <v>473</v>
      </c>
      <c r="R42" s="2" t="str">
        <f t="shared" si="1"/>
        <v>Science Level 6</v>
      </c>
      <c r="S42" s="2">
        <v>0.8</v>
      </c>
    </row>
    <row r="43" spans="1:19" ht="15.75" hidden="1" customHeight="1" x14ac:dyDescent="0.2">
      <c r="A43" s="2">
        <v>42</v>
      </c>
      <c r="C43" s="2" t="s">
        <v>346</v>
      </c>
      <c r="E43" s="2">
        <v>6</v>
      </c>
      <c r="F43" s="2">
        <v>61</v>
      </c>
      <c r="G43" s="2">
        <v>72</v>
      </c>
      <c r="H43" s="2">
        <f t="shared" si="0"/>
        <v>12</v>
      </c>
      <c r="I43" s="2">
        <v>12</v>
      </c>
      <c r="J43" s="2">
        <v>6</v>
      </c>
      <c r="K43" s="2" t="str">
        <f>VLOOKUP(J43, Subject!$A$2:$B$15, 2, FALSE)</f>
        <v>Social Studies</v>
      </c>
      <c r="L43" s="2" t="str">
        <f>VLOOKUP(J43, Subject!$A$2:$E$11, 5, FALSE)</f>
        <v>SS</v>
      </c>
      <c r="M43" s="14"/>
      <c r="N43" s="2" t="s">
        <v>379</v>
      </c>
      <c r="O43" s="2">
        <v>2</v>
      </c>
      <c r="P43" s="2" t="str">
        <f>VLOOKUP(O43, SubjectGroup!$A$2:$B$8, 2, FALSE)</f>
        <v>Core Academic Studies</v>
      </c>
      <c r="Q43" s="2" t="s">
        <v>473</v>
      </c>
      <c r="R43" s="2" t="str">
        <f t="shared" si="1"/>
        <v>Social Studies Level 6</v>
      </c>
      <c r="S43" s="2">
        <v>0.8</v>
      </c>
    </row>
    <row r="44" spans="1:19" ht="15.75" hidden="1" customHeight="1" x14ac:dyDescent="0.2">
      <c r="A44" s="2">
        <v>43</v>
      </c>
      <c r="C44" s="2" t="s">
        <v>522</v>
      </c>
      <c r="E44" s="2">
        <v>6</v>
      </c>
      <c r="F44" s="2">
        <v>61</v>
      </c>
      <c r="G44" s="2">
        <v>72</v>
      </c>
      <c r="H44" s="2">
        <f t="shared" si="0"/>
        <v>12</v>
      </c>
      <c r="I44" s="2">
        <v>12</v>
      </c>
      <c r="J44" s="2">
        <v>7</v>
      </c>
      <c r="K44" s="2" t="str">
        <f>VLOOKUP(J44, Subject!$A$2:$B$15, 2, FALSE)</f>
        <v>Biblical Studies</v>
      </c>
      <c r="L44" s="2" t="str">
        <f>VLOOKUP(J44, Subject!$A$2:$E$11, 5, FALSE)</f>
        <v>BS</v>
      </c>
      <c r="N44" s="2" t="s">
        <v>484</v>
      </c>
      <c r="O44" s="2">
        <v>1</v>
      </c>
      <c r="P44" s="2" t="str">
        <f>VLOOKUP(O44, SubjectGroup!$A$2:$B$8, 2, FALSE)</f>
        <v>Christian Studies</v>
      </c>
      <c r="Q44" s="2" t="s">
        <v>473</v>
      </c>
      <c r="R44" s="2" t="str">
        <f t="shared" si="1"/>
        <v>Bible Reading Level 6</v>
      </c>
      <c r="S44" s="2">
        <v>0.8</v>
      </c>
    </row>
    <row r="45" spans="1:19" ht="15.75" hidden="1" customHeight="1" x14ac:dyDescent="0.2">
      <c r="A45" s="2">
        <v>44</v>
      </c>
      <c r="C45" s="2" t="s">
        <v>438</v>
      </c>
      <c r="E45" s="2">
        <v>7</v>
      </c>
      <c r="F45" s="2">
        <v>73</v>
      </c>
      <c r="G45" s="2">
        <v>84</v>
      </c>
      <c r="H45" s="2">
        <f t="shared" si="0"/>
        <v>12</v>
      </c>
      <c r="I45" s="2">
        <v>12</v>
      </c>
      <c r="J45" s="2">
        <v>1</v>
      </c>
      <c r="K45" s="2" t="str">
        <f>VLOOKUP(J45, Subject!$A$2:$B$15, 2, FALSE)</f>
        <v>Maths</v>
      </c>
      <c r="L45" s="2" t="str">
        <f>VLOOKUP(J45, Subject!$A$2:$E$11, 5, FALSE)</f>
        <v>MA</v>
      </c>
      <c r="N45" s="2" t="s">
        <v>369</v>
      </c>
      <c r="O45" s="2">
        <v>2</v>
      </c>
      <c r="P45" s="2" t="str">
        <f>VLOOKUP(O45, SubjectGroup!$A$2:$B$8, 2, FALSE)</f>
        <v>Core Academic Studies</v>
      </c>
      <c r="Q45" s="2" t="s">
        <v>473</v>
      </c>
      <c r="R45" s="2" t="str">
        <f t="shared" si="1"/>
        <v>Maths Level 7</v>
      </c>
      <c r="S45" s="2">
        <v>0.8</v>
      </c>
    </row>
    <row r="46" spans="1:19" ht="15.75" hidden="1" customHeight="1" x14ac:dyDescent="0.2">
      <c r="A46" s="2">
        <v>45</v>
      </c>
      <c r="C46" s="2" t="s">
        <v>439</v>
      </c>
      <c r="E46" s="2">
        <v>7</v>
      </c>
      <c r="F46" s="2">
        <v>73</v>
      </c>
      <c r="G46" s="2">
        <v>84</v>
      </c>
      <c r="H46" s="2">
        <f t="shared" si="0"/>
        <v>12</v>
      </c>
      <c r="I46" s="2">
        <v>12</v>
      </c>
      <c r="J46" s="2">
        <v>2</v>
      </c>
      <c r="K46" s="2" t="str">
        <f>VLOOKUP(J46, Subject!$A$2:$B$15, 2, FALSE)</f>
        <v>Language</v>
      </c>
      <c r="L46" s="2" t="str">
        <f>VLOOKUP(J46, Subject!$A$2:$E$11, 5, FALSE)</f>
        <v>LA</v>
      </c>
      <c r="N46" s="2" t="s">
        <v>476</v>
      </c>
      <c r="O46" s="2">
        <v>2</v>
      </c>
      <c r="P46" s="2" t="str">
        <f>VLOOKUP(O46, SubjectGroup!$A$2:$B$8, 2, FALSE)</f>
        <v>Core Academic Studies</v>
      </c>
      <c r="Q46" s="2" t="s">
        <v>473</v>
      </c>
      <c r="R46" s="2" t="str">
        <f t="shared" si="1"/>
        <v>English Level 7</v>
      </c>
      <c r="S46" s="2">
        <v>0.8</v>
      </c>
    </row>
    <row r="47" spans="1:19" ht="15.75" hidden="1" customHeight="1" x14ac:dyDescent="0.2">
      <c r="A47" s="2">
        <v>46</v>
      </c>
      <c r="C47" s="2" t="s">
        <v>440</v>
      </c>
      <c r="E47" s="2">
        <v>7</v>
      </c>
      <c r="F47" s="2">
        <v>73</v>
      </c>
      <c r="G47" s="2">
        <v>84</v>
      </c>
      <c r="H47" s="2">
        <f t="shared" si="0"/>
        <v>12</v>
      </c>
      <c r="I47" s="2">
        <v>12</v>
      </c>
      <c r="J47" s="2">
        <v>3</v>
      </c>
      <c r="K47" s="2" t="str">
        <f>VLOOKUP(J47, Subject!$A$2:$B$15, 2, FALSE)</f>
        <v>Word Building</v>
      </c>
      <c r="L47" s="2" t="str">
        <f>VLOOKUP(J47, Subject!$A$2:$E$11, 5, FALSE)</f>
        <v>WB</v>
      </c>
      <c r="N47" s="2" t="s">
        <v>523</v>
      </c>
      <c r="O47" s="2">
        <v>2</v>
      </c>
      <c r="P47" s="2" t="str">
        <f>VLOOKUP(O47, SubjectGroup!$A$2:$B$8, 2, FALSE)</f>
        <v>Core Academic Studies</v>
      </c>
      <c r="Q47" s="2" t="s">
        <v>473</v>
      </c>
      <c r="R47" s="2" t="str">
        <f t="shared" si="1"/>
        <v>Beginning Art</v>
      </c>
      <c r="S47" s="2">
        <v>0.8</v>
      </c>
    </row>
    <row r="48" spans="1:19" ht="15.75" hidden="1" customHeight="1" x14ac:dyDescent="0.2">
      <c r="A48" s="2">
        <v>47</v>
      </c>
      <c r="C48" s="2" t="s">
        <v>441</v>
      </c>
      <c r="E48" s="2">
        <v>7</v>
      </c>
      <c r="F48" s="2">
        <v>73</v>
      </c>
      <c r="G48" s="2">
        <v>84</v>
      </c>
      <c r="H48" s="2">
        <f t="shared" si="0"/>
        <v>12</v>
      </c>
      <c r="I48" s="2">
        <v>12</v>
      </c>
      <c r="J48" s="2">
        <v>3</v>
      </c>
      <c r="K48" s="2" t="str">
        <f>VLOOKUP(J48, Subject!$A$2:$B$15, 2, FALSE)</f>
        <v>Word Building</v>
      </c>
      <c r="L48" s="2" t="str">
        <f>VLOOKUP(J48, Subject!$A$2:$E$11, 5, FALSE)</f>
        <v>WB</v>
      </c>
      <c r="N48" s="2" t="s">
        <v>373</v>
      </c>
      <c r="O48" s="2">
        <v>2</v>
      </c>
      <c r="P48" s="2" t="str">
        <f>VLOOKUP(O48, SubjectGroup!$A$2:$B$8, 2, FALSE)</f>
        <v>Core Academic Studies</v>
      </c>
      <c r="Q48" s="2" t="s">
        <v>473</v>
      </c>
      <c r="R48" s="2" t="str">
        <f t="shared" si="1"/>
        <v>Word Building Level 7</v>
      </c>
      <c r="S48" s="2">
        <v>0.9</v>
      </c>
    </row>
    <row r="49" spans="1:20" ht="15.75" hidden="1" customHeight="1" x14ac:dyDescent="0.2">
      <c r="A49" s="2">
        <v>48</v>
      </c>
      <c r="C49" s="2" t="s">
        <v>442</v>
      </c>
      <c r="E49" s="2">
        <v>7</v>
      </c>
      <c r="F49" s="9">
        <v>73</v>
      </c>
      <c r="G49" s="2">
        <v>84</v>
      </c>
      <c r="H49" s="2">
        <f t="shared" si="0"/>
        <v>12</v>
      </c>
      <c r="I49" s="2" t="s">
        <v>347</v>
      </c>
      <c r="J49" s="2">
        <v>4</v>
      </c>
      <c r="K49" s="2" t="str">
        <f>VLOOKUP(J49, Subject!$A$2:$B$15, 2, FALSE)</f>
        <v>Literature</v>
      </c>
      <c r="L49" s="2" t="str">
        <f>VLOOKUP(J49, Subject!$A$2:$E$11, 5, FALSE)</f>
        <v>LI</v>
      </c>
      <c r="M49" s="2" t="s">
        <v>524</v>
      </c>
      <c r="N49" s="2" t="s">
        <v>479</v>
      </c>
      <c r="O49" s="2">
        <v>2</v>
      </c>
      <c r="P49" s="2" t="str">
        <f>VLOOKUP(O49, SubjectGroup!$A$2:$B$8, 2, FALSE)</f>
        <v>Core Academic Studies</v>
      </c>
      <c r="Q49" s="2" t="s">
        <v>473</v>
      </c>
      <c r="R49" s="2" t="str">
        <f t="shared" si="1"/>
        <v>Literature Level 7</v>
      </c>
      <c r="S49" s="2">
        <v>0.8</v>
      </c>
    </row>
    <row r="50" spans="1:20" ht="15.75" hidden="1" customHeight="1" x14ac:dyDescent="0.2">
      <c r="A50" s="2">
        <v>49</v>
      </c>
      <c r="B50" s="2" t="s">
        <v>525</v>
      </c>
      <c r="C50" s="2" t="s">
        <v>443</v>
      </c>
      <c r="E50" s="2">
        <v>7</v>
      </c>
      <c r="F50" s="2">
        <v>73</v>
      </c>
      <c r="G50" s="2">
        <v>84</v>
      </c>
      <c r="H50" s="2">
        <f t="shared" si="0"/>
        <v>12</v>
      </c>
      <c r="I50" s="2">
        <v>12</v>
      </c>
      <c r="J50" s="2">
        <v>5</v>
      </c>
      <c r="K50" s="2" t="str">
        <f>VLOOKUP(J50, Subject!$A$2:$B$15, 2, FALSE)</f>
        <v>Science</v>
      </c>
      <c r="L50" s="2" t="str">
        <f>VLOOKUP(J50, Subject!$A$2:$E$11, 5, FALSE)</f>
        <v>SC</v>
      </c>
      <c r="N50" s="2" t="s">
        <v>377</v>
      </c>
      <c r="O50" s="2">
        <v>2</v>
      </c>
      <c r="P50" s="2" t="str">
        <f>VLOOKUP(O50, SubjectGroup!$A$2:$B$8, 2, FALSE)</f>
        <v>Core Academic Studies</v>
      </c>
      <c r="Q50" s="2" t="s">
        <v>473</v>
      </c>
      <c r="R50" s="2" t="str">
        <f t="shared" si="1"/>
        <v>Science Level 7</v>
      </c>
      <c r="S50" s="2">
        <v>0.8</v>
      </c>
    </row>
    <row r="51" spans="1:20" ht="15.75" hidden="1" customHeight="1" x14ac:dyDescent="0.2">
      <c r="A51" s="2">
        <v>50</v>
      </c>
      <c r="C51" s="2" t="s">
        <v>444</v>
      </c>
      <c r="E51" s="2">
        <v>7</v>
      </c>
      <c r="F51" s="2">
        <v>73</v>
      </c>
      <c r="G51" s="2">
        <v>78</v>
      </c>
      <c r="H51" s="2">
        <f t="shared" si="0"/>
        <v>6</v>
      </c>
      <c r="I51" s="2">
        <v>6</v>
      </c>
      <c r="J51" s="2">
        <v>6</v>
      </c>
      <c r="K51" s="2" t="str">
        <f>VLOOKUP(J51, Subject!$A$2:$B$15, 2, FALSE)</f>
        <v>Social Studies</v>
      </c>
      <c r="L51" s="2" t="str">
        <f>VLOOKUP(J51, Subject!$A$2:$E$11, 5, FALSE)</f>
        <v>SS</v>
      </c>
      <c r="M51" s="14" t="s">
        <v>526</v>
      </c>
      <c r="N51" s="2" t="s">
        <v>379</v>
      </c>
      <c r="O51" s="2">
        <v>2</v>
      </c>
      <c r="P51" s="2" t="str">
        <f>VLOOKUP(O51, SubjectGroup!$A$2:$B$8, 2, FALSE)</f>
        <v>Core Academic Studies</v>
      </c>
      <c r="Q51" s="2" t="s">
        <v>473</v>
      </c>
      <c r="R51" s="2" t="str">
        <f t="shared" si="1"/>
        <v>Social Studies Level 7</v>
      </c>
      <c r="S51" s="2">
        <v>0.8</v>
      </c>
    </row>
    <row r="52" spans="1:20" ht="15.75" hidden="1" customHeight="1" x14ac:dyDescent="0.2">
      <c r="A52" s="2">
        <v>51</v>
      </c>
      <c r="C52" s="2" t="s">
        <v>64</v>
      </c>
      <c r="E52" s="2">
        <v>7</v>
      </c>
      <c r="F52" s="2">
        <v>1</v>
      </c>
      <c r="G52" s="2">
        <v>3</v>
      </c>
      <c r="H52" s="2">
        <f t="shared" si="0"/>
        <v>3</v>
      </c>
      <c r="I52" s="2">
        <v>3</v>
      </c>
      <c r="J52" s="2">
        <v>6</v>
      </c>
      <c r="K52" s="2" t="str">
        <f>VLOOKUP(J52, Subject!$A$2:$B$15, 2, FALSE)</f>
        <v>Social Studies</v>
      </c>
      <c r="L52" s="2" t="str">
        <f>VLOOKUP(J52, Subject!$A$2:$E$11, 5, FALSE)</f>
        <v>SS</v>
      </c>
      <c r="M52" s="14" t="s">
        <v>527</v>
      </c>
      <c r="N52" s="2" t="s">
        <v>528</v>
      </c>
      <c r="O52" s="2">
        <v>2</v>
      </c>
      <c r="P52" s="2" t="str">
        <f>VLOOKUP(O52, SubjectGroup!$A$2:$B$8, 2, FALSE)</f>
        <v>Core Academic Studies</v>
      </c>
      <c r="Q52" s="2" t="s">
        <v>473</v>
      </c>
      <c r="R52" s="2" t="str">
        <f t="shared" si="1"/>
        <v>Staatsinrichting</v>
      </c>
      <c r="S52" s="2">
        <v>0.8</v>
      </c>
    </row>
    <row r="53" spans="1:20" ht="15.75" hidden="1" customHeight="1" x14ac:dyDescent="0.2">
      <c r="A53" s="2">
        <v>52</v>
      </c>
      <c r="C53" s="2" t="s">
        <v>529</v>
      </c>
      <c r="E53" s="2">
        <v>7</v>
      </c>
      <c r="F53" s="2">
        <v>73</v>
      </c>
      <c r="G53" s="2">
        <v>84</v>
      </c>
      <c r="H53" s="2">
        <f t="shared" si="0"/>
        <v>12</v>
      </c>
      <c r="I53" s="2">
        <v>12</v>
      </c>
      <c r="J53" s="2">
        <v>7</v>
      </c>
      <c r="K53" s="2" t="str">
        <f>VLOOKUP(J53, Subject!$A$2:$B$15, 2, FALSE)</f>
        <v>Biblical Studies</v>
      </c>
      <c r="L53" s="2" t="str">
        <f>VLOOKUP(J53, Subject!$A$2:$E$11, 5, FALSE)</f>
        <v>BS</v>
      </c>
      <c r="M53" s="9" t="s">
        <v>530</v>
      </c>
      <c r="N53" s="2" t="s">
        <v>484</v>
      </c>
      <c r="O53" s="2">
        <v>2</v>
      </c>
      <c r="P53" s="2" t="str">
        <f>VLOOKUP(O53, SubjectGroup!$A$2:$B$8, 2, FALSE)</f>
        <v>Core Academic Studies</v>
      </c>
      <c r="Q53" s="2" t="s">
        <v>473</v>
      </c>
      <c r="R53" s="2" t="str">
        <f t="shared" si="1"/>
        <v>Bible Reading Level 7</v>
      </c>
      <c r="S53" s="2">
        <v>0.8</v>
      </c>
    </row>
    <row r="54" spans="1:20" ht="15.75" hidden="1" customHeight="1" x14ac:dyDescent="0.2">
      <c r="A54" s="2">
        <v>53</v>
      </c>
      <c r="C54" s="2" t="s">
        <v>86</v>
      </c>
      <c r="E54" s="2">
        <v>8</v>
      </c>
      <c r="F54" s="2">
        <v>85</v>
      </c>
      <c r="G54" s="2">
        <v>96</v>
      </c>
      <c r="H54" s="2">
        <f t="shared" si="0"/>
        <v>12</v>
      </c>
      <c r="I54" s="2">
        <v>12</v>
      </c>
      <c r="J54" s="2">
        <v>1</v>
      </c>
      <c r="K54" s="2" t="str">
        <f>VLOOKUP(J54, Subject!$A$2:$B$15, 2, FALSE)</f>
        <v>Maths</v>
      </c>
      <c r="L54" s="2" t="str">
        <f>VLOOKUP(J54, Subject!$A$2:$E$11, 5, FALSE)</f>
        <v>MA</v>
      </c>
      <c r="N54" s="2" t="s">
        <v>531</v>
      </c>
      <c r="O54" s="2">
        <v>2</v>
      </c>
      <c r="P54" s="2" t="str">
        <f>VLOOKUP(O54, SubjectGroup!$A$2:$B$8, 2, FALSE)</f>
        <v>Core Academic Studies</v>
      </c>
      <c r="Q54" s="2" t="s">
        <v>473</v>
      </c>
      <c r="R54" s="2" t="str">
        <f t="shared" si="1"/>
        <v>General Maths</v>
      </c>
      <c r="S54" s="2">
        <v>0.8</v>
      </c>
    </row>
    <row r="55" spans="1:20" ht="15.75" hidden="1" customHeight="1" x14ac:dyDescent="0.2">
      <c r="A55" s="2">
        <v>54</v>
      </c>
      <c r="C55" s="2" t="s">
        <v>87</v>
      </c>
      <c r="E55" s="2">
        <v>8</v>
      </c>
      <c r="F55" s="2">
        <v>85</v>
      </c>
      <c r="G55" s="2">
        <v>96</v>
      </c>
      <c r="H55" s="2">
        <f t="shared" si="0"/>
        <v>12</v>
      </c>
      <c r="I55" s="2">
        <v>12</v>
      </c>
      <c r="J55" s="2">
        <v>2</v>
      </c>
      <c r="K55" s="2" t="str">
        <f>VLOOKUP(J55, Subject!$A$2:$B$15, 2, FALSE)</f>
        <v>Language</v>
      </c>
      <c r="L55" s="2" t="str">
        <f>VLOOKUP(J55, Subject!$A$2:$E$11, 5, FALSE)</f>
        <v>LA</v>
      </c>
      <c r="N55" s="2" t="s">
        <v>476</v>
      </c>
      <c r="O55" s="2">
        <v>1</v>
      </c>
      <c r="P55" s="2" t="str">
        <f>VLOOKUP(O55, SubjectGroup!$A$2:$B$8, 2, FALSE)</f>
        <v>Christian Studies</v>
      </c>
      <c r="Q55" s="2" t="s">
        <v>473</v>
      </c>
      <c r="R55" s="2" t="str">
        <f t="shared" si="1"/>
        <v>General English</v>
      </c>
      <c r="S55" s="2">
        <v>0.8</v>
      </c>
    </row>
    <row r="56" spans="1:20" ht="15.75" hidden="1" customHeight="1" x14ac:dyDescent="0.2">
      <c r="A56" s="2">
        <v>55</v>
      </c>
      <c r="C56" s="2" t="s">
        <v>445</v>
      </c>
      <c r="E56" s="2">
        <v>8</v>
      </c>
      <c r="F56" s="2">
        <v>85</v>
      </c>
      <c r="G56" s="2">
        <v>96</v>
      </c>
      <c r="H56" s="2">
        <f t="shared" si="0"/>
        <v>12</v>
      </c>
      <c r="I56" s="2">
        <v>12</v>
      </c>
      <c r="J56" s="2">
        <v>3</v>
      </c>
      <c r="K56" s="2" t="str">
        <f>VLOOKUP(J56, Subject!$A$2:$B$15, 2, FALSE)</f>
        <v>Word Building</v>
      </c>
      <c r="L56" s="2" t="str">
        <f>VLOOKUP(J56, Subject!$A$2:$E$11, 5, FALSE)</f>
        <v>WB</v>
      </c>
      <c r="N56" s="2" t="s">
        <v>373</v>
      </c>
      <c r="O56" s="2">
        <v>1</v>
      </c>
      <c r="P56" s="2" t="str">
        <f>VLOOKUP(O56, SubjectGroup!$A$2:$B$8, 2, FALSE)</f>
        <v>Christian Studies</v>
      </c>
      <c r="Q56" s="2" t="s">
        <v>473</v>
      </c>
      <c r="R56" s="2" t="str">
        <f t="shared" si="1"/>
        <v>Word Building Level 8</v>
      </c>
      <c r="S56" s="2">
        <v>0.9</v>
      </c>
    </row>
    <row r="57" spans="1:20" ht="15.75" hidden="1" customHeight="1" x14ac:dyDescent="0.2">
      <c r="A57" s="2">
        <v>56</v>
      </c>
      <c r="C57" s="2" t="s">
        <v>446</v>
      </c>
      <c r="E57" s="2">
        <v>8</v>
      </c>
      <c r="F57" s="9">
        <v>86</v>
      </c>
      <c r="G57" s="2">
        <v>96</v>
      </c>
      <c r="H57" s="2">
        <f t="shared" si="0"/>
        <v>11</v>
      </c>
      <c r="I57" s="2" t="s">
        <v>347</v>
      </c>
      <c r="J57" s="2">
        <v>4</v>
      </c>
      <c r="K57" s="2" t="str">
        <f>VLOOKUP(J57, Subject!$A$2:$B$15, 2, FALSE)</f>
        <v>Literature</v>
      </c>
      <c r="L57" s="2" t="str">
        <f>VLOOKUP(J57, Subject!$A$2:$E$11, 5, FALSE)</f>
        <v>LI</v>
      </c>
      <c r="M57" s="2" t="s">
        <v>524</v>
      </c>
      <c r="N57" s="2" t="s">
        <v>479</v>
      </c>
      <c r="O57" s="2">
        <v>1</v>
      </c>
      <c r="P57" s="2" t="str">
        <f>VLOOKUP(O57, SubjectGroup!$A$2:$B$8, 2, FALSE)</f>
        <v>Christian Studies</v>
      </c>
      <c r="Q57" s="2" t="s">
        <v>473</v>
      </c>
      <c r="R57" s="2" t="str">
        <f t="shared" si="1"/>
        <v>Literature Level 8</v>
      </c>
      <c r="S57" s="2">
        <v>0.8</v>
      </c>
    </row>
    <row r="58" spans="1:20" ht="15.75" hidden="1" customHeight="1" x14ac:dyDescent="0.2">
      <c r="A58" s="2">
        <v>57</v>
      </c>
      <c r="B58" s="2" t="s">
        <v>532</v>
      </c>
      <c r="C58" s="2" t="s">
        <v>88</v>
      </c>
      <c r="E58" s="2">
        <v>8</v>
      </c>
      <c r="F58" s="2">
        <v>85</v>
      </c>
      <c r="G58" s="2">
        <v>96</v>
      </c>
      <c r="H58" s="2">
        <f t="shared" si="0"/>
        <v>12</v>
      </c>
      <c r="I58" s="2">
        <v>12</v>
      </c>
      <c r="J58" s="2">
        <v>5</v>
      </c>
      <c r="K58" s="2" t="str">
        <f>VLOOKUP(J58, Subject!$A$2:$B$15, 2, FALSE)</f>
        <v>Science</v>
      </c>
      <c r="L58" s="2" t="str">
        <f>VLOOKUP(J58, Subject!$A$2:$E$11, 5, FALSE)</f>
        <v>SC</v>
      </c>
      <c r="N58" s="2" t="s">
        <v>533</v>
      </c>
      <c r="O58" s="2">
        <v>2</v>
      </c>
      <c r="P58" s="2" t="str">
        <f>VLOOKUP(O58, SubjectGroup!$A$2:$B$8, 2, FALSE)</f>
        <v>Core Academic Studies</v>
      </c>
      <c r="Q58" s="2" t="s">
        <v>473</v>
      </c>
      <c r="R58" s="2" t="s">
        <v>534</v>
      </c>
      <c r="S58" s="2">
        <v>0.8</v>
      </c>
    </row>
    <row r="59" spans="1:20" ht="15.75" hidden="1" customHeight="1" x14ac:dyDescent="0.2">
      <c r="A59" s="2">
        <v>58</v>
      </c>
      <c r="C59" s="2" t="s">
        <v>535</v>
      </c>
      <c r="D59" s="2" t="s">
        <v>536</v>
      </c>
      <c r="E59" s="2">
        <v>8</v>
      </c>
      <c r="F59" s="2">
        <v>97</v>
      </c>
      <c r="G59" s="2">
        <v>108</v>
      </c>
      <c r="H59" s="2">
        <f t="shared" si="0"/>
        <v>12</v>
      </c>
      <c r="I59" s="2">
        <v>12</v>
      </c>
      <c r="J59" s="2">
        <v>6</v>
      </c>
      <c r="K59" s="2" t="str">
        <f>VLOOKUP(J59, Subject!$A$2:$B$15, 2, FALSE)</f>
        <v>Social Studies</v>
      </c>
      <c r="L59" s="2" t="str">
        <f>VLOOKUP(J59, Subject!$A$2:$E$11, 5, FALSE)</f>
        <v>SS</v>
      </c>
      <c r="M59" s="14" t="s">
        <v>537</v>
      </c>
      <c r="N59" s="2" t="s">
        <v>538</v>
      </c>
      <c r="O59" s="2">
        <v>1</v>
      </c>
      <c r="P59" s="2" t="str">
        <f>VLOOKUP(O59, SubjectGroup!$A$2:$B$8, 2, FALSE)</f>
        <v>Christian Studies</v>
      </c>
      <c r="Q59" s="2" t="s">
        <v>424</v>
      </c>
      <c r="R59" s="2" t="s">
        <v>539</v>
      </c>
      <c r="S59" s="2">
        <v>0.8</v>
      </c>
    </row>
    <row r="60" spans="1:20" ht="15.75" hidden="1" customHeight="1" x14ac:dyDescent="0.2">
      <c r="A60" s="2">
        <v>59</v>
      </c>
      <c r="B60" s="2" t="s">
        <v>89</v>
      </c>
      <c r="C60" s="2" t="s">
        <v>89</v>
      </c>
      <c r="D60" s="2" t="s">
        <v>540</v>
      </c>
      <c r="E60" s="2">
        <v>10</v>
      </c>
      <c r="F60" s="2">
        <v>97</v>
      </c>
      <c r="G60" s="2">
        <v>108</v>
      </c>
      <c r="H60" s="2">
        <f t="shared" si="0"/>
        <v>12</v>
      </c>
      <c r="I60" s="2">
        <v>12</v>
      </c>
      <c r="J60" s="2">
        <v>6</v>
      </c>
      <c r="K60" s="2" t="str">
        <f>VLOOKUP(J60, Subject!$A$2:$B$15, 2, FALSE)</f>
        <v>Social Studies</v>
      </c>
      <c r="L60" s="2" t="str">
        <f>VLOOKUP(J60, Subject!$A$2:$E$11, 5, FALSE)</f>
        <v>SS</v>
      </c>
      <c r="M60" s="14" t="s">
        <v>541</v>
      </c>
      <c r="N60" s="2" t="s">
        <v>542</v>
      </c>
      <c r="O60" s="2">
        <v>1</v>
      </c>
      <c r="P60" s="2" t="str">
        <f>VLOOKUP(O60, SubjectGroup!$A$2:$B$8, 2, FALSE)</f>
        <v>Christian Studies</v>
      </c>
      <c r="Q60" s="2" t="s">
        <v>424</v>
      </c>
      <c r="R60" s="2" t="s">
        <v>543</v>
      </c>
      <c r="S60" s="2">
        <v>0.8</v>
      </c>
      <c r="T60" s="2" t="s">
        <v>544</v>
      </c>
    </row>
    <row r="61" spans="1:20" ht="15.75" hidden="1" customHeight="1" x14ac:dyDescent="0.2">
      <c r="A61" s="2">
        <v>60</v>
      </c>
      <c r="B61" s="2" t="s">
        <v>545</v>
      </c>
      <c r="C61" s="2" t="s">
        <v>449</v>
      </c>
      <c r="E61" s="2">
        <v>8</v>
      </c>
      <c r="F61" s="2">
        <v>97</v>
      </c>
      <c r="G61" s="2">
        <v>108</v>
      </c>
      <c r="H61" s="2">
        <f t="shared" si="0"/>
        <v>12</v>
      </c>
      <c r="I61" s="2">
        <v>12</v>
      </c>
      <c r="J61" s="2">
        <v>7</v>
      </c>
      <c r="K61" s="2" t="str">
        <f>VLOOKUP(J61, Subject!$A$2:$B$15, 2, FALSE)</f>
        <v>Biblical Studies</v>
      </c>
      <c r="L61" s="2" t="str">
        <f>VLOOKUP(J61, Subject!$A$2:$E$11, 5, FALSE)</f>
        <v>BS</v>
      </c>
      <c r="N61" s="2" t="s">
        <v>546</v>
      </c>
      <c r="O61" s="2">
        <v>1</v>
      </c>
      <c r="P61" s="2" t="str">
        <f>VLOOKUP(O61, SubjectGroup!$A$2:$B$8, 2, FALSE)</f>
        <v>Christian Studies</v>
      </c>
      <c r="Q61" s="2" t="s">
        <v>473</v>
      </c>
      <c r="R61" s="2" t="str">
        <f t="shared" ref="R61:R68" si="2">C61</f>
        <v>New Testament Survey</v>
      </c>
      <c r="S61" s="2">
        <v>0.8</v>
      </c>
    </row>
    <row r="62" spans="1:20" ht="15.75" hidden="1" customHeight="1" x14ac:dyDescent="0.2">
      <c r="A62" s="2">
        <v>61</v>
      </c>
      <c r="C62" s="2" t="s">
        <v>450</v>
      </c>
      <c r="D62" s="2" t="s">
        <v>547</v>
      </c>
      <c r="E62" s="2">
        <v>9</v>
      </c>
      <c r="F62" s="2">
        <v>97</v>
      </c>
      <c r="G62" s="2">
        <v>108</v>
      </c>
      <c r="H62" s="2">
        <f t="shared" si="0"/>
        <v>12</v>
      </c>
      <c r="I62" s="2">
        <v>12</v>
      </c>
      <c r="J62" s="2">
        <v>1</v>
      </c>
      <c r="K62" s="2" t="str">
        <f>VLOOKUP(J62, Subject!$A$2:$B$15, 2, FALSE)</f>
        <v>Maths</v>
      </c>
      <c r="L62" s="2" t="str">
        <f>VLOOKUP(J62, Subject!$A$2:$E$11, 5, FALSE)</f>
        <v>MA</v>
      </c>
      <c r="N62" s="2" t="s">
        <v>548</v>
      </c>
      <c r="O62" s="2">
        <v>1</v>
      </c>
      <c r="P62" s="2" t="str">
        <f>VLOOKUP(O62, SubjectGroup!$A$2:$B$8, 2, FALSE)</f>
        <v>Christian Studies</v>
      </c>
      <c r="Q62" s="2" t="s">
        <v>473</v>
      </c>
      <c r="R62" s="2" t="str">
        <f t="shared" si="2"/>
        <v>Algebra I</v>
      </c>
      <c r="S62" s="2">
        <v>0.8</v>
      </c>
    </row>
    <row r="63" spans="1:20" ht="15.75" hidden="1" customHeight="1" x14ac:dyDescent="0.2">
      <c r="A63" s="2">
        <v>62</v>
      </c>
      <c r="C63" s="2" t="s">
        <v>451</v>
      </c>
      <c r="E63" s="2">
        <v>9</v>
      </c>
      <c r="F63" s="2">
        <v>97</v>
      </c>
      <c r="G63" s="2">
        <v>108</v>
      </c>
      <c r="H63" s="2">
        <f t="shared" si="0"/>
        <v>12</v>
      </c>
      <c r="I63" s="2">
        <v>12</v>
      </c>
      <c r="J63" s="2">
        <v>2</v>
      </c>
      <c r="K63" s="2" t="str">
        <f>VLOOKUP(J63, Subject!$A$2:$B$15, 2, FALSE)</f>
        <v>Language</v>
      </c>
      <c r="L63" s="2" t="str">
        <f>VLOOKUP(J63, Subject!$A$2:$E$11, 5, FALSE)</f>
        <v>LA</v>
      </c>
      <c r="N63" s="2" t="s">
        <v>476</v>
      </c>
      <c r="O63" s="2">
        <v>1</v>
      </c>
      <c r="P63" s="2" t="str">
        <f>VLOOKUP(O63, SubjectGroup!$A$2:$B$8, 2, FALSE)</f>
        <v>Christian Studies</v>
      </c>
      <c r="Q63" s="2" t="s">
        <v>473</v>
      </c>
      <c r="R63" s="2" t="str">
        <f t="shared" si="2"/>
        <v>English I</v>
      </c>
      <c r="S63" s="2">
        <v>0.8</v>
      </c>
    </row>
    <row r="64" spans="1:20" ht="15.75" hidden="1" customHeight="1" x14ac:dyDescent="0.2">
      <c r="A64" s="2">
        <v>63</v>
      </c>
      <c r="C64" s="2" t="s">
        <v>549</v>
      </c>
      <c r="E64" s="2">
        <v>9</v>
      </c>
      <c r="F64" s="2">
        <v>97</v>
      </c>
      <c r="G64" s="2">
        <v>108</v>
      </c>
      <c r="H64" s="2">
        <f t="shared" si="0"/>
        <v>12</v>
      </c>
      <c r="I64" s="2">
        <v>12</v>
      </c>
      <c r="J64" s="2">
        <v>2</v>
      </c>
      <c r="K64" s="2" t="str">
        <f>VLOOKUP(J64, Subject!$A$2:$B$15, 2, FALSE)</f>
        <v>Language</v>
      </c>
      <c r="L64" s="2" t="str">
        <f>VLOOKUP(J64, Subject!$A$2:$E$11, 5, FALSE)</f>
        <v>LA</v>
      </c>
      <c r="N64" s="2" t="s">
        <v>550</v>
      </c>
      <c r="O64" s="2">
        <v>1</v>
      </c>
      <c r="P64" s="2" t="str">
        <f>VLOOKUP(O64, SubjectGroup!$A$2:$B$8, 2, FALSE)</f>
        <v>Christian Studies</v>
      </c>
      <c r="Q64" s="2" t="s">
        <v>424</v>
      </c>
      <c r="R64" s="2" t="str">
        <f t="shared" si="2"/>
        <v>French I</v>
      </c>
      <c r="S64" s="2">
        <v>0.8</v>
      </c>
    </row>
    <row r="65" spans="1:19" ht="15.75" hidden="1" customHeight="1" x14ac:dyDescent="0.2">
      <c r="A65" s="2">
        <v>64</v>
      </c>
      <c r="C65" s="2" t="s">
        <v>551</v>
      </c>
      <c r="E65" s="2">
        <v>9</v>
      </c>
      <c r="F65" s="2">
        <v>1</v>
      </c>
      <c r="G65" s="2">
        <v>2</v>
      </c>
      <c r="H65" s="2">
        <f t="shared" si="0"/>
        <v>2</v>
      </c>
      <c r="J65" s="2">
        <v>2</v>
      </c>
      <c r="K65" s="2" t="str">
        <f>VLOOKUP(J65, Subject!$A$2:$B$15, 2, FALSE)</f>
        <v>Language</v>
      </c>
      <c r="L65" s="2" t="str">
        <f>VLOOKUP(J65, Subject!$A$2:$E$11, 5, FALSE)</f>
        <v>LA</v>
      </c>
      <c r="M65" s="2" t="s">
        <v>552</v>
      </c>
      <c r="N65" s="2" t="s">
        <v>553</v>
      </c>
      <c r="O65" s="2">
        <v>1</v>
      </c>
      <c r="P65" s="2" t="str">
        <f>VLOOKUP(O65, SubjectGroup!$A$2:$B$8, 2, FALSE)</f>
        <v>Christian Studies</v>
      </c>
      <c r="Q65" s="2" t="s">
        <v>424</v>
      </c>
      <c r="R65" s="2" t="str">
        <f t="shared" si="2"/>
        <v>Rosetta Stone Level 9</v>
      </c>
      <c r="S65" s="2">
        <v>0.8</v>
      </c>
    </row>
    <row r="66" spans="1:19" ht="15.75" hidden="1" customHeight="1" x14ac:dyDescent="0.2">
      <c r="A66" s="2">
        <v>65</v>
      </c>
      <c r="C66" s="2" t="s">
        <v>24</v>
      </c>
      <c r="E66" s="2">
        <v>9</v>
      </c>
      <c r="F66" s="2">
        <v>1</v>
      </c>
      <c r="G66" s="2">
        <v>12</v>
      </c>
      <c r="H66" s="2">
        <f t="shared" si="0"/>
        <v>12</v>
      </c>
      <c r="I66" s="2">
        <v>12</v>
      </c>
      <c r="J66" s="2">
        <v>2</v>
      </c>
      <c r="K66" s="2" t="str">
        <f>VLOOKUP(J66, Subject!$A$2:$B$15, 2, FALSE)</f>
        <v>Language</v>
      </c>
      <c r="L66" s="2" t="str">
        <f>VLOOKUP(J66, Subject!$A$2:$E$11, 5, FALSE)</f>
        <v>LA</v>
      </c>
      <c r="N66" s="2" t="s">
        <v>533</v>
      </c>
      <c r="O66" s="2">
        <v>1</v>
      </c>
      <c r="P66" s="2" t="str">
        <f>VLOOKUP(O66, SubjectGroup!$A$2:$B$8, 2, FALSE)</f>
        <v>Christian Studies</v>
      </c>
      <c r="Q66" s="2" t="s">
        <v>424</v>
      </c>
      <c r="R66" s="2" t="str">
        <f t="shared" si="2"/>
        <v>Spanish I</v>
      </c>
      <c r="S66" s="2">
        <v>0.8</v>
      </c>
    </row>
    <row r="67" spans="1:19" ht="15.75" hidden="1" customHeight="1" x14ac:dyDescent="0.2">
      <c r="A67" s="2">
        <v>66</v>
      </c>
      <c r="C67" s="2" t="s">
        <v>554</v>
      </c>
      <c r="E67" s="2">
        <v>9</v>
      </c>
      <c r="F67" s="2">
        <v>97</v>
      </c>
      <c r="G67" s="2">
        <v>108</v>
      </c>
      <c r="H67" s="2">
        <f t="shared" si="0"/>
        <v>12</v>
      </c>
      <c r="I67" s="2">
        <v>12</v>
      </c>
      <c r="J67" s="2">
        <v>10</v>
      </c>
      <c r="K67" s="2" t="str">
        <f>VLOOKUP(J67, Subject!$A$2:$B$15, 2, FALSE)</f>
        <v>Supplementary</v>
      </c>
      <c r="L67" s="2" t="str">
        <f>VLOOKUP(J67, Subject!$A$2:$E$11, 5, FALSE)</f>
        <v>SU</v>
      </c>
      <c r="N67" s="2" t="s">
        <v>555</v>
      </c>
      <c r="O67" s="2">
        <v>2</v>
      </c>
      <c r="P67" s="2" t="str">
        <f>VLOOKUP(O67, SubjectGroup!$A$2:$B$8, 2, FALSE)</f>
        <v>Core Academic Studies</v>
      </c>
      <c r="Q67" s="2" t="s">
        <v>424</v>
      </c>
      <c r="R67" s="2" t="str">
        <f t="shared" si="2"/>
        <v>Advanced Art</v>
      </c>
      <c r="S67" s="2">
        <v>0.8</v>
      </c>
    </row>
    <row r="68" spans="1:19" ht="15.75" hidden="1" customHeight="1" x14ac:dyDescent="0.2">
      <c r="A68" s="2">
        <v>67</v>
      </c>
      <c r="C68" s="2" t="s">
        <v>556</v>
      </c>
      <c r="E68" s="2">
        <v>9</v>
      </c>
      <c r="F68" s="2">
        <v>1</v>
      </c>
      <c r="G68" s="2">
        <v>10</v>
      </c>
      <c r="H68" s="2">
        <f t="shared" si="0"/>
        <v>10</v>
      </c>
      <c r="J68" s="2">
        <v>10</v>
      </c>
      <c r="K68" s="2" t="str">
        <f>VLOOKUP(J68, Subject!$A$2:$B$15, 2, FALSE)</f>
        <v>Supplementary</v>
      </c>
      <c r="L68" s="2" t="str">
        <f>VLOOKUP(J68, Subject!$A$2:$E$11, 5, FALSE)</f>
        <v>SU</v>
      </c>
      <c r="N68" s="2" t="s">
        <v>557</v>
      </c>
      <c r="O68" s="2">
        <v>2</v>
      </c>
      <c r="P68" s="2" t="str">
        <f>VLOOKUP(O68, SubjectGroup!$A$2:$B$8, 2, FALSE)</f>
        <v>Core Academic Studies</v>
      </c>
      <c r="Q68" s="2" t="s">
        <v>424</v>
      </c>
      <c r="R68" s="2" t="str">
        <f t="shared" si="2"/>
        <v>Complete Art</v>
      </c>
      <c r="S68" s="2">
        <v>0.8</v>
      </c>
    </row>
    <row r="69" spans="1:19" ht="15.75" hidden="1" customHeight="1" x14ac:dyDescent="0.2">
      <c r="A69" s="2">
        <v>68</v>
      </c>
      <c r="C69" s="2" t="s">
        <v>558</v>
      </c>
      <c r="E69" s="2">
        <v>9</v>
      </c>
      <c r="F69" s="2">
        <v>97</v>
      </c>
      <c r="G69" s="2">
        <v>108</v>
      </c>
      <c r="H69" s="2">
        <f t="shared" si="0"/>
        <v>12</v>
      </c>
      <c r="I69" s="2">
        <v>12</v>
      </c>
      <c r="J69" s="2">
        <v>3</v>
      </c>
      <c r="K69" s="2" t="str">
        <f>VLOOKUP(J69, Subject!$A$2:$B$15, 2, FALSE)</f>
        <v>Word Building</v>
      </c>
      <c r="L69" s="2" t="str">
        <f>VLOOKUP(J69, Subject!$A$2:$E$11, 5, FALSE)</f>
        <v>WB</v>
      </c>
      <c r="N69" s="2" t="s">
        <v>559</v>
      </c>
      <c r="O69" s="2">
        <v>1</v>
      </c>
      <c r="P69" s="2" t="str">
        <f>VLOOKUP(O69, SubjectGroup!$A$2:$B$8, 2, FALSE)</f>
        <v>Christian Studies</v>
      </c>
      <c r="Q69" s="2" t="s">
        <v>473</v>
      </c>
      <c r="R69" s="2" t="s">
        <v>560</v>
      </c>
      <c r="S69" s="2">
        <v>0.9</v>
      </c>
    </row>
    <row r="70" spans="1:19" ht="15.75" hidden="1" customHeight="1" x14ac:dyDescent="0.2">
      <c r="A70" s="2">
        <v>69</v>
      </c>
      <c r="C70" s="2" t="s">
        <v>70</v>
      </c>
      <c r="E70" s="2">
        <v>9</v>
      </c>
      <c r="F70" s="2">
        <v>1</v>
      </c>
      <c r="G70" s="2">
        <v>6</v>
      </c>
      <c r="H70" s="2">
        <f t="shared" si="0"/>
        <v>6</v>
      </c>
      <c r="J70" s="2">
        <v>10</v>
      </c>
      <c r="K70" s="2" t="str">
        <f>VLOOKUP(J70, Subject!$A$2:$B$15, 2, FALSE)</f>
        <v>Supplementary</v>
      </c>
      <c r="L70" s="2" t="str">
        <f>VLOOKUP(J70, Subject!$A$2:$E$11, 5, FALSE)</f>
        <v>SU</v>
      </c>
      <c r="N70" s="2" t="s">
        <v>561</v>
      </c>
      <c r="O70" s="2">
        <v>3</v>
      </c>
      <c r="P70" s="2" t="str">
        <f>VLOOKUP(O70, SubjectGroup!$A$2:$B$8, 2, FALSE)</f>
        <v>Core Expanded Studies</v>
      </c>
      <c r="Q70" s="2" t="s">
        <v>424</v>
      </c>
      <c r="R70" s="2" t="str">
        <f t="shared" ref="R70:R75" si="3">C70</f>
        <v>Music</v>
      </c>
      <c r="S70" s="2">
        <v>0.8</v>
      </c>
    </row>
    <row r="71" spans="1:19" ht="15.75" hidden="1" customHeight="1" x14ac:dyDescent="0.2">
      <c r="A71" s="2">
        <v>70</v>
      </c>
      <c r="C71" s="2" t="s">
        <v>562</v>
      </c>
      <c r="E71" s="2">
        <v>9</v>
      </c>
      <c r="F71" s="2">
        <v>5</v>
      </c>
      <c r="G71" s="2">
        <v>6</v>
      </c>
      <c r="H71" s="2">
        <f t="shared" si="0"/>
        <v>2</v>
      </c>
      <c r="I71" s="2">
        <v>12</v>
      </c>
      <c r="J71" s="2">
        <v>10</v>
      </c>
      <c r="K71" s="2" t="str">
        <f>VLOOKUP(J71, Subject!$A$2:$B$15, 2, FALSE)</f>
        <v>Supplementary</v>
      </c>
      <c r="L71" s="2" t="str">
        <f>VLOOKUP(J71, Subject!$A$2:$E$11, 5, FALSE)</f>
        <v>SU</v>
      </c>
      <c r="N71" s="2" t="s">
        <v>563</v>
      </c>
      <c r="O71" s="2">
        <v>3</v>
      </c>
      <c r="P71" s="2" t="str">
        <f>VLOOKUP(O71, SubjectGroup!$A$2:$B$8, 2, FALSE)</f>
        <v>Core Expanded Studies</v>
      </c>
      <c r="Q71" s="2" t="s">
        <v>424</v>
      </c>
      <c r="R71" s="2" t="str">
        <f t="shared" si="3"/>
        <v>Music Theory/Performance Grade 5</v>
      </c>
      <c r="S71" s="2">
        <v>0.8</v>
      </c>
    </row>
    <row r="72" spans="1:19" ht="15.75" hidden="1" customHeight="1" x14ac:dyDescent="0.2">
      <c r="A72" s="2">
        <v>71</v>
      </c>
      <c r="C72" s="2" t="s">
        <v>564</v>
      </c>
      <c r="E72" s="2">
        <v>9</v>
      </c>
      <c r="F72" s="2">
        <v>5</v>
      </c>
      <c r="G72" s="2">
        <v>6</v>
      </c>
      <c r="H72" s="2">
        <f t="shared" si="0"/>
        <v>2</v>
      </c>
      <c r="I72" s="2">
        <v>12</v>
      </c>
      <c r="J72" s="2">
        <v>10</v>
      </c>
      <c r="K72" s="2" t="str">
        <f>VLOOKUP(J72, Subject!$A$2:$B$15, 2, FALSE)</f>
        <v>Supplementary</v>
      </c>
      <c r="L72" s="2" t="str">
        <f>VLOOKUP(J72, Subject!$A$2:$E$11, 5, FALSE)</f>
        <v>SU</v>
      </c>
      <c r="M72" s="2" t="s">
        <v>565</v>
      </c>
      <c r="N72" s="2" t="s">
        <v>563</v>
      </c>
      <c r="O72" s="2">
        <v>3</v>
      </c>
      <c r="P72" s="2" t="str">
        <f>VLOOKUP(O72, SubjectGroup!$A$2:$B$8, 2, FALSE)</f>
        <v>Core Expanded Studies</v>
      </c>
      <c r="Q72" s="2" t="s">
        <v>424</v>
      </c>
      <c r="R72" s="2" t="str">
        <f t="shared" si="3"/>
        <v>Music Theory/Performance</v>
      </c>
      <c r="S72" s="2">
        <v>0.8</v>
      </c>
    </row>
    <row r="73" spans="1:19" ht="15.75" hidden="1" customHeight="1" x14ac:dyDescent="0.2">
      <c r="A73" s="2">
        <v>72</v>
      </c>
      <c r="C73" s="2" t="s">
        <v>25</v>
      </c>
      <c r="E73" s="2">
        <v>9</v>
      </c>
      <c r="F73" s="2">
        <v>1</v>
      </c>
      <c r="G73" s="2">
        <v>6</v>
      </c>
      <c r="H73" s="2">
        <f t="shared" si="0"/>
        <v>6</v>
      </c>
      <c r="J73" s="2">
        <v>3</v>
      </c>
      <c r="K73" s="2" t="str">
        <f>VLOOKUP(J73, Subject!$A$2:$B$15, 2, FALSE)</f>
        <v>Word Building</v>
      </c>
      <c r="L73" s="2" t="str">
        <f>VLOOKUP(J73, Subject!$A$2:$E$11, 5, FALSE)</f>
        <v>WB</v>
      </c>
      <c r="N73" s="2" t="s">
        <v>566</v>
      </c>
      <c r="O73" s="2">
        <v>3</v>
      </c>
      <c r="P73" s="2" t="str">
        <f>VLOOKUP(O73, SubjectGroup!$A$2:$B$8, 2, FALSE)</f>
        <v>Core Expanded Studies</v>
      </c>
      <c r="Q73" s="2" t="s">
        <v>473</v>
      </c>
      <c r="R73" s="2" t="str">
        <f t="shared" si="3"/>
        <v>Speech</v>
      </c>
      <c r="S73" s="2">
        <v>0.8</v>
      </c>
    </row>
    <row r="74" spans="1:19" ht="15.75" hidden="1" customHeight="1" x14ac:dyDescent="0.2">
      <c r="A74" s="2">
        <v>73</v>
      </c>
      <c r="C74" s="16" t="s">
        <v>567</v>
      </c>
      <c r="D74" s="16"/>
      <c r="E74" s="2">
        <v>9</v>
      </c>
      <c r="F74" s="2">
        <v>1</v>
      </c>
      <c r="G74" s="2">
        <v>4</v>
      </c>
      <c r="H74" s="2">
        <f t="shared" si="0"/>
        <v>4</v>
      </c>
      <c r="I74" s="2">
        <v>6</v>
      </c>
      <c r="J74" s="2">
        <v>4</v>
      </c>
      <c r="K74" s="2" t="str">
        <f>VLOOKUP(J74, Subject!$A$2:$B$15, 2, FALSE)</f>
        <v>Literature</v>
      </c>
      <c r="L74" s="2" t="str">
        <f>VLOOKUP(J74, Subject!$A$2:$E$11, 5, FALSE)</f>
        <v>LI</v>
      </c>
      <c r="M74" s="2" t="s">
        <v>568</v>
      </c>
      <c r="N74" s="2" t="s">
        <v>569</v>
      </c>
      <c r="O74" s="2">
        <v>2</v>
      </c>
      <c r="P74" s="2" t="str">
        <f>VLOOKUP(O74, SubjectGroup!$A$2:$B$8, 2, FALSE)</f>
        <v>Core Academic Studies</v>
      </c>
      <c r="Q74" s="2" t="s">
        <v>473</v>
      </c>
      <c r="R74" s="2" t="str">
        <f t="shared" si="3"/>
        <v>ICCE Literature Level 9</v>
      </c>
      <c r="S74" s="2">
        <v>0.8</v>
      </c>
    </row>
    <row r="75" spans="1:19" ht="15.75" hidden="1" customHeight="1" x14ac:dyDescent="0.2">
      <c r="A75" s="2">
        <v>74</v>
      </c>
      <c r="C75" s="2" t="s">
        <v>570</v>
      </c>
      <c r="E75" s="2">
        <v>9</v>
      </c>
      <c r="F75" s="2">
        <v>1</v>
      </c>
      <c r="G75" s="2">
        <v>5</v>
      </c>
      <c r="H75" s="2">
        <f t="shared" si="0"/>
        <v>5</v>
      </c>
      <c r="J75" s="2">
        <v>5</v>
      </c>
      <c r="K75" s="2" t="str">
        <f>VLOOKUP(J75, Subject!$A$2:$B$15, 2, FALSE)</f>
        <v>Science</v>
      </c>
      <c r="L75" s="2" t="str">
        <f>VLOOKUP(J75, Subject!$A$2:$E$11, 5, FALSE)</f>
        <v>SC</v>
      </c>
      <c r="N75" s="2" t="s">
        <v>571</v>
      </c>
      <c r="O75" s="2">
        <v>2</v>
      </c>
      <c r="P75" s="2" t="str">
        <f>VLOOKUP(O75, SubjectGroup!$A$2:$B$8, 2, FALSE)</f>
        <v>Core Academic Studies</v>
      </c>
      <c r="Q75" s="2" t="s">
        <v>424</v>
      </c>
      <c r="R75" s="2" t="str">
        <f t="shared" si="3"/>
        <v>Astronomy</v>
      </c>
      <c r="S75" s="2">
        <v>0.8</v>
      </c>
    </row>
    <row r="76" spans="1:19" ht="15.75" hidden="1" customHeight="1" x14ac:dyDescent="0.2">
      <c r="A76" s="2">
        <v>75</v>
      </c>
      <c r="B76" s="2" t="s">
        <v>572</v>
      </c>
      <c r="C76" s="2" t="s">
        <v>573</v>
      </c>
      <c r="E76" s="2">
        <v>9</v>
      </c>
      <c r="F76" s="2">
        <v>97</v>
      </c>
      <c r="G76" s="2">
        <v>108</v>
      </c>
      <c r="H76" s="2">
        <f t="shared" si="0"/>
        <v>12</v>
      </c>
      <c r="I76" s="2">
        <v>12</v>
      </c>
      <c r="J76" s="2">
        <v>5</v>
      </c>
      <c r="K76" s="2" t="str">
        <f>VLOOKUP(J76, Subject!$A$2:$B$15, 2, FALSE)</f>
        <v>Science</v>
      </c>
      <c r="L76" s="2" t="str">
        <f>VLOOKUP(J76, Subject!$A$2:$E$11, 5, FALSE)</f>
        <v>SC</v>
      </c>
      <c r="N76" s="2" t="s">
        <v>574</v>
      </c>
      <c r="O76" s="2">
        <v>2</v>
      </c>
      <c r="P76" s="2" t="str">
        <f>VLOOKUP(O76, SubjectGroup!$A$2:$B$8, 2, FALSE)</f>
        <v>Core Academic Studies</v>
      </c>
      <c r="Q76" s="2" t="s">
        <v>473</v>
      </c>
      <c r="R76" s="2" t="s">
        <v>575</v>
      </c>
      <c r="S76" s="2">
        <v>0.8</v>
      </c>
    </row>
    <row r="77" spans="1:19" ht="15.75" hidden="1" customHeight="1" x14ac:dyDescent="0.2">
      <c r="A77" s="2">
        <v>76</v>
      </c>
      <c r="C77" s="2" t="s">
        <v>8</v>
      </c>
      <c r="E77" s="2">
        <v>9</v>
      </c>
      <c r="F77" s="2">
        <v>1</v>
      </c>
      <c r="G77" s="2">
        <v>6</v>
      </c>
      <c r="H77" s="2">
        <f t="shared" si="0"/>
        <v>6</v>
      </c>
      <c r="J77" s="2">
        <v>5</v>
      </c>
      <c r="K77" s="2" t="str">
        <f>VLOOKUP(J77, Subject!$A$2:$B$15, 2, FALSE)</f>
        <v>Science</v>
      </c>
      <c r="L77" s="2" t="str">
        <f>VLOOKUP(J77, Subject!$A$2:$E$11, 5, FALSE)</f>
        <v>SC</v>
      </c>
      <c r="N77" s="2" t="s">
        <v>576</v>
      </c>
      <c r="O77" s="2">
        <v>2</v>
      </c>
      <c r="P77" s="2" t="str">
        <f>VLOOKUP(O77, SubjectGroup!$A$2:$B$8, 2, FALSE)</f>
        <v>Core Academic Studies</v>
      </c>
      <c r="Q77" s="2" t="s">
        <v>424</v>
      </c>
      <c r="R77" s="2" t="str">
        <f t="shared" ref="R77:R80" si="4">C77</f>
        <v>Health</v>
      </c>
      <c r="S77" s="2">
        <v>0.8</v>
      </c>
    </row>
    <row r="78" spans="1:19" ht="15.75" hidden="1" customHeight="1" x14ac:dyDescent="0.2">
      <c r="A78" s="2">
        <v>77</v>
      </c>
      <c r="C78" s="2" t="s">
        <v>27</v>
      </c>
      <c r="E78" s="2">
        <v>9</v>
      </c>
      <c r="F78" s="2">
        <v>1</v>
      </c>
      <c r="G78" s="2">
        <v>6</v>
      </c>
      <c r="H78" s="2">
        <f t="shared" si="0"/>
        <v>6</v>
      </c>
      <c r="J78" s="2">
        <v>5</v>
      </c>
      <c r="K78" s="2" t="str">
        <f>VLOOKUP(J78, Subject!$A$2:$B$15, 2, FALSE)</f>
        <v>Science</v>
      </c>
      <c r="L78" s="2" t="str">
        <f>VLOOKUP(J78, Subject!$A$2:$E$11, 5, FALSE)</f>
        <v>SC</v>
      </c>
      <c r="N78" s="2" t="s">
        <v>577</v>
      </c>
      <c r="O78" s="2">
        <v>2</v>
      </c>
      <c r="P78" s="2" t="str">
        <f>VLOOKUP(O78, SubjectGroup!$A$2:$B$8, 2, FALSE)</f>
        <v>Core Academic Studies</v>
      </c>
      <c r="Q78" s="2" t="s">
        <v>424</v>
      </c>
      <c r="R78" s="2" t="str">
        <f t="shared" si="4"/>
        <v>Nutrition Science</v>
      </c>
      <c r="S78" s="2">
        <v>0.8</v>
      </c>
    </row>
    <row r="79" spans="1:19" ht="15.75" hidden="1" customHeight="1" x14ac:dyDescent="0.2">
      <c r="A79" s="2">
        <v>78</v>
      </c>
      <c r="C79" s="16" t="s">
        <v>578</v>
      </c>
      <c r="D79" s="16"/>
      <c r="E79" s="2">
        <v>9</v>
      </c>
      <c r="F79" s="9">
        <v>1</v>
      </c>
      <c r="G79" s="9">
        <v>4</v>
      </c>
      <c r="H79" s="2">
        <f t="shared" si="0"/>
        <v>4</v>
      </c>
      <c r="I79" s="2">
        <v>12</v>
      </c>
      <c r="J79" s="2">
        <v>5</v>
      </c>
      <c r="K79" s="2" t="str">
        <f>VLOOKUP(J79, Subject!$A$2:$B$15, 2, FALSE)</f>
        <v>Science</v>
      </c>
      <c r="L79" s="2" t="str">
        <f>VLOOKUP(J79, Subject!$A$2:$E$11, 5, FALSE)</f>
        <v>SC</v>
      </c>
      <c r="M79" s="2" t="s">
        <v>579</v>
      </c>
      <c r="N79" s="2" t="s">
        <v>566</v>
      </c>
      <c r="O79" s="2">
        <v>3</v>
      </c>
      <c r="P79" s="2" t="str">
        <f>VLOOKUP(O79, SubjectGroup!$A$2:$B$8, 2, FALSE)</f>
        <v>Core Expanded Studies</v>
      </c>
      <c r="Q79" s="2" t="s">
        <v>424</v>
      </c>
      <c r="R79" s="2" t="str">
        <f t="shared" si="4"/>
        <v>Sport + Health</v>
      </c>
      <c r="S79" s="2">
        <v>0.8</v>
      </c>
    </row>
    <row r="80" spans="1:19" ht="15.75" hidden="1" customHeight="1" x14ac:dyDescent="0.2">
      <c r="A80" s="2">
        <v>79</v>
      </c>
      <c r="C80" s="9" t="s">
        <v>580</v>
      </c>
      <c r="D80" s="9"/>
      <c r="E80" s="2">
        <v>9</v>
      </c>
      <c r="H80" s="2">
        <f t="shared" si="0"/>
        <v>1</v>
      </c>
      <c r="I80" s="2">
        <v>6</v>
      </c>
      <c r="J80" s="2">
        <v>10</v>
      </c>
      <c r="K80" s="2" t="str">
        <f>VLOOKUP(J80, Subject!$A$2:$B$15, 2, FALSE)</f>
        <v>Supplementary</v>
      </c>
      <c r="L80" s="2" t="str">
        <f>VLOOKUP(J80, Subject!$A$2:$E$11, 5, FALSE)</f>
        <v>SU</v>
      </c>
      <c r="N80" s="2" t="s">
        <v>581</v>
      </c>
      <c r="O80" s="2">
        <v>4</v>
      </c>
      <c r="P80" s="2" t="str">
        <f>VLOOKUP(O80, SubjectGroup!$A$2:$B$8, 2, FALSE)</f>
        <v>Applied Studies</v>
      </c>
      <c r="Q80" s="2" t="s">
        <v>424</v>
      </c>
      <c r="R80" s="2" t="str">
        <f t="shared" si="4"/>
        <v>A.C.E. Training</v>
      </c>
      <c r="S80" s="2">
        <v>0.8</v>
      </c>
    </row>
    <row r="81" spans="1:19" ht="15.75" hidden="1" customHeight="1" x14ac:dyDescent="0.2">
      <c r="A81" s="2">
        <v>80</v>
      </c>
      <c r="C81" s="2" t="s">
        <v>69</v>
      </c>
      <c r="D81" s="2" t="s">
        <v>582</v>
      </c>
      <c r="E81" s="2">
        <v>9</v>
      </c>
      <c r="F81" s="2">
        <v>97</v>
      </c>
      <c r="G81" s="2">
        <v>108</v>
      </c>
      <c r="H81" s="2">
        <f t="shared" si="0"/>
        <v>12</v>
      </c>
      <c r="I81" s="2">
        <v>12</v>
      </c>
      <c r="J81" s="2">
        <v>6</v>
      </c>
      <c r="K81" s="2" t="str">
        <f>VLOOKUP(J81, Subject!$A$2:$B$15, 2, FALSE)</f>
        <v>Social Studies</v>
      </c>
      <c r="L81" s="2" t="str">
        <f>VLOOKUP(J81, Subject!$A$2:$E$11, 5, FALSE)</f>
        <v>SS</v>
      </c>
      <c r="M81" s="14"/>
      <c r="N81" s="2" t="s">
        <v>583</v>
      </c>
      <c r="O81" s="2">
        <v>2</v>
      </c>
      <c r="P81" s="2" t="str">
        <f>VLOOKUP(O81, SubjectGroup!$A$2:$B$8, 2, FALSE)</f>
        <v>Core Academic Studies</v>
      </c>
      <c r="Q81" s="2" t="s">
        <v>473</v>
      </c>
      <c r="R81" s="2" t="s">
        <v>584</v>
      </c>
      <c r="S81" s="2">
        <v>0.8</v>
      </c>
    </row>
    <row r="82" spans="1:19" ht="15.75" customHeight="1" x14ac:dyDescent="0.2">
      <c r="A82" s="2">
        <v>81</v>
      </c>
      <c r="C82" s="2" t="s">
        <v>454</v>
      </c>
      <c r="D82" s="2" t="s">
        <v>2047</v>
      </c>
      <c r="E82" s="2">
        <v>9</v>
      </c>
      <c r="F82" s="2">
        <v>1</v>
      </c>
      <c r="G82" s="2">
        <v>2</v>
      </c>
      <c r="H82" s="2">
        <f t="shared" si="0"/>
        <v>2</v>
      </c>
      <c r="I82" s="2">
        <v>3</v>
      </c>
      <c r="J82" s="2">
        <v>7</v>
      </c>
      <c r="K82" s="2" t="str">
        <f>VLOOKUP(J82, Subject!$A$2:$B$15, 2, FALSE)</f>
        <v>Biblical Studies</v>
      </c>
      <c r="L82" s="2" t="str">
        <f>VLOOKUP(J82, Subject!$A$2:$E$11, 5, FALSE)</f>
        <v>BS</v>
      </c>
      <c r="M82" s="2" t="s">
        <v>2055</v>
      </c>
      <c r="N82" s="2" t="s">
        <v>585</v>
      </c>
      <c r="O82" s="2">
        <v>1</v>
      </c>
      <c r="P82" s="2" t="str">
        <f>VLOOKUP(O82, SubjectGroup!$A$2:$B$8, 2, FALSE)</f>
        <v>Christian Studies</v>
      </c>
      <c r="Q82" s="2" t="s">
        <v>473</v>
      </c>
      <c r="R82" s="2" t="str">
        <f t="shared" ref="R82:R90" si="5">C82</f>
        <v>Apologetics I</v>
      </c>
      <c r="S82" s="2">
        <v>0.8</v>
      </c>
    </row>
    <row r="83" spans="1:19" ht="15.75" hidden="1" customHeight="1" x14ac:dyDescent="0.2">
      <c r="A83" s="2">
        <v>82</v>
      </c>
      <c r="C83" s="2" t="s">
        <v>21</v>
      </c>
      <c r="E83" s="2">
        <v>9</v>
      </c>
      <c r="F83" s="2">
        <v>1</v>
      </c>
      <c r="G83" s="2">
        <v>6</v>
      </c>
      <c r="H83" s="2">
        <f t="shared" si="0"/>
        <v>6</v>
      </c>
      <c r="I83" s="2">
        <v>6</v>
      </c>
      <c r="J83" s="2">
        <v>7</v>
      </c>
      <c r="K83" s="2" t="str">
        <f>VLOOKUP(J83, Subject!$A$2:$B$15, 2, FALSE)</f>
        <v>Biblical Studies</v>
      </c>
      <c r="L83" s="2" t="str">
        <f>VLOOKUP(J83, Subject!$A$2:$E$11, 5, FALSE)</f>
        <v>BS</v>
      </c>
      <c r="N83" s="2" t="s">
        <v>586</v>
      </c>
      <c r="O83" s="2">
        <v>1</v>
      </c>
      <c r="P83" s="2" t="str">
        <f>VLOOKUP(O83, SubjectGroup!$A$2:$B$8, 2, FALSE)</f>
        <v>Christian Studies</v>
      </c>
      <c r="Q83" s="2" t="s">
        <v>424</v>
      </c>
      <c r="R83" s="2" t="str">
        <f t="shared" si="5"/>
        <v>Missions</v>
      </c>
      <c r="S83" s="2">
        <v>0.8</v>
      </c>
    </row>
    <row r="84" spans="1:19" ht="15.75" hidden="1" customHeight="1" x14ac:dyDescent="0.2">
      <c r="A84" s="2">
        <v>83</v>
      </c>
      <c r="B84" s="2" t="s">
        <v>16</v>
      </c>
      <c r="C84" s="2" t="s">
        <v>16</v>
      </c>
      <c r="E84" s="2">
        <v>9</v>
      </c>
      <c r="F84" s="2">
        <v>1</v>
      </c>
      <c r="G84" s="2">
        <v>12</v>
      </c>
      <c r="H84" s="2">
        <f t="shared" si="0"/>
        <v>12</v>
      </c>
      <c r="I84" s="2">
        <v>12</v>
      </c>
      <c r="J84" s="2">
        <v>7</v>
      </c>
      <c r="K84" s="2" t="str">
        <f>VLOOKUP(J84, Subject!$A$2:$B$15, 2, FALSE)</f>
        <v>Biblical Studies</v>
      </c>
      <c r="L84" s="2" t="str">
        <f>VLOOKUP(J84, Subject!$A$2:$E$11, 5, FALSE)</f>
        <v>BS</v>
      </c>
      <c r="M84" s="2" t="s">
        <v>587</v>
      </c>
      <c r="N84" s="2" t="s">
        <v>588</v>
      </c>
      <c r="O84" s="2">
        <v>1</v>
      </c>
      <c r="P84" s="2" t="str">
        <f>VLOOKUP(O84, SubjectGroup!$A$2:$B$8, 2, FALSE)</f>
        <v>Christian Studies</v>
      </c>
      <c r="Q84" s="2" t="s">
        <v>473</v>
      </c>
      <c r="R84" s="2" t="str">
        <f t="shared" si="5"/>
        <v>Successful Living</v>
      </c>
      <c r="S84" s="2">
        <v>0.8</v>
      </c>
    </row>
    <row r="85" spans="1:19" ht="15.75" hidden="1" customHeight="1" x14ac:dyDescent="0.2">
      <c r="A85" s="2">
        <v>84</v>
      </c>
      <c r="C85" s="9" t="s">
        <v>589</v>
      </c>
      <c r="D85" s="9"/>
      <c r="E85" s="2">
        <v>9</v>
      </c>
      <c r="H85" s="2">
        <f t="shared" si="0"/>
        <v>1</v>
      </c>
      <c r="I85" s="2">
        <v>12</v>
      </c>
      <c r="J85" s="2">
        <v>10</v>
      </c>
      <c r="K85" s="2" t="str">
        <f>VLOOKUP(J85, Subject!$A$2:$B$15, 2, FALSE)</f>
        <v>Supplementary</v>
      </c>
      <c r="L85" s="2" t="str">
        <f>VLOOKUP(J85, Subject!$A$2:$E$11, 5, FALSE)</f>
        <v>SU</v>
      </c>
      <c r="N85" s="2" t="s">
        <v>590</v>
      </c>
      <c r="O85" s="2">
        <v>4</v>
      </c>
      <c r="P85" s="2" t="str">
        <f>VLOOKUP(O85, SubjectGroup!$A$2:$B$8, 2, FALSE)</f>
        <v>Applied Studies</v>
      </c>
      <c r="Q85" s="2" t="s">
        <v>424</v>
      </c>
      <c r="R85" s="2" t="str">
        <f t="shared" si="5"/>
        <v>A.C.E. Training + 30 hours of service</v>
      </c>
      <c r="S85" s="2">
        <v>0.8</v>
      </c>
    </row>
    <row r="86" spans="1:19" ht="15.75" hidden="1" customHeight="1" x14ac:dyDescent="0.2">
      <c r="A86" s="2">
        <v>85</v>
      </c>
      <c r="C86" s="2" t="s">
        <v>591</v>
      </c>
      <c r="E86" s="2">
        <v>9</v>
      </c>
      <c r="F86" s="2">
        <v>1</v>
      </c>
      <c r="G86" s="2">
        <v>8</v>
      </c>
      <c r="H86" s="2">
        <f t="shared" si="0"/>
        <v>8</v>
      </c>
      <c r="J86" s="2">
        <v>10</v>
      </c>
      <c r="K86" s="2" t="str">
        <f>VLOOKUP(J86, Subject!$A$2:$B$15, 2, FALSE)</f>
        <v>Supplementary</v>
      </c>
      <c r="L86" s="2" t="str">
        <f>VLOOKUP(J86, Subject!$A$2:$E$11, 5, FALSE)</f>
        <v>SU</v>
      </c>
      <c r="M86" s="9" t="s">
        <v>592</v>
      </c>
      <c r="N86" s="2" t="s">
        <v>593</v>
      </c>
      <c r="O86" s="2">
        <v>3</v>
      </c>
      <c r="P86" s="2" t="str">
        <f>VLOOKUP(O86, SubjectGroup!$A$2:$B$8, 2, FALSE)</f>
        <v>Core Expanded Studies</v>
      </c>
      <c r="Q86" s="2" t="s">
        <v>473</v>
      </c>
      <c r="R86" s="2" t="str">
        <f t="shared" si="5"/>
        <v>ECDL Course</v>
      </c>
      <c r="S86" s="2">
        <v>0.8</v>
      </c>
    </row>
    <row r="87" spans="1:19" ht="15.75" hidden="1" customHeight="1" x14ac:dyDescent="0.2">
      <c r="A87" s="2">
        <v>86</v>
      </c>
      <c r="C87" s="2" t="s">
        <v>74</v>
      </c>
      <c r="D87" s="2" t="s">
        <v>594</v>
      </c>
      <c r="E87" s="2">
        <v>10</v>
      </c>
      <c r="F87" s="2">
        <v>109</v>
      </c>
      <c r="G87" s="2">
        <v>120</v>
      </c>
      <c r="H87" s="2">
        <f t="shared" si="0"/>
        <v>12</v>
      </c>
      <c r="I87" s="2">
        <v>12</v>
      </c>
      <c r="J87" s="2">
        <v>1</v>
      </c>
      <c r="K87" s="2" t="str">
        <f>VLOOKUP(J87, Subject!$A$2:$B$15, 2, FALSE)</f>
        <v>Maths</v>
      </c>
      <c r="L87" s="2" t="str">
        <f>VLOOKUP(J87, Subject!$A$2:$E$11, 5, FALSE)</f>
        <v>MA</v>
      </c>
      <c r="N87" s="2" t="s">
        <v>595</v>
      </c>
      <c r="O87" s="2">
        <v>2</v>
      </c>
      <c r="P87" s="2" t="str">
        <f>VLOOKUP(O87, SubjectGroup!$A$2:$B$8, 2, FALSE)</f>
        <v>Core Academic Studies</v>
      </c>
      <c r="Q87" s="2" t="s">
        <v>473</v>
      </c>
      <c r="R87" s="2" t="str">
        <f t="shared" si="5"/>
        <v>Geometry</v>
      </c>
      <c r="S87" s="2">
        <v>0.8</v>
      </c>
    </row>
    <row r="88" spans="1:19" ht="15.75" hidden="1" customHeight="1" x14ac:dyDescent="0.2">
      <c r="A88" s="2">
        <v>87</v>
      </c>
      <c r="C88" s="2" t="s">
        <v>75</v>
      </c>
      <c r="E88" s="2">
        <v>10</v>
      </c>
      <c r="F88" s="2">
        <v>109</v>
      </c>
      <c r="G88" s="2">
        <v>120</v>
      </c>
      <c r="H88" s="2">
        <f t="shared" si="0"/>
        <v>12</v>
      </c>
      <c r="I88" s="2">
        <v>12</v>
      </c>
      <c r="J88" s="2">
        <v>2</v>
      </c>
      <c r="K88" s="2" t="str">
        <f>VLOOKUP(J88, Subject!$A$2:$B$15, 2, FALSE)</f>
        <v>Language</v>
      </c>
      <c r="L88" s="2" t="str">
        <f>VLOOKUP(J88, Subject!$A$2:$E$11, 5, FALSE)</f>
        <v>LA</v>
      </c>
      <c r="N88" s="2" t="s">
        <v>476</v>
      </c>
      <c r="O88" s="2">
        <v>2</v>
      </c>
      <c r="P88" s="2" t="str">
        <f>VLOOKUP(O88, SubjectGroup!$A$2:$B$8, 2, FALSE)</f>
        <v>Core Academic Studies</v>
      </c>
      <c r="Q88" s="2" t="s">
        <v>473</v>
      </c>
      <c r="R88" s="2" t="str">
        <f t="shared" si="5"/>
        <v>English II</v>
      </c>
      <c r="S88" s="2">
        <v>0.8</v>
      </c>
    </row>
    <row r="89" spans="1:19" ht="15.75" hidden="1" customHeight="1" x14ac:dyDescent="0.2">
      <c r="A89" s="2">
        <v>88</v>
      </c>
      <c r="C89" s="2" t="s">
        <v>596</v>
      </c>
      <c r="E89" s="2">
        <v>10</v>
      </c>
      <c r="F89" s="2">
        <v>3</v>
      </c>
      <c r="G89" s="2">
        <v>5</v>
      </c>
      <c r="H89" s="2">
        <f t="shared" si="0"/>
        <v>3</v>
      </c>
      <c r="I89" s="2">
        <v>6</v>
      </c>
      <c r="J89" s="2">
        <v>2</v>
      </c>
      <c r="K89" s="2" t="str">
        <f>VLOOKUP(J89, Subject!$A$2:$B$15, 2, FALSE)</f>
        <v>Language</v>
      </c>
      <c r="L89" s="2" t="str">
        <f>VLOOKUP(J89, Subject!$A$2:$E$11, 5, FALSE)</f>
        <v>LA</v>
      </c>
      <c r="M89" s="2" t="s">
        <v>597</v>
      </c>
      <c r="N89" s="2" t="s">
        <v>553</v>
      </c>
      <c r="O89" s="2">
        <v>2</v>
      </c>
      <c r="P89" s="2" t="str">
        <f>VLOOKUP(O89, SubjectGroup!$A$2:$B$8, 2, FALSE)</f>
        <v>Core Academic Studies</v>
      </c>
      <c r="Q89" s="2" t="s">
        <v>424</v>
      </c>
      <c r="R89" s="2" t="str">
        <f t="shared" si="5"/>
        <v>Rosetta Stone Level 10</v>
      </c>
      <c r="S89" s="2">
        <v>0.8</v>
      </c>
    </row>
    <row r="90" spans="1:19" ht="15.75" hidden="1" customHeight="1" x14ac:dyDescent="0.2">
      <c r="A90" s="2">
        <v>89</v>
      </c>
      <c r="C90" s="2" t="s">
        <v>598</v>
      </c>
      <c r="E90" s="2">
        <v>10</v>
      </c>
      <c r="H90" s="2">
        <f t="shared" si="0"/>
        <v>1</v>
      </c>
      <c r="I90" s="2">
        <v>12</v>
      </c>
      <c r="J90" s="2">
        <v>10</v>
      </c>
      <c r="K90" s="2" t="str">
        <f>VLOOKUP(J90, Subject!$A$2:$B$15, 2, FALSE)</f>
        <v>Supplementary</v>
      </c>
      <c r="L90" s="2" t="str">
        <f>VLOOKUP(J90, Subject!$A$2:$E$11, 5, FALSE)</f>
        <v>SU</v>
      </c>
      <c r="N90" s="2" t="s">
        <v>563</v>
      </c>
      <c r="O90" s="2">
        <v>3</v>
      </c>
      <c r="P90" s="2" t="str">
        <f>VLOOKUP(O90, SubjectGroup!$A$2:$B$8, 2, FALSE)</f>
        <v>Core Expanded Studies</v>
      </c>
      <c r="Q90" s="2" t="s">
        <v>424</v>
      </c>
      <c r="R90" s="2" t="str">
        <f t="shared" si="5"/>
        <v>Music Theory/Performance Grade 6</v>
      </c>
      <c r="S90" s="2">
        <v>0.8</v>
      </c>
    </row>
    <row r="91" spans="1:19" ht="15.75" hidden="1" customHeight="1" x14ac:dyDescent="0.2">
      <c r="A91" s="2">
        <v>90</v>
      </c>
      <c r="B91" s="2" t="s">
        <v>599</v>
      </c>
      <c r="C91" s="2" t="s">
        <v>76</v>
      </c>
      <c r="E91" s="2">
        <v>10</v>
      </c>
      <c r="F91" s="2">
        <v>109</v>
      </c>
      <c r="G91" s="2">
        <v>120</v>
      </c>
      <c r="H91" s="2">
        <f t="shared" si="0"/>
        <v>12</v>
      </c>
      <c r="I91" s="2">
        <v>12</v>
      </c>
      <c r="J91" s="2">
        <v>5</v>
      </c>
      <c r="K91" s="2" t="str">
        <f>VLOOKUP(J91, Subject!$A$2:$B$15, 2, FALSE)</f>
        <v>Science</v>
      </c>
      <c r="L91" s="2" t="str">
        <f>VLOOKUP(J91, Subject!$A$2:$E$11, 5, FALSE)</f>
        <v>SC</v>
      </c>
      <c r="M91" s="2" t="s">
        <v>600</v>
      </c>
      <c r="N91" s="2" t="s">
        <v>601</v>
      </c>
      <c r="O91" s="2">
        <v>2</v>
      </c>
      <c r="P91" s="2" t="str">
        <f>VLOOKUP(O91, SubjectGroup!$A$2:$B$8, 2, FALSE)</f>
        <v>Core Academic Studies</v>
      </c>
      <c r="Q91" s="2" t="s">
        <v>473</v>
      </c>
      <c r="R91" s="2" t="s">
        <v>602</v>
      </c>
      <c r="S91" s="2">
        <v>0.8</v>
      </c>
    </row>
    <row r="92" spans="1:19" ht="15.75" hidden="1" customHeight="1" x14ac:dyDescent="0.2">
      <c r="A92" s="2">
        <v>91</v>
      </c>
      <c r="B92" s="2" t="s">
        <v>458</v>
      </c>
      <c r="C92" s="2" t="s">
        <v>458</v>
      </c>
      <c r="D92" s="2" t="s">
        <v>540</v>
      </c>
      <c r="E92" s="2">
        <v>10</v>
      </c>
      <c r="F92" s="2">
        <v>1</v>
      </c>
      <c r="G92" s="2">
        <v>10</v>
      </c>
      <c r="H92" s="2">
        <f t="shared" si="0"/>
        <v>10</v>
      </c>
      <c r="I92" s="2">
        <v>12</v>
      </c>
      <c r="J92" s="2">
        <v>6</v>
      </c>
      <c r="K92" s="2" t="str">
        <f>VLOOKUP(J92, Subject!$A$2:$B$15, 2, FALSE)</f>
        <v>Social Studies</v>
      </c>
      <c r="L92" s="2" t="str">
        <f>VLOOKUP(J92, Subject!$A$2:$E$11, 5, FALSE)</f>
        <v>SS</v>
      </c>
      <c r="M92" s="14"/>
      <c r="N92" s="2" t="s">
        <v>603</v>
      </c>
      <c r="O92" s="2">
        <v>2</v>
      </c>
      <c r="P92" s="2" t="str">
        <f>VLOOKUP(O92, SubjectGroup!$A$2:$B$8, 2, FALSE)</f>
        <v>Core Academic Studies</v>
      </c>
      <c r="Q92" s="2" t="s">
        <v>473</v>
      </c>
      <c r="R92" s="9" t="s">
        <v>604</v>
      </c>
      <c r="S92" s="2">
        <v>0.8</v>
      </c>
    </row>
    <row r="93" spans="1:19" ht="15.75" customHeight="1" x14ac:dyDescent="0.2">
      <c r="A93" s="2">
        <v>92</v>
      </c>
      <c r="C93" s="2" t="s">
        <v>96</v>
      </c>
      <c r="D93" s="2" t="s">
        <v>2049</v>
      </c>
      <c r="E93" s="2">
        <v>10</v>
      </c>
      <c r="F93" s="30">
        <v>7</v>
      </c>
      <c r="G93" s="30">
        <v>10</v>
      </c>
      <c r="H93" s="2">
        <f t="shared" si="0"/>
        <v>4</v>
      </c>
      <c r="I93" s="2">
        <v>3</v>
      </c>
      <c r="J93" s="2">
        <v>7</v>
      </c>
      <c r="K93" s="2" t="str">
        <f>VLOOKUP(J93, Subject!$A$2:$B$15, 2, FALSE)</f>
        <v>Biblical Studies</v>
      </c>
      <c r="L93" s="2" t="str">
        <f>VLOOKUP(J93, Subject!$A$2:$E$11, 5, FALSE)</f>
        <v>BS</v>
      </c>
      <c r="M93" s="2" t="s">
        <v>2054</v>
      </c>
      <c r="N93" s="2" t="s">
        <v>585</v>
      </c>
      <c r="O93" s="2">
        <v>1</v>
      </c>
      <c r="P93" s="2" t="str">
        <f>VLOOKUP(O93, SubjectGroup!$A$2:$B$8, 2, FALSE)</f>
        <v>Christian Studies</v>
      </c>
      <c r="Q93" s="2" t="s">
        <v>424</v>
      </c>
      <c r="R93" s="2" t="str">
        <f t="shared" ref="R93:R105" si="6">C93</f>
        <v>Apologetics II</v>
      </c>
      <c r="S93" s="2">
        <v>0.8</v>
      </c>
    </row>
    <row r="94" spans="1:19" ht="15.75" hidden="1" customHeight="1" x14ac:dyDescent="0.2">
      <c r="A94" s="2">
        <v>93</v>
      </c>
      <c r="C94" s="2" t="s">
        <v>605</v>
      </c>
      <c r="E94" s="2">
        <v>10</v>
      </c>
      <c r="F94" s="2">
        <v>1</v>
      </c>
      <c r="G94" s="2">
        <v>5</v>
      </c>
      <c r="H94" s="2">
        <f t="shared" si="0"/>
        <v>5</v>
      </c>
      <c r="I94" s="2">
        <v>6</v>
      </c>
      <c r="J94" s="2">
        <v>7</v>
      </c>
      <c r="K94" s="2" t="str">
        <f>VLOOKUP(J94, Subject!$A$2:$B$15, 2, FALSE)</f>
        <v>Biblical Studies</v>
      </c>
      <c r="L94" s="2" t="str">
        <f>VLOOKUP(J94, Subject!$A$2:$E$11, 5, FALSE)</f>
        <v>BS</v>
      </c>
      <c r="M94" s="2" t="s">
        <v>606</v>
      </c>
      <c r="N94" s="2" t="s">
        <v>607</v>
      </c>
      <c r="O94" s="2">
        <v>1</v>
      </c>
      <c r="P94" s="2" t="str">
        <f>VLOOKUP(O94, SubjectGroup!$A$2:$B$8, 2, FALSE)</f>
        <v>Christian Studies</v>
      </c>
      <c r="Q94" s="2" t="s">
        <v>424</v>
      </c>
      <c r="R94" s="2" t="str">
        <f t="shared" si="6"/>
        <v>Christian Counselling I</v>
      </c>
      <c r="S94" s="2">
        <v>0.8</v>
      </c>
    </row>
    <row r="95" spans="1:19" ht="15.75" hidden="1" customHeight="1" x14ac:dyDescent="0.2">
      <c r="A95" s="2">
        <v>94</v>
      </c>
      <c r="C95" s="2" t="s">
        <v>608</v>
      </c>
      <c r="E95" s="2">
        <v>10</v>
      </c>
      <c r="F95" s="2">
        <v>133</v>
      </c>
      <c r="G95" s="2">
        <v>138</v>
      </c>
      <c r="H95" s="2">
        <f t="shared" si="0"/>
        <v>6</v>
      </c>
      <c r="J95" s="2">
        <v>7</v>
      </c>
      <c r="K95" s="2" t="str">
        <f>VLOOKUP(J95, Subject!$A$2:$B$15, 2, FALSE)</f>
        <v>Biblical Studies</v>
      </c>
      <c r="L95" s="2" t="str">
        <f>VLOOKUP(J95, Subject!$A$2:$E$11, 5, FALSE)</f>
        <v>BS</v>
      </c>
      <c r="N95" s="2" t="s">
        <v>479</v>
      </c>
      <c r="O95" s="2">
        <v>1</v>
      </c>
      <c r="P95" s="2" t="str">
        <f>VLOOKUP(O95, SubjectGroup!$A$2:$B$8, 2, FALSE)</f>
        <v>Christian Studies</v>
      </c>
      <c r="Q95" s="2" t="s">
        <v>424</v>
      </c>
      <c r="R95" s="2" t="str">
        <f t="shared" si="6"/>
        <v>Life of Christ I</v>
      </c>
      <c r="S95" s="2">
        <v>0.8</v>
      </c>
    </row>
    <row r="96" spans="1:19" ht="15.75" hidden="1" customHeight="1" x14ac:dyDescent="0.2">
      <c r="A96" s="2">
        <v>95</v>
      </c>
      <c r="B96" s="2" t="s">
        <v>13</v>
      </c>
      <c r="C96" s="2" t="s">
        <v>457</v>
      </c>
      <c r="D96" s="2" t="s">
        <v>609</v>
      </c>
      <c r="E96" s="2">
        <v>10</v>
      </c>
      <c r="F96" s="2">
        <v>109</v>
      </c>
      <c r="G96" s="2">
        <v>120</v>
      </c>
      <c r="H96" s="2">
        <f t="shared" si="0"/>
        <v>12</v>
      </c>
      <c r="I96" s="2">
        <v>12</v>
      </c>
      <c r="J96" s="2">
        <v>7</v>
      </c>
      <c r="K96" s="2" t="str">
        <f>VLOOKUP(J96, Subject!$A$2:$B$15, 2, FALSE)</f>
        <v>Biblical Studies</v>
      </c>
      <c r="L96" s="2" t="str">
        <f>VLOOKUP(J96, Subject!$A$2:$E$11, 5, FALSE)</f>
        <v>BS</v>
      </c>
      <c r="M96" s="9" t="s">
        <v>610</v>
      </c>
      <c r="N96" s="2" t="s">
        <v>611</v>
      </c>
      <c r="O96" s="2">
        <v>1</v>
      </c>
      <c r="P96" s="2" t="str">
        <f>VLOOKUP(O96, SubjectGroup!$A$2:$B$8, 2, FALSE)</f>
        <v>Christian Studies</v>
      </c>
      <c r="Q96" s="2" t="s">
        <v>473</v>
      </c>
      <c r="R96" s="2" t="str">
        <f t="shared" si="6"/>
        <v>Old Testament Survey</v>
      </c>
      <c r="S96" s="2">
        <v>0.8</v>
      </c>
    </row>
    <row r="97" spans="1:19" ht="15.75" hidden="1" customHeight="1" x14ac:dyDescent="0.2">
      <c r="A97" s="2">
        <v>96</v>
      </c>
      <c r="C97" s="2" t="s">
        <v>612</v>
      </c>
      <c r="E97" s="2">
        <v>10</v>
      </c>
      <c r="F97" s="2">
        <v>109</v>
      </c>
      <c r="G97" s="2">
        <v>114</v>
      </c>
      <c r="H97" s="2">
        <f t="shared" si="0"/>
        <v>6</v>
      </c>
      <c r="J97" s="2">
        <v>10</v>
      </c>
      <c r="K97" s="2" t="str">
        <f>VLOOKUP(J97, Subject!$A$2:$B$15, 2, FALSE)</f>
        <v>Supplementary</v>
      </c>
      <c r="L97" s="2" t="str">
        <f>VLOOKUP(J97, Subject!$A$2:$E$11, 5, FALSE)</f>
        <v>SU</v>
      </c>
      <c r="N97" s="2" t="s">
        <v>613</v>
      </c>
      <c r="O97" s="2">
        <v>3</v>
      </c>
      <c r="P97" s="2" t="str">
        <f>VLOOKUP(O97, SubjectGroup!$A$2:$B$8, 2, FALSE)</f>
        <v>Core Expanded Studies</v>
      </c>
      <c r="Q97" s="2" t="s">
        <v>424</v>
      </c>
      <c r="R97" s="2" t="str">
        <f t="shared" si="6"/>
        <v>Auto Mechanics</v>
      </c>
      <c r="S97" s="2">
        <v>0.8</v>
      </c>
    </row>
    <row r="98" spans="1:19" ht="15.75" hidden="1" customHeight="1" x14ac:dyDescent="0.2">
      <c r="A98" s="2">
        <v>97</v>
      </c>
      <c r="C98" s="2" t="s">
        <v>431</v>
      </c>
      <c r="E98" s="2">
        <v>10</v>
      </c>
      <c r="H98" s="2">
        <f t="shared" si="0"/>
        <v>1</v>
      </c>
      <c r="I98" s="2">
        <v>12</v>
      </c>
      <c r="J98" s="2">
        <v>10</v>
      </c>
      <c r="K98" s="2" t="str">
        <f>VLOOKUP(J98, Subject!$A$2:$B$15, 2, FALSE)</f>
        <v>Supplementary</v>
      </c>
      <c r="L98" s="2" t="str">
        <f>VLOOKUP(J98, Subject!$A$2:$E$11, 5, FALSE)</f>
        <v>SU</v>
      </c>
      <c r="M98" s="2" t="s">
        <v>614</v>
      </c>
      <c r="N98" s="2" t="s">
        <v>615</v>
      </c>
      <c r="O98" s="2">
        <v>3</v>
      </c>
      <c r="P98" s="2" t="str">
        <f>VLOOKUP(O98, SubjectGroup!$A$2:$B$8, 2, FALSE)</f>
        <v>Core Expanded Studies</v>
      </c>
      <c r="Q98" s="2" t="s">
        <v>424</v>
      </c>
      <c r="R98" s="2" t="str">
        <f t="shared" si="6"/>
        <v>ICT Course</v>
      </c>
      <c r="S98" s="2">
        <v>0.8</v>
      </c>
    </row>
    <row r="99" spans="1:19" ht="15.75" hidden="1" customHeight="1" x14ac:dyDescent="0.2">
      <c r="A99" s="2">
        <v>98</v>
      </c>
      <c r="C99" s="2" t="s">
        <v>343</v>
      </c>
      <c r="E99" s="2">
        <v>11</v>
      </c>
      <c r="F99" s="2">
        <v>121</v>
      </c>
      <c r="G99" s="2">
        <v>132</v>
      </c>
      <c r="H99" s="2">
        <f t="shared" si="0"/>
        <v>12</v>
      </c>
      <c r="I99" s="2">
        <v>12</v>
      </c>
      <c r="J99" s="2">
        <v>1</v>
      </c>
      <c r="K99" s="2" t="str">
        <f>VLOOKUP(J99, Subject!$A$2:$B$15, 2, FALSE)</f>
        <v>Maths</v>
      </c>
      <c r="L99" s="2" t="str">
        <f>VLOOKUP(J99, Subject!$A$2:$E$11, 5, FALSE)</f>
        <v>MA</v>
      </c>
      <c r="N99" s="2" t="s">
        <v>548</v>
      </c>
      <c r="O99" s="2">
        <v>2</v>
      </c>
      <c r="P99" s="2" t="str">
        <f>VLOOKUP(O99, SubjectGroup!$A$2:$B$8, 2, FALSE)</f>
        <v>Core Academic Studies</v>
      </c>
      <c r="Q99" s="2" t="s">
        <v>473</v>
      </c>
      <c r="R99" s="2" t="str">
        <f t="shared" si="6"/>
        <v>Algebra II</v>
      </c>
      <c r="S99" s="2">
        <v>0.8</v>
      </c>
    </row>
    <row r="100" spans="1:19" ht="15.75" hidden="1" customHeight="1" x14ac:dyDescent="0.2">
      <c r="A100" s="2">
        <v>99</v>
      </c>
      <c r="C100" s="2" t="s">
        <v>616</v>
      </c>
      <c r="E100" s="2">
        <v>11</v>
      </c>
      <c r="F100" s="2">
        <v>1</v>
      </c>
      <c r="G100" s="2">
        <v>5</v>
      </c>
      <c r="H100" s="2">
        <f t="shared" si="0"/>
        <v>5</v>
      </c>
      <c r="I100" s="2" t="s">
        <v>347</v>
      </c>
      <c r="J100" s="2">
        <v>4</v>
      </c>
      <c r="K100" s="2" t="str">
        <f>VLOOKUP(J100, Subject!$A$2:$B$15, 2, FALSE)</f>
        <v>Literature</v>
      </c>
      <c r="L100" s="2" t="str">
        <f>VLOOKUP(J100, Subject!$A$2:$E$11, 5, FALSE)</f>
        <v>LI</v>
      </c>
      <c r="N100" s="2" t="s">
        <v>617</v>
      </c>
      <c r="O100" s="2">
        <v>2</v>
      </c>
      <c r="P100" s="2" t="str">
        <f>VLOOKUP(O100, SubjectGroup!$A$2:$B$8, 2, FALSE)</f>
        <v>Core Academic Studies</v>
      </c>
      <c r="Q100" s="2" t="s">
        <v>473</v>
      </c>
      <c r="R100" s="2" t="str">
        <f t="shared" si="6"/>
        <v>British Literature</v>
      </c>
      <c r="S100" s="2">
        <v>0.8</v>
      </c>
    </row>
    <row r="101" spans="1:19" ht="15.75" hidden="1" customHeight="1" x14ac:dyDescent="0.2">
      <c r="A101" s="2">
        <v>100</v>
      </c>
      <c r="C101" s="2" t="s">
        <v>618</v>
      </c>
      <c r="E101" s="2">
        <v>11</v>
      </c>
      <c r="H101" s="2">
        <f t="shared" si="0"/>
        <v>1</v>
      </c>
      <c r="I101" s="2">
        <v>18</v>
      </c>
      <c r="J101" s="2">
        <v>2</v>
      </c>
      <c r="K101" s="2" t="str">
        <f>VLOOKUP(J101, Subject!$A$2:$B$15, 2, FALSE)</f>
        <v>Language</v>
      </c>
      <c r="L101" s="2" t="str">
        <f>VLOOKUP(J101, Subject!$A$2:$E$11, 5, FALSE)</f>
        <v>LA</v>
      </c>
      <c r="M101" s="9" t="s">
        <v>619</v>
      </c>
      <c r="N101" s="2" t="s">
        <v>389</v>
      </c>
      <c r="O101" s="2">
        <v>2</v>
      </c>
      <c r="P101" s="2" t="str">
        <f>VLOOKUP(O101, SubjectGroup!$A$2:$B$8, 2, FALSE)</f>
        <v>Core Academic Studies</v>
      </c>
      <c r="Q101" s="2" t="s">
        <v>473</v>
      </c>
      <c r="R101" s="2" t="str">
        <f t="shared" si="6"/>
        <v>Dutch Language Staatsexamen HAVO</v>
      </c>
      <c r="S101" s="2">
        <v>0.8</v>
      </c>
    </row>
    <row r="102" spans="1:19" ht="15.75" hidden="1" customHeight="1" x14ac:dyDescent="0.2">
      <c r="A102" s="2">
        <v>101</v>
      </c>
      <c r="C102" s="2" t="s">
        <v>432</v>
      </c>
      <c r="E102" s="2">
        <v>11</v>
      </c>
      <c r="F102" s="2">
        <v>121</v>
      </c>
      <c r="G102" s="2">
        <v>132</v>
      </c>
      <c r="H102" s="2">
        <f t="shared" si="0"/>
        <v>12</v>
      </c>
      <c r="I102" s="2">
        <v>12</v>
      </c>
      <c r="J102" s="2">
        <v>2</v>
      </c>
      <c r="K102" s="2" t="str">
        <f>VLOOKUP(J102, Subject!$A$2:$B$15, 2, FALSE)</f>
        <v>Language</v>
      </c>
      <c r="L102" s="2" t="str">
        <f>VLOOKUP(J102, Subject!$A$2:$E$11, 5, FALSE)</f>
        <v>LA</v>
      </c>
      <c r="N102" s="2" t="s">
        <v>476</v>
      </c>
      <c r="O102" s="2">
        <v>2</v>
      </c>
      <c r="P102" s="2" t="str">
        <f>VLOOKUP(O102, SubjectGroup!$A$2:$B$8, 2, FALSE)</f>
        <v>Core Academic Studies</v>
      </c>
      <c r="Q102" s="2" t="s">
        <v>473</v>
      </c>
      <c r="R102" s="2" t="str">
        <f t="shared" si="6"/>
        <v>English III</v>
      </c>
      <c r="S102" s="2">
        <v>0.8</v>
      </c>
    </row>
    <row r="103" spans="1:19" ht="15.75" hidden="1" customHeight="1" x14ac:dyDescent="0.2">
      <c r="A103" s="2">
        <v>102</v>
      </c>
      <c r="C103" s="9" t="s">
        <v>620</v>
      </c>
      <c r="D103" s="9"/>
      <c r="E103" s="9">
        <v>10</v>
      </c>
      <c r="F103" s="2">
        <v>1</v>
      </c>
      <c r="G103" s="2">
        <v>3</v>
      </c>
      <c r="H103" s="2">
        <f t="shared" si="0"/>
        <v>3</v>
      </c>
      <c r="I103" s="2">
        <v>6</v>
      </c>
      <c r="J103" s="2">
        <v>4</v>
      </c>
      <c r="K103" s="2" t="str">
        <f>VLOOKUP(J103, Subject!$A$2:$B$15, 2, FALSE)</f>
        <v>Literature</v>
      </c>
      <c r="L103" s="2" t="str">
        <f>VLOOKUP(J103, Subject!$A$2:$E$11, 5, FALSE)</f>
        <v>LI</v>
      </c>
      <c r="M103" s="2" t="s">
        <v>621</v>
      </c>
      <c r="N103" s="2" t="s">
        <v>622</v>
      </c>
      <c r="O103" s="2">
        <v>2</v>
      </c>
      <c r="P103" s="2" t="str">
        <f>VLOOKUP(O103, SubjectGroup!$A$2:$B$8, 2, FALSE)</f>
        <v>Core Academic Studies</v>
      </c>
      <c r="Q103" s="2" t="s">
        <v>424</v>
      </c>
      <c r="R103" s="2" t="str">
        <f t="shared" si="6"/>
        <v>ICCE Literature 10 Part 1</v>
      </c>
      <c r="S103" s="2">
        <v>0.8</v>
      </c>
    </row>
    <row r="104" spans="1:19" ht="15.75" hidden="1" customHeight="1" x14ac:dyDescent="0.2">
      <c r="A104" s="2">
        <v>103</v>
      </c>
      <c r="C104" s="9" t="s">
        <v>623</v>
      </c>
      <c r="D104" s="9"/>
      <c r="E104" s="9">
        <v>10</v>
      </c>
      <c r="F104" s="2">
        <v>1</v>
      </c>
      <c r="G104" s="2">
        <v>6</v>
      </c>
      <c r="H104" s="2">
        <f t="shared" si="0"/>
        <v>6</v>
      </c>
      <c r="I104" s="2">
        <v>12</v>
      </c>
      <c r="J104" s="2">
        <v>4</v>
      </c>
      <c r="K104" s="2" t="str">
        <f>VLOOKUP(J104, Subject!$A$2:$B$15, 2, FALSE)</f>
        <v>Literature</v>
      </c>
      <c r="L104" s="2" t="str">
        <f>VLOOKUP(J104, Subject!$A$2:$E$11, 5, FALSE)</f>
        <v>LI</v>
      </c>
      <c r="M104" s="2" t="s">
        <v>624</v>
      </c>
      <c r="N104" s="2" t="s">
        <v>622</v>
      </c>
      <c r="O104" s="2">
        <v>2</v>
      </c>
      <c r="P104" s="2" t="str">
        <f>VLOOKUP(O104, SubjectGroup!$A$2:$B$8, 2, FALSE)</f>
        <v>Core Academic Studies</v>
      </c>
      <c r="Q104" s="2" t="s">
        <v>424</v>
      </c>
      <c r="R104" s="2" t="str">
        <f t="shared" si="6"/>
        <v>ICCE Literature 10</v>
      </c>
      <c r="S104" s="2">
        <v>0.8</v>
      </c>
    </row>
    <row r="105" spans="1:19" ht="15.75" hidden="1" customHeight="1" x14ac:dyDescent="0.2">
      <c r="A105" s="2">
        <v>104</v>
      </c>
      <c r="C105" s="2" t="s">
        <v>625</v>
      </c>
      <c r="E105" s="2">
        <v>11</v>
      </c>
      <c r="F105" s="2">
        <v>121</v>
      </c>
      <c r="G105" s="2">
        <v>132</v>
      </c>
      <c r="H105" s="2">
        <f t="shared" si="0"/>
        <v>12</v>
      </c>
      <c r="I105" s="2">
        <v>12</v>
      </c>
      <c r="J105" s="2">
        <v>2</v>
      </c>
      <c r="K105" s="2" t="str">
        <f>VLOOKUP(J105, Subject!$A$2:$B$15, 2, FALSE)</f>
        <v>Language</v>
      </c>
      <c r="L105" s="2" t="str">
        <f>VLOOKUP(J105, Subject!$A$2:$E$11, 5, FALSE)</f>
        <v>LA</v>
      </c>
      <c r="N105" s="2" t="s">
        <v>626</v>
      </c>
      <c r="O105" s="2">
        <v>2</v>
      </c>
      <c r="P105" s="2" t="str">
        <f>VLOOKUP(O105, SubjectGroup!$A$2:$B$8, 2, FALSE)</f>
        <v>Core Academic Studies</v>
      </c>
      <c r="Q105" s="2" t="s">
        <v>424</v>
      </c>
      <c r="R105" s="2" t="str">
        <f t="shared" si="6"/>
        <v>N.T. Greek I</v>
      </c>
      <c r="S105" s="2">
        <v>0.8</v>
      </c>
    </row>
    <row r="106" spans="1:19" ht="15.75" hidden="1" customHeight="1" x14ac:dyDescent="0.2">
      <c r="A106" s="2">
        <v>105</v>
      </c>
      <c r="B106" s="2" t="s">
        <v>627</v>
      </c>
      <c r="C106" s="2" t="s">
        <v>422</v>
      </c>
      <c r="E106" s="2">
        <v>11</v>
      </c>
      <c r="F106" s="2">
        <v>121</v>
      </c>
      <c r="G106" s="2">
        <v>132</v>
      </c>
      <c r="H106" s="2">
        <f t="shared" si="0"/>
        <v>12</v>
      </c>
      <c r="I106" s="2">
        <v>12</v>
      </c>
      <c r="J106" s="2">
        <v>5</v>
      </c>
      <c r="K106" s="2" t="str">
        <f>VLOOKUP(J106, Subject!$A$2:$B$15, 2, FALSE)</f>
        <v>Science</v>
      </c>
      <c r="L106" s="2" t="str">
        <f>VLOOKUP(J106, Subject!$A$2:$E$11, 5, FALSE)</f>
        <v>SC</v>
      </c>
      <c r="N106" s="2" t="s">
        <v>628</v>
      </c>
      <c r="O106" s="2">
        <v>2</v>
      </c>
      <c r="P106" s="2" t="str">
        <f>VLOOKUP(O106, SubjectGroup!$A$2:$B$8, 2, FALSE)</f>
        <v>Core Academic Studies</v>
      </c>
      <c r="Q106" s="2" t="s">
        <v>473</v>
      </c>
      <c r="R106" s="2" t="s">
        <v>629</v>
      </c>
      <c r="S106" s="2">
        <v>0.8</v>
      </c>
    </row>
    <row r="107" spans="1:19" ht="15.75" hidden="1" customHeight="1" x14ac:dyDescent="0.2">
      <c r="A107" s="2">
        <v>106</v>
      </c>
      <c r="B107" s="2" t="s">
        <v>630</v>
      </c>
      <c r="C107" s="2" t="s">
        <v>631</v>
      </c>
      <c r="D107" s="2" t="s">
        <v>632</v>
      </c>
      <c r="E107" s="2">
        <v>12</v>
      </c>
      <c r="F107" s="2">
        <v>121</v>
      </c>
      <c r="G107" s="2">
        <v>132</v>
      </c>
      <c r="H107" s="2">
        <f t="shared" si="0"/>
        <v>12</v>
      </c>
      <c r="I107" s="2">
        <v>12</v>
      </c>
      <c r="J107" s="2">
        <v>7</v>
      </c>
      <c r="K107" s="2" t="str">
        <f>VLOOKUP(J107, Subject!$A$2:$B$15, 2, FALSE)</f>
        <v>Biblical Studies</v>
      </c>
      <c r="L107" s="2" t="str">
        <f>VLOOKUP(J107, Subject!$A$2:$E$11, 5, FALSE)</f>
        <v>BS</v>
      </c>
      <c r="N107" s="2" t="s">
        <v>633</v>
      </c>
      <c r="O107" s="2">
        <v>1</v>
      </c>
      <c r="P107" s="2" t="str">
        <f>VLOOKUP(O107, SubjectGroup!$A$2:$B$8, 2, FALSE)</f>
        <v>Christian Studies</v>
      </c>
      <c r="Q107" s="2" t="s">
        <v>473</v>
      </c>
      <c r="R107" s="2" t="str">
        <f t="shared" ref="R107:R117" si="7">C107</f>
        <v>New Testament Church History</v>
      </c>
      <c r="S107" s="2">
        <v>0.8</v>
      </c>
    </row>
    <row r="108" spans="1:19" ht="15.75" hidden="1" customHeight="1" x14ac:dyDescent="0.2">
      <c r="A108" s="2">
        <v>107</v>
      </c>
      <c r="C108" s="2" t="s">
        <v>634</v>
      </c>
      <c r="E108" s="2">
        <v>12</v>
      </c>
      <c r="F108" s="2">
        <v>121</v>
      </c>
      <c r="G108" s="2">
        <v>132</v>
      </c>
      <c r="H108" s="2">
        <f t="shared" si="0"/>
        <v>12</v>
      </c>
      <c r="I108" s="2">
        <v>12</v>
      </c>
      <c r="J108" s="2">
        <v>1</v>
      </c>
      <c r="K108" s="2" t="str">
        <f>VLOOKUP(J108, Subject!$A$2:$B$15, 2, FALSE)</f>
        <v>Maths</v>
      </c>
      <c r="L108" s="2" t="str">
        <f>VLOOKUP(J108, Subject!$A$2:$E$11, 5, FALSE)</f>
        <v>MA</v>
      </c>
      <c r="N108" s="2" t="s">
        <v>581</v>
      </c>
      <c r="O108" s="2">
        <v>3</v>
      </c>
      <c r="P108" s="2" t="str">
        <f>VLOOKUP(O108, SubjectGroup!$A$2:$B$8, 2, FALSE)</f>
        <v>Core Expanded Studies</v>
      </c>
      <c r="Q108" s="2" t="s">
        <v>424</v>
      </c>
      <c r="R108" s="2" t="str">
        <f t="shared" si="7"/>
        <v>Accounting (US)</v>
      </c>
      <c r="S108" s="2">
        <v>0.8</v>
      </c>
    </row>
    <row r="109" spans="1:19" ht="15.75" hidden="1" customHeight="1" x14ac:dyDescent="0.2">
      <c r="A109" s="2">
        <v>108</v>
      </c>
      <c r="B109" s="2" t="s">
        <v>635</v>
      </c>
      <c r="C109" s="2" t="s">
        <v>429</v>
      </c>
      <c r="E109" s="2">
        <v>12</v>
      </c>
      <c r="F109" s="2">
        <v>1</v>
      </c>
      <c r="G109" s="2">
        <v>10</v>
      </c>
      <c r="H109" s="2">
        <f t="shared" si="0"/>
        <v>10</v>
      </c>
      <c r="I109" s="2" t="s">
        <v>347</v>
      </c>
      <c r="J109" s="2">
        <v>1</v>
      </c>
      <c r="K109" s="2" t="str">
        <f>VLOOKUP(J109, Subject!$A$2:$B$15, 2, FALSE)</f>
        <v>Maths</v>
      </c>
      <c r="L109" s="2" t="str">
        <f>VLOOKUP(J109, Subject!$A$2:$E$11, 5, FALSE)</f>
        <v>MA</v>
      </c>
      <c r="N109" s="2" t="s">
        <v>636</v>
      </c>
      <c r="O109" s="2">
        <v>2</v>
      </c>
      <c r="P109" s="2" t="str">
        <f>VLOOKUP(O109, SubjectGroup!$A$2:$B$8, 2, FALSE)</f>
        <v>Core Academic Studies</v>
      </c>
      <c r="Q109" s="2" t="s">
        <v>424</v>
      </c>
      <c r="R109" s="2" t="str">
        <f t="shared" si="7"/>
        <v>College Maths I</v>
      </c>
      <c r="S109" s="2">
        <v>0.8</v>
      </c>
    </row>
    <row r="110" spans="1:19" ht="15.75" hidden="1" customHeight="1" x14ac:dyDescent="0.2">
      <c r="A110" s="2">
        <v>109</v>
      </c>
      <c r="B110" s="2" t="s">
        <v>637</v>
      </c>
      <c r="C110" s="2" t="s">
        <v>430</v>
      </c>
      <c r="E110" s="2">
        <v>12</v>
      </c>
      <c r="F110" s="2">
        <v>11</v>
      </c>
      <c r="G110" s="2">
        <v>20</v>
      </c>
      <c r="H110" s="2">
        <f t="shared" si="0"/>
        <v>10</v>
      </c>
      <c r="I110" s="2" t="s">
        <v>347</v>
      </c>
      <c r="J110" s="2">
        <v>1</v>
      </c>
      <c r="K110" s="2" t="str">
        <f>VLOOKUP(J110, Subject!$A$2:$B$15, 2, FALSE)</f>
        <v>Maths</v>
      </c>
      <c r="L110" s="2" t="str">
        <f>VLOOKUP(J110, Subject!$A$2:$E$11, 5, FALSE)</f>
        <v>MA</v>
      </c>
      <c r="N110" s="2" t="s">
        <v>636</v>
      </c>
      <c r="O110" s="2">
        <v>2</v>
      </c>
      <c r="P110" s="2" t="str">
        <f>VLOOKUP(O110, SubjectGroup!$A$2:$B$8, 2, FALSE)</f>
        <v>Core Academic Studies</v>
      </c>
      <c r="Q110" s="2" t="s">
        <v>424</v>
      </c>
      <c r="R110" s="2" t="str">
        <f t="shared" si="7"/>
        <v>College Maths II</v>
      </c>
      <c r="S110" s="2">
        <v>0.8</v>
      </c>
    </row>
    <row r="111" spans="1:19" ht="15.75" hidden="1" customHeight="1" x14ac:dyDescent="0.2">
      <c r="A111" s="2">
        <v>110</v>
      </c>
      <c r="C111" s="2" t="s">
        <v>428</v>
      </c>
      <c r="E111" s="2">
        <v>12</v>
      </c>
      <c r="F111" s="2">
        <v>139</v>
      </c>
      <c r="G111" s="2">
        <v>144</v>
      </c>
      <c r="H111" s="2">
        <f t="shared" si="0"/>
        <v>6</v>
      </c>
      <c r="I111" s="2" t="s">
        <v>347</v>
      </c>
      <c r="J111" s="2">
        <v>1</v>
      </c>
      <c r="K111" s="2" t="str">
        <f>VLOOKUP(J111, Subject!$A$2:$B$15, 2, FALSE)</f>
        <v>Maths</v>
      </c>
      <c r="L111" s="2" t="str">
        <f>VLOOKUP(J111, Subject!$A$2:$E$11, 5, FALSE)</f>
        <v>MA</v>
      </c>
      <c r="N111" s="2" t="s">
        <v>638</v>
      </c>
      <c r="O111" s="2">
        <v>2</v>
      </c>
      <c r="P111" s="2" t="str">
        <f>VLOOKUP(O111, SubjectGroup!$A$2:$B$8, 2, FALSE)</f>
        <v>Core Academic Studies</v>
      </c>
      <c r="Q111" s="2" t="s">
        <v>424</v>
      </c>
      <c r="R111" s="2" t="str">
        <f t="shared" si="7"/>
        <v>Higher Maths</v>
      </c>
      <c r="S111" s="2">
        <v>0.8</v>
      </c>
    </row>
    <row r="112" spans="1:19" ht="15.75" hidden="1" customHeight="1" x14ac:dyDescent="0.2">
      <c r="A112" s="2">
        <v>111</v>
      </c>
      <c r="C112" s="2" t="s">
        <v>344</v>
      </c>
      <c r="E112" s="2">
        <v>12</v>
      </c>
      <c r="F112" s="2">
        <v>133</v>
      </c>
      <c r="G112" s="2">
        <v>138</v>
      </c>
      <c r="H112" s="2">
        <f t="shared" si="0"/>
        <v>6</v>
      </c>
      <c r="I112" s="2" t="s">
        <v>347</v>
      </c>
      <c r="J112" s="2">
        <v>1</v>
      </c>
      <c r="K112" s="2" t="str">
        <f>VLOOKUP(J112, Subject!$A$2:$B$15, 2, FALSE)</f>
        <v>Maths</v>
      </c>
      <c r="L112" s="2" t="str">
        <f>VLOOKUP(J112, Subject!$A$2:$E$11, 5, FALSE)</f>
        <v>MA</v>
      </c>
      <c r="N112" s="2" t="s">
        <v>639</v>
      </c>
      <c r="O112" s="2">
        <v>2</v>
      </c>
      <c r="P112" s="2" t="str">
        <f>VLOOKUP(O112, SubjectGroup!$A$2:$B$8, 2, FALSE)</f>
        <v>Core Academic Studies</v>
      </c>
      <c r="Q112" s="2" t="s">
        <v>424</v>
      </c>
      <c r="R112" s="2" t="str">
        <f t="shared" si="7"/>
        <v>Trigonometry</v>
      </c>
      <c r="S112" s="2">
        <v>0.8</v>
      </c>
    </row>
    <row r="113" spans="1:20" ht="15.75" hidden="1" customHeight="1" x14ac:dyDescent="0.2">
      <c r="A113" s="2">
        <v>112</v>
      </c>
      <c r="C113" s="2" t="s">
        <v>433</v>
      </c>
      <c r="E113" s="2">
        <v>12</v>
      </c>
      <c r="F113" s="2">
        <v>1</v>
      </c>
      <c r="G113" s="2">
        <v>10</v>
      </c>
      <c r="H113" s="2">
        <f t="shared" si="0"/>
        <v>10</v>
      </c>
      <c r="J113" s="2">
        <v>2</v>
      </c>
      <c r="K113" s="2" t="str">
        <f>VLOOKUP(J113, Subject!$A$2:$B$15, 2, FALSE)</f>
        <v>Language</v>
      </c>
      <c r="L113" s="2" t="str">
        <f>VLOOKUP(J113, Subject!$A$2:$E$11, 5, FALSE)</f>
        <v>LA</v>
      </c>
      <c r="M113" s="2" t="s">
        <v>640</v>
      </c>
      <c r="N113" s="2" t="s">
        <v>641</v>
      </c>
      <c r="O113" s="2">
        <v>2</v>
      </c>
      <c r="P113" s="2" t="str">
        <f>VLOOKUP(O113, SubjectGroup!$A$2:$B$8, 2, FALSE)</f>
        <v>Core Academic Studies</v>
      </c>
      <c r="Q113" s="2" t="s">
        <v>424</v>
      </c>
      <c r="R113" s="2" t="str">
        <f t="shared" si="7"/>
        <v>English Composition II</v>
      </c>
      <c r="S113" s="2">
        <v>0.8</v>
      </c>
    </row>
    <row r="114" spans="1:20" ht="15.75" hidden="1" customHeight="1" x14ac:dyDescent="0.2">
      <c r="A114" s="2">
        <v>113</v>
      </c>
      <c r="C114" s="2" t="s">
        <v>642</v>
      </c>
      <c r="E114" s="2">
        <v>12</v>
      </c>
      <c r="F114" s="2">
        <v>133</v>
      </c>
      <c r="G114" s="2">
        <v>144</v>
      </c>
      <c r="H114" s="2">
        <f t="shared" si="0"/>
        <v>12</v>
      </c>
      <c r="I114" s="2">
        <v>12</v>
      </c>
      <c r="J114" s="2">
        <v>2</v>
      </c>
      <c r="K114" s="2" t="str">
        <f>VLOOKUP(J114, Subject!$A$2:$B$15, 2, FALSE)</f>
        <v>Language</v>
      </c>
      <c r="L114" s="2" t="str">
        <f>VLOOKUP(J114, Subject!$A$2:$E$11, 5, FALSE)</f>
        <v>LA</v>
      </c>
      <c r="M114" s="9" t="s">
        <v>643</v>
      </c>
      <c r="N114" s="2" t="s">
        <v>476</v>
      </c>
      <c r="O114" s="2">
        <v>2</v>
      </c>
      <c r="P114" s="2" t="str">
        <f>VLOOKUP(O114, SubjectGroup!$A$2:$B$8, 2, FALSE)</f>
        <v>Core Academic Studies</v>
      </c>
      <c r="Q114" s="2" t="s">
        <v>473</v>
      </c>
      <c r="R114" s="2" t="str">
        <f t="shared" si="7"/>
        <v>English IV</v>
      </c>
      <c r="S114" s="2">
        <v>0.8</v>
      </c>
    </row>
    <row r="115" spans="1:20" ht="15.75" hidden="1" customHeight="1" x14ac:dyDescent="0.2">
      <c r="A115" s="2">
        <v>114</v>
      </c>
      <c r="C115" s="2" t="s">
        <v>644</v>
      </c>
      <c r="E115" s="2">
        <v>12</v>
      </c>
      <c r="F115" s="2">
        <v>11</v>
      </c>
      <c r="G115" s="2">
        <v>20</v>
      </c>
      <c r="H115" s="2">
        <f t="shared" si="0"/>
        <v>10</v>
      </c>
      <c r="J115" s="2">
        <v>2</v>
      </c>
      <c r="K115" s="2" t="str">
        <f>VLOOKUP(J115, Subject!$A$2:$B$15, 2, FALSE)</f>
        <v>Language</v>
      </c>
      <c r="L115" s="2" t="str">
        <f>VLOOKUP(J115, Subject!$A$2:$E$11, 5, FALSE)</f>
        <v>LA</v>
      </c>
      <c r="M115" s="9" t="s">
        <v>645</v>
      </c>
      <c r="N115" s="2" t="s">
        <v>626</v>
      </c>
      <c r="O115" s="2">
        <v>2</v>
      </c>
      <c r="P115" s="2" t="str">
        <f>VLOOKUP(O115, SubjectGroup!$A$2:$B$8, 2, FALSE)</f>
        <v>Core Academic Studies</v>
      </c>
      <c r="Q115" s="2" t="s">
        <v>424</v>
      </c>
      <c r="R115" s="2" t="str">
        <f t="shared" si="7"/>
        <v>N.T. Greek II</v>
      </c>
      <c r="S115" s="2">
        <v>0.8</v>
      </c>
    </row>
    <row r="116" spans="1:20" ht="15.75" hidden="1" customHeight="1" x14ac:dyDescent="0.2">
      <c r="A116" s="2">
        <v>115</v>
      </c>
      <c r="C116" s="2" t="s">
        <v>646</v>
      </c>
      <c r="E116" s="2">
        <v>12</v>
      </c>
      <c r="F116" s="2">
        <v>7</v>
      </c>
      <c r="G116" s="2">
        <v>8</v>
      </c>
      <c r="H116" s="2">
        <f t="shared" si="0"/>
        <v>2</v>
      </c>
      <c r="J116" s="2">
        <v>10</v>
      </c>
      <c r="K116" s="2" t="str">
        <f>VLOOKUP(J116, Subject!$A$2:$B$15, 2, FALSE)</f>
        <v>Supplementary</v>
      </c>
      <c r="L116" s="2" t="str">
        <f>VLOOKUP(J116, Subject!$A$2:$E$11, 5, FALSE)</f>
        <v>SU</v>
      </c>
      <c r="N116" s="2" t="s">
        <v>563</v>
      </c>
      <c r="O116" s="2">
        <v>3</v>
      </c>
      <c r="P116" s="2" t="str">
        <f>VLOOKUP(O116, SubjectGroup!$A$2:$B$8, 2, FALSE)</f>
        <v>Core Expanded Studies</v>
      </c>
      <c r="Q116" s="2" t="s">
        <v>424</v>
      </c>
      <c r="R116" s="2" t="str">
        <f t="shared" si="7"/>
        <v>Music Theory/Performance Grade 7/8</v>
      </c>
      <c r="S116" s="2">
        <v>0.8</v>
      </c>
    </row>
    <row r="117" spans="1:20" ht="15.75" hidden="1" customHeight="1" x14ac:dyDescent="0.2">
      <c r="A117" s="2">
        <v>116</v>
      </c>
      <c r="B117" s="2" t="s">
        <v>647</v>
      </c>
      <c r="C117" s="2" t="s">
        <v>10</v>
      </c>
      <c r="E117" s="2">
        <v>12</v>
      </c>
      <c r="F117" s="2">
        <v>1</v>
      </c>
      <c r="G117" s="2">
        <v>10</v>
      </c>
      <c r="H117" s="2">
        <f t="shared" si="0"/>
        <v>10</v>
      </c>
      <c r="I117" s="2">
        <v>12</v>
      </c>
      <c r="J117" s="2">
        <v>5</v>
      </c>
      <c r="K117" s="2" t="str">
        <f>VLOOKUP(J117, Subject!$A$2:$B$15, 2, FALSE)</f>
        <v>Science</v>
      </c>
      <c r="L117" s="2" t="str">
        <f>VLOOKUP(J117, Subject!$A$2:$E$11, 5, FALSE)</f>
        <v>SC</v>
      </c>
      <c r="N117" s="2" t="s">
        <v>648</v>
      </c>
      <c r="O117" s="2">
        <v>2</v>
      </c>
      <c r="P117" s="2" t="str">
        <f>VLOOKUP(O117, SubjectGroup!$A$2:$B$8, 2, FALSE)</f>
        <v>Core Academic Studies</v>
      </c>
      <c r="Q117" s="2" t="s">
        <v>424</v>
      </c>
      <c r="R117" s="2" t="str">
        <f t="shared" si="7"/>
        <v>College Physical Science</v>
      </c>
      <c r="S117" s="2">
        <v>0.8</v>
      </c>
    </row>
    <row r="118" spans="1:20" ht="15.75" hidden="1" customHeight="1" x14ac:dyDescent="0.2">
      <c r="A118" s="2">
        <v>117</v>
      </c>
      <c r="B118" s="2" t="s">
        <v>649</v>
      </c>
      <c r="C118" s="2" t="s">
        <v>340</v>
      </c>
      <c r="E118" s="9">
        <v>12</v>
      </c>
      <c r="F118" s="2">
        <v>133</v>
      </c>
      <c r="G118" s="2">
        <v>144</v>
      </c>
      <c r="H118" s="2">
        <f t="shared" si="0"/>
        <v>12</v>
      </c>
      <c r="I118" s="2">
        <v>12</v>
      </c>
      <c r="J118" s="2">
        <v>5</v>
      </c>
      <c r="K118" s="2" t="str">
        <f>VLOOKUP(J118, Subject!$A$2:$B$15, 2, FALSE)</f>
        <v>Science</v>
      </c>
      <c r="L118" s="2" t="str">
        <f>VLOOKUP(J118, Subject!$A$2:$E$11, 5, FALSE)</f>
        <v>SC</v>
      </c>
      <c r="N118" s="2" t="s">
        <v>650</v>
      </c>
      <c r="O118" s="2">
        <v>2</v>
      </c>
      <c r="P118" s="2" t="str">
        <f>VLOOKUP(O118, SubjectGroup!$A$2:$B$8, 2, FALSE)</f>
        <v>Core Academic Studies</v>
      </c>
      <c r="Q118" s="2" t="s">
        <v>424</v>
      </c>
      <c r="R118" s="2" t="s">
        <v>651</v>
      </c>
      <c r="S118" s="2">
        <v>0.8</v>
      </c>
    </row>
    <row r="119" spans="1:20" ht="15.75" hidden="1" customHeight="1" x14ac:dyDescent="0.2">
      <c r="A119" s="2">
        <v>118</v>
      </c>
      <c r="C119" s="2" t="s">
        <v>84</v>
      </c>
      <c r="D119" s="2" t="s">
        <v>652</v>
      </c>
      <c r="E119" s="2">
        <v>8</v>
      </c>
      <c r="F119" s="2">
        <v>85</v>
      </c>
      <c r="G119" s="2">
        <v>96</v>
      </c>
      <c r="H119" s="2">
        <f t="shared" si="0"/>
        <v>12</v>
      </c>
      <c r="I119" s="2">
        <v>12</v>
      </c>
      <c r="J119" s="2">
        <v>6</v>
      </c>
      <c r="K119" s="2" t="str">
        <f>VLOOKUP(J119, Subject!$A$2:$B$15, 2, FALSE)</f>
        <v>Social Studies</v>
      </c>
      <c r="L119" s="2" t="str">
        <f>VLOOKUP(J119, Subject!$A$2:$E$11, 5, FALSE)</f>
        <v>SS</v>
      </c>
      <c r="M119" s="14" t="s">
        <v>653</v>
      </c>
      <c r="N119" s="2" t="s">
        <v>654</v>
      </c>
      <c r="O119" s="2">
        <v>2</v>
      </c>
      <c r="P119" s="2" t="str">
        <f>VLOOKUP(O119, SubjectGroup!$A$2:$B$8, 2, FALSE)</f>
        <v>Core Academic Studies</v>
      </c>
      <c r="Q119" s="2" t="s">
        <v>424</v>
      </c>
      <c r="R119" s="2" t="s">
        <v>655</v>
      </c>
      <c r="S119" s="2">
        <v>0.8</v>
      </c>
    </row>
    <row r="120" spans="1:20" ht="15.75" hidden="1" customHeight="1" x14ac:dyDescent="0.2">
      <c r="A120" s="2">
        <v>119</v>
      </c>
      <c r="B120" s="2" t="s">
        <v>656</v>
      </c>
      <c r="C120" s="2" t="s">
        <v>656</v>
      </c>
      <c r="E120" s="2">
        <v>12</v>
      </c>
      <c r="F120" s="2">
        <v>133</v>
      </c>
      <c r="G120" s="2">
        <v>144</v>
      </c>
      <c r="H120" s="2">
        <f t="shared" si="0"/>
        <v>12</v>
      </c>
      <c r="I120" s="2">
        <v>12</v>
      </c>
      <c r="J120" s="2">
        <v>6</v>
      </c>
      <c r="K120" s="2" t="str">
        <f>VLOOKUP(J120, Subject!$A$2:$B$15, 2, FALSE)</f>
        <v>Social Studies</v>
      </c>
      <c r="L120" s="2" t="str">
        <f>VLOOKUP(J120, Subject!$A$2:$E$11, 5, FALSE)</f>
        <v>SS</v>
      </c>
      <c r="M120" s="14" t="s">
        <v>657</v>
      </c>
      <c r="N120" s="2" t="s">
        <v>658</v>
      </c>
      <c r="O120" s="2">
        <v>2</v>
      </c>
      <c r="P120" s="2" t="str">
        <f>VLOOKUP(O120, SubjectGroup!$A$2:$B$8, 2, FALSE)</f>
        <v>Core Academic Studies</v>
      </c>
      <c r="Q120" s="2" t="s">
        <v>424</v>
      </c>
      <c r="R120" s="9" t="s">
        <v>659</v>
      </c>
      <c r="S120" s="2">
        <v>0.8</v>
      </c>
    </row>
    <row r="121" spans="1:20" ht="15.75" hidden="1" customHeight="1" x14ac:dyDescent="0.2">
      <c r="A121" s="2">
        <v>120</v>
      </c>
      <c r="C121" s="2" t="s">
        <v>660</v>
      </c>
      <c r="E121" s="2">
        <v>12</v>
      </c>
      <c r="F121" s="2">
        <v>133</v>
      </c>
      <c r="G121" s="2">
        <v>138</v>
      </c>
      <c r="H121" s="2">
        <f t="shared" si="0"/>
        <v>6</v>
      </c>
      <c r="I121" s="2">
        <v>6</v>
      </c>
      <c r="J121" s="2">
        <v>6</v>
      </c>
      <c r="K121" s="2" t="str">
        <f>VLOOKUP(J121, Subject!$A$2:$B$15, 2, FALSE)</f>
        <v>Social Studies</v>
      </c>
      <c r="L121" s="2" t="str">
        <f>VLOOKUP(J121, Subject!$A$2:$E$11, 5, FALSE)</f>
        <v>SS</v>
      </c>
      <c r="M121" s="14" t="s">
        <v>661</v>
      </c>
      <c r="N121" s="2" t="s">
        <v>662</v>
      </c>
      <c r="O121" s="2">
        <v>1</v>
      </c>
      <c r="P121" s="2" t="str">
        <f>VLOOKUP(O121, SubjectGroup!$A$2:$B$8, 2, FALSE)</f>
        <v>Christian Studies</v>
      </c>
      <c r="Q121" s="2" t="s">
        <v>424</v>
      </c>
      <c r="R121" s="9" t="s">
        <v>663</v>
      </c>
      <c r="S121" s="2">
        <v>0.8</v>
      </c>
    </row>
    <row r="122" spans="1:20" ht="15.75" hidden="1" customHeight="1" x14ac:dyDescent="0.2">
      <c r="A122" s="2">
        <v>121</v>
      </c>
      <c r="B122" s="2" t="s">
        <v>423</v>
      </c>
      <c r="C122" s="2" t="s">
        <v>423</v>
      </c>
      <c r="E122" s="2">
        <v>11</v>
      </c>
      <c r="F122" s="2">
        <v>11</v>
      </c>
      <c r="G122" s="2">
        <v>20</v>
      </c>
      <c r="H122" s="2">
        <f t="shared" si="0"/>
        <v>10</v>
      </c>
      <c r="I122" s="2">
        <v>12</v>
      </c>
      <c r="J122" s="2">
        <v>6</v>
      </c>
      <c r="K122" s="2" t="str">
        <f>VLOOKUP(J122, Subject!$A$2:$B$15, 2, FALSE)</f>
        <v>Social Studies</v>
      </c>
      <c r="L122" s="2" t="str">
        <f>VLOOKUP(J122, Subject!$A$2:$E$11, 5, FALSE)</f>
        <v>SS</v>
      </c>
      <c r="M122" s="15" t="s">
        <v>664</v>
      </c>
      <c r="N122" s="2" t="s">
        <v>603</v>
      </c>
      <c r="O122" s="2">
        <v>2</v>
      </c>
      <c r="P122" s="2" t="str">
        <f>VLOOKUP(O122, SubjectGroup!$A$2:$B$8, 2, FALSE)</f>
        <v>Core Academic Studies</v>
      </c>
      <c r="Q122" s="2" t="s">
        <v>473</v>
      </c>
      <c r="R122" s="9" t="s">
        <v>665</v>
      </c>
      <c r="S122" s="2">
        <v>0.8</v>
      </c>
    </row>
    <row r="123" spans="1:20" ht="15.75" hidden="1" customHeight="1" x14ac:dyDescent="0.2">
      <c r="A123" s="2">
        <v>122</v>
      </c>
      <c r="C123" s="2" t="s">
        <v>666</v>
      </c>
      <c r="E123" s="2">
        <v>12</v>
      </c>
      <c r="F123" s="2">
        <v>133</v>
      </c>
      <c r="G123" s="2">
        <v>136</v>
      </c>
      <c r="H123" s="2">
        <f t="shared" si="0"/>
        <v>4</v>
      </c>
      <c r="I123" s="2">
        <v>6</v>
      </c>
      <c r="J123" s="2">
        <v>6</v>
      </c>
      <c r="K123" s="2" t="str">
        <f>VLOOKUP(J123, Subject!$A$2:$B$15, 2, FALSE)</f>
        <v>Social Studies</v>
      </c>
      <c r="L123" s="2" t="str">
        <f>VLOOKUP(J123, Subject!$A$2:$E$11, 5, FALSE)</f>
        <v>SS</v>
      </c>
      <c r="M123" s="14"/>
      <c r="N123" s="2" t="s">
        <v>667</v>
      </c>
      <c r="O123" s="2">
        <v>2</v>
      </c>
      <c r="P123" s="2" t="str">
        <f>VLOOKUP(O123, SubjectGroup!$A$2:$B$8, 2, FALSE)</f>
        <v>Core Academic Studies</v>
      </c>
      <c r="Q123" s="2" t="s">
        <v>424</v>
      </c>
      <c r="R123" s="9" t="s">
        <v>668</v>
      </c>
      <c r="S123" s="2">
        <v>0.8</v>
      </c>
    </row>
    <row r="124" spans="1:20" ht="15.75" hidden="1" customHeight="1" x14ac:dyDescent="0.2">
      <c r="A124" s="2">
        <v>123</v>
      </c>
      <c r="C124" s="2" t="s">
        <v>669</v>
      </c>
      <c r="E124" s="2">
        <v>12</v>
      </c>
      <c r="F124" s="2">
        <v>6</v>
      </c>
      <c r="G124" s="2">
        <v>10</v>
      </c>
      <c r="H124" s="2">
        <f t="shared" si="0"/>
        <v>5</v>
      </c>
      <c r="I124" s="2">
        <v>6</v>
      </c>
      <c r="J124" s="2">
        <v>7</v>
      </c>
      <c r="K124" s="2" t="str">
        <f>VLOOKUP(J124, Subject!$A$2:$B$15, 2, FALSE)</f>
        <v>Biblical Studies</v>
      </c>
      <c r="L124" s="2" t="str">
        <f>VLOOKUP(J124, Subject!$A$2:$E$11, 5, FALSE)</f>
        <v>BS</v>
      </c>
      <c r="M124" s="9" t="s">
        <v>670</v>
      </c>
      <c r="N124" s="2" t="s">
        <v>607</v>
      </c>
      <c r="O124" s="2">
        <v>1</v>
      </c>
      <c r="P124" s="2" t="str">
        <f>VLOOKUP(O124, SubjectGroup!$A$2:$B$8, 2, FALSE)</f>
        <v>Christian Studies</v>
      </c>
      <c r="Q124" s="2" t="s">
        <v>424</v>
      </c>
      <c r="R124" s="2" t="str">
        <f t="shared" ref="R124:R128" si="8">C124</f>
        <v>Christian Counselling II</v>
      </c>
      <c r="S124" s="2">
        <v>0.8</v>
      </c>
    </row>
    <row r="125" spans="1:20" ht="15.75" hidden="1" customHeight="1" x14ac:dyDescent="0.2">
      <c r="A125" s="2">
        <v>124</v>
      </c>
      <c r="B125" s="2" t="s">
        <v>671</v>
      </c>
      <c r="C125" s="2" t="s">
        <v>672</v>
      </c>
      <c r="D125" s="2" t="s">
        <v>673</v>
      </c>
      <c r="E125" s="2">
        <v>12</v>
      </c>
      <c r="F125" s="2">
        <v>133</v>
      </c>
      <c r="G125" s="2">
        <v>138</v>
      </c>
      <c r="H125" s="2">
        <f t="shared" si="0"/>
        <v>6</v>
      </c>
      <c r="I125" s="2">
        <v>6</v>
      </c>
      <c r="J125" s="2">
        <v>7</v>
      </c>
      <c r="K125" s="2" t="str">
        <f>VLOOKUP(J125, Subject!$A$2:$B$15, 2, FALSE)</f>
        <v>Biblical Studies</v>
      </c>
      <c r="L125" s="2" t="str">
        <f>VLOOKUP(J125, Subject!$A$2:$E$11, 5, FALSE)</f>
        <v>BS</v>
      </c>
      <c r="N125" s="2" t="s">
        <v>674</v>
      </c>
      <c r="O125" s="2">
        <v>1</v>
      </c>
      <c r="P125" s="2" t="str">
        <f>VLOOKUP(O125, SubjectGroup!$A$2:$B$8, 2, FALSE)</f>
        <v>Christian Studies</v>
      </c>
      <c r="Q125" s="2" t="s">
        <v>424</v>
      </c>
      <c r="R125" s="2" t="str">
        <f t="shared" si="8"/>
        <v>Christian Growth</v>
      </c>
      <c r="S125" s="2">
        <v>0.8</v>
      </c>
    </row>
    <row r="126" spans="1:20" ht="15.75" hidden="1" customHeight="1" x14ac:dyDescent="0.2">
      <c r="A126" s="2">
        <v>125</v>
      </c>
      <c r="C126" s="2" t="s">
        <v>341</v>
      </c>
      <c r="E126" s="2">
        <v>12</v>
      </c>
      <c r="F126" s="2">
        <v>139</v>
      </c>
      <c r="G126" s="2">
        <v>144</v>
      </c>
      <c r="H126" s="2">
        <f t="shared" si="0"/>
        <v>6</v>
      </c>
      <c r="J126" s="2">
        <v>7</v>
      </c>
      <c r="K126" s="2" t="str">
        <f>VLOOKUP(J126, Subject!$A$2:$B$15, 2, FALSE)</f>
        <v>Biblical Studies</v>
      </c>
      <c r="L126" s="2" t="str">
        <f>VLOOKUP(J126, Subject!$A$2:$E$11, 5, FALSE)</f>
        <v>BS</v>
      </c>
      <c r="M126" s="2" t="s">
        <v>675</v>
      </c>
      <c r="N126" s="2" t="s">
        <v>479</v>
      </c>
      <c r="O126" s="2">
        <v>1</v>
      </c>
      <c r="P126" s="2" t="str">
        <f>VLOOKUP(O126, SubjectGroup!$A$2:$B$8, 2, FALSE)</f>
        <v>Christian Studies</v>
      </c>
      <c r="Q126" s="2" t="s">
        <v>424</v>
      </c>
      <c r="R126" s="2" t="str">
        <f t="shared" si="8"/>
        <v>Life of Christ II</v>
      </c>
      <c r="S126" s="2">
        <v>0.8</v>
      </c>
    </row>
    <row r="127" spans="1:20" ht="15.75" hidden="1" customHeight="1" x14ac:dyDescent="0.2">
      <c r="A127" s="2">
        <v>126</v>
      </c>
      <c r="B127" s="2" t="s">
        <v>630</v>
      </c>
      <c r="C127" s="2" t="s">
        <v>676</v>
      </c>
      <c r="E127" s="2">
        <v>12</v>
      </c>
      <c r="F127" s="2">
        <v>127</v>
      </c>
      <c r="G127" s="2">
        <v>132</v>
      </c>
      <c r="H127" s="2">
        <f t="shared" si="0"/>
        <v>6</v>
      </c>
      <c r="I127" s="2">
        <v>6</v>
      </c>
      <c r="J127" s="2">
        <v>7</v>
      </c>
      <c r="K127" s="2" t="str">
        <f>VLOOKUP(J127, Subject!$A$2:$B$15, 2, FALSE)</f>
        <v>Biblical Studies</v>
      </c>
      <c r="L127" s="2" t="str">
        <f>VLOOKUP(J127, Subject!$A$2:$E$11, 5, FALSE)</f>
        <v>BS</v>
      </c>
      <c r="M127" s="2" t="s">
        <v>675</v>
      </c>
      <c r="N127" s="2" t="s">
        <v>633</v>
      </c>
      <c r="O127" s="2">
        <v>1</v>
      </c>
      <c r="P127" s="2" t="str">
        <f>VLOOKUP(O127, SubjectGroup!$A$2:$B$8, 2, FALSE)</f>
        <v>Christian Studies</v>
      </c>
      <c r="Q127" s="2" t="s">
        <v>424</v>
      </c>
      <c r="R127" s="2" t="str">
        <f t="shared" si="8"/>
        <v>New Testament Church History II</v>
      </c>
      <c r="S127" s="2">
        <v>0.8</v>
      </c>
      <c r="T127" s="2" t="s">
        <v>677</v>
      </c>
    </row>
    <row r="128" spans="1:20" ht="15.75" hidden="1" customHeight="1" x14ac:dyDescent="0.2">
      <c r="A128" s="2">
        <v>127</v>
      </c>
      <c r="C128" s="2" t="s">
        <v>678</v>
      </c>
      <c r="E128" s="9">
        <v>10</v>
      </c>
      <c r="F128" s="2">
        <v>1</v>
      </c>
      <c r="G128" s="2">
        <v>10</v>
      </c>
      <c r="H128" s="2">
        <f t="shared" si="0"/>
        <v>10</v>
      </c>
      <c r="J128" s="2">
        <v>2</v>
      </c>
      <c r="K128" s="2" t="str">
        <f>VLOOKUP(J128, Subject!$A$2:$B$15, 2, FALSE)</f>
        <v>Language</v>
      </c>
      <c r="L128" s="2" t="str">
        <f>VLOOKUP(J128, Subject!$A$2:$E$11, 5, FALSE)</f>
        <v>LA</v>
      </c>
      <c r="M128" s="9" t="s">
        <v>679</v>
      </c>
      <c r="N128" s="2" t="s">
        <v>641</v>
      </c>
      <c r="O128" s="2">
        <v>2</v>
      </c>
      <c r="P128" s="2" t="str">
        <f>VLOOKUP(O128, SubjectGroup!$A$2:$B$8, 2, FALSE)</f>
        <v>Core Academic Studies</v>
      </c>
      <c r="Q128" s="2" t="s">
        <v>473</v>
      </c>
      <c r="R128" s="2" t="str">
        <f t="shared" si="8"/>
        <v>English Composition I</v>
      </c>
      <c r="S128" s="2">
        <v>0.8</v>
      </c>
    </row>
    <row r="129" spans="1:20" ht="15.75" hidden="1" customHeight="1" x14ac:dyDescent="0.2">
      <c r="A129" s="2">
        <v>128</v>
      </c>
    </row>
    <row r="130" spans="1:20" ht="15.75" hidden="1" customHeight="1" x14ac:dyDescent="0.2">
      <c r="A130" s="2">
        <v>129</v>
      </c>
      <c r="C130" s="2" t="s">
        <v>680</v>
      </c>
      <c r="E130" s="2">
        <v>9</v>
      </c>
      <c r="F130" s="2">
        <v>1</v>
      </c>
      <c r="G130" s="2">
        <v>6</v>
      </c>
      <c r="H130" s="2">
        <f t="shared" ref="H130:H151" si="9">G130-F130+1</f>
        <v>6</v>
      </c>
      <c r="J130" s="2">
        <v>5</v>
      </c>
      <c r="K130" s="2" t="str">
        <f>VLOOKUP(J130, Subject!$A$2:$B$15, 2, FALSE)</f>
        <v>Science</v>
      </c>
      <c r="L130" s="2" t="str">
        <f>VLOOKUP(J130, Subject!$A$2:$E$11, 5, FALSE)</f>
        <v>SC</v>
      </c>
      <c r="N130" s="2" t="s">
        <v>681</v>
      </c>
      <c r="O130" s="2">
        <v>2</v>
      </c>
      <c r="P130" s="2" t="str">
        <f>VLOOKUP(O130, SubjectGroup!$A$2:$B$8, 2, FALSE)</f>
        <v>Core Academic Studies</v>
      </c>
      <c r="Q130" s="2" t="s">
        <v>424</v>
      </c>
      <c r="R130" s="2" t="str">
        <f t="shared" ref="R130:R147" si="10">C130</f>
        <v>ICCE Biology</v>
      </c>
      <c r="S130" s="2">
        <v>0.8</v>
      </c>
    </row>
    <row r="131" spans="1:20" ht="15.75" customHeight="1" x14ac:dyDescent="0.2">
      <c r="A131" s="2">
        <v>130</v>
      </c>
      <c r="C131" s="2" t="s">
        <v>342</v>
      </c>
      <c r="E131" s="2">
        <v>10</v>
      </c>
      <c r="F131" s="2">
        <v>1</v>
      </c>
      <c r="G131" s="2">
        <v>16</v>
      </c>
      <c r="H131" s="2">
        <f t="shared" si="9"/>
        <v>16</v>
      </c>
      <c r="J131" s="2">
        <v>5</v>
      </c>
      <c r="K131" s="2" t="str">
        <f>VLOOKUP(J131, Subject!$A$2:$B$15, 2, FALSE)</f>
        <v>Science</v>
      </c>
      <c r="L131" s="2" t="str">
        <f>VLOOKUP(J131, Subject!$A$2:$E$11, 5, FALSE)</f>
        <v>SC</v>
      </c>
      <c r="N131" s="2" t="s">
        <v>523</v>
      </c>
      <c r="O131" s="2">
        <v>2</v>
      </c>
      <c r="P131" s="2" t="str">
        <f>VLOOKUP(O131, SubjectGroup!$A$2:$B$8, 2, FALSE)</f>
        <v>Core Academic Studies</v>
      </c>
      <c r="Q131" s="2" t="s">
        <v>424</v>
      </c>
      <c r="R131" s="2" t="str">
        <f t="shared" si="10"/>
        <v>Biology Apologia</v>
      </c>
      <c r="S131" s="2">
        <v>0.8</v>
      </c>
    </row>
    <row r="132" spans="1:20" ht="15.75" hidden="1" customHeight="1" x14ac:dyDescent="0.2">
      <c r="A132" s="2">
        <v>131</v>
      </c>
      <c r="C132" s="2" t="s">
        <v>682</v>
      </c>
      <c r="E132" s="2">
        <v>12</v>
      </c>
      <c r="F132" s="2">
        <v>133</v>
      </c>
      <c r="G132" s="2">
        <v>144</v>
      </c>
      <c r="H132" s="2">
        <f t="shared" si="9"/>
        <v>12</v>
      </c>
      <c r="I132" s="2">
        <v>12</v>
      </c>
      <c r="J132" s="2">
        <v>7</v>
      </c>
      <c r="K132" s="2" t="str">
        <f>VLOOKUP(J132, Subject!$A$2:$B$15, 2, FALSE)</f>
        <v>Biblical Studies</v>
      </c>
      <c r="L132" s="2" t="str">
        <f>VLOOKUP(J132, Subject!$A$2:$E$11, 5, FALSE)</f>
        <v>BS</v>
      </c>
      <c r="N132" s="2" t="s">
        <v>479</v>
      </c>
      <c r="O132" s="2">
        <v>1</v>
      </c>
      <c r="P132" s="2" t="str">
        <f>VLOOKUP(O132, SubjectGroup!$A$2:$B$8, 2, FALSE)</f>
        <v>Christian Studies</v>
      </c>
      <c r="Q132" s="2" t="s">
        <v>424</v>
      </c>
      <c r="R132" s="2" t="str">
        <f t="shared" si="10"/>
        <v>Life of Christ</v>
      </c>
      <c r="S132" s="2">
        <v>0.8</v>
      </c>
      <c r="T132" s="2" t="s">
        <v>677</v>
      </c>
    </row>
    <row r="133" spans="1:20" ht="15.75" hidden="1" customHeight="1" x14ac:dyDescent="0.2">
      <c r="A133" s="2">
        <v>132</v>
      </c>
      <c r="C133" s="2" t="s">
        <v>683</v>
      </c>
      <c r="E133" s="2">
        <v>9</v>
      </c>
      <c r="H133" s="2">
        <f t="shared" si="9"/>
        <v>1</v>
      </c>
      <c r="I133" s="2">
        <v>12</v>
      </c>
      <c r="J133" s="2">
        <v>2</v>
      </c>
      <c r="K133" s="2" t="str">
        <f>VLOOKUP(J133, Subject!$A$2:$B$15, 2, FALSE)</f>
        <v>Language</v>
      </c>
      <c r="L133" s="2" t="str">
        <f>VLOOKUP(J133, Subject!$A$2:$E$11, 5, FALSE)</f>
        <v>LA</v>
      </c>
      <c r="N133" s="2" t="s">
        <v>389</v>
      </c>
      <c r="O133" s="2">
        <v>2</v>
      </c>
      <c r="P133" s="2" t="str">
        <f>VLOOKUP(O133, SubjectGroup!$A$2:$B$8, 2, FALSE)</f>
        <v>Core Academic Studies</v>
      </c>
      <c r="Q133" s="2" t="s">
        <v>424</v>
      </c>
      <c r="R133" s="2" t="str">
        <f t="shared" si="10"/>
        <v>Dutch Language Staatsexamen VMBO</v>
      </c>
      <c r="S133" s="2">
        <v>0.8</v>
      </c>
    </row>
    <row r="134" spans="1:20" ht="15.75" hidden="1" customHeight="1" x14ac:dyDescent="0.2">
      <c r="A134" s="2">
        <v>133</v>
      </c>
      <c r="C134" s="2" t="s">
        <v>684</v>
      </c>
      <c r="E134" s="2">
        <v>9</v>
      </c>
      <c r="H134" s="2">
        <f t="shared" si="9"/>
        <v>1</v>
      </c>
      <c r="I134" s="2">
        <v>3</v>
      </c>
      <c r="J134" s="2">
        <v>6</v>
      </c>
      <c r="K134" s="2" t="str">
        <f>VLOOKUP(J134, Subject!$A$2:$B$15, 2, FALSE)</f>
        <v>Social Studies</v>
      </c>
      <c r="L134" s="2" t="str">
        <f>VLOOKUP(J134, Subject!$A$2:$E$11, 5, FALSE)</f>
        <v>SS</v>
      </c>
      <c r="M134" s="14"/>
      <c r="N134" s="2" t="s">
        <v>533</v>
      </c>
      <c r="O134" s="2">
        <v>7</v>
      </c>
      <c r="P134" s="2" t="str">
        <f>VLOOKUP(O134, SubjectGroup!$A$2:$B$8, 2, FALSE)</f>
        <v>Coursework</v>
      </c>
      <c r="Q134" s="2" t="s">
        <v>685</v>
      </c>
      <c r="R134" s="2" t="str">
        <f t="shared" si="10"/>
        <v>Social Studies Essay General</v>
      </c>
      <c r="S134" s="2">
        <v>0.8</v>
      </c>
    </row>
    <row r="135" spans="1:20" ht="15.75" hidden="1" customHeight="1" x14ac:dyDescent="0.2">
      <c r="A135" s="2">
        <v>134</v>
      </c>
      <c r="C135" s="2" t="s">
        <v>686</v>
      </c>
      <c r="E135" s="2">
        <v>9</v>
      </c>
      <c r="H135" s="2">
        <f t="shared" si="9"/>
        <v>1</v>
      </c>
      <c r="I135" s="2">
        <v>3</v>
      </c>
      <c r="J135" s="2">
        <v>5</v>
      </c>
      <c r="K135" s="2" t="str">
        <f>VLOOKUP(J135, Subject!$A$2:$B$15, 2, FALSE)</f>
        <v>Science</v>
      </c>
      <c r="L135" s="2" t="str">
        <f>VLOOKUP(J135, Subject!$A$2:$E$11, 5, FALSE)</f>
        <v>SC</v>
      </c>
      <c r="N135" s="2" t="s">
        <v>533</v>
      </c>
      <c r="O135" s="2">
        <v>7</v>
      </c>
      <c r="P135" s="2" t="str">
        <f>VLOOKUP(O135, SubjectGroup!$A$2:$B$8, 2, FALSE)</f>
        <v>Coursework</v>
      </c>
      <c r="Q135" s="2" t="s">
        <v>685</v>
      </c>
      <c r="R135" s="2" t="str">
        <f t="shared" si="10"/>
        <v>Science Essay General</v>
      </c>
      <c r="S135" s="2">
        <v>0.8</v>
      </c>
    </row>
    <row r="136" spans="1:20" ht="15.75" hidden="1" customHeight="1" x14ac:dyDescent="0.2">
      <c r="A136" s="2">
        <v>135</v>
      </c>
      <c r="C136" s="2" t="s">
        <v>687</v>
      </c>
      <c r="E136" s="2">
        <v>10</v>
      </c>
      <c r="H136" s="2">
        <f t="shared" si="9"/>
        <v>1</v>
      </c>
      <c r="I136" s="2">
        <v>2</v>
      </c>
      <c r="J136" s="2">
        <v>7</v>
      </c>
      <c r="K136" s="2" t="str">
        <f>VLOOKUP(J136, Subject!$A$2:$B$15, 2, FALSE)</f>
        <v>Biblical Studies</v>
      </c>
      <c r="L136" s="2" t="str">
        <f>VLOOKUP(J136, Subject!$A$2:$E$11, 5, FALSE)</f>
        <v>BS</v>
      </c>
      <c r="N136" s="2" t="s">
        <v>533</v>
      </c>
      <c r="O136" s="2">
        <v>7</v>
      </c>
      <c r="P136" s="2" t="str">
        <f>VLOOKUP(O136, SubjectGroup!$A$2:$B$8, 2, FALSE)</f>
        <v>Coursework</v>
      </c>
      <c r="Q136" s="2" t="s">
        <v>685</v>
      </c>
      <c r="R136" s="2" t="str">
        <f t="shared" si="10"/>
        <v>Biblical Studies Essay Intermediate</v>
      </c>
      <c r="S136" s="2">
        <v>0.8</v>
      </c>
      <c r="T136" s="2" t="s">
        <v>677</v>
      </c>
    </row>
    <row r="137" spans="1:20" ht="15.75" hidden="1" customHeight="1" x14ac:dyDescent="0.2">
      <c r="A137" s="2">
        <v>136</v>
      </c>
      <c r="C137" s="2" t="s">
        <v>688</v>
      </c>
      <c r="E137" s="2">
        <v>10</v>
      </c>
      <c r="H137" s="2">
        <f t="shared" si="9"/>
        <v>1</v>
      </c>
      <c r="I137" s="2">
        <v>2</v>
      </c>
      <c r="J137" s="2">
        <v>2</v>
      </c>
      <c r="K137" s="2" t="str">
        <f>VLOOKUP(J137, Subject!$A$2:$B$15, 2, FALSE)</f>
        <v>Language</v>
      </c>
      <c r="L137" s="2" t="str">
        <f>VLOOKUP(J137, Subject!$A$2:$E$11, 5, FALSE)</f>
        <v>LA</v>
      </c>
      <c r="N137" s="2" t="s">
        <v>533</v>
      </c>
      <c r="O137" s="2">
        <v>7</v>
      </c>
      <c r="P137" s="2" t="str">
        <f>VLOOKUP(O137, SubjectGroup!$A$2:$B$8, 2, FALSE)</f>
        <v>Coursework</v>
      </c>
      <c r="Q137" s="2" t="s">
        <v>685</v>
      </c>
      <c r="R137" s="2" t="str">
        <f t="shared" si="10"/>
        <v>English Essay Intermediate</v>
      </c>
      <c r="S137" s="2">
        <v>0.8</v>
      </c>
    </row>
    <row r="138" spans="1:20" ht="15.75" hidden="1" customHeight="1" x14ac:dyDescent="0.2">
      <c r="A138" s="2">
        <v>137</v>
      </c>
      <c r="C138" s="2" t="s">
        <v>689</v>
      </c>
      <c r="E138" s="2">
        <v>10</v>
      </c>
      <c r="H138" s="2">
        <f t="shared" si="9"/>
        <v>1</v>
      </c>
      <c r="I138" s="2">
        <v>2</v>
      </c>
      <c r="J138" s="2">
        <v>6</v>
      </c>
      <c r="K138" s="2" t="str">
        <f>VLOOKUP(J138, Subject!$A$2:$B$15, 2, FALSE)</f>
        <v>Social Studies</v>
      </c>
      <c r="L138" s="2" t="str">
        <f>VLOOKUP(J138, Subject!$A$2:$E$11, 5, FALSE)</f>
        <v>SS</v>
      </c>
      <c r="M138" s="14"/>
      <c r="N138" s="2" t="s">
        <v>533</v>
      </c>
      <c r="O138" s="2">
        <v>7</v>
      </c>
      <c r="P138" s="2" t="str">
        <f>VLOOKUP(O138, SubjectGroup!$A$2:$B$8, 2, FALSE)</f>
        <v>Coursework</v>
      </c>
      <c r="Q138" s="2" t="s">
        <v>685</v>
      </c>
      <c r="R138" s="2" t="str">
        <f t="shared" si="10"/>
        <v>Social Studies Essay Intermediate</v>
      </c>
      <c r="S138" s="2">
        <v>0.8</v>
      </c>
    </row>
    <row r="139" spans="1:20" ht="15.75" hidden="1" customHeight="1" x14ac:dyDescent="0.2">
      <c r="A139" s="2">
        <v>138</v>
      </c>
      <c r="C139" s="2" t="s">
        <v>690</v>
      </c>
      <c r="E139" s="2">
        <v>10</v>
      </c>
      <c r="H139" s="2">
        <f t="shared" si="9"/>
        <v>1</v>
      </c>
      <c r="I139" s="2">
        <v>2</v>
      </c>
      <c r="J139" s="2">
        <v>5</v>
      </c>
      <c r="K139" s="2" t="str">
        <f>VLOOKUP(J139, Subject!$A$2:$B$15, 2, FALSE)</f>
        <v>Science</v>
      </c>
      <c r="L139" s="2" t="str">
        <f>VLOOKUP(J139, Subject!$A$2:$E$11, 5, FALSE)</f>
        <v>SC</v>
      </c>
      <c r="N139" s="2" t="s">
        <v>533</v>
      </c>
      <c r="O139" s="2">
        <v>7</v>
      </c>
      <c r="P139" s="2" t="str">
        <f>VLOOKUP(O139, SubjectGroup!$A$2:$B$8, 2, FALSE)</f>
        <v>Coursework</v>
      </c>
      <c r="Q139" s="2" t="s">
        <v>685</v>
      </c>
      <c r="R139" s="2" t="str">
        <f t="shared" si="10"/>
        <v>Science Essay Intermediate</v>
      </c>
      <c r="S139" s="2">
        <v>0.8</v>
      </c>
    </row>
    <row r="140" spans="1:20" ht="15.75" hidden="1" customHeight="1" x14ac:dyDescent="0.2">
      <c r="A140" s="2">
        <v>139</v>
      </c>
      <c r="C140" s="2" t="s">
        <v>691</v>
      </c>
      <c r="E140" s="2">
        <v>12</v>
      </c>
      <c r="H140" s="2">
        <f t="shared" si="9"/>
        <v>1</v>
      </c>
      <c r="I140" s="2">
        <v>2</v>
      </c>
      <c r="J140" s="2">
        <v>7</v>
      </c>
      <c r="K140" s="2" t="str">
        <f>VLOOKUP(J140, Subject!$A$2:$B$15, 2, FALSE)</f>
        <v>Biblical Studies</v>
      </c>
      <c r="L140" s="2" t="str">
        <f>VLOOKUP(J140, Subject!$A$2:$E$11, 5, FALSE)</f>
        <v>BS</v>
      </c>
      <c r="N140" s="2" t="s">
        <v>533</v>
      </c>
      <c r="O140" s="2">
        <v>7</v>
      </c>
      <c r="P140" s="2" t="str">
        <f>VLOOKUP(O140, SubjectGroup!$A$2:$B$8, 2, FALSE)</f>
        <v>Coursework</v>
      </c>
      <c r="Q140" s="2" t="s">
        <v>685</v>
      </c>
      <c r="R140" s="2" t="str">
        <f t="shared" si="10"/>
        <v>Biblical Studies Essay Advanced</v>
      </c>
      <c r="S140" s="2">
        <v>0.8</v>
      </c>
      <c r="T140" s="2" t="s">
        <v>677</v>
      </c>
    </row>
    <row r="141" spans="1:20" ht="15.75" hidden="1" customHeight="1" x14ac:dyDescent="0.2">
      <c r="A141" s="2">
        <v>140</v>
      </c>
      <c r="C141" s="2" t="s">
        <v>692</v>
      </c>
      <c r="E141" s="2">
        <v>12</v>
      </c>
      <c r="H141" s="2">
        <f t="shared" si="9"/>
        <v>1</v>
      </c>
      <c r="I141" s="2">
        <v>2</v>
      </c>
      <c r="J141" s="2">
        <v>1</v>
      </c>
      <c r="K141" s="2" t="str">
        <f>VLOOKUP(J141, Subject!$A$2:$B$15, 2, FALSE)</f>
        <v>Maths</v>
      </c>
      <c r="L141" s="2" t="str">
        <f>VLOOKUP(J141, Subject!$A$2:$E$11, 5, FALSE)</f>
        <v>MA</v>
      </c>
      <c r="N141" s="2" t="s">
        <v>533</v>
      </c>
      <c r="O141" s="2">
        <v>7</v>
      </c>
      <c r="P141" s="2" t="str">
        <f>VLOOKUP(O141, SubjectGroup!$A$2:$B$8, 2, FALSE)</f>
        <v>Coursework</v>
      </c>
      <c r="Q141" s="2" t="s">
        <v>685</v>
      </c>
      <c r="R141" s="2" t="str">
        <f t="shared" si="10"/>
        <v>Maths Paper Advanced</v>
      </c>
      <c r="S141" s="2">
        <v>0.8</v>
      </c>
    </row>
    <row r="142" spans="1:20" ht="15.75" hidden="1" customHeight="1" x14ac:dyDescent="0.2">
      <c r="A142" s="2">
        <v>141</v>
      </c>
      <c r="C142" s="2" t="s">
        <v>693</v>
      </c>
      <c r="E142" s="2">
        <v>12</v>
      </c>
      <c r="H142" s="2">
        <f t="shared" si="9"/>
        <v>1</v>
      </c>
      <c r="I142" s="2">
        <v>2</v>
      </c>
      <c r="J142" s="2">
        <v>2</v>
      </c>
      <c r="K142" s="2" t="str">
        <f>VLOOKUP(J142, Subject!$A$2:$B$15, 2, FALSE)</f>
        <v>Language</v>
      </c>
      <c r="L142" s="2" t="str">
        <f>VLOOKUP(J142, Subject!$A$2:$E$11, 5, FALSE)</f>
        <v>LA</v>
      </c>
      <c r="N142" s="2" t="s">
        <v>533</v>
      </c>
      <c r="O142" s="2">
        <v>7</v>
      </c>
      <c r="P142" s="2" t="str">
        <f>VLOOKUP(O142, SubjectGroup!$A$2:$B$8, 2, FALSE)</f>
        <v>Coursework</v>
      </c>
      <c r="Q142" s="2" t="s">
        <v>685</v>
      </c>
      <c r="R142" s="2" t="str">
        <f t="shared" si="10"/>
        <v>English Essay Advanced</v>
      </c>
      <c r="S142" s="2">
        <v>0.8</v>
      </c>
    </row>
    <row r="143" spans="1:20" ht="15.75" hidden="1" customHeight="1" x14ac:dyDescent="0.2">
      <c r="A143" s="2">
        <v>142</v>
      </c>
      <c r="C143" s="2" t="s">
        <v>694</v>
      </c>
      <c r="E143" s="2">
        <v>12</v>
      </c>
      <c r="H143" s="2">
        <f t="shared" si="9"/>
        <v>1</v>
      </c>
      <c r="I143" s="2">
        <v>2</v>
      </c>
      <c r="J143" s="2">
        <v>6</v>
      </c>
      <c r="K143" s="2" t="str">
        <f>VLOOKUP(J143, Subject!$A$2:$B$15, 2, FALSE)</f>
        <v>Social Studies</v>
      </c>
      <c r="L143" s="2" t="str">
        <f>VLOOKUP(J143, Subject!$A$2:$E$11, 5, FALSE)</f>
        <v>SS</v>
      </c>
      <c r="M143" s="14"/>
      <c r="N143" s="2" t="s">
        <v>533</v>
      </c>
      <c r="O143" s="2">
        <v>7</v>
      </c>
      <c r="P143" s="2" t="str">
        <f>VLOOKUP(O143, SubjectGroup!$A$2:$B$8, 2, FALSE)</f>
        <v>Coursework</v>
      </c>
      <c r="Q143" s="2" t="s">
        <v>685</v>
      </c>
      <c r="R143" s="2" t="str">
        <f t="shared" si="10"/>
        <v>Social Studies Essay Advanced</v>
      </c>
      <c r="S143" s="2">
        <v>0.8</v>
      </c>
    </row>
    <row r="144" spans="1:20" ht="15.75" hidden="1" customHeight="1" x14ac:dyDescent="0.2">
      <c r="A144" s="2">
        <v>143</v>
      </c>
      <c r="C144" s="2" t="s">
        <v>695</v>
      </c>
      <c r="E144" s="2">
        <v>12</v>
      </c>
      <c r="H144" s="2">
        <f t="shared" si="9"/>
        <v>1</v>
      </c>
      <c r="I144" s="2">
        <v>2</v>
      </c>
      <c r="J144" s="2">
        <v>5</v>
      </c>
      <c r="K144" s="2" t="str">
        <f>VLOOKUP(J144, Subject!$A$2:$B$15, 2, FALSE)</f>
        <v>Science</v>
      </c>
      <c r="L144" s="2" t="str">
        <f>VLOOKUP(J144, Subject!$A$2:$E$11, 5, FALSE)</f>
        <v>SC</v>
      </c>
      <c r="N144" s="2" t="s">
        <v>696</v>
      </c>
      <c r="O144" s="2">
        <v>7</v>
      </c>
      <c r="P144" s="2" t="str">
        <f>VLOOKUP(O144, SubjectGroup!$A$2:$B$8, 2, FALSE)</f>
        <v>Coursework</v>
      </c>
      <c r="Q144" s="2" t="s">
        <v>685</v>
      </c>
      <c r="R144" s="2" t="str">
        <f t="shared" si="10"/>
        <v>Sciences Project Advanced</v>
      </c>
      <c r="S144" s="2">
        <v>0.8</v>
      </c>
    </row>
    <row r="145" spans="1:20" ht="15.75" hidden="1" customHeight="1" x14ac:dyDescent="0.2">
      <c r="A145" s="2">
        <v>144</v>
      </c>
      <c r="C145" s="2" t="s">
        <v>697</v>
      </c>
      <c r="E145" s="2">
        <v>12</v>
      </c>
      <c r="H145" s="2">
        <f t="shared" si="9"/>
        <v>1</v>
      </c>
      <c r="I145" s="2">
        <v>2</v>
      </c>
      <c r="J145" s="2">
        <v>5</v>
      </c>
      <c r="K145" s="2" t="str">
        <f>VLOOKUP(J145, Subject!$A$2:$B$15, 2, FALSE)</f>
        <v>Science</v>
      </c>
      <c r="L145" s="2" t="str">
        <f>VLOOKUP(J145, Subject!$A$2:$E$11, 5, FALSE)</f>
        <v>SC</v>
      </c>
      <c r="N145" s="2" t="s">
        <v>533</v>
      </c>
      <c r="O145" s="2">
        <v>7</v>
      </c>
      <c r="P145" s="2" t="str">
        <f>VLOOKUP(O145, SubjectGroup!$A$2:$B$8, 2, FALSE)</f>
        <v>Coursework</v>
      </c>
      <c r="Q145" s="2" t="s">
        <v>685</v>
      </c>
      <c r="R145" s="2" t="str">
        <f t="shared" si="10"/>
        <v>Sciences Essay Advanced</v>
      </c>
      <c r="S145" s="2">
        <v>0.8</v>
      </c>
    </row>
    <row r="146" spans="1:20" ht="15.75" hidden="1" customHeight="1" x14ac:dyDescent="0.2">
      <c r="A146" s="2">
        <v>145</v>
      </c>
      <c r="C146" s="2" t="s">
        <v>698</v>
      </c>
      <c r="E146" s="2">
        <v>12</v>
      </c>
      <c r="H146" s="2">
        <f t="shared" si="9"/>
        <v>1</v>
      </c>
      <c r="I146" s="2">
        <v>2</v>
      </c>
      <c r="J146" s="2">
        <v>2</v>
      </c>
      <c r="K146" s="2" t="str">
        <f>VLOOKUP(J146, Subject!$A$2:$B$15, 2, FALSE)</f>
        <v>Language</v>
      </c>
      <c r="L146" s="2" t="str">
        <f>VLOOKUP(J146, Subject!$A$2:$E$11, 5, FALSE)</f>
        <v>LA</v>
      </c>
      <c r="N146" s="2" t="s">
        <v>699</v>
      </c>
      <c r="O146" s="2">
        <v>7</v>
      </c>
      <c r="P146" s="2" t="str">
        <f>VLOOKUP(O146, SubjectGroup!$A$2:$B$8, 2, FALSE)</f>
        <v>Coursework</v>
      </c>
      <c r="Q146" s="2" t="s">
        <v>685</v>
      </c>
      <c r="R146" s="2" t="str">
        <f t="shared" si="10"/>
        <v>English III Dissertation</v>
      </c>
      <c r="S146" s="2">
        <v>0.8</v>
      </c>
    </row>
    <row r="147" spans="1:20" ht="15.75" hidden="1" customHeight="1" x14ac:dyDescent="0.2">
      <c r="A147" s="2">
        <v>146</v>
      </c>
      <c r="C147" s="16" t="s">
        <v>700</v>
      </c>
      <c r="D147" s="16"/>
      <c r="E147" s="2">
        <v>9</v>
      </c>
      <c r="F147" s="2">
        <v>98</v>
      </c>
      <c r="G147" s="2">
        <v>108</v>
      </c>
      <c r="H147" s="2">
        <f t="shared" si="9"/>
        <v>11</v>
      </c>
      <c r="I147" s="2">
        <v>6</v>
      </c>
      <c r="J147" s="2">
        <v>4</v>
      </c>
      <c r="K147" s="2" t="str">
        <f>VLOOKUP(J147, Subject!$A$2:$B$15, 2, FALSE)</f>
        <v>Literature</v>
      </c>
      <c r="L147" s="2" t="str">
        <f>VLOOKUP(J147, Subject!$A$2:$E$11, 5, FALSE)</f>
        <v>LI</v>
      </c>
      <c r="M147" s="9" t="s">
        <v>701</v>
      </c>
      <c r="N147" s="2" t="s">
        <v>479</v>
      </c>
      <c r="O147" s="2">
        <v>2</v>
      </c>
      <c r="P147" s="2" t="str">
        <f>VLOOKUP(O147, SubjectGroup!$A$2:$B$8, 2, FALSE)</f>
        <v>Core Academic Studies</v>
      </c>
      <c r="Q147" s="2" t="s">
        <v>473</v>
      </c>
      <c r="R147" s="2" t="str">
        <f t="shared" si="10"/>
        <v>Literature Level 9</v>
      </c>
      <c r="S147" s="2">
        <v>0.8</v>
      </c>
    </row>
    <row r="148" spans="1:20" ht="15.75" hidden="1" customHeight="1" x14ac:dyDescent="0.2">
      <c r="A148" s="2">
        <v>147</v>
      </c>
      <c r="C148" s="2" t="s">
        <v>702</v>
      </c>
      <c r="E148" s="2">
        <v>5</v>
      </c>
      <c r="F148" s="2">
        <v>49</v>
      </c>
      <c r="G148" s="2">
        <v>60</v>
      </c>
      <c r="H148" s="2">
        <f t="shared" si="9"/>
        <v>12</v>
      </c>
      <c r="I148" s="2">
        <v>12</v>
      </c>
      <c r="J148" s="2">
        <v>6</v>
      </c>
      <c r="K148" s="2" t="s">
        <v>63</v>
      </c>
      <c r="L148" s="2" t="str">
        <f>VLOOKUP(J148, Subject!$A$2:$E$11, 5, FALSE)</f>
        <v>SS</v>
      </c>
      <c r="M148" s="14"/>
      <c r="N148" s="2" t="s">
        <v>538</v>
      </c>
      <c r="O148" s="2">
        <v>2</v>
      </c>
      <c r="P148" s="2" t="s">
        <v>357</v>
      </c>
      <c r="Q148" s="2" t="s">
        <v>473</v>
      </c>
      <c r="R148" s="2" t="s">
        <v>703</v>
      </c>
      <c r="S148" s="2">
        <v>0.8</v>
      </c>
    </row>
    <row r="149" spans="1:20" ht="15.75" hidden="1" customHeight="1" x14ac:dyDescent="0.2">
      <c r="A149" s="2">
        <v>148</v>
      </c>
      <c r="C149" s="2" t="s">
        <v>704</v>
      </c>
      <c r="E149" s="2">
        <v>10</v>
      </c>
      <c r="F149" s="2">
        <v>109</v>
      </c>
      <c r="G149" s="2">
        <v>120</v>
      </c>
      <c r="H149" s="2">
        <f t="shared" si="9"/>
        <v>12</v>
      </c>
      <c r="I149" s="2">
        <v>12</v>
      </c>
      <c r="J149" s="2">
        <v>6</v>
      </c>
      <c r="K149" s="2" t="str">
        <f>VLOOKUP(J149, Subject!$A$2:$B$15, 2, FALSE)</f>
        <v>Social Studies</v>
      </c>
      <c r="L149" s="2" t="str">
        <f>VLOOKUP(J149, Subject!$A$2:$E$11, 5, FALSE)</f>
        <v>SS</v>
      </c>
      <c r="M149" s="14"/>
      <c r="N149" s="2" t="s">
        <v>705</v>
      </c>
      <c r="O149" s="2">
        <v>2</v>
      </c>
      <c r="P149" s="2" t="str">
        <f>VLOOKUP(O149, SubjectGroup!$A$2:$B$8, 2, FALSE)</f>
        <v>Core Academic Studies</v>
      </c>
      <c r="Q149" s="2" t="s">
        <v>424</v>
      </c>
      <c r="R149" s="9" t="s">
        <v>706</v>
      </c>
      <c r="S149" s="2">
        <v>0.8</v>
      </c>
    </row>
    <row r="150" spans="1:20" ht="15.75" hidden="1" customHeight="1" x14ac:dyDescent="0.2">
      <c r="A150" s="2">
        <v>149</v>
      </c>
      <c r="C150" s="2" t="s">
        <v>707</v>
      </c>
      <c r="E150" s="2">
        <v>2</v>
      </c>
      <c r="F150" s="2">
        <v>13</v>
      </c>
      <c r="G150" s="2">
        <v>24</v>
      </c>
      <c r="H150" s="2">
        <f t="shared" si="9"/>
        <v>12</v>
      </c>
      <c r="I150" s="2">
        <v>12</v>
      </c>
      <c r="J150" s="2">
        <v>5</v>
      </c>
      <c r="K150" s="2" t="str">
        <f>VLOOKUP(J150, Subject!$A$2:$B$15, 2, FALSE)</f>
        <v>Science</v>
      </c>
      <c r="L150" s="2" t="str">
        <f>VLOOKUP(J150, Subject!$A$2:$E$11, 5, FALSE)</f>
        <v>SC</v>
      </c>
      <c r="N150" s="2" t="s">
        <v>571</v>
      </c>
      <c r="O150" s="2">
        <v>2</v>
      </c>
      <c r="P150" s="2" t="s">
        <v>357</v>
      </c>
      <c r="Q150" s="2" t="s">
        <v>473</v>
      </c>
      <c r="R150" s="2" t="s">
        <v>708</v>
      </c>
      <c r="S150" s="2">
        <v>0.8</v>
      </c>
    </row>
    <row r="151" spans="1:20" ht="15.75" hidden="1" customHeight="1" x14ac:dyDescent="0.2">
      <c r="A151" s="2">
        <v>150</v>
      </c>
      <c r="B151" s="2" t="s">
        <v>709</v>
      </c>
      <c r="C151" s="2" t="s">
        <v>348</v>
      </c>
      <c r="E151" s="2">
        <v>6</v>
      </c>
      <c r="F151" s="2">
        <v>1</v>
      </c>
      <c r="G151" s="2">
        <v>6</v>
      </c>
      <c r="H151" s="2">
        <f t="shared" si="9"/>
        <v>6</v>
      </c>
      <c r="I151" s="2">
        <v>6</v>
      </c>
      <c r="J151" s="2">
        <v>2</v>
      </c>
      <c r="K151" s="2" t="str">
        <f>VLOOKUP(J151, Subject!$A$2:$B$15, 2, FALSE)</f>
        <v>Language</v>
      </c>
      <c r="L151" s="2" t="s">
        <v>626</v>
      </c>
      <c r="M151" s="2" t="s">
        <v>386</v>
      </c>
      <c r="N151" s="2" t="s">
        <v>710</v>
      </c>
      <c r="O151" s="2">
        <v>2</v>
      </c>
      <c r="P151" s="2" t="str">
        <f>VLOOKUP(O151, SubjectGroup!$A$2:$B$8, 2, FALSE)</f>
        <v>Core Academic Studies</v>
      </c>
      <c r="Q151" s="2" t="s">
        <v>424</v>
      </c>
      <c r="R151" s="2" t="s">
        <v>709</v>
      </c>
      <c r="S151" s="2">
        <v>0.8</v>
      </c>
    </row>
    <row r="152" spans="1:20" ht="15.75" customHeight="1" x14ac:dyDescent="0.2">
      <c r="A152" s="2">
        <v>151</v>
      </c>
      <c r="C152" s="2" t="s">
        <v>454</v>
      </c>
      <c r="D152" s="2" t="s">
        <v>2048</v>
      </c>
      <c r="E152" s="2">
        <v>9</v>
      </c>
      <c r="F152" s="2">
        <v>97</v>
      </c>
      <c r="G152" s="2">
        <v>102</v>
      </c>
      <c r="H152" s="2">
        <v>2</v>
      </c>
      <c r="I152" s="2">
        <v>6</v>
      </c>
      <c r="J152" s="2">
        <v>7</v>
      </c>
      <c r="K152" s="2" t="str">
        <f>VLOOKUP(J152, Subject!$A$2:$B$15, 2, FALSE)</f>
        <v>Biblical Studies</v>
      </c>
      <c r="L152" s="2" t="str">
        <f>VLOOKUP(J152, Subject!$A$2:$E$11, 5, FALSE)</f>
        <v>BS</v>
      </c>
      <c r="M152" s="2" t="s">
        <v>2046</v>
      </c>
      <c r="N152" s="2" t="s">
        <v>585</v>
      </c>
      <c r="O152" s="2">
        <v>1</v>
      </c>
      <c r="P152" s="2" t="str">
        <f>VLOOKUP(O152, SubjectGroup!$A$2:$B$8, 2, FALSE)</f>
        <v>Christian Studies</v>
      </c>
      <c r="Q152" s="2" t="s">
        <v>473</v>
      </c>
      <c r="S152" s="2">
        <v>0.8</v>
      </c>
      <c r="T152" s="2" t="s">
        <v>677</v>
      </c>
    </row>
    <row r="153" spans="1:20" ht="15.75" customHeight="1" x14ac:dyDescent="0.2">
      <c r="A153" s="2">
        <v>152</v>
      </c>
      <c r="C153" s="2" t="s">
        <v>96</v>
      </c>
      <c r="D153" s="2" t="s">
        <v>2050</v>
      </c>
      <c r="E153" s="2">
        <v>10</v>
      </c>
      <c r="F153" s="2">
        <v>98</v>
      </c>
      <c r="G153" s="2">
        <v>101</v>
      </c>
      <c r="H153" s="2">
        <v>4</v>
      </c>
      <c r="I153" s="2">
        <v>6</v>
      </c>
      <c r="J153" s="2">
        <v>7</v>
      </c>
      <c r="K153" s="2" t="str">
        <f>VLOOKUP(J153, Subject!$A$2:$B$15, 2, FALSE)</f>
        <v>Biblical Studies</v>
      </c>
      <c r="L153" s="2" t="str">
        <f>VLOOKUP(J153, Subject!$A$2:$E$11, 5, FALSE)</f>
        <v>BS</v>
      </c>
      <c r="M153" s="29" t="s">
        <v>2053</v>
      </c>
      <c r="N153" s="2" t="s">
        <v>585</v>
      </c>
      <c r="O153" s="2">
        <v>1</v>
      </c>
      <c r="P153" s="2" t="str">
        <f>VLOOKUP(O153, SubjectGroup!$A$2:$B$8, 2, FALSE)</f>
        <v>Christian Studies</v>
      </c>
      <c r="Q153" s="2" t="s">
        <v>473</v>
      </c>
      <c r="S153" s="2">
        <v>0.8</v>
      </c>
      <c r="T153" s="2" t="s">
        <v>677</v>
      </c>
    </row>
    <row r="154" spans="1:20" ht="15.75" hidden="1" customHeight="1" x14ac:dyDescent="0.2">
      <c r="A154" s="2">
        <v>153</v>
      </c>
      <c r="B154" s="2" t="s">
        <v>89</v>
      </c>
      <c r="C154" s="2" t="s">
        <v>2043</v>
      </c>
      <c r="E154" s="2">
        <v>12</v>
      </c>
      <c r="F154" s="2">
        <v>97</v>
      </c>
      <c r="G154" s="2">
        <v>108</v>
      </c>
      <c r="H154" s="2">
        <f>G154-F154+1</f>
        <v>12</v>
      </c>
      <c r="I154" s="2">
        <v>12</v>
      </c>
      <c r="J154" s="2">
        <v>6</v>
      </c>
      <c r="K154" s="2" t="str">
        <f>VLOOKUP(J154, Subject!$A$2:$B$15, 2, FALSE)</f>
        <v>Social Studies</v>
      </c>
      <c r="L154" s="2" t="str">
        <f>VLOOKUP(J154, Subject!$A$2:$E$11, 5, FALSE)</f>
        <v>SS</v>
      </c>
      <c r="M154" s="14" t="s">
        <v>2042</v>
      </c>
      <c r="N154" s="2" t="s">
        <v>542</v>
      </c>
      <c r="O154" s="2">
        <v>2</v>
      </c>
      <c r="P154" s="2" t="str">
        <f>VLOOKUP(O154, SubjectGroup!$A$2:$B$8, 2, FALSE)</f>
        <v>Core Academic Studies</v>
      </c>
      <c r="Q154" s="2" t="s">
        <v>473</v>
      </c>
      <c r="R154" s="2" t="s">
        <v>711</v>
      </c>
      <c r="S154" s="2">
        <v>0.8</v>
      </c>
      <c r="T154" s="2" t="s">
        <v>677</v>
      </c>
    </row>
    <row r="155" spans="1:20" ht="15.75" hidden="1" customHeight="1" x14ac:dyDescent="0.2">
      <c r="A155" s="2">
        <v>154</v>
      </c>
      <c r="C155" s="2" t="s">
        <v>712</v>
      </c>
      <c r="D155" s="2" t="s">
        <v>713</v>
      </c>
      <c r="E155" s="2">
        <v>12</v>
      </c>
      <c r="H155" s="2">
        <v>12</v>
      </c>
      <c r="I155" s="2">
        <v>2</v>
      </c>
      <c r="J155" s="2">
        <v>1</v>
      </c>
      <c r="K155" s="2" t="str">
        <f>VLOOKUP(J155, Subject!$A$2:$B$15, 2, FALSE)</f>
        <v>Maths</v>
      </c>
      <c r="L155" s="2" t="str">
        <f>VLOOKUP(J155, Subject!$A$2:$E$11, 5, FALSE)</f>
        <v>MA</v>
      </c>
      <c r="M155" s="14" t="s">
        <v>714</v>
      </c>
      <c r="N155" s="2" t="s">
        <v>369</v>
      </c>
      <c r="O155" s="2">
        <v>2</v>
      </c>
      <c r="P155" s="2" t="str">
        <f>VLOOKUP(O155, SubjectGroup!$A$2:$B$8, 2, FALSE)</f>
        <v>Core Academic Studies</v>
      </c>
      <c r="Q155" s="2" t="s">
        <v>473</v>
      </c>
      <c r="R155" s="2" t="s">
        <v>712</v>
      </c>
      <c r="S155" s="2">
        <v>0.8</v>
      </c>
    </row>
    <row r="156" spans="1:20" ht="15.75" hidden="1" customHeight="1" x14ac:dyDescent="0.2">
      <c r="A156" s="2">
        <v>155</v>
      </c>
      <c r="C156" s="2" t="s">
        <v>715</v>
      </c>
      <c r="D156" s="2" t="s">
        <v>716</v>
      </c>
      <c r="E156" s="2">
        <v>12</v>
      </c>
      <c r="H156" s="2">
        <v>12</v>
      </c>
      <c r="I156" s="2">
        <v>2</v>
      </c>
      <c r="J156" s="2">
        <v>1</v>
      </c>
      <c r="K156" s="2" t="str">
        <f>VLOOKUP(J156, Subject!$A$2:$B$15, 2, FALSE)</f>
        <v>Maths</v>
      </c>
      <c r="L156" s="2" t="str">
        <f>VLOOKUP(J156, Subject!$A$2:$E$11, 5, FALSE)</f>
        <v>MA</v>
      </c>
      <c r="M156" s="14" t="s">
        <v>717</v>
      </c>
      <c r="N156" s="2" t="s">
        <v>369</v>
      </c>
      <c r="O156" s="2">
        <v>2</v>
      </c>
      <c r="P156" s="2" t="str">
        <f>VLOOKUP(O156, SubjectGroup!$A$2:$B$8, 2, FALSE)</f>
        <v>Core Academic Studies</v>
      </c>
      <c r="Q156" s="2" t="s">
        <v>473</v>
      </c>
      <c r="R156" s="2" t="s">
        <v>715</v>
      </c>
      <c r="S156" s="2">
        <v>0.8</v>
      </c>
    </row>
    <row r="157" spans="1:20" ht="15.75" hidden="1" customHeight="1" x14ac:dyDescent="0.2">
      <c r="A157" s="2">
        <v>159</v>
      </c>
      <c r="C157" s="2" t="s">
        <v>718</v>
      </c>
      <c r="D157" s="2" t="s">
        <v>719</v>
      </c>
      <c r="E157" s="2">
        <v>9</v>
      </c>
      <c r="F157" s="2">
        <v>85</v>
      </c>
      <c r="G157" s="2">
        <v>88</v>
      </c>
      <c r="H157" s="2">
        <v>4</v>
      </c>
      <c r="I157" s="2">
        <v>6</v>
      </c>
      <c r="J157" s="2">
        <v>5</v>
      </c>
      <c r="K157" s="2" t="str">
        <f>VLOOKUP(J157, Subject!$A$2:$B$15, 2, FALSE)</f>
        <v>Science</v>
      </c>
      <c r="L157" s="2" t="str">
        <f>VLOOKUP(J157, Subject!$A$2:$E$11, 5, FALSE)</f>
        <v>SC</v>
      </c>
      <c r="M157" s="19" t="s">
        <v>720</v>
      </c>
      <c r="N157" s="2" t="s">
        <v>377</v>
      </c>
      <c r="O157" s="2">
        <v>2</v>
      </c>
      <c r="P157" s="2" t="str">
        <f>VLOOKUP(O157, SubjectGroup!$A$2:$B$8, 2, FALSE)</f>
        <v>Core Academic Studies</v>
      </c>
      <c r="Q157" s="2" t="s">
        <v>473</v>
      </c>
      <c r="R157" s="2" t="s">
        <v>721</v>
      </c>
      <c r="S157" s="2">
        <v>0.8</v>
      </c>
    </row>
    <row r="158" spans="1:20" ht="15.75" hidden="1" customHeight="1" x14ac:dyDescent="0.2">
      <c r="A158" s="2">
        <v>160</v>
      </c>
      <c r="C158" s="2" t="s">
        <v>718</v>
      </c>
      <c r="D158" s="2" t="s">
        <v>722</v>
      </c>
      <c r="E158" s="2">
        <v>9</v>
      </c>
      <c r="F158" s="2">
        <v>97</v>
      </c>
      <c r="G158" s="2">
        <v>100</v>
      </c>
      <c r="H158" s="2">
        <v>4</v>
      </c>
      <c r="I158" s="2">
        <v>6</v>
      </c>
      <c r="J158" s="2">
        <v>5</v>
      </c>
      <c r="K158" s="2" t="str">
        <f>VLOOKUP(J158, Subject!$A$2:$B$15, 2, FALSE)</f>
        <v>Science</v>
      </c>
      <c r="L158" s="2" t="str">
        <f>VLOOKUP(J158, Subject!$A$2:$E$11, 5, FALSE)</f>
        <v>SC</v>
      </c>
      <c r="M158" s="19" t="s">
        <v>723</v>
      </c>
      <c r="N158" s="2" t="s">
        <v>377</v>
      </c>
      <c r="O158" s="2">
        <v>2</v>
      </c>
      <c r="P158" s="2" t="str">
        <f>VLOOKUP(O158, SubjectGroup!$A$2:$B$8, 2, FALSE)</f>
        <v>Core Academic Studies</v>
      </c>
      <c r="Q158" s="2" t="s">
        <v>473</v>
      </c>
      <c r="R158" s="2" t="s">
        <v>721</v>
      </c>
      <c r="S158" s="2">
        <v>0.8</v>
      </c>
    </row>
    <row r="159" spans="1:20" ht="15.75" hidden="1" customHeight="1" x14ac:dyDescent="0.2">
      <c r="A159" s="2">
        <v>999</v>
      </c>
      <c r="C159" s="9" t="s">
        <v>724</v>
      </c>
      <c r="K159" s="2" t="s">
        <v>261</v>
      </c>
      <c r="L159" s="2" t="e">
        <f>VLOOKUP(J159, Subject!$A$2:$E$11, 5, FALSE)</f>
        <v>#N/A</v>
      </c>
      <c r="M159" s="15" t="s">
        <v>725</v>
      </c>
      <c r="N159" s="2" t="s">
        <v>553</v>
      </c>
      <c r="O159" s="2">
        <v>2</v>
      </c>
      <c r="P159" s="2" t="str">
        <f>VLOOKUP(O159, SubjectGroup!$A$2:$B$8, 2, FALSE)</f>
        <v>Core Academic Studies</v>
      </c>
      <c r="Q159" s="2" t="s">
        <v>473</v>
      </c>
      <c r="S159" s="2">
        <v>0.8</v>
      </c>
    </row>
    <row r="160" spans="1:20" ht="15.75" hidden="1" customHeight="1" x14ac:dyDescent="0.2">
      <c r="A160" s="2">
        <v>161</v>
      </c>
      <c r="B160" s="2" t="s">
        <v>630</v>
      </c>
      <c r="C160" s="2" t="s">
        <v>726</v>
      </c>
      <c r="E160" s="2">
        <v>12</v>
      </c>
      <c r="F160" s="2">
        <v>121</v>
      </c>
      <c r="G160" s="2">
        <v>126</v>
      </c>
      <c r="H160" s="2">
        <f t="shared" ref="H160:H165" si="11">G160-F160+1</f>
        <v>6</v>
      </c>
      <c r="I160" s="2">
        <v>6</v>
      </c>
      <c r="J160" s="2">
        <v>7</v>
      </c>
      <c r="K160" s="2" t="str">
        <f>VLOOKUP(J160, Subject!$A$2:$B$15, 2, FALSE)</f>
        <v>Biblical Studies</v>
      </c>
      <c r="L160" s="2" t="str">
        <f>VLOOKUP(J160, Subject!$A$2:$E$11, 5, FALSE)</f>
        <v>BS</v>
      </c>
      <c r="M160" s="2" t="s">
        <v>727</v>
      </c>
      <c r="N160" s="2" t="s">
        <v>633</v>
      </c>
      <c r="O160" s="2">
        <v>1</v>
      </c>
      <c r="P160" s="2" t="str">
        <f>VLOOKUP(O160, SubjectGroup!$A$2:$B$8, 2, FALSE)</f>
        <v>Christian Studies</v>
      </c>
      <c r="Q160" s="2" t="s">
        <v>424</v>
      </c>
      <c r="R160" s="2" t="str">
        <f t="shared" ref="R160:R162" si="12">C160</f>
        <v>New Testament Church History I</v>
      </c>
      <c r="S160" s="2">
        <v>0.8</v>
      </c>
      <c r="T160" s="2" t="s">
        <v>677</v>
      </c>
    </row>
    <row r="161" spans="1:20" ht="15.75" hidden="1" customHeight="1" x14ac:dyDescent="0.2">
      <c r="A161" s="2">
        <v>162</v>
      </c>
      <c r="B161" s="2" t="s">
        <v>728</v>
      </c>
      <c r="C161" s="2" t="s">
        <v>729</v>
      </c>
      <c r="E161" s="9">
        <v>12</v>
      </c>
      <c r="F161" s="2">
        <v>1</v>
      </c>
      <c r="G161" s="2">
        <v>10</v>
      </c>
      <c r="H161" s="2">
        <f t="shared" si="11"/>
        <v>10</v>
      </c>
      <c r="I161" s="2">
        <v>12</v>
      </c>
      <c r="J161" s="2">
        <v>7</v>
      </c>
      <c r="K161" s="2" t="str">
        <f>VLOOKUP(J161, Subject!$A$2:$B$15, 2, FALSE)</f>
        <v>Biblical Studies</v>
      </c>
      <c r="L161" s="2" t="str">
        <f>VLOOKUP(J161, Subject!$A$2:$E$11, 5, FALSE)</f>
        <v>BS</v>
      </c>
      <c r="M161" s="14"/>
      <c r="N161" s="2" t="s">
        <v>730</v>
      </c>
      <c r="O161" s="2">
        <v>1</v>
      </c>
      <c r="P161" s="2" t="str">
        <f>VLOOKUP(O161, SubjectGroup!$A$2:$B$8, 2, FALSE)</f>
        <v>Christian Studies</v>
      </c>
      <c r="Q161" s="2" t="s">
        <v>424</v>
      </c>
      <c r="R161" s="2" t="str">
        <f t="shared" si="12"/>
        <v>Biographies of Christians</v>
      </c>
      <c r="S161" s="2">
        <v>0.8</v>
      </c>
      <c r="T161" s="2" t="s">
        <v>677</v>
      </c>
    </row>
    <row r="162" spans="1:20" ht="15.75" hidden="1" customHeight="1" x14ac:dyDescent="0.2">
      <c r="A162" s="2">
        <v>163</v>
      </c>
      <c r="B162" s="2" t="s">
        <v>731</v>
      </c>
      <c r="C162" s="2" t="s">
        <v>732</v>
      </c>
      <c r="E162" s="2">
        <v>12</v>
      </c>
      <c r="F162" s="2">
        <v>1</v>
      </c>
      <c r="G162" s="2">
        <v>10</v>
      </c>
      <c r="H162" s="2">
        <f t="shared" si="11"/>
        <v>10</v>
      </c>
      <c r="I162" s="2">
        <v>12</v>
      </c>
      <c r="J162" s="2">
        <v>7</v>
      </c>
      <c r="K162" s="2" t="str">
        <f>VLOOKUP(J162, Subject!$A$2:$B$15, 2, FALSE)</f>
        <v>Biblical Studies</v>
      </c>
      <c r="L162" s="2" t="str">
        <f>VLOOKUP(J162, Subject!$A$2:$E$11, 5, FALSE)</f>
        <v>BS</v>
      </c>
      <c r="M162" s="14"/>
      <c r="N162" s="2" t="s">
        <v>733</v>
      </c>
      <c r="O162" s="2">
        <v>1</v>
      </c>
      <c r="P162" s="2" t="str">
        <f>VLOOKUP(O162, SubjectGroup!$A$2:$B$8, 2, FALSE)</f>
        <v>Christian Studies</v>
      </c>
      <c r="Q162" s="2" t="s">
        <v>424</v>
      </c>
      <c r="R162" s="2" t="str">
        <f t="shared" si="12"/>
        <v>College Old Testament Survey</v>
      </c>
      <c r="S162" s="2">
        <v>0.8</v>
      </c>
      <c r="T162" s="2" t="s">
        <v>544</v>
      </c>
    </row>
    <row r="163" spans="1:20" ht="15.75" hidden="1" customHeight="1" x14ac:dyDescent="0.2">
      <c r="A163" s="2">
        <v>164</v>
      </c>
      <c r="B163" s="2" t="s">
        <v>734</v>
      </c>
      <c r="C163" s="2" t="s">
        <v>735</v>
      </c>
      <c r="E163" s="2">
        <v>12</v>
      </c>
      <c r="F163" s="2">
        <v>133</v>
      </c>
      <c r="G163" s="2">
        <v>138</v>
      </c>
      <c r="H163" s="2">
        <f t="shared" si="11"/>
        <v>6</v>
      </c>
      <c r="I163" s="2">
        <v>6</v>
      </c>
      <c r="J163" s="2">
        <v>6</v>
      </c>
      <c r="K163" s="2" t="str">
        <f>VLOOKUP(J163, Subject!$A$2:$B$15, 2, FALSE)</f>
        <v>Social Studies</v>
      </c>
      <c r="L163" s="2" t="str">
        <f>VLOOKUP(J163, Subject!$A$2:$E$11, 5, FALSE)</f>
        <v>SS</v>
      </c>
      <c r="M163" s="14"/>
      <c r="N163" s="2" t="s">
        <v>736</v>
      </c>
      <c r="O163" s="2">
        <v>2</v>
      </c>
      <c r="P163" s="2" t="str">
        <f>VLOOKUP(O163, SubjectGroup!$A$2:$B$8, 2, FALSE)</f>
        <v>Core Academic Studies</v>
      </c>
      <c r="Q163" s="2" t="s">
        <v>424</v>
      </c>
      <c r="R163" s="2" t="s">
        <v>659</v>
      </c>
      <c r="S163" s="2">
        <v>0.8</v>
      </c>
    </row>
    <row r="164" spans="1:20" ht="15.75" hidden="1" customHeight="1" x14ac:dyDescent="0.2">
      <c r="A164" s="2">
        <v>165</v>
      </c>
      <c r="B164" s="2" t="s">
        <v>737</v>
      </c>
      <c r="C164" s="2" t="s">
        <v>737</v>
      </c>
      <c r="E164" s="2">
        <v>12</v>
      </c>
      <c r="F164" s="2">
        <v>139</v>
      </c>
      <c r="G164" s="2">
        <v>144</v>
      </c>
      <c r="H164" s="2">
        <f t="shared" si="11"/>
        <v>6</v>
      </c>
      <c r="I164" s="2">
        <v>6</v>
      </c>
      <c r="J164" s="2">
        <v>6</v>
      </c>
      <c r="K164" s="2" t="str">
        <f>VLOOKUP(J164, Subject!$A$2:$B$15, 2, FALSE)</f>
        <v>Social Studies</v>
      </c>
      <c r="L164" s="2" t="str">
        <f>VLOOKUP(J164, Subject!$A$2:$E$11, 5, FALSE)</f>
        <v>SS</v>
      </c>
      <c r="M164" s="14"/>
      <c r="N164" s="2" t="s">
        <v>738</v>
      </c>
      <c r="O164" s="2">
        <v>2</v>
      </c>
      <c r="P164" s="2" t="str">
        <f>VLOOKUP(O164, SubjectGroup!$A$2:$B$8, 2, FALSE)</f>
        <v>Core Academic Studies</v>
      </c>
      <c r="Q164" s="2" t="s">
        <v>424</v>
      </c>
      <c r="R164" s="2" t="s">
        <v>659</v>
      </c>
      <c r="S164" s="2">
        <v>0.8</v>
      </c>
    </row>
    <row r="165" spans="1:20" ht="15.75" hidden="1" customHeight="1" x14ac:dyDescent="0.2">
      <c r="A165" s="2">
        <v>166</v>
      </c>
      <c r="B165" s="2" t="s">
        <v>6</v>
      </c>
      <c r="C165" s="2" t="s">
        <v>6</v>
      </c>
      <c r="E165" s="2">
        <v>10</v>
      </c>
      <c r="F165" s="2">
        <v>1</v>
      </c>
      <c r="G165" s="2">
        <v>12</v>
      </c>
      <c r="H165" s="2">
        <f t="shared" si="11"/>
        <v>12</v>
      </c>
      <c r="I165" s="2">
        <v>12</v>
      </c>
      <c r="M165" s="14"/>
    </row>
    <row r="166" spans="1:20" ht="15.75" hidden="1" customHeight="1" x14ac:dyDescent="0.2">
      <c r="A166" s="2">
        <v>167</v>
      </c>
      <c r="B166" s="29" t="s">
        <v>2044</v>
      </c>
      <c r="C166" s="29" t="s">
        <v>2044</v>
      </c>
      <c r="E166" s="2"/>
      <c r="M166" s="14"/>
    </row>
    <row r="167" spans="1:20" ht="15.75" customHeight="1" x14ac:dyDescent="0.2">
      <c r="C167" s="2"/>
      <c r="E167" s="2"/>
      <c r="M167" s="14"/>
    </row>
    <row r="168" spans="1:20" ht="15.75" customHeight="1" x14ac:dyDescent="0.2">
      <c r="C168" s="2"/>
      <c r="E168" s="2"/>
      <c r="M168" s="14"/>
    </row>
    <row r="169" spans="1:20" ht="15.75" customHeight="1" x14ac:dyDescent="0.2">
      <c r="C169" s="2"/>
      <c r="E169" s="2"/>
      <c r="M169" s="14"/>
    </row>
    <row r="170" spans="1:20" ht="15.75" customHeight="1" x14ac:dyDescent="0.2">
      <c r="C170" s="2"/>
      <c r="E170" s="2"/>
      <c r="M170" s="14"/>
    </row>
    <row r="171" spans="1:20" ht="15.75" customHeight="1" x14ac:dyDescent="0.2">
      <c r="C171" s="2"/>
      <c r="E171" s="2"/>
      <c r="M171" s="14"/>
    </row>
    <row r="172" spans="1:20" ht="15.75" customHeight="1" x14ac:dyDescent="0.2">
      <c r="C172" s="2"/>
      <c r="E172" s="2"/>
      <c r="M172" s="14"/>
    </row>
    <row r="173" spans="1:20" ht="15.75" customHeight="1" x14ac:dyDescent="0.2">
      <c r="C173" s="2"/>
      <c r="E173" s="2"/>
      <c r="M173" s="14"/>
    </row>
    <row r="174" spans="1:20" ht="15.75" customHeight="1" x14ac:dyDescent="0.2">
      <c r="C174" s="2"/>
      <c r="E174" s="2"/>
      <c r="M174" s="14"/>
    </row>
    <row r="175" spans="1:20" ht="15.75" customHeight="1" x14ac:dyDescent="0.2">
      <c r="C175" s="2"/>
      <c r="E175" s="2"/>
      <c r="M175" s="14"/>
    </row>
    <row r="176" spans="1:20" ht="15.75" customHeight="1" x14ac:dyDescent="0.2">
      <c r="C176" s="2"/>
      <c r="E176" s="2"/>
      <c r="M176" s="14"/>
    </row>
    <row r="177" spans="13:13" ht="15.75" customHeight="1" x14ac:dyDescent="0.2">
      <c r="M177" s="14"/>
    </row>
    <row r="178" spans="13:13" ht="15.75" customHeight="1" x14ac:dyDescent="0.2">
      <c r="M178" s="14"/>
    </row>
    <row r="179" spans="13:13" ht="15.75" customHeight="1" x14ac:dyDescent="0.2">
      <c r="M179" s="14"/>
    </row>
    <row r="180" spans="13:13" ht="15.75" customHeight="1" x14ac:dyDescent="0.2">
      <c r="M180" s="14"/>
    </row>
    <row r="181" spans="13:13" ht="15.75" customHeight="1" x14ac:dyDescent="0.2">
      <c r="M181" s="14"/>
    </row>
    <row r="182" spans="13:13" ht="15.75" customHeight="1" x14ac:dyDescent="0.2">
      <c r="M182" s="14"/>
    </row>
    <row r="183" spans="13:13" ht="15.75" customHeight="1" x14ac:dyDescent="0.2">
      <c r="M183" s="14"/>
    </row>
    <row r="184" spans="13:13" ht="15.75" customHeight="1" x14ac:dyDescent="0.2">
      <c r="M184" s="14"/>
    </row>
    <row r="185" spans="13:13" ht="15.75" customHeight="1" x14ac:dyDescent="0.2">
      <c r="M185" s="14"/>
    </row>
    <row r="186" spans="13:13" ht="15.75" customHeight="1" x14ac:dyDescent="0.2">
      <c r="M186" s="14"/>
    </row>
    <row r="187" spans="13:13" ht="15.75" customHeight="1" x14ac:dyDescent="0.2">
      <c r="M187" s="14"/>
    </row>
    <row r="188" spans="13:13" ht="15.75" customHeight="1" x14ac:dyDescent="0.2">
      <c r="M188" s="14"/>
    </row>
    <row r="189" spans="13:13" ht="15.75" customHeight="1" x14ac:dyDescent="0.2">
      <c r="M189" s="14"/>
    </row>
    <row r="190" spans="13:13" ht="15.75" customHeight="1" x14ac:dyDescent="0.2">
      <c r="M190" s="14"/>
    </row>
    <row r="191" spans="13:13" ht="15.75" customHeight="1" x14ac:dyDescent="0.2">
      <c r="M191" s="14"/>
    </row>
    <row r="192" spans="13:13" ht="15.75" customHeight="1" x14ac:dyDescent="0.2">
      <c r="M192" s="14"/>
    </row>
    <row r="193" spans="13:13" ht="15.75" customHeight="1" x14ac:dyDescent="0.2">
      <c r="M193" s="14"/>
    </row>
    <row r="194" spans="13:13" ht="15.75" customHeight="1" x14ac:dyDescent="0.2">
      <c r="M194" s="14"/>
    </row>
    <row r="195" spans="13:13" ht="15.75" customHeight="1" x14ac:dyDescent="0.2">
      <c r="M195" s="14"/>
    </row>
    <row r="196" spans="13:13" ht="15.75" customHeight="1" x14ac:dyDescent="0.2">
      <c r="M196" s="14"/>
    </row>
    <row r="197" spans="13:13" ht="15.75" customHeight="1" x14ac:dyDescent="0.2">
      <c r="M197" s="14"/>
    </row>
    <row r="198" spans="13:13" ht="15.75" customHeight="1" x14ac:dyDescent="0.2">
      <c r="M198" s="14"/>
    </row>
    <row r="199" spans="13:13" ht="15.75" customHeight="1" x14ac:dyDescent="0.2">
      <c r="M199" s="14"/>
    </row>
    <row r="200" spans="13:13" ht="15.75" customHeight="1" x14ac:dyDescent="0.2">
      <c r="M200" s="14"/>
    </row>
    <row r="201" spans="13:13" ht="15.75" customHeight="1" x14ac:dyDescent="0.2">
      <c r="M201" s="14"/>
    </row>
    <row r="202" spans="13:13" ht="15.75" customHeight="1" x14ac:dyDescent="0.2">
      <c r="M202" s="14"/>
    </row>
    <row r="203" spans="13:13" ht="15.75" customHeight="1" x14ac:dyDescent="0.2">
      <c r="M203" s="14"/>
    </row>
    <row r="204" spans="13:13" ht="15.75" customHeight="1" x14ac:dyDescent="0.2">
      <c r="M204" s="14"/>
    </row>
    <row r="205" spans="13:13" ht="15.75" customHeight="1" x14ac:dyDescent="0.2">
      <c r="M205" s="14"/>
    </row>
    <row r="206" spans="13:13" ht="15.75" customHeight="1" x14ac:dyDescent="0.2">
      <c r="M206" s="14"/>
    </row>
    <row r="207" spans="13:13" ht="15.75" customHeight="1" x14ac:dyDescent="0.2">
      <c r="M207" s="14"/>
    </row>
    <row r="208" spans="13:13" ht="15.75" customHeight="1" x14ac:dyDescent="0.2">
      <c r="M208" s="14"/>
    </row>
    <row r="209" spans="13:13" ht="15.75" customHeight="1" x14ac:dyDescent="0.2">
      <c r="M209" s="14"/>
    </row>
    <row r="210" spans="13:13" ht="15.75" customHeight="1" x14ac:dyDescent="0.2">
      <c r="M210" s="14"/>
    </row>
    <row r="211" spans="13:13" ht="15.75" customHeight="1" x14ac:dyDescent="0.2">
      <c r="M211" s="14"/>
    </row>
    <row r="212" spans="13:13" ht="15.75" customHeight="1" x14ac:dyDescent="0.2">
      <c r="M212" s="14"/>
    </row>
    <row r="213" spans="13:13" ht="15.75" customHeight="1" x14ac:dyDescent="0.2">
      <c r="M213" s="14"/>
    </row>
    <row r="214" spans="13:13" ht="15.75" customHeight="1" x14ac:dyDescent="0.2">
      <c r="M214" s="14"/>
    </row>
    <row r="215" spans="13:13" ht="15.75" customHeight="1" x14ac:dyDescent="0.2">
      <c r="M215" s="14"/>
    </row>
    <row r="216" spans="13:13" ht="15.75" customHeight="1" x14ac:dyDescent="0.2">
      <c r="M216" s="14"/>
    </row>
    <row r="217" spans="13:13" ht="15.75" customHeight="1" x14ac:dyDescent="0.2">
      <c r="M217" s="14"/>
    </row>
    <row r="218" spans="13:13" ht="15.75" customHeight="1" x14ac:dyDescent="0.2">
      <c r="M218" s="14"/>
    </row>
    <row r="219" spans="13:13" ht="15.75" customHeight="1" x14ac:dyDescent="0.2">
      <c r="M219" s="14"/>
    </row>
    <row r="220" spans="13:13" ht="15.75" customHeight="1" x14ac:dyDescent="0.2">
      <c r="M220" s="14"/>
    </row>
    <row r="221" spans="13:13" ht="15.75" customHeight="1" x14ac:dyDescent="0.2">
      <c r="M221" s="14"/>
    </row>
    <row r="222" spans="13:13" ht="15.75" customHeight="1" x14ac:dyDescent="0.2">
      <c r="M222" s="14"/>
    </row>
    <row r="223" spans="13:13" ht="15.75" customHeight="1" x14ac:dyDescent="0.2">
      <c r="M223" s="14"/>
    </row>
    <row r="224" spans="13:13" ht="15.75" customHeight="1" x14ac:dyDescent="0.2">
      <c r="M224" s="14"/>
    </row>
    <row r="225" spans="13:13" ht="15.75" customHeight="1" x14ac:dyDescent="0.2">
      <c r="M225" s="14"/>
    </row>
    <row r="226" spans="13:13" ht="15.75" customHeight="1" x14ac:dyDescent="0.2">
      <c r="M226" s="14"/>
    </row>
    <row r="227" spans="13:13" ht="15.75" customHeight="1" x14ac:dyDescent="0.2">
      <c r="M227" s="14"/>
    </row>
    <row r="228" spans="13:13" ht="15.75" customHeight="1" x14ac:dyDescent="0.2">
      <c r="M228" s="14"/>
    </row>
    <row r="229" spans="13:13" ht="15.75" customHeight="1" x14ac:dyDescent="0.2">
      <c r="M229" s="14"/>
    </row>
    <row r="230" spans="13:13" ht="15.75" customHeight="1" x14ac:dyDescent="0.2">
      <c r="M230" s="14"/>
    </row>
    <row r="231" spans="13:13" ht="15.75" customHeight="1" x14ac:dyDescent="0.2">
      <c r="M231" s="14"/>
    </row>
    <row r="232" spans="13:13" ht="15.75" customHeight="1" x14ac:dyDescent="0.2">
      <c r="M232" s="14"/>
    </row>
    <row r="233" spans="13:13" ht="15.75" customHeight="1" x14ac:dyDescent="0.2">
      <c r="M233" s="14"/>
    </row>
    <row r="234" spans="13:13" ht="15.75" customHeight="1" x14ac:dyDescent="0.2">
      <c r="M234" s="14"/>
    </row>
    <row r="235" spans="13:13" ht="15.75" customHeight="1" x14ac:dyDescent="0.2">
      <c r="M235" s="14"/>
    </row>
    <row r="236" spans="13:13" ht="15.75" customHeight="1" x14ac:dyDescent="0.2">
      <c r="M236" s="14"/>
    </row>
    <row r="237" spans="13:13" ht="15.75" customHeight="1" x14ac:dyDescent="0.2">
      <c r="M237" s="14"/>
    </row>
    <row r="238" spans="13:13" ht="15.75" customHeight="1" x14ac:dyDescent="0.2">
      <c r="M238" s="14"/>
    </row>
    <row r="239" spans="13:13" ht="15.75" customHeight="1" x14ac:dyDescent="0.2">
      <c r="M239" s="14"/>
    </row>
    <row r="240" spans="13:13" ht="15.75" customHeight="1" x14ac:dyDescent="0.2">
      <c r="M240" s="14"/>
    </row>
    <row r="241" spans="13:13" ht="15.75" customHeight="1" x14ac:dyDescent="0.2">
      <c r="M241" s="14"/>
    </row>
    <row r="242" spans="13:13" ht="15.75" customHeight="1" x14ac:dyDescent="0.2">
      <c r="M242" s="14"/>
    </row>
    <row r="243" spans="13:13" ht="15.75" customHeight="1" x14ac:dyDescent="0.2">
      <c r="M243" s="14"/>
    </row>
    <row r="244" spans="13:13" ht="15.75" customHeight="1" x14ac:dyDescent="0.2">
      <c r="M244" s="14"/>
    </row>
    <row r="245" spans="13:13" ht="15.75" customHeight="1" x14ac:dyDescent="0.2">
      <c r="M245" s="14"/>
    </row>
    <row r="246" spans="13:13" ht="15.75" customHeight="1" x14ac:dyDescent="0.2">
      <c r="M246" s="14"/>
    </row>
    <row r="247" spans="13:13" ht="15.75" customHeight="1" x14ac:dyDescent="0.2">
      <c r="M247" s="14"/>
    </row>
    <row r="248" spans="13:13" ht="15.75" customHeight="1" x14ac:dyDescent="0.2">
      <c r="M248" s="14"/>
    </row>
    <row r="249" spans="13:13" ht="15.75" customHeight="1" x14ac:dyDescent="0.2">
      <c r="M249" s="14"/>
    </row>
    <row r="250" spans="13:13" ht="15.75" customHeight="1" x14ac:dyDescent="0.2">
      <c r="M250" s="14"/>
    </row>
    <row r="251" spans="13:13" ht="15.75" customHeight="1" x14ac:dyDescent="0.2">
      <c r="M251" s="14"/>
    </row>
    <row r="252" spans="13:13" ht="15.75" customHeight="1" x14ac:dyDescent="0.2">
      <c r="M252" s="14"/>
    </row>
    <row r="253" spans="13:13" ht="15.75" customHeight="1" x14ac:dyDescent="0.2">
      <c r="M253" s="14"/>
    </row>
    <row r="254" spans="13:13" ht="15.75" customHeight="1" x14ac:dyDescent="0.2">
      <c r="M254" s="14"/>
    </row>
    <row r="255" spans="13:13" ht="15.75" customHeight="1" x14ac:dyDescent="0.2">
      <c r="M255" s="14"/>
    </row>
    <row r="256" spans="13:13" ht="15.75" customHeight="1" x14ac:dyDescent="0.2">
      <c r="M256" s="14"/>
    </row>
    <row r="257" spans="13:13" ht="15.75" customHeight="1" x14ac:dyDescent="0.2">
      <c r="M257" s="14"/>
    </row>
    <row r="258" spans="13:13" ht="15.75" customHeight="1" x14ac:dyDescent="0.2">
      <c r="M258" s="14"/>
    </row>
    <row r="259" spans="13:13" ht="15.75" customHeight="1" x14ac:dyDescent="0.2">
      <c r="M259" s="14"/>
    </row>
    <row r="260" spans="13:13" ht="15.75" customHeight="1" x14ac:dyDescent="0.2">
      <c r="M260" s="14"/>
    </row>
    <row r="261" spans="13:13" ht="15.75" customHeight="1" x14ac:dyDescent="0.2">
      <c r="M261" s="14"/>
    </row>
    <row r="262" spans="13:13" ht="15.75" customHeight="1" x14ac:dyDescent="0.2">
      <c r="M262" s="14"/>
    </row>
    <row r="263" spans="13:13" ht="15.75" customHeight="1" x14ac:dyDescent="0.2">
      <c r="M263" s="14"/>
    </row>
    <row r="264" spans="13:13" ht="15.75" customHeight="1" x14ac:dyDescent="0.2">
      <c r="M264" s="14"/>
    </row>
    <row r="265" spans="13:13" ht="15.75" customHeight="1" x14ac:dyDescent="0.2">
      <c r="M265" s="14"/>
    </row>
    <row r="266" spans="13:13" ht="15.75" customHeight="1" x14ac:dyDescent="0.2">
      <c r="M266" s="14"/>
    </row>
    <row r="267" spans="13:13" ht="15.75" customHeight="1" x14ac:dyDescent="0.2">
      <c r="M267" s="14"/>
    </row>
    <row r="268" spans="13:13" ht="15.75" customHeight="1" x14ac:dyDescent="0.2">
      <c r="M268" s="14"/>
    </row>
    <row r="269" spans="13:13" ht="15.75" customHeight="1" x14ac:dyDescent="0.2">
      <c r="M269" s="14"/>
    </row>
    <row r="270" spans="13:13" ht="15.75" customHeight="1" x14ac:dyDescent="0.2">
      <c r="M270" s="14"/>
    </row>
    <row r="271" spans="13:13" ht="15.75" customHeight="1" x14ac:dyDescent="0.2">
      <c r="M271" s="14"/>
    </row>
    <row r="272" spans="13:13" ht="15.75" customHeight="1" x14ac:dyDescent="0.2">
      <c r="M272" s="14"/>
    </row>
    <row r="273" spans="13:13" ht="15.75" customHeight="1" x14ac:dyDescent="0.2">
      <c r="M273" s="14"/>
    </row>
    <row r="274" spans="13:13" ht="15.75" customHeight="1" x14ac:dyDescent="0.2">
      <c r="M274" s="14"/>
    </row>
    <row r="275" spans="13:13" ht="15.75" customHeight="1" x14ac:dyDescent="0.2">
      <c r="M275" s="14"/>
    </row>
    <row r="276" spans="13:13" ht="15.75" customHeight="1" x14ac:dyDescent="0.2">
      <c r="M276" s="14"/>
    </row>
    <row r="277" spans="13:13" ht="15.75" customHeight="1" x14ac:dyDescent="0.2">
      <c r="M277" s="14"/>
    </row>
    <row r="278" spans="13:13" ht="15.75" customHeight="1" x14ac:dyDescent="0.2">
      <c r="M278" s="14"/>
    </row>
    <row r="279" spans="13:13" ht="15.75" customHeight="1" x14ac:dyDescent="0.2">
      <c r="M279" s="14"/>
    </row>
    <row r="280" spans="13:13" ht="15.75" customHeight="1" x14ac:dyDescent="0.2">
      <c r="M280" s="14"/>
    </row>
    <row r="281" spans="13:13" ht="15.75" customHeight="1" x14ac:dyDescent="0.2">
      <c r="M281" s="14"/>
    </row>
    <row r="282" spans="13:13" ht="15.75" customHeight="1" x14ac:dyDescent="0.2">
      <c r="M282" s="14"/>
    </row>
    <row r="283" spans="13:13" ht="15.75" customHeight="1" x14ac:dyDescent="0.2">
      <c r="M283" s="14"/>
    </row>
    <row r="284" spans="13:13" ht="15.75" customHeight="1" x14ac:dyDescent="0.2">
      <c r="M284" s="14"/>
    </row>
    <row r="285" spans="13:13" ht="15.75" customHeight="1" x14ac:dyDescent="0.2">
      <c r="M285" s="14"/>
    </row>
    <row r="286" spans="13:13" ht="15.75" customHeight="1" x14ac:dyDescent="0.2">
      <c r="M286" s="14"/>
    </row>
    <row r="287" spans="13:13" ht="15.75" customHeight="1" x14ac:dyDescent="0.2">
      <c r="M287" s="14"/>
    </row>
    <row r="288" spans="13:13" ht="15.75" customHeight="1" x14ac:dyDescent="0.2">
      <c r="M288" s="14"/>
    </row>
    <row r="289" spans="13:13" ht="15.75" customHeight="1" x14ac:dyDescent="0.2">
      <c r="M289" s="14"/>
    </row>
    <row r="290" spans="13:13" ht="15.75" customHeight="1" x14ac:dyDescent="0.2">
      <c r="M290" s="14"/>
    </row>
    <row r="291" spans="13:13" ht="15.75" customHeight="1" x14ac:dyDescent="0.2">
      <c r="M291" s="14"/>
    </row>
    <row r="292" spans="13:13" ht="15.75" customHeight="1" x14ac:dyDescent="0.2">
      <c r="M292" s="14"/>
    </row>
    <row r="293" spans="13:13" ht="15.75" customHeight="1" x14ac:dyDescent="0.2">
      <c r="M293" s="14"/>
    </row>
    <row r="294" spans="13:13" ht="15.75" customHeight="1" x14ac:dyDescent="0.2">
      <c r="M294" s="14"/>
    </row>
    <row r="295" spans="13:13" ht="15.75" customHeight="1" x14ac:dyDescent="0.2">
      <c r="M295" s="14"/>
    </row>
    <row r="296" spans="13:13" ht="15.75" customHeight="1" x14ac:dyDescent="0.2">
      <c r="M296" s="14"/>
    </row>
    <row r="297" spans="13:13" ht="15.75" customHeight="1" x14ac:dyDescent="0.2">
      <c r="M297" s="14"/>
    </row>
    <row r="298" spans="13:13" ht="15.75" customHeight="1" x14ac:dyDescent="0.2">
      <c r="M298" s="14"/>
    </row>
    <row r="299" spans="13:13" ht="15.75" customHeight="1" x14ac:dyDescent="0.2">
      <c r="M299" s="14"/>
    </row>
    <row r="300" spans="13:13" ht="15.75" customHeight="1" x14ac:dyDescent="0.2">
      <c r="M300" s="14"/>
    </row>
    <row r="301" spans="13:13" ht="15.75" customHeight="1" x14ac:dyDescent="0.2">
      <c r="M301" s="14"/>
    </row>
    <row r="302" spans="13:13" ht="15.75" customHeight="1" x14ac:dyDescent="0.2">
      <c r="M302" s="14"/>
    </row>
    <row r="303" spans="13:13" ht="15.75" customHeight="1" x14ac:dyDescent="0.2">
      <c r="M303" s="14"/>
    </row>
    <row r="304" spans="13:13" ht="15.75" customHeight="1" x14ac:dyDescent="0.2">
      <c r="M304" s="14"/>
    </row>
    <row r="305" spans="13:13" ht="15.75" customHeight="1" x14ac:dyDescent="0.2">
      <c r="M305" s="14"/>
    </row>
    <row r="306" spans="13:13" ht="15.75" customHeight="1" x14ac:dyDescent="0.2">
      <c r="M306" s="14"/>
    </row>
    <row r="307" spans="13:13" ht="15.75" customHeight="1" x14ac:dyDescent="0.2">
      <c r="M307" s="14"/>
    </row>
    <row r="308" spans="13:13" ht="15.75" customHeight="1" x14ac:dyDescent="0.2">
      <c r="M308" s="14"/>
    </row>
    <row r="309" spans="13:13" ht="15.75" customHeight="1" x14ac:dyDescent="0.2">
      <c r="M309" s="14"/>
    </row>
    <row r="310" spans="13:13" ht="15.75" customHeight="1" x14ac:dyDescent="0.2">
      <c r="M310" s="14"/>
    </row>
    <row r="311" spans="13:13" ht="15.75" customHeight="1" x14ac:dyDescent="0.2">
      <c r="M311" s="14"/>
    </row>
    <row r="312" spans="13:13" ht="15.75" customHeight="1" x14ac:dyDescent="0.2">
      <c r="M312" s="14"/>
    </row>
    <row r="313" spans="13:13" ht="15.75" customHeight="1" x14ac:dyDescent="0.2">
      <c r="M313" s="14"/>
    </row>
    <row r="314" spans="13:13" ht="15.75" customHeight="1" x14ac:dyDescent="0.2">
      <c r="M314" s="14"/>
    </row>
    <row r="315" spans="13:13" ht="15.75" customHeight="1" x14ac:dyDescent="0.2">
      <c r="M315" s="14"/>
    </row>
    <row r="316" spans="13:13" ht="15.75" customHeight="1" x14ac:dyDescent="0.2">
      <c r="M316" s="14"/>
    </row>
    <row r="317" spans="13:13" ht="15.75" customHeight="1" x14ac:dyDescent="0.2">
      <c r="M317" s="14"/>
    </row>
    <row r="318" spans="13:13" ht="15.75" customHeight="1" x14ac:dyDescent="0.2">
      <c r="M318" s="14"/>
    </row>
    <row r="319" spans="13:13" ht="15.75" customHeight="1" x14ac:dyDescent="0.2">
      <c r="M319" s="14"/>
    </row>
    <row r="320" spans="13:13" ht="15.75" customHeight="1" x14ac:dyDescent="0.2">
      <c r="M320" s="14"/>
    </row>
    <row r="321" spans="13:13" ht="15.75" customHeight="1" x14ac:dyDescent="0.2">
      <c r="M321" s="14"/>
    </row>
    <row r="322" spans="13:13" ht="15.75" customHeight="1" x14ac:dyDescent="0.2">
      <c r="M322" s="14"/>
    </row>
    <row r="323" spans="13:13" ht="15.75" customHeight="1" x14ac:dyDescent="0.2">
      <c r="M323" s="14"/>
    </row>
    <row r="324" spans="13:13" ht="15.75" customHeight="1" x14ac:dyDescent="0.2">
      <c r="M324" s="14"/>
    </row>
    <row r="325" spans="13:13" ht="15.75" customHeight="1" x14ac:dyDescent="0.2">
      <c r="M325" s="14"/>
    </row>
    <row r="326" spans="13:13" ht="15.75" customHeight="1" x14ac:dyDescent="0.2">
      <c r="M326" s="14"/>
    </row>
    <row r="327" spans="13:13" ht="15.75" customHeight="1" x14ac:dyDescent="0.2">
      <c r="M327" s="14"/>
    </row>
    <row r="328" spans="13:13" ht="15.75" customHeight="1" x14ac:dyDescent="0.2">
      <c r="M328" s="14"/>
    </row>
    <row r="329" spans="13:13" ht="15.75" customHeight="1" x14ac:dyDescent="0.2">
      <c r="M329" s="14"/>
    </row>
    <row r="330" spans="13:13" ht="15.75" customHeight="1" x14ac:dyDescent="0.2">
      <c r="M330" s="14"/>
    </row>
    <row r="331" spans="13:13" ht="15.75" customHeight="1" x14ac:dyDescent="0.2">
      <c r="M331" s="14"/>
    </row>
    <row r="332" spans="13:13" ht="15.75" customHeight="1" x14ac:dyDescent="0.2">
      <c r="M332" s="14"/>
    </row>
    <row r="333" spans="13:13" ht="15.75" customHeight="1" x14ac:dyDescent="0.2">
      <c r="M333" s="14"/>
    </row>
    <row r="334" spans="13:13" ht="15.75" customHeight="1" x14ac:dyDescent="0.2">
      <c r="M334" s="14"/>
    </row>
    <row r="335" spans="13:13" ht="15.75" customHeight="1" x14ac:dyDescent="0.2">
      <c r="M335" s="14"/>
    </row>
    <row r="336" spans="13:13" ht="15.75" customHeight="1" x14ac:dyDescent="0.2">
      <c r="M336" s="14"/>
    </row>
    <row r="337" spans="13:13" ht="15.75" customHeight="1" x14ac:dyDescent="0.2">
      <c r="M337" s="14"/>
    </row>
    <row r="338" spans="13:13" ht="15.75" customHeight="1" x14ac:dyDescent="0.2">
      <c r="M338" s="14"/>
    </row>
    <row r="339" spans="13:13" ht="15.75" customHeight="1" x14ac:dyDescent="0.2">
      <c r="M339" s="14"/>
    </row>
    <row r="340" spans="13:13" ht="15.75" customHeight="1" x14ac:dyDescent="0.2">
      <c r="M340" s="14"/>
    </row>
    <row r="341" spans="13:13" ht="15.75" customHeight="1" x14ac:dyDescent="0.2">
      <c r="M341" s="14"/>
    </row>
    <row r="342" spans="13:13" ht="15.75" customHeight="1" x14ac:dyDescent="0.2">
      <c r="M342" s="14"/>
    </row>
    <row r="343" spans="13:13" ht="15.75" customHeight="1" x14ac:dyDescent="0.2">
      <c r="M343" s="14"/>
    </row>
    <row r="344" spans="13:13" ht="15.75" customHeight="1" x14ac:dyDescent="0.2">
      <c r="M344" s="14"/>
    </row>
    <row r="345" spans="13:13" ht="15.75" customHeight="1" x14ac:dyDescent="0.2">
      <c r="M345" s="14"/>
    </row>
    <row r="346" spans="13:13" ht="15.75" customHeight="1" x14ac:dyDescent="0.2">
      <c r="M346" s="14"/>
    </row>
    <row r="347" spans="13:13" ht="15.75" customHeight="1" x14ac:dyDescent="0.2">
      <c r="M347" s="14"/>
    </row>
    <row r="348" spans="13:13" ht="15.75" customHeight="1" x14ac:dyDescent="0.2">
      <c r="M348" s="14"/>
    </row>
    <row r="349" spans="13:13" ht="15.75" customHeight="1" x14ac:dyDescent="0.2">
      <c r="M349" s="14"/>
    </row>
    <row r="350" spans="13:13" ht="15.75" customHeight="1" x14ac:dyDescent="0.2">
      <c r="M350" s="14"/>
    </row>
    <row r="351" spans="13:13" ht="15.75" customHeight="1" x14ac:dyDescent="0.2">
      <c r="M351" s="14"/>
    </row>
    <row r="352" spans="13:13" ht="15.75" customHeight="1" x14ac:dyDescent="0.2">
      <c r="M352" s="14"/>
    </row>
    <row r="353" spans="13:13" ht="15.75" customHeight="1" x14ac:dyDescent="0.2">
      <c r="M353" s="14"/>
    </row>
    <row r="354" spans="13:13" ht="15.75" customHeight="1" x14ac:dyDescent="0.2">
      <c r="M354" s="14"/>
    </row>
    <row r="355" spans="13:13" ht="15.75" customHeight="1" x14ac:dyDescent="0.2">
      <c r="M355" s="14"/>
    </row>
    <row r="356" spans="13:13" ht="15.75" customHeight="1" x14ac:dyDescent="0.2">
      <c r="M356" s="14"/>
    </row>
    <row r="357" spans="13:13" ht="15.75" customHeight="1" x14ac:dyDescent="0.2">
      <c r="M357" s="14"/>
    </row>
    <row r="358" spans="13:13" ht="15.75" customHeight="1" x14ac:dyDescent="0.2">
      <c r="M358" s="14"/>
    </row>
    <row r="359" spans="13:13" ht="15.75" customHeight="1" x14ac:dyDescent="0.2">
      <c r="M359" s="14"/>
    </row>
    <row r="360" spans="13:13" ht="15.75" customHeight="1" x14ac:dyDescent="0.2">
      <c r="M360" s="14"/>
    </row>
    <row r="361" spans="13:13" ht="15.75" customHeight="1" x14ac:dyDescent="0.2">
      <c r="M361" s="14"/>
    </row>
    <row r="362" spans="13:13" ht="15.75" customHeight="1" x14ac:dyDescent="0.2">
      <c r="M362" s="14"/>
    </row>
    <row r="363" spans="13:13" ht="15.75" customHeight="1" x14ac:dyDescent="0.2">
      <c r="M363" s="14"/>
    </row>
    <row r="364" spans="13:13" ht="15.75" customHeight="1" x14ac:dyDescent="0.2">
      <c r="M364" s="14"/>
    </row>
    <row r="365" spans="13:13" ht="15.75" customHeight="1" x14ac:dyDescent="0.2">
      <c r="M365" s="14"/>
    </row>
    <row r="366" spans="13:13" ht="15.75" customHeight="1" x14ac:dyDescent="0.2">
      <c r="M366" s="14"/>
    </row>
    <row r="367" spans="13:13" ht="15.75" customHeight="1" x14ac:dyDescent="0.2">
      <c r="M367" s="14"/>
    </row>
    <row r="368" spans="13:13" ht="15.75" customHeight="1" x14ac:dyDescent="0.2">
      <c r="M368" s="14"/>
    </row>
    <row r="369" spans="13:13" ht="15.75" customHeight="1" x14ac:dyDescent="0.2">
      <c r="M369" s="14"/>
    </row>
    <row r="370" spans="13:13" ht="15.75" customHeight="1" x14ac:dyDescent="0.2">
      <c r="M370" s="14"/>
    </row>
    <row r="371" spans="13:13" ht="15.75" customHeight="1" x14ac:dyDescent="0.2">
      <c r="M371" s="14"/>
    </row>
    <row r="372" spans="13:13" ht="15.75" customHeight="1" x14ac:dyDescent="0.2">
      <c r="M372" s="14"/>
    </row>
    <row r="373" spans="13:13" ht="15.75" customHeight="1" x14ac:dyDescent="0.2">
      <c r="M373" s="14"/>
    </row>
    <row r="374" spans="13:13" ht="15.75" customHeight="1" x14ac:dyDescent="0.2">
      <c r="M374" s="14"/>
    </row>
    <row r="375" spans="13:13" ht="15.75" customHeight="1" x14ac:dyDescent="0.2">
      <c r="M375" s="14"/>
    </row>
    <row r="376" spans="13:13" ht="15.75" customHeight="1" x14ac:dyDescent="0.2">
      <c r="M376" s="14"/>
    </row>
    <row r="377" spans="13:13" ht="15.75" customHeight="1" x14ac:dyDescent="0.2">
      <c r="M377" s="14"/>
    </row>
    <row r="378" spans="13:13" ht="15.75" customHeight="1" x14ac:dyDescent="0.2">
      <c r="M378" s="14"/>
    </row>
    <row r="379" spans="13:13" ht="15.75" customHeight="1" x14ac:dyDescent="0.2">
      <c r="M379" s="14"/>
    </row>
    <row r="380" spans="13:13" ht="15.75" customHeight="1" x14ac:dyDescent="0.2">
      <c r="M380" s="14"/>
    </row>
    <row r="381" spans="13:13" ht="15.75" customHeight="1" x14ac:dyDescent="0.2">
      <c r="M381" s="14"/>
    </row>
    <row r="382" spans="13:13" ht="15.75" customHeight="1" x14ac:dyDescent="0.2">
      <c r="M382" s="14"/>
    </row>
    <row r="383" spans="13:13" ht="15.75" customHeight="1" x14ac:dyDescent="0.2">
      <c r="M383" s="14"/>
    </row>
    <row r="384" spans="13:13" ht="15.75" customHeight="1" x14ac:dyDescent="0.2">
      <c r="M384" s="14"/>
    </row>
    <row r="385" spans="13:13" ht="15.75" customHeight="1" x14ac:dyDescent="0.2">
      <c r="M385" s="14"/>
    </row>
    <row r="386" spans="13:13" ht="15.75" customHeight="1" x14ac:dyDescent="0.2">
      <c r="M386" s="14"/>
    </row>
    <row r="387" spans="13:13" ht="15.75" customHeight="1" x14ac:dyDescent="0.2">
      <c r="M387" s="14"/>
    </row>
    <row r="388" spans="13:13" ht="15.75" customHeight="1" x14ac:dyDescent="0.2">
      <c r="M388" s="14"/>
    </row>
    <row r="389" spans="13:13" ht="15.75" customHeight="1" x14ac:dyDescent="0.2">
      <c r="M389" s="14"/>
    </row>
    <row r="390" spans="13:13" ht="15.75" customHeight="1" x14ac:dyDescent="0.2">
      <c r="M390" s="14"/>
    </row>
    <row r="391" spans="13:13" ht="15.75" customHeight="1" x14ac:dyDescent="0.2">
      <c r="M391" s="14"/>
    </row>
    <row r="392" spans="13:13" ht="15.75" customHeight="1" x14ac:dyDescent="0.2">
      <c r="M392" s="14"/>
    </row>
    <row r="393" spans="13:13" ht="15.75" customHeight="1" x14ac:dyDescent="0.2">
      <c r="M393" s="14"/>
    </row>
    <row r="394" spans="13:13" ht="15.75" customHeight="1" x14ac:dyDescent="0.2">
      <c r="M394" s="14"/>
    </row>
    <row r="395" spans="13:13" ht="15.75" customHeight="1" x14ac:dyDescent="0.2">
      <c r="M395" s="14"/>
    </row>
    <row r="396" spans="13:13" ht="15.75" customHeight="1" x14ac:dyDescent="0.2">
      <c r="M396" s="14"/>
    </row>
    <row r="397" spans="13:13" ht="15.75" customHeight="1" x14ac:dyDescent="0.2">
      <c r="M397" s="14"/>
    </row>
    <row r="398" spans="13:13" ht="15.75" customHeight="1" x14ac:dyDescent="0.2">
      <c r="M398" s="14"/>
    </row>
    <row r="399" spans="13:13" ht="15.75" customHeight="1" x14ac:dyDescent="0.2">
      <c r="M399" s="14"/>
    </row>
    <row r="400" spans="13:13" ht="15.75" customHeight="1" x14ac:dyDescent="0.2">
      <c r="M400" s="14"/>
    </row>
    <row r="401" spans="13:13" ht="15.75" customHeight="1" x14ac:dyDescent="0.2">
      <c r="M401" s="14"/>
    </row>
    <row r="402" spans="13:13" ht="15.75" customHeight="1" x14ac:dyDescent="0.2">
      <c r="M402" s="14"/>
    </row>
    <row r="403" spans="13:13" ht="15.75" customHeight="1" x14ac:dyDescent="0.2">
      <c r="M403" s="14"/>
    </row>
    <row r="404" spans="13:13" ht="15.75" customHeight="1" x14ac:dyDescent="0.2">
      <c r="M404" s="14"/>
    </row>
    <row r="405" spans="13:13" ht="15.75" customHeight="1" x14ac:dyDescent="0.2">
      <c r="M405" s="14"/>
    </row>
    <row r="406" spans="13:13" ht="15.75" customHeight="1" x14ac:dyDescent="0.2">
      <c r="M406" s="14"/>
    </row>
    <row r="407" spans="13:13" ht="15.75" customHeight="1" x14ac:dyDescent="0.2">
      <c r="M407" s="14"/>
    </row>
    <row r="408" spans="13:13" ht="15.75" customHeight="1" x14ac:dyDescent="0.2">
      <c r="M408" s="14"/>
    </row>
    <row r="409" spans="13:13" ht="15.75" customHeight="1" x14ac:dyDescent="0.2">
      <c r="M409" s="14"/>
    </row>
    <row r="410" spans="13:13" ht="15.75" customHeight="1" x14ac:dyDescent="0.2">
      <c r="M410" s="14"/>
    </row>
    <row r="411" spans="13:13" ht="15.75" customHeight="1" x14ac:dyDescent="0.2">
      <c r="M411" s="14"/>
    </row>
    <row r="412" spans="13:13" ht="15.75" customHeight="1" x14ac:dyDescent="0.2">
      <c r="M412" s="14"/>
    </row>
    <row r="413" spans="13:13" ht="15.75" customHeight="1" x14ac:dyDescent="0.2">
      <c r="M413" s="14"/>
    </row>
    <row r="414" spans="13:13" ht="15.75" customHeight="1" x14ac:dyDescent="0.2">
      <c r="M414" s="14"/>
    </row>
    <row r="415" spans="13:13" ht="15.75" customHeight="1" x14ac:dyDescent="0.2">
      <c r="M415" s="14"/>
    </row>
    <row r="416" spans="13:13" ht="15.75" customHeight="1" x14ac:dyDescent="0.2">
      <c r="M416" s="14"/>
    </row>
    <row r="417" spans="13:13" ht="15.75" customHeight="1" x14ac:dyDescent="0.2">
      <c r="M417" s="14"/>
    </row>
    <row r="418" spans="13:13" ht="15.75" customHeight="1" x14ac:dyDescent="0.2">
      <c r="M418" s="14"/>
    </row>
    <row r="419" spans="13:13" ht="15.75" customHeight="1" x14ac:dyDescent="0.2">
      <c r="M419" s="14"/>
    </row>
    <row r="420" spans="13:13" ht="15.75" customHeight="1" x14ac:dyDescent="0.2">
      <c r="M420" s="14"/>
    </row>
    <row r="421" spans="13:13" ht="15.75" customHeight="1" x14ac:dyDescent="0.2">
      <c r="M421" s="14"/>
    </row>
    <row r="422" spans="13:13" ht="15.75" customHeight="1" x14ac:dyDescent="0.2">
      <c r="M422" s="14"/>
    </row>
    <row r="423" spans="13:13" ht="15.75" customHeight="1" x14ac:dyDescent="0.2">
      <c r="M423" s="14"/>
    </row>
    <row r="424" spans="13:13" ht="15.75" customHeight="1" x14ac:dyDescent="0.2">
      <c r="M424" s="14"/>
    </row>
    <row r="425" spans="13:13" ht="15.75" customHeight="1" x14ac:dyDescent="0.2">
      <c r="M425" s="14"/>
    </row>
    <row r="426" spans="13:13" ht="15.75" customHeight="1" x14ac:dyDescent="0.2">
      <c r="M426" s="14"/>
    </row>
    <row r="427" spans="13:13" ht="15.75" customHeight="1" x14ac:dyDescent="0.2">
      <c r="M427" s="14"/>
    </row>
    <row r="428" spans="13:13" ht="15.75" customHeight="1" x14ac:dyDescent="0.2">
      <c r="M428" s="14"/>
    </row>
    <row r="429" spans="13:13" ht="15.75" customHeight="1" x14ac:dyDescent="0.2">
      <c r="M429" s="14"/>
    </row>
    <row r="430" spans="13:13" ht="15.75" customHeight="1" x14ac:dyDescent="0.2">
      <c r="M430" s="14"/>
    </row>
    <row r="431" spans="13:13" ht="15.75" customHeight="1" x14ac:dyDescent="0.2">
      <c r="M431" s="14"/>
    </row>
    <row r="432" spans="13:13" ht="15.75" customHeight="1" x14ac:dyDescent="0.2">
      <c r="M432" s="14"/>
    </row>
    <row r="433" spans="13:13" ht="15.75" customHeight="1" x14ac:dyDescent="0.2">
      <c r="M433" s="14"/>
    </row>
    <row r="434" spans="13:13" ht="15.75" customHeight="1" x14ac:dyDescent="0.2">
      <c r="M434" s="14"/>
    </row>
    <row r="435" spans="13:13" ht="15.75" customHeight="1" x14ac:dyDescent="0.2">
      <c r="M435" s="14"/>
    </row>
    <row r="436" spans="13:13" ht="15.75" customHeight="1" x14ac:dyDescent="0.2">
      <c r="M436" s="14"/>
    </row>
    <row r="437" spans="13:13" ht="15.75" customHeight="1" x14ac:dyDescent="0.2">
      <c r="M437" s="14"/>
    </row>
    <row r="438" spans="13:13" ht="15.75" customHeight="1" x14ac:dyDescent="0.2">
      <c r="M438" s="14"/>
    </row>
    <row r="439" spans="13:13" ht="15.75" customHeight="1" x14ac:dyDescent="0.2">
      <c r="M439" s="14"/>
    </row>
    <row r="440" spans="13:13" ht="15.75" customHeight="1" x14ac:dyDescent="0.2">
      <c r="M440" s="14"/>
    </row>
    <row r="441" spans="13:13" ht="15.75" customHeight="1" x14ac:dyDescent="0.2">
      <c r="M441" s="14"/>
    </row>
    <row r="442" spans="13:13" ht="15.75" customHeight="1" x14ac:dyDescent="0.2">
      <c r="M442" s="14"/>
    </row>
    <row r="443" spans="13:13" ht="15.75" customHeight="1" x14ac:dyDescent="0.2">
      <c r="M443" s="14"/>
    </row>
    <row r="444" spans="13:13" ht="15.75" customHeight="1" x14ac:dyDescent="0.2">
      <c r="M444" s="14"/>
    </row>
    <row r="445" spans="13:13" ht="15.75" customHeight="1" x14ac:dyDescent="0.2">
      <c r="M445" s="14"/>
    </row>
    <row r="446" spans="13:13" ht="15.75" customHeight="1" x14ac:dyDescent="0.2">
      <c r="M446" s="14"/>
    </row>
    <row r="447" spans="13:13" ht="15.75" customHeight="1" x14ac:dyDescent="0.2">
      <c r="M447" s="14"/>
    </row>
    <row r="448" spans="13:13" ht="15.75" customHeight="1" x14ac:dyDescent="0.2">
      <c r="M448" s="14"/>
    </row>
    <row r="449" spans="13:13" ht="15.75" customHeight="1" x14ac:dyDescent="0.2">
      <c r="M449" s="14"/>
    </row>
    <row r="450" spans="13:13" ht="15.75" customHeight="1" x14ac:dyDescent="0.2">
      <c r="M450" s="14"/>
    </row>
    <row r="451" spans="13:13" ht="15.75" customHeight="1" x14ac:dyDescent="0.2">
      <c r="M451" s="14"/>
    </row>
    <row r="452" spans="13:13" ht="15.75" customHeight="1" x14ac:dyDescent="0.2">
      <c r="M452" s="14"/>
    </row>
    <row r="453" spans="13:13" ht="15.75" customHeight="1" x14ac:dyDescent="0.2">
      <c r="M453" s="14"/>
    </row>
    <row r="454" spans="13:13" ht="15.75" customHeight="1" x14ac:dyDescent="0.2">
      <c r="M454" s="14"/>
    </row>
    <row r="455" spans="13:13" ht="15.75" customHeight="1" x14ac:dyDescent="0.2">
      <c r="M455" s="14"/>
    </row>
    <row r="456" spans="13:13" ht="15.75" customHeight="1" x14ac:dyDescent="0.2">
      <c r="M456" s="14"/>
    </row>
    <row r="457" spans="13:13" ht="15.75" customHeight="1" x14ac:dyDescent="0.2">
      <c r="M457" s="14"/>
    </row>
    <row r="458" spans="13:13" ht="15.75" customHeight="1" x14ac:dyDescent="0.2">
      <c r="M458" s="14"/>
    </row>
    <row r="459" spans="13:13" ht="15.75" customHeight="1" x14ac:dyDescent="0.2">
      <c r="M459" s="14"/>
    </row>
    <row r="460" spans="13:13" ht="15.75" customHeight="1" x14ac:dyDescent="0.2">
      <c r="M460" s="14"/>
    </row>
    <row r="461" spans="13:13" ht="15.75" customHeight="1" x14ac:dyDescent="0.2">
      <c r="M461" s="14"/>
    </row>
    <row r="462" spans="13:13" ht="15.75" customHeight="1" x14ac:dyDescent="0.2">
      <c r="M462" s="14"/>
    </row>
    <row r="463" spans="13:13" ht="15.75" customHeight="1" x14ac:dyDescent="0.2">
      <c r="M463" s="14"/>
    </row>
    <row r="464" spans="13:13" ht="15.75" customHeight="1" x14ac:dyDescent="0.2">
      <c r="M464" s="14"/>
    </row>
    <row r="465" spans="13:13" ht="15.75" customHeight="1" x14ac:dyDescent="0.2">
      <c r="M465" s="14"/>
    </row>
    <row r="466" spans="13:13" ht="15.75" customHeight="1" x14ac:dyDescent="0.2">
      <c r="M466" s="14"/>
    </row>
    <row r="467" spans="13:13" ht="15.75" customHeight="1" x14ac:dyDescent="0.2">
      <c r="M467" s="14"/>
    </row>
    <row r="468" spans="13:13" ht="15.75" customHeight="1" x14ac:dyDescent="0.2">
      <c r="M468" s="14"/>
    </row>
    <row r="469" spans="13:13" ht="15.75" customHeight="1" x14ac:dyDescent="0.2">
      <c r="M469" s="14"/>
    </row>
    <row r="470" spans="13:13" ht="15.75" customHeight="1" x14ac:dyDescent="0.2">
      <c r="M470" s="14"/>
    </row>
    <row r="471" spans="13:13" ht="15.75" customHeight="1" x14ac:dyDescent="0.2">
      <c r="M471" s="14"/>
    </row>
    <row r="472" spans="13:13" ht="15.75" customHeight="1" x14ac:dyDescent="0.2">
      <c r="M472" s="14"/>
    </row>
    <row r="473" spans="13:13" ht="15.75" customHeight="1" x14ac:dyDescent="0.2">
      <c r="M473" s="14"/>
    </row>
    <row r="474" spans="13:13" ht="15.75" customHeight="1" x14ac:dyDescent="0.2">
      <c r="M474" s="14"/>
    </row>
    <row r="475" spans="13:13" ht="15.75" customHeight="1" x14ac:dyDescent="0.2">
      <c r="M475" s="14"/>
    </row>
    <row r="476" spans="13:13" ht="15.75" customHeight="1" x14ac:dyDescent="0.2">
      <c r="M476" s="14"/>
    </row>
    <row r="477" spans="13:13" ht="15.75" customHeight="1" x14ac:dyDescent="0.2">
      <c r="M477" s="14"/>
    </row>
    <row r="478" spans="13:13" ht="15.75" customHeight="1" x14ac:dyDescent="0.2">
      <c r="M478" s="14"/>
    </row>
    <row r="479" spans="13:13" ht="15.75" customHeight="1" x14ac:dyDescent="0.2">
      <c r="M479" s="14"/>
    </row>
    <row r="480" spans="13:13" ht="15.75" customHeight="1" x14ac:dyDescent="0.2">
      <c r="M480" s="14"/>
    </row>
    <row r="481" spans="13:13" ht="15.75" customHeight="1" x14ac:dyDescent="0.2">
      <c r="M481" s="14"/>
    </row>
    <row r="482" spans="13:13" ht="15.75" customHeight="1" x14ac:dyDescent="0.2">
      <c r="M482" s="14"/>
    </row>
    <row r="483" spans="13:13" ht="15.75" customHeight="1" x14ac:dyDescent="0.2">
      <c r="M483" s="14"/>
    </row>
    <row r="484" spans="13:13" ht="15.75" customHeight="1" x14ac:dyDescent="0.2">
      <c r="M484" s="14"/>
    </row>
    <row r="485" spans="13:13" ht="15.75" customHeight="1" x14ac:dyDescent="0.2">
      <c r="M485" s="14"/>
    </row>
    <row r="486" spans="13:13" ht="15.75" customHeight="1" x14ac:dyDescent="0.2">
      <c r="M486" s="14"/>
    </row>
    <row r="487" spans="13:13" ht="15.75" customHeight="1" x14ac:dyDescent="0.2">
      <c r="M487" s="14"/>
    </row>
    <row r="488" spans="13:13" ht="15.75" customHeight="1" x14ac:dyDescent="0.2">
      <c r="M488" s="14"/>
    </row>
    <row r="489" spans="13:13" ht="15.75" customHeight="1" x14ac:dyDescent="0.2">
      <c r="M489" s="14"/>
    </row>
    <row r="490" spans="13:13" ht="15.75" customHeight="1" x14ac:dyDescent="0.2">
      <c r="M490" s="14"/>
    </row>
    <row r="491" spans="13:13" ht="15.75" customHeight="1" x14ac:dyDescent="0.2">
      <c r="M491" s="14"/>
    </row>
    <row r="492" spans="13:13" ht="15.75" customHeight="1" x14ac:dyDescent="0.2">
      <c r="M492" s="14"/>
    </row>
    <row r="493" spans="13:13" ht="15.75" customHeight="1" x14ac:dyDescent="0.2">
      <c r="M493" s="14"/>
    </row>
    <row r="494" spans="13:13" ht="15.75" customHeight="1" x14ac:dyDescent="0.2">
      <c r="M494" s="14"/>
    </row>
    <row r="495" spans="13:13" ht="15.75" customHeight="1" x14ac:dyDescent="0.2">
      <c r="M495" s="14"/>
    </row>
    <row r="496" spans="13:13" ht="15.75" customHeight="1" x14ac:dyDescent="0.2">
      <c r="M496" s="14"/>
    </row>
    <row r="497" spans="13:13" ht="15.75" customHeight="1" x14ac:dyDescent="0.2">
      <c r="M497" s="14"/>
    </row>
    <row r="498" spans="13:13" ht="15.75" customHeight="1" x14ac:dyDescent="0.2">
      <c r="M498" s="14"/>
    </row>
    <row r="499" spans="13:13" ht="15.75" customHeight="1" x14ac:dyDescent="0.2">
      <c r="M499" s="14"/>
    </row>
    <row r="500" spans="13:13" ht="15.75" customHeight="1" x14ac:dyDescent="0.2">
      <c r="M500" s="14"/>
    </row>
    <row r="501" spans="13:13" ht="15.75" customHeight="1" x14ac:dyDescent="0.2">
      <c r="M501" s="14"/>
    </row>
    <row r="502" spans="13:13" ht="15.75" customHeight="1" x14ac:dyDescent="0.2">
      <c r="M502" s="14"/>
    </row>
    <row r="503" spans="13:13" ht="15.75" customHeight="1" x14ac:dyDescent="0.2">
      <c r="M503" s="14"/>
    </row>
    <row r="504" spans="13:13" ht="15.75" customHeight="1" x14ac:dyDescent="0.2">
      <c r="M504" s="14"/>
    </row>
    <row r="505" spans="13:13" ht="15.75" customHeight="1" x14ac:dyDescent="0.2">
      <c r="M505" s="14"/>
    </row>
    <row r="506" spans="13:13" ht="15.75" customHeight="1" x14ac:dyDescent="0.2">
      <c r="M506" s="14"/>
    </row>
    <row r="507" spans="13:13" ht="15.75" customHeight="1" x14ac:dyDescent="0.2">
      <c r="M507" s="14"/>
    </row>
    <row r="508" spans="13:13" ht="15.75" customHeight="1" x14ac:dyDescent="0.2">
      <c r="M508" s="14"/>
    </row>
    <row r="509" spans="13:13" ht="15.75" customHeight="1" x14ac:dyDescent="0.2">
      <c r="M509" s="14"/>
    </row>
    <row r="510" spans="13:13" ht="15.75" customHeight="1" x14ac:dyDescent="0.2">
      <c r="M510" s="14"/>
    </row>
    <row r="511" spans="13:13" ht="15.75" customHeight="1" x14ac:dyDescent="0.2">
      <c r="M511" s="14"/>
    </row>
    <row r="512" spans="13:13" ht="15.75" customHeight="1" x14ac:dyDescent="0.2">
      <c r="M512" s="14"/>
    </row>
    <row r="513" spans="13:13" ht="15.75" customHeight="1" x14ac:dyDescent="0.2">
      <c r="M513" s="14"/>
    </row>
    <row r="514" spans="13:13" ht="15.75" customHeight="1" x14ac:dyDescent="0.2">
      <c r="M514" s="14"/>
    </row>
    <row r="515" spans="13:13" ht="15.75" customHeight="1" x14ac:dyDescent="0.2">
      <c r="M515" s="14"/>
    </row>
    <row r="516" spans="13:13" ht="15.75" customHeight="1" x14ac:dyDescent="0.2">
      <c r="M516" s="14"/>
    </row>
    <row r="517" spans="13:13" ht="15.75" customHeight="1" x14ac:dyDescent="0.2">
      <c r="M517" s="14"/>
    </row>
    <row r="518" spans="13:13" ht="15.75" customHeight="1" x14ac:dyDescent="0.2">
      <c r="M518" s="14"/>
    </row>
    <row r="519" spans="13:13" ht="15.75" customHeight="1" x14ac:dyDescent="0.2">
      <c r="M519" s="14"/>
    </row>
    <row r="520" spans="13:13" ht="15.75" customHeight="1" x14ac:dyDescent="0.2">
      <c r="M520" s="14"/>
    </row>
    <row r="521" spans="13:13" ht="15.75" customHeight="1" x14ac:dyDescent="0.2">
      <c r="M521" s="14"/>
    </row>
    <row r="522" spans="13:13" ht="15.75" customHeight="1" x14ac:dyDescent="0.2">
      <c r="M522" s="14"/>
    </row>
    <row r="523" spans="13:13" ht="15.75" customHeight="1" x14ac:dyDescent="0.2">
      <c r="M523" s="14"/>
    </row>
    <row r="524" spans="13:13" ht="15.75" customHeight="1" x14ac:dyDescent="0.2">
      <c r="M524" s="14"/>
    </row>
    <row r="525" spans="13:13" ht="15.75" customHeight="1" x14ac:dyDescent="0.2">
      <c r="M525" s="14"/>
    </row>
    <row r="526" spans="13:13" ht="15.75" customHeight="1" x14ac:dyDescent="0.2">
      <c r="M526" s="14"/>
    </row>
    <row r="527" spans="13:13" ht="15.75" customHeight="1" x14ac:dyDescent="0.2">
      <c r="M527" s="14"/>
    </row>
    <row r="528" spans="13:13" ht="15.75" customHeight="1" x14ac:dyDescent="0.2">
      <c r="M528" s="14"/>
    </row>
    <row r="529" spans="13:13" ht="15.75" customHeight="1" x14ac:dyDescent="0.2">
      <c r="M529" s="14"/>
    </row>
    <row r="530" spans="13:13" ht="15.75" customHeight="1" x14ac:dyDescent="0.2">
      <c r="M530" s="14"/>
    </row>
    <row r="531" spans="13:13" ht="15.75" customHeight="1" x14ac:dyDescent="0.2">
      <c r="M531" s="14"/>
    </row>
    <row r="532" spans="13:13" ht="15.75" customHeight="1" x14ac:dyDescent="0.2">
      <c r="M532" s="14"/>
    </row>
    <row r="533" spans="13:13" ht="15.75" customHeight="1" x14ac:dyDescent="0.2">
      <c r="M533" s="14"/>
    </row>
    <row r="534" spans="13:13" ht="15.75" customHeight="1" x14ac:dyDescent="0.2">
      <c r="M534" s="14"/>
    </row>
    <row r="535" spans="13:13" ht="15.75" customHeight="1" x14ac:dyDescent="0.2">
      <c r="M535" s="14"/>
    </row>
    <row r="536" spans="13:13" ht="15.75" customHeight="1" x14ac:dyDescent="0.2">
      <c r="M536" s="14"/>
    </row>
    <row r="537" spans="13:13" ht="15.75" customHeight="1" x14ac:dyDescent="0.2">
      <c r="M537" s="14"/>
    </row>
    <row r="538" spans="13:13" ht="15.75" customHeight="1" x14ac:dyDescent="0.2">
      <c r="M538" s="14"/>
    </row>
    <row r="539" spans="13:13" ht="15.75" customHeight="1" x14ac:dyDescent="0.2">
      <c r="M539" s="14"/>
    </row>
    <row r="540" spans="13:13" ht="15.75" customHeight="1" x14ac:dyDescent="0.2">
      <c r="M540" s="14"/>
    </row>
    <row r="541" spans="13:13" ht="15.75" customHeight="1" x14ac:dyDescent="0.2">
      <c r="M541" s="14"/>
    </row>
    <row r="542" spans="13:13" ht="15.75" customHeight="1" x14ac:dyDescent="0.2">
      <c r="M542" s="14"/>
    </row>
    <row r="543" spans="13:13" ht="15.75" customHeight="1" x14ac:dyDescent="0.2">
      <c r="M543" s="14"/>
    </row>
    <row r="544" spans="13:13" ht="15.75" customHeight="1" x14ac:dyDescent="0.2">
      <c r="M544" s="14"/>
    </row>
    <row r="545" spans="13:13" ht="15.75" customHeight="1" x14ac:dyDescent="0.2">
      <c r="M545" s="14"/>
    </row>
    <row r="546" spans="13:13" ht="15.75" customHeight="1" x14ac:dyDescent="0.2">
      <c r="M546" s="14"/>
    </row>
    <row r="547" spans="13:13" ht="15.75" customHeight="1" x14ac:dyDescent="0.2">
      <c r="M547" s="14"/>
    </row>
    <row r="548" spans="13:13" ht="15.75" customHeight="1" x14ac:dyDescent="0.2">
      <c r="M548" s="14"/>
    </row>
    <row r="549" spans="13:13" ht="15.75" customHeight="1" x14ac:dyDescent="0.2">
      <c r="M549" s="14"/>
    </row>
    <row r="550" spans="13:13" ht="15.75" customHeight="1" x14ac:dyDescent="0.2">
      <c r="M550" s="14"/>
    </row>
    <row r="551" spans="13:13" ht="15.75" customHeight="1" x14ac:dyDescent="0.2">
      <c r="M551" s="14"/>
    </row>
    <row r="552" spans="13:13" ht="15.75" customHeight="1" x14ac:dyDescent="0.2">
      <c r="M552" s="14"/>
    </row>
    <row r="553" spans="13:13" ht="15.75" customHeight="1" x14ac:dyDescent="0.2">
      <c r="M553" s="14"/>
    </row>
    <row r="554" spans="13:13" ht="15.75" customHeight="1" x14ac:dyDescent="0.2">
      <c r="M554" s="14"/>
    </row>
    <row r="555" spans="13:13" ht="15.75" customHeight="1" x14ac:dyDescent="0.2">
      <c r="M555" s="14"/>
    </row>
    <row r="556" spans="13:13" ht="15.75" customHeight="1" x14ac:dyDescent="0.2">
      <c r="M556" s="14"/>
    </row>
    <row r="557" spans="13:13" ht="15.75" customHeight="1" x14ac:dyDescent="0.2">
      <c r="M557" s="14"/>
    </row>
    <row r="558" spans="13:13" ht="15.75" customHeight="1" x14ac:dyDescent="0.2">
      <c r="M558" s="14"/>
    </row>
    <row r="559" spans="13:13" ht="15.75" customHeight="1" x14ac:dyDescent="0.2">
      <c r="M559" s="14"/>
    </row>
    <row r="560" spans="13:13" ht="15.75" customHeight="1" x14ac:dyDescent="0.2">
      <c r="M560" s="14"/>
    </row>
    <row r="561" spans="13:13" ht="15.75" customHeight="1" x14ac:dyDescent="0.2">
      <c r="M561" s="14"/>
    </row>
    <row r="562" spans="13:13" ht="15.75" customHeight="1" x14ac:dyDescent="0.2">
      <c r="M562" s="14"/>
    </row>
    <row r="563" spans="13:13" ht="15.75" customHeight="1" x14ac:dyDescent="0.2">
      <c r="M563" s="14"/>
    </row>
    <row r="564" spans="13:13" ht="15.75" customHeight="1" x14ac:dyDescent="0.2">
      <c r="M564" s="14"/>
    </row>
    <row r="565" spans="13:13" ht="15.75" customHeight="1" x14ac:dyDescent="0.2">
      <c r="M565" s="14"/>
    </row>
    <row r="566" spans="13:13" ht="15.75" customHeight="1" x14ac:dyDescent="0.2">
      <c r="M566" s="14"/>
    </row>
    <row r="567" spans="13:13" ht="15.75" customHeight="1" x14ac:dyDescent="0.2">
      <c r="M567" s="14"/>
    </row>
    <row r="568" spans="13:13" ht="15.75" customHeight="1" x14ac:dyDescent="0.2">
      <c r="M568" s="14"/>
    </row>
    <row r="569" spans="13:13" ht="15.75" customHeight="1" x14ac:dyDescent="0.2">
      <c r="M569" s="14"/>
    </row>
    <row r="570" spans="13:13" ht="15.75" customHeight="1" x14ac:dyDescent="0.2">
      <c r="M570" s="14"/>
    </row>
    <row r="571" spans="13:13" ht="15.75" customHeight="1" x14ac:dyDescent="0.2">
      <c r="M571" s="14"/>
    </row>
    <row r="572" spans="13:13" ht="15.75" customHeight="1" x14ac:dyDescent="0.2">
      <c r="M572" s="14"/>
    </row>
    <row r="573" spans="13:13" ht="15.75" customHeight="1" x14ac:dyDescent="0.2">
      <c r="M573" s="14"/>
    </row>
    <row r="574" spans="13:13" ht="15.75" customHeight="1" x14ac:dyDescent="0.2">
      <c r="M574" s="14"/>
    </row>
    <row r="575" spans="13:13" ht="15.75" customHeight="1" x14ac:dyDescent="0.2">
      <c r="M575" s="14"/>
    </row>
    <row r="576" spans="13:13" ht="15.75" customHeight="1" x14ac:dyDescent="0.2">
      <c r="M576" s="14"/>
    </row>
    <row r="577" spans="13:13" ht="15.75" customHeight="1" x14ac:dyDescent="0.2">
      <c r="M577" s="14"/>
    </row>
    <row r="578" spans="13:13" ht="15.75" customHeight="1" x14ac:dyDescent="0.2">
      <c r="M578" s="14"/>
    </row>
    <row r="579" spans="13:13" ht="15.75" customHeight="1" x14ac:dyDescent="0.2">
      <c r="M579" s="14"/>
    </row>
    <row r="580" spans="13:13" ht="15.75" customHeight="1" x14ac:dyDescent="0.2">
      <c r="M580" s="14"/>
    </row>
    <row r="581" spans="13:13" ht="15.75" customHeight="1" x14ac:dyDescent="0.2">
      <c r="M581" s="14"/>
    </row>
    <row r="582" spans="13:13" ht="15.75" customHeight="1" x14ac:dyDescent="0.2">
      <c r="M582" s="14"/>
    </row>
    <row r="583" spans="13:13" ht="15.75" customHeight="1" x14ac:dyDescent="0.2">
      <c r="M583" s="14"/>
    </row>
    <row r="584" spans="13:13" ht="15.75" customHeight="1" x14ac:dyDescent="0.2">
      <c r="M584" s="14"/>
    </row>
    <row r="585" spans="13:13" ht="15.75" customHeight="1" x14ac:dyDescent="0.2">
      <c r="M585" s="14"/>
    </row>
    <row r="586" spans="13:13" ht="15.75" customHeight="1" x14ac:dyDescent="0.2">
      <c r="M586" s="14"/>
    </row>
    <row r="587" spans="13:13" ht="15.75" customHeight="1" x14ac:dyDescent="0.2">
      <c r="M587" s="14"/>
    </row>
    <row r="588" spans="13:13" ht="15.75" customHeight="1" x14ac:dyDescent="0.2">
      <c r="M588" s="14"/>
    </row>
    <row r="589" spans="13:13" ht="15.75" customHeight="1" x14ac:dyDescent="0.2">
      <c r="M589" s="14"/>
    </row>
    <row r="590" spans="13:13" ht="15.75" customHeight="1" x14ac:dyDescent="0.2">
      <c r="M590" s="14"/>
    </row>
    <row r="591" spans="13:13" ht="15.75" customHeight="1" x14ac:dyDescent="0.2">
      <c r="M591" s="14"/>
    </row>
    <row r="592" spans="13:13" ht="15.75" customHeight="1" x14ac:dyDescent="0.2">
      <c r="M592" s="14"/>
    </row>
    <row r="593" spans="13:13" ht="15.75" customHeight="1" x14ac:dyDescent="0.2">
      <c r="M593" s="14"/>
    </row>
    <row r="594" spans="13:13" ht="15.75" customHeight="1" x14ac:dyDescent="0.2">
      <c r="M594" s="14"/>
    </row>
    <row r="595" spans="13:13" ht="15.75" customHeight="1" x14ac:dyDescent="0.2">
      <c r="M595" s="14"/>
    </row>
    <row r="596" spans="13:13" ht="15.75" customHeight="1" x14ac:dyDescent="0.2">
      <c r="M596" s="14"/>
    </row>
    <row r="597" spans="13:13" ht="15.75" customHeight="1" x14ac:dyDescent="0.2">
      <c r="M597" s="14"/>
    </row>
    <row r="598" spans="13:13" ht="15.75" customHeight="1" x14ac:dyDescent="0.2">
      <c r="M598" s="14"/>
    </row>
    <row r="599" spans="13:13" ht="15.75" customHeight="1" x14ac:dyDescent="0.2">
      <c r="M599" s="14"/>
    </row>
    <row r="600" spans="13:13" ht="15.75" customHeight="1" x14ac:dyDescent="0.2">
      <c r="M600" s="14"/>
    </row>
    <row r="601" spans="13:13" ht="15.75" customHeight="1" x14ac:dyDescent="0.2">
      <c r="M601" s="14"/>
    </row>
    <row r="602" spans="13:13" ht="15.75" customHeight="1" x14ac:dyDescent="0.2">
      <c r="M602" s="14"/>
    </row>
    <row r="603" spans="13:13" ht="15.75" customHeight="1" x14ac:dyDescent="0.2">
      <c r="M603" s="14"/>
    </row>
    <row r="604" spans="13:13" ht="15.75" customHeight="1" x14ac:dyDescent="0.2">
      <c r="M604" s="14"/>
    </row>
    <row r="605" spans="13:13" ht="15.75" customHeight="1" x14ac:dyDescent="0.2">
      <c r="M605" s="14"/>
    </row>
    <row r="606" spans="13:13" ht="15.75" customHeight="1" x14ac:dyDescent="0.2">
      <c r="M606" s="14"/>
    </row>
    <row r="607" spans="13:13" ht="15.75" customHeight="1" x14ac:dyDescent="0.2">
      <c r="M607" s="14"/>
    </row>
    <row r="608" spans="13:13" ht="15.75" customHeight="1" x14ac:dyDescent="0.2">
      <c r="M608" s="14"/>
    </row>
    <row r="609" spans="13:13" ht="15.75" customHeight="1" x14ac:dyDescent="0.2">
      <c r="M609" s="14"/>
    </row>
    <row r="610" spans="13:13" ht="15.75" customHeight="1" x14ac:dyDescent="0.2">
      <c r="M610" s="14"/>
    </row>
    <row r="611" spans="13:13" ht="15.75" customHeight="1" x14ac:dyDescent="0.2">
      <c r="M611" s="14"/>
    </row>
    <row r="612" spans="13:13" ht="15.75" customHeight="1" x14ac:dyDescent="0.2">
      <c r="M612" s="14"/>
    </row>
    <row r="613" spans="13:13" ht="15.75" customHeight="1" x14ac:dyDescent="0.2">
      <c r="M613" s="14"/>
    </row>
    <row r="614" spans="13:13" ht="15.75" customHeight="1" x14ac:dyDescent="0.2">
      <c r="M614" s="14"/>
    </row>
    <row r="615" spans="13:13" ht="15.75" customHeight="1" x14ac:dyDescent="0.2">
      <c r="M615" s="14"/>
    </row>
    <row r="616" spans="13:13" ht="15.75" customHeight="1" x14ac:dyDescent="0.2">
      <c r="M616" s="14"/>
    </row>
    <row r="617" spans="13:13" ht="15.75" customHeight="1" x14ac:dyDescent="0.2">
      <c r="M617" s="14"/>
    </row>
    <row r="618" spans="13:13" ht="15.75" customHeight="1" x14ac:dyDescent="0.2">
      <c r="M618" s="14"/>
    </row>
    <row r="619" spans="13:13" ht="15.75" customHeight="1" x14ac:dyDescent="0.2">
      <c r="M619" s="14"/>
    </row>
    <row r="620" spans="13:13" ht="15.75" customHeight="1" x14ac:dyDescent="0.2">
      <c r="M620" s="14"/>
    </row>
    <row r="621" spans="13:13" ht="15.75" customHeight="1" x14ac:dyDescent="0.2">
      <c r="M621" s="14"/>
    </row>
    <row r="622" spans="13:13" ht="15.75" customHeight="1" x14ac:dyDescent="0.2">
      <c r="M622" s="14"/>
    </row>
    <row r="623" spans="13:13" ht="15.75" customHeight="1" x14ac:dyDescent="0.2">
      <c r="M623" s="14"/>
    </row>
    <row r="624" spans="13:13" ht="15.75" customHeight="1" x14ac:dyDescent="0.2">
      <c r="M624" s="14"/>
    </row>
    <row r="625" spans="13:13" ht="15.75" customHeight="1" x14ac:dyDescent="0.2">
      <c r="M625" s="14"/>
    </row>
    <row r="626" spans="13:13" ht="15.75" customHeight="1" x14ac:dyDescent="0.2">
      <c r="M626" s="14"/>
    </row>
    <row r="627" spans="13:13" ht="15.75" customHeight="1" x14ac:dyDescent="0.2">
      <c r="M627" s="14"/>
    </row>
    <row r="628" spans="13:13" ht="15.75" customHeight="1" x14ac:dyDescent="0.2">
      <c r="M628" s="14"/>
    </row>
    <row r="629" spans="13:13" ht="15.75" customHeight="1" x14ac:dyDescent="0.2">
      <c r="M629" s="14"/>
    </row>
    <row r="630" spans="13:13" ht="15.75" customHeight="1" x14ac:dyDescent="0.2">
      <c r="M630" s="14"/>
    </row>
    <row r="631" spans="13:13" ht="15.75" customHeight="1" x14ac:dyDescent="0.2">
      <c r="M631" s="14"/>
    </row>
    <row r="632" spans="13:13" ht="15.75" customHeight="1" x14ac:dyDescent="0.2">
      <c r="M632" s="14"/>
    </row>
    <row r="633" spans="13:13" ht="15.75" customHeight="1" x14ac:dyDescent="0.2">
      <c r="M633" s="14"/>
    </row>
    <row r="634" spans="13:13" ht="15.75" customHeight="1" x14ac:dyDescent="0.2">
      <c r="M634" s="14"/>
    </row>
    <row r="635" spans="13:13" ht="15.75" customHeight="1" x14ac:dyDescent="0.2">
      <c r="M635" s="14"/>
    </row>
    <row r="636" spans="13:13" ht="15.75" customHeight="1" x14ac:dyDescent="0.2">
      <c r="M636" s="14"/>
    </row>
    <row r="637" spans="13:13" ht="15.75" customHeight="1" x14ac:dyDescent="0.2">
      <c r="M637" s="14"/>
    </row>
    <row r="638" spans="13:13" ht="15.75" customHeight="1" x14ac:dyDescent="0.2">
      <c r="M638" s="14"/>
    </row>
    <row r="639" spans="13:13" ht="15.75" customHeight="1" x14ac:dyDescent="0.2">
      <c r="M639" s="14"/>
    </row>
    <row r="640" spans="13:13" ht="15.75" customHeight="1" x14ac:dyDescent="0.2">
      <c r="M640" s="14"/>
    </row>
    <row r="641" spans="13:13" ht="15.75" customHeight="1" x14ac:dyDescent="0.2">
      <c r="M641" s="14"/>
    </row>
    <row r="642" spans="13:13" ht="15.75" customHeight="1" x14ac:dyDescent="0.2">
      <c r="M642" s="14"/>
    </row>
    <row r="643" spans="13:13" ht="15.75" customHeight="1" x14ac:dyDescent="0.2">
      <c r="M643" s="14"/>
    </row>
    <row r="644" spans="13:13" ht="15.75" customHeight="1" x14ac:dyDescent="0.2">
      <c r="M644" s="14"/>
    </row>
    <row r="645" spans="13:13" ht="15.75" customHeight="1" x14ac:dyDescent="0.2">
      <c r="M645" s="14"/>
    </row>
    <row r="646" spans="13:13" ht="15.75" customHeight="1" x14ac:dyDescent="0.2">
      <c r="M646" s="14"/>
    </row>
    <row r="647" spans="13:13" ht="15.75" customHeight="1" x14ac:dyDescent="0.2">
      <c r="M647" s="14"/>
    </row>
    <row r="648" spans="13:13" ht="15.75" customHeight="1" x14ac:dyDescent="0.2">
      <c r="M648" s="14"/>
    </row>
    <row r="649" spans="13:13" ht="15.75" customHeight="1" x14ac:dyDescent="0.2">
      <c r="M649" s="14"/>
    </row>
    <row r="650" spans="13:13" ht="15.75" customHeight="1" x14ac:dyDescent="0.2">
      <c r="M650" s="14"/>
    </row>
    <row r="651" spans="13:13" ht="15.75" customHeight="1" x14ac:dyDescent="0.2">
      <c r="M651" s="14"/>
    </row>
    <row r="652" spans="13:13" ht="15.75" customHeight="1" x14ac:dyDescent="0.2">
      <c r="M652" s="14"/>
    </row>
    <row r="653" spans="13:13" ht="15.75" customHeight="1" x14ac:dyDescent="0.2">
      <c r="M653" s="14"/>
    </row>
    <row r="654" spans="13:13" ht="15.75" customHeight="1" x14ac:dyDescent="0.2">
      <c r="M654" s="14"/>
    </row>
    <row r="655" spans="13:13" ht="15.75" customHeight="1" x14ac:dyDescent="0.2">
      <c r="M655" s="14"/>
    </row>
    <row r="656" spans="13:13" ht="15.75" customHeight="1" x14ac:dyDescent="0.2">
      <c r="M656" s="14"/>
    </row>
    <row r="657" spans="13:13" ht="15.75" customHeight="1" x14ac:dyDescent="0.2">
      <c r="M657" s="14"/>
    </row>
    <row r="658" spans="13:13" ht="15.75" customHeight="1" x14ac:dyDescent="0.2">
      <c r="M658" s="14"/>
    </row>
    <row r="659" spans="13:13" ht="15.75" customHeight="1" x14ac:dyDescent="0.2">
      <c r="M659" s="14"/>
    </row>
    <row r="660" spans="13:13" ht="15.75" customHeight="1" x14ac:dyDescent="0.2">
      <c r="M660" s="14"/>
    </row>
    <row r="661" spans="13:13" ht="15.75" customHeight="1" x14ac:dyDescent="0.2">
      <c r="M661" s="14"/>
    </row>
    <row r="662" spans="13:13" ht="15.75" customHeight="1" x14ac:dyDescent="0.2">
      <c r="M662" s="14"/>
    </row>
    <row r="663" spans="13:13" ht="15.75" customHeight="1" x14ac:dyDescent="0.2">
      <c r="M663" s="14"/>
    </row>
    <row r="664" spans="13:13" ht="15.75" customHeight="1" x14ac:dyDescent="0.2">
      <c r="M664" s="14"/>
    </row>
    <row r="665" spans="13:13" ht="15.75" customHeight="1" x14ac:dyDescent="0.2">
      <c r="M665" s="14"/>
    </row>
    <row r="666" spans="13:13" ht="15.75" customHeight="1" x14ac:dyDescent="0.2">
      <c r="M666" s="14"/>
    </row>
    <row r="667" spans="13:13" ht="15.75" customHeight="1" x14ac:dyDescent="0.2">
      <c r="M667" s="14"/>
    </row>
    <row r="668" spans="13:13" ht="15.75" customHeight="1" x14ac:dyDescent="0.2">
      <c r="M668" s="14"/>
    </row>
    <row r="669" spans="13:13" ht="15.75" customHeight="1" x14ac:dyDescent="0.2">
      <c r="M669" s="14"/>
    </row>
    <row r="670" spans="13:13" ht="15.75" customHeight="1" x14ac:dyDescent="0.2">
      <c r="M670" s="14"/>
    </row>
    <row r="671" spans="13:13" ht="15.75" customHeight="1" x14ac:dyDescent="0.2">
      <c r="M671" s="14"/>
    </row>
    <row r="672" spans="13:13" ht="15.75" customHeight="1" x14ac:dyDescent="0.2">
      <c r="M672" s="14"/>
    </row>
    <row r="673" spans="13:13" ht="15.75" customHeight="1" x14ac:dyDescent="0.2">
      <c r="M673" s="14"/>
    </row>
    <row r="674" spans="13:13" ht="15.75" customHeight="1" x14ac:dyDescent="0.2">
      <c r="M674" s="14"/>
    </row>
    <row r="675" spans="13:13" ht="15.75" customHeight="1" x14ac:dyDescent="0.2">
      <c r="M675" s="14"/>
    </row>
    <row r="676" spans="13:13" ht="15.75" customHeight="1" x14ac:dyDescent="0.2">
      <c r="M676" s="14"/>
    </row>
    <row r="677" spans="13:13" ht="15.75" customHeight="1" x14ac:dyDescent="0.2">
      <c r="M677" s="14"/>
    </row>
    <row r="678" spans="13:13" ht="15.75" customHeight="1" x14ac:dyDescent="0.2">
      <c r="M678" s="14"/>
    </row>
    <row r="679" spans="13:13" ht="15.75" customHeight="1" x14ac:dyDescent="0.2">
      <c r="M679" s="14"/>
    </row>
    <row r="680" spans="13:13" ht="15.75" customHeight="1" x14ac:dyDescent="0.2">
      <c r="M680" s="14"/>
    </row>
    <row r="681" spans="13:13" ht="15.75" customHeight="1" x14ac:dyDescent="0.2">
      <c r="M681" s="14"/>
    </row>
    <row r="682" spans="13:13" ht="15.75" customHeight="1" x14ac:dyDescent="0.2">
      <c r="M682" s="14"/>
    </row>
    <row r="683" spans="13:13" ht="15.75" customHeight="1" x14ac:dyDescent="0.2">
      <c r="M683" s="14"/>
    </row>
    <row r="684" spans="13:13" ht="15.75" customHeight="1" x14ac:dyDescent="0.2">
      <c r="M684" s="14"/>
    </row>
    <row r="685" spans="13:13" ht="15.75" customHeight="1" x14ac:dyDescent="0.2">
      <c r="M685" s="14"/>
    </row>
    <row r="686" spans="13:13" ht="15.75" customHeight="1" x14ac:dyDescent="0.2">
      <c r="M686" s="14"/>
    </row>
    <row r="687" spans="13:13" ht="15.75" customHeight="1" x14ac:dyDescent="0.2">
      <c r="M687" s="14"/>
    </row>
    <row r="688" spans="13:13" ht="15.75" customHeight="1" x14ac:dyDescent="0.2">
      <c r="M688" s="14"/>
    </row>
    <row r="689" spans="13:13" ht="15.75" customHeight="1" x14ac:dyDescent="0.2">
      <c r="M689" s="14"/>
    </row>
    <row r="690" spans="13:13" ht="15.75" customHeight="1" x14ac:dyDescent="0.2">
      <c r="M690" s="14"/>
    </row>
    <row r="691" spans="13:13" ht="15.75" customHeight="1" x14ac:dyDescent="0.2">
      <c r="M691" s="14"/>
    </row>
    <row r="692" spans="13:13" ht="15.75" customHeight="1" x14ac:dyDescent="0.2">
      <c r="M692" s="14"/>
    </row>
    <row r="693" spans="13:13" ht="15.75" customHeight="1" x14ac:dyDescent="0.2">
      <c r="M693" s="14"/>
    </row>
    <row r="694" spans="13:13" ht="15.75" customHeight="1" x14ac:dyDescent="0.2">
      <c r="M694" s="14"/>
    </row>
    <row r="695" spans="13:13" ht="15.75" customHeight="1" x14ac:dyDescent="0.2">
      <c r="M695" s="14"/>
    </row>
    <row r="696" spans="13:13" ht="15.75" customHeight="1" x14ac:dyDescent="0.2">
      <c r="M696" s="14"/>
    </row>
    <row r="697" spans="13:13" ht="15.75" customHeight="1" x14ac:dyDescent="0.2">
      <c r="M697" s="14"/>
    </row>
    <row r="698" spans="13:13" ht="15.75" customHeight="1" x14ac:dyDescent="0.2">
      <c r="M698" s="14"/>
    </row>
    <row r="699" spans="13:13" ht="15.75" customHeight="1" x14ac:dyDescent="0.2">
      <c r="M699" s="14"/>
    </row>
    <row r="700" spans="13:13" ht="15.75" customHeight="1" x14ac:dyDescent="0.2">
      <c r="M700" s="14"/>
    </row>
    <row r="701" spans="13:13" ht="15.75" customHeight="1" x14ac:dyDescent="0.2">
      <c r="M701" s="14"/>
    </row>
    <row r="702" spans="13:13" ht="15.75" customHeight="1" x14ac:dyDescent="0.2">
      <c r="M702" s="14"/>
    </row>
    <row r="703" spans="13:13" ht="15.75" customHeight="1" x14ac:dyDescent="0.2">
      <c r="M703" s="14"/>
    </row>
    <row r="704" spans="13:13" ht="15.75" customHeight="1" x14ac:dyDescent="0.2">
      <c r="M704" s="14"/>
    </row>
    <row r="705" spans="13:13" ht="15.75" customHeight="1" x14ac:dyDescent="0.2">
      <c r="M705" s="14"/>
    </row>
    <row r="706" spans="13:13" ht="15.75" customHeight="1" x14ac:dyDescent="0.2">
      <c r="M706" s="14"/>
    </row>
    <row r="707" spans="13:13" ht="15.75" customHeight="1" x14ac:dyDescent="0.2">
      <c r="M707" s="14"/>
    </row>
    <row r="708" spans="13:13" ht="15.75" customHeight="1" x14ac:dyDescent="0.2">
      <c r="M708" s="14"/>
    </row>
    <row r="709" spans="13:13" ht="15.75" customHeight="1" x14ac:dyDescent="0.2">
      <c r="M709" s="14"/>
    </row>
    <row r="710" spans="13:13" ht="15.75" customHeight="1" x14ac:dyDescent="0.2">
      <c r="M710" s="14"/>
    </row>
    <row r="711" spans="13:13" ht="15.75" customHeight="1" x14ac:dyDescent="0.2">
      <c r="M711" s="14"/>
    </row>
    <row r="712" spans="13:13" ht="15.75" customHeight="1" x14ac:dyDescent="0.2">
      <c r="M712" s="14"/>
    </row>
    <row r="713" spans="13:13" ht="15.75" customHeight="1" x14ac:dyDescent="0.2">
      <c r="M713" s="14"/>
    </row>
    <row r="714" spans="13:13" ht="15.75" customHeight="1" x14ac:dyDescent="0.2">
      <c r="M714" s="14"/>
    </row>
    <row r="715" spans="13:13" ht="15.75" customHeight="1" x14ac:dyDescent="0.2">
      <c r="M715" s="14"/>
    </row>
    <row r="716" spans="13:13" ht="15.75" customHeight="1" x14ac:dyDescent="0.2">
      <c r="M716" s="14"/>
    </row>
    <row r="717" spans="13:13" ht="15.75" customHeight="1" x14ac:dyDescent="0.2">
      <c r="M717" s="14"/>
    </row>
    <row r="718" spans="13:13" ht="15.75" customHeight="1" x14ac:dyDescent="0.2">
      <c r="M718" s="14"/>
    </row>
    <row r="719" spans="13:13" ht="15.75" customHeight="1" x14ac:dyDescent="0.2">
      <c r="M719" s="14"/>
    </row>
    <row r="720" spans="13:13" ht="15.75" customHeight="1" x14ac:dyDescent="0.2">
      <c r="M720" s="14"/>
    </row>
    <row r="721" spans="13:13" ht="15.75" customHeight="1" x14ac:dyDescent="0.2">
      <c r="M721" s="14"/>
    </row>
    <row r="722" spans="13:13" ht="15.75" customHeight="1" x14ac:dyDescent="0.2">
      <c r="M722" s="14"/>
    </row>
    <row r="723" spans="13:13" ht="15.75" customHeight="1" x14ac:dyDescent="0.2">
      <c r="M723" s="14"/>
    </row>
    <row r="724" spans="13:13" ht="15.75" customHeight="1" x14ac:dyDescent="0.2">
      <c r="M724" s="14"/>
    </row>
    <row r="725" spans="13:13" ht="15.75" customHeight="1" x14ac:dyDescent="0.2">
      <c r="M725" s="14"/>
    </row>
    <row r="726" spans="13:13" ht="15.75" customHeight="1" x14ac:dyDescent="0.2">
      <c r="M726" s="14"/>
    </row>
    <row r="727" spans="13:13" ht="15.75" customHeight="1" x14ac:dyDescent="0.2">
      <c r="M727" s="14"/>
    </row>
    <row r="728" spans="13:13" ht="15.75" customHeight="1" x14ac:dyDescent="0.2">
      <c r="M728" s="14"/>
    </row>
    <row r="729" spans="13:13" ht="15.75" customHeight="1" x14ac:dyDescent="0.2">
      <c r="M729" s="14"/>
    </row>
    <row r="730" spans="13:13" ht="15.75" customHeight="1" x14ac:dyDescent="0.2">
      <c r="M730" s="14"/>
    </row>
    <row r="731" spans="13:13" ht="15.75" customHeight="1" x14ac:dyDescent="0.2">
      <c r="M731" s="14"/>
    </row>
    <row r="732" spans="13:13" ht="15.75" customHeight="1" x14ac:dyDescent="0.2">
      <c r="M732" s="14"/>
    </row>
    <row r="733" spans="13:13" ht="15.75" customHeight="1" x14ac:dyDescent="0.2">
      <c r="M733" s="14"/>
    </row>
    <row r="734" spans="13:13" ht="15.75" customHeight="1" x14ac:dyDescent="0.2">
      <c r="M734" s="14"/>
    </row>
    <row r="735" spans="13:13" ht="15.75" customHeight="1" x14ac:dyDescent="0.2">
      <c r="M735" s="14"/>
    </row>
    <row r="736" spans="13:13" ht="15.75" customHeight="1" x14ac:dyDescent="0.2">
      <c r="M736" s="14"/>
    </row>
    <row r="737" spans="13:13" ht="15.75" customHeight="1" x14ac:dyDescent="0.2">
      <c r="M737" s="14"/>
    </row>
    <row r="738" spans="13:13" ht="15.75" customHeight="1" x14ac:dyDescent="0.2">
      <c r="M738" s="14"/>
    </row>
    <row r="739" spans="13:13" ht="15.75" customHeight="1" x14ac:dyDescent="0.2">
      <c r="M739" s="14"/>
    </row>
    <row r="740" spans="13:13" ht="15.75" customHeight="1" x14ac:dyDescent="0.2">
      <c r="M740" s="14"/>
    </row>
    <row r="741" spans="13:13" ht="15.75" customHeight="1" x14ac:dyDescent="0.2">
      <c r="M741" s="14"/>
    </row>
    <row r="742" spans="13:13" ht="15.75" customHeight="1" x14ac:dyDescent="0.2">
      <c r="M742" s="14"/>
    </row>
    <row r="743" spans="13:13" ht="15.75" customHeight="1" x14ac:dyDescent="0.2">
      <c r="M743" s="14"/>
    </row>
    <row r="744" spans="13:13" ht="15.75" customHeight="1" x14ac:dyDescent="0.2">
      <c r="M744" s="14"/>
    </row>
    <row r="745" spans="13:13" ht="15.75" customHeight="1" x14ac:dyDescent="0.2">
      <c r="M745" s="14"/>
    </row>
    <row r="746" spans="13:13" ht="15.75" customHeight="1" x14ac:dyDescent="0.2">
      <c r="M746" s="14"/>
    </row>
    <row r="747" spans="13:13" ht="15.75" customHeight="1" x14ac:dyDescent="0.2">
      <c r="M747" s="14"/>
    </row>
    <row r="748" spans="13:13" ht="15.75" customHeight="1" x14ac:dyDescent="0.2">
      <c r="M748" s="14"/>
    </row>
    <row r="749" spans="13:13" ht="15.75" customHeight="1" x14ac:dyDescent="0.2">
      <c r="M749" s="14"/>
    </row>
    <row r="750" spans="13:13" ht="15.75" customHeight="1" x14ac:dyDescent="0.2">
      <c r="M750" s="14"/>
    </row>
    <row r="751" spans="13:13" ht="15.75" customHeight="1" x14ac:dyDescent="0.2">
      <c r="M751" s="14"/>
    </row>
    <row r="752" spans="13:13" ht="15.75" customHeight="1" x14ac:dyDescent="0.2">
      <c r="M752" s="14"/>
    </row>
    <row r="753" spans="13:13" ht="15.75" customHeight="1" x14ac:dyDescent="0.2">
      <c r="M753" s="14"/>
    </row>
    <row r="754" spans="13:13" ht="15.75" customHeight="1" x14ac:dyDescent="0.2">
      <c r="M754" s="14"/>
    </row>
    <row r="755" spans="13:13" ht="15.75" customHeight="1" x14ac:dyDescent="0.2">
      <c r="M755" s="14"/>
    </row>
    <row r="756" spans="13:13" ht="15.75" customHeight="1" x14ac:dyDescent="0.2">
      <c r="M756" s="14"/>
    </row>
    <row r="757" spans="13:13" ht="15.75" customHeight="1" x14ac:dyDescent="0.2">
      <c r="M757" s="14"/>
    </row>
    <row r="758" spans="13:13" ht="15.75" customHeight="1" x14ac:dyDescent="0.2">
      <c r="M758" s="14"/>
    </row>
    <row r="759" spans="13:13" ht="15.75" customHeight="1" x14ac:dyDescent="0.2">
      <c r="M759" s="14"/>
    </row>
    <row r="760" spans="13:13" ht="15.75" customHeight="1" x14ac:dyDescent="0.2">
      <c r="M760" s="14"/>
    </row>
    <row r="761" spans="13:13" ht="15.75" customHeight="1" x14ac:dyDescent="0.2">
      <c r="M761" s="14"/>
    </row>
    <row r="762" spans="13:13" ht="15.75" customHeight="1" x14ac:dyDescent="0.2">
      <c r="M762" s="14"/>
    </row>
    <row r="763" spans="13:13" ht="15.75" customHeight="1" x14ac:dyDescent="0.2">
      <c r="M763" s="14"/>
    </row>
    <row r="764" spans="13:13" ht="15.75" customHeight="1" x14ac:dyDescent="0.2">
      <c r="M764" s="14"/>
    </row>
    <row r="765" spans="13:13" ht="15.75" customHeight="1" x14ac:dyDescent="0.2">
      <c r="M765" s="14"/>
    </row>
    <row r="766" spans="13:13" ht="15.75" customHeight="1" x14ac:dyDescent="0.2">
      <c r="M766" s="14"/>
    </row>
    <row r="767" spans="13:13" ht="15.75" customHeight="1" x14ac:dyDescent="0.2">
      <c r="M767" s="14"/>
    </row>
    <row r="768" spans="13:13" ht="15.75" customHeight="1" x14ac:dyDescent="0.2">
      <c r="M768" s="14"/>
    </row>
    <row r="769" spans="13:13" ht="15.75" customHeight="1" x14ac:dyDescent="0.2">
      <c r="M769" s="14"/>
    </row>
    <row r="770" spans="13:13" ht="15.75" customHeight="1" x14ac:dyDescent="0.2">
      <c r="M770" s="14"/>
    </row>
    <row r="771" spans="13:13" ht="15.75" customHeight="1" x14ac:dyDescent="0.2">
      <c r="M771" s="14"/>
    </row>
    <row r="772" spans="13:13" ht="15.75" customHeight="1" x14ac:dyDescent="0.2">
      <c r="M772" s="14"/>
    </row>
    <row r="773" spans="13:13" ht="15.75" customHeight="1" x14ac:dyDescent="0.2">
      <c r="M773" s="14"/>
    </row>
    <row r="774" spans="13:13" ht="15.75" customHeight="1" x14ac:dyDescent="0.2">
      <c r="M774" s="14"/>
    </row>
    <row r="775" spans="13:13" ht="15.75" customHeight="1" x14ac:dyDescent="0.2">
      <c r="M775" s="14"/>
    </row>
    <row r="776" spans="13:13" ht="15.75" customHeight="1" x14ac:dyDescent="0.2">
      <c r="M776" s="14"/>
    </row>
    <row r="777" spans="13:13" ht="15.75" customHeight="1" x14ac:dyDescent="0.2">
      <c r="M777" s="14"/>
    </row>
    <row r="778" spans="13:13" ht="15.75" customHeight="1" x14ac:dyDescent="0.2">
      <c r="M778" s="14"/>
    </row>
    <row r="779" spans="13:13" ht="15.75" customHeight="1" x14ac:dyDescent="0.2">
      <c r="M779" s="14"/>
    </row>
    <row r="780" spans="13:13" ht="15.75" customHeight="1" x14ac:dyDescent="0.2">
      <c r="M780" s="14"/>
    </row>
    <row r="781" spans="13:13" ht="15.75" customHeight="1" x14ac:dyDescent="0.2">
      <c r="M781" s="14"/>
    </row>
    <row r="782" spans="13:13" ht="15.75" customHeight="1" x14ac:dyDescent="0.2">
      <c r="M782" s="14"/>
    </row>
    <row r="783" spans="13:13" ht="15.75" customHeight="1" x14ac:dyDescent="0.2">
      <c r="M783" s="14"/>
    </row>
    <row r="784" spans="13:13" ht="15.75" customHeight="1" x14ac:dyDescent="0.2">
      <c r="M784" s="14"/>
    </row>
    <row r="785" spans="13:13" ht="15.75" customHeight="1" x14ac:dyDescent="0.2">
      <c r="M785" s="14"/>
    </row>
    <row r="786" spans="13:13" ht="15.75" customHeight="1" x14ac:dyDescent="0.2">
      <c r="M786" s="14"/>
    </row>
    <row r="787" spans="13:13" ht="15.75" customHeight="1" x14ac:dyDescent="0.2">
      <c r="M787" s="14"/>
    </row>
    <row r="788" spans="13:13" ht="15.75" customHeight="1" x14ac:dyDescent="0.2">
      <c r="M788" s="14"/>
    </row>
    <row r="789" spans="13:13" ht="15.75" customHeight="1" x14ac:dyDescent="0.2">
      <c r="M789" s="14"/>
    </row>
    <row r="790" spans="13:13" ht="15.75" customHeight="1" x14ac:dyDescent="0.2">
      <c r="M790" s="14"/>
    </row>
    <row r="791" spans="13:13" ht="15.75" customHeight="1" x14ac:dyDescent="0.2">
      <c r="M791" s="14"/>
    </row>
    <row r="792" spans="13:13" ht="15.75" customHeight="1" x14ac:dyDescent="0.2">
      <c r="M792" s="14"/>
    </row>
    <row r="793" spans="13:13" ht="15.75" customHeight="1" x14ac:dyDescent="0.2">
      <c r="M793" s="14"/>
    </row>
    <row r="794" spans="13:13" ht="15.75" customHeight="1" x14ac:dyDescent="0.2">
      <c r="M794" s="14"/>
    </row>
    <row r="795" spans="13:13" ht="15.75" customHeight="1" x14ac:dyDescent="0.2">
      <c r="M795" s="14"/>
    </row>
    <row r="796" spans="13:13" ht="15.75" customHeight="1" x14ac:dyDescent="0.2">
      <c r="M796" s="14"/>
    </row>
    <row r="797" spans="13:13" ht="15.75" customHeight="1" x14ac:dyDescent="0.2">
      <c r="M797" s="14"/>
    </row>
    <row r="798" spans="13:13" ht="15.75" customHeight="1" x14ac:dyDescent="0.2">
      <c r="M798" s="14"/>
    </row>
    <row r="799" spans="13:13" ht="15.75" customHeight="1" x14ac:dyDescent="0.2">
      <c r="M799" s="14"/>
    </row>
    <row r="800" spans="13:13" ht="15.75" customHeight="1" x14ac:dyDescent="0.2">
      <c r="M800" s="14"/>
    </row>
    <row r="801" spans="13:13" ht="15.75" customHeight="1" x14ac:dyDescent="0.2">
      <c r="M801" s="14"/>
    </row>
    <row r="802" spans="13:13" ht="15.75" customHeight="1" x14ac:dyDescent="0.2">
      <c r="M802" s="14"/>
    </row>
    <row r="803" spans="13:13" ht="15.75" customHeight="1" x14ac:dyDescent="0.2">
      <c r="M803" s="14"/>
    </row>
    <row r="804" spans="13:13" ht="15.75" customHeight="1" x14ac:dyDescent="0.2">
      <c r="M804" s="14"/>
    </row>
    <row r="805" spans="13:13" ht="15.75" customHeight="1" x14ac:dyDescent="0.2">
      <c r="M805" s="14"/>
    </row>
    <row r="806" spans="13:13" ht="15.75" customHeight="1" x14ac:dyDescent="0.2">
      <c r="M806" s="14"/>
    </row>
    <row r="807" spans="13:13" ht="15.75" customHeight="1" x14ac:dyDescent="0.2">
      <c r="M807" s="14"/>
    </row>
    <row r="808" spans="13:13" ht="15.75" customHeight="1" x14ac:dyDescent="0.2">
      <c r="M808" s="14"/>
    </row>
    <row r="809" spans="13:13" ht="15.75" customHeight="1" x14ac:dyDescent="0.2">
      <c r="M809" s="14"/>
    </row>
    <row r="810" spans="13:13" ht="15.75" customHeight="1" x14ac:dyDescent="0.2">
      <c r="M810" s="14"/>
    </row>
    <row r="811" spans="13:13" ht="15.75" customHeight="1" x14ac:dyDescent="0.2">
      <c r="M811" s="14"/>
    </row>
    <row r="812" spans="13:13" ht="15.75" customHeight="1" x14ac:dyDescent="0.2">
      <c r="M812" s="14"/>
    </row>
    <row r="813" spans="13:13" ht="15.75" customHeight="1" x14ac:dyDescent="0.2">
      <c r="M813" s="14"/>
    </row>
    <row r="814" spans="13:13" ht="15.75" customHeight="1" x14ac:dyDescent="0.2">
      <c r="M814" s="14"/>
    </row>
    <row r="815" spans="13:13" ht="15.75" customHeight="1" x14ac:dyDescent="0.2">
      <c r="M815" s="14"/>
    </row>
    <row r="816" spans="13:13" ht="15.75" customHeight="1" x14ac:dyDescent="0.2">
      <c r="M816" s="14"/>
    </row>
    <row r="817" spans="13:13" ht="15.75" customHeight="1" x14ac:dyDescent="0.2">
      <c r="M817" s="14"/>
    </row>
    <row r="818" spans="13:13" ht="15.75" customHeight="1" x14ac:dyDescent="0.2">
      <c r="M818" s="14"/>
    </row>
    <row r="819" spans="13:13" ht="15.75" customHeight="1" x14ac:dyDescent="0.2">
      <c r="M819" s="14"/>
    </row>
    <row r="820" spans="13:13" ht="15.75" customHeight="1" x14ac:dyDescent="0.2">
      <c r="M820" s="14"/>
    </row>
    <row r="821" spans="13:13" ht="15.75" customHeight="1" x14ac:dyDescent="0.2">
      <c r="M821" s="14"/>
    </row>
    <row r="822" spans="13:13" ht="15.75" customHeight="1" x14ac:dyDescent="0.2">
      <c r="M822" s="14"/>
    </row>
    <row r="823" spans="13:13" ht="15.75" customHeight="1" x14ac:dyDescent="0.2">
      <c r="M823" s="14"/>
    </row>
    <row r="824" spans="13:13" ht="15.75" customHeight="1" x14ac:dyDescent="0.2">
      <c r="M824" s="14"/>
    </row>
    <row r="825" spans="13:13" ht="15.75" customHeight="1" x14ac:dyDescent="0.2">
      <c r="M825" s="14"/>
    </row>
    <row r="826" spans="13:13" ht="15.75" customHeight="1" x14ac:dyDescent="0.2">
      <c r="M826" s="14"/>
    </row>
    <row r="827" spans="13:13" ht="15.75" customHeight="1" x14ac:dyDescent="0.2">
      <c r="M827" s="14"/>
    </row>
    <row r="828" spans="13:13" ht="15.75" customHeight="1" x14ac:dyDescent="0.2">
      <c r="M828" s="14"/>
    </row>
    <row r="829" spans="13:13" ht="15.75" customHeight="1" x14ac:dyDescent="0.2">
      <c r="M829" s="14"/>
    </row>
    <row r="830" spans="13:13" ht="15.75" customHeight="1" x14ac:dyDescent="0.2">
      <c r="M830" s="14"/>
    </row>
    <row r="831" spans="13:13" ht="15.75" customHeight="1" x14ac:dyDescent="0.2">
      <c r="M831" s="14"/>
    </row>
    <row r="832" spans="13:13" ht="15.75" customHeight="1" x14ac:dyDescent="0.2">
      <c r="M832" s="14"/>
    </row>
    <row r="833" spans="13:13" ht="15.75" customHeight="1" x14ac:dyDescent="0.2">
      <c r="M833" s="14"/>
    </row>
    <row r="834" spans="13:13" ht="15.75" customHeight="1" x14ac:dyDescent="0.2">
      <c r="M834" s="14"/>
    </row>
    <row r="835" spans="13:13" ht="15.75" customHeight="1" x14ac:dyDescent="0.2">
      <c r="M835" s="14"/>
    </row>
    <row r="836" spans="13:13" ht="15.75" customHeight="1" x14ac:dyDescent="0.2">
      <c r="M836" s="14"/>
    </row>
    <row r="837" spans="13:13" ht="15.75" customHeight="1" x14ac:dyDescent="0.2">
      <c r="M837" s="14"/>
    </row>
    <row r="838" spans="13:13" ht="15.75" customHeight="1" x14ac:dyDescent="0.2">
      <c r="M838" s="14"/>
    </row>
    <row r="839" spans="13:13" ht="15.75" customHeight="1" x14ac:dyDescent="0.2">
      <c r="M839" s="14"/>
    </row>
    <row r="840" spans="13:13" ht="15.75" customHeight="1" x14ac:dyDescent="0.2">
      <c r="M840" s="14"/>
    </row>
    <row r="841" spans="13:13" ht="15.75" customHeight="1" x14ac:dyDescent="0.2">
      <c r="M841" s="14"/>
    </row>
    <row r="842" spans="13:13" ht="15.75" customHeight="1" x14ac:dyDescent="0.2">
      <c r="M842" s="14"/>
    </row>
    <row r="843" spans="13:13" ht="15.75" customHeight="1" x14ac:dyDescent="0.2">
      <c r="M843" s="14"/>
    </row>
    <row r="844" spans="13:13" ht="15.75" customHeight="1" x14ac:dyDescent="0.2">
      <c r="M844" s="14"/>
    </row>
    <row r="845" spans="13:13" ht="15.75" customHeight="1" x14ac:dyDescent="0.2">
      <c r="M845" s="14"/>
    </row>
    <row r="846" spans="13:13" ht="15.75" customHeight="1" x14ac:dyDescent="0.2">
      <c r="M846" s="14"/>
    </row>
    <row r="847" spans="13:13" ht="15.75" customHeight="1" x14ac:dyDescent="0.2">
      <c r="M847" s="14"/>
    </row>
    <row r="848" spans="13:13" ht="15.75" customHeight="1" x14ac:dyDescent="0.2">
      <c r="M848" s="14"/>
    </row>
    <row r="849" spans="13:13" ht="15.75" customHeight="1" x14ac:dyDescent="0.2">
      <c r="M849" s="14"/>
    </row>
    <row r="850" spans="13:13" ht="15.75" customHeight="1" x14ac:dyDescent="0.2">
      <c r="M850" s="14"/>
    </row>
    <row r="851" spans="13:13" ht="15.75" customHeight="1" x14ac:dyDescent="0.2">
      <c r="M851" s="14"/>
    </row>
    <row r="852" spans="13:13" ht="15.75" customHeight="1" x14ac:dyDescent="0.2">
      <c r="M852" s="14"/>
    </row>
    <row r="853" spans="13:13" ht="15.75" customHeight="1" x14ac:dyDescent="0.2">
      <c r="M853" s="14"/>
    </row>
    <row r="854" spans="13:13" ht="15.75" customHeight="1" x14ac:dyDescent="0.2">
      <c r="M854" s="14"/>
    </row>
    <row r="855" spans="13:13" ht="15.75" customHeight="1" x14ac:dyDescent="0.2">
      <c r="M855" s="14"/>
    </row>
    <row r="856" spans="13:13" ht="15.75" customHeight="1" x14ac:dyDescent="0.2">
      <c r="M856" s="14"/>
    </row>
    <row r="857" spans="13:13" ht="15.75" customHeight="1" x14ac:dyDescent="0.2">
      <c r="M857" s="14"/>
    </row>
    <row r="858" spans="13:13" ht="15.75" customHeight="1" x14ac:dyDescent="0.2">
      <c r="M858" s="14"/>
    </row>
    <row r="859" spans="13:13" ht="15.75" customHeight="1" x14ac:dyDescent="0.2">
      <c r="M859" s="14"/>
    </row>
    <row r="860" spans="13:13" ht="15.75" customHeight="1" x14ac:dyDescent="0.2">
      <c r="M860" s="14"/>
    </row>
    <row r="861" spans="13:13" ht="15.75" customHeight="1" x14ac:dyDescent="0.2">
      <c r="M861" s="14"/>
    </row>
    <row r="862" spans="13:13" ht="15.75" customHeight="1" x14ac:dyDescent="0.2">
      <c r="M862" s="14"/>
    </row>
    <row r="863" spans="13:13" ht="15.75" customHeight="1" x14ac:dyDescent="0.2">
      <c r="M863" s="14"/>
    </row>
    <row r="864" spans="13:13" ht="15.75" customHeight="1" x14ac:dyDescent="0.2">
      <c r="M864" s="14"/>
    </row>
    <row r="865" spans="13:13" ht="15.75" customHeight="1" x14ac:dyDescent="0.2">
      <c r="M865" s="14"/>
    </row>
    <row r="866" spans="13:13" ht="15.75" customHeight="1" x14ac:dyDescent="0.2">
      <c r="M866" s="14"/>
    </row>
    <row r="867" spans="13:13" ht="15.75" customHeight="1" x14ac:dyDescent="0.2">
      <c r="M867" s="14"/>
    </row>
    <row r="868" spans="13:13" ht="15.75" customHeight="1" x14ac:dyDescent="0.2">
      <c r="M868" s="14"/>
    </row>
    <row r="869" spans="13:13" ht="15.75" customHeight="1" x14ac:dyDescent="0.2">
      <c r="M869" s="14"/>
    </row>
    <row r="870" spans="13:13" ht="15.75" customHeight="1" x14ac:dyDescent="0.2">
      <c r="M870" s="14"/>
    </row>
    <row r="871" spans="13:13" ht="15.75" customHeight="1" x14ac:dyDescent="0.2">
      <c r="M871" s="14"/>
    </row>
    <row r="872" spans="13:13" ht="15.75" customHeight="1" x14ac:dyDescent="0.2">
      <c r="M872" s="14"/>
    </row>
    <row r="873" spans="13:13" ht="15.75" customHeight="1" x14ac:dyDescent="0.2">
      <c r="M873" s="14"/>
    </row>
    <row r="874" spans="13:13" ht="15.75" customHeight="1" x14ac:dyDescent="0.2">
      <c r="M874" s="14"/>
    </row>
    <row r="875" spans="13:13" ht="15.75" customHeight="1" x14ac:dyDescent="0.2">
      <c r="M875" s="14"/>
    </row>
    <row r="876" spans="13:13" ht="15.75" customHeight="1" x14ac:dyDescent="0.2">
      <c r="M876" s="14"/>
    </row>
    <row r="877" spans="13:13" ht="15.75" customHeight="1" x14ac:dyDescent="0.2">
      <c r="M877" s="14"/>
    </row>
    <row r="878" spans="13:13" ht="15.75" customHeight="1" x14ac:dyDescent="0.2">
      <c r="M878" s="14"/>
    </row>
    <row r="879" spans="13:13" ht="15.75" customHeight="1" x14ac:dyDescent="0.2">
      <c r="M879" s="14"/>
    </row>
    <row r="880" spans="13:13" ht="15.75" customHeight="1" x14ac:dyDescent="0.2">
      <c r="M880" s="14"/>
    </row>
    <row r="881" spans="13:13" ht="15.75" customHeight="1" x14ac:dyDescent="0.2">
      <c r="M881" s="14"/>
    </row>
    <row r="882" spans="13:13" ht="15.75" customHeight="1" x14ac:dyDescent="0.2">
      <c r="M882" s="14"/>
    </row>
    <row r="883" spans="13:13" ht="15.75" customHeight="1" x14ac:dyDescent="0.2">
      <c r="M883" s="14"/>
    </row>
    <row r="884" spans="13:13" ht="15.75" customHeight="1" x14ac:dyDescent="0.2">
      <c r="M884" s="14"/>
    </row>
    <row r="885" spans="13:13" ht="15.75" customHeight="1" x14ac:dyDescent="0.2">
      <c r="M885" s="14"/>
    </row>
    <row r="886" spans="13:13" ht="15.75" customHeight="1" x14ac:dyDescent="0.2">
      <c r="M886" s="14"/>
    </row>
    <row r="887" spans="13:13" ht="15.75" customHeight="1" x14ac:dyDescent="0.2">
      <c r="M887" s="14"/>
    </row>
    <row r="888" spans="13:13" ht="15.75" customHeight="1" x14ac:dyDescent="0.2">
      <c r="M888" s="14"/>
    </row>
    <row r="889" spans="13:13" ht="15.75" customHeight="1" x14ac:dyDescent="0.2">
      <c r="M889" s="14"/>
    </row>
    <row r="890" spans="13:13" ht="15.75" customHeight="1" x14ac:dyDescent="0.2">
      <c r="M890" s="14"/>
    </row>
    <row r="891" spans="13:13" ht="15.75" customHeight="1" x14ac:dyDescent="0.2">
      <c r="M891" s="14"/>
    </row>
    <row r="892" spans="13:13" ht="15.75" customHeight="1" x14ac:dyDescent="0.2">
      <c r="M892" s="14"/>
    </row>
    <row r="893" spans="13:13" ht="15.75" customHeight="1" x14ac:dyDescent="0.2">
      <c r="M893" s="14"/>
    </row>
    <row r="894" spans="13:13" ht="15.75" customHeight="1" x14ac:dyDescent="0.2">
      <c r="M894" s="14"/>
    </row>
    <row r="895" spans="13:13" ht="15.75" customHeight="1" x14ac:dyDescent="0.2">
      <c r="M895" s="14"/>
    </row>
    <row r="896" spans="13:13" ht="15.75" customHeight="1" x14ac:dyDescent="0.2">
      <c r="M896" s="14"/>
    </row>
    <row r="897" spans="13:13" ht="15.75" customHeight="1" x14ac:dyDescent="0.2">
      <c r="M897" s="14"/>
    </row>
    <row r="898" spans="13:13" ht="15.75" customHeight="1" x14ac:dyDescent="0.2">
      <c r="M898" s="14"/>
    </row>
    <row r="899" spans="13:13" ht="15.75" customHeight="1" x14ac:dyDescent="0.2">
      <c r="M899" s="14"/>
    </row>
    <row r="900" spans="13:13" ht="15.75" customHeight="1" x14ac:dyDescent="0.2">
      <c r="M900" s="14"/>
    </row>
    <row r="901" spans="13:13" ht="15.75" customHeight="1" x14ac:dyDescent="0.2">
      <c r="M901" s="14"/>
    </row>
    <row r="902" spans="13:13" ht="15.75" customHeight="1" x14ac:dyDescent="0.2">
      <c r="M902" s="14"/>
    </row>
    <row r="903" spans="13:13" ht="15.75" customHeight="1" x14ac:dyDescent="0.2">
      <c r="M903" s="14"/>
    </row>
    <row r="904" spans="13:13" ht="15.75" customHeight="1" x14ac:dyDescent="0.2">
      <c r="M904" s="14"/>
    </row>
    <row r="905" spans="13:13" ht="15.75" customHeight="1" x14ac:dyDescent="0.2">
      <c r="M905" s="14"/>
    </row>
    <row r="906" spans="13:13" ht="15.75" customHeight="1" x14ac:dyDescent="0.2">
      <c r="M906" s="14"/>
    </row>
    <row r="907" spans="13:13" ht="15.75" customHeight="1" x14ac:dyDescent="0.2">
      <c r="M907" s="14"/>
    </row>
    <row r="908" spans="13:13" ht="15.75" customHeight="1" x14ac:dyDescent="0.2">
      <c r="M908" s="14"/>
    </row>
    <row r="909" spans="13:13" ht="15.75" customHeight="1" x14ac:dyDescent="0.2">
      <c r="M909" s="14"/>
    </row>
    <row r="910" spans="13:13" ht="15.75" customHeight="1" x14ac:dyDescent="0.2">
      <c r="M910" s="14"/>
    </row>
    <row r="911" spans="13:13" ht="15.75" customHeight="1" x14ac:dyDescent="0.2">
      <c r="M911" s="14"/>
    </row>
    <row r="912" spans="13:13" ht="15.75" customHeight="1" x14ac:dyDescent="0.2">
      <c r="M912" s="14"/>
    </row>
    <row r="913" spans="13:13" ht="15.75" customHeight="1" x14ac:dyDescent="0.2">
      <c r="M913" s="14"/>
    </row>
    <row r="914" spans="13:13" ht="15.75" customHeight="1" x14ac:dyDescent="0.2">
      <c r="M914" s="14"/>
    </row>
    <row r="915" spans="13:13" ht="15.75" customHeight="1" x14ac:dyDescent="0.2">
      <c r="M915" s="14"/>
    </row>
    <row r="916" spans="13:13" ht="15.75" customHeight="1" x14ac:dyDescent="0.2">
      <c r="M916" s="14"/>
    </row>
    <row r="917" spans="13:13" ht="15.75" customHeight="1" x14ac:dyDescent="0.2">
      <c r="M917" s="14"/>
    </row>
    <row r="918" spans="13:13" ht="15.75" customHeight="1" x14ac:dyDescent="0.2">
      <c r="M918" s="14"/>
    </row>
    <row r="919" spans="13:13" ht="15.75" customHeight="1" x14ac:dyDescent="0.2">
      <c r="M919" s="14"/>
    </row>
    <row r="920" spans="13:13" ht="15.75" customHeight="1" x14ac:dyDescent="0.2">
      <c r="M920" s="14"/>
    </row>
    <row r="921" spans="13:13" ht="15.75" customHeight="1" x14ac:dyDescent="0.2">
      <c r="M921" s="14"/>
    </row>
    <row r="922" spans="13:13" ht="15.75" customHeight="1" x14ac:dyDescent="0.2">
      <c r="M922" s="14"/>
    </row>
    <row r="923" spans="13:13" ht="15.75" customHeight="1" x14ac:dyDescent="0.2">
      <c r="M923" s="14"/>
    </row>
    <row r="924" spans="13:13" ht="15.75" customHeight="1" x14ac:dyDescent="0.2">
      <c r="M924" s="14"/>
    </row>
    <row r="925" spans="13:13" ht="15.75" customHeight="1" x14ac:dyDescent="0.2">
      <c r="M925" s="14"/>
    </row>
    <row r="926" spans="13:13" ht="15.75" customHeight="1" x14ac:dyDescent="0.2">
      <c r="M926" s="14"/>
    </row>
    <row r="927" spans="13:13" ht="15.75" customHeight="1" x14ac:dyDescent="0.2">
      <c r="M927" s="14"/>
    </row>
    <row r="928" spans="13:13" ht="15.75" customHeight="1" x14ac:dyDescent="0.2">
      <c r="M928" s="14"/>
    </row>
    <row r="929" spans="13:13" ht="15.75" customHeight="1" x14ac:dyDescent="0.2">
      <c r="M929" s="14"/>
    </row>
    <row r="930" spans="13:13" ht="15.75" customHeight="1" x14ac:dyDescent="0.2">
      <c r="M930" s="14"/>
    </row>
    <row r="931" spans="13:13" ht="15.75" customHeight="1" x14ac:dyDescent="0.2">
      <c r="M931" s="14"/>
    </row>
    <row r="932" spans="13:13" ht="15.75" customHeight="1" x14ac:dyDescent="0.2">
      <c r="M932" s="14"/>
    </row>
    <row r="933" spans="13:13" ht="15.75" customHeight="1" x14ac:dyDescent="0.2">
      <c r="M933" s="14"/>
    </row>
    <row r="934" spans="13:13" ht="15.75" customHeight="1" x14ac:dyDescent="0.2">
      <c r="M934" s="14"/>
    </row>
    <row r="935" spans="13:13" ht="15.75" customHeight="1" x14ac:dyDescent="0.2">
      <c r="M935" s="14"/>
    </row>
    <row r="936" spans="13:13" ht="15.75" customHeight="1" x14ac:dyDescent="0.2">
      <c r="M936" s="14"/>
    </row>
    <row r="937" spans="13:13" ht="15.75" customHeight="1" x14ac:dyDescent="0.2">
      <c r="M937" s="14"/>
    </row>
    <row r="938" spans="13:13" ht="15.75" customHeight="1" x14ac:dyDescent="0.2">
      <c r="M938" s="14"/>
    </row>
    <row r="939" spans="13:13" ht="15.75" customHeight="1" x14ac:dyDescent="0.2">
      <c r="M939" s="14"/>
    </row>
    <row r="940" spans="13:13" ht="15.75" customHeight="1" x14ac:dyDescent="0.2">
      <c r="M940" s="14"/>
    </row>
    <row r="941" spans="13:13" ht="15.75" customHeight="1" x14ac:dyDescent="0.2">
      <c r="M941" s="14"/>
    </row>
    <row r="942" spans="13:13" ht="15.75" customHeight="1" x14ac:dyDescent="0.2">
      <c r="M942" s="14"/>
    </row>
    <row r="943" spans="13:13" ht="15.75" customHeight="1" x14ac:dyDescent="0.2">
      <c r="M943" s="14"/>
    </row>
    <row r="944" spans="13:13" ht="15.75" customHeight="1" x14ac:dyDescent="0.2">
      <c r="M944" s="14"/>
    </row>
    <row r="945" spans="13:13" ht="15.75" customHeight="1" x14ac:dyDescent="0.2">
      <c r="M945" s="14"/>
    </row>
    <row r="946" spans="13:13" ht="15.75" customHeight="1" x14ac:dyDescent="0.2">
      <c r="M946" s="14"/>
    </row>
    <row r="947" spans="13:13" ht="15.75" customHeight="1" x14ac:dyDescent="0.2">
      <c r="M947" s="14"/>
    </row>
    <row r="948" spans="13:13" ht="15.75" customHeight="1" x14ac:dyDescent="0.2">
      <c r="M948" s="14"/>
    </row>
    <row r="949" spans="13:13" ht="15.75" customHeight="1" x14ac:dyDescent="0.2">
      <c r="M949" s="14"/>
    </row>
    <row r="950" spans="13:13" ht="15.75" customHeight="1" x14ac:dyDescent="0.2">
      <c r="M950" s="14"/>
    </row>
    <row r="951" spans="13:13" ht="15.75" customHeight="1" x14ac:dyDescent="0.2">
      <c r="M951" s="14"/>
    </row>
    <row r="952" spans="13:13" ht="15.75" customHeight="1" x14ac:dyDescent="0.2">
      <c r="M952" s="14"/>
    </row>
    <row r="953" spans="13:13" ht="15.75" customHeight="1" x14ac:dyDescent="0.2">
      <c r="M953" s="14"/>
    </row>
    <row r="954" spans="13:13" ht="15.75" customHeight="1" x14ac:dyDescent="0.2">
      <c r="M954" s="14"/>
    </row>
    <row r="955" spans="13:13" ht="15.75" customHeight="1" x14ac:dyDescent="0.2">
      <c r="M955" s="14"/>
    </row>
    <row r="956" spans="13:13" ht="15.75" customHeight="1" x14ac:dyDescent="0.2">
      <c r="M956" s="14"/>
    </row>
    <row r="957" spans="13:13" ht="15.75" customHeight="1" x14ac:dyDescent="0.2">
      <c r="M957" s="14"/>
    </row>
    <row r="958" spans="13:13" ht="15.75" customHeight="1" x14ac:dyDescent="0.2">
      <c r="M958" s="14"/>
    </row>
    <row r="959" spans="13:13" ht="15.75" customHeight="1" x14ac:dyDescent="0.2">
      <c r="M959" s="14"/>
    </row>
    <row r="960" spans="13:13" ht="15.75" customHeight="1" x14ac:dyDescent="0.2">
      <c r="M960" s="14"/>
    </row>
    <row r="961" spans="13:13" ht="15.75" customHeight="1" x14ac:dyDescent="0.2">
      <c r="M961" s="14"/>
    </row>
    <row r="962" spans="13:13" ht="15.75" customHeight="1" x14ac:dyDescent="0.2">
      <c r="M962" s="14"/>
    </row>
    <row r="963" spans="13:13" ht="15.75" customHeight="1" x14ac:dyDescent="0.2">
      <c r="M963" s="14"/>
    </row>
    <row r="964" spans="13:13" ht="15.75" customHeight="1" x14ac:dyDescent="0.2">
      <c r="M964" s="14"/>
    </row>
    <row r="965" spans="13:13" ht="15.75" customHeight="1" x14ac:dyDescent="0.2">
      <c r="M965" s="14"/>
    </row>
    <row r="966" spans="13:13" ht="15.75" customHeight="1" x14ac:dyDescent="0.2">
      <c r="M966" s="14"/>
    </row>
    <row r="967" spans="13:13" ht="15.75" customHeight="1" x14ac:dyDescent="0.2">
      <c r="M967" s="14"/>
    </row>
    <row r="968" spans="13:13" ht="15.75" customHeight="1" x14ac:dyDescent="0.2">
      <c r="M968" s="14"/>
    </row>
    <row r="969" spans="13:13" ht="15.75" customHeight="1" x14ac:dyDescent="0.2">
      <c r="M969" s="14"/>
    </row>
    <row r="970" spans="13:13" ht="15.75" customHeight="1" x14ac:dyDescent="0.2">
      <c r="M970" s="14"/>
    </row>
    <row r="971" spans="13:13" ht="15.75" customHeight="1" x14ac:dyDescent="0.2">
      <c r="M971" s="14"/>
    </row>
    <row r="972" spans="13:13" ht="15.75" customHeight="1" x14ac:dyDescent="0.2">
      <c r="M972" s="14"/>
    </row>
    <row r="973" spans="13:13" ht="15.75" customHeight="1" x14ac:dyDescent="0.2">
      <c r="M973" s="14"/>
    </row>
    <row r="974" spans="13:13" ht="15.75" customHeight="1" x14ac:dyDescent="0.2">
      <c r="M974" s="14"/>
    </row>
    <row r="975" spans="13:13" ht="15.75" customHeight="1" x14ac:dyDescent="0.2">
      <c r="M975" s="14"/>
    </row>
    <row r="976" spans="13:13" ht="15.75" customHeight="1" x14ac:dyDescent="0.2">
      <c r="M976" s="14"/>
    </row>
    <row r="977" spans="13:13" ht="15.75" customHeight="1" x14ac:dyDescent="0.2">
      <c r="M977" s="14"/>
    </row>
    <row r="978" spans="13:13" ht="15.75" customHeight="1" x14ac:dyDescent="0.2">
      <c r="M978" s="14"/>
    </row>
    <row r="979" spans="13:13" ht="15.75" customHeight="1" x14ac:dyDescent="0.2">
      <c r="M979" s="14"/>
    </row>
    <row r="980" spans="13:13" ht="15.75" customHeight="1" x14ac:dyDescent="0.2">
      <c r="M980" s="14"/>
    </row>
    <row r="981" spans="13:13" ht="15.75" customHeight="1" x14ac:dyDescent="0.2">
      <c r="M981" s="14"/>
    </row>
    <row r="982" spans="13:13" ht="15.75" customHeight="1" x14ac:dyDescent="0.2">
      <c r="M982" s="14"/>
    </row>
    <row r="983" spans="13:13" ht="15.75" customHeight="1" x14ac:dyDescent="0.2">
      <c r="M983" s="14"/>
    </row>
    <row r="984" spans="13:13" ht="15.75" customHeight="1" x14ac:dyDescent="0.2">
      <c r="M984" s="14"/>
    </row>
    <row r="985" spans="13:13" ht="15.75" customHeight="1" x14ac:dyDescent="0.2">
      <c r="M985" s="14"/>
    </row>
    <row r="986" spans="13:13" ht="15.75" customHeight="1" x14ac:dyDescent="0.2">
      <c r="M986" s="14"/>
    </row>
    <row r="987" spans="13:13" ht="15.75" customHeight="1" x14ac:dyDescent="0.2">
      <c r="M987" s="14"/>
    </row>
    <row r="988" spans="13:13" ht="15.75" customHeight="1" x14ac:dyDescent="0.2">
      <c r="M988" s="14"/>
    </row>
    <row r="989" spans="13:13" ht="15.75" customHeight="1" x14ac:dyDescent="0.2">
      <c r="M989" s="14"/>
    </row>
    <row r="990" spans="13:13" ht="15.75" customHeight="1" x14ac:dyDescent="0.2">
      <c r="M990" s="14"/>
    </row>
    <row r="991" spans="13:13" ht="15.75" customHeight="1" x14ac:dyDescent="0.2">
      <c r="M991" s="14"/>
    </row>
    <row r="992" spans="13:13" ht="15.75" customHeight="1" x14ac:dyDescent="0.2">
      <c r="M992" s="14"/>
    </row>
    <row r="993" spans="13:13" ht="15.75" customHeight="1" x14ac:dyDescent="0.2">
      <c r="M993" s="14"/>
    </row>
    <row r="994" spans="13:13" ht="15.75" customHeight="1" x14ac:dyDescent="0.2">
      <c r="M994" s="14"/>
    </row>
    <row r="995" spans="13:13" ht="15.75" customHeight="1" x14ac:dyDescent="0.2">
      <c r="M995" s="14"/>
    </row>
    <row r="996" spans="13:13" ht="15.75" customHeight="1" x14ac:dyDescent="0.2">
      <c r="M996" s="14"/>
    </row>
    <row r="997" spans="13:13" ht="15.75" customHeight="1" x14ac:dyDescent="0.2">
      <c r="M997" s="14"/>
    </row>
    <row r="998" spans="13:13" ht="15.75" customHeight="1" x14ac:dyDescent="0.2">
      <c r="M998" s="14"/>
    </row>
    <row r="999" spans="13:13" ht="15.75" customHeight="1" x14ac:dyDescent="0.2">
      <c r="M999" s="14"/>
    </row>
    <row r="1000" spans="13:13" ht="15.75" customHeight="1" x14ac:dyDescent="0.2">
      <c r="M1000" s="14"/>
    </row>
  </sheetData>
  <autoFilter ref="A1:T166" xr:uid="{00000000-0009-0000-0000-00000F000000}">
    <filterColumn colId="2">
      <filters>
        <filter val="Apologetics I"/>
        <filter val="Apologetics II"/>
        <filter val="Biology Apologia"/>
      </filters>
    </filterColumn>
  </autoFilter>
  <pageMargins left="0.7" right="0.7" top="0.75" bottom="0.75" header="0" footer="0"/>
  <pageSetup paperSize="9"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tabColor rgb="FF548135"/>
  </sheetPr>
  <dimension ref="A1:J1400"/>
  <sheetViews>
    <sheetView zoomScale="150" workbookViewId="0">
      <pane xSplit="3" ySplit="1" topLeftCell="D1300" activePane="bottomRight" state="frozen"/>
      <selection pane="topRight" activeCell="D1" sqref="D1"/>
      <selection pane="bottomLeft" activeCell="A2" sqref="A2"/>
      <selection pane="bottomRight" activeCell="C1400" sqref="C1400"/>
    </sheetView>
  </sheetViews>
  <sheetFormatPr baseColWidth="10" defaultColWidth="14.5" defaultRowHeight="15" customHeight="1" x14ac:dyDescent="0.2"/>
  <cols>
    <col min="1" max="1" width="5.33203125" customWidth="1"/>
    <col min="2" max="2" width="12.5" customWidth="1"/>
    <col min="3" max="3" width="10.6640625" customWidth="1"/>
    <col min="4" max="4" width="42.6640625" customWidth="1"/>
    <col min="5" max="5" width="11.6640625" customWidth="1"/>
    <col min="6" max="6" width="12.6640625" customWidth="1"/>
    <col min="7" max="7" width="16.6640625" customWidth="1"/>
    <col min="8" max="8" width="16.1640625" customWidth="1"/>
    <col min="9" max="26" width="8.83203125" customWidth="1"/>
  </cols>
  <sheetData>
    <row r="1" spans="1:10" x14ac:dyDescent="0.2">
      <c r="A1" s="1" t="s">
        <v>56</v>
      </c>
      <c r="B1" s="1" t="s">
        <v>739</v>
      </c>
      <c r="C1" s="1" t="s">
        <v>740</v>
      </c>
      <c r="D1" s="1" t="s">
        <v>741</v>
      </c>
      <c r="E1" s="1" t="s">
        <v>742</v>
      </c>
      <c r="F1" s="1" t="s">
        <v>743</v>
      </c>
      <c r="G1" s="1" t="s">
        <v>744</v>
      </c>
      <c r="H1" s="20" t="s">
        <v>745</v>
      </c>
      <c r="I1" s="1" t="s">
        <v>677</v>
      </c>
      <c r="J1" s="1" t="s">
        <v>252</v>
      </c>
    </row>
    <row r="2" spans="1:10" hidden="1" x14ac:dyDescent="0.2">
      <c r="A2" s="11">
        <v>1</v>
      </c>
      <c r="B2" s="2">
        <v>1</v>
      </c>
      <c r="C2" s="2">
        <v>1</v>
      </c>
      <c r="D2" s="2">
        <f>VLOOKUP(C2,Course!$A$1:$C$229, 2, FALSE)</f>
        <v>0</v>
      </c>
      <c r="E2" s="2">
        <v>2</v>
      </c>
      <c r="F2" s="2" t="s">
        <v>746</v>
      </c>
      <c r="G2" s="2">
        <v>1</v>
      </c>
      <c r="H2" s="21">
        <v>0.8</v>
      </c>
      <c r="I2" s="2">
        <v>1</v>
      </c>
    </row>
    <row r="3" spans="1:10" hidden="1" x14ac:dyDescent="0.2">
      <c r="A3" s="11">
        <v>2</v>
      </c>
      <c r="B3" s="2">
        <v>2</v>
      </c>
      <c r="C3" s="2">
        <v>1</v>
      </c>
      <c r="D3" s="2">
        <f>VLOOKUP(C3,Course!$A$1:$C$229, 2, FALSE)</f>
        <v>0</v>
      </c>
      <c r="E3" s="2">
        <v>3</v>
      </c>
      <c r="F3" s="2" t="s">
        <v>747</v>
      </c>
      <c r="G3" s="2">
        <v>1</v>
      </c>
      <c r="H3" s="21">
        <v>0.8</v>
      </c>
      <c r="I3" s="2">
        <v>1</v>
      </c>
    </row>
    <row r="4" spans="1:10" hidden="1" x14ac:dyDescent="0.2">
      <c r="A4" s="11">
        <v>3</v>
      </c>
      <c r="B4" s="2">
        <v>3</v>
      </c>
      <c r="C4" s="2">
        <v>1</v>
      </c>
      <c r="D4" s="2">
        <f>VLOOKUP(C4,Course!$A$1:$C$229, 2, FALSE)</f>
        <v>0</v>
      </c>
      <c r="E4" s="2">
        <v>4</v>
      </c>
      <c r="F4" s="2" t="s">
        <v>748</v>
      </c>
      <c r="G4" s="2">
        <v>1</v>
      </c>
      <c r="H4" s="21">
        <v>0.8</v>
      </c>
      <c r="I4" s="2">
        <v>1</v>
      </c>
    </row>
    <row r="5" spans="1:10" hidden="1" x14ac:dyDescent="0.2">
      <c r="A5" s="11">
        <v>4</v>
      </c>
      <c r="B5" s="2">
        <v>4</v>
      </c>
      <c r="C5" s="2">
        <v>1</v>
      </c>
      <c r="D5" s="2">
        <f>VLOOKUP(C5,Course!$A$1:$C$229, 2, FALSE)</f>
        <v>0</v>
      </c>
      <c r="E5" s="2">
        <v>5</v>
      </c>
      <c r="F5" s="2" t="s">
        <v>749</v>
      </c>
      <c r="G5" s="2">
        <v>1</v>
      </c>
      <c r="H5" s="21">
        <v>0.8</v>
      </c>
      <c r="I5" s="2">
        <v>1</v>
      </c>
    </row>
    <row r="6" spans="1:10" hidden="1" x14ac:dyDescent="0.2">
      <c r="A6" s="11">
        <v>5</v>
      </c>
      <c r="B6" s="2">
        <v>5</v>
      </c>
      <c r="C6" s="2">
        <v>1</v>
      </c>
      <c r="D6" s="2">
        <f>VLOOKUP(C6,Course!$A$1:$C$229, 2, FALSE)</f>
        <v>0</v>
      </c>
      <c r="E6" s="2">
        <v>6</v>
      </c>
      <c r="F6" s="2" t="s">
        <v>750</v>
      </c>
      <c r="G6" s="2">
        <v>1</v>
      </c>
      <c r="H6" s="21">
        <v>0.8</v>
      </c>
      <c r="I6" s="2">
        <v>1</v>
      </c>
    </row>
    <row r="7" spans="1:10" hidden="1" x14ac:dyDescent="0.2">
      <c r="A7" s="11">
        <v>6</v>
      </c>
      <c r="B7" s="2">
        <v>6</v>
      </c>
      <c r="C7" s="2">
        <v>1</v>
      </c>
      <c r="D7" s="2">
        <f>VLOOKUP(C7,Course!$A$1:$C$229, 2, FALSE)</f>
        <v>0</v>
      </c>
      <c r="E7" s="2">
        <v>7</v>
      </c>
      <c r="F7" s="2" t="s">
        <v>751</v>
      </c>
      <c r="G7" s="2">
        <v>1</v>
      </c>
      <c r="H7" s="21">
        <v>0.8</v>
      </c>
      <c r="I7" s="2">
        <v>1</v>
      </c>
    </row>
    <row r="8" spans="1:10" hidden="1" x14ac:dyDescent="0.2">
      <c r="A8" s="11">
        <v>7</v>
      </c>
      <c r="B8" s="2">
        <v>7</v>
      </c>
      <c r="C8" s="2">
        <v>1</v>
      </c>
      <c r="D8" s="2">
        <f>VLOOKUP(C8,Course!$A$1:$C$229, 2, FALSE)</f>
        <v>0</v>
      </c>
      <c r="E8" s="2">
        <v>8</v>
      </c>
      <c r="F8" s="2" t="s">
        <v>752</v>
      </c>
      <c r="G8" s="2">
        <v>1</v>
      </c>
      <c r="H8" s="21">
        <v>0.8</v>
      </c>
      <c r="I8" s="2">
        <v>1</v>
      </c>
    </row>
    <row r="9" spans="1:10" hidden="1" x14ac:dyDescent="0.2">
      <c r="A9" s="11">
        <v>8</v>
      </c>
      <c r="B9" s="2">
        <v>8</v>
      </c>
      <c r="C9" s="2">
        <v>1</v>
      </c>
      <c r="D9" s="2">
        <f>VLOOKUP(C9,Course!$A$1:$C$229, 2, FALSE)</f>
        <v>0</v>
      </c>
      <c r="E9" s="2">
        <v>9</v>
      </c>
      <c r="F9" s="2" t="s">
        <v>753</v>
      </c>
      <c r="G9" s="2">
        <v>1</v>
      </c>
      <c r="H9" s="21">
        <v>0.8</v>
      </c>
      <c r="I9" s="2">
        <v>1</v>
      </c>
    </row>
    <row r="10" spans="1:10" hidden="1" x14ac:dyDescent="0.2">
      <c r="A10" s="11">
        <v>9</v>
      </c>
      <c r="B10" s="2">
        <v>9</v>
      </c>
      <c r="C10" s="2">
        <v>1</v>
      </c>
      <c r="D10" s="2">
        <f>VLOOKUP(C10,Course!$A$1:$C$229, 2, FALSE)</f>
        <v>0</v>
      </c>
      <c r="E10" s="2">
        <v>10</v>
      </c>
      <c r="F10" s="2" t="s">
        <v>754</v>
      </c>
      <c r="G10" s="2">
        <v>1</v>
      </c>
      <c r="H10" s="21">
        <v>0.8</v>
      </c>
      <c r="I10" s="2">
        <v>1</v>
      </c>
    </row>
    <row r="11" spans="1:10" hidden="1" x14ac:dyDescent="0.2">
      <c r="A11" s="11">
        <v>10</v>
      </c>
      <c r="B11" s="2">
        <v>10</v>
      </c>
      <c r="C11" s="2">
        <v>1</v>
      </c>
      <c r="D11" s="2">
        <f>VLOOKUP(C11,Course!$A$1:$C$229, 2, FALSE)</f>
        <v>0</v>
      </c>
      <c r="E11" s="2">
        <v>11</v>
      </c>
      <c r="F11" s="2" t="s">
        <v>755</v>
      </c>
      <c r="G11" s="2">
        <v>1</v>
      </c>
      <c r="H11" s="21">
        <v>0.8</v>
      </c>
      <c r="I11" s="2">
        <v>1</v>
      </c>
    </row>
    <row r="12" spans="1:10" hidden="1" x14ac:dyDescent="0.2">
      <c r="A12" s="11">
        <v>11</v>
      </c>
      <c r="B12" s="2">
        <v>11</v>
      </c>
      <c r="C12" s="2">
        <v>1</v>
      </c>
      <c r="D12" s="2">
        <f>VLOOKUP(C12,Course!$A$1:$C$229, 2, FALSE)</f>
        <v>0</v>
      </c>
      <c r="E12" s="2">
        <v>12</v>
      </c>
      <c r="F12" s="2" t="s">
        <v>756</v>
      </c>
      <c r="G12" s="2">
        <v>1</v>
      </c>
      <c r="H12" s="21">
        <v>0.8</v>
      </c>
      <c r="I12" s="2">
        <v>1</v>
      </c>
    </row>
    <row r="13" spans="1:10" hidden="1" x14ac:dyDescent="0.2">
      <c r="A13" s="11">
        <v>12</v>
      </c>
      <c r="B13" s="2">
        <v>12</v>
      </c>
      <c r="C13" s="2">
        <v>2</v>
      </c>
      <c r="D13" s="2">
        <f>VLOOKUP(C13,Course!$A$1:$C$229, 2, FALSE)</f>
        <v>0</v>
      </c>
      <c r="E13" s="2">
        <v>1</v>
      </c>
      <c r="F13" s="2" t="s">
        <v>757</v>
      </c>
      <c r="G13" s="2">
        <v>1</v>
      </c>
      <c r="H13" s="21">
        <v>0.8</v>
      </c>
      <c r="I13" s="2">
        <v>1</v>
      </c>
    </row>
    <row r="14" spans="1:10" hidden="1" x14ac:dyDescent="0.2">
      <c r="A14" s="11">
        <v>13</v>
      </c>
      <c r="B14" s="2">
        <v>13</v>
      </c>
      <c r="C14" s="2">
        <v>2</v>
      </c>
      <c r="D14" s="2">
        <f>VLOOKUP(C14,Course!$A$1:$C$229, 2, FALSE)</f>
        <v>0</v>
      </c>
      <c r="E14" s="2">
        <v>2</v>
      </c>
      <c r="F14" s="2" t="s">
        <v>758</v>
      </c>
      <c r="G14" s="2">
        <v>1</v>
      </c>
      <c r="H14" s="21">
        <v>0.8</v>
      </c>
      <c r="I14" s="2">
        <v>1</v>
      </c>
    </row>
    <row r="15" spans="1:10" hidden="1" x14ac:dyDescent="0.2">
      <c r="A15" s="11">
        <v>14</v>
      </c>
      <c r="B15" s="2">
        <v>14</v>
      </c>
      <c r="C15" s="2">
        <v>2</v>
      </c>
      <c r="D15" s="2">
        <f>VLOOKUP(C15,Course!$A$1:$C$229, 2, FALSE)</f>
        <v>0</v>
      </c>
      <c r="E15" s="2">
        <v>3</v>
      </c>
      <c r="F15" s="2" t="s">
        <v>759</v>
      </c>
      <c r="G15" s="2">
        <v>1</v>
      </c>
      <c r="H15" s="21">
        <v>0.8</v>
      </c>
      <c r="I15" s="2">
        <v>1</v>
      </c>
    </row>
    <row r="16" spans="1:10" hidden="1" x14ac:dyDescent="0.2">
      <c r="A16" s="11">
        <v>15</v>
      </c>
      <c r="B16" s="2">
        <v>15</v>
      </c>
      <c r="C16" s="2">
        <v>2</v>
      </c>
      <c r="D16" s="2">
        <f>VLOOKUP(C16,Course!$A$1:$C$229, 2, FALSE)</f>
        <v>0</v>
      </c>
      <c r="E16" s="2">
        <v>4</v>
      </c>
      <c r="F16" s="2" t="s">
        <v>760</v>
      </c>
      <c r="G16" s="2">
        <v>1</v>
      </c>
      <c r="H16" s="21">
        <v>0.8</v>
      </c>
      <c r="I16" s="2">
        <v>1</v>
      </c>
    </row>
    <row r="17" spans="1:9" hidden="1" x14ac:dyDescent="0.2">
      <c r="A17" s="11">
        <v>16</v>
      </c>
      <c r="B17" s="2">
        <v>16</v>
      </c>
      <c r="C17" s="2">
        <v>2</v>
      </c>
      <c r="D17" s="2">
        <f>VLOOKUP(C17,Course!$A$1:$C$229, 2, FALSE)</f>
        <v>0</v>
      </c>
      <c r="E17" s="2">
        <v>5</v>
      </c>
      <c r="F17" s="2" t="s">
        <v>761</v>
      </c>
      <c r="G17" s="2">
        <v>1</v>
      </c>
      <c r="H17" s="21">
        <v>0.8</v>
      </c>
      <c r="I17" s="2">
        <v>1</v>
      </c>
    </row>
    <row r="18" spans="1:9" hidden="1" x14ac:dyDescent="0.2">
      <c r="A18" s="11">
        <v>17</v>
      </c>
      <c r="B18" s="2">
        <v>17</v>
      </c>
      <c r="C18" s="2">
        <v>2</v>
      </c>
      <c r="D18" s="2">
        <f>VLOOKUP(C18,Course!$A$1:$C$229, 2, FALSE)</f>
        <v>0</v>
      </c>
      <c r="E18" s="2">
        <v>6</v>
      </c>
      <c r="F18" s="2" t="s">
        <v>762</v>
      </c>
      <c r="G18" s="2">
        <v>1</v>
      </c>
      <c r="H18" s="21">
        <v>0.8</v>
      </c>
      <c r="I18" s="2">
        <v>1</v>
      </c>
    </row>
    <row r="19" spans="1:9" hidden="1" x14ac:dyDescent="0.2">
      <c r="A19" s="11">
        <v>18</v>
      </c>
      <c r="B19" s="2">
        <v>18</v>
      </c>
      <c r="C19" s="2">
        <v>2</v>
      </c>
      <c r="D19" s="2">
        <f>VLOOKUP(C19,Course!$A$1:$C$229, 2, FALSE)</f>
        <v>0</v>
      </c>
      <c r="E19" s="2">
        <v>7</v>
      </c>
      <c r="F19" s="2" t="s">
        <v>763</v>
      </c>
      <c r="G19" s="2">
        <v>1</v>
      </c>
      <c r="H19" s="21">
        <v>0.8</v>
      </c>
      <c r="I19" s="2">
        <v>1</v>
      </c>
    </row>
    <row r="20" spans="1:9" hidden="1" x14ac:dyDescent="0.2">
      <c r="A20" s="11">
        <v>19</v>
      </c>
      <c r="B20" s="2">
        <v>19</v>
      </c>
      <c r="C20" s="2">
        <v>2</v>
      </c>
      <c r="D20" s="2">
        <f>VLOOKUP(C20,Course!$A$1:$C$229, 2, FALSE)</f>
        <v>0</v>
      </c>
      <c r="E20" s="2">
        <v>8</v>
      </c>
      <c r="F20" s="2" t="s">
        <v>764</v>
      </c>
      <c r="G20" s="2">
        <v>1</v>
      </c>
      <c r="H20" s="21">
        <v>0.8</v>
      </c>
      <c r="I20" s="2">
        <v>1</v>
      </c>
    </row>
    <row r="21" spans="1:9" ht="15.75" hidden="1" customHeight="1" x14ac:dyDescent="0.2">
      <c r="A21" s="11">
        <v>20</v>
      </c>
      <c r="B21" s="2">
        <v>20</v>
      </c>
      <c r="C21" s="2">
        <v>2</v>
      </c>
      <c r="D21" s="2">
        <f>VLOOKUP(C21,Course!$A$1:$C$229, 2, FALSE)</f>
        <v>0</v>
      </c>
      <c r="E21" s="2">
        <v>9</v>
      </c>
      <c r="F21" s="2" t="s">
        <v>765</v>
      </c>
      <c r="G21" s="2">
        <v>1</v>
      </c>
      <c r="H21" s="21">
        <v>0.8</v>
      </c>
      <c r="I21" s="2">
        <v>1</v>
      </c>
    </row>
    <row r="22" spans="1:9" ht="15.75" hidden="1" customHeight="1" x14ac:dyDescent="0.2">
      <c r="A22" s="11">
        <v>21</v>
      </c>
      <c r="B22" s="2">
        <v>21</v>
      </c>
      <c r="C22" s="2">
        <v>2</v>
      </c>
      <c r="D22" s="2">
        <f>VLOOKUP(C22,Course!$A$1:$C$229, 2, FALSE)</f>
        <v>0</v>
      </c>
      <c r="E22" s="2">
        <v>10</v>
      </c>
      <c r="F22" s="2" t="s">
        <v>766</v>
      </c>
      <c r="G22" s="2">
        <v>1</v>
      </c>
      <c r="H22" s="21">
        <v>0.8</v>
      </c>
      <c r="I22" s="2">
        <v>1</v>
      </c>
    </row>
    <row r="23" spans="1:9" ht="15.75" hidden="1" customHeight="1" x14ac:dyDescent="0.2">
      <c r="A23" s="11">
        <v>22</v>
      </c>
      <c r="B23" s="2">
        <v>22</v>
      </c>
      <c r="C23" s="2">
        <v>2</v>
      </c>
      <c r="D23" s="2">
        <f>VLOOKUP(C23,Course!$A$1:$C$229, 2, FALSE)</f>
        <v>0</v>
      </c>
      <c r="E23" s="2">
        <v>11</v>
      </c>
      <c r="F23" s="2" t="s">
        <v>767</v>
      </c>
      <c r="G23" s="2">
        <v>1</v>
      </c>
      <c r="H23" s="21">
        <v>0.8</v>
      </c>
      <c r="I23" s="2">
        <v>1</v>
      </c>
    </row>
    <row r="24" spans="1:9" ht="15.75" hidden="1" customHeight="1" x14ac:dyDescent="0.2">
      <c r="A24" s="11">
        <v>23</v>
      </c>
      <c r="B24" s="2">
        <v>23</v>
      </c>
      <c r="C24" s="2">
        <v>2</v>
      </c>
      <c r="D24" s="2">
        <f>VLOOKUP(C24,Course!$A$1:$C$229, 2, FALSE)</f>
        <v>0</v>
      </c>
      <c r="E24" s="2">
        <v>12</v>
      </c>
      <c r="F24" s="2" t="s">
        <v>768</v>
      </c>
      <c r="G24" s="2">
        <v>1</v>
      </c>
      <c r="H24" s="21">
        <v>0.8</v>
      </c>
      <c r="I24" s="2">
        <v>1</v>
      </c>
    </row>
    <row r="25" spans="1:9" ht="15.75" hidden="1" customHeight="1" x14ac:dyDescent="0.2">
      <c r="A25" s="11">
        <v>24</v>
      </c>
      <c r="B25" s="2">
        <v>24</v>
      </c>
      <c r="C25" s="2">
        <v>3</v>
      </c>
      <c r="D25" s="2">
        <f>VLOOKUP(C25,Course!$A$1:$C$229, 2, FALSE)</f>
        <v>0</v>
      </c>
      <c r="E25" s="2">
        <v>1</v>
      </c>
      <c r="F25" s="2" t="s">
        <v>769</v>
      </c>
      <c r="G25" s="2">
        <v>1</v>
      </c>
      <c r="H25" s="21">
        <v>0.8</v>
      </c>
      <c r="I25" s="2">
        <v>1</v>
      </c>
    </row>
    <row r="26" spans="1:9" ht="15.75" hidden="1" customHeight="1" x14ac:dyDescent="0.2">
      <c r="A26" s="11">
        <v>25</v>
      </c>
      <c r="B26" s="2">
        <v>25</v>
      </c>
      <c r="C26" s="2">
        <v>3</v>
      </c>
      <c r="D26" s="2">
        <f>VLOOKUP(C26,Course!$A$1:$C$229, 2, FALSE)</f>
        <v>0</v>
      </c>
      <c r="E26" s="2">
        <v>2</v>
      </c>
      <c r="F26" s="2" t="s">
        <v>770</v>
      </c>
      <c r="G26" s="2">
        <v>1</v>
      </c>
      <c r="H26" s="21">
        <v>0.8</v>
      </c>
      <c r="I26" s="2">
        <v>1</v>
      </c>
    </row>
    <row r="27" spans="1:9" ht="15.75" hidden="1" customHeight="1" x14ac:dyDescent="0.2">
      <c r="A27" s="11">
        <v>26</v>
      </c>
      <c r="B27" s="2">
        <v>26</v>
      </c>
      <c r="C27" s="2">
        <v>3</v>
      </c>
      <c r="D27" s="2">
        <f>VLOOKUP(C27,Course!$A$1:$C$229, 2, FALSE)</f>
        <v>0</v>
      </c>
      <c r="E27" s="2">
        <v>3</v>
      </c>
      <c r="F27" s="2" t="s">
        <v>771</v>
      </c>
      <c r="G27" s="2">
        <v>1</v>
      </c>
      <c r="H27" s="21">
        <v>0.8</v>
      </c>
      <c r="I27" s="2">
        <v>1</v>
      </c>
    </row>
    <row r="28" spans="1:9" ht="15.75" hidden="1" customHeight="1" x14ac:dyDescent="0.2">
      <c r="A28" s="11">
        <v>27</v>
      </c>
      <c r="B28" s="2">
        <v>27</v>
      </c>
      <c r="C28" s="2">
        <v>3</v>
      </c>
      <c r="D28" s="2">
        <f>VLOOKUP(C28,Course!$A$1:$C$229, 2, FALSE)</f>
        <v>0</v>
      </c>
      <c r="E28" s="2">
        <v>4</v>
      </c>
      <c r="F28" s="2" t="s">
        <v>772</v>
      </c>
      <c r="G28" s="2">
        <v>1</v>
      </c>
      <c r="H28" s="21">
        <v>0.8</v>
      </c>
      <c r="I28" s="2">
        <v>1</v>
      </c>
    </row>
    <row r="29" spans="1:9" ht="15.75" hidden="1" customHeight="1" x14ac:dyDescent="0.2">
      <c r="A29" s="11">
        <v>28</v>
      </c>
      <c r="B29" s="2">
        <v>28</v>
      </c>
      <c r="C29" s="2">
        <v>3</v>
      </c>
      <c r="D29" s="2">
        <f>VLOOKUP(C29,Course!$A$1:$C$229, 2, FALSE)</f>
        <v>0</v>
      </c>
      <c r="E29" s="2">
        <v>5</v>
      </c>
      <c r="F29" s="2" t="s">
        <v>773</v>
      </c>
      <c r="G29" s="2">
        <v>1</v>
      </c>
      <c r="H29" s="21">
        <v>0.8</v>
      </c>
      <c r="I29" s="2">
        <v>1</v>
      </c>
    </row>
    <row r="30" spans="1:9" ht="15.75" hidden="1" customHeight="1" x14ac:dyDescent="0.2">
      <c r="A30" s="11">
        <v>29</v>
      </c>
      <c r="B30" s="2">
        <v>29</v>
      </c>
      <c r="C30" s="2">
        <v>3</v>
      </c>
      <c r="D30" s="2">
        <f>VLOOKUP(C30,Course!$A$1:$C$229, 2, FALSE)</f>
        <v>0</v>
      </c>
      <c r="E30" s="2">
        <v>6</v>
      </c>
      <c r="F30" s="2" t="s">
        <v>774</v>
      </c>
      <c r="G30" s="2">
        <v>1</v>
      </c>
      <c r="H30" s="21">
        <v>0.8</v>
      </c>
      <c r="I30" s="2">
        <v>1</v>
      </c>
    </row>
    <row r="31" spans="1:9" ht="15.75" hidden="1" customHeight="1" x14ac:dyDescent="0.2">
      <c r="A31" s="11">
        <v>30</v>
      </c>
      <c r="B31" s="2">
        <v>30</v>
      </c>
      <c r="C31" s="2">
        <v>3</v>
      </c>
      <c r="D31" s="2">
        <f>VLOOKUP(C31,Course!$A$1:$C$229, 2, FALSE)</f>
        <v>0</v>
      </c>
      <c r="E31" s="2">
        <v>7</v>
      </c>
      <c r="F31" s="2" t="s">
        <v>775</v>
      </c>
      <c r="G31" s="2">
        <v>1</v>
      </c>
      <c r="H31" s="21">
        <v>0.8</v>
      </c>
      <c r="I31" s="2">
        <v>1</v>
      </c>
    </row>
    <row r="32" spans="1:9" ht="15.75" hidden="1" customHeight="1" x14ac:dyDescent="0.2">
      <c r="A32" s="11">
        <v>31</v>
      </c>
      <c r="B32" s="2">
        <v>31</v>
      </c>
      <c r="C32" s="2">
        <v>3</v>
      </c>
      <c r="D32" s="2">
        <f>VLOOKUP(C32,Course!$A$1:$C$229, 2, FALSE)</f>
        <v>0</v>
      </c>
      <c r="E32" s="2">
        <v>8</v>
      </c>
      <c r="F32" s="2" t="s">
        <v>776</v>
      </c>
      <c r="G32" s="2">
        <v>1</v>
      </c>
      <c r="H32" s="21">
        <v>0.8</v>
      </c>
      <c r="I32" s="2">
        <v>1</v>
      </c>
    </row>
    <row r="33" spans="1:9" ht="15.75" hidden="1" customHeight="1" x14ac:dyDescent="0.2">
      <c r="A33" s="11">
        <v>32</v>
      </c>
      <c r="B33" s="2">
        <v>32</v>
      </c>
      <c r="C33" s="2">
        <v>3</v>
      </c>
      <c r="D33" s="2">
        <f>VLOOKUP(C33,Course!$A$1:$C$229, 2, FALSE)</f>
        <v>0</v>
      </c>
      <c r="E33" s="2">
        <v>9</v>
      </c>
      <c r="F33" s="2" t="s">
        <v>777</v>
      </c>
      <c r="G33" s="2">
        <v>1</v>
      </c>
      <c r="H33" s="21">
        <v>0.8</v>
      </c>
      <c r="I33" s="2">
        <v>1</v>
      </c>
    </row>
    <row r="34" spans="1:9" ht="15.75" hidden="1" customHeight="1" x14ac:dyDescent="0.2">
      <c r="A34" s="11">
        <v>33</v>
      </c>
      <c r="B34" s="2">
        <v>33</v>
      </c>
      <c r="C34" s="2">
        <v>3</v>
      </c>
      <c r="D34" s="2">
        <f>VLOOKUP(C34,Course!$A$1:$C$229, 2, FALSE)</f>
        <v>0</v>
      </c>
      <c r="E34" s="2">
        <v>10</v>
      </c>
      <c r="F34" s="2" t="s">
        <v>778</v>
      </c>
      <c r="G34" s="2">
        <v>1</v>
      </c>
      <c r="H34" s="21">
        <v>0.8</v>
      </c>
      <c r="I34" s="2">
        <v>1</v>
      </c>
    </row>
    <row r="35" spans="1:9" ht="15.75" hidden="1" customHeight="1" x14ac:dyDescent="0.2">
      <c r="A35" s="11">
        <v>34</v>
      </c>
      <c r="B35" s="2">
        <v>34</v>
      </c>
      <c r="C35" s="2">
        <v>3</v>
      </c>
      <c r="D35" s="2">
        <f>VLOOKUP(C35,Course!$A$1:$C$229, 2, FALSE)</f>
        <v>0</v>
      </c>
      <c r="E35" s="2">
        <v>11</v>
      </c>
      <c r="F35" s="2" t="s">
        <v>779</v>
      </c>
      <c r="G35" s="2">
        <v>1</v>
      </c>
      <c r="H35" s="21">
        <v>0.8</v>
      </c>
      <c r="I35" s="2">
        <v>1</v>
      </c>
    </row>
    <row r="36" spans="1:9" ht="15.75" hidden="1" customHeight="1" x14ac:dyDescent="0.2">
      <c r="A36" s="11">
        <v>35</v>
      </c>
      <c r="B36" s="2">
        <v>35</v>
      </c>
      <c r="C36" s="2">
        <v>3</v>
      </c>
      <c r="D36" s="2">
        <f>VLOOKUP(C36,Course!$A$1:$C$229, 2, FALSE)</f>
        <v>0</v>
      </c>
      <c r="E36" s="2">
        <v>12</v>
      </c>
      <c r="F36" s="2" t="s">
        <v>780</v>
      </c>
      <c r="G36" s="2">
        <v>1</v>
      </c>
      <c r="H36" s="21">
        <v>0.8</v>
      </c>
      <c r="I36" s="2">
        <v>1</v>
      </c>
    </row>
    <row r="37" spans="1:9" ht="15.75" hidden="1" customHeight="1" x14ac:dyDescent="0.2">
      <c r="A37" s="11">
        <v>36</v>
      </c>
      <c r="B37" s="2">
        <v>36</v>
      </c>
      <c r="C37" s="2">
        <v>4</v>
      </c>
      <c r="D37" s="2">
        <f>VLOOKUP(C37,Course!$A$1:$C$229, 2, FALSE)</f>
        <v>0</v>
      </c>
      <c r="E37" s="2">
        <v>1</v>
      </c>
      <c r="F37" s="2" t="s">
        <v>781</v>
      </c>
      <c r="G37" s="2">
        <v>1</v>
      </c>
      <c r="H37" s="21">
        <v>0.9</v>
      </c>
      <c r="I37" s="2">
        <v>1</v>
      </c>
    </row>
    <row r="38" spans="1:9" ht="15.75" hidden="1" customHeight="1" x14ac:dyDescent="0.2">
      <c r="A38" s="11">
        <v>37</v>
      </c>
      <c r="B38" s="2">
        <v>37</v>
      </c>
      <c r="C38" s="2">
        <v>4</v>
      </c>
      <c r="D38" s="2">
        <f>VLOOKUP(C38,Course!$A$1:$C$229, 2, FALSE)</f>
        <v>0</v>
      </c>
      <c r="E38" s="2">
        <v>2</v>
      </c>
      <c r="F38" s="2" t="s">
        <v>782</v>
      </c>
      <c r="G38" s="2">
        <v>1</v>
      </c>
      <c r="H38" s="21">
        <v>0.9</v>
      </c>
      <c r="I38" s="2">
        <v>1</v>
      </c>
    </row>
    <row r="39" spans="1:9" ht="15.75" hidden="1" customHeight="1" x14ac:dyDescent="0.2">
      <c r="A39" s="11">
        <v>38</v>
      </c>
      <c r="B39" s="2">
        <v>38</v>
      </c>
      <c r="C39" s="2">
        <v>4</v>
      </c>
      <c r="D39" s="2">
        <f>VLOOKUP(C39,Course!$A$1:$C$229, 2, FALSE)</f>
        <v>0</v>
      </c>
      <c r="E39" s="2">
        <v>3</v>
      </c>
      <c r="F39" s="2" t="s">
        <v>783</v>
      </c>
      <c r="G39" s="2">
        <v>1</v>
      </c>
      <c r="H39" s="21">
        <v>0.9</v>
      </c>
      <c r="I39" s="2">
        <v>1</v>
      </c>
    </row>
    <row r="40" spans="1:9" ht="15.75" hidden="1" customHeight="1" x14ac:dyDescent="0.2">
      <c r="A40" s="11">
        <v>39</v>
      </c>
      <c r="B40" s="2">
        <v>39</v>
      </c>
      <c r="C40" s="2">
        <v>4</v>
      </c>
      <c r="D40" s="2">
        <f>VLOOKUP(C40,Course!$A$1:$C$229, 2, FALSE)</f>
        <v>0</v>
      </c>
      <c r="E40" s="2">
        <v>4</v>
      </c>
      <c r="F40" s="2" t="s">
        <v>784</v>
      </c>
      <c r="G40" s="2">
        <v>1</v>
      </c>
      <c r="H40" s="21">
        <v>0.9</v>
      </c>
      <c r="I40" s="2">
        <v>1</v>
      </c>
    </row>
    <row r="41" spans="1:9" ht="15.75" hidden="1" customHeight="1" x14ac:dyDescent="0.2">
      <c r="A41" s="11">
        <v>40</v>
      </c>
      <c r="B41" s="2">
        <v>40</v>
      </c>
      <c r="C41" s="2">
        <v>4</v>
      </c>
      <c r="D41" s="2">
        <f>VLOOKUP(C41,Course!$A$1:$C$229, 2, FALSE)</f>
        <v>0</v>
      </c>
      <c r="E41" s="2">
        <v>5</v>
      </c>
      <c r="F41" s="2" t="s">
        <v>785</v>
      </c>
      <c r="G41" s="2">
        <v>1</v>
      </c>
      <c r="H41" s="21">
        <v>0.9</v>
      </c>
      <c r="I41" s="2">
        <v>1</v>
      </c>
    </row>
    <row r="42" spans="1:9" ht="15.75" hidden="1" customHeight="1" x14ac:dyDescent="0.2">
      <c r="A42" s="11">
        <v>41</v>
      </c>
      <c r="B42" s="2">
        <v>41</v>
      </c>
      <c r="C42" s="2">
        <v>4</v>
      </c>
      <c r="D42" s="2">
        <f>VLOOKUP(C42,Course!$A$1:$C$229, 2, FALSE)</f>
        <v>0</v>
      </c>
      <c r="E42" s="2">
        <v>6</v>
      </c>
      <c r="F42" s="2" t="s">
        <v>786</v>
      </c>
      <c r="G42" s="2">
        <v>1</v>
      </c>
      <c r="H42" s="21">
        <v>0.9</v>
      </c>
      <c r="I42" s="2">
        <v>1</v>
      </c>
    </row>
    <row r="43" spans="1:9" ht="15.75" hidden="1" customHeight="1" x14ac:dyDescent="0.2">
      <c r="A43" s="11">
        <v>42</v>
      </c>
      <c r="B43" s="2">
        <v>42</v>
      </c>
      <c r="C43" s="2">
        <v>4</v>
      </c>
      <c r="D43" s="2">
        <f>VLOOKUP(C43,Course!$A$1:$C$229, 2, FALSE)</f>
        <v>0</v>
      </c>
      <c r="E43" s="2">
        <v>7</v>
      </c>
      <c r="F43" s="2" t="s">
        <v>787</v>
      </c>
      <c r="G43" s="2">
        <v>1</v>
      </c>
      <c r="H43" s="21">
        <v>0.9</v>
      </c>
      <c r="I43" s="2">
        <v>1</v>
      </c>
    </row>
    <row r="44" spans="1:9" ht="15.75" hidden="1" customHeight="1" x14ac:dyDescent="0.2">
      <c r="A44" s="11">
        <v>43</v>
      </c>
      <c r="B44" s="2">
        <v>43</v>
      </c>
      <c r="C44" s="2">
        <v>4</v>
      </c>
      <c r="D44" s="2">
        <f>VLOOKUP(C44,Course!$A$1:$C$229, 2, FALSE)</f>
        <v>0</v>
      </c>
      <c r="E44" s="2">
        <v>8</v>
      </c>
      <c r="F44" s="2" t="s">
        <v>788</v>
      </c>
      <c r="G44" s="2">
        <v>1</v>
      </c>
      <c r="H44" s="21">
        <v>0.9</v>
      </c>
      <c r="I44" s="2">
        <v>1</v>
      </c>
    </row>
    <row r="45" spans="1:9" ht="15.75" hidden="1" customHeight="1" x14ac:dyDescent="0.2">
      <c r="A45" s="11">
        <v>44</v>
      </c>
      <c r="B45" s="2">
        <v>44</v>
      </c>
      <c r="C45" s="2">
        <v>4</v>
      </c>
      <c r="D45" s="2">
        <f>VLOOKUP(C45,Course!$A$1:$C$229, 2, FALSE)</f>
        <v>0</v>
      </c>
      <c r="E45" s="2">
        <v>9</v>
      </c>
      <c r="F45" s="2" t="s">
        <v>789</v>
      </c>
      <c r="G45" s="2">
        <v>1</v>
      </c>
      <c r="H45" s="21">
        <v>0.9</v>
      </c>
      <c r="I45" s="2">
        <v>1</v>
      </c>
    </row>
    <row r="46" spans="1:9" ht="15.75" hidden="1" customHeight="1" x14ac:dyDescent="0.2">
      <c r="A46" s="11">
        <v>45</v>
      </c>
      <c r="B46" s="2">
        <v>45</v>
      </c>
      <c r="C46" s="2">
        <v>4</v>
      </c>
      <c r="D46" s="2">
        <f>VLOOKUP(C46,Course!$A$1:$C$229, 2, FALSE)</f>
        <v>0</v>
      </c>
      <c r="E46" s="2">
        <v>10</v>
      </c>
      <c r="F46" s="2" t="s">
        <v>790</v>
      </c>
      <c r="G46" s="2">
        <v>1</v>
      </c>
      <c r="H46" s="21">
        <v>0.9</v>
      </c>
      <c r="I46" s="2">
        <v>1</v>
      </c>
    </row>
    <row r="47" spans="1:9" ht="15.75" hidden="1" customHeight="1" x14ac:dyDescent="0.2">
      <c r="A47" s="11">
        <v>46</v>
      </c>
      <c r="B47" s="2">
        <v>46</v>
      </c>
      <c r="C47" s="2">
        <v>4</v>
      </c>
      <c r="D47" s="2">
        <f>VLOOKUP(C47,Course!$A$1:$C$229, 2, FALSE)</f>
        <v>0</v>
      </c>
      <c r="E47" s="2">
        <v>11</v>
      </c>
      <c r="F47" s="2" t="s">
        <v>791</v>
      </c>
      <c r="G47" s="2">
        <v>1</v>
      </c>
      <c r="H47" s="21">
        <v>0.9</v>
      </c>
      <c r="I47" s="2">
        <v>1</v>
      </c>
    </row>
    <row r="48" spans="1:9" ht="15.75" hidden="1" customHeight="1" x14ac:dyDescent="0.2">
      <c r="A48" s="11">
        <v>47</v>
      </c>
      <c r="B48" s="2">
        <v>47</v>
      </c>
      <c r="C48" s="2">
        <v>4</v>
      </c>
      <c r="D48" s="2">
        <f>VLOOKUP(C48,Course!$A$1:$C$229, 2, FALSE)</f>
        <v>0</v>
      </c>
      <c r="E48" s="2">
        <v>12</v>
      </c>
      <c r="F48" s="2" t="s">
        <v>792</v>
      </c>
      <c r="G48" s="2">
        <v>1</v>
      </c>
      <c r="H48" s="21">
        <v>0.9</v>
      </c>
      <c r="I48" s="2">
        <v>1</v>
      </c>
    </row>
    <row r="49" spans="1:9" ht="15.75" hidden="1" customHeight="1" x14ac:dyDescent="0.2">
      <c r="A49" s="11">
        <v>48</v>
      </c>
      <c r="B49" s="2">
        <v>48</v>
      </c>
      <c r="C49" s="2">
        <v>5</v>
      </c>
      <c r="D49" s="2">
        <f>VLOOKUP(C49,Course!$A$1:$C$229, 2, FALSE)</f>
        <v>0</v>
      </c>
      <c r="E49" s="2">
        <v>1</v>
      </c>
      <c r="F49" s="2" t="s">
        <v>793</v>
      </c>
      <c r="G49" s="2">
        <v>1</v>
      </c>
      <c r="H49" s="21">
        <v>0.8</v>
      </c>
      <c r="I49" s="2">
        <v>1</v>
      </c>
    </row>
    <row r="50" spans="1:9" ht="15.75" hidden="1" customHeight="1" x14ac:dyDescent="0.2">
      <c r="A50" s="11">
        <v>49</v>
      </c>
      <c r="B50" s="2">
        <v>49</v>
      </c>
      <c r="C50" s="2">
        <v>5</v>
      </c>
      <c r="D50" s="2">
        <f>VLOOKUP(C50,Course!$A$1:$C$229, 2, FALSE)</f>
        <v>0</v>
      </c>
      <c r="E50" s="2">
        <v>2</v>
      </c>
      <c r="F50" s="2" t="s">
        <v>794</v>
      </c>
      <c r="G50" s="2">
        <v>1</v>
      </c>
      <c r="H50" s="21">
        <v>0.8</v>
      </c>
      <c r="I50" s="2">
        <v>1</v>
      </c>
    </row>
    <row r="51" spans="1:9" ht="15.75" hidden="1" customHeight="1" x14ac:dyDescent="0.2">
      <c r="A51" s="11">
        <v>50</v>
      </c>
      <c r="B51" s="2">
        <v>50</v>
      </c>
      <c r="C51" s="2">
        <v>5</v>
      </c>
      <c r="D51" s="2">
        <f>VLOOKUP(C51,Course!$A$1:$C$229, 2, FALSE)</f>
        <v>0</v>
      </c>
      <c r="E51" s="2">
        <v>3</v>
      </c>
      <c r="F51" s="2" t="s">
        <v>795</v>
      </c>
      <c r="G51" s="2">
        <v>1</v>
      </c>
      <c r="H51" s="21">
        <v>0.8</v>
      </c>
      <c r="I51" s="2">
        <v>1</v>
      </c>
    </row>
    <row r="52" spans="1:9" ht="15.75" hidden="1" customHeight="1" x14ac:dyDescent="0.2">
      <c r="A52" s="11">
        <v>51</v>
      </c>
      <c r="B52" s="2">
        <v>51</v>
      </c>
      <c r="C52" s="2">
        <v>5</v>
      </c>
      <c r="D52" s="2">
        <f>VLOOKUP(C52,Course!$A$1:$C$229, 2, FALSE)</f>
        <v>0</v>
      </c>
      <c r="E52" s="2">
        <v>4</v>
      </c>
      <c r="F52" s="2" t="s">
        <v>796</v>
      </c>
      <c r="G52" s="2">
        <v>1</v>
      </c>
      <c r="H52" s="21">
        <v>0.8</v>
      </c>
      <c r="I52" s="2">
        <v>1</v>
      </c>
    </row>
    <row r="53" spans="1:9" ht="15.75" hidden="1" customHeight="1" x14ac:dyDescent="0.2">
      <c r="A53" s="11">
        <v>52</v>
      </c>
      <c r="B53" s="2">
        <v>52</v>
      </c>
      <c r="C53" s="2">
        <v>5</v>
      </c>
      <c r="D53" s="2">
        <f>VLOOKUP(C53,Course!$A$1:$C$229, 2, FALSE)</f>
        <v>0</v>
      </c>
      <c r="E53" s="2">
        <v>5</v>
      </c>
      <c r="F53" s="2" t="s">
        <v>797</v>
      </c>
      <c r="G53" s="2">
        <v>1</v>
      </c>
      <c r="H53" s="21">
        <v>0.8</v>
      </c>
      <c r="I53" s="2">
        <v>1</v>
      </c>
    </row>
    <row r="54" spans="1:9" ht="15.75" hidden="1" customHeight="1" x14ac:dyDescent="0.2">
      <c r="A54" s="11">
        <v>53</v>
      </c>
      <c r="B54" s="2">
        <v>53</v>
      </c>
      <c r="C54" s="2">
        <v>5</v>
      </c>
      <c r="D54" s="2">
        <f>VLOOKUP(C54,Course!$A$1:$C$229, 2, FALSE)</f>
        <v>0</v>
      </c>
      <c r="E54" s="2">
        <v>6</v>
      </c>
      <c r="F54" s="2" t="s">
        <v>798</v>
      </c>
      <c r="G54" s="2">
        <v>1</v>
      </c>
      <c r="H54" s="21">
        <v>0.8</v>
      </c>
      <c r="I54" s="2">
        <v>1</v>
      </c>
    </row>
    <row r="55" spans="1:9" ht="15.75" hidden="1" customHeight="1" x14ac:dyDescent="0.2">
      <c r="A55" s="11">
        <v>54</v>
      </c>
      <c r="B55" s="2">
        <v>54</v>
      </c>
      <c r="C55" s="2">
        <v>5</v>
      </c>
      <c r="D55" s="2">
        <f>VLOOKUP(C55,Course!$A$1:$C$229, 2, FALSE)</f>
        <v>0</v>
      </c>
      <c r="E55" s="2">
        <v>7</v>
      </c>
      <c r="F55" s="2" t="s">
        <v>799</v>
      </c>
      <c r="G55" s="2">
        <v>1</v>
      </c>
      <c r="H55" s="21">
        <v>0.8</v>
      </c>
      <c r="I55" s="2">
        <v>1</v>
      </c>
    </row>
    <row r="56" spans="1:9" ht="15.75" hidden="1" customHeight="1" x14ac:dyDescent="0.2">
      <c r="A56" s="11">
        <v>55</v>
      </c>
      <c r="B56" s="2">
        <v>55</v>
      </c>
      <c r="C56" s="2">
        <v>5</v>
      </c>
      <c r="D56" s="2">
        <f>VLOOKUP(C56,Course!$A$1:$C$229, 2, FALSE)</f>
        <v>0</v>
      </c>
      <c r="E56" s="2">
        <v>8</v>
      </c>
      <c r="F56" s="2" t="s">
        <v>800</v>
      </c>
      <c r="G56" s="2">
        <v>1</v>
      </c>
      <c r="H56" s="21">
        <v>0.8</v>
      </c>
      <c r="I56" s="2">
        <v>1</v>
      </c>
    </row>
    <row r="57" spans="1:9" ht="15.75" hidden="1" customHeight="1" x14ac:dyDescent="0.2">
      <c r="A57" s="11">
        <v>56</v>
      </c>
      <c r="B57" s="2">
        <v>56</v>
      </c>
      <c r="C57" s="2">
        <v>5</v>
      </c>
      <c r="D57" s="2">
        <f>VLOOKUP(C57,Course!$A$1:$C$229, 2, FALSE)</f>
        <v>0</v>
      </c>
      <c r="E57" s="2">
        <v>9</v>
      </c>
      <c r="F57" s="2" t="s">
        <v>801</v>
      </c>
      <c r="G57" s="2">
        <v>1</v>
      </c>
      <c r="H57" s="21">
        <v>0.8</v>
      </c>
      <c r="I57" s="2">
        <v>1</v>
      </c>
    </row>
    <row r="58" spans="1:9" ht="15.75" hidden="1" customHeight="1" x14ac:dyDescent="0.2">
      <c r="A58" s="11">
        <v>57</v>
      </c>
      <c r="B58" s="2">
        <v>57</v>
      </c>
      <c r="C58" s="2">
        <v>5</v>
      </c>
      <c r="D58" s="2">
        <f>VLOOKUP(C58,Course!$A$1:$C$229, 2, FALSE)</f>
        <v>0</v>
      </c>
      <c r="E58" s="2">
        <v>10</v>
      </c>
      <c r="F58" s="2" t="s">
        <v>802</v>
      </c>
      <c r="G58" s="2">
        <v>1</v>
      </c>
      <c r="H58" s="21">
        <v>0.8</v>
      </c>
      <c r="I58" s="2">
        <v>1</v>
      </c>
    </row>
    <row r="59" spans="1:9" ht="15.75" hidden="1" customHeight="1" x14ac:dyDescent="0.2">
      <c r="A59" s="11">
        <v>58</v>
      </c>
      <c r="B59" s="2">
        <v>58</v>
      </c>
      <c r="C59" s="2">
        <v>5</v>
      </c>
      <c r="D59" s="2">
        <f>VLOOKUP(C59,Course!$A$1:$C$229, 2, FALSE)</f>
        <v>0</v>
      </c>
      <c r="E59" s="2">
        <v>11</v>
      </c>
      <c r="F59" s="2" t="s">
        <v>803</v>
      </c>
      <c r="G59" s="2">
        <v>1</v>
      </c>
      <c r="H59" s="21">
        <v>0.8</v>
      </c>
      <c r="I59" s="2">
        <v>1</v>
      </c>
    </row>
    <row r="60" spans="1:9" ht="15.75" hidden="1" customHeight="1" x14ac:dyDescent="0.2">
      <c r="A60" s="11">
        <v>59</v>
      </c>
      <c r="B60" s="2">
        <v>59</v>
      </c>
      <c r="C60" s="2">
        <v>5</v>
      </c>
      <c r="D60" s="2">
        <f>VLOOKUP(C60,Course!$A$1:$C$229, 2, FALSE)</f>
        <v>0</v>
      </c>
      <c r="E60" s="2">
        <v>12</v>
      </c>
      <c r="F60" s="2" t="s">
        <v>804</v>
      </c>
      <c r="G60" s="2">
        <v>1</v>
      </c>
      <c r="H60" s="21">
        <v>0.8</v>
      </c>
      <c r="I60" s="2">
        <v>1</v>
      </c>
    </row>
    <row r="61" spans="1:9" ht="15.75" hidden="1" customHeight="1" x14ac:dyDescent="0.2">
      <c r="A61" s="11">
        <v>60</v>
      </c>
      <c r="B61" s="2">
        <v>60</v>
      </c>
      <c r="C61" s="2">
        <v>6</v>
      </c>
      <c r="D61" s="2" t="str">
        <f>VLOOKUP(C61,Course!$A$1:$C$229, 2, FALSE)</f>
        <v>Science 1</v>
      </c>
      <c r="E61" s="2">
        <v>1</v>
      </c>
      <c r="F61" s="2" t="s">
        <v>805</v>
      </c>
      <c r="G61" s="2">
        <v>1</v>
      </c>
      <c r="H61" s="21">
        <v>0.8</v>
      </c>
      <c r="I61" s="2">
        <v>1</v>
      </c>
    </row>
    <row r="62" spans="1:9" ht="15.75" hidden="1" customHeight="1" x14ac:dyDescent="0.2">
      <c r="A62" s="11">
        <v>61</v>
      </c>
      <c r="B62" s="2">
        <v>61</v>
      </c>
      <c r="C62" s="2">
        <v>6</v>
      </c>
      <c r="D62" s="2" t="str">
        <f>VLOOKUP(C62,Course!$A$1:$C$229, 2, FALSE)</f>
        <v>Science 1</v>
      </c>
      <c r="E62" s="2">
        <v>2</v>
      </c>
      <c r="F62" s="2" t="s">
        <v>806</v>
      </c>
      <c r="G62" s="2">
        <v>1</v>
      </c>
      <c r="H62" s="21">
        <v>0.8</v>
      </c>
      <c r="I62" s="2">
        <v>1</v>
      </c>
    </row>
    <row r="63" spans="1:9" ht="15.75" hidden="1" customHeight="1" x14ac:dyDescent="0.2">
      <c r="A63" s="11">
        <v>62</v>
      </c>
      <c r="B63" s="2">
        <v>62</v>
      </c>
      <c r="C63" s="2">
        <v>6</v>
      </c>
      <c r="D63" s="2" t="str">
        <f>VLOOKUP(C63,Course!$A$1:$C$229, 2, FALSE)</f>
        <v>Science 1</v>
      </c>
      <c r="E63" s="2">
        <v>3</v>
      </c>
      <c r="F63" s="2" t="s">
        <v>807</v>
      </c>
      <c r="G63" s="2">
        <v>1</v>
      </c>
      <c r="H63" s="21">
        <v>0.8</v>
      </c>
      <c r="I63" s="2">
        <v>1</v>
      </c>
    </row>
    <row r="64" spans="1:9" ht="15.75" hidden="1" customHeight="1" x14ac:dyDescent="0.2">
      <c r="A64" s="11">
        <v>63</v>
      </c>
      <c r="B64" s="2">
        <v>63</v>
      </c>
      <c r="C64" s="2">
        <v>6</v>
      </c>
      <c r="D64" s="2" t="str">
        <f>VLOOKUP(C64,Course!$A$1:$C$229, 2, FALSE)</f>
        <v>Science 1</v>
      </c>
      <c r="E64" s="2">
        <v>4</v>
      </c>
      <c r="F64" s="2" t="s">
        <v>808</v>
      </c>
      <c r="G64" s="2">
        <v>1</v>
      </c>
      <c r="H64" s="21">
        <v>0.8</v>
      </c>
      <c r="I64" s="2">
        <v>1</v>
      </c>
    </row>
    <row r="65" spans="1:9" ht="15.75" hidden="1" customHeight="1" x14ac:dyDescent="0.2">
      <c r="A65" s="11">
        <v>64</v>
      </c>
      <c r="B65" s="2">
        <v>64</v>
      </c>
      <c r="C65" s="2">
        <v>6</v>
      </c>
      <c r="D65" s="2" t="str">
        <f>VLOOKUP(C65,Course!$A$1:$C$229, 2, FALSE)</f>
        <v>Science 1</v>
      </c>
      <c r="E65" s="2">
        <v>5</v>
      </c>
      <c r="F65" s="2" t="s">
        <v>809</v>
      </c>
      <c r="G65" s="2">
        <v>1</v>
      </c>
      <c r="H65" s="21">
        <v>0.8</v>
      </c>
      <c r="I65" s="2">
        <v>1</v>
      </c>
    </row>
    <row r="66" spans="1:9" ht="15.75" hidden="1" customHeight="1" x14ac:dyDescent="0.2">
      <c r="A66" s="11">
        <v>65</v>
      </c>
      <c r="B66" s="2">
        <v>65</v>
      </c>
      <c r="C66" s="2">
        <v>6</v>
      </c>
      <c r="D66" s="2" t="str">
        <f>VLOOKUP(C66,Course!$A$1:$C$229, 2, FALSE)</f>
        <v>Science 1</v>
      </c>
      <c r="E66" s="2">
        <v>6</v>
      </c>
      <c r="F66" s="2" t="s">
        <v>810</v>
      </c>
      <c r="G66" s="2">
        <v>1</v>
      </c>
      <c r="H66" s="21">
        <v>0.8</v>
      </c>
      <c r="I66" s="2">
        <v>1</v>
      </c>
    </row>
    <row r="67" spans="1:9" ht="15.75" hidden="1" customHeight="1" x14ac:dyDescent="0.2">
      <c r="A67" s="11">
        <v>66</v>
      </c>
      <c r="B67" s="2">
        <v>66</v>
      </c>
      <c r="C67" s="2">
        <v>6</v>
      </c>
      <c r="D67" s="2" t="str">
        <f>VLOOKUP(C67,Course!$A$1:$C$229, 2, FALSE)</f>
        <v>Science 1</v>
      </c>
      <c r="E67" s="2">
        <v>7</v>
      </c>
      <c r="F67" s="2" t="s">
        <v>811</v>
      </c>
      <c r="G67" s="2">
        <v>1</v>
      </c>
      <c r="H67" s="21">
        <v>0.8</v>
      </c>
      <c r="I67" s="2">
        <v>1</v>
      </c>
    </row>
    <row r="68" spans="1:9" ht="15.75" hidden="1" customHeight="1" x14ac:dyDescent="0.2">
      <c r="A68" s="11">
        <v>67</v>
      </c>
      <c r="B68" s="2">
        <v>67</v>
      </c>
      <c r="C68" s="2">
        <v>6</v>
      </c>
      <c r="D68" s="2" t="str">
        <f>VLOOKUP(C68,Course!$A$1:$C$229, 2, FALSE)</f>
        <v>Science 1</v>
      </c>
      <c r="E68" s="2">
        <v>8</v>
      </c>
      <c r="F68" s="2" t="s">
        <v>812</v>
      </c>
      <c r="G68" s="2">
        <v>1</v>
      </c>
      <c r="H68" s="21">
        <v>0.8</v>
      </c>
      <c r="I68" s="2">
        <v>1</v>
      </c>
    </row>
    <row r="69" spans="1:9" ht="15.75" hidden="1" customHeight="1" x14ac:dyDescent="0.2">
      <c r="A69" s="11">
        <v>68</v>
      </c>
      <c r="B69" s="2">
        <v>68</v>
      </c>
      <c r="C69" s="2">
        <v>6</v>
      </c>
      <c r="D69" s="2" t="str">
        <f>VLOOKUP(C69,Course!$A$1:$C$229, 2, FALSE)</f>
        <v>Science 1</v>
      </c>
      <c r="E69" s="2">
        <v>9</v>
      </c>
      <c r="F69" s="2" t="s">
        <v>813</v>
      </c>
      <c r="G69" s="2">
        <v>1</v>
      </c>
      <c r="H69" s="21">
        <v>0.8</v>
      </c>
      <c r="I69" s="2">
        <v>1</v>
      </c>
    </row>
    <row r="70" spans="1:9" ht="15.75" hidden="1" customHeight="1" x14ac:dyDescent="0.2">
      <c r="A70" s="11">
        <v>69</v>
      </c>
      <c r="B70" s="2">
        <v>69</v>
      </c>
      <c r="C70" s="2">
        <v>6</v>
      </c>
      <c r="D70" s="2" t="str">
        <f>VLOOKUP(C70,Course!$A$1:$C$229, 2, FALSE)</f>
        <v>Science 1</v>
      </c>
      <c r="E70" s="2">
        <v>10</v>
      </c>
      <c r="F70" s="2" t="s">
        <v>814</v>
      </c>
      <c r="G70" s="2">
        <v>1</v>
      </c>
      <c r="H70" s="21">
        <v>0.8</v>
      </c>
      <c r="I70" s="2">
        <v>1</v>
      </c>
    </row>
    <row r="71" spans="1:9" ht="15.75" hidden="1" customHeight="1" x14ac:dyDescent="0.2">
      <c r="A71" s="11">
        <v>70</v>
      </c>
      <c r="B71" s="2">
        <v>70</v>
      </c>
      <c r="C71" s="2">
        <v>6</v>
      </c>
      <c r="D71" s="2" t="str">
        <f>VLOOKUP(C71,Course!$A$1:$C$229, 2, FALSE)</f>
        <v>Science 1</v>
      </c>
      <c r="E71" s="2">
        <v>11</v>
      </c>
      <c r="F71" s="2" t="s">
        <v>815</v>
      </c>
      <c r="G71" s="2">
        <v>1</v>
      </c>
      <c r="H71" s="21">
        <v>0.8</v>
      </c>
      <c r="I71" s="2">
        <v>1</v>
      </c>
    </row>
    <row r="72" spans="1:9" ht="15.75" hidden="1" customHeight="1" x14ac:dyDescent="0.2">
      <c r="A72" s="11">
        <v>71</v>
      </c>
      <c r="B72" s="2">
        <v>71</v>
      </c>
      <c r="C72" s="2">
        <v>6</v>
      </c>
      <c r="D72" s="2" t="str">
        <f>VLOOKUP(C72,Course!$A$1:$C$229, 2, FALSE)</f>
        <v>Science 1</v>
      </c>
      <c r="E72" s="2">
        <v>12</v>
      </c>
      <c r="F72" s="2" t="s">
        <v>816</v>
      </c>
      <c r="G72" s="2">
        <v>1</v>
      </c>
      <c r="H72" s="21">
        <v>0.8</v>
      </c>
      <c r="I72" s="2">
        <v>1</v>
      </c>
    </row>
    <row r="73" spans="1:9" ht="15.75" hidden="1" customHeight="1" x14ac:dyDescent="0.2">
      <c r="A73" s="11">
        <v>72</v>
      </c>
      <c r="B73" s="2">
        <v>72</v>
      </c>
      <c r="C73" s="2">
        <v>7</v>
      </c>
      <c r="D73" s="2">
        <f>VLOOKUP(C73,Course!$A$1:$C$229, 2, FALSE)</f>
        <v>0</v>
      </c>
      <c r="E73" s="2">
        <v>1</v>
      </c>
      <c r="F73" s="2" t="s">
        <v>817</v>
      </c>
      <c r="G73" s="2">
        <v>1</v>
      </c>
      <c r="H73" s="21">
        <v>0.8</v>
      </c>
      <c r="I73" s="2">
        <v>1</v>
      </c>
    </row>
    <row r="74" spans="1:9" ht="15.75" hidden="1" customHeight="1" x14ac:dyDescent="0.2">
      <c r="A74" s="11">
        <v>73</v>
      </c>
      <c r="B74" s="2">
        <v>73</v>
      </c>
      <c r="C74" s="2">
        <v>7</v>
      </c>
      <c r="D74" s="2">
        <f>VLOOKUP(C74,Course!$A$1:$C$229, 2, FALSE)</f>
        <v>0</v>
      </c>
      <c r="E74" s="2">
        <v>2</v>
      </c>
      <c r="F74" s="2" t="s">
        <v>818</v>
      </c>
      <c r="G74" s="2">
        <v>1</v>
      </c>
      <c r="H74" s="21">
        <v>0.8</v>
      </c>
      <c r="I74" s="2">
        <v>1</v>
      </c>
    </row>
    <row r="75" spans="1:9" ht="15.75" hidden="1" customHeight="1" x14ac:dyDescent="0.2">
      <c r="A75" s="11">
        <v>74</v>
      </c>
      <c r="B75" s="2">
        <v>74</v>
      </c>
      <c r="C75" s="2">
        <v>7</v>
      </c>
      <c r="D75" s="2">
        <f>VLOOKUP(C75,Course!$A$1:$C$229, 2, FALSE)</f>
        <v>0</v>
      </c>
      <c r="E75" s="2">
        <v>3</v>
      </c>
      <c r="F75" s="2" t="s">
        <v>819</v>
      </c>
      <c r="G75" s="2">
        <v>1</v>
      </c>
      <c r="H75" s="21">
        <v>0.8</v>
      </c>
      <c r="I75" s="2">
        <v>1</v>
      </c>
    </row>
    <row r="76" spans="1:9" ht="15.75" hidden="1" customHeight="1" x14ac:dyDescent="0.2">
      <c r="A76" s="11">
        <v>75</v>
      </c>
      <c r="B76" s="2">
        <v>75</v>
      </c>
      <c r="C76" s="2">
        <v>7</v>
      </c>
      <c r="D76" s="2">
        <f>VLOOKUP(C76,Course!$A$1:$C$229, 2, FALSE)</f>
        <v>0</v>
      </c>
      <c r="E76" s="2">
        <v>4</v>
      </c>
      <c r="F76" s="2" t="s">
        <v>820</v>
      </c>
      <c r="G76" s="2">
        <v>1</v>
      </c>
      <c r="H76" s="21">
        <v>0.8</v>
      </c>
      <c r="I76" s="2">
        <v>1</v>
      </c>
    </row>
    <row r="77" spans="1:9" ht="15.75" hidden="1" customHeight="1" x14ac:dyDescent="0.2">
      <c r="A77" s="11">
        <v>76</v>
      </c>
      <c r="B77" s="2">
        <v>76</v>
      </c>
      <c r="C77" s="2">
        <v>7</v>
      </c>
      <c r="D77" s="2">
        <f>VLOOKUP(C77,Course!$A$1:$C$229, 2, FALSE)</f>
        <v>0</v>
      </c>
      <c r="E77" s="2">
        <v>5</v>
      </c>
      <c r="F77" s="2" t="s">
        <v>821</v>
      </c>
      <c r="G77" s="2">
        <v>1</v>
      </c>
      <c r="H77" s="21">
        <v>0.8</v>
      </c>
      <c r="I77" s="2">
        <v>1</v>
      </c>
    </row>
    <row r="78" spans="1:9" ht="15.75" hidden="1" customHeight="1" x14ac:dyDescent="0.2">
      <c r="A78" s="11">
        <v>77</v>
      </c>
      <c r="B78" s="2">
        <v>77</v>
      </c>
      <c r="C78" s="2">
        <v>7</v>
      </c>
      <c r="D78" s="2">
        <f>VLOOKUP(C78,Course!$A$1:$C$229, 2, FALSE)</f>
        <v>0</v>
      </c>
      <c r="E78" s="2">
        <v>6</v>
      </c>
      <c r="F78" s="2" t="s">
        <v>822</v>
      </c>
      <c r="G78" s="2">
        <v>1</v>
      </c>
      <c r="H78" s="21">
        <v>0.8</v>
      </c>
      <c r="I78" s="2">
        <v>1</v>
      </c>
    </row>
    <row r="79" spans="1:9" ht="15.75" hidden="1" customHeight="1" x14ac:dyDescent="0.2">
      <c r="A79" s="11">
        <v>78</v>
      </c>
      <c r="B79" s="2">
        <v>78</v>
      </c>
      <c r="C79" s="2">
        <v>7</v>
      </c>
      <c r="D79" s="2">
        <f>VLOOKUP(C79,Course!$A$1:$C$229, 2, FALSE)</f>
        <v>0</v>
      </c>
      <c r="E79" s="2">
        <v>7</v>
      </c>
      <c r="F79" s="2" t="s">
        <v>823</v>
      </c>
      <c r="G79" s="2">
        <v>1</v>
      </c>
      <c r="H79" s="21">
        <v>0.8</v>
      </c>
      <c r="I79" s="2">
        <v>1</v>
      </c>
    </row>
    <row r="80" spans="1:9" ht="15.75" hidden="1" customHeight="1" x14ac:dyDescent="0.2">
      <c r="A80" s="11">
        <v>79</v>
      </c>
      <c r="B80" s="2">
        <v>79</v>
      </c>
      <c r="C80" s="2">
        <v>7</v>
      </c>
      <c r="D80" s="2">
        <f>VLOOKUP(C80,Course!$A$1:$C$229, 2, FALSE)</f>
        <v>0</v>
      </c>
      <c r="E80" s="2">
        <v>8</v>
      </c>
      <c r="F80" s="2" t="s">
        <v>824</v>
      </c>
      <c r="G80" s="2">
        <v>1</v>
      </c>
      <c r="H80" s="21">
        <v>0.8</v>
      </c>
      <c r="I80" s="2">
        <v>1</v>
      </c>
    </row>
    <row r="81" spans="1:9" ht="15.75" hidden="1" customHeight="1" x14ac:dyDescent="0.2">
      <c r="A81" s="11">
        <v>80</v>
      </c>
      <c r="B81" s="2">
        <v>80</v>
      </c>
      <c r="C81" s="2">
        <v>7</v>
      </c>
      <c r="D81" s="2">
        <f>VLOOKUP(C81,Course!$A$1:$C$229, 2, FALSE)</f>
        <v>0</v>
      </c>
      <c r="E81" s="2">
        <v>9</v>
      </c>
      <c r="F81" s="2" t="s">
        <v>825</v>
      </c>
      <c r="G81" s="2">
        <v>1</v>
      </c>
      <c r="H81" s="21">
        <v>0.8</v>
      </c>
      <c r="I81" s="2">
        <v>1</v>
      </c>
    </row>
    <row r="82" spans="1:9" ht="15.75" hidden="1" customHeight="1" x14ac:dyDescent="0.2">
      <c r="A82" s="11">
        <v>81</v>
      </c>
      <c r="B82" s="2">
        <v>81</v>
      </c>
      <c r="C82" s="2">
        <v>7</v>
      </c>
      <c r="D82" s="2">
        <f>VLOOKUP(C82,Course!$A$1:$C$229, 2, FALSE)</f>
        <v>0</v>
      </c>
      <c r="E82" s="2">
        <v>10</v>
      </c>
      <c r="F82" s="2" t="s">
        <v>826</v>
      </c>
      <c r="G82" s="2">
        <v>1</v>
      </c>
      <c r="H82" s="21">
        <v>0.8</v>
      </c>
      <c r="I82" s="2">
        <v>1</v>
      </c>
    </row>
    <row r="83" spans="1:9" ht="15.75" hidden="1" customHeight="1" x14ac:dyDescent="0.2">
      <c r="A83" s="11">
        <v>82</v>
      </c>
      <c r="B83" s="2">
        <v>82</v>
      </c>
      <c r="C83" s="2">
        <v>7</v>
      </c>
      <c r="D83" s="2">
        <f>VLOOKUP(C83,Course!$A$1:$C$229, 2, FALSE)</f>
        <v>0</v>
      </c>
      <c r="E83" s="2">
        <v>11</v>
      </c>
      <c r="F83" s="2" t="s">
        <v>827</v>
      </c>
      <c r="G83" s="2">
        <v>1</v>
      </c>
      <c r="H83" s="21">
        <v>0.8</v>
      </c>
      <c r="I83" s="2">
        <v>1</v>
      </c>
    </row>
    <row r="84" spans="1:9" ht="15.75" hidden="1" customHeight="1" x14ac:dyDescent="0.2">
      <c r="A84" s="11">
        <v>83</v>
      </c>
      <c r="B84" s="2">
        <v>83</v>
      </c>
      <c r="C84" s="2">
        <v>7</v>
      </c>
      <c r="D84" s="2">
        <f>VLOOKUP(C84,Course!$A$1:$C$229, 2, FALSE)</f>
        <v>0</v>
      </c>
      <c r="E84" s="2">
        <v>12</v>
      </c>
      <c r="F84" s="2" t="s">
        <v>828</v>
      </c>
      <c r="G84" s="2">
        <v>1</v>
      </c>
      <c r="H84" s="21">
        <v>0.8</v>
      </c>
      <c r="I84" s="2">
        <v>1</v>
      </c>
    </row>
    <row r="85" spans="1:9" ht="15.75" hidden="1" customHeight="1" x14ac:dyDescent="0.2">
      <c r="A85" s="11">
        <v>84</v>
      </c>
      <c r="B85" s="2">
        <v>84</v>
      </c>
      <c r="C85" s="2">
        <v>8</v>
      </c>
      <c r="D85" s="2">
        <f>VLOOKUP(C85,Course!$A$1:$C$229, 2, FALSE)</f>
        <v>0</v>
      </c>
      <c r="E85" s="2">
        <v>1</v>
      </c>
      <c r="F85" s="2" t="s">
        <v>829</v>
      </c>
      <c r="G85" s="2">
        <v>1</v>
      </c>
      <c r="H85" s="21">
        <v>0.8</v>
      </c>
      <c r="I85" s="2">
        <v>1</v>
      </c>
    </row>
    <row r="86" spans="1:9" ht="15.75" hidden="1" customHeight="1" x14ac:dyDescent="0.2">
      <c r="A86" s="11">
        <v>85</v>
      </c>
      <c r="B86" s="2">
        <v>85</v>
      </c>
      <c r="C86" s="2">
        <v>8</v>
      </c>
      <c r="D86" s="2">
        <f>VLOOKUP(C86,Course!$A$1:$C$229, 2, FALSE)</f>
        <v>0</v>
      </c>
      <c r="E86" s="2">
        <v>2</v>
      </c>
      <c r="F86" s="2" t="s">
        <v>830</v>
      </c>
      <c r="G86" s="2">
        <v>1</v>
      </c>
      <c r="H86" s="21">
        <v>0.8</v>
      </c>
      <c r="I86" s="2">
        <v>1</v>
      </c>
    </row>
    <row r="87" spans="1:9" ht="15.75" hidden="1" customHeight="1" x14ac:dyDescent="0.2">
      <c r="A87" s="11">
        <v>86</v>
      </c>
      <c r="B87" s="2">
        <v>86</v>
      </c>
      <c r="C87" s="2">
        <v>8</v>
      </c>
      <c r="D87" s="2">
        <f>VLOOKUP(C87,Course!$A$1:$C$229, 2, FALSE)</f>
        <v>0</v>
      </c>
      <c r="E87" s="2">
        <v>3</v>
      </c>
      <c r="F87" s="2" t="s">
        <v>831</v>
      </c>
      <c r="G87" s="2">
        <v>1</v>
      </c>
      <c r="H87" s="21">
        <v>0.8</v>
      </c>
      <c r="I87" s="2">
        <v>1</v>
      </c>
    </row>
    <row r="88" spans="1:9" ht="15.75" hidden="1" customHeight="1" x14ac:dyDescent="0.2">
      <c r="A88" s="11">
        <v>87</v>
      </c>
      <c r="B88" s="2">
        <v>87</v>
      </c>
      <c r="C88" s="2">
        <v>8</v>
      </c>
      <c r="D88" s="2">
        <f>VLOOKUP(C88,Course!$A$1:$C$229, 2, FALSE)</f>
        <v>0</v>
      </c>
      <c r="E88" s="2">
        <v>4</v>
      </c>
      <c r="F88" s="2" t="s">
        <v>832</v>
      </c>
      <c r="G88" s="2">
        <v>1</v>
      </c>
      <c r="H88" s="21">
        <v>0.8</v>
      </c>
      <c r="I88" s="2">
        <v>1</v>
      </c>
    </row>
    <row r="89" spans="1:9" ht="15.75" hidden="1" customHeight="1" x14ac:dyDescent="0.2">
      <c r="A89" s="11">
        <v>88</v>
      </c>
      <c r="B89" s="2">
        <v>88</v>
      </c>
      <c r="C89" s="2">
        <v>8</v>
      </c>
      <c r="D89" s="2">
        <f>VLOOKUP(C89,Course!$A$1:$C$229, 2, FALSE)</f>
        <v>0</v>
      </c>
      <c r="E89" s="2">
        <v>5</v>
      </c>
      <c r="F89" s="2" t="s">
        <v>833</v>
      </c>
      <c r="G89" s="2">
        <v>1</v>
      </c>
      <c r="H89" s="21">
        <v>0.8</v>
      </c>
      <c r="I89" s="2">
        <v>1</v>
      </c>
    </row>
    <row r="90" spans="1:9" ht="15.75" hidden="1" customHeight="1" x14ac:dyDescent="0.2">
      <c r="A90" s="11">
        <v>89</v>
      </c>
      <c r="B90" s="2">
        <v>89</v>
      </c>
      <c r="C90" s="2">
        <v>8</v>
      </c>
      <c r="D90" s="2">
        <f>VLOOKUP(C90,Course!$A$1:$C$229, 2, FALSE)</f>
        <v>0</v>
      </c>
      <c r="E90" s="2">
        <v>6</v>
      </c>
      <c r="F90" s="2" t="s">
        <v>834</v>
      </c>
      <c r="G90" s="2">
        <v>1</v>
      </c>
      <c r="H90" s="21">
        <v>0.8</v>
      </c>
      <c r="I90" s="2">
        <v>1</v>
      </c>
    </row>
    <row r="91" spans="1:9" ht="15.75" hidden="1" customHeight="1" x14ac:dyDescent="0.2">
      <c r="A91" s="11">
        <v>90</v>
      </c>
      <c r="B91" s="2">
        <v>90</v>
      </c>
      <c r="C91" s="2">
        <v>8</v>
      </c>
      <c r="D91" s="2">
        <f>VLOOKUP(C91,Course!$A$1:$C$229, 2, FALSE)</f>
        <v>0</v>
      </c>
      <c r="E91" s="2">
        <v>7</v>
      </c>
      <c r="F91" s="2" t="s">
        <v>835</v>
      </c>
      <c r="G91" s="2">
        <v>1</v>
      </c>
      <c r="H91" s="21">
        <v>0.8</v>
      </c>
      <c r="I91" s="2">
        <v>1</v>
      </c>
    </row>
    <row r="92" spans="1:9" ht="15.75" hidden="1" customHeight="1" x14ac:dyDescent="0.2">
      <c r="A92" s="11">
        <v>91</v>
      </c>
      <c r="B92" s="2">
        <v>91</v>
      </c>
      <c r="C92" s="2">
        <v>8</v>
      </c>
      <c r="D92" s="2">
        <f>VLOOKUP(C92,Course!$A$1:$C$229, 2, FALSE)</f>
        <v>0</v>
      </c>
      <c r="E92" s="2">
        <v>8</v>
      </c>
      <c r="F92" s="2" t="s">
        <v>836</v>
      </c>
      <c r="G92" s="2">
        <v>1</v>
      </c>
      <c r="H92" s="21">
        <v>0.8</v>
      </c>
      <c r="I92" s="2">
        <v>1</v>
      </c>
    </row>
    <row r="93" spans="1:9" ht="15.75" hidden="1" customHeight="1" x14ac:dyDescent="0.2">
      <c r="A93" s="11">
        <v>92</v>
      </c>
      <c r="B93" s="2">
        <v>92</v>
      </c>
      <c r="C93" s="2">
        <v>8</v>
      </c>
      <c r="D93" s="2">
        <f>VLOOKUP(C93,Course!$A$1:$C$229, 2, FALSE)</f>
        <v>0</v>
      </c>
      <c r="E93" s="2">
        <v>9</v>
      </c>
      <c r="F93" s="2" t="s">
        <v>837</v>
      </c>
      <c r="G93" s="2">
        <v>1</v>
      </c>
      <c r="H93" s="21">
        <v>0.8</v>
      </c>
      <c r="I93" s="2">
        <v>1</v>
      </c>
    </row>
    <row r="94" spans="1:9" ht="15.75" hidden="1" customHeight="1" x14ac:dyDescent="0.2">
      <c r="A94" s="11">
        <v>93</v>
      </c>
      <c r="B94" s="2">
        <v>93</v>
      </c>
      <c r="C94" s="2">
        <v>8</v>
      </c>
      <c r="D94" s="2">
        <f>VLOOKUP(C94,Course!$A$1:$C$229, 2, FALSE)</f>
        <v>0</v>
      </c>
      <c r="E94" s="2">
        <v>10</v>
      </c>
      <c r="F94" s="2" t="s">
        <v>838</v>
      </c>
      <c r="G94" s="2">
        <v>1</v>
      </c>
      <c r="H94" s="21">
        <v>0.8</v>
      </c>
      <c r="I94" s="2">
        <v>1</v>
      </c>
    </row>
    <row r="95" spans="1:9" ht="15.75" hidden="1" customHeight="1" x14ac:dyDescent="0.2">
      <c r="A95" s="11">
        <v>94</v>
      </c>
      <c r="B95" s="2">
        <v>94</v>
      </c>
      <c r="C95" s="2">
        <v>8</v>
      </c>
      <c r="D95" s="2">
        <f>VLOOKUP(C95,Course!$A$1:$C$229, 2, FALSE)</f>
        <v>0</v>
      </c>
      <c r="E95" s="2">
        <v>11</v>
      </c>
      <c r="F95" s="2" t="s">
        <v>839</v>
      </c>
      <c r="G95" s="2">
        <v>1</v>
      </c>
      <c r="H95" s="21">
        <v>0.8</v>
      </c>
      <c r="I95" s="2">
        <v>1</v>
      </c>
    </row>
    <row r="96" spans="1:9" ht="15.75" hidden="1" customHeight="1" x14ac:dyDescent="0.2">
      <c r="A96" s="11">
        <v>95</v>
      </c>
      <c r="B96" s="2">
        <v>95</v>
      </c>
      <c r="C96" s="2">
        <v>8</v>
      </c>
      <c r="D96" s="2">
        <f>VLOOKUP(C96,Course!$A$1:$C$229, 2, FALSE)</f>
        <v>0</v>
      </c>
      <c r="E96" s="2">
        <v>12</v>
      </c>
      <c r="F96" s="2" t="s">
        <v>840</v>
      </c>
      <c r="G96" s="2">
        <v>1</v>
      </c>
      <c r="H96" s="21">
        <v>0.8</v>
      </c>
      <c r="I96" s="2">
        <v>1</v>
      </c>
    </row>
    <row r="97" spans="1:9" ht="15.75" hidden="1" customHeight="1" x14ac:dyDescent="0.2">
      <c r="A97" s="11">
        <v>96</v>
      </c>
      <c r="B97" s="2">
        <v>96</v>
      </c>
      <c r="C97" s="2">
        <v>9</v>
      </c>
      <c r="D97" s="2">
        <f>VLOOKUP(C97,Course!$A$1:$C$229, 2, FALSE)</f>
        <v>0</v>
      </c>
      <c r="E97" s="2">
        <v>13</v>
      </c>
      <c r="F97" s="2" t="s">
        <v>841</v>
      </c>
      <c r="G97" s="2">
        <v>1</v>
      </c>
      <c r="H97" s="21">
        <v>0.8</v>
      </c>
      <c r="I97" s="2">
        <v>1</v>
      </c>
    </row>
    <row r="98" spans="1:9" ht="15.75" hidden="1" customHeight="1" x14ac:dyDescent="0.2">
      <c r="A98" s="11">
        <v>97</v>
      </c>
      <c r="B98" s="2">
        <v>97</v>
      </c>
      <c r="C98" s="2">
        <v>9</v>
      </c>
      <c r="D98" s="2">
        <f>VLOOKUP(C98,Course!$A$1:$C$229, 2, FALSE)</f>
        <v>0</v>
      </c>
      <c r="E98" s="2">
        <v>14</v>
      </c>
      <c r="F98" s="2" t="s">
        <v>842</v>
      </c>
      <c r="G98" s="2">
        <v>1</v>
      </c>
      <c r="H98" s="21">
        <v>0.8</v>
      </c>
      <c r="I98" s="2">
        <v>1</v>
      </c>
    </row>
    <row r="99" spans="1:9" ht="15.75" hidden="1" customHeight="1" x14ac:dyDescent="0.2">
      <c r="A99" s="11">
        <v>98</v>
      </c>
      <c r="B99" s="2">
        <v>98</v>
      </c>
      <c r="C99" s="2">
        <v>9</v>
      </c>
      <c r="D99" s="2">
        <f>VLOOKUP(C99,Course!$A$1:$C$229, 2, FALSE)</f>
        <v>0</v>
      </c>
      <c r="E99" s="2">
        <v>15</v>
      </c>
      <c r="F99" s="2" t="s">
        <v>843</v>
      </c>
      <c r="G99" s="2">
        <v>1</v>
      </c>
      <c r="H99" s="21">
        <v>0.8</v>
      </c>
      <c r="I99" s="2">
        <v>1</v>
      </c>
    </row>
    <row r="100" spans="1:9" ht="15.75" hidden="1" customHeight="1" x14ac:dyDescent="0.2">
      <c r="A100" s="11">
        <v>99</v>
      </c>
      <c r="B100" s="2">
        <v>99</v>
      </c>
      <c r="C100" s="2">
        <v>9</v>
      </c>
      <c r="D100" s="2">
        <f>VLOOKUP(C100,Course!$A$1:$C$229, 2, FALSE)</f>
        <v>0</v>
      </c>
      <c r="E100" s="2">
        <v>16</v>
      </c>
      <c r="F100" s="2" t="s">
        <v>844</v>
      </c>
      <c r="G100" s="2">
        <v>1</v>
      </c>
      <c r="H100" s="21">
        <v>0.8</v>
      </c>
      <c r="I100" s="2">
        <v>1</v>
      </c>
    </row>
    <row r="101" spans="1:9" ht="15.75" hidden="1" customHeight="1" x14ac:dyDescent="0.2">
      <c r="A101" s="11">
        <v>100</v>
      </c>
      <c r="B101" s="2">
        <v>100</v>
      </c>
      <c r="C101" s="2">
        <v>9</v>
      </c>
      <c r="D101" s="2">
        <f>VLOOKUP(C101,Course!$A$1:$C$229, 2, FALSE)</f>
        <v>0</v>
      </c>
      <c r="E101" s="2">
        <v>17</v>
      </c>
      <c r="F101" s="2" t="s">
        <v>845</v>
      </c>
      <c r="G101" s="2">
        <v>1</v>
      </c>
      <c r="H101" s="21">
        <v>0.8</v>
      </c>
      <c r="I101" s="2">
        <v>1</v>
      </c>
    </row>
    <row r="102" spans="1:9" ht="15.75" hidden="1" customHeight="1" x14ac:dyDescent="0.2">
      <c r="A102" s="11">
        <v>101</v>
      </c>
      <c r="B102" s="2">
        <v>101</v>
      </c>
      <c r="C102" s="2">
        <v>9</v>
      </c>
      <c r="D102" s="2">
        <f>VLOOKUP(C102,Course!$A$1:$C$229, 2, FALSE)</f>
        <v>0</v>
      </c>
      <c r="E102" s="2">
        <v>18</v>
      </c>
      <c r="F102" s="2" t="s">
        <v>846</v>
      </c>
      <c r="G102" s="2">
        <v>1</v>
      </c>
      <c r="H102" s="21">
        <v>0.8</v>
      </c>
      <c r="I102" s="2">
        <v>1</v>
      </c>
    </row>
    <row r="103" spans="1:9" ht="15.75" hidden="1" customHeight="1" x14ac:dyDescent="0.2">
      <c r="A103" s="11">
        <v>102</v>
      </c>
      <c r="B103" s="2">
        <v>102</v>
      </c>
      <c r="C103" s="2">
        <v>9</v>
      </c>
      <c r="D103" s="2">
        <f>VLOOKUP(C103,Course!$A$1:$C$229, 2, FALSE)</f>
        <v>0</v>
      </c>
      <c r="E103" s="2">
        <v>19</v>
      </c>
      <c r="F103" s="2" t="s">
        <v>847</v>
      </c>
      <c r="G103" s="2">
        <v>1</v>
      </c>
      <c r="H103" s="21">
        <v>0.8</v>
      </c>
      <c r="I103" s="2">
        <v>1</v>
      </c>
    </row>
    <row r="104" spans="1:9" ht="15.75" hidden="1" customHeight="1" x14ac:dyDescent="0.2">
      <c r="A104" s="11">
        <v>103</v>
      </c>
      <c r="B104" s="2">
        <v>103</v>
      </c>
      <c r="C104" s="2">
        <v>9</v>
      </c>
      <c r="D104" s="2">
        <f>VLOOKUP(C104,Course!$A$1:$C$229, 2, FALSE)</f>
        <v>0</v>
      </c>
      <c r="E104" s="2">
        <v>20</v>
      </c>
      <c r="F104" s="2" t="s">
        <v>848</v>
      </c>
      <c r="G104" s="2">
        <v>1</v>
      </c>
      <c r="H104" s="21">
        <v>0.8</v>
      </c>
      <c r="I104" s="2">
        <v>1</v>
      </c>
    </row>
    <row r="105" spans="1:9" ht="15.75" hidden="1" customHeight="1" x14ac:dyDescent="0.2">
      <c r="A105" s="11">
        <v>104</v>
      </c>
      <c r="B105" s="2">
        <v>104</v>
      </c>
      <c r="C105" s="2">
        <v>9</v>
      </c>
      <c r="D105" s="2">
        <f>VLOOKUP(C105,Course!$A$1:$C$229, 2, FALSE)</f>
        <v>0</v>
      </c>
      <c r="E105" s="2">
        <v>21</v>
      </c>
      <c r="F105" s="2" t="s">
        <v>849</v>
      </c>
      <c r="G105" s="2">
        <v>1</v>
      </c>
      <c r="H105" s="21">
        <v>0.8</v>
      </c>
      <c r="I105" s="2">
        <v>1</v>
      </c>
    </row>
    <row r="106" spans="1:9" ht="15.75" hidden="1" customHeight="1" x14ac:dyDescent="0.2">
      <c r="A106" s="11">
        <v>105</v>
      </c>
      <c r="B106" s="2">
        <v>105</v>
      </c>
      <c r="C106" s="2">
        <v>9</v>
      </c>
      <c r="D106" s="2">
        <f>VLOOKUP(C106,Course!$A$1:$C$229, 2, FALSE)</f>
        <v>0</v>
      </c>
      <c r="E106" s="2">
        <v>22</v>
      </c>
      <c r="F106" s="2" t="s">
        <v>850</v>
      </c>
      <c r="G106" s="2">
        <v>1</v>
      </c>
      <c r="H106" s="21">
        <v>0.8</v>
      </c>
      <c r="I106" s="2">
        <v>1</v>
      </c>
    </row>
    <row r="107" spans="1:9" ht="15.75" hidden="1" customHeight="1" x14ac:dyDescent="0.2">
      <c r="A107" s="11">
        <v>106</v>
      </c>
      <c r="B107" s="2">
        <v>106</v>
      </c>
      <c r="C107" s="2">
        <v>9</v>
      </c>
      <c r="D107" s="2">
        <f>VLOOKUP(C107,Course!$A$1:$C$229, 2, FALSE)</f>
        <v>0</v>
      </c>
      <c r="E107" s="2">
        <v>23</v>
      </c>
      <c r="F107" s="2" t="s">
        <v>851</v>
      </c>
      <c r="G107" s="2">
        <v>1</v>
      </c>
      <c r="H107" s="21">
        <v>0.8</v>
      </c>
      <c r="I107" s="2">
        <v>1</v>
      </c>
    </row>
    <row r="108" spans="1:9" ht="15.75" hidden="1" customHeight="1" x14ac:dyDescent="0.2">
      <c r="A108" s="11">
        <v>107</v>
      </c>
      <c r="B108" s="2">
        <v>107</v>
      </c>
      <c r="C108" s="2">
        <v>9</v>
      </c>
      <c r="D108" s="2">
        <f>VLOOKUP(C108,Course!$A$1:$C$229, 2, FALSE)</f>
        <v>0</v>
      </c>
      <c r="E108" s="2">
        <v>24</v>
      </c>
      <c r="F108" s="2" t="s">
        <v>852</v>
      </c>
      <c r="G108" s="2">
        <v>1</v>
      </c>
      <c r="H108" s="21">
        <v>0.8</v>
      </c>
      <c r="I108" s="2">
        <v>1</v>
      </c>
    </row>
    <row r="109" spans="1:9" ht="15.75" hidden="1" customHeight="1" x14ac:dyDescent="0.2">
      <c r="A109" s="11">
        <v>108</v>
      </c>
      <c r="B109" s="2">
        <v>108</v>
      </c>
      <c r="C109" s="2">
        <v>10</v>
      </c>
      <c r="D109" s="2">
        <f>VLOOKUP(C109,Course!$A$1:$C$229, 2, FALSE)</f>
        <v>0</v>
      </c>
      <c r="E109" s="2">
        <v>13</v>
      </c>
      <c r="F109" s="2" t="s">
        <v>853</v>
      </c>
      <c r="G109" s="2">
        <v>1</v>
      </c>
      <c r="H109" s="21">
        <v>0.8</v>
      </c>
      <c r="I109" s="2">
        <v>1</v>
      </c>
    </row>
    <row r="110" spans="1:9" ht="15.75" hidden="1" customHeight="1" x14ac:dyDescent="0.2">
      <c r="A110" s="11">
        <v>109</v>
      </c>
      <c r="B110" s="2">
        <v>109</v>
      </c>
      <c r="C110" s="2">
        <v>10</v>
      </c>
      <c r="D110" s="2">
        <f>VLOOKUP(C110,Course!$A$1:$C$229, 2, FALSE)</f>
        <v>0</v>
      </c>
      <c r="E110" s="2">
        <v>14</v>
      </c>
      <c r="F110" s="2" t="s">
        <v>854</v>
      </c>
      <c r="G110" s="2">
        <v>1</v>
      </c>
      <c r="H110" s="21">
        <v>0.8</v>
      </c>
      <c r="I110" s="2">
        <v>1</v>
      </c>
    </row>
    <row r="111" spans="1:9" ht="15.75" hidden="1" customHeight="1" x14ac:dyDescent="0.2">
      <c r="A111" s="11">
        <v>110</v>
      </c>
      <c r="B111" s="2">
        <v>110</v>
      </c>
      <c r="C111" s="2">
        <v>10</v>
      </c>
      <c r="D111" s="2">
        <f>VLOOKUP(C111,Course!$A$1:$C$229, 2, FALSE)</f>
        <v>0</v>
      </c>
      <c r="E111" s="2">
        <v>15</v>
      </c>
      <c r="F111" s="2" t="s">
        <v>855</v>
      </c>
      <c r="G111" s="2">
        <v>1</v>
      </c>
      <c r="H111" s="21">
        <v>0.8</v>
      </c>
      <c r="I111" s="2">
        <v>1</v>
      </c>
    </row>
    <row r="112" spans="1:9" ht="15.75" hidden="1" customHeight="1" x14ac:dyDescent="0.2">
      <c r="A112" s="11">
        <v>111</v>
      </c>
      <c r="B112" s="2">
        <v>111</v>
      </c>
      <c r="C112" s="2">
        <v>10</v>
      </c>
      <c r="D112" s="2">
        <f>VLOOKUP(C112,Course!$A$1:$C$229, 2, FALSE)</f>
        <v>0</v>
      </c>
      <c r="E112" s="2">
        <v>16</v>
      </c>
      <c r="F112" s="2" t="s">
        <v>856</v>
      </c>
      <c r="G112" s="2">
        <v>1</v>
      </c>
      <c r="H112" s="21">
        <v>0.8</v>
      </c>
      <c r="I112" s="2">
        <v>1</v>
      </c>
    </row>
    <row r="113" spans="1:9" ht="15.75" hidden="1" customHeight="1" x14ac:dyDescent="0.2">
      <c r="A113" s="11">
        <v>112</v>
      </c>
      <c r="B113" s="2">
        <v>112</v>
      </c>
      <c r="C113" s="2">
        <v>10</v>
      </c>
      <c r="D113" s="2">
        <f>VLOOKUP(C113,Course!$A$1:$C$229, 2, FALSE)</f>
        <v>0</v>
      </c>
      <c r="E113" s="2">
        <v>17</v>
      </c>
      <c r="F113" s="2" t="s">
        <v>857</v>
      </c>
      <c r="G113" s="2">
        <v>1</v>
      </c>
      <c r="H113" s="21">
        <v>0.8</v>
      </c>
      <c r="I113" s="2">
        <v>1</v>
      </c>
    </row>
    <row r="114" spans="1:9" ht="15.75" hidden="1" customHeight="1" x14ac:dyDescent="0.2">
      <c r="A114" s="11">
        <v>113</v>
      </c>
      <c r="B114" s="2">
        <v>113</v>
      </c>
      <c r="C114" s="2">
        <v>10</v>
      </c>
      <c r="D114" s="2">
        <f>VLOOKUP(C114,Course!$A$1:$C$229, 2, FALSE)</f>
        <v>0</v>
      </c>
      <c r="E114" s="2">
        <v>18</v>
      </c>
      <c r="F114" s="2" t="s">
        <v>858</v>
      </c>
      <c r="G114" s="2">
        <v>1</v>
      </c>
      <c r="H114" s="21">
        <v>0.8</v>
      </c>
      <c r="I114" s="2">
        <v>1</v>
      </c>
    </row>
    <row r="115" spans="1:9" ht="15.75" hidden="1" customHeight="1" x14ac:dyDescent="0.2">
      <c r="A115" s="11">
        <v>114</v>
      </c>
      <c r="B115" s="2">
        <v>114</v>
      </c>
      <c r="C115" s="2">
        <v>10</v>
      </c>
      <c r="D115" s="2">
        <f>VLOOKUP(C115,Course!$A$1:$C$229, 2, FALSE)</f>
        <v>0</v>
      </c>
      <c r="E115" s="2">
        <v>19</v>
      </c>
      <c r="F115" s="2" t="s">
        <v>859</v>
      </c>
      <c r="G115" s="2">
        <v>1</v>
      </c>
      <c r="H115" s="21">
        <v>0.8</v>
      </c>
      <c r="I115" s="2">
        <v>1</v>
      </c>
    </row>
    <row r="116" spans="1:9" ht="15.75" hidden="1" customHeight="1" x14ac:dyDescent="0.2">
      <c r="A116" s="11">
        <v>115</v>
      </c>
      <c r="B116" s="2">
        <v>115</v>
      </c>
      <c r="C116" s="2">
        <v>10</v>
      </c>
      <c r="D116" s="2">
        <f>VLOOKUP(C116,Course!$A$1:$C$229, 2, FALSE)</f>
        <v>0</v>
      </c>
      <c r="E116" s="2">
        <v>20</v>
      </c>
      <c r="F116" s="2" t="s">
        <v>860</v>
      </c>
      <c r="G116" s="2">
        <v>1</v>
      </c>
      <c r="H116" s="21">
        <v>0.8</v>
      </c>
      <c r="I116" s="2">
        <v>1</v>
      </c>
    </row>
    <row r="117" spans="1:9" ht="15.75" hidden="1" customHeight="1" x14ac:dyDescent="0.2">
      <c r="A117" s="11">
        <v>116</v>
      </c>
      <c r="B117" s="2">
        <v>116</v>
      </c>
      <c r="C117" s="2">
        <v>10</v>
      </c>
      <c r="D117" s="2">
        <f>VLOOKUP(C117,Course!$A$1:$C$229, 2, FALSE)</f>
        <v>0</v>
      </c>
      <c r="E117" s="2">
        <v>21</v>
      </c>
      <c r="F117" s="2" t="s">
        <v>861</v>
      </c>
      <c r="G117" s="2">
        <v>1</v>
      </c>
      <c r="H117" s="21">
        <v>0.8</v>
      </c>
      <c r="I117" s="2">
        <v>1</v>
      </c>
    </row>
    <row r="118" spans="1:9" ht="15.75" hidden="1" customHeight="1" x14ac:dyDescent="0.2">
      <c r="A118" s="11">
        <v>117</v>
      </c>
      <c r="B118" s="2">
        <v>117</v>
      </c>
      <c r="C118" s="2">
        <v>10</v>
      </c>
      <c r="D118" s="2">
        <f>VLOOKUP(C118,Course!$A$1:$C$229, 2, FALSE)</f>
        <v>0</v>
      </c>
      <c r="E118" s="2">
        <v>22</v>
      </c>
      <c r="F118" s="2" t="s">
        <v>862</v>
      </c>
      <c r="G118" s="2">
        <v>1</v>
      </c>
      <c r="H118" s="21">
        <v>0.8</v>
      </c>
      <c r="I118" s="2">
        <v>1</v>
      </c>
    </row>
    <row r="119" spans="1:9" ht="15.75" hidden="1" customHeight="1" x14ac:dyDescent="0.2">
      <c r="A119" s="11">
        <v>118</v>
      </c>
      <c r="B119" s="2">
        <v>118</v>
      </c>
      <c r="C119" s="2">
        <v>10</v>
      </c>
      <c r="D119" s="2">
        <f>VLOOKUP(C119,Course!$A$1:$C$229, 2, FALSE)</f>
        <v>0</v>
      </c>
      <c r="E119" s="2">
        <v>23</v>
      </c>
      <c r="F119" s="2" t="s">
        <v>863</v>
      </c>
      <c r="G119" s="2">
        <v>1</v>
      </c>
      <c r="H119" s="21">
        <v>0.8</v>
      </c>
      <c r="I119" s="2">
        <v>1</v>
      </c>
    </row>
    <row r="120" spans="1:9" ht="15.75" hidden="1" customHeight="1" x14ac:dyDescent="0.2">
      <c r="A120" s="11">
        <v>119</v>
      </c>
      <c r="B120" s="2">
        <v>119</v>
      </c>
      <c r="C120" s="2">
        <v>10</v>
      </c>
      <c r="D120" s="2">
        <f>VLOOKUP(C120,Course!$A$1:$C$229, 2, FALSE)</f>
        <v>0</v>
      </c>
      <c r="E120" s="2">
        <v>24</v>
      </c>
      <c r="F120" s="2" t="s">
        <v>864</v>
      </c>
      <c r="G120" s="2">
        <v>1</v>
      </c>
      <c r="H120" s="21">
        <v>0.8</v>
      </c>
      <c r="I120" s="2">
        <v>1</v>
      </c>
    </row>
    <row r="121" spans="1:9" ht="15.75" hidden="1" customHeight="1" x14ac:dyDescent="0.2">
      <c r="A121" s="11">
        <v>120</v>
      </c>
      <c r="B121" s="2">
        <v>120</v>
      </c>
      <c r="C121" s="2">
        <v>11</v>
      </c>
      <c r="D121" s="2">
        <f>VLOOKUP(C121,Course!$A$1:$C$229, 2, FALSE)</f>
        <v>0</v>
      </c>
      <c r="E121" s="2">
        <v>13</v>
      </c>
      <c r="F121" s="2" t="s">
        <v>865</v>
      </c>
      <c r="G121" s="2">
        <v>1</v>
      </c>
      <c r="H121" s="21">
        <v>0.9</v>
      </c>
      <c r="I121" s="2">
        <v>1</v>
      </c>
    </row>
    <row r="122" spans="1:9" ht="15.75" hidden="1" customHeight="1" x14ac:dyDescent="0.2">
      <c r="A122" s="11">
        <v>121</v>
      </c>
      <c r="B122" s="2">
        <v>121</v>
      </c>
      <c r="C122" s="2">
        <v>11</v>
      </c>
      <c r="D122" s="2">
        <f>VLOOKUP(C122,Course!$A$1:$C$229, 2, FALSE)</f>
        <v>0</v>
      </c>
      <c r="E122" s="2">
        <v>14</v>
      </c>
      <c r="F122" s="2" t="s">
        <v>866</v>
      </c>
      <c r="G122" s="2">
        <v>1</v>
      </c>
      <c r="H122" s="21">
        <v>0.9</v>
      </c>
      <c r="I122" s="2">
        <v>1</v>
      </c>
    </row>
    <row r="123" spans="1:9" ht="15.75" hidden="1" customHeight="1" x14ac:dyDescent="0.2">
      <c r="A123" s="11">
        <v>122</v>
      </c>
      <c r="B123" s="2">
        <v>122</v>
      </c>
      <c r="C123" s="2">
        <v>11</v>
      </c>
      <c r="D123" s="2">
        <f>VLOOKUP(C123,Course!$A$1:$C$229, 2, FALSE)</f>
        <v>0</v>
      </c>
      <c r="E123" s="2">
        <v>15</v>
      </c>
      <c r="F123" s="2" t="s">
        <v>867</v>
      </c>
      <c r="G123" s="2">
        <v>1</v>
      </c>
      <c r="H123" s="21">
        <v>0.9</v>
      </c>
      <c r="I123" s="2">
        <v>1</v>
      </c>
    </row>
    <row r="124" spans="1:9" ht="15.75" hidden="1" customHeight="1" x14ac:dyDescent="0.2">
      <c r="A124" s="11">
        <v>123</v>
      </c>
      <c r="B124" s="2">
        <v>123</v>
      </c>
      <c r="C124" s="2">
        <v>11</v>
      </c>
      <c r="D124" s="2">
        <f>VLOOKUP(C124,Course!$A$1:$C$229, 2, FALSE)</f>
        <v>0</v>
      </c>
      <c r="E124" s="2">
        <v>16</v>
      </c>
      <c r="F124" s="2" t="s">
        <v>868</v>
      </c>
      <c r="G124" s="2">
        <v>1</v>
      </c>
      <c r="H124" s="21">
        <v>0.9</v>
      </c>
      <c r="I124" s="2">
        <v>1</v>
      </c>
    </row>
    <row r="125" spans="1:9" ht="15.75" hidden="1" customHeight="1" x14ac:dyDescent="0.2">
      <c r="A125" s="11">
        <v>124</v>
      </c>
      <c r="B125" s="2">
        <v>124</v>
      </c>
      <c r="C125" s="2">
        <v>11</v>
      </c>
      <c r="D125" s="2">
        <f>VLOOKUP(C125,Course!$A$1:$C$229, 2, FALSE)</f>
        <v>0</v>
      </c>
      <c r="E125" s="2">
        <v>17</v>
      </c>
      <c r="F125" s="2" t="s">
        <v>869</v>
      </c>
      <c r="G125" s="2">
        <v>1</v>
      </c>
      <c r="H125" s="21">
        <v>0.9</v>
      </c>
      <c r="I125" s="2">
        <v>1</v>
      </c>
    </row>
    <row r="126" spans="1:9" ht="15.75" hidden="1" customHeight="1" x14ac:dyDescent="0.2">
      <c r="A126" s="11">
        <v>125</v>
      </c>
      <c r="B126" s="2">
        <v>125</v>
      </c>
      <c r="C126" s="2">
        <v>11</v>
      </c>
      <c r="D126" s="2">
        <f>VLOOKUP(C126,Course!$A$1:$C$229, 2, FALSE)</f>
        <v>0</v>
      </c>
      <c r="E126" s="2">
        <v>18</v>
      </c>
      <c r="F126" s="2" t="s">
        <v>870</v>
      </c>
      <c r="G126" s="2">
        <v>1</v>
      </c>
      <c r="H126" s="21">
        <v>0.9</v>
      </c>
      <c r="I126" s="2">
        <v>1</v>
      </c>
    </row>
    <row r="127" spans="1:9" ht="15.75" hidden="1" customHeight="1" x14ac:dyDescent="0.2">
      <c r="A127" s="11">
        <v>126</v>
      </c>
      <c r="B127" s="2">
        <v>126</v>
      </c>
      <c r="C127" s="2">
        <v>11</v>
      </c>
      <c r="D127" s="2">
        <f>VLOOKUP(C127,Course!$A$1:$C$229, 2, FALSE)</f>
        <v>0</v>
      </c>
      <c r="E127" s="2">
        <v>19</v>
      </c>
      <c r="F127" s="2" t="s">
        <v>871</v>
      </c>
      <c r="G127" s="2">
        <v>1</v>
      </c>
      <c r="H127" s="21">
        <v>0.9</v>
      </c>
      <c r="I127" s="2">
        <v>1</v>
      </c>
    </row>
    <row r="128" spans="1:9" ht="15.75" hidden="1" customHeight="1" x14ac:dyDescent="0.2">
      <c r="A128" s="11">
        <v>127</v>
      </c>
      <c r="B128" s="2">
        <v>127</v>
      </c>
      <c r="C128" s="2">
        <v>11</v>
      </c>
      <c r="D128" s="2">
        <f>VLOOKUP(C128,Course!$A$1:$C$229, 2, FALSE)</f>
        <v>0</v>
      </c>
      <c r="E128" s="2">
        <v>20</v>
      </c>
      <c r="F128" s="2" t="s">
        <v>872</v>
      </c>
      <c r="G128" s="2">
        <v>1</v>
      </c>
      <c r="H128" s="21">
        <v>0.9</v>
      </c>
      <c r="I128" s="2">
        <v>1</v>
      </c>
    </row>
    <row r="129" spans="1:9" ht="15.75" hidden="1" customHeight="1" x14ac:dyDescent="0.2">
      <c r="A129" s="11">
        <v>128</v>
      </c>
      <c r="B129" s="2">
        <v>128</v>
      </c>
      <c r="C129" s="2">
        <v>11</v>
      </c>
      <c r="D129" s="2">
        <f>VLOOKUP(C129,Course!$A$1:$C$229, 2, FALSE)</f>
        <v>0</v>
      </c>
      <c r="E129" s="2">
        <v>21</v>
      </c>
      <c r="F129" s="2" t="s">
        <v>873</v>
      </c>
      <c r="G129" s="2">
        <v>1</v>
      </c>
      <c r="H129" s="21">
        <v>0.9</v>
      </c>
      <c r="I129" s="2">
        <v>1</v>
      </c>
    </row>
    <row r="130" spans="1:9" ht="15.75" hidden="1" customHeight="1" x14ac:dyDescent="0.2">
      <c r="A130" s="11">
        <v>129</v>
      </c>
      <c r="B130" s="2">
        <v>129</v>
      </c>
      <c r="C130" s="2">
        <v>11</v>
      </c>
      <c r="D130" s="2">
        <f>VLOOKUP(C130,Course!$A$1:$C$229, 2, FALSE)</f>
        <v>0</v>
      </c>
      <c r="E130" s="2">
        <v>22</v>
      </c>
      <c r="F130" s="2" t="s">
        <v>874</v>
      </c>
      <c r="G130" s="2">
        <v>1</v>
      </c>
      <c r="H130" s="21">
        <v>0.9</v>
      </c>
      <c r="I130" s="2">
        <v>1</v>
      </c>
    </row>
    <row r="131" spans="1:9" ht="15.75" hidden="1" customHeight="1" x14ac:dyDescent="0.2">
      <c r="A131" s="11">
        <v>130</v>
      </c>
      <c r="B131" s="2">
        <v>130</v>
      </c>
      <c r="C131" s="2">
        <v>11</v>
      </c>
      <c r="D131" s="2">
        <f>VLOOKUP(C131,Course!$A$1:$C$229, 2, FALSE)</f>
        <v>0</v>
      </c>
      <c r="E131" s="2">
        <v>23</v>
      </c>
      <c r="F131" s="2" t="s">
        <v>875</v>
      </c>
      <c r="G131" s="2">
        <v>1</v>
      </c>
      <c r="H131" s="21">
        <v>0.9</v>
      </c>
      <c r="I131" s="2">
        <v>1</v>
      </c>
    </row>
    <row r="132" spans="1:9" ht="15.75" hidden="1" customHeight="1" x14ac:dyDescent="0.2">
      <c r="A132" s="11">
        <v>131</v>
      </c>
      <c r="B132" s="2">
        <v>131</v>
      </c>
      <c r="C132" s="2">
        <v>11</v>
      </c>
      <c r="D132" s="2">
        <f>VLOOKUP(C132,Course!$A$1:$C$229, 2, FALSE)</f>
        <v>0</v>
      </c>
      <c r="E132" s="2">
        <v>24</v>
      </c>
      <c r="F132" s="2" t="s">
        <v>876</v>
      </c>
      <c r="G132" s="2">
        <v>1</v>
      </c>
      <c r="H132" s="21">
        <v>0.9</v>
      </c>
      <c r="I132" s="2">
        <v>1</v>
      </c>
    </row>
    <row r="133" spans="1:9" ht="15.75" hidden="1" customHeight="1" x14ac:dyDescent="0.2">
      <c r="A133" s="11">
        <v>132</v>
      </c>
      <c r="B133" s="2">
        <v>132</v>
      </c>
      <c r="C133" s="2">
        <v>12</v>
      </c>
      <c r="D133" s="2">
        <f>VLOOKUP(C133,Course!$A$1:$C$229, 2, FALSE)</f>
        <v>0</v>
      </c>
      <c r="E133" s="2">
        <v>13</v>
      </c>
      <c r="F133" s="2" t="s">
        <v>877</v>
      </c>
      <c r="G133" s="2">
        <v>1</v>
      </c>
      <c r="H133" s="21">
        <v>0.8</v>
      </c>
      <c r="I133" s="2">
        <v>1</v>
      </c>
    </row>
    <row r="134" spans="1:9" ht="15.75" hidden="1" customHeight="1" x14ac:dyDescent="0.2">
      <c r="A134" s="11">
        <v>133</v>
      </c>
      <c r="B134" s="2">
        <v>133</v>
      </c>
      <c r="C134" s="2">
        <v>12</v>
      </c>
      <c r="D134" s="2">
        <f>VLOOKUP(C134,Course!$A$1:$C$229, 2, FALSE)</f>
        <v>0</v>
      </c>
      <c r="E134" s="2">
        <v>14</v>
      </c>
      <c r="F134" s="2" t="s">
        <v>878</v>
      </c>
      <c r="G134" s="2">
        <v>1</v>
      </c>
      <c r="H134" s="21">
        <v>0.8</v>
      </c>
      <c r="I134" s="2">
        <v>1</v>
      </c>
    </row>
    <row r="135" spans="1:9" ht="15.75" hidden="1" customHeight="1" x14ac:dyDescent="0.2">
      <c r="A135" s="11">
        <v>134</v>
      </c>
      <c r="B135" s="2">
        <v>134</v>
      </c>
      <c r="C135" s="2">
        <v>12</v>
      </c>
      <c r="D135" s="2">
        <f>VLOOKUP(C135,Course!$A$1:$C$229, 2, FALSE)</f>
        <v>0</v>
      </c>
      <c r="E135" s="2">
        <v>15</v>
      </c>
      <c r="F135" s="2" t="s">
        <v>879</v>
      </c>
      <c r="G135" s="2">
        <v>1</v>
      </c>
      <c r="H135" s="21">
        <v>0.8</v>
      </c>
      <c r="I135" s="2">
        <v>1</v>
      </c>
    </row>
    <row r="136" spans="1:9" ht="15.75" hidden="1" customHeight="1" x14ac:dyDescent="0.2">
      <c r="A136" s="11">
        <v>135</v>
      </c>
      <c r="B136" s="2">
        <v>135</v>
      </c>
      <c r="C136" s="2">
        <v>12</v>
      </c>
      <c r="D136" s="2">
        <f>VLOOKUP(C136,Course!$A$1:$C$229, 2, FALSE)</f>
        <v>0</v>
      </c>
      <c r="E136" s="2">
        <v>16</v>
      </c>
      <c r="F136" s="2" t="s">
        <v>880</v>
      </c>
      <c r="G136" s="2">
        <v>1</v>
      </c>
      <c r="H136" s="21">
        <v>0.8</v>
      </c>
      <c r="I136" s="2">
        <v>1</v>
      </c>
    </row>
    <row r="137" spans="1:9" ht="15.75" hidden="1" customHeight="1" x14ac:dyDescent="0.2">
      <c r="A137" s="11">
        <v>136</v>
      </c>
      <c r="B137" s="2">
        <v>136</v>
      </c>
      <c r="C137" s="2">
        <v>12</v>
      </c>
      <c r="D137" s="2">
        <f>VLOOKUP(C137,Course!$A$1:$C$229, 2, FALSE)</f>
        <v>0</v>
      </c>
      <c r="E137" s="2">
        <v>17</v>
      </c>
      <c r="F137" s="2" t="s">
        <v>881</v>
      </c>
      <c r="G137" s="2">
        <v>1</v>
      </c>
      <c r="H137" s="21">
        <v>0.8</v>
      </c>
      <c r="I137" s="2">
        <v>1</v>
      </c>
    </row>
    <row r="138" spans="1:9" ht="15.75" hidden="1" customHeight="1" x14ac:dyDescent="0.2">
      <c r="A138" s="11">
        <v>137</v>
      </c>
      <c r="B138" s="2">
        <v>137</v>
      </c>
      <c r="C138" s="2">
        <v>12</v>
      </c>
      <c r="D138" s="2">
        <f>VLOOKUP(C138,Course!$A$1:$C$229, 2, FALSE)</f>
        <v>0</v>
      </c>
      <c r="E138" s="2">
        <v>18</v>
      </c>
      <c r="F138" s="2" t="s">
        <v>882</v>
      </c>
      <c r="G138" s="2">
        <v>1</v>
      </c>
      <c r="H138" s="21">
        <v>0.8</v>
      </c>
      <c r="I138" s="2">
        <v>1</v>
      </c>
    </row>
    <row r="139" spans="1:9" ht="15.75" hidden="1" customHeight="1" x14ac:dyDescent="0.2">
      <c r="A139" s="11">
        <v>138</v>
      </c>
      <c r="B139" s="2">
        <v>138</v>
      </c>
      <c r="C139" s="2">
        <v>12</v>
      </c>
      <c r="D139" s="2">
        <f>VLOOKUP(C139,Course!$A$1:$C$229, 2, FALSE)</f>
        <v>0</v>
      </c>
      <c r="E139" s="2">
        <v>19</v>
      </c>
      <c r="F139" s="2" t="s">
        <v>883</v>
      </c>
      <c r="G139" s="2">
        <v>1</v>
      </c>
      <c r="H139" s="21">
        <v>0.8</v>
      </c>
      <c r="I139" s="2">
        <v>1</v>
      </c>
    </row>
    <row r="140" spans="1:9" ht="15.75" hidden="1" customHeight="1" x14ac:dyDescent="0.2">
      <c r="A140" s="11">
        <v>139</v>
      </c>
      <c r="B140" s="2">
        <v>139</v>
      </c>
      <c r="C140" s="2">
        <v>12</v>
      </c>
      <c r="D140" s="2">
        <f>VLOOKUP(C140,Course!$A$1:$C$229, 2, FALSE)</f>
        <v>0</v>
      </c>
      <c r="E140" s="2">
        <v>20</v>
      </c>
      <c r="F140" s="2" t="s">
        <v>884</v>
      </c>
      <c r="G140" s="2">
        <v>1</v>
      </c>
      <c r="H140" s="21">
        <v>0.8</v>
      </c>
      <c r="I140" s="2">
        <v>1</v>
      </c>
    </row>
    <row r="141" spans="1:9" ht="15.75" hidden="1" customHeight="1" x14ac:dyDescent="0.2">
      <c r="A141" s="11">
        <v>140</v>
      </c>
      <c r="B141" s="2">
        <v>140</v>
      </c>
      <c r="C141" s="2">
        <v>12</v>
      </c>
      <c r="D141" s="2">
        <f>VLOOKUP(C141,Course!$A$1:$C$229, 2, FALSE)</f>
        <v>0</v>
      </c>
      <c r="E141" s="2">
        <v>21</v>
      </c>
      <c r="F141" s="2" t="s">
        <v>885</v>
      </c>
      <c r="G141" s="2">
        <v>1</v>
      </c>
      <c r="H141" s="21">
        <v>0.8</v>
      </c>
      <c r="I141" s="2">
        <v>1</v>
      </c>
    </row>
    <row r="142" spans="1:9" ht="15.75" hidden="1" customHeight="1" x14ac:dyDescent="0.2">
      <c r="A142" s="11">
        <v>141</v>
      </c>
      <c r="B142" s="2">
        <v>141</v>
      </c>
      <c r="C142" s="2">
        <v>12</v>
      </c>
      <c r="D142" s="2">
        <f>VLOOKUP(C142,Course!$A$1:$C$229, 2, FALSE)</f>
        <v>0</v>
      </c>
      <c r="E142" s="2">
        <v>22</v>
      </c>
      <c r="F142" s="2" t="s">
        <v>886</v>
      </c>
      <c r="G142" s="2">
        <v>1</v>
      </c>
      <c r="H142" s="21">
        <v>0.8</v>
      </c>
      <c r="I142" s="2">
        <v>1</v>
      </c>
    </row>
    <row r="143" spans="1:9" ht="15.75" hidden="1" customHeight="1" x14ac:dyDescent="0.2">
      <c r="A143" s="11">
        <v>142</v>
      </c>
      <c r="B143" s="2">
        <v>142</v>
      </c>
      <c r="C143" s="2">
        <v>12</v>
      </c>
      <c r="D143" s="2">
        <f>VLOOKUP(C143,Course!$A$1:$C$229, 2, FALSE)</f>
        <v>0</v>
      </c>
      <c r="E143" s="2">
        <v>23</v>
      </c>
      <c r="F143" s="2" t="s">
        <v>887</v>
      </c>
      <c r="G143" s="2">
        <v>1</v>
      </c>
      <c r="H143" s="21">
        <v>0.8</v>
      </c>
      <c r="I143" s="2">
        <v>1</v>
      </c>
    </row>
    <row r="144" spans="1:9" ht="15.75" hidden="1" customHeight="1" x14ac:dyDescent="0.2">
      <c r="A144" s="11">
        <v>143</v>
      </c>
      <c r="B144" s="2">
        <v>143</v>
      </c>
      <c r="C144" s="2">
        <v>12</v>
      </c>
      <c r="D144" s="2">
        <f>VLOOKUP(C144,Course!$A$1:$C$229, 2, FALSE)</f>
        <v>0</v>
      </c>
      <c r="E144" s="2">
        <v>24</v>
      </c>
      <c r="F144" s="2" t="s">
        <v>888</v>
      </c>
      <c r="G144" s="2">
        <v>1</v>
      </c>
      <c r="H144" s="21">
        <v>0.8</v>
      </c>
      <c r="I144" s="2">
        <v>1</v>
      </c>
    </row>
    <row r="145" spans="1:9" ht="15.75" hidden="1" customHeight="1" x14ac:dyDescent="0.2">
      <c r="A145" s="11">
        <v>144</v>
      </c>
      <c r="B145" s="2">
        <v>144</v>
      </c>
      <c r="C145" s="2">
        <v>13</v>
      </c>
      <c r="D145" s="2" t="str">
        <f>VLOOKUP(C145,Course!$A$1:$C$229, 2, FALSE)</f>
        <v>Science 2</v>
      </c>
      <c r="E145" s="2">
        <v>13</v>
      </c>
      <c r="F145" s="2" t="s">
        <v>889</v>
      </c>
      <c r="G145" s="2">
        <v>1</v>
      </c>
      <c r="H145" s="21">
        <v>0.8</v>
      </c>
      <c r="I145" s="2">
        <v>1</v>
      </c>
    </row>
    <row r="146" spans="1:9" ht="15.75" hidden="1" customHeight="1" x14ac:dyDescent="0.2">
      <c r="A146" s="11">
        <v>145</v>
      </c>
      <c r="B146" s="2">
        <v>145</v>
      </c>
      <c r="C146" s="2">
        <v>13</v>
      </c>
      <c r="D146" s="2" t="str">
        <f>VLOOKUP(C146,Course!$A$1:$C$229, 2, FALSE)</f>
        <v>Science 2</v>
      </c>
      <c r="E146" s="2">
        <v>14</v>
      </c>
      <c r="F146" s="2" t="s">
        <v>890</v>
      </c>
      <c r="G146" s="2">
        <v>1</v>
      </c>
      <c r="H146" s="21">
        <v>0.8</v>
      </c>
      <c r="I146" s="2">
        <v>1</v>
      </c>
    </row>
    <row r="147" spans="1:9" ht="15.75" hidden="1" customHeight="1" x14ac:dyDescent="0.2">
      <c r="A147" s="11">
        <v>146</v>
      </c>
      <c r="B147" s="2">
        <v>146</v>
      </c>
      <c r="C147" s="2">
        <v>13</v>
      </c>
      <c r="D147" s="2" t="str">
        <f>VLOOKUP(C147,Course!$A$1:$C$229, 2, FALSE)</f>
        <v>Science 2</v>
      </c>
      <c r="E147" s="2">
        <v>15</v>
      </c>
      <c r="F147" s="2" t="s">
        <v>891</v>
      </c>
      <c r="G147" s="2">
        <v>1</v>
      </c>
      <c r="H147" s="21">
        <v>0.8</v>
      </c>
      <c r="I147" s="2">
        <v>1</v>
      </c>
    </row>
    <row r="148" spans="1:9" ht="15.75" hidden="1" customHeight="1" x14ac:dyDescent="0.2">
      <c r="A148" s="11">
        <v>147</v>
      </c>
      <c r="B148" s="2">
        <v>147</v>
      </c>
      <c r="C148" s="2">
        <v>13</v>
      </c>
      <c r="D148" s="2" t="str">
        <f>VLOOKUP(C148,Course!$A$1:$C$229, 2, FALSE)</f>
        <v>Science 2</v>
      </c>
      <c r="E148" s="2">
        <v>16</v>
      </c>
      <c r="F148" s="2" t="s">
        <v>892</v>
      </c>
      <c r="G148" s="2">
        <v>1</v>
      </c>
      <c r="H148" s="21">
        <v>0.8</v>
      </c>
      <c r="I148" s="2">
        <v>1</v>
      </c>
    </row>
    <row r="149" spans="1:9" ht="15.75" hidden="1" customHeight="1" x14ac:dyDescent="0.2">
      <c r="A149" s="11">
        <v>148</v>
      </c>
      <c r="B149" s="2">
        <v>148</v>
      </c>
      <c r="C149" s="2">
        <v>13</v>
      </c>
      <c r="D149" s="2" t="str">
        <f>VLOOKUP(C149,Course!$A$1:$C$229, 2, FALSE)</f>
        <v>Science 2</v>
      </c>
      <c r="E149" s="2">
        <v>17</v>
      </c>
      <c r="F149" s="2" t="s">
        <v>893</v>
      </c>
      <c r="G149" s="2">
        <v>1</v>
      </c>
      <c r="H149" s="21">
        <v>0.8</v>
      </c>
      <c r="I149" s="2">
        <v>1</v>
      </c>
    </row>
    <row r="150" spans="1:9" ht="15.75" hidden="1" customHeight="1" x14ac:dyDescent="0.2">
      <c r="A150" s="11">
        <v>149</v>
      </c>
      <c r="B150" s="2">
        <v>149</v>
      </c>
      <c r="C150" s="2">
        <v>13</v>
      </c>
      <c r="D150" s="2" t="str">
        <f>VLOOKUP(C150,Course!$A$1:$C$229, 2, FALSE)</f>
        <v>Science 2</v>
      </c>
      <c r="E150" s="2">
        <v>18</v>
      </c>
      <c r="F150" s="2" t="s">
        <v>894</v>
      </c>
      <c r="G150" s="2">
        <v>1</v>
      </c>
      <c r="H150" s="21">
        <v>0.8</v>
      </c>
      <c r="I150" s="2">
        <v>1</v>
      </c>
    </row>
    <row r="151" spans="1:9" ht="15.75" hidden="1" customHeight="1" x14ac:dyDescent="0.2">
      <c r="A151" s="11">
        <v>150</v>
      </c>
      <c r="B151" s="2">
        <v>150</v>
      </c>
      <c r="C151" s="2">
        <v>13</v>
      </c>
      <c r="D151" s="2" t="str">
        <f>VLOOKUP(C151,Course!$A$1:$C$229, 2, FALSE)</f>
        <v>Science 2</v>
      </c>
      <c r="E151" s="2">
        <v>19</v>
      </c>
      <c r="F151" s="2" t="s">
        <v>895</v>
      </c>
      <c r="G151" s="2">
        <v>1</v>
      </c>
      <c r="H151" s="21">
        <v>0.8</v>
      </c>
      <c r="I151" s="2">
        <v>1</v>
      </c>
    </row>
    <row r="152" spans="1:9" ht="15.75" hidden="1" customHeight="1" x14ac:dyDescent="0.2">
      <c r="A152" s="11">
        <v>151</v>
      </c>
      <c r="B152" s="2">
        <v>151</v>
      </c>
      <c r="C152" s="2">
        <v>13</v>
      </c>
      <c r="D152" s="2" t="str">
        <f>VLOOKUP(C152,Course!$A$1:$C$229, 2, FALSE)</f>
        <v>Science 2</v>
      </c>
      <c r="E152" s="2">
        <v>20</v>
      </c>
      <c r="F152" s="2" t="s">
        <v>896</v>
      </c>
      <c r="G152" s="2">
        <v>1</v>
      </c>
      <c r="H152" s="21">
        <v>0.8</v>
      </c>
      <c r="I152" s="2">
        <v>1</v>
      </c>
    </row>
    <row r="153" spans="1:9" ht="15.75" hidden="1" customHeight="1" x14ac:dyDescent="0.2">
      <c r="A153" s="11">
        <v>152</v>
      </c>
      <c r="B153" s="2">
        <v>152</v>
      </c>
      <c r="C153" s="2">
        <v>13</v>
      </c>
      <c r="D153" s="2" t="str">
        <f>VLOOKUP(C153,Course!$A$1:$C$229, 2, FALSE)</f>
        <v>Science 2</v>
      </c>
      <c r="E153" s="2">
        <v>21</v>
      </c>
      <c r="F153" s="2" t="s">
        <v>897</v>
      </c>
      <c r="G153" s="2">
        <v>1</v>
      </c>
      <c r="H153" s="21">
        <v>0.8</v>
      </c>
      <c r="I153" s="2">
        <v>1</v>
      </c>
    </row>
    <row r="154" spans="1:9" ht="15.75" hidden="1" customHeight="1" x14ac:dyDescent="0.2">
      <c r="A154" s="11">
        <v>153</v>
      </c>
      <c r="B154" s="2">
        <v>153</v>
      </c>
      <c r="C154" s="2">
        <v>13</v>
      </c>
      <c r="D154" s="2" t="str">
        <f>VLOOKUP(C154,Course!$A$1:$C$229, 2, FALSE)</f>
        <v>Science 2</v>
      </c>
      <c r="E154" s="2">
        <v>22</v>
      </c>
      <c r="F154" s="2" t="s">
        <v>898</v>
      </c>
      <c r="G154" s="2">
        <v>1</v>
      </c>
      <c r="H154" s="21">
        <v>0.8</v>
      </c>
      <c r="I154" s="2">
        <v>1</v>
      </c>
    </row>
    <row r="155" spans="1:9" ht="15.75" hidden="1" customHeight="1" x14ac:dyDescent="0.2">
      <c r="A155" s="11">
        <v>154</v>
      </c>
      <c r="B155" s="2">
        <v>154</v>
      </c>
      <c r="C155" s="2">
        <v>13</v>
      </c>
      <c r="D155" s="2" t="str">
        <f>VLOOKUP(C155,Course!$A$1:$C$229, 2, FALSE)</f>
        <v>Science 2</v>
      </c>
      <c r="E155" s="2">
        <v>23</v>
      </c>
      <c r="F155" s="2" t="s">
        <v>899</v>
      </c>
      <c r="G155" s="2">
        <v>1</v>
      </c>
      <c r="H155" s="21">
        <v>0.8</v>
      </c>
      <c r="I155" s="2">
        <v>1</v>
      </c>
    </row>
    <row r="156" spans="1:9" ht="15.75" hidden="1" customHeight="1" x14ac:dyDescent="0.2">
      <c r="A156" s="11">
        <v>155</v>
      </c>
      <c r="B156" s="2">
        <v>155</v>
      </c>
      <c r="C156" s="2">
        <v>13</v>
      </c>
      <c r="D156" s="2" t="str">
        <f>VLOOKUP(C156,Course!$A$1:$C$229, 2, FALSE)</f>
        <v>Science 2</v>
      </c>
      <c r="E156" s="2">
        <v>24</v>
      </c>
      <c r="F156" s="2" t="s">
        <v>900</v>
      </c>
      <c r="G156" s="2">
        <v>1</v>
      </c>
      <c r="H156" s="21">
        <v>0.8</v>
      </c>
      <c r="I156" s="2">
        <v>1</v>
      </c>
    </row>
    <row r="157" spans="1:9" ht="15.75" hidden="1" customHeight="1" x14ac:dyDescent="0.2">
      <c r="A157" s="11">
        <v>156</v>
      </c>
      <c r="B157" s="2">
        <v>156</v>
      </c>
      <c r="C157" s="2">
        <v>14</v>
      </c>
      <c r="D157" s="2">
        <f>VLOOKUP(C157,Course!$A$1:$C$229, 2, FALSE)</f>
        <v>0</v>
      </c>
      <c r="E157" s="2">
        <v>13</v>
      </c>
      <c r="F157" s="2" t="s">
        <v>901</v>
      </c>
      <c r="G157" s="2">
        <v>1</v>
      </c>
      <c r="H157" s="21">
        <v>0.8</v>
      </c>
      <c r="I157" s="2">
        <v>1</v>
      </c>
    </row>
    <row r="158" spans="1:9" ht="15.75" hidden="1" customHeight="1" x14ac:dyDescent="0.2">
      <c r="A158" s="11">
        <v>157</v>
      </c>
      <c r="B158" s="2">
        <v>157</v>
      </c>
      <c r="C158" s="2">
        <v>14</v>
      </c>
      <c r="D158" s="2">
        <f>VLOOKUP(C158,Course!$A$1:$C$229, 2, FALSE)</f>
        <v>0</v>
      </c>
      <c r="E158" s="2">
        <v>14</v>
      </c>
      <c r="F158" s="2" t="s">
        <v>902</v>
      </c>
      <c r="G158" s="2">
        <v>1</v>
      </c>
      <c r="H158" s="21">
        <v>0.8</v>
      </c>
      <c r="I158" s="2">
        <v>1</v>
      </c>
    </row>
    <row r="159" spans="1:9" ht="15.75" hidden="1" customHeight="1" x14ac:dyDescent="0.2">
      <c r="A159" s="11">
        <v>158</v>
      </c>
      <c r="B159" s="2">
        <v>158</v>
      </c>
      <c r="C159" s="2">
        <v>14</v>
      </c>
      <c r="D159" s="2">
        <f>VLOOKUP(C159,Course!$A$1:$C$229, 2, FALSE)</f>
        <v>0</v>
      </c>
      <c r="E159" s="2">
        <v>15</v>
      </c>
      <c r="F159" s="2" t="s">
        <v>903</v>
      </c>
      <c r="G159" s="2">
        <v>1</v>
      </c>
      <c r="H159" s="21">
        <v>0.8</v>
      </c>
      <c r="I159" s="2">
        <v>1</v>
      </c>
    </row>
    <row r="160" spans="1:9" ht="15.75" hidden="1" customHeight="1" x14ac:dyDescent="0.2">
      <c r="A160" s="11">
        <v>159</v>
      </c>
      <c r="B160" s="2">
        <v>159</v>
      </c>
      <c r="C160" s="2">
        <v>14</v>
      </c>
      <c r="D160" s="2">
        <f>VLOOKUP(C160,Course!$A$1:$C$229, 2, FALSE)</f>
        <v>0</v>
      </c>
      <c r="E160" s="2">
        <v>16</v>
      </c>
      <c r="F160" s="2" t="s">
        <v>904</v>
      </c>
      <c r="G160" s="2">
        <v>1</v>
      </c>
      <c r="H160" s="21">
        <v>0.8</v>
      </c>
      <c r="I160" s="2">
        <v>1</v>
      </c>
    </row>
    <row r="161" spans="1:9" ht="15.75" hidden="1" customHeight="1" x14ac:dyDescent="0.2">
      <c r="A161" s="11">
        <v>160</v>
      </c>
      <c r="B161" s="2">
        <v>160</v>
      </c>
      <c r="C161" s="2">
        <v>14</v>
      </c>
      <c r="D161" s="2">
        <f>VLOOKUP(C161,Course!$A$1:$C$229, 2, FALSE)</f>
        <v>0</v>
      </c>
      <c r="E161" s="2">
        <v>17</v>
      </c>
      <c r="F161" s="2" t="s">
        <v>905</v>
      </c>
      <c r="G161" s="2">
        <v>1</v>
      </c>
      <c r="H161" s="21">
        <v>0.8</v>
      </c>
      <c r="I161" s="2">
        <v>1</v>
      </c>
    </row>
    <row r="162" spans="1:9" ht="15.75" hidden="1" customHeight="1" x14ac:dyDescent="0.2">
      <c r="A162" s="11">
        <v>161</v>
      </c>
      <c r="B162" s="2">
        <v>161</v>
      </c>
      <c r="C162" s="2">
        <v>14</v>
      </c>
      <c r="D162" s="2">
        <f>VLOOKUP(C162,Course!$A$1:$C$229, 2, FALSE)</f>
        <v>0</v>
      </c>
      <c r="E162" s="2">
        <v>18</v>
      </c>
      <c r="F162" s="2" t="s">
        <v>906</v>
      </c>
      <c r="G162" s="2">
        <v>1</v>
      </c>
      <c r="H162" s="21">
        <v>0.8</v>
      </c>
      <c r="I162" s="2">
        <v>1</v>
      </c>
    </row>
    <row r="163" spans="1:9" ht="15.75" hidden="1" customHeight="1" x14ac:dyDescent="0.2">
      <c r="A163" s="11">
        <v>162</v>
      </c>
      <c r="B163" s="2">
        <v>162</v>
      </c>
      <c r="C163" s="2">
        <v>14</v>
      </c>
      <c r="D163" s="2">
        <f>VLOOKUP(C163,Course!$A$1:$C$229, 2, FALSE)</f>
        <v>0</v>
      </c>
      <c r="E163" s="2">
        <v>19</v>
      </c>
      <c r="F163" s="2" t="s">
        <v>907</v>
      </c>
      <c r="G163" s="2">
        <v>1</v>
      </c>
      <c r="H163" s="21">
        <v>0.8</v>
      </c>
      <c r="I163" s="2">
        <v>1</v>
      </c>
    </row>
    <row r="164" spans="1:9" ht="15.75" hidden="1" customHeight="1" x14ac:dyDescent="0.2">
      <c r="A164" s="11">
        <v>163</v>
      </c>
      <c r="B164" s="2">
        <v>163</v>
      </c>
      <c r="C164" s="2">
        <v>14</v>
      </c>
      <c r="D164" s="2">
        <f>VLOOKUP(C164,Course!$A$1:$C$229, 2, FALSE)</f>
        <v>0</v>
      </c>
      <c r="E164" s="2">
        <v>20</v>
      </c>
      <c r="F164" s="2" t="s">
        <v>908</v>
      </c>
      <c r="G164" s="2">
        <v>1</v>
      </c>
      <c r="H164" s="21">
        <v>0.8</v>
      </c>
      <c r="I164" s="2">
        <v>1</v>
      </c>
    </row>
    <row r="165" spans="1:9" ht="15.75" hidden="1" customHeight="1" x14ac:dyDescent="0.2">
      <c r="A165" s="11">
        <v>164</v>
      </c>
      <c r="B165" s="2">
        <v>164</v>
      </c>
      <c r="C165" s="2">
        <v>14</v>
      </c>
      <c r="D165" s="2">
        <f>VLOOKUP(C165,Course!$A$1:$C$229, 2, FALSE)</f>
        <v>0</v>
      </c>
      <c r="E165" s="2">
        <v>21</v>
      </c>
      <c r="F165" s="2" t="s">
        <v>909</v>
      </c>
      <c r="G165" s="2">
        <v>1</v>
      </c>
      <c r="H165" s="21">
        <v>0.8</v>
      </c>
      <c r="I165" s="2">
        <v>1</v>
      </c>
    </row>
    <row r="166" spans="1:9" ht="15.75" hidden="1" customHeight="1" x14ac:dyDescent="0.2">
      <c r="A166" s="11">
        <v>165</v>
      </c>
      <c r="B166" s="2">
        <v>165</v>
      </c>
      <c r="C166" s="2">
        <v>14</v>
      </c>
      <c r="D166" s="2">
        <f>VLOOKUP(C166,Course!$A$1:$C$229, 2, FALSE)</f>
        <v>0</v>
      </c>
      <c r="E166" s="2">
        <v>22</v>
      </c>
      <c r="F166" s="2" t="s">
        <v>910</v>
      </c>
      <c r="G166" s="2">
        <v>1</v>
      </c>
      <c r="H166" s="21">
        <v>0.8</v>
      </c>
      <c r="I166" s="2">
        <v>1</v>
      </c>
    </row>
    <row r="167" spans="1:9" ht="15.75" hidden="1" customHeight="1" x14ac:dyDescent="0.2">
      <c r="A167" s="11">
        <v>166</v>
      </c>
      <c r="B167" s="2">
        <v>166</v>
      </c>
      <c r="C167" s="2">
        <v>14</v>
      </c>
      <c r="D167" s="2">
        <f>VLOOKUP(C167,Course!$A$1:$C$229, 2, FALSE)</f>
        <v>0</v>
      </c>
      <c r="E167" s="2">
        <v>23</v>
      </c>
      <c r="F167" s="2" t="s">
        <v>911</v>
      </c>
      <c r="G167" s="2">
        <v>1</v>
      </c>
      <c r="H167" s="21">
        <v>0.8</v>
      </c>
      <c r="I167" s="2">
        <v>1</v>
      </c>
    </row>
    <row r="168" spans="1:9" ht="15.75" hidden="1" customHeight="1" x14ac:dyDescent="0.2">
      <c r="A168" s="11">
        <v>167</v>
      </c>
      <c r="B168" s="2">
        <v>167</v>
      </c>
      <c r="C168" s="2">
        <v>14</v>
      </c>
      <c r="D168" s="2">
        <f>VLOOKUP(C168,Course!$A$1:$C$229, 2, FALSE)</f>
        <v>0</v>
      </c>
      <c r="E168" s="2">
        <v>24</v>
      </c>
      <c r="F168" s="2" t="s">
        <v>912</v>
      </c>
      <c r="G168" s="2">
        <v>1</v>
      </c>
      <c r="H168" s="21">
        <v>0.8</v>
      </c>
      <c r="I168" s="2">
        <v>1</v>
      </c>
    </row>
    <row r="169" spans="1:9" ht="15.75" hidden="1" customHeight="1" x14ac:dyDescent="0.2">
      <c r="A169" s="11">
        <v>168</v>
      </c>
      <c r="B169" s="2">
        <v>168</v>
      </c>
      <c r="C169" s="2">
        <v>15</v>
      </c>
      <c r="D169" s="2">
        <f>VLOOKUP(C169,Course!$A$1:$C$229, 2, FALSE)</f>
        <v>0</v>
      </c>
      <c r="E169" s="2">
        <v>13</v>
      </c>
      <c r="F169" s="2" t="s">
        <v>913</v>
      </c>
      <c r="G169" s="2">
        <v>1</v>
      </c>
      <c r="H169" s="21">
        <v>0.8</v>
      </c>
      <c r="I169" s="2">
        <v>1</v>
      </c>
    </row>
    <row r="170" spans="1:9" ht="15.75" hidden="1" customHeight="1" x14ac:dyDescent="0.2">
      <c r="A170" s="11">
        <v>169</v>
      </c>
      <c r="B170" s="2">
        <v>169</v>
      </c>
      <c r="C170" s="2">
        <v>15</v>
      </c>
      <c r="D170" s="2">
        <f>VLOOKUP(C170,Course!$A$1:$C$229, 2, FALSE)</f>
        <v>0</v>
      </c>
      <c r="E170" s="2">
        <v>14</v>
      </c>
      <c r="F170" s="2" t="s">
        <v>914</v>
      </c>
      <c r="G170" s="2">
        <v>1</v>
      </c>
      <c r="H170" s="21">
        <v>0.8</v>
      </c>
      <c r="I170" s="2">
        <v>1</v>
      </c>
    </row>
    <row r="171" spans="1:9" ht="15.75" hidden="1" customHeight="1" x14ac:dyDescent="0.2">
      <c r="A171" s="11">
        <v>170</v>
      </c>
      <c r="B171" s="2">
        <v>170</v>
      </c>
      <c r="C171" s="2">
        <v>15</v>
      </c>
      <c r="D171" s="2">
        <f>VLOOKUP(C171,Course!$A$1:$C$229, 2, FALSE)</f>
        <v>0</v>
      </c>
      <c r="E171" s="2">
        <v>15</v>
      </c>
      <c r="F171" s="2" t="s">
        <v>915</v>
      </c>
      <c r="G171" s="2">
        <v>1</v>
      </c>
      <c r="H171" s="21">
        <v>0.8</v>
      </c>
      <c r="I171" s="2">
        <v>1</v>
      </c>
    </row>
    <row r="172" spans="1:9" ht="15.75" hidden="1" customHeight="1" x14ac:dyDescent="0.2">
      <c r="A172" s="11">
        <v>171</v>
      </c>
      <c r="B172" s="2">
        <v>171</v>
      </c>
      <c r="C172" s="2">
        <v>15</v>
      </c>
      <c r="D172" s="2">
        <f>VLOOKUP(C172,Course!$A$1:$C$229, 2, FALSE)</f>
        <v>0</v>
      </c>
      <c r="E172" s="2">
        <v>16</v>
      </c>
      <c r="F172" s="2" t="s">
        <v>916</v>
      </c>
      <c r="G172" s="2">
        <v>1</v>
      </c>
      <c r="H172" s="21">
        <v>0.8</v>
      </c>
      <c r="I172" s="2">
        <v>1</v>
      </c>
    </row>
    <row r="173" spans="1:9" ht="15.75" hidden="1" customHeight="1" x14ac:dyDescent="0.2">
      <c r="A173" s="11">
        <v>172</v>
      </c>
      <c r="B173" s="2">
        <v>172</v>
      </c>
      <c r="C173" s="2">
        <v>15</v>
      </c>
      <c r="D173" s="2">
        <f>VLOOKUP(C173,Course!$A$1:$C$229, 2, FALSE)</f>
        <v>0</v>
      </c>
      <c r="E173" s="2">
        <v>17</v>
      </c>
      <c r="F173" s="2" t="s">
        <v>917</v>
      </c>
      <c r="G173" s="2">
        <v>1</v>
      </c>
      <c r="H173" s="21">
        <v>0.8</v>
      </c>
      <c r="I173" s="2">
        <v>1</v>
      </c>
    </row>
    <row r="174" spans="1:9" ht="15.75" hidden="1" customHeight="1" x14ac:dyDescent="0.2">
      <c r="A174" s="11">
        <v>173</v>
      </c>
      <c r="B174" s="2">
        <v>173</v>
      </c>
      <c r="C174" s="2">
        <v>15</v>
      </c>
      <c r="D174" s="2">
        <f>VLOOKUP(C174,Course!$A$1:$C$229, 2, FALSE)</f>
        <v>0</v>
      </c>
      <c r="E174" s="2">
        <v>18</v>
      </c>
      <c r="F174" s="2" t="s">
        <v>918</v>
      </c>
      <c r="G174" s="2">
        <v>1</v>
      </c>
      <c r="H174" s="21">
        <v>0.8</v>
      </c>
      <c r="I174" s="2">
        <v>1</v>
      </c>
    </row>
    <row r="175" spans="1:9" ht="15.75" hidden="1" customHeight="1" x14ac:dyDescent="0.2">
      <c r="A175" s="11">
        <v>174</v>
      </c>
      <c r="B175" s="2">
        <v>174</v>
      </c>
      <c r="C175" s="2">
        <v>15</v>
      </c>
      <c r="D175" s="2">
        <f>VLOOKUP(C175,Course!$A$1:$C$229, 2, FALSE)</f>
        <v>0</v>
      </c>
      <c r="E175" s="2">
        <v>19</v>
      </c>
      <c r="F175" s="2" t="s">
        <v>919</v>
      </c>
      <c r="G175" s="2">
        <v>1</v>
      </c>
      <c r="H175" s="21">
        <v>0.8</v>
      </c>
      <c r="I175" s="2">
        <v>1</v>
      </c>
    </row>
    <row r="176" spans="1:9" ht="15.75" hidden="1" customHeight="1" x14ac:dyDescent="0.2">
      <c r="A176" s="11">
        <v>175</v>
      </c>
      <c r="B176" s="2">
        <v>175</v>
      </c>
      <c r="C176" s="2">
        <v>15</v>
      </c>
      <c r="D176" s="2">
        <f>VLOOKUP(C176,Course!$A$1:$C$229, 2, FALSE)</f>
        <v>0</v>
      </c>
      <c r="E176" s="2">
        <v>20</v>
      </c>
      <c r="F176" s="2" t="s">
        <v>920</v>
      </c>
      <c r="G176" s="2">
        <v>1</v>
      </c>
      <c r="H176" s="21">
        <v>0.8</v>
      </c>
      <c r="I176" s="2">
        <v>1</v>
      </c>
    </row>
    <row r="177" spans="1:9" ht="15.75" hidden="1" customHeight="1" x14ac:dyDescent="0.2">
      <c r="A177" s="11">
        <v>176</v>
      </c>
      <c r="B177" s="2">
        <v>176</v>
      </c>
      <c r="C177" s="2">
        <v>15</v>
      </c>
      <c r="D177" s="2">
        <f>VLOOKUP(C177,Course!$A$1:$C$229, 2, FALSE)</f>
        <v>0</v>
      </c>
      <c r="E177" s="2">
        <v>21</v>
      </c>
      <c r="F177" s="2" t="s">
        <v>921</v>
      </c>
      <c r="G177" s="2">
        <v>1</v>
      </c>
      <c r="H177" s="21">
        <v>0.8</v>
      </c>
      <c r="I177" s="2">
        <v>1</v>
      </c>
    </row>
    <row r="178" spans="1:9" ht="15.75" hidden="1" customHeight="1" x14ac:dyDescent="0.2">
      <c r="A178" s="11">
        <v>177</v>
      </c>
      <c r="B178" s="2">
        <v>177</v>
      </c>
      <c r="C178" s="2">
        <v>15</v>
      </c>
      <c r="D178" s="2">
        <f>VLOOKUP(C178,Course!$A$1:$C$229, 2, FALSE)</f>
        <v>0</v>
      </c>
      <c r="E178" s="2">
        <v>22</v>
      </c>
      <c r="F178" s="2" t="s">
        <v>922</v>
      </c>
      <c r="G178" s="2">
        <v>1</v>
      </c>
      <c r="H178" s="21">
        <v>0.8</v>
      </c>
      <c r="I178" s="2">
        <v>1</v>
      </c>
    </row>
    <row r="179" spans="1:9" ht="15.75" hidden="1" customHeight="1" x14ac:dyDescent="0.2">
      <c r="A179" s="11">
        <v>178</v>
      </c>
      <c r="B179" s="2">
        <v>178</v>
      </c>
      <c r="C179" s="2">
        <v>15</v>
      </c>
      <c r="D179" s="2">
        <f>VLOOKUP(C179,Course!$A$1:$C$229, 2, FALSE)</f>
        <v>0</v>
      </c>
      <c r="E179" s="2">
        <v>23</v>
      </c>
      <c r="F179" s="2" t="s">
        <v>923</v>
      </c>
      <c r="G179" s="2">
        <v>1</v>
      </c>
      <c r="H179" s="21">
        <v>0.8</v>
      </c>
      <c r="I179" s="2">
        <v>1</v>
      </c>
    </row>
    <row r="180" spans="1:9" ht="15.75" hidden="1" customHeight="1" x14ac:dyDescent="0.2">
      <c r="A180" s="11">
        <v>179</v>
      </c>
      <c r="B180" s="2">
        <v>179</v>
      </c>
      <c r="C180" s="2">
        <v>15</v>
      </c>
      <c r="D180" s="2">
        <f>VLOOKUP(C180,Course!$A$1:$C$229, 2, FALSE)</f>
        <v>0</v>
      </c>
      <c r="E180" s="2">
        <v>24</v>
      </c>
      <c r="F180" s="2" t="s">
        <v>924</v>
      </c>
      <c r="G180" s="2">
        <v>1</v>
      </c>
      <c r="H180" s="21">
        <v>0.8</v>
      </c>
      <c r="I180" s="2">
        <v>1</v>
      </c>
    </row>
    <row r="181" spans="1:9" ht="15.75" hidden="1" customHeight="1" x14ac:dyDescent="0.2">
      <c r="A181" s="11">
        <v>180</v>
      </c>
      <c r="B181" s="2">
        <v>180</v>
      </c>
      <c r="C181" s="2">
        <v>16</v>
      </c>
      <c r="D181" s="2">
        <f>VLOOKUP(C181,Course!$A$1:$C$229, 2, FALSE)</f>
        <v>0</v>
      </c>
      <c r="E181" s="2">
        <v>25</v>
      </c>
      <c r="F181" s="2" t="s">
        <v>925</v>
      </c>
      <c r="G181" s="2">
        <v>1</v>
      </c>
      <c r="H181" s="21">
        <v>0.8</v>
      </c>
      <c r="I181" s="2">
        <v>1</v>
      </c>
    </row>
    <row r="182" spans="1:9" ht="15.75" hidden="1" customHeight="1" x14ac:dyDescent="0.2">
      <c r="A182" s="11">
        <v>181</v>
      </c>
      <c r="B182" s="2">
        <v>181</v>
      </c>
      <c r="C182" s="2">
        <v>16</v>
      </c>
      <c r="D182" s="2">
        <f>VLOOKUP(C182,Course!$A$1:$C$229, 2, FALSE)</f>
        <v>0</v>
      </c>
      <c r="E182" s="2">
        <v>26</v>
      </c>
      <c r="F182" s="2" t="s">
        <v>926</v>
      </c>
      <c r="G182" s="2">
        <v>1</v>
      </c>
      <c r="H182" s="21">
        <v>0.8</v>
      </c>
      <c r="I182" s="2">
        <v>1</v>
      </c>
    </row>
    <row r="183" spans="1:9" ht="15.75" hidden="1" customHeight="1" x14ac:dyDescent="0.2">
      <c r="A183" s="11">
        <v>182</v>
      </c>
      <c r="B183" s="2">
        <v>182</v>
      </c>
      <c r="C183" s="2">
        <v>16</v>
      </c>
      <c r="D183" s="2">
        <f>VLOOKUP(C183,Course!$A$1:$C$229, 2, FALSE)</f>
        <v>0</v>
      </c>
      <c r="E183" s="2">
        <v>27</v>
      </c>
      <c r="F183" s="2" t="s">
        <v>927</v>
      </c>
      <c r="G183" s="2">
        <v>1</v>
      </c>
      <c r="H183" s="21">
        <v>0.8</v>
      </c>
      <c r="I183" s="2">
        <v>1</v>
      </c>
    </row>
    <row r="184" spans="1:9" ht="15.75" hidden="1" customHeight="1" x14ac:dyDescent="0.2">
      <c r="A184" s="11">
        <v>183</v>
      </c>
      <c r="B184" s="2">
        <v>183</v>
      </c>
      <c r="C184" s="2">
        <v>16</v>
      </c>
      <c r="D184" s="2">
        <f>VLOOKUP(C184,Course!$A$1:$C$229, 2, FALSE)</f>
        <v>0</v>
      </c>
      <c r="E184" s="2">
        <v>28</v>
      </c>
      <c r="F184" s="2" t="s">
        <v>928</v>
      </c>
      <c r="G184" s="2">
        <v>1</v>
      </c>
      <c r="H184" s="21">
        <v>0.8</v>
      </c>
      <c r="I184" s="2">
        <v>1</v>
      </c>
    </row>
    <row r="185" spans="1:9" ht="15.75" hidden="1" customHeight="1" x14ac:dyDescent="0.2">
      <c r="A185" s="11">
        <v>184</v>
      </c>
      <c r="B185" s="2">
        <v>184</v>
      </c>
      <c r="C185" s="2">
        <v>16</v>
      </c>
      <c r="D185" s="2">
        <f>VLOOKUP(C185,Course!$A$1:$C$229, 2, FALSE)</f>
        <v>0</v>
      </c>
      <c r="E185" s="2">
        <v>29</v>
      </c>
      <c r="F185" s="2" t="s">
        <v>929</v>
      </c>
      <c r="G185" s="2">
        <v>1</v>
      </c>
      <c r="H185" s="21">
        <v>0.8</v>
      </c>
      <c r="I185" s="2">
        <v>1</v>
      </c>
    </row>
    <row r="186" spans="1:9" ht="15.75" hidden="1" customHeight="1" x14ac:dyDescent="0.2">
      <c r="A186" s="11">
        <v>185</v>
      </c>
      <c r="B186" s="2">
        <v>185</v>
      </c>
      <c r="C186" s="2">
        <v>16</v>
      </c>
      <c r="D186" s="2">
        <f>VLOOKUP(C186,Course!$A$1:$C$229, 2, FALSE)</f>
        <v>0</v>
      </c>
      <c r="E186" s="2">
        <v>30</v>
      </c>
      <c r="F186" s="2" t="s">
        <v>930</v>
      </c>
      <c r="G186" s="2">
        <v>1</v>
      </c>
      <c r="H186" s="21">
        <v>0.8</v>
      </c>
      <c r="I186" s="2">
        <v>1</v>
      </c>
    </row>
    <row r="187" spans="1:9" ht="15.75" hidden="1" customHeight="1" x14ac:dyDescent="0.2">
      <c r="A187" s="11">
        <v>186</v>
      </c>
      <c r="B187" s="2">
        <v>186</v>
      </c>
      <c r="C187" s="2">
        <v>16</v>
      </c>
      <c r="D187" s="2">
        <f>VLOOKUP(C187,Course!$A$1:$C$229, 2, FALSE)</f>
        <v>0</v>
      </c>
      <c r="E187" s="2">
        <v>31</v>
      </c>
      <c r="F187" s="2" t="s">
        <v>931</v>
      </c>
      <c r="G187" s="2">
        <v>1</v>
      </c>
      <c r="H187" s="21">
        <v>0.8</v>
      </c>
      <c r="I187" s="2">
        <v>1</v>
      </c>
    </row>
    <row r="188" spans="1:9" ht="15.75" hidden="1" customHeight="1" x14ac:dyDescent="0.2">
      <c r="A188" s="11">
        <v>187</v>
      </c>
      <c r="B188" s="2">
        <v>187</v>
      </c>
      <c r="C188" s="2">
        <v>16</v>
      </c>
      <c r="D188" s="2">
        <f>VLOOKUP(C188,Course!$A$1:$C$229, 2, FALSE)</f>
        <v>0</v>
      </c>
      <c r="E188" s="2">
        <v>32</v>
      </c>
      <c r="F188" s="2" t="s">
        <v>932</v>
      </c>
      <c r="G188" s="2">
        <v>1</v>
      </c>
      <c r="H188" s="21">
        <v>0.8</v>
      </c>
      <c r="I188" s="2">
        <v>1</v>
      </c>
    </row>
    <row r="189" spans="1:9" ht="15.75" hidden="1" customHeight="1" x14ac:dyDescent="0.2">
      <c r="A189" s="11">
        <v>188</v>
      </c>
      <c r="B189" s="2">
        <v>188</v>
      </c>
      <c r="C189" s="2">
        <v>16</v>
      </c>
      <c r="D189" s="2">
        <f>VLOOKUP(C189,Course!$A$1:$C$229, 2, FALSE)</f>
        <v>0</v>
      </c>
      <c r="E189" s="2">
        <v>33</v>
      </c>
      <c r="F189" s="2" t="s">
        <v>933</v>
      </c>
      <c r="G189" s="2">
        <v>1</v>
      </c>
      <c r="H189" s="21">
        <v>0.8</v>
      </c>
      <c r="I189" s="2">
        <v>1</v>
      </c>
    </row>
    <row r="190" spans="1:9" ht="15.75" hidden="1" customHeight="1" x14ac:dyDescent="0.2">
      <c r="A190" s="11">
        <v>189</v>
      </c>
      <c r="B190" s="2">
        <v>189</v>
      </c>
      <c r="C190" s="2">
        <v>16</v>
      </c>
      <c r="D190" s="2">
        <f>VLOOKUP(C190,Course!$A$1:$C$229, 2, FALSE)</f>
        <v>0</v>
      </c>
      <c r="E190" s="2">
        <v>34</v>
      </c>
      <c r="F190" s="2" t="s">
        <v>934</v>
      </c>
      <c r="G190" s="2">
        <v>1</v>
      </c>
      <c r="H190" s="21">
        <v>0.8</v>
      </c>
      <c r="I190" s="2">
        <v>1</v>
      </c>
    </row>
    <row r="191" spans="1:9" ht="15.75" hidden="1" customHeight="1" x14ac:dyDescent="0.2">
      <c r="A191" s="11">
        <v>190</v>
      </c>
      <c r="B191" s="2">
        <v>190</v>
      </c>
      <c r="C191" s="2">
        <v>16</v>
      </c>
      <c r="D191" s="2">
        <f>VLOOKUP(C191,Course!$A$1:$C$229, 2, FALSE)</f>
        <v>0</v>
      </c>
      <c r="E191" s="2">
        <v>35</v>
      </c>
      <c r="F191" s="2" t="s">
        <v>935</v>
      </c>
      <c r="G191" s="2">
        <v>1</v>
      </c>
      <c r="H191" s="21">
        <v>0.8</v>
      </c>
      <c r="I191" s="2">
        <v>1</v>
      </c>
    </row>
    <row r="192" spans="1:9" ht="15.75" hidden="1" customHeight="1" x14ac:dyDescent="0.2">
      <c r="A192" s="11">
        <v>191</v>
      </c>
      <c r="B192" s="2">
        <v>191</v>
      </c>
      <c r="C192" s="2">
        <v>16</v>
      </c>
      <c r="D192" s="2">
        <f>VLOOKUP(C192,Course!$A$1:$C$229, 2, FALSE)</f>
        <v>0</v>
      </c>
      <c r="E192" s="2">
        <v>36</v>
      </c>
      <c r="F192" s="2" t="s">
        <v>936</v>
      </c>
      <c r="G192" s="2">
        <v>1</v>
      </c>
      <c r="H192" s="21">
        <v>0.8</v>
      </c>
      <c r="I192" s="2">
        <v>1</v>
      </c>
    </row>
    <row r="193" spans="1:9" ht="15.75" hidden="1" customHeight="1" x14ac:dyDescent="0.2">
      <c r="A193" s="11">
        <v>192</v>
      </c>
      <c r="B193" s="2">
        <v>192</v>
      </c>
      <c r="C193" s="2">
        <v>17</v>
      </c>
      <c r="D193" s="2">
        <f>VLOOKUP(C193,Course!$A$1:$C$229, 2, FALSE)</f>
        <v>0</v>
      </c>
      <c r="E193" s="2">
        <v>25</v>
      </c>
      <c r="F193" s="2" t="s">
        <v>937</v>
      </c>
      <c r="G193" s="2">
        <v>1</v>
      </c>
      <c r="H193" s="21">
        <v>0.8</v>
      </c>
      <c r="I193" s="2">
        <v>1</v>
      </c>
    </row>
    <row r="194" spans="1:9" ht="15.75" hidden="1" customHeight="1" x14ac:dyDescent="0.2">
      <c r="A194" s="11">
        <v>193</v>
      </c>
      <c r="B194" s="2">
        <v>193</v>
      </c>
      <c r="C194" s="2">
        <v>17</v>
      </c>
      <c r="D194" s="2">
        <f>VLOOKUP(C194,Course!$A$1:$C$229, 2, FALSE)</f>
        <v>0</v>
      </c>
      <c r="E194" s="2">
        <v>26</v>
      </c>
      <c r="F194" s="2" t="s">
        <v>938</v>
      </c>
      <c r="G194" s="2">
        <v>1</v>
      </c>
      <c r="H194" s="21">
        <v>0.8</v>
      </c>
      <c r="I194" s="2">
        <v>1</v>
      </c>
    </row>
    <row r="195" spans="1:9" ht="15.75" hidden="1" customHeight="1" x14ac:dyDescent="0.2">
      <c r="A195" s="11">
        <v>194</v>
      </c>
      <c r="B195" s="2">
        <v>194</v>
      </c>
      <c r="C195" s="2">
        <v>17</v>
      </c>
      <c r="D195" s="2">
        <f>VLOOKUP(C195,Course!$A$1:$C$229, 2, FALSE)</f>
        <v>0</v>
      </c>
      <c r="E195" s="2">
        <v>27</v>
      </c>
      <c r="F195" s="2" t="s">
        <v>939</v>
      </c>
      <c r="G195" s="2">
        <v>1</v>
      </c>
      <c r="H195" s="21">
        <v>0.8</v>
      </c>
      <c r="I195" s="2">
        <v>1</v>
      </c>
    </row>
    <row r="196" spans="1:9" ht="15.75" hidden="1" customHeight="1" x14ac:dyDescent="0.2">
      <c r="A196" s="11">
        <v>195</v>
      </c>
      <c r="B196" s="2">
        <v>195</v>
      </c>
      <c r="C196" s="2">
        <v>17</v>
      </c>
      <c r="D196" s="2">
        <f>VLOOKUP(C196,Course!$A$1:$C$229, 2, FALSE)</f>
        <v>0</v>
      </c>
      <c r="E196" s="2">
        <v>28</v>
      </c>
      <c r="F196" s="2" t="s">
        <v>940</v>
      </c>
      <c r="G196" s="2">
        <v>1</v>
      </c>
      <c r="H196" s="21">
        <v>0.8</v>
      </c>
      <c r="I196" s="2">
        <v>1</v>
      </c>
    </row>
    <row r="197" spans="1:9" ht="15.75" hidden="1" customHeight="1" x14ac:dyDescent="0.2">
      <c r="A197" s="11">
        <v>196</v>
      </c>
      <c r="B197" s="2">
        <v>196</v>
      </c>
      <c r="C197" s="2">
        <v>17</v>
      </c>
      <c r="D197" s="2">
        <f>VLOOKUP(C197,Course!$A$1:$C$229, 2, FALSE)</f>
        <v>0</v>
      </c>
      <c r="E197" s="2">
        <v>29</v>
      </c>
      <c r="F197" s="2" t="s">
        <v>941</v>
      </c>
      <c r="G197" s="2">
        <v>1</v>
      </c>
      <c r="H197" s="21">
        <v>0.8</v>
      </c>
      <c r="I197" s="2">
        <v>1</v>
      </c>
    </row>
    <row r="198" spans="1:9" ht="15.75" hidden="1" customHeight="1" x14ac:dyDescent="0.2">
      <c r="A198" s="11">
        <v>197</v>
      </c>
      <c r="B198" s="2">
        <v>197</v>
      </c>
      <c r="C198" s="2">
        <v>17</v>
      </c>
      <c r="D198" s="2">
        <f>VLOOKUP(C198,Course!$A$1:$C$229, 2, FALSE)</f>
        <v>0</v>
      </c>
      <c r="E198" s="2">
        <v>30</v>
      </c>
      <c r="F198" s="2" t="s">
        <v>942</v>
      </c>
      <c r="G198" s="2">
        <v>1</v>
      </c>
      <c r="H198" s="21">
        <v>0.8</v>
      </c>
      <c r="I198" s="2">
        <v>1</v>
      </c>
    </row>
    <row r="199" spans="1:9" ht="15.75" hidden="1" customHeight="1" x14ac:dyDescent="0.2">
      <c r="A199" s="11">
        <v>198</v>
      </c>
      <c r="B199" s="2">
        <v>198</v>
      </c>
      <c r="C199" s="2">
        <v>17</v>
      </c>
      <c r="D199" s="2">
        <f>VLOOKUP(C199,Course!$A$1:$C$229, 2, FALSE)</f>
        <v>0</v>
      </c>
      <c r="E199" s="2">
        <v>31</v>
      </c>
      <c r="F199" s="2" t="s">
        <v>943</v>
      </c>
      <c r="G199" s="2">
        <v>1</v>
      </c>
      <c r="H199" s="21">
        <v>0.8</v>
      </c>
      <c r="I199" s="2">
        <v>1</v>
      </c>
    </row>
    <row r="200" spans="1:9" ht="15.75" hidden="1" customHeight="1" x14ac:dyDescent="0.2">
      <c r="A200" s="11">
        <v>199</v>
      </c>
      <c r="B200" s="2">
        <v>199</v>
      </c>
      <c r="C200" s="2">
        <v>17</v>
      </c>
      <c r="D200" s="2">
        <f>VLOOKUP(C200,Course!$A$1:$C$229, 2, FALSE)</f>
        <v>0</v>
      </c>
      <c r="E200" s="2">
        <v>32</v>
      </c>
      <c r="F200" s="2" t="s">
        <v>944</v>
      </c>
      <c r="G200" s="2">
        <v>1</v>
      </c>
      <c r="H200" s="21">
        <v>0.8</v>
      </c>
      <c r="I200" s="2">
        <v>1</v>
      </c>
    </row>
    <row r="201" spans="1:9" ht="15.75" hidden="1" customHeight="1" x14ac:dyDescent="0.2">
      <c r="A201" s="11">
        <v>200</v>
      </c>
      <c r="B201" s="2">
        <v>200</v>
      </c>
      <c r="C201" s="2">
        <v>17</v>
      </c>
      <c r="D201" s="2">
        <f>VLOOKUP(C201,Course!$A$1:$C$229, 2, FALSE)</f>
        <v>0</v>
      </c>
      <c r="E201" s="2">
        <v>33</v>
      </c>
      <c r="F201" s="2" t="s">
        <v>945</v>
      </c>
      <c r="G201" s="2">
        <v>1</v>
      </c>
      <c r="H201" s="21">
        <v>0.8</v>
      </c>
      <c r="I201" s="2">
        <v>1</v>
      </c>
    </row>
    <row r="202" spans="1:9" ht="15.75" hidden="1" customHeight="1" x14ac:dyDescent="0.2">
      <c r="A202" s="11">
        <v>201</v>
      </c>
      <c r="B202" s="2">
        <v>201</v>
      </c>
      <c r="C202" s="2">
        <v>17</v>
      </c>
      <c r="D202" s="2">
        <f>VLOOKUP(C202,Course!$A$1:$C$229, 2, FALSE)</f>
        <v>0</v>
      </c>
      <c r="E202" s="2">
        <v>34</v>
      </c>
      <c r="F202" s="2" t="s">
        <v>946</v>
      </c>
      <c r="G202" s="2">
        <v>1</v>
      </c>
      <c r="H202" s="21">
        <v>0.8</v>
      </c>
      <c r="I202" s="2">
        <v>1</v>
      </c>
    </row>
    <row r="203" spans="1:9" ht="15.75" hidden="1" customHeight="1" x14ac:dyDescent="0.2">
      <c r="A203" s="11">
        <v>202</v>
      </c>
      <c r="B203" s="2">
        <v>202</v>
      </c>
      <c r="C203" s="2">
        <v>17</v>
      </c>
      <c r="D203" s="2">
        <f>VLOOKUP(C203,Course!$A$1:$C$229, 2, FALSE)</f>
        <v>0</v>
      </c>
      <c r="E203" s="2">
        <v>35</v>
      </c>
      <c r="F203" s="2" t="s">
        <v>947</v>
      </c>
      <c r="G203" s="2">
        <v>1</v>
      </c>
      <c r="H203" s="21">
        <v>0.8</v>
      </c>
      <c r="I203" s="2">
        <v>1</v>
      </c>
    </row>
    <row r="204" spans="1:9" ht="15.75" hidden="1" customHeight="1" x14ac:dyDescent="0.2">
      <c r="A204" s="11">
        <v>203</v>
      </c>
      <c r="B204" s="2">
        <v>203</v>
      </c>
      <c r="C204" s="2">
        <v>17</v>
      </c>
      <c r="D204" s="2">
        <f>VLOOKUP(C204,Course!$A$1:$C$229, 2, FALSE)</f>
        <v>0</v>
      </c>
      <c r="E204" s="2">
        <v>36</v>
      </c>
      <c r="F204" s="2" t="s">
        <v>948</v>
      </c>
      <c r="G204" s="2">
        <v>1</v>
      </c>
      <c r="H204" s="21">
        <v>0.8</v>
      </c>
      <c r="I204" s="2">
        <v>1</v>
      </c>
    </row>
    <row r="205" spans="1:9" ht="15.75" hidden="1" customHeight="1" x14ac:dyDescent="0.2">
      <c r="A205" s="11">
        <v>204</v>
      </c>
      <c r="B205" s="2">
        <v>204</v>
      </c>
      <c r="C205" s="2">
        <v>18</v>
      </c>
      <c r="D205" s="2">
        <f>VLOOKUP(C205,Course!$A$1:$C$229, 2, FALSE)</f>
        <v>0</v>
      </c>
      <c r="E205" s="2">
        <v>25</v>
      </c>
      <c r="F205" s="2" t="s">
        <v>949</v>
      </c>
      <c r="G205" s="2">
        <v>1</v>
      </c>
      <c r="H205" s="21">
        <v>0.9</v>
      </c>
      <c r="I205" s="2">
        <v>1</v>
      </c>
    </row>
    <row r="206" spans="1:9" ht="15.75" hidden="1" customHeight="1" x14ac:dyDescent="0.2">
      <c r="A206" s="11">
        <v>205</v>
      </c>
      <c r="B206" s="2">
        <v>205</v>
      </c>
      <c r="C206" s="2">
        <v>18</v>
      </c>
      <c r="D206" s="2">
        <f>VLOOKUP(C206,Course!$A$1:$C$229, 2, FALSE)</f>
        <v>0</v>
      </c>
      <c r="E206" s="2">
        <v>26</v>
      </c>
      <c r="F206" s="2" t="s">
        <v>950</v>
      </c>
      <c r="G206" s="2">
        <v>1</v>
      </c>
      <c r="H206" s="21">
        <v>0.9</v>
      </c>
      <c r="I206" s="2">
        <v>1</v>
      </c>
    </row>
    <row r="207" spans="1:9" ht="15.75" hidden="1" customHeight="1" x14ac:dyDescent="0.2">
      <c r="A207" s="11">
        <v>206</v>
      </c>
      <c r="B207" s="2">
        <v>206</v>
      </c>
      <c r="C207" s="2">
        <v>18</v>
      </c>
      <c r="D207" s="2">
        <f>VLOOKUP(C207,Course!$A$1:$C$229, 2, FALSE)</f>
        <v>0</v>
      </c>
      <c r="E207" s="2">
        <v>27</v>
      </c>
      <c r="F207" s="2" t="s">
        <v>951</v>
      </c>
      <c r="G207" s="2">
        <v>1</v>
      </c>
      <c r="H207" s="21">
        <v>0.9</v>
      </c>
      <c r="I207" s="2">
        <v>1</v>
      </c>
    </row>
    <row r="208" spans="1:9" ht="15.75" hidden="1" customHeight="1" x14ac:dyDescent="0.2">
      <c r="A208" s="11">
        <v>207</v>
      </c>
      <c r="B208" s="2">
        <v>207</v>
      </c>
      <c r="C208" s="2">
        <v>18</v>
      </c>
      <c r="D208" s="2">
        <f>VLOOKUP(C208,Course!$A$1:$C$229, 2, FALSE)</f>
        <v>0</v>
      </c>
      <c r="E208" s="2">
        <v>28</v>
      </c>
      <c r="F208" s="2" t="s">
        <v>952</v>
      </c>
      <c r="G208" s="2">
        <v>1</v>
      </c>
      <c r="H208" s="21">
        <v>0.9</v>
      </c>
      <c r="I208" s="2">
        <v>1</v>
      </c>
    </row>
    <row r="209" spans="1:9" ht="15.75" hidden="1" customHeight="1" x14ac:dyDescent="0.2">
      <c r="A209" s="11">
        <v>208</v>
      </c>
      <c r="B209" s="2">
        <v>208</v>
      </c>
      <c r="C209" s="2">
        <v>18</v>
      </c>
      <c r="D209" s="2">
        <f>VLOOKUP(C209,Course!$A$1:$C$229, 2, FALSE)</f>
        <v>0</v>
      </c>
      <c r="E209" s="2">
        <v>29</v>
      </c>
      <c r="F209" s="2" t="s">
        <v>953</v>
      </c>
      <c r="G209" s="2">
        <v>1</v>
      </c>
      <c r="H209" s="21">
        <v>0.9</v>
      </c>
      <c r="I209" s="2">
        <v>1</v>
      </c>
    </row>
    <row r="210" spans="1:9" ht="15.75" hidden="1" customHeight="1" x14ac:dyDescent="0.2">
      <c r="A210" s="11">
        <v>209</v>
      </c>
      <c r="B210" s="2">
        <v>209</v>
      </c>
      <c r="C210" s="2">
        <v>18</v>
      </c>
      <c r="D210" s="2">
        <f>VLOOKUP(C210,Course!$A$1:$C$229, 2, FALSE)</f>
        <v>0</v>
      </c>
      <c r="E210" s="2">
        <v>30</v>
      </c>
      <c r="F210" s="2" t="s">
        <v>954</v>
      </c>
      <c r="G210" s="2">
        <v>1</v>
      </c>
      <c r="H210" s="21">
        <v>0.9</v>
      </c>
      <c r="I210" s="2">
        <v>1</v>
      </c>
    </row>
    <row r="211" spans="1:9" ht="15.75" hidden="1" customHeight="1" x14ac:dyDescent="0.2">
      <c r="A211" s="11">
        <v>210</v>
      </c>
      <c r="B211" s="2">
        <v>210</v>
      </c>
      <c r="C211" s="2">
        <v>18</v>
      </c>
      <c r="D211" s="2">
        <f>VLOOKUP(C211,Course!$A$1:$C$229, 2, FALSE)</f>
        <v>0</v>
      </c>
      <c r="E211" s="2">
        <v>31</v>
      </c>
      <c r="F211" s="2" t="s">
        <v>955</v>
      </c>
      <c r="G211" s="2">
        <v>1</v>
      </c>
      <c r="H211" s="21">
        <v>0.9</v>
      </c>
      <c r="I211" s="2">
        <v>1</v>
      </c>
    </row>
    <row r="212" spans="1:9" ht="15.75" hidden="1" customHeight="1" x14ac:dyDescent="0.2">
      <c r="A212" s="11">
        <v>211</v>
      </c>
      <c r="B212" s="2">
        <v>211</v>
      </c>
      <c r="C212" s="2">
        <v>18</v>
      </c>
      <c r="D212" s="2">
        <f>VLOOKUP(C212,Course!$A$1:$C$229, 2, FALSE)</f>
        <v>0</v>
      </c>
      <c r="E212" s="2">
        <v>32</v>
      </c>
      <c r="F212" s="2" t="s">
        <v>956</v>
      </c>
      <c r="G212" s="2">
        <v>1</v>
      </c>
      <c r="H212" s="21">
        <v>0.9</v>
      </c>
      <c r="I212" s="2">
        <v>1</v>
      </c>
    </row>
    <row r="213" spans="1:9" ht="15.75" hidden="1" customHeight="1" x14ac:dyDescent="0.2">
      <c r="A213" s="11">
        <v>212</v>
      </c>
      <c r="B213" s="2">
        <v>212</v>
      </c>
      <c r="C213" s="2">
        <v>18</v>
      </c>
      <c r="D213" s="2">
        <f>VLOOKUP(C213,Course!$A$1:$C$229, 2, FALSE)</f>
        <v>0</v>
      </c>
      <c r="E213" s="2">
        <v>33</v>
      </c>
      <c r="F213" s="2" t="s">
        <v>957</v>
      </c>
      <c r="G213" s="2">
        <v>1</v>
      </c>
      <c r="H213" s="21">
        <v>0.9</v>
      </c>
      <c r="I213" s="2">
        <v>1</v>
      </c>
    </row>
    <row r="214" spans="1:9" ht="15.75" hidden="1" customHeight="1" x14ac:dyDescent="0.2">
      <c r="A214" s="11">
        <v>213</v>
      </c>
      <c r="B214" s="2">
        <v>213</v>
      </c>
      <c r="C214" s="2">
        <v>18</v>
      </c>
      <c r="D214" s="2">
        <f>VLOOKUP(C214,Course!$A$1:$C$229, 2, FALSE)</f>
        <v>0</v>
      </c>
      <c r="E214" s="2">
        <v>34</v>
      </c>
      <c r="F214" s="2" t="s">
        <v>958</v>
      </c>
      <c r="G214" s="2">
        <v>1</v>
      </c>
      <c r="H214" s="21">
        <v>0.9</v>
      </c>
      <c r="I214" s="2">
        <v>1</v>
      </c>
    </row>
    <row r="215" spans="1:9" ht="15.75" hidden="1" customHeight="1" x14ac:dyDescent="0.2">
      <c r="A215" s="11">
        <v>214</v>
      </c>
      <c r="B215" s="2">
        <v>214</v>
      </c>
      <c r="C215" s="2">
        <v>18</v>
      </c>
      <c r="D215" s="2">
        <f>VLOOKUP(C215,Course!$A$1:$C$229, 2, FALSE)</f>
        <v>0</v>
      </c>
      <c r="E215" s="2">
        <v>35</v>
      </c>
      <c r="F215" s="2" t="s">
        <v>959</v>
      </c>
      <c r="G215" s="2">
        <v>1</v>
      </c>
      <c r="H215" s="21">
        <v>0.9</v>
      </c>
      <c r="I215" s="2">
        <v>1</v>
      </c>
    </row>
    <row r="216" spans="1:9" ht="15.75" hidden="1" customHeight="1" x14ac:dyDescent="0.2">
      <c r="A216" s="11">
        <v>215</v>
      </c>
      <c r="B216" s="2">
        <v>215</v>
      </c>
      <c r="C216" s="2">
        <v>18</v>
      </c>
      <c r="D216" s="2">
        <f>VLOOKUP(C216,Course!$A$1:$C$229, 2, FALSE)</f>
        <v>0</v>
      </c>
      <c r="E216" s="2">
        <v>36</v>
      </c>
      <c r="F216" s="2" t="s">
        <v>960</v>
      </c>
      <c r="G216" s="2">
        <v>1</v>
      </c>
      <c r="H216" s="21">
        <v>0.9</v>
      </c>
      <c r="I216" s="2">
        <v>1</v>
      </c>
    </row>
    <row r="217" spans="1:9" ht="15.75" hidden="1" customHeight="1" x14ac:dyDescent="0.2">
      <c r="A217" s="11">
        <v>216</v>
      </c>
      <c r="B217" s="2">
        <v>216</v>
      </c>
      <c r="C217" s="2">
        <v>19</v>
      </c>
      <c r="D217" s="2">
        <f>VLOOKUP(C217,Course!$A$1:$C$229, 2, FALSE)</f>
        <v>0</v>
      </c>
      <c r="E217" s="2">
        <v>25</v>
      </c>
      <c r="F217" s="2" t="s">
        <v>961</v>
      </c>
      <c r="G217" s="2">
        <v>1</v>
      </c>
      <c r="H217" s="21">
        <v>0.8</v>
      </c>
      <c r="I217" s="2">
        <v>1</v>
      </c>
    </row>
    <row r="218" spans="1:9" ht="15.75" hidden="1" customHeight="1" x14ac:dyDescent="0.2">
      <c r="A218" s="11">
        <v>217</v>
      </c>
      <c r="B218" s="2">
        <v>217</v>
      </c>
      <c r="C218" s="2">
        <v>19</v>
      </c>
      <c r="D218" s="2">
        <f>VLOOKUP(C218,Course!$A$1:$C$229, 2, FALSE)</f>
        <v>0</v>
      </c>
      <c r="E218" s="2">
        <v>26</v>
      </c>
      <c r="F218" s="2" t="s">
        <v>962</v>
      </c>
      <c r="G218" s="2">
        <v>1</v>
      </c>
      <c r="H218" s="21">
        <v>0.8</v>
      </c>
      <c r="I218" s="2">
        <v>1</v>
      </c>
    </row>
    <row r="219" spans="1:9" ht="15.75" hidden="1" customHeight="1" x14ac:dyDescent="0.2">
      <c r="A219" s="11">
        <v>218</v>
      </c>
      <c r="B219" s="2">
        <v>218</v>
      </c>
      <c r="C219" s="2">
        <v>19</v>
      </c>
      <c r="D219" s="2">
        <f>VLOOKUP(C219,Course!$A$1:$C$229, 2, FALSE)</f>
        <v>0</v>
      </c>
      <c r="E219" s="2">
        <v>27</v>
      </c>
      <c r="F219" s="2" t="s">
        <v>963</v>
      </c>
      <c r="G219" s="2">
        <v>1</v>
      </c>
      <c r="H219" s="21">
        <v>0.8</v>
      </c>
      <c r="I219" s="2">
        <v>1</v>
      </c>
    </row>
    <row r="220" spans="1:9" ht="15.75" hidden="1" customHeight="1" x14ac:dyDescent="0.2">
      <c r="A220" s="11">
        <v>219</v>
      </c>
      <c r="B220" s="2">
        <v>219</v>
      </c>
      <c r="C220" s="2">
        <v>19</v>
      </c>
      <c r="D220" s="2">
        <f>VLOOKUP(C220,Course!$A$1:$C$229, 2, FALSE)</f>
        <v>0</v>
      </c>
      <c r="E220" s="2">
        <v>28</v>
      </c>
      <c r="F220" s="2" t="s">
        <v>964</v>
      </c>
      <c r="G220" s="2">
        <v>1</v>
      </c>
      <c r="H220" s="21">
        <v>0.8</v>
      </c>
      <c r="I220" s="2">
        <v>1</v>
      </c>
    </row>
    <row r="221" spans="1:9" ht="15.75" hidden="1" customHeight="1" x14ac:dyDescent="0.2">
      <c r="A221" s="11">
        <v>220</v>
      </c>
      <c r="B221" s="2">
        <v>220</v>
      </c>
      <c r="C221" s="2">
        <v>19</v>
      </c>
      <c r="D221" s="2">
        <f>VLOOKUP(C221,Course!$A$1:$C$229, 2, FALSE)</f>
        <v>0</v>
      </c>
      <c r="E221" s="2">
        <v>29</v>
      </c>
      <c r="F221" s="2" t="s">
        <v>965</v>
      </c>
      <c r="G221" s="2">
        <v>1</v>
      </c>
      <c r="H221" s="21">
        <v>0.8</v>
      </c>
      <c r="I221" s="2">
        <v>1</v>
      </c>
    </row>
    <row r="222" spans="1:9" ht="15.75" hidden="1" customHeight="1" x14ac:dyDescent="0.2">
      <c r="A222" s="11">
        <v>221</v>
      </c>
      <c r="B222" s="2">
        <v>221</v>
      </c>
      <c r="C222" s="2">
        <v>19</v>
      </c>
      <c r="D222" s="2">
        <f>VLOOKUP(C222,Course!$A$1:$C$229, 2, FALSE)</f>
        <v>0</v>
      </c>
      <c r="E222" s="2">
        <v>30</v>
      </c>
      <c r="F222" s="2" t="s">
        <v>966</v>
      </c>
      <c r="G222" s="2">
        <v>1</v>
      </c>
      <c r="H222" s="21">
        <v>0.8</v>
      </c>
      <c r="I222" s="2">
        <v>1</v>
      </c>
    </row>
    <row r="223" spans="1:9" ht="15.75" hidden="1" customHeight="1" x14ac:dyDescent="0.2">
      <c r="A223" s="11">
        <v>222</v>
      </c>
      <c r="B223" s="2">
        <v>222</v>
      </c>
      <c r="C223" s="2">
        <v>19</v>
      </c>
      <c r="D223" s="2">
        <f>VLOOKUP(C223,Course!$A$1:$C$229, 2, FALSE)</f>
        <v>0</v>
      </c>
      <c r="E223" s="2">
        <v>31</v>
      </c>
      <c r="F223" s="2" t="s">
        <v>967</v>
      </c>
      <c r="G223" s="2">
        <v>1</v>
      </c>
      <c r="H223" s="21">
        <v>0.8</v>
      </c>
      <c r="I223" s="2">
        <v>1</v>
      </c>
    </row>
    <row r="224" spans="1:9" ht="15.75" hidden="1" customHeight="1" x14ac:dyDescent="0.2">
      <c r="A224" s="11">
        <v>223</v>
      </c>
      <c r="B224" s="2">
        <v>223</v>
      </c>
      <c r="C224" s="2">
        <v>19</v>
      </c>
      <c r="D224" s="2">
        <f>VLOOKUP(C224,Course!$A$1:$C$229, 2, FALSE)</f>
        <v>0</v>
      </c>
      <c r="E224" s="2">
        <v>32</v>
      </c>
      <c r="F224" s="2" t="s">
        <v>968</v>
      </c>
      <c r="G224" s="2">
        <v>1</v>
      </c>
      <c r="H224" s="21">
        <v>0.8</v>
      </c>
      <c r="I224" s="2">
        <v>1</v>
      </c>
    </row>
    <row r="225" spans="1:9" ht="15.75" hidden="1" customHeight="1" x14ac:dyDescent="0.2">
      <c r="A225" s="11">
        <v>224</v>
      </c>
      <c r="B225" s="2">
        <v>224</v>
      </c>
      <c r="C225" s="2">
        <v>19</v>
      </c>
      <c r="D225" s="2">
        <f>VLOOKUP(C225,Course!$A$1:$C$229, 2, FALSE)</f>
        <v>0</v>
      </c>
      <c r="E225" s="2">
        <v>33</v>
      </c>
      <c r="F225" s="2" t="s">
        <v>969</v>
      </c>
      <c r="G225" s="2">
        <v>1</v>
      </c>
      <c r="H225" s="21">
        <v>0.8</v>
      </c>
      <c r="I225" s="2">
        <v>1</v>
      </c>
    </row>
    <row r="226" spans="1:9" ht="15.75" hidden="1" customHeight="1" x14ac:dyDescent="0.2">
      <c r="A226" s="11">
        <v>225</v>
      </c>
      <c r="B226" s="2">
        <v>225</v>
      </c>
      <c r="C226" s="2">
        <v>19</v>
      </c>
      <c r="D226" s="2">
        <f>VLOOKUP(C226,Course!$A$1:$C$229, 2, FALSE)</f>
        <v>0</v>
      </c>
      <c r="E226" s="2">
        <v>34</v>
      </c>
      <c r="F226" s="2" t="s">
        <v>970</v>
      </c>
      <c r="G226" s="2">
        <v>1</v>
      </c>
      <c r="H226" s="21">
        <v>0.8</v>
      </c>
      <c r="I226" s="2">
        <v>1</v>
      </c>
    </row>
    <row r="227" spans="1:9" ht="15.75" hidden="1" customHeight="1" x14ac:dyDescent="0.2">
      <c r="A227" s="11">
        <v>226</v>
      </c>
      <c r="B227" s="2">
        <v>226</v>
      </c>
      <c r="C227" s="2">
        <v>19</v>
      </c>
      <c r="D227" s="2">
        <f>VLOOKUP(C227,Course!$A$1:$C$229, 2, FALSE)</f>
        <v>0</v>
      </c>
      <c r="E227" s="2">
        <v>35</v>
      </c>
      <c r="F227" s="2" t="s">
        <v>971</v>
      </c>
      <c r="G227" s="2">
        <v>1</v>
      </c>
      <c r="H227" s="21">
        <v>0.8</v>
      </c>
      <c r="I227" s="2">
        <v>1</v>
      </c>
    </row>
    <row r="228" spans="1:9" ht="15.75" hidden="1" customHeight="1" x14ac:dyDescent="0.2">
      <c r="A228" s="11">
        <v>227</v>
      </c>
      <c r="B228" s="2">
        <v>227</v>
      </c>
      <c r="C228" s="2">
        <v>19</v>
      </c>
      <c r="D228" s="2">
        <f>VLOOKUP(C228,Course!$A$1:$C$229, 2, FALSE)</f>
        <v>0</v>
      </c>
      <c r="E228" s="2">
        <v>36</v>
      </c>
      <c r="F228" s="2" t="s">
        <v>972</v>
      </c>
      <c r="G228" s="2">
        <v>1</v>
      </c>
      <c r="H228" s="21">
        <v>0.8</v>
      </c>
      <c r="I228" s="2">
        <v>1</v>
      </c>
    </row>
    <row r="229" spans="1:9" ht="15.75" hidden="1" customHeight="1" x14ac:dyDescent="0.2">
      <c r="A229" s="11">
        <v>228</v>
      </c>
      <c r="B229" s="2">
        <v>228</v>
      </c>
      <c r="C229" s="2">
        <v>20</v>
      </c>
      <c r="D229" s="2" t="str">
        <f>VLOOKUP(C229,Course!$A$1:$C$229, 2, FALSE)</f>
        <v>Science 3</v>
      </c>
      <c r="E229" s="2">
        <v>25</v>
      </c>
      <c r="F229" s="2" t="s">
        <v>973</v>
      </c>
      <c r="G229" s="2">
        <v>1</v>
      </c>
      <c r="H229" s="21">
        <v>0.8</v>
      </c>
      <c r="I229" s="2">
        <v>1</v>
      </c>
    </row>
    <row r="230" spans="1:9" ht="15.75" hidden="1" customHeight="1" x14ac:dyDescent="0.2">
      <c r="A230" s="11">
        <v>229</v>
      </c>
      <c r="B230" s="2">
        <v>229</v>
      </c>
      <c r="C230" s="2">
        <v>20</v>
      </c>
      <c r="D230" s="2" t="str">
        <f>VLOOKUP(C230,Course!$A$1:$C$229, 2, FALSE)</f>
        <v>Science 3</v>
      </c>
      <c r="E230" s="2">
        <v>26</v>
      </c>
      <c r="F230" s="2" t="s">
        <v>974</v>
      </c>
      <c r="G230" s="2">
        <v>1</v>
      </c>
      <c r="H230" s="21">
        <v>0.8</v>
      </c>
      <c r="I230" s="2">
        <v>1</v>
      </c>
    </row>
    <row r="231" spans="1:9" ht="15.75" hidden="1" customHeight="1" x14ac:dyDescent="0.2">
      <c r="A231" s="11">
        <v>230</v>
      </c>
      <c r="B231" s="2">
        <v>230</v>
      </c>
      <c r="C231" s="2">
        <v>20</v>
      </c>
      <c r="D231" s="2" t="str">
        <f>VLOOKUP(C231,Course!$A$1:$C$229, 2, FALSE)</f>
        <v>Science 3</v>
      </c>
      <c r="E231" s="2">
        <v>27</v>
      </c>
      <c r="F231" s="2" t="s">
        <v>975</v>
      </c>
      <c r="G231" s="2">
        <v>1</v>
      </c>
      <c r="H231" s="21">
        <v>0.8</v>
      </c>
      <c r="I231" s="2">
        <v>1</v>
      </c>
    </row>
    <row r="232" spans="1:9" ht="15.75" hidden="1" customHeight="1" x14ac:dyDescent="0.2">
      <c r="A232" s="11">
        <v>231</v>
      </c>
      <c r="B232" s="2">
        <v>231</v>
      </c>
      <c r="C232" s="2">
        <v>20</v>
      </c>
      <c r="D232" s="2" t="str">
        <f>VLOOKUP(C232,Course!$A$1:$C$229, 2, FALSE)</f>
        <v>Science 3</v>
      </c>
      <c r="E232" s="2">
        <v>28</v>
      </c>
      <c r="F232" s="2" t="s">
        <v>976</v>
      </c>
      <c r="G232" s="2">
        <v>1</v>
      </c>
      <c r="H232" s="21">
        <v>0.8</v>
      </c>
      <c r="I232" s="2">
        <v>1</v>
      </c>
    </row>
    <row r="233" spans="1:9" ht="15.75" hidden="1" customHeight="1" x14ac:dyDescent="0.2">
      <c r="A233" s="11">
        <v>232</v>
      </c>
      <c r="B233" s="2">
        <v>232</v>
      </c>
      <c r="C233" s="2">
        <v>20</v>
      </c>
      <c r="D233" s="2" t="str">
        <f>VLOOKUP(C233,Course!$A$1:$C$229, 2, FALSE)</f>
        <v>Science 3</v>
      </c>
      <c r="E233" s="2">
        <v>29</v>
      </c>
      <c r="F233" s="2" t="s">
        <v>977</v>
      </c>
      <c r="G233" s="2">
        <v>1</v>
      </c>
      <c r="H233" s="21">
        <v>0.8</v>
      </c>
      <c r="I233" s="2">
        <v>1</v>
      </c>
    </row>
    <row r="234" spans="1:9" ht="15.75" hidden="1" customHeight="1" x14ac:dyDescent="0.2">
      <c r="A234" s="11">
        <v>233</v>
      </c>
      <c r="B234" s="2">
        <v>233</v>
      </c>
      <c r="C234" s="2">
        <v>20</v>
      </c>
      <c r="D234" s="2" t="str">
        <f>VLOOKUP(C234,Course!$A$1:$C$229, 2, FALSE)</f>
        <v>Science 3</v>
      </c>
      <c r="E234" s="2">
        <v>30</v>
      </c>
      <c r="F234" s="2" t="s">
        <v>978</v>
      </c>
      <c r="G234" s="2">
        <v>1</v>
      </c>
      <c r="H234" s="21">
        <v>0.8</v>
      </c>
      <c r="I234" s="2">
        <v>1</v>
      </c>
    </row>
    <row r="235" spans="1:9" ht="15.75" hidden="1" customHeight="1" x14ac:dyDescent="0.2">
      <c r="A235" s="11">
        <v>234</v>
      </c>
      <c r="B235" s="2">
        <v>234</v>
      </c>
      <c r="C235" s="2">
        <v>20</v>
      </c>
      <c r="D235" s="2" t="str">
        <f>VLOOKUP(C235,Course!$A$1:$C$229, 2, FALSE)</f>
        <v>Science 3</v>
      </c>
      <c r="E235" s="2">
        <v>31</v>
      </c>
      <c r="F235" s="2" t="s">
        <v>979</v>
      </c>
      <c r="G235" s="2">
        <v>1</v>
      </c>
      <c r="H235" s="21">
        <v>0.8</v>
      </c>
      <c r="I235" s="2">
        <v>1</v>
      </c>
    </row>
    <row r="236" spans="1:9" ht="15.75" hidden="1" customHeight="1" x14ac:dyDescent="0.2">
      <c r="A236" s="11">
        <v>235</v>
      </c>
      <c r="B236" s="2">
        <v>235</v>
      </c>
      <c r="C236" s="2">
        <v>20</v>
      </c>
      <c r="D236" s="2" t="str">
        <f>VLOOKUP(C236,Course!$A$1:$C$229, 2, FALSE)</f>
        <v>Science 3</v>
      </c>
      <c r="E236" s="2">
        <v>32</v>
      </c>
      <c r="F236" s="2" t="s">
        <v>980</v>
      </c>
      <c r="G236" s="2">
        <v>1</v>
      </c>
      <c r="H236" s="21">
        <v>0.8</v>
      </c>
      <c r="I236" s="2">
        <v>1</v>
      </c>
    </row>
    <row r="237" spans="1:9" ht="15.75" hidden="1" customHeight="1" x14ac:dyDescent="0.2">
      <c r="A237" s="11">
        <v>236</v>
      </c>
      <c r="B237" s="2">
        <v>236</v>
      </c>
      <c r="C237" s="2">
        <v>20</v>
      </c>
      <c r="D237" s="2" t="str">
        <f>VLOOKUP(C237,Course!$A$1:$C$229, 2, FALSE)</f>
        <v>Science 3</v>
      </c>
      <c r="E237" s="2">
        <v>33</v>
      </c>
      <c r="F237" s="2" t="s">
        <v>981</v>
      </c>
      <c r="G237" s="2">
        <v>1</v>
      </c>
      <c r="H237" s="21">
        <v>0.8</v>
      </c>
      <c r="I237" s="2">
        <v>1</v>
      </c>
    </row>
    <row r="238" spans="1:9" ht="15.75" hidden="1" customHeight="1" x14ac:dyDescent="0.2">
      <c r="A238" s="11">
        <v>237</v>
      </c>
      <c r="B238" s="2">
        <v>237</v>
      </c>
      <c r="C238" s="2">
        <v>20</v>
      </c>
      <c r="D238" s="2" t="str">
        <f>VLOOKUP(C238,Course!$A$1:$C$229, 2, FALSE)</f>
        <v>Science 3</v>
      </c>
      <c r="E238" s="2">
        <v>34</v>
      </c>
      <c r="F238" s="2" t="s">
        <v>982</v>
      </c>
      <c r="G238" s="2">
        <v>1</v>
      </c>
      <c r="H238" s="21">
        <v>0.8</v>
      </c>
      <c r="I238" s="2">
        <v>1</v>
      </c>
    </row>
    <row r="239" spans="1:9" ht="15.75" hidden="1" customHeight="1" x14ac:dyDescent="0.2">
      <c r="A239" s="11">
        <v>238</v>
      </c>
      <c r="B239" s="2">
        <v>238</v>
      </c>
      <c r="C239" s="2">
        <v>20</v>
      </c>
      <c r="D239" s="2" t="str">
        <f>VLOOKUP(C239,Course!$A$1:$C$229, 2, FALSE)</f>
        <v>Science 3</v>
      </c>
      <c r="E239" s="2">
        <v>35</v>
      </c>
      <c r="F239" s="2" t="s">
        <v>983</v>
      </c>
      <c r="G239" s="2">
        <v>1</v>
      </c>
      <c r="H239" s="21">
        <v>0.8</v>
      </c>
      <c r="I239" s="2">
        <v>1</v>
      </c>
    </row>
    <row r="240" spans="1:9" ht="15.75" hidden="1" customHeight="1" x14ac:dyDescent="0.2">
      <c r="A240" s="11">
        <v>239</v>
      </c>
      <c r="B240" s="2">
        <v>239</v>
      </c>
      <c r="C240" s="2">
        <v>20</v>
      </c>
      <c r="D240" s="2" t="str">
        <f>VLOOKUP(C240,Course!$A$1:$C$229, 2, FALSE)</f>
        <v>Science 3</v>
      </c>
      <c r="E240" s="2">
        <v>36</v>
      </c>
      <c r="F240" s="2" t="s">
        <v>984</v>
      </c>
      <c r="G240" s="2">
        <v>1</v>
      </c>
      <c r="H240" s="21">
        <v>0.8</v>
      </c>
      <c r="I240" s="2">
        <v>1</v>
      </c>
    </row>
    <row r="241" spans="1:9" ht="15.75" hidden="1" customHeight="1" x14ac:dyDescent="0.2">
      <c r="A241" s="11">
        <v>240</v>
      </c>
      <c r="B241" s="2">
        <v>240</v>
      </c>
      <c r="C241" s="2">
        <v>21</v>
      </c>
      <c r="D241" s="2">
        <f>VLOOKUP(C241,Course!$A$1:$C$229, 2, FALSE)</f>
        <v>0</v>
      </c>
      <c r="E241" s="2">
        <v>25</v>
      </c>
      <c r="F241" s="2" t="s">
        <v>985</v>
      </c>
      <c r="G241" s="2">
        <v>1</v>
      </c>
      <c r="H241" s="21">
        <v>0.8</v>
      </c>
      <c r="I241" s="2">
        <v>1</v>
      </c>
    </row>
    <row r="242" spans="1:9" ht="15.75" hidden="1" customHeight="1" x14ac:dyDescent="0.2">
      <c r="A242" s="11">
        <v>241</v>
      </c>
      <c r="B242" s="2">
        <v>241</v>
      </c>
      <c r="C242" s="2">
        <v>21</v>
      </c>
      <c r="D242" s="2">
        <f>VLOOKUP(C242,Course!$A$1:$C$229, 2, FALSE)</f>
        <v>0</v>
      </c>
      <c r="E242" s="2">
        <v>26</v>
      </c>
      <c r="F242" s="2" t="s">
        <v>986</v>
      </c>
      <c r="G242" s="2">
        <v>1</v>
      </c>
      <c r="H242" s="21">
        <v>0.8</v>
      </c>
      <c r="I242" s="2">
        <v>1</v>
      </c>
    </row>
    <row r="243" spans="1:9" ht="15.75" hidden="1" customHeight="1" x14ac:dyDescent="0.2">
      <c r="A243" s="11">
        <v>242</v>
      </c>
      <c r="B243" s="2">
        <v>242</v>
      </c>
      <c r="C243" s="2">
        <v>21</v>
      </c>
      <c r="D243" s="2">
        <f>VLOOKUP(C243,Course!$A$1:$C$229, 2, FALSE)</f>
        <v>0</v>
      </c>
      <c r="E243" s="2">
        <v>27</v>
      </c>
      <c r="F243" s="2" t="s">
        <v>987</v>
      </c>
      <c r="G243" s="2">
        <v>1</v>
      </c>
      <c r="H243" s="21">
        <v>0.8</v>
      </c>
      <c r="I243" s="2">
        <v>1</v>
      </c>
    </row>
    <row r="244" spans="1:9" ht="15.75" hidden="1" customHeight="1" x14ac:dyDescent="0.2">
      <c r="A244" s="11">
        <v>243</v>
      </c>
      <c r="B244" s="2">
        <v>243</v>
      </c>
      <c r="C244" s="2">
        <v>21</v>
      </c>
      <c r="D244" s="2">
        <f>VLOOKUP(C244,Course!$A$1:$C$229, 2, FALSE)</f>
        <v>0</v>
      </c>
      <c r="E244" s="2">
        <v>28</v>
      </c>
      <c r="F244" s="2" t="s">
        <v>988</v>
      </c>
      <c r="G244" s="2">
        <v>1</v>
      </c>
      <c r="H244" s="21">
        <v>0.8</v>
      </c>
      <c r="I244" s="2">
        <v>1</v>
      </c>
    </row>
    <row r="245" spans="1:9" ht="15.75" hidden="1" customHeight="1" x14ac:dyDescent="0.2">
      <c r="A245" s="11">
        <v>244</v>
      </c>
      <c r="B245" s="2">
        <v>244</v>
      </c>
      <c r="C245" s="2">
        <v>21</v>
      </c>
      <c r="D245" s="2">
        <f>VLOOKUP(C245,Course!$A$1:$C$229, 2, FALSE)</f>
        <v>0</v>
      </c>
      <c r="E245" s="2">
        <v>29</v>
      </c>
      <c r="F245" s="2" t="s">
        <v>989</v>
      </c>
      <c r="G245" s="2">
        <v>1</v>
      </c>
      <c r="H245" s="21">
        <v>0.8</v>
      </c>
      <c r="I245" s="2">
        <v>1</v>
      </c>
    </row>
    <row r="246" spans="1:9" ht="15.75" hidden="1" customHeight="1" x14ac:dyDescent="0.2">
      <c r="A246" s="11">
        <v>245</v>
      </c>
      <c r="B246" s="2">
        <v>245</v>
      </c>
      <c r="C246" s="2">
        <v>21</v>
      </c>
      <c r="D246" s="2">
        <f>VLOOKUP(C246,Course!$A$1:$C$229, 2, FALSE)</f>
        <v>0</v>
      </c>
      <c r="E246" s="2">
        <v>30</v>
      </c>
      <c r="F246" s="2" t="s">
        <v>990</v>
      </c>
      <c r="G246" s="2">
        <v>1</v>
      </c>
      <c r="H246" s="21">
        <v>0.8</v>
      </c>
      <c r="I246" s="2">
        <v>1</v>
      </c>
    </row>
    <row r="247" spans="1:9" ht="15.75" hidden="1" customHeight="1" x14ac:dyDescent="0.2">
      <c r="A247" s="11">
        <v>246</v>
      </c>
      <c r="B247" s="2">
        <v>246</v>
      </c>
      <c r="C247" s="2">
        <v>21</v>
      </c>
      <c r="D247" s="2">
        <f>VLOOKUP(C247,Course!$A$1:$C$229, 2, FALSE)</f>
        <v>0</v>
      </c>
      <c r="E247" s="2">
        <v>31</v>
      </c>
      <c r="F247" s="2" t="s">
        <v>991</v>
      </c>
      <c r="G247" s="2">
        <v>1</v>
      </c>
      <c r="H247" s="21">
        <v>0.8</v>
      </c>
      <c r="I247" s="2">
        <v>1</v>
      </c>
    </row>
    <row r="248" spans="1:9" ht="15.75" hidden="1" customHeight="1" x14ac:dyDescent="0.2">
      <c r="A248" s="11">
        <v>247</v>
      </c>
      <c r="B248" s="2">
        <v>247</v>
      </c>
      <c r="C248" s="2">
        <v>21</v>
      </c>
      <c r="D248" s="2">
        <f>VLOOKUP(C248,Course!$A$1:$C$229, 2, FALSE)</f>
        <v>0</v>
      </c>
      <c r="E248" s="2">
        <v>32</v>
      </c>
      <c r="F248" s="2" t="s">
        <v>992</v>
      </c>
      <c r="G248" s="2">
        <v>1</v>
      </c>
      <c r="H248" s="21">
        <v>0.8</v>
      </c>
      <c r="I248" s="2">
        <v>1</v>
      </c>
    </row>
    <row r="249" spans="1:9" ht="15.75" hidden="1" customHeight="1" x14ac:dyDescent="0.2">
      <c r="A249" s="11">
        <v>248</v>
      </c>
      <c r="B249" s="2">
        <v>248</v>
      </c>
      <c r="C249" s="2">
        <v>21</v>
      </c>
      <c r="D249" s="2">
        <f>VLOOKUP(C249,Course!$A$1:$C$229, 2, FALSE)</f>
        <v>0</v>
      </c>
      <c r="E249" s="2">
        <v>33</v>
      </c>
      <c r="F249" s="2" t="s">
        <v>993</v>
      </c>
      <c r="G249" s="2">
        <v>1</v>
      </c>
      <c r="H249" s="21">
        <v>0.8</v>
      </c>
      <c r="I249" s="2">
        <v>1</v>
      </c>
    </row>
    <row r="250" spans="1:9" ht="15.75" hidden="1" customHeight="1" x14ac:dyDescent="0.2">
      <c r="A250" s="11">
        <v>249</v>
      </c>
      <c r="B250" s="2">
        <v>249</v>
      </c>
      <c r="C250" s="2">
        <v>21</v>
      </c>
      <c r="D250" s="2">
        <f>VLOOKUP(C250,Course!$A$1:$C$229, 2, FALSE)</f>
        <v>0</v>
      </c>
      <c r="E250" s="2">
        <v>34</v>
      </c>
      <c r="F250" s="2" t="s">
        <v>994</v>
      </c>
      <c r="G250" s="2">
        <v>1</v>
      </c>
      <c r="H250" s="21">
        <v>0.8</v>
      </c>
      <c r="I250" s="2">
        <v>1</v>
      </c>
    </row>
    <row r="251" spans="1:9" ht="15.75" hidden="1" customHeight="1" x14ac:dyDescent="0.2">
      <c r="A251" s="11">
        <v>250</v>
      </c>
      <c r="B251" s="2">
        <v>250</v>
      </c>
      <c r="C251" s="2">
        <v>21</v>
      </c>
      <c r="D251" s="2">
        <f>VLOOKUP(C251,Course!$A$1:$C$229, 2, FALSE)</f>
        <v>0</v>
      </c>
      <c r="E251" s="2">
        <v>35</v>
      </c>
      <c r="F251" s="2" t="s">
        <v>995</v>
      </c>
      <c r="G251" s="2">
        <v>1</v>
      </c>
      <c r="H251" s="21">
        <v>0.8</v>
      </c>
      <c r="I251" s="2">
        <v>1</v>
      </c>
    </row>
    <row r="252" spans="1:9" ht="15.75" hidden="1" customHeight="1" x14ac:dyDescent="0.2">
      <c r="A252" s="11">
        <v>251</v>
      </c>
      <c r="B252" s="2">
        <v>251</v>
      </c>
      <c r="C252" s="2">
        <v>21</v>
      </c>
      <c r="D252" s="2">
        <f>VLOOKUP(C252,Course!$A$1:$C$229, 2, FALSE)</f>
        <v>0</v>
      </c>
      <c r="E252" s="2">
        <v>36</v>
      </c>
      <c r="F252" s="2" t="s">
        <v>996</v>
      </c>
      <c r="G252" s="2">
        <v>1</v>
      </c>
      <c r="H252" s="21">
        <v>0.8</v>
      </c>
      <c r="I252" s="2">
        <v>1</v>
      </c>
    </row>
    <row r="253" spans="1:9" ht="15.75" hidden="1" customHeight="1" x14ac:dyDescent="0.2">
      <c r="A253" s="11">
        <v>252</v>
      </c>
      <c r="B253" s="2">
        <v>252</v>
      </c>
      <c r="C253" s="2">
        <v>22</v>
      </c>
      <c r="D253" s="2">
        <f>VLOOKUP(C253,Course!$A$1:$C$229, 2, FALSE)</f>
        <v>0</v>
      </c>
      <c r="E253" s="2">
        <v>25</v>
      </c>
      <c r="F253" s="2" t="s">
        <v>997</v>
      </c>
      <c r="G253" s="2">
        <v>1</v>
      </c>
      <c r="H253" s="21">
        <v>0.8</v>
      </c>
      <c r="I253" s="2">
        <v>1</v>
      </c>
    </row>
    <row r="254" spans="1:9" ht="15.75" hidden="1" customHeight="1" x14ac:dyDescent="0.2">
      <c r="A254" s="11">
        <v>253</v>
      </c>
      <c r="B254" s="2">
        <v>253</v>
      </c>
      <c r="C254" s="2">
        <v>22</v>
      </c>
      <c r="D254" s="2">
        <f>VLOOKUP(C254,Course!$A$1:$C$229, 2, FALSE)</f>
        <v>0</v>
      </c>
      <c r="E254" s="2">
        <v>26</v>
      </c>
      <c r="F254" s="2" t="s">
        <v>998</v>
      </c>
      <c r="G254" s="2">
        <v>1</v>
      </c>
      <c r="H254" s="21">
        <v>0.8</v>
      </c>
      <c r="I254" s="2">
        <v>1</v>
      </c>
    </row>
    <row r="255" spans="1:9" ht="15.75" hidden="1" customHeight="1" x14ac:dyDescent="0.2">
      <c r="A255" s="11">
        <v>254</v>
      </c>
      <c r="B255" s="2">
        <v>254</v>
      </c>
      <c r="C255" s="2">
        <v>22</v>
      </c>
      <c r="D255" s="2">
        <f>VLOOKUP(C255,Course!$A$1:$C$229, 2, FALSE)</f>
        <v>0</v>
      </c>
      <c r="E255" s="2">
        <v>27</v>
      </c>
      <c r="F255" s="2" t="s">
        <v>999</v>
      </c>
      <c r="G255" s="2">
        <v>1</v>
      </c>
      <c r="H255" s="21">
        <v>0.8</v>
      </c>
      <c r="I255" s="2">
        <v>1</v>
      </c>
    </row>
    <row r="256" spans="1:9" ht="15.75" hidden="1" customHeight="1" x14ac:dyDescent="0.2">
      <c r="A256" s="11">
        <v>255</v>
      </c>
      <c r="B256" s="2">
        <v>255</v>
      </c>
      <c r="C256" s="2">
        <v>22</v>
      </c>
      <c r="D256" s="2">
        <f>VLOOKUP(C256,Course!$A$1:$C$229, 2, FALSE)</f>
        <v>0</v>
      </c>
      <c r="E256" s="2">
        <v>28</v>
      </c>
      <c r="F256" s="2" t="s">
        <v>1000</v>
      </c>
      <c r="G256" s="2">
        <v>1</v>
      </c>
      <c r="H256" s="21">
        <v>0.8</v>
      </c>
      <c r="I256" s="2">
        <v>1</v>
      </c>
    </row>
    <row r="257" spans="1:9" ht="15.75" hidden="1" customHeight="1" x14ac:dyDescent="0.2">
      <c r="A257" s="11">
        <v>256</v>
      </c>
      <c r="B257" s="2">
        <v>256</v>
      </c>
      <c r="C257" s="2">
        <v>22</v>
      </c>
      <c r="D257" s="2">
        <f>VLOOKUP(C257,Course!$A$1:$C$229, 2, FALSE)</f>
        <v>0</v>
      </c>
      <c r="E257" s="2">
        <v>29</v>
      </c>
      <c r="F257" s="2" t="s">
        <v>1001</v>
      </c>
      <c r="G257" s="2">
        <v>1</v>
      </c>
      <c r="H257" s="21">
        <v>0.8</v>
      </c>
      <c r="I257" s="2">
        <v>1</v>
      </c>
    </row>
    <row r="258" spans="1:9" ht="15.75" hidden="1" customHeight="1" x14ac:dyDescent="0.2">
      <c r="A258" s="11">
        <v>257</v>
      </c>
      <c r="B258" s="2">
        <v>257</v>
      </c>
      <c r="C258" s="2">
        <v>22</v>
      </c>
      <c r="D258" s="2">
        <f>VLOOKUP(C258,Course!$A$1:$C$229, 2, FALSE)</f>
        <v>0</v>
      </c>
      <c r="E258" s="2">
        <v>30</v>
      </c>
      <c r="F258" s="2" t="s">
        <v>1002</v>
      </c>
      <c r="G258" s="2">
        <v>1</v>
      </c>
      <c r="H258" s="21">
        <v>0.8</v>
      </c>
      <c r="I258" s="2">
        <v>1</v>
      </c>
    </row>
    <row r="259" spans="1:9" ht="15.75" hidden="1" customHeight="1" x14ac:dyDescent="0.2">
      <c r="A259" s="11">
        <v>258</v>
      </c>
      <c r="B259" s="2">
        <v>258</v>
      </c>
      <c r="C259" s="2">
        <v>22</v>
      </c>
      <c r="D259" s="2">
        <f>VLOOKUP(C259,Course!$A$1:$C$229, 2, FALSE)</f>
        <v>0</v>
      </c>
      <c r="E259" s="2">
        <v>31</v>
      </c>
      <c r="F259" s="2" t="s">
        <v>1003</v>
      </c>
      <c r="G259" s="2">
        <v>1</v>
      </c>
      <c r="H259" s="21">
        <v>0.8</v>
      </c>
      <c r="I259" s="2">
        <v>1</v>
      </c>
    </row>
    <row r="260" spans="1:9" ht="15.75" hidden="1" customHeight="1" x14ac:dyDescent="0.2">
      <c r="A260" s="11">
        <v>259</v>
      </c>
      <c r="B260" s="2">
        <v>259</v>
      </c>
      <c r="C260" s="2">
        <v>22</v>
      </c>
      <c r="D260" s="2">
        <f>VLOOKUP(C260,Course!$A$1:$C$229, 2, FALSE)</f>
        <v>0</v>
      </c>
      <c r="E260" s="2">
        <v>32</v>
      </c>
      <c r="F260" s="2" t="s">
        <v>1004</v>
      </c>
      <c r="G260" s="2">
        <v>1</v>
      </c>
      <c r="H260" s="21">
        <v>0.8</v>
      </c>
      <c r="I260" s="2">
        <v>1</v>
      </c>
    </row>
    <row r="261" spans="1:9" ht="15.75" hidden="1" customHeight="1" x14ac:dyDescent="0.2">
      <c r="A261" s="11">
        <v>260</v>
      </c>
      <c r="B261" s="2">
        <v>260</v>
      </c>
      <c r="C261" s="2">
        <v>22</v>
      </c>
      <c r="D261" s="2">
        <f>VLOOKUP(C261,Course!$A$1:$C$229, 2, FALSE)</f>
        <v>0</v>
      </c>
      <c r="E261" s="2">
        <v>33</v>
      </c>
      <c r="F261" s="2" t="s">
        <v>1005</v>
      </c>
      <c r="G261" s="2">
        <v>1</v>
      </c>
      <c r="H261" s="21">
        <v>0.8</v>
      </c>
      <c r="I261" s="2">
        <v>1</v>
      </c>
    </row>
    <row r="262" spans="1:9" ht="15.75" hidden="1" customHeight="1" x14ac:dyDescent="0.2">
      <c r="A262" s="11">
        <v>261</v>
      </c>
      <c r="B262" s="2">
        <v>261</v>
      </c>
      <c r="C262" s="2">
        <v>22</v>
      </c>
      <c r="D262" s="2">
        <f>VLOOKUP(C262,Course!$A$1:$C$229, 2, FALSE)</f>
        <v>0</v>
      </c>
      <c r="E262" s="2">
        <v>34</v>
      </c>
      <c r="F262" s="2" t="s">
        <v>1006</v>
      </c>
      <c r="G262" s="2">
        <v>1</v>
      </c>
      <c r="H262" s="21">
        <v>0.8</v>
      </c>
      <c r="I262" s="2">
        <v>1</v>
      </c>
    </row>
    <row r="263" spans="1:9" ht="15.75" hidden="1" customHeight="1" x14ac:dyDescent="0.2">
      <c r="A263" s="11">
        <v>262</v>
      </c>
      <c r="B263" s="2">
        <v>262</v>
      </c>
      <c r="C263" s="2">
        <v>22</v>
      </c>
      <c r="D263" s="2">
        <f>VLOOKUP(C263,Course!$A$1:$C$229, 2, FALSE)</f>
        <v>0</v>
      </c>
      <c r="E263" s="2">
        <v>35</v>
      </c>
      <c r="F263" s="2" t="s">
        <v>1007</v>
      </c>
      <c r="G263" s="2">
        <v>1</v>
      </c>
      <c r="H263" s="21">
        <v>0.8</v>
      </c>
      <c r="I263" s="2">
        <v>1</v>
      </c>
    </row>
    <row r="264" spans="1:9" ht="15.75" hidden="1" customHeight="1" x14ac:dyDescent="0.2">
      <c r="A264" s="11">
        <v>263</v>
      </c>
      <c r="B264" s="2">
        <v>263</v>
      </c>
      <c r="C264" s="2">
        <v>22</v>
      </c>
      <c r="D264" s="2">
        <f>VLOOKUP(C264,Course!$A$1:$C$229, 2, FALSE)</f>
        <v>0</v>
      </c>
      <c r="E264" s="2">
        <v>36</v>
      </c>
      <c r="F264" s="2" t="s">
        <v>1008</v>
      </c>
      <c r="G264" s="2">
        <v>1</v>
      </c>
      <c r="H264" s="21">
        <v>0.8</v>
      </c>
      <c r="I264" s="2">
        <v>1</v>
      </c>
    </row>
    <row r="265" spans="1:9" ht="15.75" hidden="1" customHeight="1" x14ac:dyDescent="0.2">
      <c r="A265" s="11">
        <v>264</v>
      </c>
      <c r="B265" s="2">
        <v>264</v>
      </c>
      <c r="C265" s="2">
        <v>23</v>
      </c>
      <c r="D265" s="2">
        <f>VLOOKUP(C265,Course!$A$1:$C$229, 2, FALSE)</f>
        <v>0</v>
      </c>
      <c r="E265" s="2">
        <v>37</v>
      </c>
      <c r="F265" s="2" t="s">
        <v>1009</v>
      </c>
      <c r="G265" s="2">
        <v>1</v>
      </c>
      <c r="H265" s="21">
        <v>0.8</v>
      </c>
      <c r="I265" s="2">
        <v>1</v>
      </c>
    </row>
    <row r="266" spans="1:9" ht="15.75" hidden="1" customHeight="1" x14ac:dyDescent="0.2">
      <c r="A266" s="11">
        <v>265</v>
      </c>
      <c r="B266" s="2">
        <v>265</v>
      </c>
      <c r="C266" s="2">
        <v>23</v>
      </c>
      <c r="D266" s="2">
        <f>VLOOKUP(C266,Course!$A$1:$C$229, 2, FALSE)</f>
        <v>0</v>
      </c>
      <c r="E266" s="2">
        <v>38</v>
      </c>
      <c r="F266" s="2" t="s">
        <v>1010</v>
      </c>
      <c r="G266" s="2">
        <v>1</v>
      </c>
      <c r="H266" s="21">
        <v>0.8</v>
      </c>
      <c r="I266" s="2">
        <v>1</v>
      </c>
    </row>
    <row r="267" spans="1:9" ht="15.75" hidden="1" customHeight="1" x14ac:dyDescent="0.2">
      <c r="A267" s="11">
        <v>266</v>
      </c>
      <c r="B267" s="2">
        <v>266</v>
      </c>
      <c r="C267" s="2">
        <v>23</v>
      </c>
      <c r="D267" s="2">
        <f>VLOOKUP(C267,Course!$A$1:$C$229, 2, FALSE)</f>
        <v>0</v>
      </c>
      <c r="E267" s="2">
        <v>39</v>
      </c>
      <c r="F267" s="2" t="s">
        <v>1011</v>
      </c>
      <c r="G267" s="2">
        <v>1</v>
      </c>
      <c r="H267" s="21">
        <v>0.8</v>
      </c>
      <c r="I267" s="2">
        <v>1</v>
      </c>
    </row>
    <row r="268" spans="1:9" ht="15.75" hidden="1" customHeight="1" x14ac:dyDescent="0.2">
      <c r="A268" s="11">
        <v>267</v>
      </c>
      <c r="B268" s="2">
        <v>267</v>
      </c>
      <c r="C268" s="2">
        <v>23</v>
      </c>
      <c r="D268" s="2">
        <f>VLOOKUP(C268,Course!$A$1:$C$229, 2, FALSE)</f>
        <v>0</v>
      </c>
      <c r="E268" s="2">
        <v>40</v>
      </c>
      <c r="F268" s="2" t="s">
        <v>1012</v>
      </c>
      <c r="G268" s="2">
        <v>1</v>
      </c>
      <c r="H268" s="21">
        <v>0.8</v>
      </c>
      <c r="I268" s="2">
        <v>1</v>
      </c>
    </row>
    <row r="269" spans="1:9" ht="15.75" hidden="1" customHeight="1" x14ac:dyDescent="0.2">
      <c r="A269" s="11">
        <v>268</v>
      </c>
      <c r="B269" s="2">
        <v>268</v>
      </c>
      <c r="C269" s="2">
        <v>23</v>
      </c>
      <c r="D269" s="2">
        <f>VLOOKUP(C269,Course!$A$1:$C$229, 2, FALSE)</f>
        <v>0</v>
      </c>
      <c r="E269" s="2">
        <v>41</v>
      </c>
      <c r="F269" s="2" t="s">
        <v>1013</v>
      </c>
      <c r="G269" s="2">
        <v>1</v>
      </c>
      <c r="H269" s="21">
        <v>0.8</v>
      </c>
      <c r="I269" s="2">
        <v>1</v>
      </c>
    </row>
    <row r="270" spans="1:9" ht="15.75" hidden="1" customHeight="1" x14ac:dyDescent="0.2">
      <c r="A270" s="11">
        <v>269</v>
      </c>
      <c r="B270" s="2">
        <v>269</v>
      </c>
      <c r="C270" s="2">
        <v>23</v>
      </c>
      <c r="D270" s="2">
        <f>VLOOKUP(C270,Course!$A$1:$C$229, 2, FALSE)</f>
        <v>0</v>
      </c>
      <c r="E270" s="2">
        <v>42</v>
      </c>
      <c r="F270" s="2" t="s">
        <v>1014</v>
      </c>
      <c r="G270" s="2">
        <v>1</v>
      </c>
      <c r="H270" s="21">
        <v>0.8</v>
      </c>
      <c r="I270" s="2">
        <v>1</v>
      </c>
    </row>
    <row r="271" spans="1:9" ht="15.75" hidden="1" customHeight="1" x14ac:dyDescent="0.2">
      <c r="A271" s="11">
        <v>270</v>
      </c>
      <c r="B271" s="2">
        <v>270</v>
      </c>
      <c r="C271" s="2">
        <v>23</v>
      </c>
      <c r="D271" s="2">
        <f>VLOOKUP(C271,Course!$A$1:$C$229, 2, FALSE)</f>
        <v>0</v>
      </c>
      <c r="E271" s="2">
        <v>43</v>
      </c>
      <c r="F271" s="2" t="s">
        <v>1015</v>
      </c>
      <c r="G271" s="2">
        <v>1</v>
      </c>
      <c r="H271" s="21">
        <v>0.8</v>
      </c>
      <c r="I271" s="2">
        <v>1</v>
      </c>
    </row>
    <row r="272" spans="1:9" ht="15.75" hidden="1" customHeight="1" x14ac:dyDescent="0.2">
      <c r="A272" s="11">
        <v>271</v>
      </c>
      <c r="B272" s="2">
        <v>271</v>
      </c>
      <c r="C272" s="2">
        <v>23</v>
      </c>
      <c r="D272" s="2">
        <f>VLOOKUP(C272,Course!$A$1:$C$229, 2, FALSE)</f>
        <v>0</v>
      </c>
      <c r="E272" s="2">
        <v>44</v>
      </c>
      <c r="F272" s="2" t="s">
        <v>1016</v>
      </c>
      <c r="G272" s="2">
        <v>1</v>
      </c>
      <c r="H272" s="21">
        <v>0.8</v>
      </c>
      <c r="I272" s="2">
        <v>1</v>
      </c>
    </row>
    <row r="273" spans="1:9" ht="15.75" hidden="1" customHeight="1" x14ac:dyDescent="0.2">
      <c r="A273" s="11">
        <v>272</v>
      </c>
      <c r="B273" s="2">
        <v>272</v>
      </c>
      <c r="C273" s="2">
        <v>23</v>
      </c>
      <c r="D273" s="2">
        <f>VLOOKUP(C273,Course!$A$1:$C$229, 2, FALSE)</f>
        <v>0</v>
      </c>
      <c r="E273" s="2">
        <v>45</v>
      </c>
      <c r="F273" s="2" t="s">
        <v>1017</v>
      </c>
      <c r="G273" s="2">
        <v>1</v>
      </c>
      <c r="H273" s="21">
        <v>0.8</v>
      </c>
      <c r="I273" s="2">
        <v>1</v>
      </c>
    </row>
    <row r="274" spans="1:9" ht="15.75" hidden="1" customHeight="1" x14ac:dyDescent="0.2">
      <c r="A274" s="11">
        <v>273</v>
      </c>
      <c r="B274" s="2">
        <v>273</v>
      </c>
      <c r="C274" s="2">
        <v>23</v>
      </c>
      <c r="D274" s="2">
        <f>VLOOKUP(C274,Course!$A$1:$C$229, 2, FALSE)</f>
        <v>0</v>
      </c>
      <c r="E274" s="2">
        <v>46</v>
      </c>
      <c r="F274" s="2" t="s">
        <v>1018</v>
      </c>
      <c r="G274" s="2">
        <v>1</v>
      </c>
      <c r="H274" s="21">
        <v>0.8</v>
      </c>
      <c r="I274" s="2">
        <v>1</v>
      </c>
    </row>
    <row r="275" spans="1:9" ht="15.75" hidden="1" customHeight="1" x14ac:dyDescent="0.2">
      <c r="A275" s="11">
        <v>274</v>
      </c>
      <c r="B275" s="2">
        <v>274</v>
      </c>
      <c r="C275" s="2">
        <v>23</v>
      </c>
      <c r="D275" s="2">
        <f>VLOOKUP(C275,Course!$A$1:$C$229, 2, FALSE)</f>
        <v>0</v>
      </c>
      <c r="E275" s="2">
        <v>47</v>
      </c>
      <c r="F275" s="2" t="s">
        <v>1019</v>
      </c>
      <c r="G275" s="2">
        <v>1</v>
      </c>
      <c r="H275" s="21">
        <v>0.8</v>
      </c>
      <c r="I275" s="2">
        <v>1</v>
      </c>
    </row>
    <row r="276" spans="1:9" ht="15.75" hidden="1" customHeight="1" x14ac:dyDescent="0.2">
      <c r="A276" s="11">
        <v>275</v>
      </c>
      <c r="B276" s="2">
        <v>275</v>
      </c>
      <c r="C276" s="2">
        <v>23</v>
      </c>
      <c r="D276" s="2">
        <f>VLOOKUP(C276,Course!$A$1:$C$229, 2, FALSE)</f>
        <v>0</v>
      </c>
      <c r="E276" s="2">
        <v>48</v>
      </c>
      <c r="F276" s="2" t="s">
        <v>1020</v>
      </c>
      <c r="G276" s="2">
        <v>1</v>
      </c>
      <c r="H276" s="21">
        <v>0.8</v>
      </c>
      <c r="I276" s="2">
        <v>1</v>
      </c>
    </row>
    <row r="277" spans="1:9" ht="15.75" hidden="1" customHeight="1" x14ac:dyDescent="0.2">
      <c r="A277" s="11">
        <v>276</v>
      </c>
      <c r="B277" s="2">
        <v>276</v>
      </c>
      <c r="C277" s="2">
        <v>24</v>
      </c>
      <c r="D277" s="2">
        <f>VLOOKUP(C277,Course!$A$1:$C$229, 2, FALSE)</f>
        <v>0</v>
      </c>
      <c r="E277" s="2">
        <v>37</v>
      </c>
      <c r="F277" s="2" t="s">
        <v>1021</v>
      </c>
      <c r="G277" s="2">
        <v>1</v>
      </c>
      <c r="H277" s="21">
        <v>0.8</v>
      </c>
      <c r="I277" s="2">
        <v>1</v>
      </c>
    </row>
    <row r="278" spans="1:9" ht="15.75" hidden="1" customHeight="1" x14ac:dyDescent="0.2">
      <c r="A278" s="11">
        <v>277</v>
      </c>
      <c r="B278" s="2">
        <v>277</v>
      </c>
      <c r="C278" s="2">
        <v>24</v>
      </c>
      <c r="D278" s="2">
        <f>VLOOKUP(C278,Course!$A$1:$C$229, 2, FALSE)</f>
        <v>0</v>
      </c>
      <c r="E278" s="2">
        <v>38</v>
      </c>
      <c r="F278" s="2" t="s">
        <v>1022</v>
      </c>
      <c r="G278" s="2">
        <v>1</v>
      </c>
      <c r="H278" s="21">
        <v>0.8</v>
      </c>
      <c r="I278" s="2">
        <v>1</v>
      </c>
    </row>
    <row r="279" spans="1:9" ht="15.75" hidden="1" customHeight="1" x14ac:dyDescent="0.2">
      <c r="A279" s="11">
        <v>278</v>
      </c>
      <c r="B279" s="2">
        <v>278</v>
      </c>
      <c r="C279" s="2">
        <v>24</v>
      </c>
      <c r="D279" s="2">
        <f>VLOOKUP(C279,Course!$A$1:$C$229, 2, FALSE)</f>
        <v>0</v>
      </c>
      <c r="E279" s="2">
        <v>39</v>
      </c>
      <c r="F279" s="2" t="s">
        <v>1023</v>
      </c>
      <c r="G279" s="2">
        <v>1</v>
      </c>
      <c r="H279" s="21">
        <v>0.8</v>
      </c>
      <c r="I279" s="2">
        <v>1</v>
      </c>
    </row>
    <row r="280" spans="1:9" ht="15.75" hidden="1" customHeight="1" x14ac:dyDescent="0.2">
      <c r="A280" s="11">
        <v>279</v>
      </c>
      <c r="B280" s="2">
        <v>279</v>
      </c>
      <c r="C280" s="2">
        <v>24</v>
      </c>
      <c r="D280" s="2">
        <f>VLOOKUP(C280,Course!$A$1:$C$229, 2, FALSE)</f>
        <v>0</v>
      </c>
      <c r="E280" s="2">
        <v>40</v>
      </c>
      <c r="F280" s="2" t="s">
        <v>1024</v>
      </c>
      <c r="G280" s="2">
        <v>1</v>
      </c>
      <c r="H280" s="21">
        <v>0.8</v>
      </c>
      <c r="I280" s="2">
        <v>1</v>
      </c>
    </row>
    <row r="281" spans="1:9" ht="15.75" hidden="1" customHeight="1" x14ac:dyDescent="0.2">
      <c r="A281" s="11">
        <v>280</v>
      </c>
      <c r="B281" s="2">
        <v>280</v>
      </c>
      <c r="C281" s="2">
        <v>24</v>
      </c>
      <c r="D281" s="2">
        <f>VLOOKUP(C281,Course!$A$1:$C$229, 2, FALSE)</f>
        <v>0</v>
      </c>
      <c r="E281" s="2">
        <v>41</v>
      </c>
      <c r="F281" s="2" t="s">
        <v>1025</v>
      </c>
      <c r="G281" s="2">
        <v>1</v>
      </c>
      <c r="H281" s="21">
        <v>0.8</v>
      </c>
      <c r="I281" s="2">
        <v>1</v>
      </c>
    </row>
    <row r="282" spans="1:9" ht="15.75" hidden="1" customHeight="1" x14ac:dyDescent="0.2">
      <c r="A282" s="11">
        <v>281</v>
      </c>
      <c r="B282" s="2">
        <v>281</v>
      </c>
      <c r="C282" s="2">
        <v>24</v>
      </c>
      <c r="D282" s="2">
        <f>VLOOKUP(C282,Course!$A$1:$C$229, 2, FALSE)</f>
        <v>0</v>
      </c>
      <c r="E282" s="2">
        <v>42</v>
      </c>
      <c r="F282" s="2" t="s">
        <v>1026</v>
      </c>
      <c r="G282" s="2">
        <v>1</v>
      </c>
      <c r="H282" s="21">
        <v>0.8</v>
      </c>
      <c r="I282" s="2">
        <v>1</v>
      </c>
    </row>
    <row r="283" spans="1:9" ht="15.75" hidden="1" customHeight="1" x14ac:dyDescent="0.2">
      <c r="A283" s="11">
        <v>282</v>
      </c>
      <c r="B283" s="2">
        <v>282</v>
      </c>
      <c r="C283" s="2">
        <v>24</v>
      </c>
      <c r="D283" s="2">
        <f>VLOOKUP(C283,Course!$A$1:$C$229, 2, FALSE)</f>
        <v>0</v>
      </c>
      <c r="E283" s="2">
        <v>43</v>
      </c>
      <c r="F283" s="2" t="s">
        <v>1027</v>
      </c>
      <c r="G283" s="2">
        <v>1</v>
      </c>
      <c r="H283" s="21">
        <v>0.8</v>
      </c>
      <c r="I283" s="2">
        <v>1</v>
      </c>
    </row>
    <row r="284" spans="1:9" ht="15.75" hidden="1" customHeight="1" x14ac:dyDescent="0.2">
      <c r="A284" s="11">
        <v>283</v>
      </c>
      <c r="B284" s="2">
        <v>283</v>
      </c>
      <c r="C284" s="2">
        <v>24</v>
      </c>
      <c r="D284" s="2">
        <f>VLOOKUP(C284,Course!$A$1:$C$229, 2, FALSE)</f>
        <v>0</v>
      </c>
      <c r="E284" s="2">
        <v>44</v>
      </c>
      <c r="F284" s="2" t="s">
        <v>1028</v>
      </c>
      <c r="G284" s="2">
        <v>1</v>
      </c>
      <c r="H284" s="21">
        <v>0.8</v>
      </c>
      <c r="I284" s="2">
        <v>1</v>
      </c>
    </row>
    <row r="285" spans="1:9" ht="15.75" hidden="1" customHeight="1" x14ac:dyDescent="0.2">
      <c r="A285" s="11">
        <v>284</v>
      </c>
      <c r="B285" s="2">
        <v>284</v>
      </c>
      <c r="C285" s="2">
        <v>24</v>
      </c>
      <c r="D285" s="2">
        <f>VLOOKUP(C285,Course!$A$1:$C$229, 2, FALSE)</f>
        <v>0</v>
      </c>
      <c r="E285" s="2">
        <v>45</v>
      </c>
      <c r="F285" s="2" t="s">
        <v>1029</v>
      </c>
      <c r="G285" s="2">
        <v>1</v>
      </c>
      <c r="H285" s="21">
        <v>0.8</v>
      </c>
      <c r="I285" s="2">
        <v>1</v>
      </c>
    </row>
    <row r="286" spans="1:9" ht="15.75" hidden="1" customHeight="1" x14ac:dyDescent="0.2">
      <c r="A286" s="11">
        <v>285</v>
      </c>
      <c r="B286" s="2">
        <v>285</v>
      </c>
      <c r="C286" s="2">
        <v>24</v>
      </c>
      <c r="D286" s="2">
        <f>VLOOKUP(C286,Course!$A$1:$C$229, 2, FALSE)</f>
        <v>0</v>
      </c>
      <c r="E286" s="2">
        <v>46</v>
      </c>
      <c r="F286" s="2" t="s">
        <v>1030</v>
      </c>
      <c r="G286" s="2">
        <v>1</v>
      </c>
      <c r="H286" s="21">
        <v>0.8</v>
      </c>
      <c r="I286" s="2">
        <v>1</v>
      </c>
    </row>
    <row r="287" spans="1:9" ht="15.75" hidden="1" customHeight="1" x14ac:dyDescent="0.2">
      <c r="A287" s="11">
        <v>286</v>
      </c>
      <c r="B287" s="2">
        <v>286</v>
      </c>
      <c r="C287" s="2">
        <v>24</v>
      </c>
      <c r="D287" s="2">
        <f>VLOOKUP(C287,Course!$A$1:$C$229, 2, FALSE)</f>
        <v>0</v>
      </c>
      <c r="E287" s="2">
        <v>47</v>
      </c>
      <c r="F287" s="2" t="s">
        <v>1031</v>
      </c>
      <c r="G287" s="2">
        <v>1</v>
      </c>
      <c r="H287" s="21">
        <v>0.8</v>
      </c>
      <c r="I287" s="2">
        <v>1</v>
      </c>
    </row>
    <row r="288" spans="1:9" ht="15.75" hidden="1" customHeight="1" x14ac:dyDescent="0.2">
      <c r="A288" s="11">
        <v>287</v>
      </c>
      <c r="B288" s="2">
        <v>287</v>
      </c>
      <c r="C288" s="2">
        <v>24</v>
      </c>
      <c r="D288" s="2">
        <f>VLOOKUP(C288,Course!$A$1:$C$229, 2, FALSE)</f>
        <v>0</v>
      </c>
      <c r="E288" s="2">
        <v>48</v>
      </c>
      <c r="F288" s="2" t="s">
        <v>1032</v>
      </c>
      <c r="G288" s="2">
        <v>1</v>
      </c>
      <c r="H288" s="21">
        <v>0.8</v>
      </c>
      <c r="I288" s="2">
        <v>1</v>
      </c>
    </row>
    <row r="289" spans="1:9" ht="15.75" hidden="1" customHeight="1" x14ac:dyDescent="0.2">
      <c r="A289" s="11">
        <v>288</v>
      </c>
      <c r="B289" s="2">
        <v>288</v>
      </c>
      <c r="C289" s="2">
        <v>25</v>
      </c>
      <c r="D289" s="2">
        <f>VLOOKUP(C289,Course!$A$1:$C$229, 2, FALSE)</f>
        <v>0</v>
      </c>
      <c r="E289" s="2">
        <v>37</v>
      </c>
      <c r="F289" s="2" t="s">
        <v>1033</v>
      </c>
      <c r="G289" s="2">
        <v>1</v>
      </c>
      <c r="H289" s="21">
        <v>0.9</v>
      </c>
      <c r="I289" s="2">
        <v>1</v>
      </c>
    </row>
    <row r="290" spans="1:9" ht="15.75" hidden="1" customHeight="1" x14ac:dyDescent="0.2">
      <c r="A290" s="11">
        <v>289</v>
      </c>
      <c r="B290" s="2">
        <v>289</v>
      </c>
      <c r="C290" s="2">
        <v>25</v>
      </c>
      <c r="D290" s="2">
        <f>VLOOKUP(C290,Course!$A$1:$C$229, 2, FALSE)</f>
        <v>0</v>
      </c>
      <c r="E290" s="2">
        <v>38</v>
      </c>
      <c r="F290" s="2" t="s">
        <v>1034</v>
      </c>
      <c r="G290" s="2">
        <v>1</v>
      </c>
      <c r="H290" s="21">
        <v>0.9</v>
      </c>
      <c r="I290" s="2">
        <v>1</v>
      </c>
    </row>
    <row r="291" spans="1:9" ht="15.75" hidden="1" customHeight="1" x14ac:dyDescent="0.2">
      <c r="A291" s="11">
        <v>290</v>
      </c>
      <c r="B291" s="2">
        <v>290</v>
      </c>
      <c r="C291" s="2">
        <v>25</v>
      </c>
      <c r="D291" s="2">
        <f>VLOOKUP(C291,Course!$A$1:$C$229, 2, FALSE)</f>
        <v>0</v>
      </c>
      <c r="E291" s="2">
        <v>39</v>
      </c>
      <c r="F291" s="2" t="s">
        <v>1035</v>
      </c>
      <c r="G291" s="2">
        <v>1</v>
      </c>
      <c r="H291" s="21">
        <v>0.9</v>
      </c>
      <c r="I291" s="2">
        <v>1</v>
      </c>
    </row>
    <row r="292" spans="1:9" ht="15.75" hidden="1" customHeight="1" x14ac:dyDescent="0.2">
      <c r="A292" s="11">
        <v>291</v>
      </c>
      <c r="B292" s="2">
        <v>291</v>
      </c>
      <c r="C292" s="2">
        <v>25</v>
      </c>
      <c r="D292" s="2">
        <f>VLOOKUP(C292,Course!$A$1:$C$229, 2, FALSE)</f>
        <v>0</v>
      </c>
      <c r="E292" s="2">
        <v>40</v>
      </c>
      <c r="F292" s="2" t="s">
        <v>1036</v>
      </c>
      <c r="G292" s="2">
        <v>1</v>
      </c>
      <c r="H292" s="21">
        <v>0.9</v>
      </c>
      <c r="I292" s="2">
        <v>1</v>
      </c>
    </row>
    <row r="293" spans="1:9" ht="15.75" hidden="1" customHeight="1" x14ac:dyDescent="0.2">
      <c r="A293" s="11">
        <v>292</v>
      </c>
      <c r="B293" s="2">
        <v>292</v>
      </c>
      <c r="C293" s="2">
        <v>25</v>
      </c>
      <c r="D293" s="2">
        <f>VLOOKUP(C293,Course!$A$1:$C$229, 2, FALSE)</f>
        <v>0</v>
      </c>
      <c r="E293" s="2">
        <v>41</v>
      </c>
      <c r="F293" s="2" t="s">
        <v>1037</v>
      </c>
      <c r="G293" s="2">
        <v>1</v>
      </c>
      <c r="H293" s="21">
        <v>0.9</v>
      </c>
      <c r="I293" s="2">
        <v>1</v>
      </c>
    </row>
    <row r="294" spans="1:9" ht="15.75" hidden="1" customHeight="1" x14ac:dyDescent="0.2">
      <c r="A294" s="11">
        <v>293</v>
      </c>
      <c r="B294" s="2">
        <v>293</v>
      </c>
      <c r="C294" s="2">
        <v>25</v>
      </c>
      <c r="D294" s="2">
        <f>VLOOKUP(C294,Course!$A$1:$C$229, 2, FALSE)</f>
        <v>0</v>
      </c>
      <c r="E294" s="2">
        <v>42</v>
      </c>
      <c r="F294" s="2" t="s">
        <v>1038</v>
      </c>
      <c r="G294" s="2">
        <v>1</v>
      </c>
      <c r="H294" s="21">
        <v>0.9</v>
      </c>
      <c r="I294" s="2">
        <v>1</v>
      </c>
    </row>
    <row r="295" spans="1:9" ht="15.75" hidden="1" customHeight="1" x14ac:dyDescent="0.2">
      <c r="A295" s="11">
        <v>294</v>
      </c>
      <c r="B295" s="2">
        <v>294</v>
      </c>
      <c r="C295" s="2">
        <v>25</v>
      </c>
      <c r="D295" s="2">
        <f>VLOOKUP(C295,Course!$A$1:$C$229, 2, FALSE)</f>
        <v>0</v>
      </c>
      <c r="E295" s="2">
        <v>43</v>
      </c>
      <c r="F295" s="2" t="s">
        <v>1039</v>
      </c>
      <c r="G295" s="2">
        <v>1</v>
      </c>
      <c r="H295" s="21">
        <v>0.9</v>
      </c>
      <c r="I295" s="2">
        <v>1</v>
      </c>
    </row>
    <row r="296" spans="1:9" ht="15.75" hidden="1" customHeight="1" x14ac:dyDescent="0.2">
      <c r="A296" s="11">
        <v>295</v>
      </c>
      <c r="B296" s="2">
        <v>295</v>
      </c>
      <c r="C296" s="2">
        <v>25</v>
      </c>
      <c r="D296" s="2">
        <f>VLOOKUP(C296,Course!$A$1:$C$229, 2, FALSE)</f>
        <v>0</v>
      </c>
      <c r="E296" s="2">
        <v>44</v>
      </c>
      <c r="F296" s="2" t="s">
        <v>1040</v>
      </c>
      <c r="G296" s="2">
        <v>1</v>
      </c>
      <c r="H296" s="21">
        <v>0.9</v>
      </c>
      <c r="I296" s="2">
        <v>1</v>
      </c>
    </row>
    <row r="297" spans="1:9" ht="15.75" hidden="1" customHeight="1" x14ac:dyDescent="0.2">
      <c r="A297" s="11">
        <v>296</v>
      </c>
      <c r="B297" s="2">
        <v>296</v>
      </c>
      <c r="C297" s="2">
        <v>25</v>
      </c>
      <c r="D297" s="2">
        <f>VLOOKUP(C297,Course!$A$1:$C$229, 2, FALSE)</f>
        <v>0</v>
      </c>
      <c r="E297" s="2">
        <v>45</v>
      </c>
      <c r="F297" s="2" t="s">
        <v>1041</v>
      </c>
      <c r="G297" s="2">
        <v>1</v>
      </c>
      <c r="H297" s="21">
        <v>0.9</v>
      </c>
      <c r="I297" s="2">
        <v>1</v>
      </c>
    </row>
    <row r="298" spans="1:9" ht="15.75" hidden="1" customHeight="1" x14ac:dyDescent="0.2">
      <c r="A298" s="11">
        <v>297</v>
      </c>
      <c r="B298" s="2">
        <v>297</v>
      </c>
      <c r="C298" s="2">
        <v>25</v>
      </c>
      <c r="D298" s="2">
        <f>VLOOKUP(C298,Course!$A$1:$C$229, 2, FALSE)</f>
        <v>0</v>
      </c>
      <c r="E298" s="2">
        <v>46</v>
      </c>
      <c r="F298" s="2" t="s">
        <v>1042</v>
      </c>
      <c r="G298" s="2">
        <v>1</v>
      </c>
      <c r="H298" s="21">
        <v>0.9</v>
      </c>
      <c r="I298" s="2">
        <v>1</v>
      </c>
    </row>
    <row r="299" spans="1:9" ht="15.75" hidden="1" customHeight="1" x14ac:dyDescent="0.2">
      <c r="A299" s="11">
        <v>298</v>
      </c>
      <c r="B299" s="2">
        <v>298</v>
      </c>
      <c r="C299" s="2">
        <v>25</v>
      </c>
      <c r="D299" s="2">
        <f>VLOOKUP(C299,Course!$A$1:$C$229, 2, FALSE)</f>
        <v>0</v>
      </c>
      <c r="E299" s="2">
        <v>47</v>
      </c>
      <c r="F299" s="2" t="s">
        <v>1043</v>
      </c>
      <c r="G299" s="2">
        <v>1</v>
      </c>
      <c r="H299" s="21">
        <v>0.9</v>
      </c>
      <c r="I299" s="2">
        <v>1</v>
      </c>
    </row>
    <row r="300" spans="1:9" ht="15.75" hidden="1" customHeight="1" x14ac:dyDescent="0.2">
      <c r="A300" s="11">
        <v>299</v>
      </c>
      <c r="B300" s="2">
        <v>299</v>
      </c>
      <c r="C300" s="2">
        <v>25</v>
      </c>
      <c r="D300" s="2">
        <f>VLOOKUP(C300,Course!$A$1:$C$229, 2, FALSE)</f>
        <v>0</v>
      </c>
      <c r="E300" s="2">
        <v>48</v>
      </c>
      <c r="F300" s="2" t="s">
        <v>1044</v>
      </c>
      <c r="G300" s="2">
        <v>1</v>
      </c>
      <c r="H300" s="21">
        <v>0.9</v>
      </c>
      <c r="I300" s="2">
        <v>1</v>
      </c>
    </row>
    <row r="301" spans="1:9" ht="15.75" hidden="1" customHeight="1" x14ac:dyDescent="0.2">
      <c r="A301" s="11">
        <v>300</v>
      </c>
      <c r="B301" s="2">
        <v>300</v>
      </c>
      <c r="C301" s="2">
        <v>26</v>
      </c>
      <c r="D301" s="2">
        <f>VLOOKUP(C301,Course!$A$1:$C$229, 2, FALSE)</f>
        <v>0</v>
      </c>
      <c r="E301" s="2">
        <v>37</v>
      </c>
      <c r="F301" s="2" t="s">
        <v>1045</v>
      </c>
      <c r="G301" s="2">
        <v>1</v>
      </c>
      <c r="H301" s="21">
        <v>0.8</v>
      </c>
      <c r="I301" s="2">
        <v>1</v>
      </c>
    </row>
    <row r="302" spans="1:9" ht="15.75" hidden="1" customHeight="1" x14ac:dyDescent="0.2">
      <c r="A302" s="11">
        <v>301</v>
      </c>
      <c r="B302" s="2">
        <v>301</v>
      </c>
      <c r="C302" s="2">
        <v>26</v>
      </c>
      <c r="D302" s="2">
        <f>VLOOKUP(C302,Course!$A$1:$C$229, 2, FALSE)</f>
        <v>0</v>
      </c>
      <c r="E302" s="2">
        <v>38</v>
      </c>
      <c r="F302" s="2" t="s">
        <v>1046</v>
      </c>
      <c r="G302" s="2">
        <v>1</v>
      </c>
      <c r="H302" s="21">
        <v>0.8</v>
      </c>
      <c r="I302" s="2">
        <v>1</v>
      </c>
    </row>
    <row r="303" spans="1:9" ht="15.75" hidden="1" customHeight="1" x14ac:dyDescent="0.2">
      <c r="A303" s="11">
        <v>302</v>
      </c>
      <c r="B303" s="2">
        <v>302</v>
      </c>
      <c r="C303" s="2">
        <v>26</v>
      </c>
      <c r="D303" s="2">
        <f>VLOOKUP(C303,Course!$A$1:$C$229, 2, FALSE)</f>
        <v>0</v>
      </c>
      <c r="E303" s="2">
        <v>39</v>
      </c>
      <c r="F303" s="2" t="s">
        <v>1047</v>
      </c>
      <c r="G303" s="2">
        <v>1</v>
      </c>
      <c r="H303" s="21">
        <v>0.8</v>
      </c>
      <c r="I303" s="2">
        <v>1</v>
      </c>
    </row>
    <row r="304" spans="1:9" ht="15.75" hidden="1" customHeight="1" x14ac:dyDescent="0.2">
      <c r="A304" s="11">
        <v>303</v>
      </c>
      <c r="B304" s="2">
        <v>303</v>
      </c>
      <c r="C304" s="2">
        <v>26</v>
      </c>
      <c r="D304" s="2">
        <f>VLOOKUP(C304,Course!$A$1:$C$229, 2, FALSE)</f>
        <v>0</v>
      </c>
      <c r="E304" s="2">
        <v>40</v>
      </c>
      <c r="F304" s="2" t="s">
        <v>1048</v>
      </c>
      <c r="G304" s="2">
        <v>1</v>
      </c>
      <c r="H304" s="21">
        <v>0.8</v>
      </c>
      <c r="I304" s="2">
        <v>1</v>
      </c>
    </row>
    <row r="305" spans="1:9" ht="15.75" hidden="1" customHeight="1" x14ac:dyDescent="0.2">
      <c r="A305" s="11">
        <v>304</v>
      </c>
      <c r="B305" s="2">
        <v>304</v>
      </c>
      <c r="C305" s="2">
        <v>26</v>
      </c>
      <c r="D305" s="2">
        <f>VLOOKUP(C305,Course!$A$1:$C$229, 2, FALSE)</f>
        <v>0</v>
      </c>
      <c r="E305" s="2">
        <v>41</v>
      </c>
      <c r="F305" s="2" t="s">
        <v>1049</v>
      </c>
      <c r="G305" s="2">
        <v>1</v>
      </c>
      <c r="H305" s="21">
        <v>0.8</v>
      </c>
      <c r="I305" s="2">
        <v>1</v>
      </c>
    </row>
    <row r="306" spans="1:9" ht="15.75" hidden="1" customHeight="1" x14ac:dyDescent="0.2">
      <c r="A306" s="11">
        <v>305</v>
      </c>
      <c r="B306" s="2">
        <v>305</v>
      </c>
      <c r="C306" s="2">
        <v>26</v>
      </c>
      <c r="D306" s="2">
        <f>VLOOKUP(C306,Course!$A$1:$C$229, 2, FALSE)</f>
        <v>0</v>
      </c>
      <c r="E306" s="2">
        <v>42</v>
      </c>
      <c r="F306" s="2" t="s">
        <v>1050</v>
      </c>
      <c r="G306" s="2">
        <v>1</v>
      </c>
      <c r="H306" s="21">
        <v>0.8</v>
      </c>
      <c r="I306" s="2">
        <v>1</v>
      </c>
    </row>
    <row r="307" spans="1:9" ht="15.75" hidden="1" customHeight="1" x14ac:dyDescent="0.2">
      <c r="A307" s="11">
        <v>306</v>
      </c>
      <c r="B307" s="2">
        <v>306</v>
      </c>
      <c r="C307" s="2">
        <v>26</v>
      </c>
      <c r="D307" s="2">
        <f>VLOOKUP(C307,Course!$A$1:$C$229, 2, FALSE)</f>
        <v>0</v>
      </c>
      <c r="E307" s="2">
        <v>43</v>
      </c>
      <c r="F307" s="2" t="s">
        <v>1051</v>
      </c>
      <c r="G307" s="2">
        <v>1</v>
      </c>
      <c r="H307" s="21">
        <v>0.8</v>
      </c>
      <c r="I307" s="2">
        <v>1</v>
      </c>
    </row>
    <row r="308" spans="1:9" ht="15.75" hidden="1" customHeight="1" x14ac:dyDescent="0.2">
      <c r="A308" s="11">
        <v>307</v>
      </c>
      <c r="B308" s="2">
        <v>307</v>
      </c>
      <c r="C308" s="2">
        <v>26</v>
      </c>
      <c r="D308" s="2">
        <f>VLOOKUP(C308,Course!$A$1:$C$229, 2, FALSE)</f>
        <v>0</v>
      </c>
      <c r="E308" s="2">
        <v>44</v>
      </c>
      <c r="F308" s="2" t="s">
        <v>1052</v>
      </c>
      <c r="G308" s="2">
        <v>1</v>
      </c>
      <c r="H308" s="21">
        <v>0.8</v>
      </c>
      <c r="I308" s="2">
        <v>1</v>
      </c>
    </row>
    <row r="309" spans="1:9" ht="15.75" hidden="1" customHeight="1" x14ac:dyDescent="0.2">
      <c r="A309" s="11">
        <v>308</v>
      </c>
      <c r="B309" s="2">
        <v>308</v>
      </c>
      <c r="C309" s="2">
        <v>26</v>
      </c>
      <c r="D309" s="2">
        <f>VLOOKUP(C309,Course!$A$1:$C$229, 2, FALSE)</f>
        <v>0</v>
      </c>
      <c r="E309" s="2">
        <v>45</v>
      </c>
      <c r="F309" s="2" t="s">
        <v>1053</v>
      </c>
      <c r="G309" s="2">
        <v>1</v>
      </c>
      <c r="H309" s="21">
        <v>0.8</v>
      </c>
      <c r="I309" s="2">
        <v>1</v>
      </c>
    </row>
    <row r="310" spans="1:9" ht="15.75" hidden="1" customHeight="1" x14ac:dyDescent="0.2">
      <c r="A310" s="11">
        <v>309</v>
      </c>
      <c r="B310" s="2">
        <v>309</v>
      </c>
      <c r="C310" s="2">
        <v>26</v>
      </c>
      <c r="D310" s="2">
        <f>VLOOKUP(C310,Course!$A$1:$C$229, 2, FALSE)</f>
        <v>0</v>
      </c>
      <c r="E310" s="2">
        <v>46</v>
      </c>
      <c r="F310" s="2" t="s">
        <v>1054</v>
      </c>
      <c r="G310" s="2">
        <v>1</v>
      </c>
      <c r="H310" s="21">
        <v>0.8</v>
      </c>
      <c r="I310" s="2">
        <v>1</v>
      </c>
    </row>
    <row r="311" spans="1:9" ht="15.75" hidden="1" customHeight="1" x14ac:dyDescent="0.2">
      <c r="A311" s="11">
        <v>310</v>
      </c>
      <c r="B311" s="2">
        <v>310</v>
      </c>
      <c r="C311" s="2">
        <v>26</v>
      </c>
      <c r="D311" s="2">
        <f>VLOOKUP(C311,Course!$A$1:$C$229, 2, FALSE)</f>
        <v>0</v>
      </c>
      <c r="E311" s="2">
        <v>47</v>
      </c>
      <c r="F311" s="2" t="s">
        <v>1055</v>
      </c>
      <c r="G311" s="2">
        <v>1</v>
      </c>
      <c r="H311" s="21">
        <v>0.8</v>
      </c>
      <c r="I311" s="2">
        <v>1</v>
      </c>
    </row>
    <row r="312" spans="1:9" ht="15.75" hidden="1" customHeight="1" x14ac:dyDescent="0.2">
      <c r="A312" s="11">
        <v>311</v>
      </c>
      <c r="B312" s="2">
        <v>311</v>
      </c>
      <c r="C312" s="2">
        <v>26</v>
      </c>
      <c r="D312" s="2">
        <f>VLOOKUP(C312,Course!$A$1:$C$229, 2, FALSE)</f>
        <v>0</v>
      </c>
      <c r="E312" s="2">
        <v>48</v>
      </c>
      <c r="F312" s="2" t="s">
        <v>1056</v>
      </c>
      <c r="G312" s="2">
        <v>1</v>
      </c>
      <c r="H312" s="21">
        <v>0.8</v>
      </c>
      <c r="I312" s="2">
        <v>1</v>
      </c>
    </row>
    <row r="313" spans="1:9" ht="15.75" hidden="1" customHeight="1" x14ac:dyDescent="0.2">
      <c r="A313" s="11">
        <v>312</v>
      </c>
      <c r="B313" s="2">
        <v>312</v>
      </c>
      <c r="C313" s="2">
        <v>27</v>
      </c>
      <c r="D313" s="2" t="str">
        <f>VLOOKUP(C313,Course!$A$1:$C$229, 2, FALSE)</f>
        <v>Science 4</v>
      </c>
      <c r="E313" s="2">
        <v>37</v>
      </c>
      <c r="F313" s="2" t="s">
        <v>1057</v>
      </c>
      <c r="G313" s="2">
        <v>1</v>
      </c>
      <c r="H313" s="21">
        <v>0.8</v>
      </c>
      <c r="I313" s="2">
        <v>1</v>
      </c>
    </row>
    <row r="314" spans="1:9" ht="15.75" hidden="1" customHeight="1" x14ac:dyDescent="0.2">
      <c r="A314" s="11">
        <v>313</v>
      </c>
      <c r="B314" s="2">
        <v>313</v>
      </c>
      <c r="C314" s="2">
        <v>27</v>
      </c>
      <c r="D314" s="2" t="str">
        <f>VLOOKUP(C314,Course!$A$1:$C$229, 2, FALSE)</f>
        <v>Science 4</v>
      </c>
      <c r="E314" s="2">
        <v>38</v>
      </c>
      <c r="F314" s="2" t="s">
        <v>1058</v>
      </c>
      <c r="G314" s="2">
        <v>1</v>
      </c>
      <c r="H314" s="21">
        <v>0.8</v>
      </c>
      <c r="I314" s="2">
        <v>1</v>
      </c>
    </row>
    <row r="315" spans="1:9" ht="15.75" hidden="1" customHeight="1" x14ac:dyDescent="0.2">
      <c r="A315" s="11">
        <v>314</v>
      </c>
      <c r="B315" s="2">
        <v>314</v>
      </c>
      <c r="C315" s="2">
        <v>27</v>
      </c>
      <c r="D315" s="2" t="str">
        <f>VLOOKUP(C315,Course!$A$1:$C$229, 2, FALSE)</f>
        <v>Science 4</v>
      </c>
      <c r="E315" s="2">
        <v>39</v>
      </c>
      <c r="F315" s="2" t="s">
        <v>1059</v>
      </c>
      <c r="G315" s="2">
        <v>1</v>
      </c>
      <c r="H315" s="21">
        <v>0.8</v>
      </c>
      <c r="I315" s="2">
        <v>1</v>
      </c>
    </row>
    <row r="316" spans="1:9" ht="15.75" hidden="1" customHeight="1" x14ac:dyDescent="0.2">
      <c r="A316" s="11">
        <v>315</v>
      </c>
      <c r="B316" s="2">
        <v>315</v>
      </c>
      <c r="C316" s="2">
        <v>27</v>
      </c>
      <c r="D316" s="2" t="str">
        <f>VLOOKUP(C316,Course!$A$1:$C$229, 2, FALSE)</f>
        <v>Science 4</v>
      </c>
      <c r="E316" s="2">
        <v>40</v>
      </c>
      <c r="F316" s="2" t="s">
        <v>1060</v>
      </c>
      <c r="G316" s="2">
        <v>1</v>
      </c>
      <c r="H316" s="21">
        <v>0.8</v>
      </c>
      <c r="I316" s="2">
        <v>1</v>
      </c>
    </row>
    <row r="317" spans="1:9" ht="15.75" hidden="1" customHeight="1" x14ac:dyDescent="0.2">
      <c r="A317" s="11">
        <v>316</v>
      </c>
      <c r="B317" s="2">
        <v>316</v>
      </c>
      <c r="C317" s="2">
        <v>27</v>
      </c>
      <c r="D317" s="2" t="str">
        <f>VLOOKUP(C317,Course!$A$1:$C$229, 2, FALSE)</f>
        <v>Science 4</v>
      </c>
      <c r="E317" s="2">
        <v>41</v>
      </c>
      <c r="F317" s="2" t="s">
        <v>1061</v>
      </c>
      <c r="G317" s="2">
        <v>1</v>
      </c>
      <c r="H317" s="21">
        <v>0.8</v>
      </c>
      <c r="I317" s="2">
        <v>1</v>
      </c>
    </row>
    <row r="318" spans="1:9" ht="15.75" hidden="1" customHeight="1" x14ac:dyDescent="0.2">
      <c r="A318" s="11">
        <v>317</v>
      </c>
      <c r="B318" s="2">
        <v>317</v>
      </c>
      <c r="C318" s="2">
        <v>27</v>
      </c>
      <c r="D318" s="2" t="str">
        <f>VLOOKUP(C318,Course!$A$1:$C$229, 2, FALSE)</f>
        <v>Science 4</v>
      </c>
      <c r="E318" s="2">
        <v>42</v>
      </c>
      <c r="F318" s="2" t="s">
        <v>1062</v>
      </c>
      <c r="G318" s="2">
        <v>1</v>
      </c>
      <c r="H318" s="21">
        <v>0.8</v>
      </c>
      <c r="I318" s="2">
        <v>1</v>
      </c>
    </row>
    <row r="319" spans="1:9" ht="15.75" hidden="1" customHeight="1" x14ac:dyDescent="0.2">
      <c r="A319" s="11">
        <v>318</v>
      </c>
      <c r="B319" s="2">
        <v>318</v>
      </c>
      <c r="C319" s="2">
        <v>27</v>
      </c>
      <c r="D319" s="2" t="str">
        <f>VLOOKUP(C319,Course!$A$1:$C$229, 2, FALSE)</f>
        <v>Science 4</v>
      </c>
      <c r="E319" s="2">
        <v>43</v>
      </c>
      <c r="F319" s="2" t="s">
        <v>1063</v>
      </c>
      <c r="G319" s="2">
        <v>1</v>
      </c>
      <c r="H319" s="21">
        <v>0.8</v>
      </c>
      <c r="I319" s="2">
        <v>1</v>
      </c>
    </row>
    <row r="320" spans="1:9" ht="15.75" hidden="1" customHeight="1" x14ac:dyDescent="0.2">
      <c r="A320" s="11">
        <v>319</v>
      </c>
      <c r="B320" s="2">
        <v>319</v>
      </c>
      <c r="C320" s="2">
        <v>27</v>
      </c>
      <c r="D320" s="2" t="str">
        <f>VLOOKUP(C320,Course!$A$1:$C$229, 2, FALSE)</f>
        <v>Science 4</v>
      </c>
      <c r="E320" s="2">
        <v>44</v>
      </c>
      <c r="F320" s="2" t="s">
        <v>1064</v>
      </c>
      <c r="G320" s="2">
        <v>1</v>
      </c>
      <c r="H320" s="21">
        <v>0.8</v>
      </c>
      <c r="I320" s="2">
        <v>1</v>
      </c>
    </row>
    <row r="321" spans="1:9" ht="15.75" hidden="1" customHeight="1" x14ac:dyDescent="0.2">
      <c r="A321" s="11">
        <v>320</v>
      </c>
      <c r="B321" s="2">
        <v>320</v>
      </c>
      <c r="C321" s="2">
        <v>27</v>
      </c>
      <c r="D321" s="2" t="str">
        <f>VLOOKUP(C321,Course!$A$1:$C$229, 2, FALSE)</f>
        <v>Science 4</v>
      </c>
      <c r="E321" s="2">
        <v>45</v>
      </c>
      <c r="F321" s="2" t="s">
        <v>1065</v>
      </c>
      <c r="G321" s="2">
        <v>1</v>
      </c>
      <c r="H321" s="21">
        <v>0.8</v>
      </c>
      <c r="I321" s="2">
        <v>1</v>
      </c>
    </row>
    <row r="322" spans="1:9" ht="15.75" hidden="1" customHeight="1" x14ac:dyDescent="0.2">
      <c r="A322" s="11">
        <v>321</v>
      </c>
      <c r="B322" s="2">
        <v>321</v>
      </c>
      <c r="C322" s="2">
        <v>27</v>
      </c>
      <c r="D322" s="2" t="str">
        <f>VLOOKUP(C322,Course!$A$1:$C$229, 2, FALSE)</f>
        <v>Science 4</v>
      </c>
      <c r="E322" s="2">
        <v>46</v>
      </c>
      <c r="F322" s="2" t="s">
        <v>1066</v>
      </c>
      <c r="G322" s="2">
        <v>1</v>
      </c>
      <c r="H322" s="21">
        <v>0.8</v>
      </c>
      <c r="I322" s="2">
        <v>1</v>
      </c>
    </row>
    <row r="323" spans="1:9" ht="15.75" hidden="1" customHeight="1" x14ac:dyDescent="0.2">
      <c r="A323" s="11">
        <v>322</v>
      </c>
      <c r="B323" s="2">
        <v>322</v>
      </c>
      <c r="C323" s="2">
        <v>27</v>
      </c>
      <c r="D323" s="2" t="str">
        <f>VLOOKUP(C323,Course!$A$1:$C$229, 2, FALSE)</f>
        <v>Science 4</v>
      </c>
      <c r="E323" s="2">
        <v>47</v>
      </c>
      <c r="F323" s="2" t="s">
        <v>1067</v>
      </c>
      <c r="G323" s="2">
        <v>1</v>
      </c>
      <c r="H323" s="21">
        <v>0.8</v>
      </c>
      <c r="I323" s="2">
        <v>1</v>
      </c>
    </row>
    <row r="324" spans="1:9" ht="15.75" hidden="1" customHeight="1" x14ac:dyDescent="0.2">
      <c r="A324" s="11">
        <v>323</v>
      </c>
      <c r="B324" s="2">
        <v>323</v>
      </c>
      <c r="C324" s="2">
        <v>27</v>
      </c>
      <c r="D324" s="2" t="str">
        <f>VLOOKUP(C324,Course!$A$1:$C$229, 2, FALSE)</f>
        <v>Science 4</v>
      </c>
      <c r="E324" s="2">
        <v>48</v>
      </c>
      <c r="F324" s="2" t="s">
        <v>1068</v>
      </c>
      <c r="G324" s="2">
        <v>1</v>
      </c>
      <c r="H324" s="21">
        <v>0.8</v>
      </c>
      <c r="I324" s="2">
        <v>1</v>
      </c>
    </row>
    <row r="325" spans="1:9" ht="15.75" hidden="1" customHeight="1" x14ac:dyDescent="0.2">
      <c r="A325" s="11">
        <v>324</v>
      </c>
      <c r="B325" s="2">
        <v>324</v>
      </c>
      <c r="C325" s="2">
        <v>28</v>
      </c>
      <c r="D325" s="2">
        <f>VLOOKUP(C325,Course!$A$1:$C$229, 2, FALSE)</f>
        <v>0</v>
      </c>
      <c r="E325" s="2">
        <v>37</v>
      </c>
      <c r="F325" s="2" t="s">
        <v>1069</v>
      </c>
      <c r="G325" s="2">
        <v>1</v>
      </c>
      <c r="H325" s="21">
        <v>0.8</v>
      </c>
      <c r="I325" s="2">
        <v>1</v>
      </c>
    </row>
    <row r="326" spans="1:9" ht="15.75" hidden="1" customHeight="1" x14ac:dyDescent="0.2">
      <c r="A326" s="11">
        <v>325</v>
      </c>
      <c r="B326" s="2">
        <v>325</v>
      </c>
      <c r="C326" s="2">
        <v>28</v>
      </c>
      <c r="D326" s="2">
        <f>VLOOKUP(C326,Course!$A$1:$C$229, 2, FALSE)</f>
        <v>0</v>
      </c>
      <c r="E326" s="2">
        <v>38</v>
      </c>
      <c r="F326" s="2" t="s">
        <v>1070</v>
      </c>
      <c r="G326" s="2">
        <v>1</v>
      </c>
      <c r="H326" s="21">
        <v>0.8</v>
      </c>
      <c r="I326" s="2">
        <v>1</v>
      </c>
    </row>
    <row r="327" spans="1:9" ht="15.75" hidden="1" customHeight="1" x14ac:dyDescent="0.2">
      <c r="A327" s="11">
        <v>326</v>
      </c>
      <c r="B327" s="2">
        <v>326</v>
      </c>
      <c r="C327" s="2">
        <v>28</v>
      </c>
      <c r="D327" s="2">
        <f>VLOOKUP(C327,Course!$A$1:$C$229, 2, FALSE)</f>
        <v>0</v>
      </c>
      <c r="E327" s="2">
        <v>39</v>
      </c>
      <c r="F327" s="2" t="s">
        <v>1071</v>
      </c>
      <c r="G327" s="2">
        <v>1</v>
      </c>
      <c r="H327" s="21">
        <v>0.8</v>
      </c>
      <c r="I327" s="2">
        <v>1</v>
      </c>
    </row>
    <row r="328" spans="1:9" ht="15.75" hidden="1" customHeight="1" x14ac:dyDescent="0.2">
      <c r="A328" s="11">
        <v>327</v>
      </c>
      <c r="B328" s="2">
        <v>327</v>
      </c>
      <c r="C328" s="2">
        <v>28</v>
      </c>
      <c r="D328" s="2">
        <f>VLOOKUP(C328,Course!$A$1:$C$229, 2, FALSE)</f>
        <v>0</v>
      </c>
      <c r="E328" s="2">
        <v>40</v>
      </c>
      <c r="F328" s="2" t="s">
        <v>1072</v>
      </c>
      <c r="G328" s="2">
        <v>1</v>
      </c>
      <c r="H328" s="21">
        <v>0.8</v>
      </c>
      <c r="I328" s="2">
        <v>1</v>
      </c>
    </row>
    <row r="329" spans="1:9" ht="15.75" hidden="1" customHeight="1" x14ac:dyDescent="0.2">
      <c r="A329" s="11">
        <v>328</v>
      </c>
      <c r="B329" s="2">
        <v>328</v>
      </c>
      <c r="C329" s="2">
        <v>28</v>
      </c>
      <c r="D329" s="2">
        <f>VLOOKUP(C329,Course!$A$1:$C$229, 2, FALSE)</f>
        <v>0</v>
      </c>
      <c r="E329" s="2">
        <v>41</v>
      </c>
      <c r="F329" s="2" t="s">
        <v>1073</v>
      </c>
      <c r="G329" s="2">
        <v>1</v>
      </c>
      <c r="H329" s="21">
        <v>0.8</v>
      </c>
      <c r="I329" s="2">
        <v>1</v>
      </c>
    </row>
    <row r="330" spans="1:9" ht="15.75" hidden="1" customHeight="1" x14ac:dyDescent="0.2">
      <c r="A330" s="11">
        <v>329</v>
      </c>
      <c r="B330" s="2">
        <v>329</v>
      </c>
      <c r="C330" s="2">
        <v>28</v>
      </c>
      <c r="D330" s="2">
        <f>VLOOKUP(C330,Course!$A$1:$C$229, 2, FALSE)</f>
        <v>0</v>
      </c>
      <c r="E330" s="2">
        <v>42</v>
      </c>
      <c r="F330" s="2" t="s">
        <v>1074</v>
      </c>
      <c r="G330" s="2">
        <v>1</v>
      </c>
      <c r="H330" s="21">
        <v>0.8</v>
      </c>
      <c r="I330" s="2">
        <v>1</v>
      </c>
    </row>
    <row r="331" spans="1:9" ht="15.75" hidden="1" customHeight="1" x14ac:dyDescent="0.2">
      <c r="A331" s="11">
        <v>330</v>
      </c>
      <c r="B331" s="2">
        <v>330</v>
      </c>
      <c r="C331" s="2">
        <v>28</v>
      </c>
      <c r="D331" s="2">
        <f>VLOOKUP(C331,Course!$A$1:$C$229, 2, FALSE)</f>
        <v>0</v>
      </c>
      <c r="E331" s="2">
        <v>43</v>
      </c>
      <c r="F331" s="2" t="s">
        <v>1075</v>
      </c>
      <c r="G331" s="2">
        <v>1</v>
      </c>
      <c r="H331" s="21">
        <v>0.8</v>
      </c>
      <c r="I331" s="2">
        <v>1</v>
      </c>
    </row>
    <row r="332" spans="1:9" ht="15.75" hidden="1" customHeight="1" x14ac:dyDescent="0.2">
      <c r="A332" s="11">
        <v>331</v>
      </c>
      <c r="B332" s="2">
        <v>331</v>
      </c>
      <c r="C332" s="2">
        <v>28</v>
      </c>
      <c r="D332" s="2">
        <f>VLOOKUP(C332,Course!$A$1:$C$229, 2, FALSE)</f>
        <v>0</v>
      </c>
      <c r="E332" s="2">
        <v>44</v>
      </c>
      <c r="F332" s="2" t="s">
        <v>1076</v>
      </c>
      <c r="G332" s="2">
        <v>1</v>
      </c>
      <c r="H332" s="21">
        <v>0.8</v>
      </c>
      <c r="I332" s="2">
        <v>1</v>
      </c>
    </row>
    <row r="333" spans="1:9" ht="15.75" hidden="1" customHeight="1" x14ac:dyDescent="0.2">
      <c r="A333" s="11">
        <v>332</v>
      </c>
      <c r="B333" s="2">
        <v>332</v>
      </c>
      <c r="C333" s="2">
        <v>28</v>
      </c>
      <c r="D333" s="2">
        <f>VLOOKUP(C333,Course!$A$1:$C$229, 2, FALSE)</f>
        <v>0</v>
      </c>
      <c r="E333" s="2">
        <v>45</v>
      </c>
      <c r="F333" s="2" t="s">
        <v>1077</v>
      </c>
      <c r="G333" s="2">
        <v>1</v>
      </c>
      <c r="H333" s="21">
        <v>0.8</v>
      </c>
      <c r="I333" s="2">
        <v>1</v>
      </c>
    </row>
    <row r="334" spans="1:9" ht="15.75" hidden="1" customHeight="1" x14ac:dyDescent="0.2">
      <c r="A334" s="11">
        <v>333</v>
      </c>
      <c r="B334" s="2">
        <v>333</v>
      </c>
      <c r="C334" s="2">
        <v>28</v>
      </c>
      <c r="D334" s="2">
        <f>VLOOKUP(C334,Course!$A$1:$C$229, 2, FALSE)</f>
        <v>0</v>
      </c>
      <c r="E334" s="2">
        <v>46</v>
      </c>
      <c r="F334" s="2" t="s">
        <v>1078</v>
      </c>
      <c r="G334" s="2">
        <v>1</v>
      </c>
      <c r="H334" s="21">
        <v>0.8</v>
      </c>
      <c r="I334" s="2">
        <v>1</v>
      </c>
    </row>
    <row r="335" spans="1:9" ht="15.75" hidden="1" customHeight="1" x14ac:dyDescent="0.2">
      <c r="A335" s="11">
        <v>334</v>
      </c>
      <c r="B335" s="2">
        <v>334</v>
      </c>
      <c r="C335" s="2">
        <v>28</v>
      </c>
      <c r="D335" s="2">
        <f>VLOOKUP(C335,Course!$A$1:$C$229, 2, FALSE)</f>
        <v>0</v>
      </c>
      <c r="E335" s="2">
        <v>47</v>
      </c>
      <c r="F335" s="2" t="s">
        <v>1079</v>
      </c>
      <c r="G335" s="2">
        <v>1</v>
      </c>
      <c r="H335" s="21">
        <v>0.8</v>
      </c>
      <c r="I335" s="2">
        <v>1</v>
      </c>
    </row>
    <row r="336" spans="1:9" ht="15.75" hidden="1" customHeight="1" x14ac:dyDescent="0.2">
      <c r="A336" s="11">
        <v>335</v>
      </c>
      <c r="B336" s="2">
        <v>335</v>
      </c>
      <c r="C336" s="2">
        <v>28</v>
      </c>
      <c r="D336" s="2">
        <f>VLOOKUP(C336,Course!$A$1:$C$229, 2, FALSE)</f>
        <v>0</v>
      </c>
      <c r="E336" s="2">
        <v>48</v>
      </c>
      <c r="F336" s="2" t="s">
        <v>1080</v>
      </c>
      <c r="G336" s="2">
        <v>1</v>
      </c>
      <c r="H336" s="21">
        <v>0.8</v>
      </c>
      <c r="I336" s="2">
        <v>1</v>
      </c>
    </row>
    <row r="337" spans="1:9" ht="15.75" hidden="1" customHeight="1" x14ac:dyDescent="0.2">
      <c r="A337" s="11">
        <v>336</v>
      </c>
      <c r="B337" s="2">
        <v>336</v>
      </c>
      <c r="C337" s="2">
        <v>29</v>
      </c>
      <c r="D337" s="2">
        <f>VLOOKUP(C337,Course!$A$1:$C$229, 2, FALSE)</f>
        <v>0</v>
      </c>
      <c r="E337" s="2">
        <v>37</v>
      </c>
      <c r="F337" s="2" t="s">
        <v>1081</v>
      </c>
      <c r="G337" s="2">
        <v>1</v>
      </c>
      <c r="H337" s="21">
        <v>0.8</v>
      </c>
      <c r="I337" s="2">
        <v>1</v>
      </c>
    </row>
    <row r="338" spans="1:9" ht="15.75" hidden="1" customHeight="1" x14ac:dyDescent="0.2">
      <c r="A338" s="11">
        <v>337</v>
      </c>
      <c r="B338" s="2">
        <v>337</v>
      </c>
      <c r="C338" s="2">
        <v>29</v>
      </c>
      <c r="D338" s="2">
        <f>VLOOKUP(C338,Course!$A$1:$C$229, 2, FALSE)</f>
        <v>0</v>
      </c>
      <c r="E338" s="2">
        <v>38</v>
      </c>
      <c r="F338" s="2" t="s">
        <v>1082</v>
      </c>
      <c r="G338" s="2">
        <v>1</v>
      </c>
      <c r="H338" s="21">
        <v>0.8</v>
      </c>
      <c r="I338" s="2">
        <v>1</v>
      </c>
    </row>
    <row r="339" spans="1:9" ht="15.75" hidden="1" customHeight="1" x14ac:dyDescent="0.2">
      <c r="A339" s="11">
        <v>338</v>
      </c>
      <c r="B339" s="2">
        <v>338</v>
      </c>
      <c r="C339" s="2">
        <v>29</v>
      </c>
      <c r="D339" s="2">
        <f>VLOOKUP(C339,Course!$A$1:$C$229, 2, FALSE)</f>
        <v>0</v>
      </c>
      <c r="E339" s="2">
        <v>39</v>
      </c>
      <c r="F339" s="2" t="s">
        <v>1083</v>
      </c>
      <c r="G339" s="2">
        <v>1</v>
      </c>
      <c r="H339" s="21">
        <v>0.8</v>
      </c>
      <c r="I339" s="2">
        <v>1</v>
      </c>
    </row>
    <row r="340" spans="1:9" ht="15.75" hidden="1" customHeight="1" x14ac:dyDescent="0.2">
      <c r="A340" s="11">
        <v>339</v>
      </c>
      <c r="B340" s="2">
        <v>339</v>
      </c>
      <c r="C340" s="2">
        <v>29</v>
      </c>
      <c r="D340" s="2">
        <f>VLOOKUP(C340,Course!$A$1:$C$229, 2, FALSE)</f>
        <v>0</v>
      </c>
      <c r="E340" s="2">
        <v>40</v>
      </c>
      <c r="F340" s="2" t="s">
        <v>1084</v>
      </c>
      <c r="G340" s="2">
        <v>1</v>
      </c>
      <c r="H340" s="21">
        <v>0.8</v>
      </c>
      <c r="I340" s="2">
        <v>1</v>
      </c>
    </row>
    <row r="341" spans="1:9" ht="15.75" hidden="1" customHeight="1" x14ac:dyDescent="0.2">
      <c r="A341" s="11">
        <v>340</v>
      </c>
      <c r="B341" s="2">
        <v>340</v>
      </c>
      <c r="C341" s="2">
        <v>29</v>
      </c>
      <c r="D341" s="2">
        <f>VLOOKUP(C341,Course!$A$1:$C$229, 2, FALSE)</f>
        <v>0</v>
      </c>
      <c r="E341" s="2">
        <v>41</v>
      </c>
      <c r="F341" s="2" t="s">
        <v>1085</v>
      </c>
      <c r="G341" s="2">
        <v>1</v>
      </c>
      <c r="H341" s="21">
        <v>0.8</v>
      </c>
      <c r="I341" s="2">
        <v>1</v>
      </c>
    </row>
    <row r="342" spans="1:9" ht="15.75" hidden="1" customHeight="1" x14ac:dyDescent="0.2">
      <c r="A342" s="11">
        <v>341</v>
      </c>
      <c r="B342" s="2">
        <v>341</v>
      </c>
      <c r="C342" s="2">
        <v>29</v>
      </c>
      <c r="D342" s="2">
        <f>VLOOKUP(C342,Course!$A$1:$C$229, 2, FALSE)</f>
        <v>0</v>
      </c>
      <c r="E342" s="2">
        <v>42</v>
      </c>
      <c r="F342" s="2" t="s">
        <v>1086</v>
      </c>
      <c r="G342" s="2">
        <v>1</v>
      </c>
      <c r="H342" s="21">
        <v>0.8</v>
      </c>
      <c r="I342" s="2">
        <v>1</v>
      </c>
    </row>
    <row r="343" spans="1:9" ht="15.75" hidden="1" customHeight="1" x14ac:dyDescent="0.2">
      <c r="A343" s="11">
        <v>342</v>
      </c>
      <c r="B343" s="2">
        <v>342</v>
      </c>
      <c r="C343" s="2">
        <v>29</v>
      </c>
      <c r="D343" s="2">
        <f>VLOOKUP(C343,Course!$A$1:$C$229, 2, FALSE)</f>
        <v>0</v>
      </c>
      <c r="E343" s="2">
        <v>43</v>
      </c>
      <c r="F343" s="2" t="s">
        <v>1087</v>
      </c>
      <c r="G343" s="2">
        <v>1</v>
      </c>
      <c r="H343" s="21">
        <v>0.8</v>
      </c>
      <c r="I343" s="2">
        <v>1</v>
      </c>
    </row>
    <row r="344" spans="1:9" ht="15.75" hidden="1" customHeight="1" x14ac:dyDescent="0.2">
      <c r="A344" s="11">
        <v>343</v>
      </c>
      <c r="B344" s="2">
        <v>343</v>
      </c>
      <c r="C344" s="2">
        <v>29</v>
      </c>
      <c r="D344" s="2">
        <f>VLOOKUP(C344,Course!$A$1:$C$229, 2, FALSE)</f>
        <v>0</v>
      </c>
      <c r="E344" s="2">
        <v>44</v>
      </c>
      <c r="F344" s="2" t="s">
        <v>1088</v>
      </c>
      <c r="G344" s="2">
        <v>1</v>
      </c>
      <c r="H344" s="21">
        <v>0.8</v>
      </c>
      <c r="I344" s="2">
        <v>1</v>
      </c>
    </row>
    <row r="345" spans="1:9" ht="15.75" hidden="1" customHeight="1" x14ac:dyDescent="0.2">
      <c r="A345" s="11">
        <v>344</v>
      </c>
      <c r="B345" s="2">
        <v>344</v>
      </c>
      <c r="C345" s="2">
        <v>29</v>
      </c>
      <c r="D345" s="2">
        <f>VLOOKUP(C345,Course!$A$1:$C$229, 2, FALSE)</f>
        <v>0</v>
      </c>
      <c r="E345" s="2">
        <v>45</v>
      </c>
      <c r="F345" s="2" t="s">
        <v>1089</v>
      </c>
      <c r="G345" s="2">
        <v>1</v>
      </c>
      <c r="H345" s="21">
        <v>0.8</v>
      </c>
      <c r="I345" s="2">
        <v>1</v>
      </c>
    </row>
    <row r="346" spans="1:9" ht="15.75" hidden="1" customHeight="1" x14ac:dyDescent="0.2">
      <c r="A346" s="11">
        <v>345</v>
      </c>
      <c r="B346" s="2">
        <v>345</v>
      </c>
      <c r="C346" s="2">
        <v>29</v>
      </c>
      <c r="D346" s="2">
        <f>VLOOKUP(C346,Course!$A$1:$C$229, 2, FALSE)</f>
        <v>0</v>
      </c>
      <c r="E346" s="2">
        <v>46</v>
      </c>
      <c r="F346" s="2" t="s">
        <v>1090</v>
      </c>
      <c r="G346" s="2">
        <v>1</v>
      </c>
      <c r="H346" s="21">
        <v>0.8</v>
      </c>
      <c r="I346" s="2">
        <v>1</v>
      </c>
    </row>
    <row r="347" spans="1:9" ht="15.75" hidden="1" customHeight="1" x14ac:dyDescent="0.2">
      <c r="A347" s="11">
        <v>346</v>
      </c>
      <c r="B347" s="2">
        <v>346</v>
      </c>
      <c r="C347" s="2">
        <v>29</v>
      </c>
      <c r="D347" s="2">
        <f>VLOOKUP(C347,Course!$A$1:$C$229, 2, FALSE)</f>
        <v>0</v>
      </c>
      <c r="E347" s="2">
        <v>47</v>
      </c>
      <c r="F347" s="2" t="s">
        <v>1091</v>
      </c>
      <c r="G347" s="2">
        <v>1</v>
      </c>
      <c r="H347" s="21">
        <v>0.8</v>
      </c>
      <c r="I347" s="2">
        <v>1</v>
      </c>
    </row>
    <row r="348" spans="1:9" ht="15.75" hidden="1" customHeight="1" x14ac:dyDescent="0.2">
      <c r="A348" s="11">
        <v>347</v>
      </c>
      <c r="B348" s="2">
        <v>347</v>
      </c>
      <c r="C348" s="2">
        <v>29</v>
      </c>
      <c r="D348" s="2">
        <f>VLOOKUP(C348,Course!$A$1:$C$229, 2, FALSE)</f>
        <v>0</v>
      </c>
      <c r="E348" s="2">
        <v>48</v>
      </c>
      <c r="F348" s="2" t="s">
        <v>1092</v>
      </c>
      <c r="G348" s="2">
        <v>1</v>
      </c>
      <c r="H348" s="21">
        <v>0.8</v>
      </c>
      <c r="I348" s="2">
        <v>1</v>
      </c>
    </row>
    <row r="349" spans="1:9" ht="15.75" hidden="1" customHeight="1" x14ac:dyDescent="0.2">
      <c r="A349" s="11">
        <v>348</v>
      </c>
      <c r="B349" s="2">
        <v>348</v>
      </c>
      <c r="C349" s="2">
        <v>30</v>
      </c>
      <c r="D349" s="2">
        <f>VLOOKUP(C349,Course!$A$1:$C$229, 2, FALSE)</f>
        <v>0</v>
      </c>
      <c r="E349" s="2">
        <v>49</v>
      </c>
      <c r="F349" s="2" t="s">
        <v>1093</v>
      </c>
      <c r="G349" s="2">
        <v>1</v>
      </c>
      <c r="H349" s="21">
        <v>0.8</v>
      </c>
      <c r="I349" s="2">
        <v>1</v>
      </c>
    </row>
    <row r="350" spans="1:9" ht="15.75" hidden="1" customHeight="1" x14ac:dyDescent="0.2">
      <c r="A350" s="11">
        <v>349</v>
      </c>
      <c r="B350" s="2">
        <v>349</v>
      </c>
      <c r="C350" s="2">
        <v>30</v>
      </c>
      <c r="D350" s="2">
        <f>VLOOKUP(C350,Course!$A$1:$C$229, 2, FALSE)</f>
        <v>0</v>
      </c>
      <c r="E350" s="2">
        <v>50</v>
      </c>
      <c r="F350" s="2" t="s">
        <v>1094</v>
      </c>
      <c r="G350" s="2">
        <v>1</v>
      </c>
      <c r="H350" s="21">
        <v>0.8</v>
      </c>
      <c r="I350" s="2">
        <v>1</v>
      </c>
    </row>
    <row r="351" spans="1:9" ht="15.75" hidden="1" customHeight="1" x14ac:dyDescent="0.2">
      <c r="A351" s="11">
        <v>350</v>
      </c>
      <c r="B351" s="2">
        <v>350</v>
      </c>
      <c r="C351" s="2">
        <v>30</v>
      </c>
      <c r="D351" s="2">
        <f>VLOOKUP(C351,Course!$A$1:$C$229, 2, FALSE)</f>
        <v>0</v>
      </c>
      <c r="E351" s="2">
        <v>51</v>
      </c>
      <c r="F351" s="2" t="s">
        <v>1095</v>
      </c>
      <c r="G351" s="2">
        <v>1</v>
      </c>
      <c r="H351" s="21">
        <v>0.8</v>
      </c>
      <c r="I351" s="2">
        <v>1</v>
      </c>
    </row>
    <row r="352" spans="1:9" ht="15.75" hidden="1" customHeight="1" x14ac:dyDescent="0.2">
      <c r="A352" s="11">
        <v>351</v>
      </c>
      <c r="B352" s="2">
        <v>351</v>
      </c>
      <c r="C352" s="2">
        <v>30</v>
      </c>
      <c r="D352" s="2">
        <f>VLOOKUP(C352,Course!$A$1:$C$229, 2, FALSE)</f>
        <v>0</v>
      </c>
      <c r="E352" s="2">
        <v>52</v>
      </c>
      <c r="F352" s="2" t="s">
        <v>1096</v>
      </c>
      <c r="G352" s="2">
        <v>1</v>
      </c>
      <c r="H352" s="21">
        <v>0.8</v>
      </c>
      <c r="I352" s="2">
        <v>1</v>
      </c>
    </row>
    <row r="353" spans="1:9" ht="15.75" hidden="1" customHeight="1" x14ac:dyDescent="0.2">
      <c r="A353" s="11">
        <v>352</v>
      </c>
      <c r="B353" s="2">
        <v>352</v>
      </c>
      <c r="C353" s="2">
        <v>30</v>
      </c>
      <c r="D353" s="2">
        <f>VLOOKUP(C353,Course!$A$1:$C$229, 2, FALSE)</f>
        <v>0</v>
      </c>
      <c r="E353" s="2">
        <v>53</v>
      </c>
      <c r="F353" s="2" t="s">
        <v>1097</v>
      </c>
      <c r="G353" s="2">
        <v>1</v>
      </c>
      <c r="H353" s="21">
        <v>0.8</v>
      </c>
      <c r="I353" s="2">
        <v>1</v>
      </c>
    </row>
    <row r="354" spans="1:9" ht="15.75" hidden="1" customHeight="1" x14ac:dyDescent="0.2">
      <c r="A354" s="11">
        <v>353</v>
      </c>
      <c r="B354" s="2">
        <v>353</v>
      </c>
      <c r="C354" s="2">
        <v>30</v>
      </c>
      <c r="D354" s="2">
        <f>VLOOKUP(C354,Course!$A$1:$C$229, 2, FALSE)</f>
        <v>0</v>
      </c>
      <c r="E354" s="2">
        <v>54</v>
      </c>
      <c r="F354" s="2" t="s">
        <v>1098</v>
      </c>
      <c r="G354" s="2">
        <v>1</v>
      </c>
      <c r="H354" s="21">
        <v>0.8</v>
      </c>
      <c r="I354" s="2">
        <v>1</v>
      </c>
    </row>
    <row r="355" spans="1:9" ht="15.75" hidden="1" customHeight="1" x14ac:dyDescent="0.2">
      <c r="A355" s="11">
        <v>354</v>
      </c>
      <c r="B355" s="2">
        <v>354</v>
      </c>
      <c r="C355" s="2">
        <v>30</v>
      </c>
      <c r="D355" s="2">
        <f>VLOOKUP(C355,Course!$A$1:$C$229, 2, FALSE)</f>
        <v>0</v>
      </c>
      <c r="E355" s="2">
        <v>55</v>
      </c>
      <c r="F355" s="2" t="s">
        <v>1099</v>
      </c>
      <c r="G355" s="2">
        <v>1</v>
      </c>
      <c r="H355" s="21">
        <v>0.8</v>
      </c>
      <c r="I355" s="2">
        <v>1</v>
      </c>
    </row>
    <row r="356" spans="1:9" ht="15.75" hidden="1" customHeight="1" x14ac:dyDescent="0.2">
      <c r="A356" s="11">
        <v>355</v>
      </c>
      <c r="B356" s="2">
        <v>355</v>
      </c>
      <c r="C356" s="2">
        <v>30</v>
      </c>
      <c r="D356" s="2">
        <f>VLOOKUP(C356,Course!$A$1:$C$229, 2, FALSE)</f>
        <v>0</v>
      </c>
      <c r="E356" s="2">
        <v>56</v>
      </c>
      <c r="F356" s="2" t="s">
        <v>1100</v>
      </c>
      <c r="G356" s="2">
        <v>1</v>
      </c>
      <c r="H356" s="21">
        <v>0.8</v>
      </c>
      <c r="I356" s="2">
        <v>1</v>
      </c>
    </row>
    <row r="357" spans="1:9" ht="15.75" hidden="1" customHeight="1" x14ac:dyDescent="0.2">
      <c r="A357" s="11">
        <v>356</v>
      </c>
      <c r="B357" s="2">
        <v>356</v>
      </c>
      <c r="C357" s="2">
        <v>30</v>
      </c>
      <c r="D357" s="2">
        <f>VLOOKUP(C357,Course!$A$1:$C$229, 2, FALSE)</f>
        <v>0</v>
      </c>
      <c r="E357" s="2">
        <v>57</v>
      </c>
      <c r="F357" s="2" t="s">
        <v>1101</v>
      </c>
      <c r="G357" s="2">
        <v>1</v>
      </c>
      <c r="H357" s="21">
        <v>0.8</v>
      </c>
      <c r="I357" s="2">
        <v>1</v>
      </c>
    </row>
    <row r="358" spans="1:9" ht="15.75" hidden="1" customHeight="1" x14ac:dyDescent="0.2">
      <c r="A358" s="11">
        <v>357</v>
      </c>
      <c r="B358" s="2">
        <v>357</v>
      </c>
      <c r="C358" s="2">
        <v>30</v>
      </c>
      <c r="D358" s="2">
        <f>VLOOKUP(C358,Course!$A$1:$C$229, 2, FALSE)</f>
        <v>0</v>
      </c>
      <c r="E358" s="2">
        <v>58</v>
      </c>
      <c r="F358" s="2" t="s">
        <v>1102</v>
      </c>
      <c r="G358" s="2">
        <v>1</v>
      </c>
      <c r="H358" s="21">
        <v>0.8</v>
      </c>
      <c r="I358" s="2">
        <v>1</v>
      </c>
    </row>
    <row r="359" spans="1:9" ht="15.75" hidden="1" customHeight="1" x14ac:dyDescent="0.2">
      <c r="A359" s="11">
        <v>358</v>
      </c>
      <c r="B359" s="2">
        <v>358</v>
      </c>
      <c r="C359" s="2">
        <v>30</v>
      </c>
      <c r="D359" s="2">
        <f>VLOOKUP(C359,Course!$A$1:$C$229, 2, FALSE)</f>
        <v>0</v>
      </c>
      <c r="E359" s="2">
        <v>59</v>
      </c>
      <c r="F359" s="2" t="s">
        <v>1103</v>
      </c>
      <c r="G359" s="2">
        <v>1</v>
      </c>
      <c r="H359" s="21">
        <v>0.8</v>
      </c>
      <c r="I359" s="2">
        <v>1</v>
      </c>
    </row>
    <row r="360" spans="1:9" ht="15.75" hidden="1" customHeight="1" x14ac:dyDescent="0.2">
      <c r="A360" s="11">
        <v>359</v>
      </c>
      <c r="B360" s="2">
        <v>359</v>
      </c>
      <c r="C360" s="2">
        <v>30</v>
      </c>
      <c r="D360" s="2">
        <f>VLOOKUP(C360,Course!$A$1:$C$229, 2, FALSE)</f>
        <v>0</v>
      </c>
      <c r="E360" s="2">
        <v>60</v>
      </c>
      <c r="F360" s="2" t="s">
        <v>1104</v>
      </c>
      <c r="G360" s="2">
        <v>1</v>
      </c>
      <c r="H360" s="21">
        <v>0.8</v>
      </c>
      <c r="I360" s="2">
        <v>1</v>
      </c>
    </row>
    <row r="361" spans="1:9" ht="15.75" hidden="1" customHeight="1" x14ac:dyDescent="0.2">
      <c r="A361" s="11">
        <v>360</v>
      </c>
      <c r="B361" s="2">
        <v>360</v>
      </c>
      <c r="C361" s="2">
        <v>31</v>
      </c>
      <c r="D361" s="2">
        <f>VLOOKUP(C361,Course!$A$1:$C$229, 2, FALSE)</f>
        <v>0</v>
      </c>
      <c r="E361" s="2">
        <v>49</v>
      </c>
      <c r="F361" s="2" t="s">
        <v>1105</v>
      </c>
      <c r="G361" s="2">
        <v>1</v>
      </c>
      <c r="H361" s="21">
        <v>0.8</v>
      </c>
      <c r="I361" s="2">
        <v>1</v>
      </c>
    </row>
    <row r="362" spans="1:9" ht="15.75" hidden="1" customHeight="1" x14ac:dyDescent="0.2">
      <c r="A362" s="11">
        <v>361</v>
      </c>
      <c r="B362" s="2">
        <v>361</v>
      </c>
      <c r="C362" s="2">
        <v>31</v>
      </c>
      <c r="D362" s="2">
        <f>VLOOKUP(C362,Course!$A$1:$C$229, 2, FALSE)</f>
        <v>0</v>
      </c>
      <c r="E362" s="2">
        <v>50</v>
      </c>
      <c r="F362" s="2" t="s">
        <v>1106</v>
      </c>
      <c r="G362" s="2">
        <v>1</v>
      </c>
      <c r="H362" s="21">
        <v>0.8</v>
      </c>
      <c r="I362" s="2">
        <v>1</v>
      </c>
    </row>
    <row r="363" spans="1:9" ht="15.75" hidden="1" customHeight="1" x14ac:dyDescent="0.2">
      <c r="A363" s="11">
        <v>362</v>
      </c>
      <c r="B363" s="2">
        <v>362</v>
      </c>
      <c r="C363" s="2">
        <v>31</v>
      </c>
      <c r="D363" s="2">
        <f>VLOOKUP(C363,Course!$A$1:$C$229, 2, FALSE)</f>
        <v>0</v>
      </c>
      <c r="E363" s="2">
        <v>51</v>
      </c>
      <c r="F363" s="2" t="s">
        <v>1107</v>
      </c>
      <c r="G363" s="2">
        <v>1</v>
      </c>
      <c r="H363" s="21">
        <v>0.8</v>
      </c>
      <c r="I363" s="2">
        <v>1</v>
      </c>
    </row>
    <row r="364" spans="1:9" ht="15.75" hidden="1" customHeight="1" x14ac:dyDescent="0.2">
      <c r="A364" s="11">
        <v>363</v>
      </c>
      <c r="B364" s="2">
        <v>363</v>
      </c>
      <c r="C364" s="2">
        <v>31</v>
      </c>
      <c r="D364" s="2">
        <f>VLOOKUP(C364,Course!$A$1:$C$229, 2, FALSE)</f>
        <v>0</v>
      </c>
      <c r="E364" s="2">
        <v>52</v>
      </c>
      <c r="F364" s="2" t="s">
        <v>1108</v>
      </c>
      <c r="G364" s="2">
        <v>1</v>
      </c>
      <c r="H364" s="21">
        <v>0.8</v>
      </c>
      <c r="I364" s="2">
        <v>1</v>
      </c>
    </row>
    <row r="365" spans="1:9" ht="15.75" hidden="1" customHeight="1" x14ac:dyDescent="0.2">
      <c r="A365" s="11">
        <v>364</v>
      </c>
      <c r="B365" s="2">
        <v>364</v>
      </c>
      <c r="C365" s="2">
        <v>31</v>
      </c>
      <c r="D365" s="2">
        <f>VLOOKUP(C365,Course!$A$1:$C$229, 2, FALSE)</f>
        <v>0</v>
      </c>
      <c r="E365" s="2">
        <v>53</v>
      </c>
      <c r="F365" s="2" t="s">
        <v>1109</v>
      </c>
      <c r="G365" s="2">
        <v>1</v>
      </c>
      <c r="H365" s="21">
        <v>0.8</v>
      </c>
      <c r="I365" s="2">
        <v>1</v>
      </c>
    </row>
    <row r="366" spans="1:9" ht="15.75" hidden="1" customHeight="1" x14ac:dyDescent="0.2">
      <c r="A366" s="11">
        <v>365</v>
      </c>
      <c r="B366" s="2">
        <v>365</v>
      </c>
      <c r="C366" s="2">
        <v>31</v>
      </c>
      <c r="D366" s="2">
        <f>VLOOKUP(C366,Course!$A$1:$C$229, 2, FALSE)</f>
        <v>0</v>
      </c>
      <c r="E366" s="2">
        <v>54</v>
      </c>
      <c r="F366" s="2" t="s">
        <v>1110</v>
      </c>
      <c r="G366" s="2">
        <v>1</v>
      </c>
      <c r="H366" s="21">
        <v>0.8</v>
      </c>
      <c r="I366" s="2">
        <v>1</v>
      </c>
    </row>
    <row r="367" spans="1:9" ht="15.75" hidden="1" customHeight="1" x14ac:dyDescent="0.2">
      <c r="A367" s="11">
        <v>366</v>
      </c>
      <c r="B367" s="2">
        <v>366</v>
      </c>
      <c r="C367" s="2">
        <v>31</v>
      </c>
      <c r="D367" s="2">
        <f>VLOOKUP(C367,Course!$A$1:$C$229, 2, FALSE)</f>
        <v>0</v>
      </c>
      <c r="E367" s="2">
        <v>55</v>
      </c>
      <c r="F367" s="2" t="s">
        <v>1111</v>
      </c>
      <c r="G367" s="2">
        <v>1</v>
      </c>
      <c r="H367" s="21">
        <v>0.8</v>
      </c>
      <c r="I367" s="2">
        <v>1</v>
      </c>
    </row>
    <row r="368" spans="1:9" ht="15.75" hidden="1" customHeight="1" x14ac:dyDescent="0.2">
      <c r="A368" s="11">
        <v>367</v>
      </c>
      <c r="B368" s="2">
        <v>367</v>
      </c>
      <c r="C368" s="2">
        <v>31</v>
      </c>
      <c r="D368" s="2">
        <f>VLOOKUP(C368,Course!$A$1:$C$229, 2, FALSE)</f>
        <v>0</v>
      </c>
      <c r="E368" s="2">
        <v>56</v>
      </c>
      <c r="F368" s="2" t="s">
        <v>1112</v>
      </c>
      <c r="G368" s="2">
        <v>1</v>
      </c>
      <c r="H368" s="21">
        <v>0.8</v>
      </c>
      <c r="I368" s="2">
        <v>1</v>
      </c>
    </row>
    <row r="369" spans="1:9" ht="15.75" hidden="1" customHeight="1" x14ac:dyDescent="0.2">
      <c r="A369" s="11">
        <v>368</v>
      </c>
      <c r="B369" s="2">
        <v>368</v>
      </c>
      <c r="C369" s="2">
        <v>31</v>
      </c>
      <c r="D369" s="2">
        <f>VLOOKUP(C369,Course!$A$1:$C$229, 2, FALSE)</f>
        <v>0</v>
      </c>
      <c r="E369" s="2">
        <v>57</v>
      </c>
      <c r="F369" s="2" t="s">
        <v>1113</v>
      </c>
      <c r="G369" s="2">
        <v>1</v>
      </c>
      <c r="H369" s="21">
        <v>0.8</v>
      </c>
      <c r="I369" s="2">
        <v>1</v>
      </c>
    </row>
    <row r="370" spans="1:9" ht="15.75" hidden="1" customHeight="1" x14ac:dyDescent="0.2">
      <c r="A370" s="11">
        <v>369</v>
      </c>
      <c r="B370" s="2">
        <v>369</v>
      </c>
      <c r="C370" s="2">
        <v>31</v>
      </c>
      <c r="D370" s="2">
        <f>VLOOKUP(C370,Course!$A$1:$C$229, 2, FALSE)</f>
        <v>0</v>
      </c>
      <c r="E370" s="2">
        <v>58</v>
      </c>
      <c r="F370" s="2" t="s">
        <v>1114</v>
      </c>
      <c r="G370" s="2">
        <v>1</v>
      </c>
      <c r="H370" s="21">
        <v>0.8</v>
      </c>
      <c r="I370" s="2">
        <v>1</v>
      </c>
    </row>
    <row r="371" spans="1:9" ht="15.75" hidden="1" customHeight="1" x14ac:dyDescent="0.2">
      <c r="A371" s="11">
        <v>370</v>
      </c>
      <c r="B371" s="2">
        <v>370</v>
      </c>
      <c r="C371" s="2">
        <v>31</v>
      </c>
      <c r="D371" s="2">
        <f>VLOOKUP(C371,Course!$A$1:$C$229, 2, FALSE)</f>
        <v>0</v>
      </c>
      <c r="E371" s="2">
        <v>59</v>
      </c>
      <c r="F371" s="2" t="s">
        <v>1115</v>
      </c>
      <c r="G371" s="2">
        <v>1</v>
      </c>
      <c r="H371" s="21">
        <v>0.8</v>
      </c>
      <c r="I371" s="2">
        <v>1</v>
      </c>
    </row>
    <row r="372" spans="1:9" ht="15.75" hidden="1" customHeight="1" x14ac:dyDescent="0.2">
      <c r="A372" s="11">
        <v>371</v>
      </c>
      <c r="B372" s="2">
        <v>371</v>
      </c>
      <c r="C372" s="2">
        <v>31</v>
      </c>
      <c r="D372" s="2">
        <f>VLOOKUP(C372,Course!$A$1:$C$229, 2, FALSE)</f>
        <v>0</v>
      </c>
      <c r="E372" s="2">
        <v>60</v>
      </c>
      <c r="F372" s="2" t="s">
        <v>1116</v>
      </c>
      <c r="G372" s="2">
        <v>1</v>
      </c>
      <c r="H372" s="21">
        <v>0.8</v>
      </c>
      <c r="I372" s="2">
        <v>1</v>
      </c>
    </row>
    <row r="373" spans="1:9" ht="15.75" hidden="1" customHeight="1" x14ac:dyDescent="0.2">
      <c r="A373" s="11">
        <v>372</v>
      </c>
      <c r="B373" s="2">
        <v>372</v>
      </c>
      <c r="C373" s="2">
        <v>32</v>
      </c>
      <c r="D373" s="2">
        <f>VLOOKUP(C373,Course!$A$1:$C$229, 2, FALSE)</f>
        <v>0</v>
      </c>
      <c r="E373" s="2">
        <v>49</v>
      </c>
      <c r="F373" s="2" t="s">
        <v>1117</v>
      </c>
      <c r="G373" s="2">
        <v>1</v>
      </c>
      <c r="H373" s="21">
        <v>0.9</v>
      </c>
      <c r="I373" s="2">
        <v>1</v>
      </c>
    </row>
    <row r="374" spans="1:9" ht="15.75" hidden="1" customHeight="1" x14ac:dyDescent="0.2">
      <c r="A374" s="11">
        <v>373</v>
      </c>
      <c r="B374" s="2">
        <v>373</v>
      </c>
      <c r="C374" s="2">
        <v>32</v>
      </c>
      <c r="D374" s="2">
        <f>VLOOKUP(C374,Course!$A$1:$C$229, 2, FALSE)</f>
        <v>0</v>
      </c>
      <c r="E374" s="2">
        <v>50</v>
      </c>
      <c r="F374" s="2" t="s">
        <v>1118</v>
      </c>
      <c r="G374" s="2">
        <v>1</v>
      </c>
      <c r="H374" s="21">
        <v>0.9</v>
      </c>
      <c r="I374" s="2">
        <v>1</v>
      </c>
    </row>
    <row r="375" spans="1:9" ht="15.75" hidden="1" customHeight="1" x14ac:dyDescent="0.2">
      <c r="A375" s="11">
        <v>374</v>
      </c>
      <c r="B375" s="2">
        <v>374</v>
      </c>
      <c r="C375" s="2">
        <v>32</v>
      </c>
      <c r="D375" s="2">
        <f>VLOOKUP(C375,Course!$A$1:$C$229, 2, FALSE)</f>
        <v>0</v>
      </c>
      <c r="E375" s="2">
        <v>51</v>
      </c>
      <c r="F375" s="2" t="s">
        <v>1119</v>
      </c>
      <c r="G375" s="2">
        <v>1</v>
      </c>
      <c r="H375" s="21">
        <v>0.9</v>
      </c>
      <c r="I375" s="2">
        <v>1</v>
      </c>
    </row>
    <row r="376" spans="1:9" ht="15.75" hidden="1" customHeight="1" x14ac:dyDescent="0.2">
      <c r="A376" s="11">
        <v>375</v>
      </c>
      <c r="B376" s="2">
        <v>375</v>
      </c>
      <c r="C376" s="2">
        <v>32</v>
      </c>
      <c r="D376" s="2">
        <f>VLOOKUP(C376,Course!$A$1:$C$229, 2, FALSE)</f>
        <v>0</v>
      </c>
      <c r="E376" s="2">
        <v>52</v>
      </c>
      <c r="F376" s="2" t="s">
        <v>1120</v>
      </c>
      <c r="G376" s="2">
        <v>1</v>
      </c>
      <c r="H376" s="21">
        <v>0.9</v>
      </c>
      <c r="I376" s="2">
        <v>1</v>
      </c>
    </row>
    <row r="377" spans="1:9" ht="15.75" hidden="1" customHeight="1" x14ac:dyDescent="0.2">
      <c r="A377" s="11">
        <v>376</v>
      </c>
      <c r="B377" s="2">
        <v>376</v>
      </c>
      <c r="C377" s="2">
        <v>32</v>
      </c>
      <c r="D377" s="2">
        <f>VLOOKUP(C377,Course!$A$1:$C$229, 2, FALSE)</f>
        <v>0</v>
      </c>
      <c r="E377" s="2">
        <v>53</v>
      </c>
      <c r="F377" s="2" t="s">
        <v>1121</v>
      </c>
      <c r="G377" s="2">
        <v>1</v>
      </c>
      <c r="H377" s="21">
        <v>0.9</v>
      </c>
      <c r="I377" s="2">
        <v>1</v>
      </c>
    </row>
    <row r="378" spans="1:9" ht="15.75" hidden="1" customHeight="1" x14ac:dyDescent="0.2">
      <c r="A378" s="11">
        <v>377</v>
      </c>
      <c r="B378" s="2">
        <v>377</v>
      </c>
      <c r="C378" s="2">
        <v>32</v>
      </c>
      <c r="D378" s="2">
        <f>VLOOKUP(C378,Course!$A$1:$C$229, 2, FALSE)</f>
        <v>0</v>
      </c>
      <c r="E378" s="2">
        <v>54</v>
      </c>
      <c r="F378" s="2" t="s">
        <v>1122</v>
      </c>
      <c r="G378" s="2">
        <v>1</v>
      </c>
      <c r="H378" s="21">
        <v>0.9</v>
      </c>
      <c r="I378" s="2">
        <v>1</v>
      </c>
    </row>
    <row r="379" spans="1:9" ht="15.75" hidden="1" customHeight="1" x14ac:dyDescent="0.2">
      <c r="A379" s="11">
        <v>378</v>
      </c>
      <c r="B379" s="2">
        <v>378</v>
      </c>
      <c r="C379" s="2">
        <v>32</v>
      </c>
      <c r="D379" s="2">
        <f>VLOOKUP(C379,Course!$A$1:$C$229, 2, FALSE)</f>
        <v>0</v>
      </c>
      <c r="E379" s="2">
        <v>55</v>
      </c>
      <c r="F379" s="2" t="s">
        <v>1123</v>
      </c>
      <c r="G379" s="2">
        <v>1</v>
      </c>
      <c r="H379" s="21">
        <v>0.9</v>
      </c>
      <c r="I379" s="2">
        <v>1</v>
      </c>
    </row>
    <row r="380" spans="1:9" ht="15.75" hidden="1" customHeight="1" x14ac:dyDescent="0.2">
      <c r="A380" s="11">
        <v>379</v>
      </c>
      <c r="B380" s="2">
        <v>379</v>
      </c>
      <c r="C380" s="2">
        <v>32</v>
      </c>
      <c r="D380" s="2">
        <f>VLOOKUP(C380,Course!$A$1:$C$229, 2, FALSE)</f>
        <v>0</v>
      </c>
      <c r="E380" s="2">
        <v>56</v>
      </c>
      <c r="F380" s="2" t="s">
        <v>1124</v>
      </c>
      <c r="G380" s="2">
        <v>1</v>
      </c>
      <c r="H380" s="21">
        <v>0.9</v>
      </c>
      <c r="I380" s="2">
        <v>1</v>
      </c>
    </row>
    <row r="381" spans="1:9" ht="15.75" hidden="1" customHeight="1" x14ac:dyDescent="0.2">
      <c r="A381" s="11">
        <v>380</v>
      </c>
      <c r="B381" s="2">
        <v>380</v>
      </c>
      <c r="C381" s="2">
        <v>32</v>
      </c>
      <c r="D381" s="2">
        <f>VLOOKUP(C381,Course!$A$1:$C$229, 2, FALSE)</f>
        <v>0</v>
      </c>
      <c r="E381" s="2">
        <v>57</v>
      </c>
      <c r="F381" s="2" t="s">
        <v>1125</v>
      </c>
      <c r="G381" s="2">
        <v>1</v>
      </c>
      <c r="H381" s="21">
        <v>0.9</v>
      </c>
      <c r="I381" s="2">
        <v>1</v>
      </c>
    </row>
    <row r="382" spans="1:9" ht="15.75" hidden="1" customHeight="1" x14ac:dyDescent="0.2">
      <c r="A382" s="11">
        <v>381</v>
      </c>
      <c r="B382" s="2">
        <v>381</v>
      </c>
      <c r="C382" s="2">
        <v>32</v>
      </c>
      <c r="D382" s="2">
        <f>VLOOKUP(C382,Course!$A$1:$C$229, 2, FALSE)</f>
        <v>0</v>
      </c>
      <c r="E382" s="2">
        <v>58</v>
      </c>
      <c r="F382" s="2" t="s">
        <v>1126</v>
      </c>
      <c r="G382" s="2">
        <v>1</v>
      </c>
      <c r="H382" s="21">
        <v>0.9</v>
      </c>
      <c r="I382" s="2">
        <v>1</v>
      </c>
    </row>
    <row r="383" spans="1:9" ht="15.75" hidden="1" customHeight="1" x14ac:dyDescent="0.2">
      <c r="A383" s="11">
        <v>382</v>
      </c>
      <c r="B383" s="2">
        <v>382</v>
      </c>
      <c r="C383" s="2">
        <v>32</v>
      </c>
      <c r="D383" s="2">
        <f>VLOOKUP(C383,Course!$A$1:$C$229, 2, FALSE)</f>
        <v>0</v>
      </c>
      <c r="E383" s="2">
        <v>59</v>
      </c>
      <c r="F383" s="2" t="s">
        <v>1127</v>
      </c>
      <c r="G383" s="2">
        <v>1</v>
      </c>
      <c r="H383" s="21">
        <v>0.9</v>
      </c>
      <c r="I383" s="2">
        <v>1</v>
      </c>
    </row>
    <row r="384" spans="1:9" ht="15.75" hidden="1" customHeight="1" x14ac:dyDescent="0.2">
      <c r="A384" s="11">
        <v>383</v>
      </c>
      <c r="B384" s="2">
        <v>383</v>
      </c>
      <c r="C384" s="2">
        <v>32</v>
      </c>
      <c r="D384" s="2">
        <f>VLOOKUP(C384,Course!$A$1:$C$229, 2, FALSE)</f>
        <v>0</v>
      </c>
      <c r="E384" s="2">
        <v>60</v>
      </c>
      <c r="F384" s="2" t="s">
        <v>1128</v>
      </c>
      <c r="G384" s="2">
        <v>1</v>
      </c>
      <c r="H384" s="21">
        <v>0.9</v>
      </c>
      <c r="I384" s="2">
        <v>1</v>
      </c>
    </row>
    <row r="385" spans="1:9" ht="15.75" hidden="1" customHeight="1" x14ac:dyDescent="0.2">
      <c r="A385" s="11">
        <v>384</v>
      </c>
      <c r="B385" s="2">
        <v>384</v>
      </c>
      <c r="C385" s="2">
        <v>33</v>
      </c>
      <c r="D385" s="2">
        <f>VLOOKUP(C385,Course!$A$1:$C$229, 2, FALSE)</f>
        <v>0</v>
      </c>
      <c r="E385" s="2">
        <v>49</v>
      </c>
      <c r="F385" s="2" t="s">
        <v>1129</v>
      </c>
      <c r="G385" s="2">
        <v>1</v>
      </c>
      <c r="H385" s="21">
        <v>0.8</v>
      </c>
      <c r="I385" s="2">
        <v>1</v>
      </c>
    </row>
    <row r="386" spans="1:9" ht="15.75" hidden="1" customHeight="1" x14ac:dyDescent="0.2">
      <c r="A386" s="11">
        <v>385</v>
      </c>
      <c r="B386" s="2">
        <v>385</v>
      </c>
      <c r="C386" s="2">
        <v>33</v>
      </c>
      <c r="D386" s="2">
        <f>VLOOKUP(C386,Course!$A$1:$C$229, 2, FALSE)</f>
        <v>0</v>
      </c>
      <c r="E386" s="2">
        <v>50</v>
      </c>
      <c r="F386" s="2" t="s">
        <v>1130</v>
      </c>
      <c r="G386" s="2">
        <v>1</v>
      </c>
      <c r="H386" s="21">
        <v>0.8</v>
      </c>
      <c r="I386" s="2">
        <v>1</v>
      </c>
    </row>
    <row r="387" spans="1:9" ht="15.75" hidden="1" customHeight="1" x14ac:dyDescent="0.2">
      <c r="A387" s="11">
        <v>386</v>
      </c>
      <c r="B387" s="2">
        <v>386</v>
      </c>
      <c r="C387" s="2">
        <v>33</v>
      </c>
      <c r="D387" s="2">
        <f>VLOOKUP(C387,Course!$A$1:$C$229, 2, FALSE)</f>
        <v>0</v>
      </c>
      <c r="E387" s="2">
        <v>51</v>
      </c>
      <c r="F387" s="2" t="s">
        <v>1131</v>
      </c>
      <c r="G387" s="2">
        <v>1</v>
      </c>
      <c r="H387" s="21">
        <v>0.8</v>
      </c>
      <c r="I387" s="2">
        <v>1</v>
      </c>
    </row>
    <row r="388" spans="1:9" ht="15.75" hidden="1" customHeight="1" x14ac:dyDescent="0.2">
      <c r="A388" s="11">
        <v>387</v>
      </c>
      <c r="B388" s="2">
        <v>387</v>
      </c>
      <c r="C388" s="2">
        <v>33</v>
      </c>
      <c r="D388" s="2">
        <f>VLOOKUP(C388,Course!$A$1:$C$229, 2, FALSE)</f>
        <v>0</v>
      </c>
      <c r="E388" s="2">
        <v>52</v>
      </c>
      <c r="F388" s="2" t="s">
        <v>1132</v>
      </c>
      <c r="G388" s="2">
        <v>1</v>
      </c>
      <c r="H388" s="21">
        <v>0.8</v>
      </c>
      <c r="I388" s="2">
        <v>1</v>
      </c>
    </row>
    <row r="389" spans="1:9" ht="15.75" hidden="1" customHeight="1" x14ac:dyDescent="0.2">
      <c r="A389" s="11">
        <v>388</v>
      </c>
      <c r="B389" s="2">
        <v>388</v>
      </c>
      <c r="C389" s="2">
        <v>33</v>
      </c>
      <c r="D389" s="2">
        <f>VLOOKUP(C389,Course!$A$1:$C$229, 2, FALSE)</f>
        <v>0</v>
      </c>
      <c r="E389" s="2">
        <v>53</v>
      </c>
      <c r="F389" s="2" t="s">
        <v>1133</v>
      </c>
      <c r="G389" s="2">
        <v>1</v>
      </c>
      <c r="H389" s="21">
        <v>0.8</v>
      </c>
      <c r="I389" s="2">
        <v>1</v>
      </c>
    </row>
    <row r="390" spans="1:9" ht="15.75" hidden="1" customHeight="1" x14ac:dyDescent="0.2">
      <c r="A390" s="11">
        <v>389</v>
      </c>
      <c r="B390" s="2">
        <v>389</v>
      </c>
      <c r="C390" s="2">
        <v>33</v>
      </c>
      <c r="D390" s="2">
        <f>VLOOKUP(C390,Course!$A$1:$C$229, 2, FALSE)</f>
        <v>0</v>
      </c>
      <c r="E390" s="2">
        <v>54</v>
      </c>
      <c r="F390" s="2" t="s">
        <v>1134</v>
      </c>
      <c r="G390" s="2">
        <v>1</v>
      </c>
      <c r="H390" s="21">
        <v>0.8</v>
      </c>
      <c r="I390" s="2">
        <v>1</v>
      </c>
    </row>
    <row r="391" spans="1:9" ht="15.75" hidden="1" customHeight="1" x14ac:dyDescent="0.2">
      <c r="A391" s="11">
        <v>390</v>
      </c>
      <c r="B391" s="2">
        <v>390</v>
      </c>
      <c r="C391" s="2">
        <v>33</v>
      </c>
      <c r="D391" s="2">
        <f>VLOOKUP(C391,Course!$A$1:$C$229, 2, FALSE)</f>
        <v>0</v>
      </c>
      <c r="E391" s="2">
        <v>55</v>
      </c>
      <c r="F391" s="2" t="s">
        <v>1135</v>
      </c>
      <c r="G391" s="2">
        <v>1</v>
      </c>
      <c r="H391" s="21">
        <v>0.8</v>
      </c>
      <c r="I391" s="2">
        <v>1</v>
      </c>
    </row>
    <row r="392" spans="1:9" ht="15.75" hidden="1" customHeight="1" x14ac:dyDescent="0.2">
      <c r="A392" s="11">
        <v>391</v>
      </c>
      <c r="B392" s="2">
        <v>391</v>
      </c>
      <c r="C392" s="2">
        <v>33</v>
      </c>
      <c r="D392" s="2">
        <f>VLOOKUP(C392,Course!$A$1:$C$229, 2, FALSE)</f>
        <v>0</v>
      </c>
      <c r="E392" s="2">
        <v>56</v>
      </c>
      <c r="F392" s="2" t="s">
        <v>1136</v>
      </c>
      <c r="G392" s="2">
        <v>1</v>
      </c>
      <c r="H392" s="21">
        <v>0.8</v>
      </c>
      <c r="I392" s="2">
        <v>1</v>
      </c>
    </row>
    <row r="393" spans="1:9" ht="15.75" hidden="1" customHeight="1" x14ac:dyDescent="0.2">
      <c r="A393" s="11">
        <v>392</v>
      </c>
      <c r="B393" s="2">
        <v>392</v>
      </c>
      <c r="C393" s="2">
        <v>33</v>
      </c>
      <c r="D393" s="2">
        <f>VLOOKUP(C393,Course!$A$1:$C$229, 2, FALSE)</f>
        <v>0</v>
      </c>
      <c r="E393" s="2">
        <v>57</v>
      </c>
      <c r="F393" s="2" t="s">
        <v>1137</v>
      </c>
      <c r="G393" s="2">
        <v>1</v>
      </c>
      <c r="H393" s="21">
        <v>0.8</v>
      </c>
      <c r="I393" s="2">
        <v>1</v>
      </c>
    </row>
    <row r="394" spans="1:9" ht="15.75" hidden="1" customHeight="1" x14ac:dyDescent="0.2">
      <c r="A394" s="11">
        <v>393</v>
      </c>
      <c r="B394" s="2">
        <v>393</v>
      </c>
      <c r="C394" s="2">
        <v>33</v>
      </c>
      <c r="D394" s="2">
        <f>VLOOKUP(C394,Course!$A$1:$C$229, 2, FALSE)</f>
        <v>0</v>
      </c>
      <c r="E394" s="2">
        <v>58</v>
      </c>
      <c r="F394" s="2" t="s">
        <v>1138</v>
      </c>
      <c r="G394" s="2">
        <v>1</v>
      </c>
      <c r="H394" s="21">
        <v>0.8</v>
      </c>
      <c r="I394" s="2">
        <v>1</v>
      </c>
    </row>
    <row r="395" spans="1:9" ht="15.75" hidden="1" customHeight="1" x14ac:dyDescent="0.2">
      <c r="A395" s="11">
        <v>394</v>
      </c>
      <c r="B395" s="2">
        <v>394</v>
      </c>
      <c r="C395" s="2">
        <v>33</v>
      </c>
      <c r="D395" s="2">
        <f>VLOOKUP(C395,Course!$A$1:$C$229, 2, FALSE)</f>
        <v>0</v>
      </c>
      <c r="E395" s="2">
        <v>59</v>
      </c>
      <c r="F395" s="2" t="s">
        <v>1139</v>
      </c>
      <c r="G395" s="2">
        <v>1</v>
      </c>
      <c r="H395" s="21">
        <v>0.8</v>
      </c>
      <c r="I395" s="2">
        <v>1</v>
      </c>
    </row>
    <row r="396" spans="1:9" ht="15.75" hidden="1" customHeight="1" x14ac:dyDescent="0.2">
      <c r="A396" s="11">
        <v>395</v>
      </c>
      <c r="B396" s="2">
        <v>395</v>
      </c>
      <c r="C396" s="2">
        <v>33</v>
      </c>
      <c r="D396" s="2">
        <f>VLOOKUP(C396,Course!$A$1:$C$229, 2, FALSE)</f>
        <v>0</v>
      </c>
      <c r="E396" s="2">
        <v>60</v>
      </c>
      <c r="F396" s="2" t="s">
        <v>1140</v>
      </c>
      <c r="G396" s="2">
        <v>1</v>
      </c>
      <c r="H396" s="21">
        <v>0.8</v>
      </c>
      <c r="I396" s="2">
        <v>1</v>
      </c>
    </row>
    <row r="397" spans="1:9" ht="15.75" hidden="1" customHeight="1" x14ac:dyDescent="0.2">
      <c r="A397" s="11">
        <v>396</v>
      </c>
      <c r="B397" s="2">
        <v>396</v>
      </c>
      <c r="C397" s="2">
        <v>34</v>
      </c>
      <c r="D397" s="2" t="str">
        <f>VLOOKUP(C397,Course!$A$1:$C$229, 2, FALSE)</f>
        <v>Science 5</v>
      </c>
      <c r="E397" s="2">
        <v>49</v>
      </c>
      <c r="F397" s="2" t="s">
        <v>1141</v>
      </c>
      <c r="G397" s="2">
        <v>1</v>
      </c>
      <c r="H397" s="21">
        <v>0.8</v>
      </c>
      <c r="I397" s="2">
        <v>1</v>
      </c>
    </row>
    <row r="398" spans="1:9" ht="15.75" hidden="1" customHeight="1" x14ac:dyDescent="0.2">
      <c r="A398" s="11">
        <v>397</v>
      </c>
      <c r="B398" s="2">
        <v>397</v>
      </c>
      <c r="C398" s="2">
        <v>34</v>
      </c>
      <c r="D398" s="2" t="str">
        <f>VLOOKUP(C398,Course!$A$1:$C$229, 2, FALSE)</f>
        <v>Science 5</v>
      </c>
      <c r="E398" s="2">
        <v>50</v>
      </c>
      <c r="F398" s="2" t="s">
        <v>1142</v>
      </c>
      <c r="G398" s="2">
        <v>1</v>
      </c>
      <c r="H398" s="21">
        <v>0.8</v>
      </c>
      <c r="I398" s="2">
        <v>1</v>
      </c>
    </row>
    <row r="399" spans="1:9" ht="15.75" hidden="1" customHeight="1" x14ac:dyDescent="0.2">
      <c r="A399" s="11">
        <v>398</v>
      </c>
      <c r="B399" s="2">
        <v>398</v>
      </c>
      <c r="C399" s="2">
        <v>34</v>
      </c>
      <c r="D399" s="2" t="str">
        <f>VLOOKUP(C399,Course!$A$1:$C$229, 2, FALSE)</f>
        <v>Science 5</v>
      </c>
      <c r="E399" s="2">
        <v>51</v>
      </c>
      <c r="F399" s="2" t="s">
        <v>1143</v>
      </c>
      <c r="G399" s="2">
        <v>1</v>
      </c>
      <c r="H399" s="21">
        <v>0.8</v>
      </c>
      <c r="I399" s="2">
        <v>1</v>
      </c>
    </row>
    <row r="400" spans="1:9" ht="15.75" hidden="1" customHeight="1" x14ac:dyDescent="0.2">
      <c r="A400" s="11">
        <v>399</v>
      </c>
      <c r="B400" s="2">
        <v>399</v>
      </c>
      <c r="C400" s="2">
        <v>34</v>
      </c>
      <c r="D400" s="2" t="str">
        <f>VLOOKUP(C400,Course!$A$1:$C$229, 2, FALSE)</f>
        <v>Science 5</v>
      </c>
      <c r="E400" s="2">
        <v>52</v>
      </c>
      <c r="F400" s="2" t="s">
        <v>1144</v>
      </c>
      <c r="G400" s="2">
        <v>1</v>
      </c>
      <c r="H400" s="21">
        <v>0.8</v>
      </c>
      <c r="I400" s="2">
        <v>1</v>
      </c>
    </row>
    <row r="401" spans="1:9" ht="15.75" hidden="1" customHeight="1" x14ac:dyDescent="0.2">
      <c r="A401" s="11">
        <v>400</v>
      </c>
      <c r="B401" s="2">
        <v>400</v>
      </c>
      <c r="C401" s="2">
        <v>34</v>
      </c>
      <c r="D401" s="2" t="str">
        <f>VLOOKUP(C401,Course!$A$1:$C$229, 2, FALSE)</f>
        <v>Science 5</v>
      </c>
      <c r="E401" s="2">
        <v>53</v>
      </c>
      <c r="F401" s="2" t="s">
        <v>1145</v>
      </c>
      <c r="G401" s="2">
        <v>1</v>
      </c>
      <c r="H401" s="21">
        <v>0.8</v>
      </c>
      <c r="I401" s="2">
        <v>1</v>
      </c>
    </row>
    <row r="402" spans="1:9" ht="15.75" hidden="1" customHeight="1" x14ac:dyDescent="0.2">
      <c r="A402" s="11">
        <v>401</v>
      </c>
      <c r="B402" s="2">
        <v>401</v>
      </c>
      <c r="C402" s="2">
        <v>34</v>
      </c>
      <c r="D402" s="2" t="str">
        <f>VLOOKUP(C402,Course!$A$1:$C$229, 2, FALSE)</f>
        <v>Science 5</v>
      </c>
      <c r="E402" s="2">
        <v>54</v>
      </c>
      <c r="F402" s="2" t="s">
        <v>1146</v>
      </c>
      <c r="G402" s="2">
        <v>1</v>
      </c>
      <c r="H402" s="21">
        <v>0.8</v>
      </c>
      <c r="I402" s="2">
        <v>1</v>
      </c>
    </row>
    <row r="403" spans="1:9" ht="15.75" hidden="1" customHeight="1" x14ac:dyDescent="0.2">
      <c r="A403" s="11">
        <v>402</v>
      </c>
      <c r="B403" s="2">
        <v>402</v>
      </c>
      <c r="C403" s="2">
        <v>34</v>
      </c>
      <c r="D403" s="2" t="str">
        <f>VLOOKUP(C403,Course!$A$1:$C$229, 2, FALSE)</f>
        <v>Science 5</v>
      </c>
      <c r="E403" s="2">
        <v>55</v>
      </c>
      <c r="F403" s="2" t="s">
        <v>1147</v>
      </c>
      <c r="G403" s="2">
        <v>1</v>
      </c>
      <c r="H403" s="21">
        <v>0.8</v>
      </c>
      <c r="I403" s="2">
        <v>1</v>
      </c>
    </row>
    <row r="404" spans="1:9" ht="15.75" hidden="1" customHeight="1" x14ac:dyDescent="0.2">
      <c r="A404" s="11">
        <v>403</v>
      </c>
      <c r="B404" s="2">
        <v>403</v>
      </c>
      <c r="C404" s="2">
        <v>34</v>
      </c>
      <c r="D404" s="2" t="str">
        <f>VLOOKUP(C404,Course!$A$1:$C$229, 2, FALSE)</f>
        <v>Science 5</v>
      </c>
      <c r="E404" s="2">
        <v>56</v>
      </c>
      <c r="F404" s="2" t="s">
        <v>1148</v>
      </c>
      <c r="G404" s="2">
        <v>1</v>
      </c>
      <c r="H404" s="21">
        <v>0.8</v>
      </c>
      <c r="I404" s="2">
        <v>1</v>
      </c>
    </row>
    <row r="405" spans="1:9" ht="15.75" hidden="1" customHeight="1" x14ac:dyDescent="0.2">
      <c r="A405" s="11">
        <v>404</v>
      </c>
      <c r="B405" s="2">
        <v>404</v>
      </c>
      <c r="C405" s="2">
        <v>34</v>
      </c>
      <c r="D405" s="2" t="str">
        <f>VLOOKUP(C405,Course!$A$1:$C$229, 2, FALSE)</f>
        <v>Science 5</v>
      </c>
      <c r="E405" s="2">
        <v>57</v>
      </c>
      <c r="F405" s="2" t="s">
        <v>1149</v>
      </c>
      <c r="G405" s="2">
        <v>1</v>
      </c>
      <c r="H405" s="21">
        <v>0.8</v>
      </c>
      <c r="I405" s="2">
        <v>1</v>
      </c>
    </row>
    <row r="406" spans="1:9" ht="15.75" hidden="1" customHeight="1" x14ac:dyDescent="0.2">
      <c r="A406" s="11">
        <v>405</v>
      </c>
      <c r="B406" s="2">
        <v>405</v>
      </c>
      <c r="C406" s="2">
        <v>34</v>
      </c>
      <c r="D406" s="2" t="str">
        <f>VLOOKUP(C406,Course!$A$1:$C$229, 2, FALSE)</f>
        <v>Science 5</v>
      </c>
      <c r="E406" s="2">
        <v>58</v>
      </c>
      <c r="F406" s="2" t="s">
        <v>1150</v>
      </c>
      <c r="G406" s="2">
        <v>1</v>
      </c>
      <c r="H406" s="21">
        <v>0.8</v>
      </c>
      <c r="I406" s="2">
        <v>1</v>
      </c>
    </row>
    <row r="407" spans="1:9" ht="15.75" hidden="1" customHeight="1" x14ac:dyDescent="0.2">
      <c r="A407" s="11">
        <v>406</v>
      </c>
      <c r="B407" s="2">
        <v>406</v>
      </c>
      <c r="C407" s="2">
        <v>34</v>
      </c>
      <c r="D407" s="2" t="str">
        <f>VLOOKUP(C407,Course!$A$1:$C$229, 2, FALSE)</f>
        <v>Science 5</v>
      </c>
      <c r="E407" s="2">
        <v>59</v>
      </c>
      <c r="F407" s="2" t="s">
        <v>1151</v>
      </c>
      <c r="G407" s="2">
        <v>1</v>
      </c>
      <c r="H407" s="21">
        <v>0.8</v>
      </c>
      <c r="I407" s="2">
        <v>1</v>
      </c>
    </row>
    <row r="408" spans="1:9" ht="15.75" hidden="1" customHeight="1" x14ac:dyDescent="0.2">
      <c r="A408" s="11">
        <v>407</v>
      </c>
      <c r="B408" s="2">
        <v>407</v>
      </c>
      <c r="C408" s="2">
        <v>34</v>
      </c>
      <c r="D408" s="2" t="str">
        <f>VLOOKUP(C408,Course!$A$1:$C$229, 2, FALSE)</f>
        <v>Science 5</v>
      </c>
      <c r="E408" s="2">
        <v>60</v>
      </c>
      <c r="F408" s="2" t="s">
        <v>1152</v>
      </c>
      <c r="G408" s="2">
        <v>1</v>
      </c>
      <c r="H408" s="21">
        <v>0.8</v>
      </c>
      <c r="I408" s="2">
        <v>1</v>
      </c>
    </row>
    <row r="409" spans="1:9" ht="15.75" hidden="1" customHeight="1" x14ac:dyDescent="0.2">
      <c r="A409" s="11">
        <v>408</v>
      </c>
      <c r="B409" s="2">
        <v>408</v>
      </c>
      <c r="C409" s="2">
        <v>35</v>
      </c>
      <c r="D409" s="2">
        <f>VLOOKUP(C409,Course!$A$1:$C$229, 2, FALSE)</f>
        <v>0</v>
      </c>
      <c r="E409" s="2">
        <v>49</v>
      </c>
      <c r="F409" s="2" t="s">
        <v>1153</v>
      </c>
      <c r="G409" s="2">
        <v>1</v>
      </c>
      <c r="H409" s="21">
        <v>0.8</v>
      </c>
      <c r="I409" s="2">
        <v>1</v>
      </c>
    </row>
    <row r="410" spans="1:9" ht="15.75" hidden="1" customHeight="1" x14ac:dyDescent="0.2">
      <c r="A410" s="11">
        <v>409</v>
      </c>
      <c r="B410" s="2">
        <v>409</v>
      </c>
      <c r="C410" s="2">
        <v>35</v>
      </c>
      <c r="D410" s="2">
        <f>VLOOKUP(C410,Course!$A$1:$C$229, 2, FALSE)</f>
        <v>0</v>
      </c>
      <c r="E410" s="2">
        <v>50</v>
      </c>
      <c r="F410" s="2" t="s">
        <v>1154</v>
      </c>
      <c r="G410" s="2">
        <v>1</v>
      </c>
      <c r="H410" s="21">
        <v>0.8</v>
      </c>
      <c r="I410" s="2">
        <v>1</v>
      </c>
    </row>
    <row r="411" spans="1:9" ht="15.75" hidden="1" customHeight="1" x14ac:dyDescent="0.2">
      <c r="A411" s="11">
        <v>410</v>
      </c>
      <c r="B411" s="2">
        <v>410</v>
      </c>
      <c r="C411" s="2">
        <v>35</v>
      </c>
      <c r="D411" s="2">
        <f>VLOOKUP(C411,Course!$A$1:$C$229, 2, FALSE)</f>
        <v>0</v>
      </c>
      <c r="E411" s="2">
        <v>51</v>
      </c>
      <c r="F411" s="2" t="s">
        <v>1155</v>
      </c>
      <c r="G411" s="2">
        <v>1</v>
      </c>
      <c r="H411" s="21">
        <v>0.8</v>
      </c>
      <c r="I411" s="2">
        <v>1</v>
      </c>
    </row>
    <row r="412" spans="1:9" ht="15.75" hidden="1" customHeight="1" x14ac:dyDescent="0.2">
      <c r="A412" s="11">
        <v>411</v>
      </c>
      <c r="B412" s="2">
        <v>411</v>
      </c>
      <c r="C412" s="2">
        <v>35</v>
      </c>
      <c r="D412" s="2">
        <f>VLOOKUP(C412,Course!$A$1:$C$229, 2, FALSE)</f>
        <v>0</v>
      </c>
      <c r="E412" s="2">
        <v>52</v>
      </c>
      <c r="F412" s="2" t="s">
        <v>1156</v>
      </c>
      <c r="G412" s="2">
        <v>1</v>
      </c>
      <c r="H412" s="21">
        <v>0.8</v>
      </c>
      <c r="I412" s="2">
        <v>1</v>
      </c>
    </row>
    <row r="413" spans="1:9" ht="15.75" hidden="1" customHeight="1" x14ac:dyDescent="0.2">
      <c r="A413" s="11">
        <v>412</v>
      </c>
      <c r="B413" s="2">
        <v>412</v>
      </c>
      <c r="C413" s="2">
        <v>35</v>
      </c>
      <c r="D413" s="2">
        <f>VLOOKUP(C413,Course!$A$1:$C$229, 2, FALSE)</f>
        <v>0</v>
      </c>
      <c r="E413" s="2">
        <v>53</v>
      </c>
      <c r="F413" s="2" t="s">
        <v>1157</v>
      </c>
      <c r="G413" s="2">
        <v>1</v>
      </c>
      <c r="H413" s="21">
        <v>0.8</v>
      </c>
      <c r="I413" s="2">
        <v>1</v>
      </c>
    </row>
    <row r="414" spans="1:9" ht="15.75" hidden="1" customHeight="1" x14ac:dyDescent="0.2">
      <c r="A414" s="11">
        <v>413</v>
      </c>
      <c r="B414" s="2">
        <v>413</v>
      </c>
      <c r="C414" s="2">
        <v>35</v>
      </c>
      <c r="D414" s="2">
        <f>VLOOKUP(C414,Course!$A$1:$C$229, 2, FALSE)</f>
        <v>0</v>
      </c>
      <c r="E414" s="2">
        <v>54</v>
      </c>
      <c r="F414" s="2" t="s">
        <v>1158</v>
      </c>
      <c r="G414" s="2">
        <v>1</v>
      </c>
      <c r="H414" s="21">
        <v>0.8</v>
      </c>
      <c r="I414" s="2">
        <v>1</v>
      </c>
    </row>
    <row r="415" spans="1:9" ht="15.75" hidden="1" customHeight="1" x14ac:dyDescent="0.2">
      <c r="A415" s="11">
        <v>414</v>
      </c>
      <c r="B415" s="2">
        <v>414</v>
      </c>
      <c r="C415" s="2">
        <v>35</v>
      </c>
      <c r="D415" s="2">
        <f>VLOOKUP(C415,Course!$A$1:$C$229, 2, FALSE)</f>
        <v>0</v>
      </c>
      <c r="E415" s="2">
        <v>55</v>
      </c>
      <c r="F415" s="2" t="s">
        <v>1159</v>
      </c>
      <c r="G415" s="2">
        <v>1</v>
      </c>
      <c r="H415" s="21">
        <v>0.8</v>
      </c>
      <c r="I415" s="2">
        <v>1</v>
      </c>
    </row>
    <row r="416" spans="1:9" ht="15.75" hidden="1" customHeight="1" x14ac:dyDescent="0.2">
      <c r="A416" s="11">
        <v>415</v>
      </c>
      <c r="B416" s="2">
        <v>415</v>
      </c>
      <c r="C416" s="2">
        <v>35</v>
      </c>
      <c r="D416" s="2">
        <f>VLOOKUP(C416,Course!$A$1:$C$229, 2, FALSE)</f>
        <v>0</v>
      </c>
      <c r="E416" s="2">
        <v>56</v>
      </c>
      <c r="F416" s="2" t="s">
        <v>1160</v>
      </c>
      <c r="G416" s="2">
        <v>1</v>
      </c>
      <c r="H416" s="21">
        <v>0.8</v>
      </c>
      <c r="I416" s="2">
        <v>1</v>
      </c>
    </row>
    <row r="417" spans="1:9" ht="15.75" hidden="1" customHeight="1" x14ac:dyDescent="0.2">
      <c r="A417" s="11">
        <v>416</v>
      </c>
      <c r="B417" s="2">
        <v>416</v>
      </c>
      <c r="C417" s="2">
        <v>35</v>
      </c>
      <c r="D417" s="2">
        <f>VLOOKUP(C417,Course!$A$1:$C$229, 2, FALSE)</f>
        <v>0</v>
      </c>
      <c r="E417" s="2">
        <v>57</v>
      </c>
      <c r="F417" s="2" t="s">
        <v>1161</v>
      </c>
      <c r="G417" s="2">
        <v>1</v>
      </c>
      <c r="H417" s="21">
        <v>0.8</v>
      </c>
      <c r="I417" s="2">
        <v>1</v>
      </c>
    </row>
    <row r="418" spans="1:9" ht="15.75" hidden="1" customHeight="1" x14ac:dyDescent="0.2">
      <c r="A418" s="11">
        <v>417</v>
      </c>
      <c r="B418" s="2">
        <v>417</v>
      </c>
      <c r="C418" s="2">
        <v>35</v>
      </c>
      <c r="D418" s="2">
        <f>VLOOKUP(C418,Course!$A$1:$C$229, 2, FALSE)</f>
        <v>0</v>
      </c>
      <c r="E418" s="2">
        <v>58</v>
      </c>
      <c r="F418" s="2" t="s">
        <v>1162</v>
      </c>
      <c r="G418" s="2">
        <v>1</v>
      </c>
      <c r="H418" s="21">
        <v>0.8</v>
      </c>
      <c r="I418" s="2">
        <v>1</v>
      </c>
    </row>
    <row r="419" spans="1:9" ht="15.75" hidden="1" customHeight="1" x14ac:dyDescent="0.2">
      <c r="A419" s="11">
        <v>418</v>
      </c>
      <c r="B419" s="2">
        <v>418</v>
      </c>
      <c r="C419" s="2">
        <v>35</v>
      </c>
      <c r="D419" s="2">
        <f>VLOOKUP(C419,Course!$A$1:$C$229, 2, FALSE)</f>
        <v>0</v>
      </c>
      <c r="E419" s="2">
        <v>59</v>
      </c>
      <c r="F419" s="2" t="s">
        <v>1163</v>
      </c>
      <c r="G419" s="2">
        <v>1</v>
      </c>
      <c r="H419" s="21">
        <v>0.8</v>
      </c>
      <c r="I419" s="2">
        <v>1</v>
      </c>
    </row>
    <row r="420" spans="1:9" ht="15.75" hidden="1" customHeight="1" x14ac:dyDescent="0.2">
      <c r="A420" s="11">
        <v>419</v>
      </c>
      <c r="B420" s="2">
        <v>419</v>
      </c>
      <c r="C420" s="2">
        <v>35</v>
      </c>
      <c r="D420" s="2">
        <f>VLOOKUP(C420,Course!$A$1:$C$229, 2, FALSE)</f>
        <v>0</v>
      </c>
      <c r="E420" s="2">
        <v>60</v>
      </c>
      <c r="F420" s="2" t="s">
        <v>1164</v>
      </c>
      <c r="G420" s="2">
        <v>1</v>
      </c>
      <c r="H420" s="21">
        <v>0.8</v>
      </c>
      <c r="I420" s="2">
        <v>1</v>
      </c>
    </row>
    <row r="421" spans="1:9" ht="15.75" hidden="1" customHeight="1" x14ac:dyDescent="0.2">
      <c r="A421" s="11">
        <v>420</v>
      </c>
      <c r="B421" s="2">
        <v>420</v>
      </c>
      <c r="C421" s="2">
        <v>36</v>
      </c>
      <c r="D421" s="2">
        <f>VLOOKUP(C421,Course!$A$1:$C$229, 2, FALSE)</f>
        <v>0</v>
      </c>
      <c r="E421" s="2">
        <v>49</v>
      </c>
      <c r="F421" s="2" t="s">
        <v>1165</v>
      </c>
      <c r="G421" s="2">
        <v>1</v>
      </c>
      <c r="H421" s="21">
        <v>0.8</v>
      </c>
      <c r="I421" s="2">
        <v>1</v>
      </c>
    </row>
    <row r="422" spans="1:9" ht="15.75" hidden="1" customHeight="1" x14ac:dyDescent="0.2">
      <c r="A422" s="11">
        <v>421</v>
      </c>
      <c r="B422" s="2">
        <v>421</v>
      </c>
      <c r="C422" s="2">
        <v>36</v>
      </c>
      <c r="D422" s="2">
        <f>VLOOKUP(C422,Course!$A$1:$C$229, 2, FALSE)</f>
        <v>0</v>
      </c>
      <c r="E422" s="2">
        <v>50</v>
      </c>
      <c r="F422" s="2" t="s">
        <v>1166</v>
      </c>
      <c r="G422" s="2">
        <v>1</v>
      </c>
      <c r="H422" s="21">
        <v>0.8</v>
      </c>
      <c r="I422" s="2">
        <v>1</v>
      </c>
    </row>
    <row r="423" spans="1:9" ht="15.75" hidden="1" customHeight="1" x14ac:dyDescent="0.2">
      <c r="A423" s="11">
        <v>422</v>
      </c>
      <c r="B423" s="2">
        <v>422</v>
      </c>
      <c r="C423" s="2">
        <v>36</v>
      </c>
      <c r="D423" s="2">
        <f>VLOOKUP(C423,Course!$A$1:$C$229, 2, FALSE)</f>
        <v>0</v>
      </c>
      <c r="E423" s="2">
        <v>51</v>
      </c>
      <c r="F423" s="2" t="s">
        <v>1167</v>
      </c>
      <c r="G423" s="2">
        <v>1</v>
      </c>
      <c r="H423" s="21">
        <v>0.8</v>
      </c>
      <c r="I423" s="2">
        <v>1</v>
      </c>
    </row>
    <row r="424" spans="1:9" ht="15.75" hidden="1" customHeight="1" x14ac:dyDescent="0.2">
      <c r="A424" s="11">
        <v>423</v>
      </c>
      <c r="B424" s="2">
        <v>423</v>
      </c>
      <c r="C424" s="2">
        <v>36</v>
      </c>
      <c r="D424" s="2">
        <f>VLOOKUP(C424,Course!$A$1:$C$229, 2, FALSE)</f>
        <v>0</v>
      </c>
      <c r="E424" s="2">
        <v>52</v>
      </c>
      <c r="F424" s="2" t="s">
        <v>1168</v>
      </c>
      <c r="G424" s="2">
        <v>1</v>
      </c>
      <c r="H424" s="21">
        <v>0.8</v>
      </c>
      <c r="I424" s="2">
        <v>1</v>
      </c>
    </row>
    <row r="425" spans="1:9" ht="15.75" hidden="1" customHeight="1" x14ac:dyDescent="0.2">
      <c r="A425" s="11">
        <v>424</v>
      </c>
      <c r="B425" s="2">
        <v>424</v>
      </c>
      <c r="C425" s="2">
        <v>36</v>
      </c>
      <c r="D425" s="2">
        <f>VLOOKUP(C425,Course!$A$1:$C$229, 2, FALSE)</f>
        <v>0</v>
      </c>
      <c r="E425" s="2">
        <v>53</v>
      </c>
      <c r="F425" s="2" t="s">
        <v>1169</v>
      </c>
      <c r="G425" s="2">
        <v>1</v>
      </c>
      <c r="H425" s="21">
        <v>0.8</v>
      </c>
      <c r="I425" s="2">
        <v>1</v>
      </c>
    </row>
    <row r="426" spans="1:9" ht="15.75" hidden="1" customHeight="1" x14ac:dyDescent="0.2">
      <c r="A426" s="11">
        <v>425</v>
      </c>
      <c r="B426" s="2">
        <v>425</v>
      </c>
      <c r="C426" s="2">
        <v>36</v>
      </c>
      <c r="D426" s="2">
        <f>VLOOKUP(C426,Course!$A$1:$C$229, 2, FALSE)</f>
        <v>0</v>
      </c>
      <c r="E426" s="2">
        <v>54</v>
      </c>
      <c r="F426" s="2" t="s">
        <v>1170</v>
      </c>
      <c r="G426" s="2">
        <v>1</v>
      </c>
      <c r="H426" s="21">
        <v>0.8</v>
      </c>
      <c r="I426" s="2">
        <v>1</v>
      </c>
    </row>
    <row r="427" spans="1:9" ht="15.75" hidden="1" customHeight="1" x14ac:dyDescent="0.2">
      <c r="A427" s="11">
        <v>426</v>
      </c>
      <c r="B427" s="2">
        <v>426</v>
      </c>
      <c r="C427" s="2">
        <v>36</v>
      </c>
      <c r="D427" s="2">
        <f>VLOOKUP(C427,Course!$A$1:$C$229, 2, FALSE)</f>
        <v>0</v>
      </c>
      <c r="E427" s="2">
        <v>55</v>
      </c>
      <c r="F427" s="2" t="s">
        <v>1171</v>
      </c>
      <c r="G427" s="2">
        <v>1</v>
      </c>
      <c r="H427" s="21">
        <v>0.8</v>
      </c>
      <c r="I427" s="2">
        <v>1</v>
      </c>
    </row>
    <row r="428" spans="1:9" ht="15.75" hidden="1" customHeight="1" x14ac:dyDescent="0.2">
      <c r="A428" s="11">
        <v>427</v>
      </c>
      <c r="B428" s="2">
        <v>427</v>
      </c>
      <c r="C428" s="2">
        <v>36</v>
      </c>
      <c r="D428" s="2">
        <f>VLOOKUP(C428,Course!$A$1:$C$229, 2, FALSE)</f>
        <v>0</v>
      </c>
      <c r="E428" s="2">
        <v>56</v>
      </c>
      <c r="F428" s="2" t="s">
        <v>1172</v>
      </c>
      <c r="G428" s="2">
        <v>1</v>
      </c>
      <c r="H428" s="21">
        <v>0.8</v>
      </c>
      <c r="I428" s="2">
        <v>1</v>
      </c>
    </row>
    <row r="429" spans="1:9" ht="15.75" hidden="1" customHeight="1" x14ac:dyDescent="0.2">
      <c r="A429" s="11">
        <v>428</v>
      </c>
      <c r="B429" s="2">
        <v>428</v>
      </c>
      <c r="C429" s="2">
        <v>36</v>
      </c>
      <c r="D429" s="2">
        <f>VLOOKUP(C429,Course!$A$1:$C$229, 2, FALSE)</f>
        <v>0</v>
      </c>
      <c r="E429" s="2">
        <v>57</v>
      </c>
      <c r="F429" s="2" t="s">
        <v>1173</v>
      </c>
      <c r="G429" s="2">
        <v>1</v>
      </c>
      <c r="H429" s="21">
        <v>0.8</v>
      </c>
      <c r="I429" s="2">
        <v>1</v>
      </c>
    </row>
    <row r="430" spans="1:9" ht="15.75" hidden="1" customHeight="1" x14ac:dyDescent="0.2">
      <c r="A430" s="11">
        <v>429</v>
      </c>
      <c r="B430" s="2">
        <v>429</v>
      </c>
      <c r="C430" s="2">
        <v>36</v>
      </c>
      <c r="D430" s="2">
        <f>VLOOKUP(C430,Course!$A$1:$C$229, 2, FALSE)</f>
        <v>0</v>
      </c>
      <c r="E430" s="2">
        <v>58</v>
      </c>
      <c r="F430" s="2" t="s">
        <v>1174</v>
      </c>
      <c r="G430" s="2">
        <v>1</v>
      </c>
      <c r="H430" s="21">
        <v>0.8</v>
      </c>
      <c r="I430" s="2">
        <v>1</v>
      </c>
    </row>
    <row r="431" spans="1:9" ht="15.75" hidden="1" customHeight="1" x14ac:dyDescent="0.2">
      <c r="A431" s="11">
        <v>430</v>
      </c>
      <c r="B431" s="2">
        <v>430</v>
      </c>
      <c r="C431" s="2">
        <v>36</v>
      </c>
      <c r="D431" s="2">
        <f>VLOOKUP(C431,Course!$A$1:$C$229, 2, FALSE)</f>
        <v>0</v>
      </c>
      <c r="E431" s="2">
        <v>59</v>
      </c>
      <c r="F431" s="2" t="s">
        <v>1175</v>
      </c>
      <c r="G431" s="2">
        <v>1</v>
      </c>
      <c r="H431" s="21">
        <v>0.8</v>
      </c>
      <c r="I431" s="2">
        <v>1</v>
      </c>
    </row>
    <row r="432" spans="1:9" ht="15.75" hidden="1" customHeight="1" x14ac:dyDescent="0.2">
      <c r="A432" s="11">
        <v>431</v>
      </c>
      <c r="B432" s="2">
        <v>431</v>
      </c>
      <c r="C432" s="2">
        <v>36</v>
      </c>
      <c r="D432" s="2">
        <f>VLOOKUP(C432,Course!$A$1:$C$229, 2, FALSE)</f>
        <v>0</v>
      </c>
      <c r="E432" s="2">
        <v>60</v>
      </c>
      <c r="F432" s="2" t="s">
        <v>1176</v>
      </c>
      <c r="G432" s="2">
        <v>1</v>
      </c>
      <c r="H432" s="21">
        <v>0.8</v>
      </c>
      <c r="I432" s="2">
        <v>1</v>
      </c>
    </row>
    <row r="433" spans="1:9" ht="15.75" hidden="1" customHeight="1" x14ac:dyDescent="0.2">
      <c r="A433" s="11">
        <v>432</v>
      </c>
      <c r="B433" s="2">
        <v>432</v>
      </c>
      <c r="C433" s="2">
        <v>37</v>
      </c>
      <c r="D433" s="2">
        <f>VLOOKUP(C433,Course!$A$1:$C$229, 2, FALSE)</f>
        <v>0</v>
      </c>
      <c r="E433" s="2">
        <v>61</v>
      </c>
      <c r="F433" s="2" t="s">
        <v>1177</v>
      </c>
      <c r="G433" s="2">
        <v>1</v>
      </c>
      <c r="H433" s="21">
        <v>0.8</v>
      </c>
      <c r="I433" s="2">
        <v>1</v>
      </c>
    </row>
    <row r="434" spans="1:9" ht="15.75" hidden="1" customHeight="1" x14ac:dyDescent="0.2">
      <c r="A434" s="11">
        <v>433</v>
      </c>
      <c r="B434" s="2">
        <v>433</v>
      </c>
      <c r="C434" s="2">
        <v>37</v>
      </c>
      <c r="D434" s="2">
        <f>VLOOKUP(C434,Course!$A$1:$C$229, 2, FALSE)</f>
        <v>0</v>
      </c>
      <c r="E434" s="2">
        <v>62</v>
      </c>
      <c r="F434" s="2" t="s">
        <v>1178</v>
      </c>
      <c r="G434" s="2">
        <v>1</v>
      </c>
      <c r="H434" s="21">
        <v>0.8</v>
      </c>
      <c r="I434" s="2">
        <v>1</v>
      </c>
    </row>
    <row r="435" spans="1:9" ht="15.75" hidden="1" customHeight="1" x14ac:dyDescent="0.2">
      <c r="A435" s="11">
        <v>434</v>
      </c>
      <c r="B435" s="2">
        <v>434</v>
      </c>
      <c r="C435" s="2">
        <v>37</v>
      </c>
      <c r="D435" s="2">
        <f>VLOOKUP(C435,Course!$A$1:$C$229, 2, FALSE)</f>
        <v>0</v>
      </c>
      <c r="E435" s="2">
        <v>63</v>
      </c>
      <c r="F435" s="2" t="s">
        <v>1179</v>
      </c>
      <c r="G435" s="2">
        <v>1</v>
      </c>
      <c r="H435" s="21">
        <v>0.8</v>
      </c>
      <c r="I435" s="2">
        <v>1</v>
      </c>
    </row>
    <row r="436" spans="1:9" ht="15.75" hidden="1" customHeight="1" x14ac:dyDescent="0.2">
      <c r="A436" s="11">
        <v>435</v>
      </c>
      <c r="B436" s="2">
        <v>435</v>
      </c>
      <c r="C436" s="2">
        <v>37</v>
      </c>
      <c r="D436" s="2">
        <f>VLOOKUP(C436,Course!$A$1:$C$229, 2, FALSE)</f>
        <v>0</v>
      </c>
      <c r="E436" s="2">
        <v>64</v>
      </c>
      <c r="F436" s="2" t="s">
        <v>1180</v>
      </c>
      <c r="G436" s="2">
        <v>1</v>
      </c>
      <c r="H436" s="21">
        <v>0.8</v>
      </c>
      <c r="I436" s="2">
        <v>1</v>
      </c>
    </row>
    <row r="437" spans="1:9" ht="15.75" hidden="1" customHeight="1" x14ac:dyDescent="0.2">
      <c r="A437" s="11">
        <v>436</v>
      </c>
      <c r="B437" s="2">
        <v>436</v>
      </c>
      <c r="C437" s="2">
        <v>37</v>
      </c>
      <c r="D437" s="2">
        <f>VLOOKUP(C437,Course!$A$1:$C$229, 2, FALSE)</f>
        <v>0</v>
      </c>
      <c r="E437" s="2">
        <v>65</v>
      </c>
      <c r="F437" s="2" t="s">
        <v>1181</v>
      </c>
      <c r="G437" s="2">
        <v>1</v>
      </c>
      <c r="H437" s="21">
        <v>0.8</v>
      </c>
      <c r="I437" s="2">
        <v>1</v>
      </c>
    </row>
    <row r="438" spans="1:9" ht="15.75" hidden="1" customHeight="1" x14ac:dyDescent="0.2">
      <c r="A438" s="11">
        <v>437</v>
      </c>
      <c r="B438" s="2">
        <v>437</v>
      </c>
      <c r="C438" s="2">
        <v>37</v>
      </c>
      <c r="D438" s="2">
        <f>VLOOKUP(C438,Course!$A$1:$C$229, 2, FALSE)</f>
        <v>0</v>
      </c>
      <c r="E438" s="2">
        <v>66</v>
      </c>
      <c r="F438" s="2" t="s">
        <v>1182</v>
      </c>
      <c r="G438" s="2">
        <v>1</v>
      </c>
      <c r="H438" s="21">
        <v>0.8</v>
      </c>
      <c r="I438" s="2">
        <v>1</v>
      </c>
    </row>
    <row r="439" spans="1:9" ht="15.75" hidden="1" customHeight="1" x14ac:dyDescent="0.2">
      <c r="A439" s="11">
        <v>438</v>
      </c>
      <c r="B439" s="2">
        <v>438</v>
      </c>
      <c r="C439" s="2">
        <v>37</v>
      </c>
      <c r="D439" s="2">
        <f>VLOOKUP(C439,Course!$A$1:$C$229, 2, FALSE)</f>
        <v>0</v>
      </c>
      <c r="E439" s="2">
        <v>67</v>
      </c>
      <c r="F439" s="2" t="s">
        <v>1183</v>
      </c>
      <c r="G439" s="2">
        <v>1</v>
      </c>
      <c r="H439" s="21">
        <v>0.8</v>
      </c>
      <c r="I439" s="2">
        <v>1</v>
      </c>
    </row>
    <row r="440" spans="1:9" ht="15.75" hidden="1" customHeight="1" x14ac:dyDescent="0.2">
      <c r="A440" s="11">
        <v>439</v>
      </c>
      <c r="B440" s="2">
        <v>439</v>
      </c>
      <c r="C440" s="2">
        <v>37</v>
      </c>
      <c r="D440" s="2">
        <f>VLOOKUP(C440,Course!$A$1:$C$229, 2, FALSE)</f>
        <v>0</v>
      </c>
      <c r="E440" s="2">
        <v>68</v>
      </c>
      <c r="F440" s="2" t="s">
        <v>1184</v>
      </c>
      <c r="G440" s="2">
        <v>1</v>
      </c>
      <c r="H440" s="21">
        <v>0.8</v>
      </c>
      <c r="I440" s="2">
        <v>1</v>
      </c>
    </row>
    <row r="441" spans="1:9" ht="15.75" hidden="1" customHeight="1" x14ac:dyDescent="0.2">
      <c r="A441" s="11">
        <v>440</v>
      </c>
      <c r="B441" s="2">
        <v>440</v>
      </c>
      <c r="C441" s="2">
        <v>37</v>
      </c>
      <c r="D441" s="2">
        <f>VLOOKUP(C441,Course!$A$1:$C$229, 2, FALSE)</f>
        <v>0</v>
      </c>
      <c r="E441" s="2">
        <v>69</v>
      </c>
      <c r="F441" s="2" t="s">
        <v>1185</v>
      </c>
      <c r="G441" s="2">
        <v>1</v>
      </c>
      <c r="H441" s="21">
        <v>0.8</v>
      </c>
      <c r="I441" s="2">
        <v>1</v>
      </c>
    </row>
    <row r="442" spans="1:9" ht="15.75" hidden="1" customHeight="1" x14ac:dyDescent="0.2">
      <c r="A442" s="11">
        <v>441</v>
      </c>
      <c r="B442" s="2">
        <v>441</v>
      </c>
      <c r="C442" s="2">
        <v>37</v>
      </c>
      <c r="D442" s="2">
        <f>VLOOKUP(C442,Course!$A$1:$C$229, 2, FALSE)</f>
        <v>0</v>
      </c>
      <c r="E442" s="2">
        <v>70</v>
      </c>
      <c r="F442" s="2" t="s">
        <v>1186</v>
      </c>
      <c r="G442" s="2">
        <v>1</v>
      </c>
      <c r="H442" s="21">
        <v>0.8</v>
      </c>
      <c r="I442" s="2">
        <v>1</v>
      </c>
    </row>
    <row r="443" spans="1:9" ht="15.75" hidden="1" customHeight="1" x14ac:dyDescent="0.2">
      <c r="A443" s="11">
        <v>442</v>
      </c>
      <c r="B443" s="2">
        <v>442</v>
      </c>
      <c r="C443" s="2">
        <v>37</v>
      </c>
      <c r="D443" s="2">
        <f>VLOOKUP(C443,Course!$A$1:$C$229, 2, FALSE)</f>
        <v>0</v>
      </c>
      <c r="E443" s="2">
        <v>71</v>
      </c>
      <c r="F443" s="2" t="s">
        <v>1187</v>
      </c>
      <c r="G443" s="2">
        <v>1</v>
      </c>
      <c r="H443" s="21">
        <v>0.8</v>
      </c>
      <c r="I443" s="2">
        <v>1</v>
      </c>
    </row>
    <row r="444" spans="1:9" ht="15.75" hidden="1" customHeight="1" x14ac:dyDescent="0.2">
      <c r="A444" s="11">
        <v>443</v>
      </c>
      <c r="B444" s="2">
        <v>443</v>
      </c>
      <c r="C444" s="2">
        <v>37</v>
      </c>
      <c r="D444" s="2">
        <f>VLOOKUP(C444,Course!$A$1:$C$229, 2, FALSE)</f>
        <v>0</v>
      </c>
      <c r="E444" s="2">
        <v>72</v>
      </c>
      <c r="F444" s="2" t="s">
        <v>1188</v>
      </c>
      <c r="G444" s="2">
        <v>1</v>
      </c>
      <c r="H444" s="21">
        <v>0.8</v>
      </c>
      <c r="I444" s="2">
        <v>1</v>
      </c>
    </row>
    <row r="445" spans="1:9" ht="15.75" hidden="1" customHeight="1" x14ac:dyDescent="0.2">
      <c r="A445" s="11">
        <v>444</v>
      </c>
      <c r="B445" s="2">
        <v>444</v>
      </c>
      <c r="C445" s="2">
        <v>38</v>
      </c>
      <c r="D445" s="2">
        <f>VLOOKUP(C445,Course!$A$1:$C$229, 2, FALSE)</f>
        <v>0</v>
      </c>
      <c r="E445" s="2">
        <v>61</v>
      </c>
      <c r="F445" s="2" t="s">
        <v>1189</v>
      </c>
      <c r="G445" s="2">
        <v>1</v>
      </c>
      <c r="H445" s="21">
        <v>0.8</v>
      </c>
      <c r="I445" s="2">
        <v>1</v>
      </c>
    </row>
    <row r="446" spans="1:9" ht="15.75" hidden="1" customHeight="1" x14ac:dyDescent="0.2">
      <c r="A446" s="11">
        <v>445</v>
      </c>
      <c r="B446" s="2">
        <v>445</v>
      </c>
      <c r="C446" s="2">
        <v>38</v>
      </c>
      <c r="D446" s="2">
        <f>VLOOKUP(C446,Course!$A$1:$C$229, 2, FALSE)</f>
        <v>0</v>
      </c>
      <c r="E446" s="2">
        <v>62</v>
      </c>
      <c r="F446" s="2" t="s">
        <v>1190</v>
      </c>
      <c r="G446" s="2">
        <v>1</v>
      </c>
      <c r="H446" s="21">
        <v>0.8</v>
      </c>
      <c r="I446" s="2">
        <v>1</v>
      </c>
    </row>
    <row r="447" spans="1:9" ht="15.75" hidden="1" customHeight="1" x14ac:dyDescent="0.2">
      <c r="A447" s="11">
        <v>446</v>
      </c>
      <c r="B447" s="2">
        <v>446</v>
      </c>
      <c r="C447" s="2">
        <v>38</v>
      </c>
      <c r="D447" s="2">
        <f>VLOOKUP(C447,Course!$A$1:$C$229, 2, FALSE)</f>
        <v>0</v>
      </c>
      <c r="E447" s="2">
        <v>63</v>
      </c>
      <c r="F447" s="2" t="s">
        <v>1191</v>
      </c>
      <c r="G447" s="2">
        <v>1</v>
      </c>
      <c r="H447" s="21">
        <v>0.8</v>
      </c>
      <c r="I447" s="2">
        <v>1</v>
      </c>
    </row>
    <row r="448" spans="1:9" ht="15.75" hidden="1" customHeight="1" x14ac:dyDescent="0.2">
      <c r="A448" s="11">
        <v>447</v>
      </c>
      <c r="B448" s="2">
        <v>447</v>
      </c>
      <c r="C448" s="2">
        <v>38</v>
      </c>
      <c r="D448" s="2">
        <f>VLOOKUP(C448,Course!$A$1:$C$229, 2, FALSE)</f>
        <v>0</v>
      </c>
      <c r="E448" s="2">
        <v>64</v>
      </c>
      <c r="F448" s="2" t="s">
        <v>1192</v>
      </c>
      <c r="G448" s="2">
        <v>1</v>
      </c>
      <c r="H448" s="21">
        <v>0.8</v>
      </c>
      <c r="I448" s="2">
        <v>1</v>
      </c>
    </row>
    <row r="449" spans="1:9" ht="15.75" hidden="1" customHeight="1" x14ac:dyDescent="0.2">
      <c r="A449" s="11">
        <v>448</v>
      </c>
      <c r="B449" s="2">
        <v>448</v>
      </c>
      <c r="C449" s="2">
        <v>38</v>
      </c>
      <c r="D449" s="2">
        <f>VLOOKUP(C449,Course!$A$1:$C$229, 2, FALSE)</f>
        <v>0</v>
      </c>
      <c r="E449" s="2">
        <v>65</v>
      </c>
      <c r="F449" s="2" t="s">
        <v>1193</v>
      </c>
      <c r="G449" s="2">
        <v>1</v>
      </c>
      <c r="H449" s="21">
        <v>0.8</v>
      </c>
      <c r="I449" s="2">
        <v>1</v>
      </c>
    </row>
    <row r="450" spans="1:9" ht="15.75" hidden="1" customHeight="1" x14ac:dyDescent="0.2">
      <c r="A450" s="11">
        <v>449</v>
      </c>
      <c r="B450" s="2">
        <v>449</v>
      </c>
      <c r="C450" s="2">
        <v>38</v>
      </c>
      <c r="D450" s="2">
        <f>VLOOKUP(C450,Course!$A$1:$C$229, 2, FALSE)</f>
        <v>0</v>
      </c>
      <c r="E450" s="2">
        <v>66</v>
      </c>
      <c r="F450" s="2" t="s">
        <v>1194</v>
      </c>
      <c r="G450" s="2">
        <v>1</v>
      </c>
      <c r="H450" s="21">
        <v>0.8</v>
      </c>
      <c r="I450" s="2">
        <v>1</v>
      </c>
    </row>
    <row r="451" spans="1:9" ht="15.75" hidden="1" customHeight="1" x14ac:dyDescent="0.2">
      <c r="A451" s="11">
        <v>450</v>
      </c>
      <c r="B451" s="2">
        <v>450</v>
      </c>
      <c r="C451" s="2">
        <v>38</v>
      </c>
      <c r="D451" s="2">
        <f>VLOOKUP(C451,Course!$A$1:$C$229, 2, FALSE)</f>
        <v>0</v>
      </c>
      <c r="E451" s="2">
        <v>67</v>
      </c>
      <c r="F451" s="2" t="s">
        <v>1195</v>
      </c>
      <c r="G451" s="2">
        <v>1</v>
      </c>
      <c r="H451" s="21">
        <v>0.8</v>
      </c>
      <c r="I451" s="2">
        <v>1</v>
      </c>
    </row>
    <row r="452" spans="1:9" ht="15.75" hidden="1" customHeight="1" x14ac:dyDescent="0.2">
      <c r="A452" s="11">
        <v>451</v>
      </c>
      <c r="B452" s="2">
        <v>451</v>
      </c>
      <c r="C452" s="2">
        <v>38</v>
      </c>
      <c r="D452" s="2">
        <f>VLOOKUP(C452,Course!$A$1:$C$229, 2, FALSE)</f>
        <v>0</v>
      </c>
      <c r="E452" s="2">
        <v>68</v>
      </c>
      <c r="F452" s="2" t="s">
        <v>1196</v>
      </c>
      <c r="G452" s="2">
        <v>1</v>
      </c>
      <c r="H452" s="21">
        <v>0.8</v>
      </c>
      <c r="I452" s="2">
        <v>1</v>
      </c>
    </row>
    <row r="453" spans="1:9" ht="15.75" hidden="1" customHeight="1" x14ac:dyDescent="0.2">
      <c r="A453" s="11">
        <v>452</v>
      </c>
      <c r="B453" s="2">
        <v>452</v>
      </c>
      <c r="C453" s="2">
        <v>38</v>
      </c>
      <c r="D453" s="2">
        <f>VLOOKUP(C453,Course!$A$1:$C$229, 2, FALSE)</f>
        <v>0</v>
      </c>
      <c r="E453" s="2">
        <v>69</v>
      </c>
      <c r="F453" s="2" t="s">
        <v>1197</v>
      </c>
      <c r="G453" s="2">
        <v>1</v>
      </c>
      <c r="H453" s="21">
        <v>0.8</v>
      </c>
      <c r="I453" s="2">
        <v>1</v>
      </c>
    </row>
    <row r="454" spans="1:9" ht="15.75" hidden="1" customHeight="1" x14ac:dyDescent="0.2">
      <c r="A454" s="11">
        <v>453</v>
      </c>
      <c r="B454" s="2">
        <v>453</v>
      </c>
      <c r="C454" s="2">
        <v>38</v>
      </c>
      <c r="D454" s="2">
        <f>VLOOKUP(C454,Course!$A$1:$C$229, 2, FALSE)</f>
        <v>0</v>
      </c>
      <c r="E454" s="2">
        <v>70</v>
      </c>
      <c r="F454" s="2" t="s">
        <v>1198</v>
      </c>
      <c r="G454" s="2">
        <v>1</v>
      </c>
      <c r="H454" s="21">
        <v>0.8</v>
      </c>
      <c r="I454" s="2">
        <v>1</v>
      </c>
    </row>
    <row r="455" spans="1:9" ht="15.75" hidden="1" customHeight="1" x14ac:dyDescent="0.2">
      <c r="A455" s="11">
        <v>454</v>
      </c>
      <c r="B455" s="2">
        <v>454</v>
      </c>
      <c r="C455" s="2">
        <v>38</v>
      </c>
      <c r="D455" s="2">
        <f>VLOOKUP(C455,Course!$A$1:$C$229, 2, FALSE)</f>
        <v>0</v>
      </c>
      <c r="E455" s="2">
        <v>71</v>
      </c>
      <c r="F455" s="2" t="s">
        <v>1199</v>
      </c>
      <c r="G455" s="2">
        <v>1</v>
      </c>
      <c r="H455" s="21">
        <v>0.8</v>
      </c>
      <c r="I455" s="2">
        <v>1</v>
      </c>
    </row>
    <row r="456" spans="1:9" ht="15.75" hidden="1" customHeight="1" x14ac:dyDescent="0.2">
      <c r="A456" s="11">
        <v>455</v>
      </c>
      <c r="B456" s="2">
        <v>455</v>
      </c>
      <c r="C456" s="2">
        <v>38</v>
      </c>
      <c r="D456" s="2">
        <f>VLOOKUP(C456,Course!$A$1:$C$229, 2, FALSE)</f>
        <v>0</v>
      </c>
      <c r="E456" s="2">
        <v>72</v>
      </c>
      <c r="F456" s="2" t="s">
        <v>1200</v>
      </c>
      <c r="G456" s="2">
        <v>1</v>
      </c>
      <c r="H456" s="21">
        <v>0.8</v>
      </c>
      <c r="I456" s="2">
        <v>1</v>
      </c>
    </row>
    <row r="457" spans="1:9" ht="15.75" hidden="1" customHeight="1" x14ac:dyDescent="0.2">
      <c r="A457" s="11">
        <v>456</v>
      </c>
      <c r="B457" s="2">
        <v>456</v>
      </c>
      <c r="C457" s="2">
        <v>39</v>
      </c>
      <c r="D457" s="2">
        <f>VLOOKUP(C457,Course!$A$1:$C$229, 2, FALSE)</f>
        <v>0</v>
      </c>
      <c r="E457" s="2">
        <v>61</v>
      </c>
      <c r="F457" s="2" t="s">
        <v>1201</v>
      </c>
      <c r="G457" s="2">
        <v>1</v>
      </c>
      <c r="H457" s="21">
        <v>0.9</v>
      </c>
      <c r="I457" s="2">
        <v>1</v>
      </c>
    </row>
    <row r="458" spans="1:9" ht="15.75" hidden="1" customHeight="1" x14ac:dyDescent="0.2">
      <c r="A458" s="11">
        <v>457</v>
      </c>
      <c r="B458" s="2">
        <v>457</v>
      </c>
      <c r="C458" s="2">
        <v>39</v>
      </c>
      <c r="D458" s="2">
        <f>VLOOKUP(C458,Course!$A$1:$C$229, 2, FALSE)</f>
        <v>0</v>
      </c>
      <c r="E458" s="2">
        <v>62</v>
      </c>
      <c r="F458" s="2" t="s">
        <v>1202</v>
      </c>
      <c r="G458" s="2">
        <v>1</v>
      </c>
      <c r="H458" s="21">
        <v>0.9</v>
      </c>
      <c r="I458" s="2">
        <v>1</v>
      </c>
    </row>
    <row r="459" spans="1:9" ht="15.75" hidden="1" customHeight="1" x14ac:dyDescent="0.2">
      <c r="A459" s="11">
        <v>458</v>
      </c>
      <c r="B459" s="2">
        <v>458</v>
      </c>
      <c r="C459" s="2">
        <v>39</v>
      </c>
      <c r="D459" s="2">
        <f>VLOOKUP(C459,Course!$A$1:$C$229, 2, FALSE)</f>
        <v>0</v>
      </c>
      <c r="E459" s="2">
        <v>63</v>
      </c>
      <c r="F459" s="2" t="s">
        <v>1203</v>
      </c>
      <c r="G459" s="2">
        <v>1</v>
      </c>
      <c r="H459" s="21">
        <v>0.9</v>
      </c>
      <c r="I459" s="2">
        <v>1</v>
      </c>
    </row>
    <row r="460" spans="1:9" ht="15.75" hidden="1" customHeight="1" x14ac:dyDescent="0.2">
      <c r="A460" s="11">
        <v>459</v>
      </c>
      <c r="B460" s="2">
        <v>459</v>
      </c>
      <c r="C460" s="2">
        <v>39</v>
      </c>
      <c r="D460" s="2">
        <f>VLOOKUP(C460,Course!$A$1:$C$229, 2, FALSE)</f>
        <v>0</v>
      </c>
      <c r="E460" s="2">
        <v>64</v>
      </c>
      <c r="F460" s="2" t="s">
        <v>1204</v>
      </c>
      <c r="G460" s="2">
        <v>1</v>
      </c>
      <c r="H460" s="21">
        <v>0.9</v>
      </c>
      <c r="I460" s="2">
        <v>1</v>
      </c>
    </row>
    <row r="461" spans="1:9" ht="15.75" hidden="1" customHeight="1" x14ac:dyDescent="0.2">
      <c r="A461" s="11">
        <v>460</v>
      </c>
      <c r="B461" s="2">
        <v>460</v>
      </c>
      <c r="C461" s="2">
        <v>39</v>
      </c>
      <c r="D461" s="2">
        <f>VLOOKUP(C461,Course!$A$1:$C$229, 2, FALSE)</f>
        <v>0</v>
      </c>
      <c r="E461" s="2">
        <v>65</v>
      </c>
      <c r="F461" s="2" t="s">
        <v>1205</v>
      </c>
      <c r="G461" s="2">
        <v>1</v>
      </c>
      <c r="H461" s="21">
        <v>0.9</v>
      </c>
      <c r="I461" s="2">
        <v>1</v>
      </c>
    </row>
    <row r="462" spans="1:9" ht="15.75" hidden="1" customHeight="1" x14ac:dyDescent="0.2">
      <c r="A462" s="11">
        <v>461</v>
      </c>
      <c r="B462" s="2">
        <v>461</v>
      </c>
      <c r="C462" s="2">
        <v>39</v>
      </c>
      <c r="D462" s="2">
        <f>VLOOKUP(C462,Course!$A$1:$C$229, 2, FALSE)</f>
        <v>0</v>
      </c>
      <c r="E462" s="2">
        <v>66</v>
      </c>
      <c r="F462" s="2" t="s">
        <v>1206</v>
      </c>
      <c r="G462" s="2">
        <v>1</v>
      </c>
      <c r="H462" s="21">
        <v>0.9</v>
      </c>
      <c r="I462" s="2">
        <v>1</v>
      </c>
    </row>
    <row r="463" spans="1:9" ht="15.75" hidden="1" customHeight="1" x14ac:dyDescent="0.2">
      <c r="A463" s="11">
        <v>462</v>
      </c>
      <c r="B463" s="2">
        <v>462</v>
      </c>
      <c r="C463" s="2">
        <v>39</v>
      </c>
      <c r="D463" s="2">
        <f>VLOOKUP(C463,Course!$A$1:$C$229, 2, FALSE)</f>
        <v>0</v>
      </c>
      <c r="E463" s="2">
        <v>67</v>
      </c>
      <c r="F463" s="2" t="s">
        <v>1207</v>
      </c>
      <c r="G463" s="2">
        <v>1</v>
      </c>
      <c r="H463" s="21">
        <v>0.9</v>
      </c>
      <c r="I463" s="2">
        <v>1</v>
      </c>
    </row>
    <row r="464" spans="1:9" ht="15.75" hidden="1" customHeight="1" x14ac:dyDescent="0.2">
      <c r="A464" s="11">
        <v>463</v>
      </c>
      <c r="B464" s="2">
        <v>463</v>
      </c>
      <c r="C464" s="2">
        <v>39</v>
      </c>
      <c r="D464" s="2">
        <f>VLOOKUP(C464,Course!$A$1:$C$229, 2, FALSE)</f>
        <v>0</v>
      </c>
      <c r="E464" s="2">
        <v>68</v>
      </c>
      <c r="F464" s="2" t="s">
        <v>1208</v>
      </c>
      <c r="G464" s="2">
        <v>1</v>
      </c>
      <c r="H464" s="21">
        <v>0.9</v>
      </c>
      <c r="I464" s="2">
        <v>1</v>
      </c>
    </row>
    <row r="465" spans="1:9" ht="15.75" hidden="1" customHeight="1" x14ac:dyDescent="0.2">
      <c r="A465" s="11">
        <v>464</v>
      </c>
      <c r="B465" s="2">
        <v>464</v>
      </c>
      <c r="C465" s="2">
        <v>39</v>
      </c>
      <c r="D465" s="2">
        <f>VLOOKUP(C465,Course!$A$1:$C$229, 2, FALSE)</f>
        <v>0</v>
      </c>
      <c r="E465" s="2">
        <v>69</v>
      </c>
      <c r="F465" s="2" t="s">
        <v>1209</v>
      </c>
      <c r="G465" s="2">
        <v>1</v>
      </c>
      <c r="H465" s="21">
        <v>0.9</v>
      </c>
      <c r="I465" s="2">
        <v>1</v>
      </c>
    </row>
    <row r="466" spans="1:9" ht="15.75" hidden="1" customHeight="1" x14ac:dyDescent="0.2">
      <c r="A466" s="11">
        <v>465</v>
      </c>
      <c r="B466" s="2">
        <v>465</v>
      </c>
      <c r="C466" s="2">
        <v>39</v>
      </c>
      <c r="D466" s="2">
        <f>VLOOKUP(C466,Course!$A$1:$C$229, 2, FALSE)</f>
        <v>0</v>
      </c>
      <c r="E466" s="2">
        <v>70</v>
      </c>
      <c r="F466" s="2" t="s">
        <v>1210</v>
      </c>
      <c r="G466" s="2">
        <v>1</v>
      </c>
      <c r="H466" s="21">
        <v>0.9</v>
      </c>
      <c r="I466" s="2">
        <v>1</v>
      </c>
    </row>
    <row r="467" spans="1:9" ht="15.75" hidden="1" customHeight="1" x14ac:dyDescent="0.2">
      <c r="A467" s="11">
        <v>466</v>
      </c>
      <c r="B467" s="2">
        <v>466</v>
      </c>
      <c r="C467" s="2">
        <v>39</v>
      </c>
      <c r="D467" s="2">
        <f>VLOOKUP(C467,Course!$A$1:$C$229, 2, FALSE)</f>
        <v>0</v>
      </c>
      <c r="E467" s="2">
        <v>71</v>
      </c>
      <c r="F467" s="2" t="s">
        <v>1211</v>
      </c>
      <c r="G467" s="2">
        <v>1</v>
      </c>
      <c r="H467" s="21">
        <v>0.9</v>
      </c>
      <c r="I467" s="2">
        <v>1</v>
      </c>
    </row>
    <row r="468" spans="1:9" ht="15.75" hidden="1" customHeight="1" x14ac:dyDescent="0.2">
      <c r="A468" s="11">
        <v>467</v>
      </c>
      <c r="B468" s="2">
        <v>467</v>
      </c>
      <c r="C468" s="2">
        <v>39</v>
      </c>
      <c r="D468" s="2">
        <f>VLOOKUP(C468,Course!$A$1:$C$229, 2, FALSE)</f>
        <v>0</v>
      </c>
      <c r="E468" s="2">
        <v>72</v>
      </c>
      <c r="F468" s="2" t="s">
        <v>1212</v>
      </c>
      <c r="G468" s="2">
        <v>1</v>
      </c>
      <c r="H468" s="21">
        <v>0.9</v>
      </c>
      <c r="I468" s="2">
        <v>1</v>
      </c>
    </row>
    <row r="469" spans="1:9" ht="15.75" hidden="1" customHeight="1" x14ac:dyDescent="0.2">
      <c r="A469" s="11">
        <v>468</v>
      </c>
      <c r="B469" s="2">
        <v>468</v>
      </c>
      <c r="C469" s="2">
        <v>40</v>
      </c>
      <c r="D469" s="2">
        <f>VLOOKUP(C469,Course!$A$1:$C$229, 2, FALSE)</f>
        <v>0</v>
      </c>
      <c r="E469" s="2">
        <v>61</v>
      </c>
      <c r="F469" s="2" t="s">
        <v>1213</v>
      </c>
      <c r="G469" s="2">
        <v>1</v>
      </c>
      <c r="H469" s="21">
        <v>0.8</v>
      </c>
      <c r="I469" s="2">
        <v>1</v>
      </c>
    </row>
    <row r="470" spans="1:9" ht="15.75" hidden="1" customHeight="1" x14ac:dyDescent="0.2">
      <c r="A470" s="11">
        <v>469</v>
      </c>
      <c r="B470" s="2">
        <v>469</v>
      </c>
      <c r="C470" s="2">
        <v>40</v>
      </c>
      <c r="D470" s="2">
        <f>VLOOKUP(C470,Course!$A$1:$C$229, 2, FALSE)</f>
        <v>0</v>
      </c>
      <c r="E470" s="2">
        <v>62</v>
      </c>
      <c r="F470" s="2" t="s">
        <v>1214</v>
      </c>
      <c r="G470" s="2">
        <v>1</v>
      </c>
      <c r="H470" s="21">
        <v>0.8</v>
      </c>
      <c r="I470" s="2">
        <v>1</v>
      </c>
    </row>
    <row r="471" spans="1:9" ht="15.75" hidden="1" customHeight="1" x14ac:dyDescent="0.2">
      <c r="A471" s="11">
        <v>470</v>
      </c>
      <c r="B471" s="2">
        <v>470</v>
      </c>
      <c r="C471" s="2">
        <v>40</v>
      </c>
      <c r="D471" s="2">
        <f>VLOOKUP(C471,Course!$A$1:$C$229, 2, FALSE)</f>
        <v>0</v>
      </c>
      <c r="E471" s="2">
        <v>63</v>
      </c>
      <c r="F471" s="2" t="s">
        <v>1215</v>
      </c>
      <c r="G471" s="2">
        <v>1</v>
      </c>
      <c r="H471" s="21">
        <v>0.8</v>
      </c>
      <c r="I471" s="2">
        <v>1</v>
      </c>
    </row>
    <row r="472" spans="1:9" ht="15.75" hidden="1" customHeight="1" x14ac:dyDescent="0.2">
      <c r="A472" s="11">
        <v>471</v>
      </c>
      <c r="B472" s="2">
        <v>471</v>
      </c>
      <c r="C472" s="2">
        <v>40</v>
      </c>
      <c r="D472" s="2">
        <f>VLOOKUP(C472,Course!$A$1:$C$229, 2, FALSE)</f>
        <v>0</v>
      </c>
      <c r="E472" s="2">
        <v>64</v>
      </c>
      <c r="F472" s="2" t="s">
        <v>1216</v>
      </c>
      <c r="G472" s="2">
        <v>1</v>
      </c>
      <c r="H472" s="21">
        <v>0.8</v>
      </c>
      <c r="I472" s="2">
        <v>1</v>
      </c>
    </row>
    <row r="473" spans="1:9" ht="15.75" hidden="1" customHeight="1" x14ac:dyDescent="0.2">
      <c r="A473" s="11">
        <v>472</v>
      </c>
      <c r="B473" s="2">
        <v>472</v>
      </c>
      <c r="C473" s="2">
        <v>40</v>
      </c>
      <c r="D473" s="2">
        <f>VLOOKUP(C473,Course!$A$1:$C$229, 2, FALSE)</f>
        <v>0</v>
      </c>
      <c r="E473" s="2">
        <v>65</v>
      </c>
      <c r="F473" s="2" t="s">
        <v>1217</v>
      </c>
      <c r="G473" s="2">
        <v>1</v>
      </c>
      <c r="H473" s="21">
        <v>0.8</v>
      </c>
      <c r="I473" s="2">
        <v>1</v>
      </c>
    </row>
    <row r="474" spans="1:9" ht="15.75" hidden="1" customHeight="1" x14ac:dyDescent="0.2">
      <c r="A474" s="11">
        <v>473</v>
      </c>
      <c r="B474" s="2">
        <v>473</v>
      </c>
      <c r="C474" s="2">
        <v>40</v>
      </c>
      <c r="D474" s="2">
        <f>VLOOKUP(C474,Course!$A$1:$C$229, 2, FALSE)</f>
        <v>0</v>
      </c>
      <c r="E474" s="2">
        <v>66</v>
      </c>
      <c r="F474" s="2" t="s">
        <v>1218</v>
      </c>
      <c r="G474" s="2">
        <v>1</v>
      </c>
      <c r="H474" s="21">
        <v>0.8</v>
      </c>
      <c r="I474" s="2">
        <v>1</v>
      </c>
    </row>
    <row r="475" spans="1:9" ht="15.75" hidden="1" customHeight="1" x14ac:dyDescent="0.2">
      <c r="A475" s="11">
        <v>474</v>
      </c>
      <c r="B475" s="2">
        <v>474</v>
      </c>
      <c r="C475" s="2">
        <v>40</v>
      </c>
      <c r="D475" s="2">
        <f>VLOOKUP(C475,Course!$A$1:$C$229, 2, FALSE)</f>
        <v>0</v>
      </c>
      <c r="E475" s="2">
        <v>67</v>
      </c>
      <c r="F475" s="2" t="s">
        <v>1219</v>
      </c>
      <c r="G475" s="2">
        <v>1</v>
      </c>
      <c r="H475" s="21">
        <v>0.8</v>
      </c>
      <c r="I475" s="2">
        <v>1</v>
      </c>
    </row>
    <row r="476" spans="1:9" ht="15.75" hidden="1" customHeight="1" x14ac:dyDescent="0.2">
      <c r="A476" s="11">
        <v>475</v>
      </c>
      <c r="B476" s="2">
        <v>475</v>
      </c>
      <c r="C476" s="2">
        <v>40</v>
      </c>
      <c r="D476" s="2">
        <f>VLOOKUP(C476,Course!$A$1:$C$229, 2, FALSE)</f>
        <v>0</v>
      </c>
      <c r="E476" s="2">
        <v>68</v>
      </c>
      <c r="F476" s="2" t="s">
        <v>1220</v>
      </c>
      <c r="G476" s="2">
        <v>1</v>
      </c>
      <c r="H476" s="21">
        <v>0.8</v>
      </c>
      <c r="I476" s="2">
        <v>1</v>
      </c>
    </row>
    <row r="477" spans="1:9" ht="15.75" hidden="1" customHeight="1" x14ac:dyDescent="0.2">
      <c r="A477" s="11">
        <v>476</v>
      </c>
      <c r="B477" s="2">
        <v>476</v>
      </c>
      <c r="C477" s="2">
        <v>40</v>
      </c>
      <c r="D477" s="2">
        <f>VLOOKUP(C477,Course!$A$1:$C$229, 2, FALSE)</f>
        <v>0</v>
      </c>
      <c r="E477" s="2">
        <v>69</v>
      </c>
      <c r="F477" s="2" t="s">
        <v>1221</v>
      </c>
      <c r="G477" s="2">
        <v>1</v>
      </c>
      <c r="H477" s="21">
        <v>0.8</v>
      </c>
      <c r="I477" s="2">
        <v>1</v>
      </c>
    </row>
    <row r="478" spans="1:9" ht="15.75" hidden="1" customHeight="1" x14ac:dyDescent="0.2">
      <c r="A478" s="11">
        <v>477</v>
      </c>
      <c r="B478" s="2">
        <v>477</v>
      </c>
      <c r="C478" s="2">
        <v>40</v>
      </c>
      <c r="D478" s="2">
        <f>VLOOKUP(C478,Course!$A$1:$C$229, 2, FALSE)</f>
        <v>0</v>
      </c>
      <c r="E478" s="2">
        <v>70</v>
      </c>
      <c r="F478" s="2" t="s">
        <v>1222</v>
      </c>
      <c r="G478" s="2">
        <v>1</v>
      </c>
      <c r="H478" s="21">
        <v>0.8</v>
      </c>
      <c r="I478" s="2">
        <v>1</v>
      </c>
    </row>
    <row r="479" spans="1:9" ht="15.75" hidden="1" customHeight="1" x14ac:dyDescent="0.2">
      <c r="A479" s="11">
        <v>478</v>
      </c>
      <c r="B479" s="2">
        <v>478</v>
      </c>
      <c r="C479" s="2">
        <v>40</v>
      </c>
      <c r="D479" s="2">
        <f>VLOOKUP(C479,Course!$A$1:$C$229, 2, FALSE)</f>
        <v>0</v>
      </c>
      <c r="E479" s="2">
        <v>71</v>
      </c>
      <c r="F479" s="2" t="s">
        <v>1223</v>
      </c>
      <c r="G479" s="2">
        <v>1</v>
      </c>
      <c r="H479" s="21">
        <v>0.8</v>
      </c>
      <c r="I479" s="2">
        <v>1</v>
      </c>
    </row>
    <row r="480" spans="1:9" ht="15.75" hidden="1" customHeight="1" x14ac:dyDescent="0.2">
      <c r="A480" s="11">
        <v>479</v>
      </c>
      <c r="B480" s="2">
        <v>479</v>
      </c>
      <c r="C480" s="2">
        <v>40</v>
      </c>
      <c r="D480" s="2">
        <f>VLOOKUP(C480,Course!$A$1:$C$229, 2, FALSE)</f>
        <v>0</v>
      </c>
      <c r="E480" s="2">
        <v>72</v>
      </c>
      <c r="F480" s="2" t="s">
        <v>1224</v>
      </c>
      <c r="G480" s="2">
        <v>1</v>
      </c>
      <c r="H480" s="21">
        <v>0.8</v>
      </c>
      <c r="I480" s="2">
        <v>1</v>
      </c>
    </row>
    <row r="481" spans="1:9" ht="15.75" hidden="1" customHeight="1" x14ac:dyDescent="0.2">
      <c r="A481" s="11">
        <v>480</v>
      </c>
      <c r="B481" s="2">
        <v>480</v>
      </c>
      <c r="C481" s="2">
        <v>41</v>
      </c>
      <c r="D481" s="2" t="str">
        <f>VLOOKUP(C481,Course!$A$1:$C$229, 2, FALSE)</f>
        <v>Science 6</v>
      </c>
      <c r="E481" s="2">
        <v>61</v>
      </c>
      <c r="F481" s="2" t="s">
        <v>1225</v>
      </c>
      <c r="G481" s="2">
        <v>1</v>
      </c>
      <c r="H481" s="21">
        <v>0.8</v>
      </c>
      <c r="I481" s="2">
        <v>1</v>
      </c>
    </row>
    <row r="482" spans="1:9" ht="15.75" hidden="1" customHeight="1" x14ac:dyDescent="0.2">
      <c r="A482" s="11">
        <v>481</v>
      </c>
      <c r="B482" s="2">
        <v>481</v>
      </c>
      <c r="C482" s="2">
        <v>41</v>
      </c>
      <c r="D482" s="2" t="str">
        <f>VLOOKUP(C482,Course!$A$1:$C$229, 2, FALSE)</f>
        <v>Science 6</v>
      </c>
      <c r="E482" s="2">
        <v>62</v>
      </c>
      <c r="F482" s="2" t="s">
        <v>1226</v>
      </c>
      <c r="G482" s="2">
        <v>1</v>
      </c>
      <c r="H482" s="21">
        <v>0.8</v>
      </c>
      <c r="I482" s="2">
        <v>1</v>
      </c>
    </row>
    <row r="483" spans="1:9" ht="15.75" hidden="1" customHeight="1" x14ac:dyDescent="0.2">
      <c r="A483" s="11">
        <v>482</v>
      </c>
      <c r="B483" s="2">
        <v>482</v>
      </c>
      <c r="C483" s="2">
        <v>41</v>
      </c>
      <c r="D483" s="2" t="str">
        <f>VLOOKUP(C483,Course!$A$1:$C$229, 2, FALSE)</f>
        <v>Science 6</v>
      </c>
      <c r="E483" s="2">
        <v>63</v>
      </c>
      <c r="F483" s="2" t="s">
        <v>1227</v>
      </c>
      <c r="G483" s="2">
        <v>1</v>
      </c>
      <c r="H483" s="21">
        <v>0.8</v>
      </c>
      <c r="I483" s="2">
        <v>1</v>
      </c>
    </row>
    <row r="484" spans="1:9" ht="15.75" hidden="1" customHeight="1" x14ac:dyDescent="0.2">
      <c r="A484" s="11">
        <v>483</v>
      </c>
      <c r="B484" s="2">
        <v>483</v>
      </c>
      <c r="C484" s="2">
        <v>41</v>
      </c>
      <c r="D484" s="2" t="str">
        <f>VLOOKUP(C484,Course!$A$1:$C$229, 2, FALSE)</f>
        <v>Science 6</v>
      </c>
      <c r="E484" s="2">
        <v>64</v>
      </c>
      <c r="F484" s="2" t="s">
        <v>1228</v>
      </c>
      <c r="G484" s="2">
        <v>1</v>
      </c>
      <c r="H484" s="21">
        <v>0.8</v>
      </c>
      <c r="I484" s="2">
        <v>1</v>
      </c>
    </row>
    <row r="485" spans="1:9" ht="15.75" hidden="1" customHeight="1" x14ac:dyDescent="0.2">
      <c r="A485" s="11">
        <v>484</v>
      </c>
      <c r="B485" s="2">
        <v>484</v>
      </c>
      <c r="C485" s="2">
        <v>41</v>
      </c>
      <c r="D485" s="2" t="str">
        <f>VLOOKUP(C485,Course!$A$1:$C$229, 2, FALSE)</f>
        <v>Science 6</v>
      </c>
      <c r="E485" s="2">
        <v>65</v>
      </c>
      <c r="F485" s="2" t="s">
        <v>1229</v>
      </c>
      <c r="G485" s="2">
        <v>1</v>
      </c>
      <c r="H485" s="21">
        <v>0.8</v>
      </c>
      <c r="I485" s="2">
        <v>1</v>
      </c>
    </row>
    <row r="486" spans="1:9" ht="15.75" hidden="1" customHeight="1" x14ac:dyDescent="0.2">
      <c r="A486" s="11">
        <v>485</v>
      </c>
      <c r="B486" s="2">
        <v>485</v>
      </c>
      <c r="C486" s="2">
        <v>41</v>
      </c>
      <c r="D486" s="2" t="str">
        <f>VLOOKUP(C486,Course!$A$1:$C$229, 2, FALSE)</f>
        <v>Science 6</v>
      </c>
      <c r="E486" s="2">
        <v>66</v>
      </c>
      <c r="F486" s="2" t="s">
        <v>1230</v>
      </c>
      <c r="G486" s="2">
        <v>1</v>
      </c>
      <c r="H486" s="21">
        <v>0.8</v>
      </c>
      <c r="I486" s="2">
        <v>1</v>
      </c>
    </row>
    <row r="487" spans="1:9" ht="15.75" hidden="1" customHeight="1" x14ac:dyDescent="0.2">
      <c r="A487" s="11">
        <v>486</v>
      </c>
      <c r="B487" s="2">
        <v>486</v>
      </c>
      <c r="C487" s="2">
        <v>41</v>
      </c>
      <c r="D487" s="2" t="str">
        <f>VLOOKUP(C487,Course!$A$1:$C$229, 2, FALSE)</f>
        <v>Science 6</v>
      </c>
      <c r="E487" s="2">
        <v>67</v>
      </c>
      <c r="F487" s="2" t="s">
        <v>1231</v>
      </c>
      <c r="G487" s="2">
        <v>1</v>
      </c>
      <c r="H487" s="21">
        <v>0.8</v>
      </c>
      <c r="I487" s="2">
        <v>1</v>
      </c>
    </row>
    <row r="488" spans="1:9" ht="15.75" hidden="1" customHeight="1" x14ac:dyDescent="0.2">
      <c r="A488" s="11">
        <v>487</v>
      </c>
      <c r="B488" s="2">
        <v>487</v>
      </c>
      <c r="C488" s="2">
        <v>41</v>
      </c>
      <c r="D488" s="2" t="str">
        <f>VLOOKUP(C488,Course!$A$1:$C$229, 2, FALSE)</f>
        <v>Science 6</v>
      </c>
      <c r="E488" s="2">
        <v>68</v>
      </c>
      <c r="F488" s="2" t="s">
        <v>1232</v>
      </c>
      <c r="G488" s="2">
        <v>1</v>
      </c>
      <c r="H488" s="21">
        <v>0.8</v>
      </c>
      <c r="I488" s="2">
        <v>1</v>
      </c>
    </row>
    <row r="489" spans="1:9" ht="15.75" hidden="1" customHeight="1" x14ac:dyDescent="0.2">
      <c r="A489" s="11">
        <v>488</v>
      </c>
      <c r="B489" s="2">
        <v>488</v>
      </c>
      <c r="C489" s="2">
        <v>41</v>
      </c>
      <c r="D489" s="2" t="str">
        <f>VLOOKUP(C489,Course!$A$1:$C$229, 2, FALSE)</f>
        <v>Science 6</v>
      </c>
      <c r="E489" s="2">
        <v>69</v>
      </c>
      <c r="F489" s="2" t="s">
        <v>1233</v>
      </c>
      <c r="G489" s="2">
        <v>1</v>
      </c>
      <c r="H489" s="21">
        <v>0.8</v>
      </c>
      <c r="I489" s="2">
        <v>1</v>
      </c>
    </row>
    <row r="490" spans="1:9" ht="15.75" hidden="1" customHeight="1" x14ac:dyDescent="0.2">
      <c r="A490" s="11">
        <v>489</v>
      </c>
      <c r="B490" s="2">
        <v>489</v>
      </c>
      <c r="C490" s="2">
        <v>41</v>
      </c>
      <c r="D490" s="2" t="str">
        <f>VLOOKUP(C490,Course!$A$1:$C$229, 2, FALSE)</f>
        <v>Science 6</v>
      </c>
      <c r="E490" s="2">
        <v>70</v>
      </c>
      <c r="F490" s="2" t="s">
        <v>1234</v>
      </c>
      <c r="G490" s="2">
        <v>1</v>
      </c>
      <c r="H490" s="21">
        <v>0.8</v>
      </c>
      <c r="I490" s="2">
        <v>1</v>
      </c>
    </row>
    <row r="491" spans="1:9" ht="15.75" hidden="1" customHeight="1" x14ac:dyDescent="0.2">
      <c r="A491" s="11">
        <v>490</v>
      </c>
      <c r="B491" s="2">
        <v>490</v>
      </c>
      <c r="C491" s="2">
        <v>41</v>
      </c>
      <c r="D491" s="2" t="str">
        <f>VLOOKUP(C491,Course!$A$1:$C$229, 2, FALSE)</f>
        <v>Science 6</v>
      </c>
      <c r="E491" s="2">
        <v>71</v>
      </c>
      <c r="F491" s="2" t="s">
        <v>1235</v>
      </c>
      <c r="G491" s="2">
        <v>1</v>
      </c>
      <c r="H491" s="21">
        <v>0.8</v>
      </c>
      <c r="I491" s="2">
        <v>1</v>
      </c>
    </row>
    <row r="492" spans="1:9" ht="15.75" hidden="1" customHeight="1" x14ac:dyDescent="0.2">
      <c r="A492" s="11">
        <v>491</v>
      </c>
      <c r="B492" s="2">
        <v>491</v>
      </c>
      <c r="C492" s="2">
        <v>41</v>
      </c>
      <c r="D492" s="2" t="str">
        <f>VLOOKUP(C492,Course!$A$1:$C$229, 2, FALSE)</f>
        <v>Science 6</v>
      </c>
      <c r="E492" s="2">
        <v>72</v>
      </c>
      <c r="F492" s="2" t="s">
        <v>1236</v>
      </c>
      <c r="G492" s="2">
        <v>1</v>
      </c>
      <c r="H492" s="21">
        <v>0.8</v>
      </c>
      <c r="I492" s="2">
        <v>1</v>
      </c>
    </row>
    <row r="493" spans="1:9" ht="15.75" hidden="1" customHeight="1" x14ac:dyDescent="0.2">
      <c r="A493" s="11">
        <v>492</v>
      </c>
      <c r="B493" s="2">
        <v>492</v>
      </c>
      <c r="C493" s="2">
        <v>42</v>
      </c>
      <c r="D493" s="2">
        <f>VLOOKUP(C493,Course!$A$1:$C$229, 2, FALSE)</f>
        <v>0</v>
      </c>
      <c r="E493" s="2">
        <v>61</v>
      </c>
      <c r="F493" s="2" t="s">
        <v>1237</v>
      </c>
      <c r="G493" s="2">
        <v>1</v>
      </c>
      <c r="H493" s="21">
        <v>0.8</v>
      </c>
      <c r="I493" s="2">
        <v>1</v>
      </c>
    </row>
    <row r="494" spans="1:9" ht="15.75" hidden="1" customHeight="1" x14ac:dyDescent="0.2">
      <c r="A494" s="11">
        <v>493</v>
      </c>
      <c r="B494" s="2">
        <v>493</v>
      </c>
      <c r="C494" s="2">
        <v>42</v>
      </c>
      <c r="D494" s="2">
        <f>VLOOKUP(C494,Course!$A$1:$C$229, 2, FALSE)</f>
        <v>0</v>
      </c>
      <c r="E494" s="2">
        <v>62</v>
      </c>
      <c r="F494" s="2" t="s">
        <v>1238</v>
      </c>
      <c r="G494" s="2">
        <v>1</v>
      </c>
      <c r="H494" s="21">
        <v>0.8</v>
      </c>
      <c r="I494" s="2">
        <v>1</v>
      </c>
    </row>
    <row r="495" spans="1:9" ht="15.75" hidden="1" customHeight="1" x14ac:dyDescent="0.2">
      <c r="A495" s="11">
        <v>494</v>
      </c>
      <c r="B495" s="2">
        <v>494</v>
      </c>
      <c r="C495" s="2">
        <v>42</v>
      </c>
      <c r="D495" s="2">
        <f>VLOOKUP(C495,Course!$A$1:$C$229, 2, FALSE)</f>
        <v>0</v>
      </c>
      <c r="E495" s="2">
        <v>63</v>
      </c>
      <c r="F495" s="2" t="s">
        <v>1239</v>
      </c>
      <c r="G495" s="2">
        <v>1</v>
      </c>
      <c r="H495" s="21">
        <v>0.8</v>
      </c>
      <c r="I495" s="2">
        <v>1</v>
      </c>
    </row>
    <row r="496" spans="1:9" ht="15.75" hidden="1" customHeight="1" x14ac:dyDescent="0.2">
      <c r="A496" s="11">
        <v>495</v>
      </c>
      <c r="B496" s="2">
        <v>495</v>
      </c>
      <c r="C496" s="2">
        <v>42</v>
      </c>
      <c r="D496" s="2">
        <f>VLOOKUP(C496,Course!$A$1:$C$229, 2, FALSE)</f>
        <v>0</v>
      </c>
      <c r="E496" s="2">
        <v>64</v>
      </c>
      <c r="F496" s="2" t="s">
        <v>1240</v>
      </c>
      <c r="G496" s="2">
        <v>1</v>
      </c>
      <c r="H496" s="21">
        <v>0.8</v>
      </c>
      <c r="I496" s="2">
        <v>1</v>
      </c>
    </row>
    <row r="497" spans="1:9" ht="15.75" hidden="1" customHeight="1" x14ac:dyDescent="0.2">
      <c r="A497" s="11">
        <v>496</v>
      </c>
      <c r="B497" s="2">
        <v>496</v>
      </c>
      <c r="C497" s="2">
        <v>42</v>
      </c>
      <c r="D497" s="2">
        <f>VLOOKUP(C497,Course!$A$1:$C$229, 2, FALSE)</f>
        <v>0</v>
      </c>
      <c r="E497" s="2">
        <v>65</v>
      </c>
      <c r="F497" s="2" t="s">
        <v>1241</v>
      </c>
      <c r="G497" s="2">
        <v>1</v>
      </c>
      <c r="H497" s="21">
        <v>0.8</v>
      </c>
      <c r="I497" s="2">
        <v>1</v>
      </c>
    </row>
    <row r="498" spans="1:9" ht="15.75" hidden="1" customHeight="1" x14ac:dyDescent="0.2">
      <c r="A498" s="11">
        <v>497</v>
      </c>
      <c r="B498" s="2">
        <v>497</v>
      </c>
      <c r="C498" s="2">
        <v>42</v>
      </c>
      <c r="D498" s="2">
        <f>VLOOKUP(C498,Course!$A$1:$C$229, 2, FALSE)</f>
        <v>0</v>
      </c>
      <c r="E498" s="2">
        <v>66</v>
      </c>
      <c r="F498" s="2" t="s">
        <v>1242</v>
      </c>
      <c r="G498" s="2">
        <v>1</v>
      </c>
      <c r="H498" s="21">
        <v>0.8</v>
      </c>
      <c r="I498" s="2">
        <v>1</v>
      </c>
    </row>
    <row r="499" spans="1:9" ht="15.75" hidden="1" customHeight="1" x14ac:dyDescent="0.2">
      <c r="A499" s="11">
        <v>498</v>
      </c>
      <c r="B499" s="2">
        <v>498</v>
      </c>
      <c r="C499" s="2">
        <v>42</v>
      </c>
      <c r="D499" s="2">
        <f>VLOOKUP(C499,Course!$A$1:$C$229, 2, FALSE)</f>
        <v>0</v>
      </c>
      <c r="E499" s="2">
        <v>67</v>
      </c>
      <c r="F499" s="2" t="s">
        <v>1243</v>
      </c>
      <c r="G499" s="2">
        <v>1</v>
      </c>
      <c r="H499" s="21">
        <v>0.8</v>
      </c>
      <c r="I499" s="2">
        <v>1</v>
      </c>
    </row>
    <row r="500" spans="1:9" ht="15.75" hidden="1" customHeight="1" x14ac:dyDescent="0.2">
      <c r="A500" s="11">
        <v>499</v>
      </c>
      <c r="B500" s="2">
        <v>499</v>
      </c>
      <c r="C500" s="2">
        <v>42</v>
      </c>
      <c r="D500" s="2">
        <f>VLOOKUP(C500,Course!$A$1:$C$229, 2, FALSE)</f>
        <v>0</v>
      </c>
      <c r="E500" s="2">
        <v>68</v>
      </c>
      <c r="F500" s="2" t="s">
        <v>1244</v>
      </c>
      <c r="G500" s="2">
        <v>1</v>
      </c>
      <c r="H500" s="21">
        <v>0.8</v>
      </c>
      <c r="I500" s="2">
        <v>1</v>
      </c>
    </row>
    <row r="501" spans="1:9" ht="15.75" hidden="1" customHeight="1" x14ac:dyDescent="0.2">
      <c r="A501" s="11">
        <v>500</v>
      </c>
      <c r="B501" s="2">
        <v>500</v>
      </c>
      <c r="C501" s="2">
        <v>42</v>
      </c>
      <c r="D501" s="2">
        <f>VLOOKUP(C501,Course!$A$1:$C$229, 2, FALSE)</f>
        <v>0</v>
      </c>
      <c r="E501" s="2">
        <v>69</v>
      </c>
      <c r="F501" s="2" t="s">
        <v>1245</v>
      </c>
      <c r="G501" s="2">
        <v>1</v>
      </c>
      <c r="H501" s="21">
        <v>0.8</v>
      </c>
      <c r="I501" s="2">
        <v>1</v>
      </c>
    </row>
    <row r="502" spans="1:9" ht="15.75" hidden="1" customHeight="1" x14ac:dyDescent="0.2">
      <c r="A502" s="11">
        <v>501</v>
      </c>
      <c r="B502" s="2">
        <v>501</v>
      </c>
      <c r="C502" s="2">
        <v>42</v>
      </c>
      <c r="D502" s="2">
        <f>VLOOKUP(C502,Course!$A$1:$C$229, 2, FALSE)</f>
        <v>0</v>
      </c>
      <c r="E502" s="2">
        <v>70</v>
      </c>
      <c r="F502" s="2" t="s">
        <v>1246</v>
      </c>
      <c r="G502" s="2">
        <v>1</v>
      </c>
      <c r="H502" s="21">
        <v>0.8</v>
      </c>
      <c r="I502" s="2">
        <v>1</v>
      </c>
    </row>
    <row r="503" spans="1:9" ht="15.75" hidden="1" customHeight="1" x14ac:dyDescent="0.2">
      <c r="A503" s="11">
        <v>502</v>
      </c>
      <c r="B503" s="2">
        <v>502</v>
      </c>
      <c r="C503" s="2">
        <v>42</v>
      </c>
      <c r="D503" s="2">
        <f>VLOOKUP(C503,Course!$A$1:$C$229, 2, FALSE)</f>
        <v>0</v>
      </c>
      <c r="E503" s="2">
        <v>71</v>
      </c>
      <c r="F503" s="2" t="s">
        <v>1247</v>
      </c>
      <c r="G503" s="2">
        <v>1</v>
      </c>
      <c r="H503" s="21">
        <v>0.8</v>
      </c>
      <c r="I503" s="2">
        <v>1</v>
      </c>
    </row>
    <row r="504" spans="1:9" ht="15.75" hidden="1" customHeight="1" x14ac:dyDescent="0.2">
      <c r="A504" s="11">
        <v>503</v>
      </c>
      <c r="B504" s="2">
        <v>503</v>
      </c>
      <c r="C504" s="2">
        <v>42</v>
      </c>
      <c r="D504" s="2">
        <f>VLOOKUP(C504,Course!$A$1:$C$229, 2, FALSE)</f>
        <v>0</v>
      </c>
      <c r="E504" s="2">
        <v>72</v>
      </c>
      <c r="F504" s="2" t="s">
        <v>1248</v>
      </c>
      <c r="G504" s="2">
        <v>1</v>
      </c>
      <c r="H504" s="21">
        <v>0.8</v>
      </c>
      <c r="I504" s="2">
        <v>1</v>
      </c>
    </row>
    <row r="505" spans="1:9" ht="15.75" hidden="1" customHeight="1" x14ac:dyDescent="0.2">
      <c r="A505" s="11">
        <v>504</v>
      </c>
      <c r="B505" s="2">
        <v>504</v>
      </c>
      <c r="C505" s="2">
        <v>43</v>
      </c>
      <c r="D505" s="2">
        <f>VLOOKUP(C505,Course!$A$1:$C$229, 2, FALSE)</f>
        <v>0</v>
      </c>
      <c r="E505" s="2">
        <v>61</v>
      </c>
      <c r="F505" s="2" t="s">
        <v>1249</v>
      </c>
      <c r="G505" s="2">
        <v>1</v>
      </c>
      <c r="H505" s="21">
        <v>0.8</v>
      </c>
      <c r="I505" s="2">
        <v>1</v>
      </c>
    </row>
    <row r="506" spans="1:9" ht="15.75" hidden="1" customHeight="1" x14ac:dyDescent="0.2">
      <c r="A506" s="11">
        <v>505</v>
      </c>
      <c r="B506" s="2">
        <v>505</v>
      </c>
      <c r="C506" s="2">
        <v>43</v>
      </c>
      <c r="D506" s="2">
        <f>VLOOKUP(C506,Course!$A$1:$C$229, 2, FALSE)</f>
        <v>0</v>
      </c>
      <c r="E506" s="2">
        <v>62</v>
      </c>
      <c r="F506" s="2" t="s">
        <v>1250</v>
      </c>
      <c r="G506" s="2">
        <v>1</v>
      </c>
      <c r="H506" s="21">
        <v>0.8</v>
      </c>
      <c r="I506" s="2">
        <v>1</v>
      </c>
    </row>
    <row r="507" spans="1:9" ht="15.75" hidden="1" customHeight="1" x14ac:dyDescent="0.2">
      <c r="A507" s="11">
        <v>506</v>
      </c>
      <c r="B507" s="2">
        <v>506</v>
      </c>
      <c r="C507" s="2">
        <v>43</v>
      </c>
      <c r="D507" s="2">
        <f>VLOOKUP(C507,Course!$A$1:$C$229, 2, FALSE)</f>
        <v>0</v>
      </c>
      <c r="E507" s="2">
        <v>63</v>
      </c>
      <c r="F507" s="2" t="s">
        <v>1251</v>
      </c>
      <c r="G507" s="2">
        <v>1</v>
      </c>
      <c r="H507" s="21">
        <v>0.8</v>
      </c>
      <c r="I507" s="2">
        <v>1</v>
      </c>
    </row>
    <row r="508" spans="1:9" ht="15.75" hidden="1" customHeight="1" x14ac:dyDescent="0.2">
      <c r="A508" s="11">
        <v>507</v>
      </c>
      <c r="B508" s="2">
        <v>507</v>
      </c>
      <c r="C508" s="2">
        <v>43</v>
      </c>
      <c r="D508" s="2">
        <f>VLOOKUP(C508,Course!$A$1:$C$229, 2, FALSE)</f>
        <v>0</v>
      </c>
      <c r="E508" s="2">
        <v>64</v>
      </c>
      <c r="F508" s="2" t="s">
        <v>1252</v>
      </c>
      <c r="G508" s="2">
        <v>1</v>
      </c>
      <c r="H508" s="21">
        <v>0.8</v>
      </c>
      <c r="I508" s="2">
        <v>1</v>
      </c>
    </row>
    <row r="509" spans="1:9" ht="15.75" hidden="1" customHeight="1" x14ac:dyDescent="0.2">
      <c r="A509" s="11">
        <v>508</v>
      </c>
      <c r="B509" s="2">
        <v>508</v>
      </c>
      <c r="C509" s="2">
        <v>43</v>
      </c>
      <c r="D509" s="2">
        <f>VLOOKUP(C509,Course!$A$1:$C$229, 2, FALSE)</f>
        <v>0</v>
      </c>
      <c r="E509" s="2">
        <v>65</v>
      </c>
      <c r="F509" s="2" t="s">
        <v>1253</v>
      </c>
      <c r="G509" s="2">
        <v>1</v>
      </c>
      <c r="H509" s="21">
        <v>0.8</v>
      </c>
      <c r="I509" s="2">
        <v>1</v>
      </c>
    </row>
    <row r="510" spans="1:9" ht="15.75" hidden="1" customHeight="1" x14ac:dyDescent="0.2">
      <c r="A510" s="11">
        <v>509</v>
      </c>
      <c r="B510" s="2">
        <v>509</v>
      </c>
      <c r="C510" s="2">
        <v>43</v>
      </c>
      <c r="D510" s="2">
        <f>VLOOKUP(C510,Course!$A$1:$C$229, 2, FALSE)</f>
        <v>0</v>
      </c>
      <c r="E510" s="2">
        <v>66</v>
      </c>
      <c r="F510" s="2" t="s">
        <v>1254</v>
      </c>
      <c r="G510" s="2">
        <v>1</v>
      </c>
      <c r="H510" s="21">
        <v>0.8</v>
      </c>
      <c r="I510" s="2">
        <v>1</v>
      </c>
    </row>
    <row r="511" spans="1:9" ht="15.75" hidden="1" customHeight="1" x14ac:dyDescent="0.2">
      <c r="A511" s="11">
        <v>510</v>
      </c>
      <c r="B511" s="2">
        <v>510</v>
      </c>
      <c r="C511" s="2">
        <v>43</v>
      </c>
      <c r="D511" s="2">
        <f>VLOOKUP(C511,Course!$A$1:$C$229, 2, FALSE)</f>
        <v>0</v>
      </c>
      <c r="E511" s="2">
        <v>67</v>
      </c>
      <c r="F511" s="2" t="s">
        <v>1255</v>
      </c>
      <c r="G511" s="2">
        <v>1</v>
      </c>
      <c r="H511" s="21">
        <v>0.8</v>
      </c>
      <c r="I511" s="2">
        <v>1</v>
      </c>
    </row>
    <row r="512" spans="1:9" ht="15.75" hidden="1" customHeight="1" x14ac:dyDescent="0.2">
      <c r="A512" s="11">
        <v>511</v>
      </c>
      <c r="B512" s="2">
        <v>511</v>
      </c>
      <c r="C512" s="2">
        <v>43</v>
      </c>
      <c r="D512" s="2">
        <f>VLOOKUP(C512,Course!$A$1:$C$229, 2, FALSE)</f>
        <v>0</v>
      </c>
      <c r="E512" s="2">
        <v>68</v>
      </c>
      <c r="F512" s="2" t="s">
        <v>1256</v>
      </c>
      <c r="G512" s="2">
        <v>1</v>
      </c>
      <c r="H512" s="21">
        <v>0.8</v>
      </c>
      <c r="I512" s="2">
        <v>1</v>
      </c>
    </row>
    <row r="513" spans="1:9" ht="15.75" hidden="1" customHeight="1" x14ac:dyDescent="0.2">
      <c r="A513" s="11">
        <v>512</v>
      </c>
      <c r="B513" s="2">
        <v>512</v>
      </c>
      <c r="C513" s="2">
        <v>43</v>
      </c>
      <c r="D513" s="2">
        <f>VLOOKUP(C513,Course!$A$1:$C$229, 2, FALSE)</f>
        <v>0</v>
      </c>
      <c r="E513" s="2">
        <v>69</v>
      </c>
      <c r="F513" s="2" t="s">
        <v>1257</v>
      </c>
      <c r="G513" s="2">
        <v>1</v>
      </c>
      <c r="H513" s="21">
        <v>0.8</v>
      </c>
      <c r="I513" s="2">
        <v>1</v>
      </c>
    </row>
    <row r="514" spans="1:9" ht="15.75" hidden="1" customHeight="1" x14ac:dyDescent="0.2">
      <c r="A514" s="11">
        <v>513</v>
      </c>
      <c r="B514" s="2">
        <v>513</v>
      </c>
      <c r="C514" s="2">
        <v>43</v>
      </c>
      <c r="D514" s="2">
        <f>VLOOKUP(C514,Course!$A$1:$C$229, 2, FALSE)</f>
        <v>0</v>
      </c>
      <c r="E514" s="2">
        <v>70</v>
      </c>
      <c r="F514" s="2" t="s">
        <v>1258</v>
      </c>
      <c r="G514" s="2">
        <v>1</v>
      </c>
      <c r="H514" s="21">
        <v>0.8</v>
      </c>
      <c r="I514" s="2">
        <v>1</v>
      </c>
    </row>
    <row r="515" spans="1:9" ht="15.75" hidden="1" customHeight="1" x14ac:dyDescent="0.2">
      <c r="A515" s="11">
        <v>514</v>
      </c>
      <c r="B515" s="2">
        <v>514</v>
      </c>
      <c r="C515" s="2">
        <v>43</v>
      </c>
      <c r="D515" s="2">
        <f>VLOOKUP(C515,Course!$A$1:$C$229, 2, FALSE)</f>
        <v>0</v>
      </c>
      <c r="E515" s="2">
        <v>71</v>
      </c>
      <c r="F515" s="2" t="s">
        <v>1259</v>
      </c>
      <c r="G515" s="2">
        <v>1</v>
      </c>
      <c r="H515" s="21">
        <v>0.8</v>
      </c>
      <c r="I515" s="2">
        <v>1</v>
      </c>
    </row>
    <row r="516" spans="1:9" ht="15.75" hidden="1" customHeight="1" x14ac:dyDescent="0.2">
      <c r="A516" s="11">
        <v>515</v>
      </c>
      <c r="B516" s="2">
        <v>515</v>
      </c>
      <c r="C516" s="2">
        <v>43</v>
      </c>
      <c r="D516" s="2">
        <f>VLOOKUP(C516,Course!$A$1:$C$229, 2, FALSE)</f>
        <v>0</v>
      </c>
      <c r="E516" s="2">
        <v>72</v>
      </c>
      <c r="F516" s="2" t="s">
        <v>1260</v>
      </c>
      <c r="G516" s="2">
        <v>1</v>
      </c>
      <c r="H516" s="21">
        <v>0.8</v>
      </c>
      <c r="I516" s="2">
        <v>1</v>
      </c>
    </row>
    <row r="517" spans="1:9" ht="15.75" hidden="1" customHeight="1" x14ac:dyDescent="0.2">
      <c r="A517" s="11">
        <v>516</v>
      </c>
      <c r="B517" s="2">
        <v>516</v>
      </c>
      <c r="C517" s="2">
        <v>44</v>
      </c>
      <c r="D517" s="2">
        <f>VLOOKUP(C517,Course!$A$1:$C$229, 2, FALSE)</f>
        <v>0</v>
      </c>
      <c r="E517" s="2">
        <v>73</v>
      </c>
      <c r="F517" s="2" t="s">
        <v>1261</v>
      </c>
      <c r="G517" s="2">
        <v>1</v>
      </c>
      <c r="H517" s="21">
        <v>0.8</v>
      </c>
      <c r="I517" s="2">
        <v>1</v>
      </c>
    </row>
    <row r="518" spans="1:9" ht="15.75" hidden="1" customHeight="1" x14ac:dyDescent="0.2">
      <c r="A518" s="11">
        <v>517</v>
      </c>
      <c r="B518" s="2">
        <v>517</v>
      </c>
      <c r="C518" s="2">
        <v>44</v>
      </c>
      <c r="D518" s="2">
        <f>VLOOKUP(C518,Course!$A$1:$C$229, 2, FALSE)</f>
        <v>0</v>
      </c>
      <c r="E518" s="2">
        <v>74</v>
      </c>
      <c r="F518" s="2" t="s">
        <v>1262</v>
      </c>
      <c r="G518" s="2">
        <v>1</v>
      </c>
      <c r="H518" s="21">
        <v>0.8</v>
      </c>
      <c r="I518" s="2">
        <v>1</v>
      </c>
    </row>
    <row r="519" spans="1:9" ht="15.75" hidden="1" customHeight="1" x14ac:dyDescent="0.2">
      <c r="A519" s="11">
        <v>518</v>
      </c>
      <c r="B519" s="2">
        <v>518</v>
      </c>
      <c r="C519" s="2">
        <v>44</v>
      </c>
      <c r="D519" s="2">
        <f>VLOOKUP(C519,Course!$A$1:$C$229, 2, FALSE)</f>
        <v>0</v>
      </c>
      <c r="E519" s="2">
        <v>75</v>
      </c>
      <c r="F519" s="2" t="s">
        <v>1263</v>
      </c>
      <c r="G519" s="2">
        <v>1</v>
      </c>
      <c r="H519" s="21">
        <v>0.8</v>
      </c>
      <c r="I519" s="2">
        <v>1</v>
      </c>
    </row>
    <row r="520" spans="1:9" ht="15.75" hidden="1" customHeight="1" x14ac:dyDescent="0.2">
      <c r="A520" s="11">
        <v>519</v>
      </c>
      <c r="B520" s="2">
        <v>519</v>
      </c>
      <c r="C520" s="2">
        <v>44</v>
      </c>
      <c r="D520" s="2">
        <f>VLOOKUP(C520,Course!$A$1:$C$229, 2, FALSE)</f>
        <v>0</v>
      </c>
      <c r="E520" s="2">
        <v>76</v>
      </c>
      <c r="F520" s="2" t="s">
        <v>1264</v>
      </c>
      <c r="G520" s="2">
        <v>1</v>
      </c>
      <c r="H520" s="21">
        <v>0.8</v>
      </c>
      <c r="I520" s="2">
        <v>1</v>
      </c>
    </row>
    <row r="521" spans="1:9" ht="15.75" hidden="1" customHeight="1" x14ac:dyDescent="0.2">
      <c r="A521" s="11">
        <v>520</v>
      </c>
      <c r="B521" s="2">
        <v>520</v>
      </c>
      <c r="C521" s="2">
        <v>44</v>
      </c>
      <c r="D521" s="2">
        <f>VLOOKUP(C521,Course!$A$1:$C$229, 2, FALSE)</f>
        <v>0</v>
      </c>
      <c r="E521" s="2">
        <v>77</v>
      </c>
      <c r="F521" s="2" t="s">
        <v>1265</v>
      </c>
      <c r="G521" s="2">
        <v>1</v>
      </c>
      <c r="H521" s="21">
        <v>0.8</v>
      </c>
      <c r="I521" s="2">
        <v>1</v>
      </c>
    </row>
    <row r="522" spans="1:9" ht="15.75" hidden="1" customHeight="1" x14ac:dyDescent="0.2">
      <c r="A522" s="11">
        <v>521</v>
      </c>
      <c r="B522" s="2">
        <v>521</v>
      </c>
      <c r="C522" s="2">
        <v>44</v>
      </c>
      <c r="D522" s="2">
        <f>VLOOKUP(C522,Course!$A$1:$C$229, 2, FALSE)</f>
        <v>0</v>
      </c>
      <c r="E522" s="2">
        <v>78</v>
      </c>
      <c r="F522" s="2" t="s">
        <v>1266</v>
      </c>
      <c r="G522" s="2">
        <v>1</v>
      </c>
      <c r="H522" s="21">
        <v>0.8</v>
      </c>
      <c r="I522" s="2">
        <v>1</v>
      </c>
    </row>
    <row r="523" spans="1:9" ht="15.75" hidden="1" customHeight="1" x14ac:dyDescent="0.2">
      <c r="A523" s="11">
        <v>522</v>
      </c>
      <c r="B523" s="2">
        <v>522</v>
      </c>
      <c r="C523" s="2">
        <v>44</v>
      </c>
      <c r="D523" s="2">
        <f>VLOOKUP(C523,Course!$A$1:$C$229, 2, FALSE)</f>
        <v>0</v>
      </c>
      <c r="E523" s="2">
        <v>79</v>
      </c>
      <c r="F523" s="2" t="s">
        <v>1267</v>
      </c>
      <c r="G523" s="2">
        <v>1</v>
      </c>
      <c r="H523" s="21">
        <v>0.8</v>
      </c>
      <c r="I523" s="2">
        <v>1</v>
      </c>
    </row>
    <row r="524" spans="1:9" ht="15.75" hidden="1" customHeight="1" x14ac:dyDescent="0.2">
      <c r="A524" s="11">
        <v>523</v>
      </c>
      <c r="B524" s="2">
        <v>523</v>
      </c>
      <c r="C524" s="2">
        <v>44</v>
      </c>
      <c r="D524" s="2">
        <f>VLOOKUP(C524,Course!$A$1:$C$229, 2, FALSE)</f>
        <v>0</v>
      </c>
      <c r="E524" s="2">
        <v>80</v>
      </c>
      <c r="F524" s="2" t="s">
        <v>1268</v>
      </c>
      <c r="G524" s="2">
        <v>1</v>
      </c>
      <c r="H524" s="21">
        <v>0.8</v>
      </c>
      <c r="I524" s="2">
        <v>1</v>
      </c>
    </row>
    <row r="525" spans="1:9" ht="15.75" hidden="1" customHeight="1" x14ac:dyDescent="0.2">
      <c r="A525" s="11">
        <v>524</v>
      </c>
      <c r="B525" s="2">
        <v>524</v>
      </c>
      <c r="C525" s="2">
        <v>44</v>
      </c>
      <c r="D525" s="2">
        <f>VLOOKUP(C525,Course!$A$1:$C$229, 2, FALSE)</f>
        <v>0</v>
      </c>
      <c r="E525" s="2">
        <v>81</v>
      </c>
      <c r="F525" s="2" t="s">
        <v>1269</v>
      </c>
      <c r="G525" s="2">
        <v>1</v>
      </c>
      <c r="H525" s="21">
        <v>0.8</v>
      </c>
      <c r="I525" s="2">
        <v>1</v>
      </c>
    </row>
    <row r="526" spans="1:9" ht="15.75" hidden="1" customHeight="1" x14ac:dyDescent="0.2">
      <c r="A526" s="11">
        <v>525</v>
      </c>
      <c r="B526" s="2">
        <v>525</v>
      </c>
      <c r="C526" s="2">
        <v>44</v>
      </c>
      <c r="D526" s="2">
        <f>VLOOKUP(C526,Course!$A$1:$C$229, 2, FALSE)</f>
        <v>0</v>
      </c>
      <c r="E526" s="2">
        <v>82</v>
      </c>
      <c r="F526" s="2" t="s">
        <v>1270</v>
      </c>
      <c r="G526" s="2">
        <v>1</v>
      </c>
      <c r="H526" s="21">
        <v>0.8</v>
      </c>
      <c r="I526" s="2">
        <v>1</v>
      </c>
    </row>
    <row r="527" spans="1:9" ht="15.75" hidden="1" customHeight="1" x14ac:dyDescent="0.2">
      <c r="A527" s="11">
        <v>526</v>
      </c>
      <c r="B527" s="2">
        <v>526</v>
      </c>
      <c r="C527" s="2">
        <v>44</v>
      </c>
      <c r="D527" s="2">
        <f>VLOOKUP(C527,Course!$A$1:$C$229, 2, FALSE)</f>
        <v>0</v>
      </c>
      <c r="E527" s="2">
        <v>83</v>
      </c>
      <c r="F527" s="2" t="s">
        <v>1271</v>
      </c>
      <c r="G527" s="2">
        <v>1</v>
      </c>
      <c r="H527" s="21">
        <v>0.8</v>
      </c>
      <c r="I527" s="2">
        <v>1</v>
      </c>
    </row>
    <row r="528" spans="1:9" ht="15.75" hidden="1" customHeight="1" x14ac:dyDescent="0.2">
      <c r="A528" s="11">
        <v>527</v>
      </c>
      <c r="B528" s="2">
        <v>527</v>
      </c>
      <c r="C528" s="2">
        <v>44</v>
      </c>
      <c r="D528" s="2">
        <f>VLOOKUP(C528,Course!$A$1:$C$229, 2, FALSE)</f>
        <v>0</v>
      </c>
      <c r="E528" s="2">
        <v>84</v>
      </c>
      <c r="F528" s="2" t="s">
        <v>1272</v>
      </c>
      <c r="G528" s="2">
        <v>1</v>
      </c>
      <c r="H528" s="21">
        <v>0.8</v>
      </c>
      <c r="I528" s="2">
        <v>1</v>
      </c>
    </row>
    <row r="529" spans="1:9" ht="15.75" hidden="1" customHeight="1" x14ac:dyDescent="0.2">
      <c r="A529" s="11">
        <v>528</v>
      </c>
      <c r="B529" s="2">
        <v>528</v>
      </c>
      <c r="C529" s="2">
        <v>45</v>
      </c>
      <c r="D529" s="2">
        <f>VLOOKUP(C529,Course!$A$1:$C$229, 2, FALSE)</f>
        <v>0</v>
      </c>
      <c r="E529" s="2">
        <v>73</v>
      </c>
      <c r="F529" s="2" t="s">
        <v>1273</v>
      </c>
      <c r="G529" s="2">
        <v>1</v>
      </c>
      <c r="H529" s="21">
        <v>0.8</v>
      </c>
      <c r="I529" s="2">
        <v>1</v>
      </c>
    </row>
    <row r="530" spans="1:9" ht="15.75" hidden="1" customHeight="1" x14ac:dyDescent="0.2">
      <c r="A530" s="11">
        <v>529</v>
      </c>
      <c r="B530" s="2">
        <v>529</v>
      </c>
      <c r="C530" s="2">
        <v>45</v>
      </c>
      <c r="D530" s="2">
        <f>VLOOKUP(C530,Course!$A$1:$C$229, 2, FALSE)</f>
        <v>0</v>
      </c>
      <c r="E530" s="2">
        <v>74</v>
      </c>
      <c r="F530" s="2" t="s">
        <v>1274</v>
      </c>
      <c r="G530" s="2">
        <v>1</v>
      </c>
      <c r="H530" s="21">
        <v>0.8</v>
      </c>
      <c r="I530" s="2">
        <v>1</v>
      </c>
    </row>
    <row r="531" spans="1:9" ht="15.75" hidden="1" customHeight="1" x14ac:dyDescent="0.2">
      <c r="A531" s="11">
        <v>530</v>
      </c>
      <c r="B531" s="2">
        <v>530</v>
      </c>
      <c r="C531" s="2">
        <v>45</v>
      </c>
      <c r="D531" s="2">
        <f>VLOOKUP(C531,Course!$A$1:$C$229, 2, FALSE)</f>
        <v>0</v>
      </c>
      <c r="E531" s="2">
        <v>75</v>
      </c>
      <c r="F531" s="2" t="s">
        <v>1275</v>
      </c>
      <c r="G531" s="2">
        <v>1</v>
      </c>
      <c r="H531" s="21">
        <v>0.8</v>
      </c>
      <c r="I531" s="2">
        <v>1</v>
      </c>
    </row>
    <row r="532" spans="1:9" ht="15.75" hidden="1" customHeight="1" x14ac:dyDescent="0.2">
      <c r="A532" s="11">
        <v>531</v>
      </c>
      <c r="B532" s="2">
        <v>531</v>
      </c>
      <c r="C532" s="2">
        <v>45</v>
      </c>
      <c r="D532" s="2">
        <f>VLOOKUP(C532,Course!$A$1:$C$229, 2, FALSE)</f>
        <v>0</v>
      </c>
      <c r="E532" s="2">
        <v>76</v>
      </c>
      <c r="F532" s="2" t="s">
        <v>1276</v>
      </c>
      <c r="G532" s="2">
        <v>1</v>
      </c>
      <c r="H532" s="21">
        <v>0.8</v>
      </c>
      <c r="I532" s="2">
        <v>1</v>
      </c>
    </row>
    <row r="533" spans="1:9" ht="15.75" hidden="1" customHeight="1" x14ac:dyDescent="0.2">
      <c r="A533" s="11">
        <v>532</v>
      </c>
      <c r="B533" s="2">
        <v>532</v>
      </c>
      <c r="C533" s="2">
        <v>45</v>
      </c>
      <c r="D533" s="2">
        <f>VLOOKUP(C533,Course!$A$1:$C$229, 2, FALSE)</f>
        <v>0</v>
      </c>
      <c r="E533" s="2">
        <v>77</v>
      </c>
      <c r="F533" s="2" t="s">
        <v>1277</v>
      </c>
      <c r="G533" s="2">
        <v>1</v>
      </c>
      <c r="H533" s="21">
        <v>0.8</v>
      </c>
      <c r="I533" s="2">
        <v>1</v>
      </c>
    </row>
    <row r="534" spans="1:9" ht="15.75" hidden="1" customHeight="1" x14ac:dyDescent="0.2">
      <c r="A534" s="11">
        <v>533</v>
      </c>
      <c r="B534" s="2">
        <v>533</v>
      </c>
      <c r="C534" s="2">
        <v>45</v>
      </c>
      <c r="D534" s="2">
        <f>VLOOKUP(C534,Course!$A$1:$C$229, 2, FALSE)</f>
        <v>0</v>
      </c>
      <c r="E534" s="2">
        <v>78</v>
      </c>
      <c r="F534" s="2" t="s">
        <v>1278</v>
      </c>
      <c r="G534" s="2">
        <v>1</v>
      </c>
      <c r="H534" s="21">
        <v>0.8</v>
      </c>
      <c r="I534" s="2">
        <v>1</v>
      </c>
    </row>
    <row r="535" spans="1:9" ht="15.75" hidden="1" customHeight="1" x14ac:dyDescent="0.2">
      <c r="A535" s="11">
        <v>534</v>
      </c>
      <c r="B535" s="2">
        <v>534</v>
      </c>
      <c r="C535" s="2">
        <v>45</v>
      </c>
      <c r="D535" s="2">
        <f>VLOOKUP(C535,Course!$A$1:$C$229, 2, FALSE)</f>
        <v>0</v>
      </c>
      <c r="E535" s="2">
        <v>79</v>
      </c>
      <c r="F535" s="2" t="s">
        <v>1279</v>
      </c>
      <c r="G535" s="2">
        <v>1</v>
      </c>
      <c r="H535" s="21">
        <v>0.8</v>
      </c>
      <c r="I535" s="2">
        <v>1</v>
      </c>
    </row>
    <row r="536" spans="1:9" ht="15.75" hidden="1" customHeight="1" x14ac:dyDescent="0.2">
      <c r="A536" s="11">
        <v>535</v>
      </c>
      <c r="B536" s="2">
        <v>535</v>
      </c>
      <c r="C536" s="2">
        <v>45</v>
      </c>
      <c r="D536" s="2">
        <f>VLOOKUP(C536,Course!$A$1:$C$229, 2, FALSE)</f>
        <v>0</v>
      </c>
      <c r="E536" s="2">
        <v>80</v>
      </c>
      <c r="F536" s="2" t="s">
        <v>1280</v>
      </c>
      <c r="G536" s="2">
        <v>1</v>
      </c>
      <c r="H536" s="21">
        <v>0.8</v>
      </c>
      <c r="I536" s="2">
        <v>1</v>
      </c>
    </row>
    <row r="537" spans="1:9" ht="15.75" hidden="1" customHeight="1" x14ac:dyDescent="0.2">
      <c r="A537" s="11">
        <v>536</v>
      </c>
      <c r="B537" s="2">
        <v>536</v>
      </c>
      <c r="C537" s="2">
        <v>45</v>
      </c>
      <c r="D537" s="2">
        <f>VLOOKUP(C537,Course!$A$1:$C$229, 2, FALSE)</f>
        <v>0</v>
      </c>
      <c r="E537" s="2">
        <v>81</v>
      </c>
      <c r="F537" s="2" t="s">
        <v>1281</v>
      </c>
      <c r="G537" s="2">
        <v>1</v>
      </c>
      <c r="H537" s="21">
        <v>0.8</v>
      </c>
      <c r="I537" s="2">
        <v>1</v>
      </c>
    </row>
    <row r="538" spans="1:9" ht="15.75" hidden="1" customHeight="1" x14ac:dyDescent="0.2">
      <c r="A538" s="11">
        <v>537</v>
      </c>
      <c r="B538" s="2">
        <v>537</v>
      </c>
      <c r="C538" s="2">
        <v>45</v>
      </c>
      <c r="D538" s="2">
        <f>VLOOKUP(C538,Course!$A$1:$C$229, 2, FALSE)</f>
        <v>0</v>
      </c>
      <c r="E538" s="2">
        <v>82</v>
      </c>
      <c r="F538" s="2" t="s">
        <v>1282</v>
      </c>
      <c r="G538" s="2">
        <v>1</v>
      </c>
      <c r="H538" s="21">
        <v>0.8</v>
      </c>
      <c r="I538" s="2">
        <v>1</v>
      </c>
    </row>
    <row r="539" spans="1:9" ht="15.75" hidden="1" customHeight="1" x14ac:dyDescent="0.2">
      <c r="A539" s="11">
        <v>538</v>
      </c>
      <c r="B539" s="2">
        <v>538</v>
      </c>
      <c r="C539" s="2">
        <v>45</v>
      </c>
      <c r="D539" s="2">
        <f>VLOOKUP(C539,Course!$A$1:$C$229, 2, FALSE)</f>
        <v>0</v>
      </c>
      <c r="E539" s="2">
        <v>83</v>
      </c>
      <c r="F539" s="2" t="s">
        <v>1283</v>
      </c>
      <c r="G539" s="2">
        <v>1</v>
      </c>
      <c r="H539" s="21">
        <v>0.8</v>
      </c>
      <c r="I539" s="2">
        <v>1</v>
      </c>
    </row>
    <row r="540" spans="1:9" ht="15.75" hidden="1" customHeight="1" x14ac:dyDescent="0.2">
      <c r="A540" s="11">
        <v>539</v>
      </c>
      <c r="B540" s="2">
        <v>539</v>
      </c>
      <c r="C540" s="2">
        <v>45</v>
      </c>
      <c r="D540" s="2">
        <f>VLOOKUP(C540,Course!$A$1:$C$229, 2, FALSE)</f>
        <v>0</v>
      </c>
      <c r="E540" s="2">
        <v>84</v>
      </c>
      <c r="F540" s="2" t="s">
        <v>1284</v>
      </c>
      <c r="G540" s="2">
        <v>1</v>
      </c>
      <c r="H540" s="21">
        <v>0.8</v>
      </c>
      <c r="I540" s="2">
        <v>1</v>
      </c>
    </row>
    <row r="541" spans="1:9" ht="15.75" hidden="1" customHeight="1" x14ac:dyDescent="0.2">
      <c r="A541" s="11">
        <v>540</v>
      </c>
      <c r="B541" s="2">
        <v>540</v>
      </c>
      <c r="C541" s="2">
        <v>46</v>
      </c>
      <c r="D541" s="2">
        <f>VLOOKUP(C541,Course!$A$1:$C$229, 2, FALSE)</f>
        <v>0</v>
      </c>
      <c r="E541" s="2">
        <v>73</v>
      </c>
      <c r="F541" s="2" t="s">
        <v>1285</v>
      </c>
      <c r="G541" s="2">
        <v>1</v>
      </c>
      <c r="H541" s="21">
        <v>0.8</v>
      </c>
      <c r="I541" s="2">
        <v>1</v>
      </c>
    </row>
    <row r="542" spans="1:9" ht="15.75" hidden="1" customHeight="1" x14ac:dyDescent="0.2">
      <c r="A542" s="11">
        <v>541</v>
      </c>
      <c r="B542" s="2">
        <v>541</v>
      </c>
      <c r="C542" s="2">
        <v>46</v>
      </c>
      <c r="D542" s="2">
        <f>VLOOKUP(C542,Course!$A$1:$C$229, 2, FALSE)</f>
        <v>0</v>
      </c>
      <c r="E542" s="2">
        <v>74</v>
      </c>
      <c r="F542" s="2" t="s">
        <v>1286</v>
      </c>
      <c r="G542" s="2">
        <v>1</v>
      </c>
      <c r="H542" s="21">
        <v>0.8</v>
      </c>
      <c r="I542" s="2">
        <v>1</v>
      </c>
    </row>
    <row r="543" spans="1:9" ht="15.75" hidden="1" customHeight="1" x14ac:dyDescent="0.2">
      <c r="A543" s="11">
        <v>542</v>
      </c>
      <c r="B543" s="2">
        <v>542</v>
      </c>
      <c r="C543" s="2">
        <v>46</v>
      </c>
      <c r="D543" s="2">
        <f>VLOOKUP(C543,Course!$A$1:$C$229, 2, FALSE)</f>
        <v>0</v>
      </c>
      <c r="E543" s="2">
        <v>75</v>
      </c>
      <c r="F543" s="2" t="s">
        <v>1287</v>
      </c>
      <c r="G543" s="2">
        <v>1</v>
      </c>
      <c r="H543" s="21">
        <v>0.8</v>
      </c>
      <c r="I543" s="2">
        <v>1</v>
      </c>
    </row>
    <row r="544" spans="1:9" ht="15.75" hidden="1" customHeight="1" x14ac:dyDescent="0.2">
      <c r="A544" s="11">
        <v>543</v>
      </c>
      <c r="B544" s="2">
        <v>543</v>
      </c>
      <c r="C544" s="2">
        <v>46</v>
      </c>
      <c r="D544" s="2">
        <f>VLOOKUP(C544,Course!$A$1:$C$229, 2, FALSE)</f>
        <v>0</v>
      </c>
      <c r="E544" s="2">
        <v>76</v>
      </c>
      <c r="F544" s="2" t="s">
        <v>1288</v>
      </c>
      <c r="G544" s="2">
        <v>1</v>
      </c>
      <c r="H544" s="21">
        <v>0.8</v>
      </c>
      <c r="I544" s="2">
        <v>1</v>
      </c>
    </row>
    <row r="545" spans="1:9" ht="15.75" hidden="1" customHeight="1" x14ac:dyDescent="0.2">
      <c r="A545" s="11">
        <v>544</v>
      </c>
      <c r="B545" s="2">
        <v>544</v>
      </c>
      <c r="C545" s="2">
        <v>46</v>
      </c>
      <c r="D545" s="2">
        <f>VLOOKUP(C545,Course!$A$1:$C$229, 2, FALSE)</f>
        <v>0</v>
      </c>
      <c r="E545" s="2">
        <v>77</v>
      </c>
      <c r="F545" s="2" t="s">
        <v>1289</v>
      </c>
      <c r="G545" s="2">
        <v>1</v>
      </c>
      <c r="H545" s="21">
        <v>0.8</v>
      </c>
      <c r="I545" s="2">
        <v>1</v>
      </c>
    </row>
    <row r="546" spans="1:9" ht="15.75" hidden="1" customHeight="1" x14ac:dyDescent="0.2">
      <c r="A546" s="11">
        <v>545</v>
      </c>
      <c r="B546" s="2">
        <v>545</v>
      </c>
      <c r="C546" s="2">
        <v>46</v>
      </c>
      <c r="D546" s="2">
        <f>VLOOKUP(C546,Course!$A$1:$C$229, 2, FALSE)</f>
        <v>0</v>
      </c>
      <c r="E546" s="2">
        <v>78</v>
      </c>
      <c r="F546" s="2" t="s">
        <v>1290</v>
      </c>
      <c r="G546" s="2">
        <v>1</v>
      </c>
      <c r="H546" s="21">
        <v>0.8</v>
      </c>
      <c r="I546" s="2">
        <v>1</v>
      </c>
    </row>
    <row r="547" spans="1:9" ht="15.75" hidden="1" customHeight="1" x14ac:dyDescent="0.2">
      <c r="A547" s="11">
        <v>546</v>
      </c>
      <c r="B547" s="2">
        <v>546</v>
      </c>
      <c r="C547" s="2">
        <v>46</v>
      </c>
      <c r="D547" s="2">
        <f>VLOOKUP(C547,Course!$A$1:$C$229, 2, FALSE)</f>
        <v>0</v>
      </c>
      <c r="E547" s="2">
        <v>79</v>
      </c>
      <c r="F547" s="2" t="s">
        <v>1291</v>
      </c>
      <c r="G547" s="2">
        <v>1</v>
      </c>
      <c r="H547" s="21">
        <v>0.8</v>
      </c>
      <c r="I547" s="2">
        <v>1</v>
      </c>
    </row>
    <row r="548" spans="1:9" ht="15.75" hidden="1" customHeight="1" x14ac:dyDescent="0.2">
      <c r="A548" s="11">
        <v>547</v>
      </c>
      <c r="B548" s="2">
        <v>547</v>
      </c>
      <c r="C548" s="2">
        <v>46</v>
      </c>
      <c r="D548" s="2">
        <f>VLOOKUP(C548,Course!$A$1:$C$229, 2, FALSE)</f>
        <v>0</v>
      </c>
      <c r="E548" s="2">
        <v>80</v>
      </c>
      <c r="F548" s="2" t="s">
        <v>1292</v>
      </c>
      <c r="G548" s="2">
        <v>1</v>
      </c>
      <c r="H548" s="21">
        <v>0.8</v>
      </c>
      <c r="I548" s="2">
        <v>1</v>
      </c>
    </row>
    <row r="549" spans="1:9" ht="15.75" hidden="1" customHeight="1" x14ac:dyDescent="0.2">
      <c r="A549" s="11">
        <v>548</v>
      </c>
      <c r="B549" s="2">
        <v>548</v>
      </c>
      <c r="C549" s="2">
        <v>46</v>
      </c>
      <c r="D549" s="2">
        <f>VLOOKUP(C549,Course!$A$1:$C$229, 2, FALSE)</f>
        <v>0</v>
      </c>
      <c r="E549" s="2">
        <v>81</v>
      </c>
      <c r="F549" s="2" t="s">
        <v>1293</v>
      </c>
      <c r="G549" s="2">
        <v>1</v>
      </c>
      <c r="H549" s="21">
        <v>0.8</v>
      </c>
      <c r="I549" s="2">
        <v>1</v>
      </c>
    </row>
    <row r="550" spans="1:9" ht="15.75" hidden="1" customHeight="1" x14ac:dyDescent="0.2">
      <c r="A550" s="11">
        <v>549</v>
      </c>
      <c r="B550" s="2">
        <v>549</v>
      </c>
      <c r="C550" s="2">
        <v>46</v>
      </c>
      <c r="D550" s="2">
        <f>VLOOKUP(C550,Course!$A$1:$C$229, 2, FALSE)</f>
        <v>0</v>
      </c>
      <c r="E550" s="2">
        <v>82</v>
      </c>
      <c r="F550" s="2" t="s">
        <v>1294</v>
      </c>
      <c r="G550" s="2">
        <v>1</v>
      </c>
      <c r="H550" s="21">
        <v>0.8</v>
      </c>
      <c r="I550" s="2">
        <v>1</v>
      </c>
    </row>
    <row r="551" spans="1:9" ht="15.75" hidden="1" customHeight="1" x14ac:dyDescent="0.2">
      <c r="A551" s="11">
        <v>550</v>
      </c>
      <c r="B551" s="2">
        <v>550</v>
      </c>
      <c r="C551" s="2">
        <v>46</v>
      </c>
      <c r="D551" s="2">
        <f>VLOOKUP(C551,Course!$A$1:$C$229, 2, FALSE)</f>
        <v>0</v>
      </c>
      <c r="E551" s="2">
        <v>83</v>
      </c>
      <c r="F551" s="2" t="s">
        <v>1295</v>
      </c>
      <c r="G551" s="2">
        <v>1</v>
      </c>
      <c r="H551" s="21">
        <v>0.8</v>
      </c>
      <c r="I551" s="2">
        <v>1</v>
      </c>
    </row>
    <row r="552" spans="1:9" ht="15.75" hidden="1" customHeight="1" x14ac:dyDescent="0.2">
      <c r="A552" s="11">
        <v>551</v>
      </c>
      <c r="B552" s="2">
        <v>551</v>
      </c>
      <c r="C552" s="2">
        <v>46</v>
      </c>
      <c r="D552" s="2">
        <f>VLOOKUP(C552,Course!$A$1:$C$229, 2, FALSE)</f>
        <v>0</v>
      </c>
      <c r="E552" s="2">
        <v>84</v>
      </c>
      <c r="F552" s="2" t="s">
        <v>1296</v>
      </c>
      <c r="G552" s="2">
        <v>1</v>
      </c>
      <c r="H552" s="21">
        <v>0.8</v>
      </c>
      <c r="I552" s="2">
        <v>1</v>
      </c>
    </row>
    <row r="553" spans="1:9" ht="15.75" hidden="1" customHeight="1" x14ac:dyDescent="0.2">
      <c r="A553" s="11">
        <v>552</v>
      </c>
      <c r="B553" s="2">
        <v>552</v>
      </c>
      <c r="C553" s="2">
        <v>47</v>
      </c>
      <c r="D553" s="2">
        <f>VLOOKUP(C553,Course!$A$1:$C$229, 2, FALSE)</f>
        <v>0</v>
      </c>
      <c r="E553" s="2">
        <v>73</v>
      </c>
      <c r="F553" s="2" t="s">
        <v>1297</v>
      </c>
      <c r="G553" s="2">
        <v>1</v>
      </c>
      <c r="H553" s="21">
        <v>0.9</v>
      </c>
      <c r="I553" s="2">
        <v>1</v>
      </c>
    </row>
    <row r="554" spans="1:9" ht="15.75" hidden="1" customHeight="1" x14ac:dyDescent="0.2">
      <c r="A554" s="11">
        <v>553</v>
      </c>
      <c r="B554" s="2">
        <v>553</v>
      </c>
      <c r="C554" s="2">
        <v>47</v>
      </c>
      <c r="D554" s="2">
        <f>VLOOKUP(C554,Course!$A$1:$C$229, 2, FALSE)</f>
        <v>0</v>
      </c>
      <c r="E554" s="2">
        <v>74</v>
      </c>
      <c r="F554" s="2" t="s">
        <v>1298</v>
      </c>
      <c r="G554" s="2">
        <v>1</v>
      </c>
      <c r="H554" s="21">
        <v>0.9</v>
      </c>
      <c r="I554" s="2">
        <v>1</v>
      </c>
    </row>
    <row r="555" spans="1:9" ht="15.75" hidden="1" customHeight="1" x14ac:dyDescent="0.2">
      <c r="A555" s="11">
        <v>554</v>
      </c>
      <c r="B555" s="2">
        <v>554</v>
      </c>
      <c r="C555" s="2">
        <v>47</v>
      </c>
      <c r="D555" s="2">
        <f>VLOOKUP(C555,Course!$A$1:$C$229, 2, FALSE)</f>
        <v>0</v>
      </c>
      <c r="E555" s="2">
        <v>75</v>
      </c>
      <c r="F555" s="2" t="s">
        <v>1299</v>
      </c>
      <c r="G555" s="2">
        <v>1</v>
      </c>
      <c r="H555" s="21">
        <v>0.9</v>
      </c>
      <c r="I555" s="2">
        <v>1</v>
      </c>
    </row>
    <row r="556" spans="1:9" ht="15.75" hidden="1" customHeight="1" x14ac:dyDescent="0.2">
      <c r="A556" s="11">
        <v>555</v>
      </c>
      <c r="B556" s="2">
        <v>555</v>
      </c>
      <c r="C556" s="2">
        <v>47</v>
      </c>
      <c r="D556" s="2">
        <f>VLOOKUP(C556,Course!$A$1:$C$229, 2, FALSE)</f>
        <v>0</v>
      </c>
      <c r="E556" s="2">
        <v>76</v>
      </c>
      <c r="F556" s="2" t="s">
        <v>1300</v>
      </c>
      <c r="G556" s="2">
        <v>1</v>
      </c>
      <c r="H556" s="21">
        <v>0.9</v>
      </c>
      <c r="I556" s="2">
        <v>1</v>
      </c>
    </row>
    <row r="557" spans="1:9" ht="15.75" hidden="1" customHeight="1" x14ac:dyDescent="0.2">
      <c r="A557" s="11">
        <v>556</v>
      </c>
      <c r="B557" s="2">
        <v>556</v>
      </c>
      <c r="C557" s="2">
        <v>47</v>
      </c>
      <c r="D557" s="2">
        <f>VLOOKUP(C557,Course!$A$1:$C$229, 2, FALSE)</f>
        <v>0</v>
      </c>
      <c r="E557" s="2">
        <v>77</v>
      </c>
      <c r="F557" s="2" t="s">
        <v>1301</v>
      </c>
      <c r="G557" s="2">
        <v>1</v>
      </c>
      <c r="H557" s="21">
        <v>0.9</v>
      </c>
      <c r="I557" s="2">
        <v>1</v>
      </c>
    </row>
    <row r="558" spans="1:9" ht="15.75" hidden="1" customHeight="1" x14ac:dyDescent="0.2">
      <c r="A558" s="11">
        <v>557</v>
      </c>
      <c r="B558" s="2">
        <v>557</v>
      </c>
      <c r="C558" s="2">
        <v>47</v>
      </c>
      <c r="D558" s="2">
        <f>VLOOKUP(C558,Course!$A$1:$C$229, 2, FALSE)</f>
        <v>0</v>
      </c>
      <c r="E558" s="2">
        <v>78</v>
      </c>
      <c r="F558" s="2" t="s">
        <v>1302</v>
      </c>
      <c r="G558" s="2">
        <v>1</v>
      </c>
      <c r="H558" s="21">
        <v>0.9</v>
      </c>
      <c r="I558" s="2">
        <v>1</v>
      </c>
    </row>
    <row r="559" spans="1:9" ht="15.75" hidden="1" customHeight="1" x14ac:dyDescent="0.2">
      <c r="A559" s="11">
        <v>558</v>
      </c>
      <c r="B559" s="2">
        <v>558</v>
      </c>
      <c r="C559" s="2">
        <v>47</v>
      </c>
      <c r="D559" s="2">
        <f>VLOOKUP(C559,Course!$A$1:$C$229, 2, FALSE)</f>
        <v>0</v>
      </c>
      <c r="E559" s="2">
        <v>79</v>
      </c>
      <c r="F559" s="2" t="s">
        <v>1303</v>
      </c>
      <c r="G559" s="2">
        <v>1</v>
      </c>
      <c r="H559" s="21">
        <v>0.9</v>
      </c>
      <c r="I559" s="2">
        <v>1</v>
      </c>
    </row>
    <row r="560" spans="1:9" ht="15.75" hidden="1" customHeight="1" x14ac:dyDescent="0.2">
      <c r="A560" s="11">
        <v>559</v>
      </c>
      <c r="B560" s="2">
        <v>559</v>
      </c>
      <c r="C560" s="2">
        <v>47</v>
      </c>
      <c r="D560" s="2">
        <f>VLOOKUP(C560,Course!$A$1:$C$229, 2, FALSE)</f>
        <v>0</v>
      </c>
      <c r="E560" s="2">
        <v>80</v>
      </c>
      <c r="F560" s="2" t="s">
        <v>1304</v>
      </c>
      <c r="G560" s="2">
        <v>1</v>
      </c>
      <c r="H560" s="21">
        <v>0.9</v>
      </c>
      <c r="I560" s="2">
        <v>1</v>
      </c>
    </row>
    <row r="561" spans="1:9" ht="15.75" hidden="1" customHeight="1" x14ac:dyDescent="0.2">
      <c r="A561" s="11">
        <v>560</v>
      </c>
      <c r="B561" s="2">
        <v>560</v>
      </c>
      <c r="C561" s="2">
        <v>47</v>
      </c>
      <c r="D561" s="2">
        <f>VLOOKUP(C561,Course!$A$1:$C$229, 2, FALSE)</f>
        <v>0</v>
      </c>
      <c r="E561" s="2">
        <v>81</v>
      </c>
      <c r="F561" s="2" t="s">
        <v>1305</v>
      </c>
      <c r="G561" s="2">
        <v>1</v>
      </c>
      <c r="H561" s="21">
        <v>0.9</v>
      </c>
      <c r="I561" s="2">
        <v>1</v>
      </c>
    </row>
    <row r="562" spans="1:9" ht="15.75" hidden="1" customHeight="1" x14ac:dyDescent="0.2">
      <c r="A562" s="11">
        <v>561</v>
      </c>
      <c r="B562" s="2">
        <v>561</v>
      </c>
      <c r="C562" s="2">
        <v>47</v>
      </c>
      <c r="D562" s="2">
        <f>VLOOKUP(C562,Course!$A$1:$C$229, 2, FALSE)</f>
        <v>0</v>
      </c>
      <c r="E562" s="2">
        <v>82</v>
      </c>
      <c r="F562" s="2" t="s">
        <v>1306</v>
      </c>
      <c r="G562" s="2">
        <v>1</v>
      </c>
      <c r="H562" s="21">
        <v>0.9</v>
      </c>
      <c r="I562" s="2">
        <v>1</v>
      </c>
    </row>
    <row r="563" spans="1:9" ht="15.75" hidden="1" customHeight="1" x14ac:dyDescent="0.2">
      <c r="A563" s="11">
        <v>562</v>
      </c>
      <c r="B563" s="2">
        <v>562</v>
      </c>
      <c r="C563" s="2">
        <v>47</v>
      </c>
      <c r="D563" s="2">
        <f>VLOOKUP(C563,Course!$A$1:$C$229, 2, FALSE)</f>
        <v>0</v>
      </c>
      <c r="E563" s="2">
        <v>83</v>
      </c>
      <c r="F563" s="2" t="s">
        <v>1307</v>
      </c>
      <c r="G563" s="2">
        <v>1</v>
      </c>
      <c r="H563" s="21">
        <v>0.9</v>
      </c>
      <c r="I563" s="2">
        <v>1</v>
      </c>
    </row>
    <row r="564" spans="1:9" ht="15.75" hidden="1" customHeight="1" x14ac:dyDescent="0.2">
      <c r="A564" s="11">
        <v>563</v>
      </c>
      <c r="B564" s="2">
        <v>563</v>
      </c>
      <c r="C564" s="2">
        <v>47</v>
      </c>
      <c r="D564" s="2">
        <f>VLOOKUP(C564,Course!$A$1:$C$229, 2, FALSE)</f>
        <v>0</v>
      </c>
      <c r="E564" s="2">
        <v>84</v>
      </c>
      <c r="F564" s="2" t="s">
        <v>1308</v>
      </c>
      <c r="G564" s="2">
        <v>1</v>
      </c>
      <c r="H564" s="21">
        <v>0.9</v>
      </c>
      <c r="I564" s="2">
        <v>1</v>
      </c>
    </row>
    <row r="565" spans="1:9" ht="15.75" hidden="1" customHeight="1" x14ac:dyDescent="0.2">
      <c r="A565" s="11">
        <v>564</v>
      </c>
      <c r="B565" s="2">
        <v>564</v>
      </c>
      <c r="C565" s="2">
        <v>48</v>
      </c>
      <c r="D565" s="2">
        <f>VLOOKUP(C565,Course!$A$1:$C$229, 2, FALSE)</f>
        <v>0</v>
      </c>
      <c r="E565" s="2">
        <v>74</v>
      </c>
      <c r="F565" s="2" t="s">
        <v>1309</v>
      </c>
      <c r="G565" s="2">
        <f t="shared" ref="G565:G570" si="0">1/6/2</f>
        <v>8.3333333333333329E-2</v>
      </c>
      <c r="H565" s="21">
        <v>0.8</v>
      </c>
      <c r="I565" s="2">
        <v>1</v>
      </c>
    </row>
    <row r="566" spans="1:9" ht="15.75" hidden="1" customHeight="1" x14ac:dyDescent="0.2">
      <c r="A566" s="11">
        <v>566</v>
      </c>
      <c r="B566" s="2">
        <v>566</v>
      </c>
      <c r="C566" s="2">
        <v>48</v>
      </c>
      <c r="D566" s="2">
        <f>VLOOKUP(C566,Course!$A$1:$C$229, 2, FALSE)</f>
        <v>0</v>
      </c>
      <c r="E566" s="2">
        <v>76</v>
      </c>
      <c r="F566" s="2" t="s">
        <v>1310</v>
      </c>
      <c r="G566" s="2">
        <f t="shared" si="0"/>
        <v>8.3333333333333329E-2</v>
      </c>
      <c r="H566" s="21">
        <v>0.8</v>
      </c>
      <c r="I566" s="2">
        <v>1</v>
      </c>
    </row>
    <row r="567" spans="1:9" ht="15.75" hidden="1" customHeight="1" x14ac:dyDescent="0.2">
      <c r="A567" s="11">
        <v>568</v>
      </c>
      <c r="B567" s="2">
        <v>568</v>
      </c>
      <c r="C567" s="2">
        <v>48</v>
      </c>
      <c r="D567" s="2">
        <f>VLOOKUP(C567,Course!$A$1:$C$229, 2, FALSE)</f>
        <v>0</v>
      </c>
      <c r="E567" s="2">
        <v>78</v>
      </c>
      <c r="F567" s="2" t="s">
        <v>1311</v>
      </c>
      <c r="G567" s="2">
        <f t="shared" si="0"/>
        <v>8.3333333333333329E-2</v>
      </c>
      <c r="H567" s="21">
        <v>0.8</v>
      </c>
      <c r="I567" s="2">
        <v>1</v>
      </c>
    </row>
    <row r="568" spans="1:9" ht="15.75" hidden="1" customHeight="1" x14ac:dyDescent="0.2">
      <c r="A568" s="11">
        <v>570</v>
      </c>
      <c r="B568" s="2">
        <v>570</v>
      </c>
      <c r="C568" s="2">
        <v>48</v>
      </c>
      <c r="D568" s="2">
        <f>VLOOKUP(C568,Course!$A$1:$C$229, 2, FALSE)</f>
        <v>0</v>
      </c>
      <c r="E568" s="2">
        <v>80</v>
      </c>
      <c r="F568" s="2" t="s">
        <v>1312</v>
      </c>
      <c r="G568" s="2">
        <f t="shared" si="0"/>
        <v>8.3333333333333329E-2</v>
      </c>
      <c r="H568" s="21">
        <v>0.8</v>
      </c>
      <c r="I568" s="2">
        <v>1</v>
      </c>
    </row>
    <row r="569" spans="1:9" ht="15.75" hidden="1" customHeight="1" x14ac:dyDescent="0.2">
      <c r="A569" s="11">
        <v>572</v>
      </c>
      <c r="B569" s="2">
        <v>572</v>
      </c>
      <c r="C569" s="2">
        <v>48</v>
      </c>
      <c r="D569" s="2">
        <f>VLOOKUP(C569,Course!$A$1:$C$229, 2, FALSE)</f>
        <v>0</v>
      </c>
      <c r="E569" s="2">
        <v>82</v>
      </c>
      <c r="F569" s="2" t="s">
        <v>1313</v>
      </c>
      <c r="G569" s="2">
        <f t="shared" si="0"/>
        <v>8.3333333333333329E-2</v>
      </c>
      <c r="H569" s="21">
        <v>0.8</v>
      </c>
      <c r="I569" s="2">
        <v>1</v>
      </c>
    </row>
    <row r="570" spans="1:9" ht="15.75" hidden="1" customHeight="1" x14ac:dyDescent="0.2">
      <c r="A570" s="11">
        <v>574</v>
      </c>
      <c r="B570" s="2">
        <v>574</v>
      </c>
      <c r="C570" s="2">
        <v>48</v>
      </c>
      <c r="D570" s="2">
        <f>VLOOKUP(C570,Course!$A$1:$C$229, 2, FALSE)</f>
        <v>0</v>
      </c>
      <c r="E570" s="2">
        <v>84</v>
      </c>
      <c r="F570" s="2" t="s">
        <v>1314</v>
      </c>
      <c r="G570" s="2">
        <f t="shared" si="0"/>
        <v>8.3333333333333329E-2</v>
      </c>
      <c r="H570" s="21">
        <v>0.8</v>
      </c>
      <c r="I570" s="2">
        <v>1</v>
      </c>
    </row>
    <row r="571" spans="1:9" ht="15.75" hidden="1" customHeight="1" x14ac:dyDescent="0.2">
      <c r="A571" s="11">
        <v>575</v>
      </c>
      <c r="B571" s="2">
        <v>575</v>
      </c>
      <c r="C571" s="2">
        <v>49</v>
      </c>
      <c r="D571" s="2" t="str">
        <f>VLOOKUP(C571,Course!$A$1:$C$229, 2, FALSE)</f>
        <v>Science 7</v>
      </c>
      <c r="E571" s="2">
        <v>73</v>
      </c>
      <c r="F571" s="2" t="s">
        <v>1315</v>
      </c>
      <c r="G571" s="2">
        <v>1</v>
      </c>
      <c r="H571" s="21">
        <v>0.8</v>
      </c>
      <c r="I571" s="2">
        <v>1</v>
      </c>
    </row>
    <row r="572" spans="1:9" ht="15.75" hidden="1" customHeight="1" x14ac:dyDescent="0.2">
      <c r="A572" s="11">
        <v>576</v>
      </c>
      <c r="B572" s="2">
        <v>576</v>
      </c>
      <c r="C572" s="2">
        <v>49</v>
      </c>
      <c r="D572" s="2" t="str">
        <f>VLOOKUP(C572,Course!$A$1:$C$229, 2, FALSE)</f>
        <v>Science 7</v>
      </c>
      <c r="E572" s="2">
        <v>74</v>
      </c>
      <c r="F572" s="2" t="s">
        <v>1316</v>
      </c>
      <c r="G572" s="2">
        <v>1</v>
      </c>
      <c r="H572" s="21">
        <v>0.8</v>
      </c>
      <c r="I572" s="2">
        <v>1</v>
      </c>
    </row>
    <row r="573" spans="1:9" ht="15.75" hidden="1" customHeight="1" x14ac:dyDescent="0.2">
      <c r="A573" s="11">
        <v>577</v>
      </c>
      <c r="B573" s="2">
        <v>577</v>
      </c>
      <c r="C573" s="2">
        <v>49</v>
      </c>
      <c r="D573" s="2" t="str">
        <f>VLOOKUP(C573,Course!$A$1:$C$229, 2, FALSE)</f>
        <v>Science 7</v>
      </c>
      <c r="E573" s="2">
        <v>75</v>
      </c>
      <c r="F573" s="2" t="s">
        <v>1317</v>
      </c>
      <c r="G573" s="2">
        <v>1</v>
      </c>
      <c r="H573" s="21">
        <v>0.8</v>
      </c>
      <c r="I573" s="2">
        <v>1</v>
      </c>
    </row>
    <row r="574" spans="1:9" ht="15.75" hidden="1" customHeight="1" x14ac:dyDescent="0.2">
      <c r="A574" s="11">
        <v>578</v>
      </c>
      <c r="B574" s="2">
        <v>578</v>
      </c>
      <c r="C574" s="2">
        <v>49</v>
      </c>
      <c r="D574" s="2" t="str">
        <f>VLOOKUP(C574,Course!$A$1:$C$229, 2, FALSE)</f>
        <v>Science 7</v>
      </c>
      <c r="E574" s="2">
        <v>76</v>
      </c>
      <c r="F574" s="2" t="s">
        <v>1318</v>
      </c>
      <c r="G574" s="2">
        <v>1</v>
      </c>
      <c r="H574" s="21">
        <v>0.8</v>
      </c>
      <c r="I574" s="2">
        <v>1</v>
      </c>
    </row>
    <row r="575" spans="1:9" ht="15.75" hidden="1" customHeight="1" x14ac:dyDescent="0.2">
      <c r="A575" s="11">
        <v>579</v>
      </c>
      <c r="B575" s="2">
        <v>579</v>
      </c>
      <c r="C575" s="2">
        <v>49</v>
      </c>
      <c r="D575" s="2" t="str">
        <f>VLOOKUP(C575,Course!$A$1:$C$229, 2, FALSE)</f>
        <v>Science 7</v>
      </c>
      <c r="E575" s="2">
        <v>77</v>
      </c>
      <c r="F575" s="2" t="s">
        <v>1319</v>
      </c>
      <c r="G575" s="2">
        <v>1</v>
      </c>
      <c r="H575" s="21">
        <v>0.8</v>
      </c>
      <c r="I575" s="2">
        <v>1</v>
      </c>
    </row>
    <row r="576" spans="1:9" ht="15.75" hidden="1" customHeight="1" x14ac:dyDescent="0.2">
      <c r="A576" s="11">
        <v>580</v>
      </c>
      <c r="B576" s="2">
        <v>580</v>
      </c>
      <c r="C576" s="2">
        <v>49</v>
      </c>
      <c r="D576" s="2" t="str">
        <f>VLOOKUP(C576,Course!$A$1:$C$229, 2, FALSE)</f>
        <v>Science 7</v>
      </c>
      <c r="E576" s="2">
        <v>78</v>
      </c>
      <c r="F576" s="2" t="s">
        <v>1320</v>
      </c>
      <c r="G576" s="2">
        <v>1</v>
      </c>
      <c r="H576" s="21">
        <v>0.8</v>
      </c>
      <c r="I576" s="2">
        <v>1</v>
      </c>
    </row>
    <row r="577" spans="1:9" ht="15.75" hidden="1" customHeight="1" x14ac:dyDescent="0.2">
      <c r="A577" s="11">
        <v>581</v>
      </c>
      <c r="B577" s="2">
        <v>581</v>
      </c>
      <c r="C577" s="2">
        <v>49</v>
      </c>
      <c r="D577" s="2" t="str">
        <f>VLOOKUP(C577,Course!$A$1:$C$229, 2, FALSE)</f>
        <v>Science 7</v>
      </c>
      <c r="E577" s="2">
        <v>79</v>
      </c>
      <c r="F577" s="2" t="s">
        <v>1321</v>
      </c>
      <c r="G577" s="2">
        <v>1</v>
      </c>
      <c r="H577" s="21">
        <v>0.8</v>
      </c>
      <c r="I577" s="2">
        <v>1</v>
      </c>
    </row>
    <row r="578" spans="1:9" ht="15.75" hidden="1" customHeight="1" x14ac:dyDescent="0.2">
      <c r="A578" s="11">
        <v>582</v>
      </c>
      <c r="B578" s="2">
        <v>582</v>
      </c>
      <c r="C578" s="2">
        <v>49</v>
      </c>
      <c r="D578" s="2" t="str">
        <f>VLOOKUP(C578,Course!$A$1:$C$229, 2, FALSE)</f>
        <v>Science 7</v>
      </c>
      <c r="E578" s="2">
        <v>80</v>
      </c>
      <c r="F578" s="2" t="s">
        <v>1322</v>
      </c>
      <c r="G578" s="2">
        <v>1</v>
      </c>
      <c r="H578" s="21">
        <v>0.8</v>
      </c>
      <c r="I578" s="2">
        <v>1</v>
      </c>
    </row>
    <row r="579" spans="1:9" ht="15.75" hidden="1" customHeight="1" x14ac:dyDescent="0.2">
      <c r="A579" s="11">
        <v>583</v>
      </c>
      <c r="B579" s="2">
        <v>583</v>
      </c>
      <c r="C579" s="2">
        <v>49</v>
      </c>
      <c r="D579" s="2" t="str">
        <f>VLOOKUP(C579,Course!$A$1:$C$229, 2, FALSE)</f>
        <v>Science 7</v>
      </c>
      <c r="E579" s="2">
        <v>81</v>
      </c>
      <c r="F579" s="2" t="s">
        <v>1323</v>
      </c>
      <c r="G579" s="2">
        <v>1</v>
      </c>
      <c r="H579" s="21">
        <v>0.8</v>
      </c>
      <c r="I579" s="2">
        <v>1</v>
      </c>
    </row>
    <row r="580" spans="1:9" ht="15.75" hidden="1" customHeight="1" x14ac:dyDescent="0.2">
      <c r="A580" s="11">
        <v>584</v>
      </c>
      <c r="B580" s="2">
        <v>584</v>
      </c>
      <c r="C580" s="2">
        <v>49</v>
      </c>
      <c r="D580" s="2" t="str">
        <f>VLOOKUP(C580,Course!$A$1:$C$229, 2, FALSE)</f>
        <v>Science 7</v>
      </c>
      <c r="E580" s="2">
        <v>82</v>
      </c>
      <c r="F580" s="2" t="s">
        <v>1324</v>
      </c>
      <c r="G580" s="2">
        <v>1</v>
      </c>
      <c r="H580" s="21">
        <v>0.8</v>
      </c>
      <c r="I580" s="2">
        <v>1</v>
      </c>
    </row>
    <row r="581" spans="1:9" ht="15.75" hidden="1" customHeight="1" x14ac:dyDescent="0.2">
      <c r="A581" s="11">
        <v>585</v>
      </c>
      <c r="B581" s="2">
        <v>585</v>
      </c>
      <c r="C581" s="2">
        <v>49</v>
      </c>
      <c r="D581" s="2" t="str">
        <f>VLOOKUP(C581,Course!$A$1:$C$229, 2, FALSE)</f>
        <v>Science 7</v>
      </c>
      <c r="E581" s="2">
        <v>83</v>
      </c>
      <c r="F581" s="2" t="s">
        <v>1325</v>
      </c>
      <c r="G581" s="2">
        <v>1</v>
      </c>
      <c r="H581" s="21">
        <v>0.8</v>
      </c>
      <c r="I581" s="2">
        <v>1</v>
      </c>
    </row>
    <row r="582" spans="1:9" ht="15.75" hidden="1" customHeight="1" x14ac:dyDescent="0.2">
      <c r="A582" s="11">
        <v>586</v>
      </c>
      <c r="B582" s="2">
        <v>586</v>
      </c>
      <c r="C582" s="2">
        <v>49</v>
      </c>
      <c r="D582" s="2" t="str">
        <f>VLOOKUP(C582,Course!$A$1:$C$229, 2, FALSE)</f>
        <v>Science 7</v>
      </c>
      <c r="E582" s="2">
        <v>84</v>
      </c>
      <c r="F582" s="2" t="s">
        <v>1326</v>
      </c>
      <c r="G582" s="2">
        <v>1</v>
      </c>
      <c r="H582" s="21">
        <v>0.8</v>
      </c>
      <c r="I582" s="2">
        <v>1</v>
      </c>
    </row>
    <row r="583" spans="1:9" ht="15.75" hidden="1" customHeight="1" x14ac:dyDescent="0.2">
      <c r="A583" s="11">
        <v>587</v>
      </c>
      <c r="B583" s="2">
        <v>587</v>
      </c>
      <c r="C583" s="2">
        <v>50</v>
      </c>
      <c r="D583" s="2">
        <f>VLOOKUP(C583,Course!$A$1:$C$229, 2, FALSE)</f>
        <v>0</v>
      </c>
      <c r="E583" s="2">
        <v>73</v>
      </c>
      <c r="F583" s="2" t="s">
        <v>1327</v>
      </c>
      <c r="G583" s="2">
        <v>1</v>
      </c>
      <c r="H583" s="21">
        <v>0.8</v>
      </c>
      <c r="I583" s="2">
        <v>1</v>
      </c>
    </row>
    <row r="584" spans="1:9" ht="15.75" hidden="1" customHeight="1" x14ac:dyDescent="0.2">
      <c r="A584" s="11">
        <v>588</v>
      </c>
      <c r="B584" s="2">
        <v>588</v>
      </c>
      <c r="C584" s="2">
        <v>50</v>
      </c>
      <c r="D584" s="2">
        <f>VLOOKUP(C584,Course!$A$1:$C$229, 2, FALSE)</f>
        <v>0</v>
      </c>
      <c r="E584" s="2">
        <v>74</v>
      </c>
      <c r="F584" s="2" t="s">
        <v>1328</v>
      </c>
      <c r="G584" s="2">
        <v>1</v>
      </c>
      <c r="H584" s="21">
        <v>0.8</v>
      </c>
      <c r="I584" s="2">
        <v>1</v>
      </c>
    </row>
    <row r="585" spans="1:9" ht="15.75" hidden="1" customHeight="1" x14ac:dyDescent="0.2">
      <c r="A585" s="11">
        <v>589</v>
      </c>
      <c r="B585" s="2">
        <v>589</v>
      </c>
      <c r="C585" s="2">
        <v>50</v>
      </c>
      <c r="D585" s="2">
        <f>VLOOKUP(C585,Course!$A$1:$C$229, 2, FALSE)</f>
        <v>0</v>
      </c>
      <c r="E585" s="2">
        <v>75</v>
      </c>
      <c r="F585" s="2" t="s">
        <v>1329</v>
      </c>
      <c r="G585" s="2">
        <v>1</v>
      </c>
      <c r="H585" s="21">
        <v>0.8</v>
      </c>
      <c r="I585" s="2">
        <v>1</v>
      </c>
    </row>
    <row r="586" spans="1:9" ht="15.75" hidden="1" customHeight="1" x14ac:dyDescent="0.2">
      <c r="A586" s="11">
        <v>590</v>
      </c>
      <c r="B586" s="2">
        <v>590</v>
      </c>
      <c r="C586" s="2">
        <v>50</v>
      </c>
      <c r="D586" s="2">
        <f>VLOOKUP(C586,Course!$A$1:$C$229, 2, FALSE)</f>
        <v>0</v>
      </c>
      <c r="E586" s="2">
        <v>76</v>
      </c>
      <c r="F586" s="2" t="s">
        <v>1330</v>
      </c>
      <c r="G586" s="2">
        <v>1</v>
      </c>
      <c r="H586" s="21">
        <v>0.8</v>
      </c>
      <c r="I586" s="2">
        <v>1</v>
      </c>
    </row>
    <row r="587" spans="1:9" ht="15.75" hidden="1" customHeight="1" x14ac:dyDescent="0.2">
      <c r="A587" s="11">
        <v>591</v>
      </c>
      <c r="B587" s="2">
        <v>591</v>
      </c>
      <c r="C587" s="2">
        <v>50</v>
      </c>
      <c r="D587" s="2">
        <f>VLOOKUP(C587,Course!$A$1:$C$229, 2, FALSE)</f>
        <v>0</v>
      </c>
      <c r="E587" s="2">
        <v>77</v>
      </c>
      <c r="F587" s="2" t="s">
        <v>1331</v>
      </c>
      <c r="G587" s="2">
        <v>1</v>
      </c>
      <c r="H587" s="21">
        <v>0.8</v>
      </c>
      <c r="I587" s="2">
        <v>1</v>
      </c>
    </row>
    <row r="588" spans="1:9" ht="15.75" hidden="1" customHeight="1" x14ac:dyDescent="0.2">
      <c r="A588" s="11">
        <v>592</v>
      </c>
      <c r="B588" s="2">
        <v>592</v>
      </c>
      <c r="C588" s="2">
        <v>50</v>
      </c>
      <c r="D588" s="2">
        <f>VLOOKUP(C588,Course!$A$1:$C$229, 2, FALSE)</f>
        <v>0</v>
      </c>
      <c r="E588" s="2">
        <v>78</v>
      </c>
      <c r="F588" s="2" t="s">
        <v>1332</v>
      </c>
      <c r="G588" s="2">
        <v>1</v>
      </c>
      <c r="H588" s="21">
        <v>0.8</v>
      </c>
      <c r="I588" s="2">
        <v>1</v>
      </c>
    </row>
    <row r="589" spans="1:9" ht="15.75" hidden="1" customHeight="1" x14ac:dyDescent="0.2">
      <c r="A589" s="11">
        <v>593</v>
      </c>
      <c r="B589" s="2">
        <v>593</v>
      </c>
      <c r="C589" s="2">
        <v>51</v>
      </c>
      <c r="D589" s="2">
        <f>VLOOKUP(C589,Course!$A$1:$C$229, 2, FALSE)</f>
        <v>0</v>
      </c>
      <c r="E589" s="2">
        <v>1</v>
      </c>
      <c r="F589" s="2" t="s">
        <v>1333</v>
      </c>
      <c r="G589" s="2">
        <v>1</v>
      </c>
      <c r="H589" s="21">
        <v>0.8</v>
      </c>
      <c r="I589" s="2">
        <v>1</v>
      </c>
    </row>
    <row r="590" spans="1:9" ht="15.75" hidden="1" customHeight="1" x14ac:dyDescent="0.2">
      <c r="A590" s="11">
        <v>594</v>
      </c>
      <c r="B590" s="2">
        <v>594</v>
      </c>
      <c r="C590" s="2">
        <v>51</v>
      </c>
      <c r="D590" s="2">
        <f>VLOOKUP(C590,Course!$A$1:$C$229, 2, FALSE)</f>
        <v>0</v>
      </c>
      <c r="E590" s="2">
        <v>2</v>
      </c>
      <c r="F590" s="2" t="s">
        <v>1334</v>
      </c>
      <c r="G590" s="2">
        <v>1</v>
      </c>
      <c r="H590" s="21">
        <v>0.8</v>
      </c>
      <c r="I590" s="2">
        <v>1</v>
      </c>
    </row>
    <row r="591" spans="1:9" ht="15.75" hidden="1" customHeight="1" x14ac:dyDescent="0.2">
      <c r="A591" s="11">
        <v>595</v>
      </c>
      <c r="B591" s="2">
        <v>595</v>
      </c>
      <c r="C591" s="2">
        <v>51</v>
      </c>
      <c r="D591" s="2">
        <f>VLOOKUP(C591,Course!$A$1:$C$229, 2, FALSE)</f>
        <v>0</v>
      </c>
      <c r="E591" s="2">
        <v>3</v>
      </c>
      <c r="F591" s="2" t="s">
        <v>1335</v>
      </c>
      <c r="G591" s="2">
        <v>1</v>
      </c>
      <c r="H591" s="21">
        <v>0.8</v>
      </c>
      <c r="I591" s="2">
        <v>1</v>
      </c>
    </row>
    <row r="592" spans="1:9" ht="15.75" hidden="1" customHeight="1" x14ac:dyDescent="0.2">
      <c r="A592" s="11">
        <v>596</v>
      </c>
      <c r="B592" s="2">
        <v>596</v>
      </c>
      <c r="C592" s="2">
        <v>52</v>
      </c>
      <c r="D592" s="2">
        <f>VLOOKUP(C592,Course!$A$1:$C$229, 2, FALSE)</f>
        <v>0</v>
      </c>
      <c r="E592" s="2">
        <v>73</v>
      </c>
      <c r="F592" s="2" t="s">
        <v>1336</v>
      </c>
      <c r="G592" s="2">
        <v>1</v>
      </c>
      <c r="H592" s="21">
        <v>0.8</v>
      </c>
      <c r="I592" s="2">
        <v>1</v>
      </c>
    </row>
    <row r="593" spans="1:9" ht="15.75" hidden="1" customHeight="1" x14ac:dyDescent="0.2">
      <c r="A593" s="11">
        <v>597</v>
      </c>
      <c r="B593" s="2">
        <v>597</v>
      </c>
      <c r="C593" s="2">
        <v>52</v>
      </c>
      <c r="D593" s="2">
        <f>VLOOKUP(C593,Course!$A$1:$C$229, 2, FALSE)</f>
        <v>0</v>
      </c>
      <c r="E593" s="2">
        <v>74</v>
      </c>
      <c r="F593" s="2" t="s">
        <v>1337</v>
      </c>
      <c r="G593" s="2">
        <v>1</v>
      </c>
      <c r="H593" s="21">
        <v>0.8</v>
      </c>
      <c r="I593" s="2">
        <v>1</v>
      </c>
    </row>
    <row r="594" spans="1:9" ht="15.75" hidden="1" customHeight="1" x14ac:dyDescent="0.2">
      <c r="A594" s="11">
        <v>598</v>
      </c>
      <c r="B594" s="2">
        <v>598</v>
      </c>
      <c r="C594" s="2">
        <v>52</v>
      </c>
      <c r="D594" s="2">
        <f>VLOOKUP(C594,Course!$A$1:$C$229, 2, FALSE)</f>
        <v>0</v>
      </c>
      <c r="E594" s="2">
        <v>75</v>
      </c>
      <c r="F594" s="2" t="s">
        <v>1338</v>
      </c>
      <c r="G594" s="2">
        <v>1</v>
      </c>
      <c r="H594" s="21">
        <v>0.8</v>
      </c>
      <c r="I594" s="2">
        <v>1</v>
      </c>
    </row>
    <row r="595" spans="1:9" ht="15.75" hidden="1" customHeight="1" x14ac:dyDescent="0.2">
      <c r="A595" s="11">
        <v>599</v>
      </c>
      <c r="B595" s="2">
        <v>599</v>
      </c>
      <c r="C595" s="2">
        <v>52</v>
      </c>
      <c r="D595" s="2">
        <f>VLOOKUP(C595,Course!$A$1:$C$229, 2, FALSE)</f>
        <v>0</v>
      </c>
      <c r="E595" s="2">
        <v>76</v>
      </c>
      <c r="F595" s="2" t="s">
        <v>1339</v>
      </c>
      <c r="G595" s="2">
        <v>1</v>
      </c>
      <c r="H595" s="21">
        <v>0.8</v>
      </c>
      <c r="I595" s="2">
        <v>1</v>
      </c>
    </row>
    <row r="596" spans="1:9" ht="15.75" hidden="1" customHeight="1" x14ac:dyDescent="0.2">
      <c r="A596" s="11">
        <v>600</v>
      </c>
      <c r="B596" s="2">
        <v>600</v>
      </c>
      <c r="C596" s="2">
        <v>52</v>
      </c>
      <c r="D596" s="2">
        <f>VLOOKUP(C596,Course!$A$1:$C$229, 2, FALSE)</f>
        <v>0</v>
      </c>
      <c r="E596" s="2">
        <v>77</v>
      </c>
      <c r="F596" s="2" t="s">
        <v>1340</v>
      </c>
      <c r="G596" s="2">
        <v>1</v>
      </c>
      <c r="H596" s="21">
        <v>0.8</v>
      </c>
      <c r="I596" s="2">
        <v>1</v>
      </c>
    </row>
    <row r="597" spans="1:9" ht="15.75" hidden="1" customHeight="1" x14ac:dyDescent="0.2">
      <c r="A597" s="11">
        <v>601</v>
      </c>
      <c r="B597" s="2">
        <v>601</v>
      </c>
      <c r="C597" s="2">
        <v>52</v>
      </c>
      <c r="D597" s="2">
        <f>VLOOKUP(C597,Course!$A$1:$C$229, 2, FALSE)</f>
        <v>0</v>
      </c>
      <c r="E597" s="2">
        <v>78</v>
      </c>
      <c r="F597" s="2" t="s">
        <v>1341</v>
      </c>
      <c r="G597" s="2">
        <v>1</v>
      </c>
      <c r="H597" s="21">
        <v>0.8</v>
      </c>
      <c r="I597" s="2">
        <v>1</v>
      </c>
    </row>
    <row r="598" spans="1:9" ht="15.75" hidden="1" customHeight="1" x14ac:dyDescent="0.2">
      <c r="A598" s="11">
        <v>602</v>
      </c>
      <c r="B598" s="2">
        <v>602</v>
      </c>
      <c r="C598" s="2">
        <v>52</v>
      </c>
      <c r="D598" s="2">
        <f>VLOOKUP(C598,Course!$A$1:$C$229, 2, FALSE)</f>
        <v>0</v>
      </c>
      <c r="E598" s="2">
        <v>79</v>
      </c>
      <c r="F598" s="2" t="s">
        <v>1342</v>
      </c>
      <c r="G598" s="2">
        <v>1</v>
      </c>
      <c r="H598" s="21">
        <v>0.8</v>
      </c>
      <c r="I598" s="2">
        <v>1</v>
      </c>
    </row>
    <row r="599" spans="1:9" ht="15.75" hidden="1" customHeight="1" x14ac:dyDescent="0.2">
      <c r="A599" s="11">
        <v>603</v>
      </c>
      <c r="B599" s="2">
        <v>603</v>
      </c>
      <c r="C599" s="2">
        <v>52</v>
      </c>
      <c r="D599" s="2">
        <f>VLOOKUP(C599,Course!$A$1:$C$229, 2, FALSE)</f>
        <v>0</v>
      </c>
      <c r="E599" s="2">
        <v>80</v>
      </c>
      <c r="F599" s="2" t="s">
        <v>1343</v>
      </c>
      <c r="G599" s="2">
        <v>1</v>
      </c>
      <c r="H599" s="21">
        <v>0.8</v>
      </c>
      <c r="I599" s="2">
        <v>1</v>
      </c>
    </row>
    <row r="600" spans="1:9" ht="15.75" hidden="1" customHeight="1" x14ac:dyDescent="0.2">
      <c r="A600" s="11">
        <v>604</v>
      </c>
      <c r="B600" s="2">
        <v>604</v>
      </c>
      <c r="C600" s="2">
        <v>52</v>
      </c>
      <c r="D600" s="2">
        <f>VLOOKUP(C600,Course!$A$1:$C$229, 2, FALSE)</f>
        <v>0</v>
      </c>
      <c r="E600" s="2">
        <v>81</v>
      </c>
      <c r="F600" s="2" t="s">
        <v>1344</v>
      </c>
      <c r="G600" s="2">
        <v>1</v>
      </c>
      <c r="H600" s="21">
        <v>0.8</v>
      </c>
      <c r="I600" s="2">
        <v>1</v>
      </c>
    </row>
    <row r="601" spans="1:9" ht="15.75" hidden="1" customHeight="1" x14ac:dyDescent="0.2">
      <c r="A601" s="11">
        <v>605</v>
      </c>
      <c r="B601" s="2">
        <v>605</v>
      </c>
      <c r="C601" s="2">
        <v>52</v>
      </c>
      <c r="D601" s="2">
        <f>VLOOKUP(C601,Course!$A$1:$C$229, 2, FALSE)</f>
        <v>0</v>
      </c>
      <c r="E601" s="2">
        <v>82</v>
      </c>
      <c r="F601" s="2" t="s">
        <v>1345</v>
      </c>
      <c r="G601" s="2">
        <v>1</v>
      </c>
      <c r="H601" s="21">
        <v>0.8</v>
      </c>
      <c r="I601" s="2">
        <v>1</v>
      </c>
    </row>
    <row r="602" spans="1:9" ht="15.75" hidden="1" customHeight="1" x14ac:dyDescent="0.2">
      <c r="A602" s="11">
        <v>606</v>
      </c>
      <c r="B602" s="2">
        <v>606</v>
      </c>
      <c r="C602" s="2">
        <v>52</v>
      </c>
      <c r="D602" s="2">
        <f>VLOOKUP(C602,Course!$A$1:$C$229, 2, FALSE)</f>
        <v>0</v>
      </c>
      <c r="E602" s="2">
        <v>83</v>
      </c>
      <c r="F602" s="2" t="s">
        <v>1346</v>
      </c>
      <c r="G602" s="2">
        <v>1</v>
      </c>
      <c r="H602" s="21">
        <v>0.8</v>
      </c>
      <c r="I602" s="2">
        <v>1</v>
      </c>
    </row>
    <row r="603" spans="1:9" ht="15.75" hidden="1" customHeight="1" x14ac:dyDescent="0.2">
      <c r="A603" s="11">
        <v>607</v>
      </c>
      <c r="B603" s="2">
        <v>607</v>
      </c>
      <c r="C603" s="2">
        <v>52</v>
      </c>
      <c r="D603" s="2">
        <f>VLOOKUP(C603,Course!$A$1:$C$229, 2, FALSE)</f>
        <v>0</v>
      </c>
      <c r="E603" s="2">
        <v>84</v>
      </c>
      <c r="F603" s="2" t="s">
        <v>1347</v>
      </c>
      <c r="G603" s="2">
        <v>1</v>
      </c>
      <c r="H603" s="21">
        <v>0.8</v>
      </c>
      <c r="I603" s="2">
        <v>1</v>
      </c>
    </row>
    <row r="604" spans="1:9" ht="15.75" hidden="1" customHeight="1" x14ac:dyDescent="0.2">
      <c r="A604" s="11">
        <v>608</v>
      </c>
      <c r="B604" s="2">
        <v>608</v>
      </c>
      <c r="C604" s="2">
        <v>53</v>
      </c>
      <c r="D604" s="2">
        <f>VLOOKUP(C604,Course!$A$1:$C$229, 2, FALSE)</f>
        <v>0</v>
      </c>
      <c r="E604" s="2">
        <v>85</v>
      </c>
      <c r="F604" s="2" t="s">
        <v>1348</v>
      </c>
      <c r="G604" s="2">
        <v>1</v>
      </c>
      <c r="H604" s="21">
        <v>0.8</v>
      </c>
      <c r="I604" s="2">
        <v>1</v>
      </c>
    </row>
    <row r="605" spans="1:9" ht="15.75" hidden="1" customHeight="1" x14ac:dyDescent="0.2">
      <c r="A605" s="11">
        <v>609</v>
      </c>
      <c r="B605" s="2">
        <v>609</v>
      </c>
      <c r="C605" s="2">
        <v>53</v>
      </c>
      <c r="D605" s="2">
        <f>VLOOKUP(C605,Course!$A$1:$C$229, 2, FALSE)</f>
        <v>0</v>
      </c>
      <c r="E605" s="2">
        <v>86</v>
      </c>
      <c r="F605" s="2" t="s">
        <v>1349</v>
      </c>
      <c r="G605" s="2">
        <v>1</v>
      </c>
      <c r="H605" s="21">
        <v>0.8</v>
      </c>
      <c r="I605" s="2">
        <v>1</v>
      </c>
    </row>
    <row r="606" spans="1:9" ht="15.75" hidden="1" customHeight="1" x14ac:dyDescent="0.2">
      <c r="A606" s="11">
        <v>610</v>
      </c>
      <c r="B606" s="2">
        <v>610</v>
      </c>
      <c r="C606" s="2">
        <v>53</v>
      </c>
      <c r="D606" s="2">
        <f>VLOOKUP(C606,Course!$A$1:$C$229, 2, FALSE)</f>
        <v>0</v>
      </c>
      <c r="E606" s="2">
        <v>87</v>
      </c>
      <c r="F606" s="2" t="s">
        <v>1350</v>
      </c>
      <c r="G606" s="2">
        <v>1</v>
      </c>
      <c r="H606" s="21">
        <v>0.8</v>
      </c>
      <c r="I606" s="2">
        <v>1</v>
      </c>
    </row>
    <row r="607" spans="1:9" ht="15.75" hidden="1" customHeight="1" x14ac:dyDescent="0.2">
      <c r="A607" s="11">
        <v>611</v>
      </c>
      <c r="B607" s="2">
        <v>611</v>
      </c>
      <c r="C607" s="2">
        <v>53</v>
      </c>
      <c r="D607" s="2">
        <f>VLOOKUP(C607,Course!$A$1:$C$229, 2, FALSE)</f>
        <v>0</v>
      </c>
      <c r="E607" s="2">
        <v>88</v>
      </c>
      <c r="F607" s="2" t="s">
        <v>1351</v>
      </c>
      <c r="G607" s="2">
        <v>1</v>
      </c>
      <c r="H607" s="21">
        <v>0.8</v>
      </c>
      <c r="I607" s="2">
        <v>1</v>
      </c>
    </row>
    <row r="608" spans="1:9" ht="15.75" hidden="1" customHeight="1" x14ac:dyDescent="0.2">
      <c r="A608" s="11">
        <v>612</v>
      </c>
      <c r="B608" s="2">
        <v>612</v>
      </c>
      <c r="C608" s="2">
        <v>53</v>
      </c>
      <c r="D608" s="2">
        <f>VLOOKUP(C608,Course!$A$1:$C$229, 2, FALSE)</f>
        <v>0</v>
      </c>
      <c r="E608" s="2">
        <v>89</v>
      </c>
      <c r="F608" s="2" t="s">
        <v>1352</v>
      </c>
      <c r="G608" s="2">
        <v>1</v>
      </c>
      <c r="H608" s="21">
        <v>0.8</v>
      </c>
      <c r="I608" s="2">
        <v>1</v>
      </c>
    </row>
    <row r="609" spans="1:9" ht="15.75" hidden="1" customHeight="1" x14ac:dyDescent="0.2">
      <c r="A609" s="11">
        <v>613</v>
      </c>
      <c r="B609" s="2">
        <v>613</v>
      </c>
      <c r="C609" s="2">
        <v>53</v>
      </c>
      <c r="D609" s="2">
        <f>VLOOKUP(C609,Course!$A$1:$C$229, 2, FALSE)</f>
        <v>0</v>
      </c>
      <c r="E609" s="2">
        <v>90</v>
      </c>
      <c r="F609" s="2" t="s">
        <v>1353</v>
      </c>
      <c r="G609" s="2">
        <v>1</v>
      </c>
      <c r="H609" s="21">
        <v>0.8</v>
      </c>
      <c r="I609" s="2">
        <v>1</v>
      </c>
    </row>
    <row r="610" spans="1:9" ht="15.75" hidden="1" customHeight="1" x14ac:dyDescent="0.2">
      <c r="A610" s="11">
        <v>614</v>
      </c>
      <c r="B610" s="2">
        <v>614</v>
      </c>
      <c r="C610" s="2">
        <v>53</v>
      </c>
      <c r="D610" s="2">
        <f>VLOOKUP(C610,Course!$A$1:$C$229, 2, FALSE)</f>
        <v>0</v>
      </c>
      <c r="E610" s="2">
        <v>91</v>
      </c>
      <c r="F610" s="2" t="s">
        <v>1354</v>
      </c>
      <c r="G610" s="2">
        <v>1</v>
      </c>
      <c r="H610" s="21">
        <v>0.8</v>
      </c>
      <c r="I610" s="2">
        <v>1</v>
      </c>
    </row>
    <row r="611" spans="1:9" ht="15.75" hidden="1" customHeight="1" x14ac:dyDescent="0.2">
      <c r="A611" s="11">
        <v>615</v>
      </c>
      <c r="B611" s="2">
        <v>615</v>
      </c>
      <c r="C611" s="2">
        <v>53</v>
      </c>
      <c r="D611" s="2">
        <f>VLOOKUP(C611,Course!$A$1:$C$229, 2, FALSE)</f>
        <v>0</v>
      </c>
      <c r="E611" s="2">
        <v>92</v>
      </c>
      <c r="F611" s="2" t="s">
        <v>1355</v>
      </c>
      <c r="G611" s="2">
        <v>1</v>
      </c>
      <c r="H611" s="21">
        <v>0.8</v>
      </c>
      <c r="I611" s="2">
        <v>1</v>
      </c>
    </row>
    <row r="612" spans="1:9" ht="15.75" hidden="1" customHeight="1" x14ac:dyDescent="0.2">
      <c r="A612" s="11">
        <v>616</v>
      </c>
      <c r="B612" s="2">
        <v>616</v>
      </c>
      <c r="C612" s="2">
        <v>53</v>
      </c>
      <c r="D612" s="2">
        <f>VLOOKUP(C612,Course!$A$1:$C$229, 2, FALSE)</f>
        <v>0</v>
      </c>
      <c r="E612" s="2">
        <v>93</v>
      </c>
      <c r="F612" s="2" t="s">
        <v>1356</v>
      </c>
      <c r="G612" s="2">
        <v>1</v>
      </c>
      <c r="H612" s="21">
        <v>0.8</v>
      </c>
      <c r="I612" s="2">
        <v>1</v>
      </c>
    </row>
    <row r="613" spans="1:9" ht="15.75" hidden="1" customHeight="1" x14ac:dyDescent="0.2">
      <c r="A613" s="11">
        <v>617</v>
      </c>
      <c r="B613" s="2">
        <v>617</v>
      </c>
      <c r="C613" s="2">
        <v>53</v>
      </c>
      <c r="D613" s="2">
        <f>VLOOKUP(C613,Course!$A$1:$C$229, 2, FALSE)</f>
        <v>0</v>
      </c>
      <c r="E613" s="2">
        <v>94</v>
      </c>
      <c r="F613" s="2" t="s">
        <v>1357</v>
      </c>
      <c r="G613" s="2">
        <v>1</v>
      </c>
      <c r="H613" s="21">
        <v>0.8</v>
      </c>
      <c r="I613" s="2">
        <v>1</v>
      </c>
    </row>
    <row r="614" spans="1:9" ht="15.75" hidden="1" customHeight="1" x14ac:dyDescent="0.2">
      <c r="A614" s="11">
        <v>618</v>
      </c>
      <c r="B614" s="2">
        <v>618</v>
      </c>
      <c r="C614" s="2">
        <v>53</v>
      </c>
      <c r="D614" s="2">
        <f>VLOOKUP(C614,Course!$A$1:$C$229, 2, FALSE)</f>
        <v>0</v>
      </c>
      <c r="E614" s="2">
        <v>95</v>
      </c>
      <c r="F614" s="2" t="s">
        <v>1358</v>
      </c>
      <c r="G614" s="2">
        <v>1</v>
      </c>
      <c r="H614" s="21">
        <v>0.8</v>
      </c>
      <c r="I614" s="2">
        <v>1</v>
      </c>
    </row>
    <row r="615" spans="1:9" ht="15.75" hidden="1" customHeight="1" x14ac:dyDescent="0.2">
      <c r="A615" s="11">
        <v>619</v>
      </c>
      <c r="B615" s="2">
        <v>619</v>
      </c>
      <c r="C615" s="2">
        <v>53</v>
      </c>
      <c r="D615" s="2">
        <f>VLOOKUP(C615,Course!$A$1:$C$229, 2, FALSE)</f>
        <v>0</v>
      </c>
      <c r="E615" s="2">
        <v>96</v>
      </c>
      <c r="F615" s="2" t="s">
        <v>1359</v>
      </c>
      <c r="G615" s="2">
        <v>1</v>
      </c>
      <c r="H615" s="21">
        <v>0.8</v>
      </c>
      <c r="I615" s="2">
        <v>1</v>
      </c>
    </row>
    <row r="616" spans="1:9" ht="15.75" hidden="1" customHeight="1" x14ac:dyDescent="0.2">
      <c r="A616" s="11">
        <v>620</v>
      </c>
      <c r="B616" s="2">
        <v>620</v>
      </c>
      <c r="C616" s="2">
        <v>54</v>
      </c>
      <c r="D616" s="2">
        <f>VLOOKUP(C616,Course!$A$1:$C$229, 2, FALSE)</f>
        <v>0</v>
      </c>
      <c r="E616" s="2">
        <v>85</v>
      </c>
      <c r="F616" s="2" t="s">
        <v>1360</v>
      </c>
      <c r="G616" s="2">
        <v>1</v>
      </c>
      <c r="H616" s="21">
        <v>0.8</v>
      </c>
      <c r="I616" s="2">
        <v>1</v>
      </c>
    </row>
    <row r="617" spans="1:9" ht="15.75" hidden="1" customHeight="1" x14ac:dyDescent="0.2">
      <c r="A617" s="11">
        <v>621</v>
      </c>
      <c r="B617" s="2">
        <v>621</v>
      </c>
      <c r="C617" s="2">
        <v>54</v>
      </c>
      <c r="D617" s="2">
        <f>VLOOKUP(C617,Course!$A$1:$C$229, 2, FALSE)</f>
        <v>0</v>
      </c>
      <c r="E617" s="2">
        <v>86</v>
      </c>
      <c r="F617" s="2" t="s">
        <v>1361</v>
      </c>
      <c r="G617" s="2">
        <v>1</v>
      </c>
      <c r="H617" s="21">
        <v>0.8</v>
      </c>
      <c r="I617" s="2">
        <v>1</v>
      </c>
    </row>
    <row r="618" spans="1:9" ht="15.75" hidden="1" customHeight="1" x14ac:dyDescent="0.2">
      <c r="A618" s="11">
        <v>622</v>
      </c>
      <c r="B618" s="2">
        <v>622</v>
      </c>
      <c r="C618" s="2">
        <v>54</v>
      </c>
      <c r="D618" s="2">
        <f>VLOOKUP(C618,Course!$A$1:$C$229, 2, FALSE)</f>
        <v>0</v>
      </c>
      <c r="E618" s="2">
        <v>87</v>
      </c>
      <c r="F618" s="2" t="s">
        <v>1362</v>
      </c>
      <c r="G618" s="2">
        <v>1</v>
      </c>
      <c r="H618" s="21">
        <v>0.8</v>
      </c>
      <c r="I618" s="2">
        <v>1</v>
      </c>
    </row>
    <row r="619" spans="1:9" ht="15.75" hidden="1" customHeight="1" x14ac:dyDescent="0.2">
      <c r="A619" s="11">
        <v>623</v>
      </c>
      <c r="B619" s="2">
        <v>623</v>
      </c>
      <c r="C619" s="2">
        <v>54</v>
      </c>
      <c r="D619" s="2">
        <f>VLOOKUP(C619,Course!$A$1:$C$229, 2, FALSE)</f>
        <v>0</v>
      </c>
      <c r="E619" s="2">
        <v>88</v>
      </c>
      <c r="F619" s="2" t="s">
        <v>1363</v>
      </c>
      <c r="G619" s="2">
        <v>1</v>
      </c>
      <c r="H619" s="21">
        <v>0.8</v>
      </c>
      <c r="I619" s="2">
        <v>1</v>
      </c>
    </row>
    <row r="620" spans="1:9" ht="15.75" hidden="1" customHeight="1" x14ac:dyDescent="0.2">
      <c r="A620" s="11">
        <v>624</v>
      </c>
      <c r="B620" s="2">
        <v>624</v>
      </c>
      <c r="C620" s="2">
        <v>54</v>
      </c>
      <c r="D620" s="2">
        <f>VLOOKUP(C620,Course!$A$1:$C$229, 2, FALSE)</f>
        <v>0</v>
      </c>
      <c r="E620" s="2">
        <v>89</v>
      </c>
      <c r="F620" s="2" t="s">
        <v>1364</v>
      </c>
      <c r="G620" s="2">
        <v>1</v>
      </c>
      <c r="H620" s="21">
        <v>0.8</v>
      </c>
      <c r="I620" s="2">
        <v>1</v>
      </c>
    </row>
    <row r="621" spans="1:9" ht="15.75" hidden="1" customHeight="1" x14ac:dyDescent="0.2">
      <c r="A621" s="11">
        <v>625</v>
      </c>
      <c r="B621" s="2">
        <v>625</v>
      </c>
      <c r="C621" s="2">
        <v>54</v>
      </c>
      <c r="D621" s="2">
        <f>VLOOKUP(C621,Course!$A$1:$C$229, 2, FALSE)</f>
        <v>0</v>
      </c>
      <c r="E621" s="2">
        <v>90</v>
      </c>
      <c r="F621" s="2" t="s">
        <v>1365</v>
      </c>
      <c r="G621" s="2">
        <v>1</v>
      </c>
      <c r="H621" s="21">
        <v>0.8</v>
      </c>
      <c r="I621" s="2">
        <v>1</v>
      </c>
    </row>
    <row r="622" spans="1:9" ht="15.75" hidden="1" customHeight="1" x14ac:dyDescent="0.2">
      <c r="A622" s="11">
        <v>626</v>
      </c>
      <c r="B622" s="2">
        <v>626</v>
      </c>
      <c r="C622" s="2">
        <v>54</v>
      </c>
      <c r="D622" s="2">
        <f>VLOOKUP(C622,Course!$A$1:$C$229, 2, FALSE)</f>
        <v>0</v>
      </c>
      <c r="E622" s="2">
        <v>91</v>
      </c>
      <c r="F622" s="2" t="s">
        <v>1366</v>
      </c>
      <c r="G622" s="2">
        <v>1</v>
      </c>
      <c r="H622" s="21">
        <v>0.8</v>
      </c>
      <c r="I622" s="2">
        <v>1</v>
      </c>
    </row>
    <row r="623" spans="1:9" ht="15.75" hidden="1" customHeight="1" x14ac:dyDescent="0.2">
      <c r="A623" s="11">
        <v>627</v>
      </c>
      <c r="B623" s="2">
        <v>627</v>
      </c>
      <c r="C623" s="2">
        <v>54</v>
      </c>
      <c r="D623" s="2">
        <f>VLOOKUP(C623,Course!$A$1:$C$229, 2, FALSE)</f>
        <v>0</v>
      </c>
      <c r="E623" s="2">
        <v>92</v>
      </c>
      <c r="F623" s="2" t="s">
        <v>1367</v>
      </c>
      <c r="G623" s="2">
        <v>1</v>
      </c>
      <c r="H623" s="21">
        <v>0.8</v>
      </c>
      <c r="I623" s="2">
        <v>1</v>
      </c>
    </row>
    <row r="624" spans="1:9" ht="15.75" hidden="1" customHeight="1" x14ac:dyDescent="0.2">
      <c r="A624" s="11">
        <v>628</v>
      </c>
      <c r="B624" s="2">
        <v>628</v>
      </c>
      <c r="C624" s="2">
        <v>54</v>
      </c>
      <c r="D624" s="2">
        <f>VLOOKUP(C624,Course!$A$1:$C$229, 2, FALSE)</f>
        <v>0</v>
      </c>
      <c r="E624" s="2">
        <v>93</v>
      </c>
      <c r="F624" s="2" t="s">
        <v>1368</v>
      </c>
      <c r="G624" s="2">
        <v>1</v>
      </c>
      <c r="H624" s="21">
        <v>0.8</v>
      </c>
      <c r="I624" s="2">
        <v>1</v>
      </c>
    </row>
    <row r="625" spans="1:9" ht="15.75" hidden="1" customHeight="1" x14ac:dyDescent="0.2">
      <c r="A625" s="11">
        <v>629</v>
      </c>
      <c r="B625" s="2">
        <v>629</v>
      </c>
      <c r="C625" s="2">
        <v>54</v>
      </c>
      <c r="D625" s="2">
        <f>VLOOKUP(C625,Course!$A$1:$C$229, 2, FALSE)</f>
        <v>0</v>
      </c>
      <c r="E625" s="2">
        <v>94</v>
      </c>
      <c r="F625" s="2" t="s">
        <v>1369</v>
      </c>
      <c r="G625" s="2">
        <v>1</v>
      </c>
      <c r="H625" s="21">
        <v>0.8</v>
      </c>
      <c r="I625" s="2">
        <v>1</v>
      </c>
    </row>
    <row r="626" spans="1:9" ht="15.75" hidden="1" customHeight="1" x14ac:dyDescent="0.2">
      <c r="A626" s="11">
        <v>630</v>
      </c>
      <c r="B626" s="2">
        <v>630</v>
      </c>
      <c r="C626" s="2">
        <v>54</v>
      </c>
      <c r="D626" s="2">
        <f>VLOOKUP(C626,Course!$A$1:$C$229, 2, FALSE)</f>
        <v>0</v>
      </c>
      <c r="E626" s="2">
        <v>95</v>
      </c>
      <c r="F626" s="2" t="s">
        <v>1370</v>
      </c>
      <c r="G626" s="2">
        <v>1</v>
      </c>
      <c r="H626" s="21">
        <v>0.8</v>
      </c>
      <c r="I626" s="2">
        <v>1</v>
      </c>
    </row>
    <row r="627" spans="1:9" ht="15.75" hidden="1" customHeight="1" x14ac:dyDescent="0.2">
      <c r="A627" s="11">
        <v>631</v>
      </c>
      <c r="B627" s="2">
        <v>631</v>
      </c>
      <c r="C627" s="2">
        <v>54</v>
      </c>
      <c r="D627" s="2">
        <f>VLOOKUP(C627,Course!$A$1:$C$229, 2, FALSE)</f>
        <v>0</v>
      </c>
      <c r="E627" s="2">
        <v>96</v>
      </c>
      <c r="F627" s="2" t="s">
        <v>1371</v>
      </c>
      <c r="G627" s="2">
        <v>1</v>
      </c>
      <c r="H627" s="21">
        <v>0.8</v>
      </c>
      <c r="I627" s="2">
        <v>1</v>
      </c>
    </row>
    <row r="628" spans="1:9" ht="15.75" hidden="1" customHeight="1" x14ac:dyDescent="0.2">
      <c r="A628" s="11">
        <v>632</v>
      </c>
      <c r="B628" s="2">
        <v>632</v>
      </c>
      <c r="C628" s="2">
        <v>55</v>
      </c>
      <c r="D628" s="2">
        <f>VLOOKUP(C628,Course!$A$1:$C$229, 2, FALSE)</f>
        <v>0</v>
      </c>
      <c r="E628" s="2">
        <v>85</v>
      </c>
      <c r="F628" s="2" t="s">
        <v>1372</v>
      </c>
      <c r="G628" s="2">
        <v>1</v>
      </c>
      <c r="H628" s="21">
        <v>0.9</v>
      </c>
      <c r="I628" s="2">
        <v>1</v>
      </c>
    </row>
    <row r="629" spans="1:9" ht="15.75" hidden="1" customHeight="1" x14ac:dyDescent="0.2">
      <c r="A629" s="11">
        <v>633</v>
      </c>
      <c r="B629" s="2">
        <v>633</v>
      </c>
      <c r="C629" s="2">
        <v>55</v>
      </c>
      <c r="D629" s="2">
        <f>VLOOKUP(C629,Course!$A$1:$C$229, 2, FALSE)</f>
        <v>0</v>
      </c>
      <c r="E629" s="2">
        <v>86</v>
      </c>
      <c r="F629" s="2" t="s">
        <v>1373</v>
      </c>
      <c r="G629" s="2">
        <v>1</v>
      </c>
      <c r="H629" s="21">
        <v>0.9</v>
      </c>
      <c r="I629" s="2">
        <v>1</v>
      </c>
    </row>
    <row r="630" spans="1:9" ht="15.75" hidden="1" customHeight="1" x14ac:dyDescent="0.2">
      <c r="A630" s="11">
        <v>634</v>
      </c>
      <c r="B630" s="2">
        <v>634</v>
      </c>
      <c r="C630" s="2">
        <v>55</v>
      </c>
      <c r="D630" s="2">
        <f>VLOOKUP(C630,Course!$A$1:$C$229, 2, FALSE)</f>
        <v>0</v>
      </c>
      <c r="E630" s="2">
        <v>87</v>
      </c>
      <c r="F630" s="2" t="s">
        <v>1374</v>
      </c>
      <c r="G630" s="2">
        <v>1</v>
      </c>
      <c r="H630" s="21">
        <v>0.9</v>
      </c>
      <c r="I630" s="2">
        <v>1</v>
      </c>
    </row>
    <row r="631" spans="1:9" ht="15.75" hidden="1" customHeight="1" x14ac:dyDescent="0.2">
      <c r="A631" s="11">
        <v>635</v>
      </c>
      <c r="B631" s="2">
        <v>635</v>
      </c>
      <c r="C631" s="2">
        <v>55</v>
      </c>
      <c r="D631" s="2">
        <f>VLOOKUP(C631,Course!$A$1:$C$229, 2, FALSE)</f>
        <v>0</v>
      </c>
      <c r="E631" s="2">
        <v>88</v>
      </c>
      <c r="F631" s="2" t="s">
        <v>1375</v>
      </c>
      <c r="G631" s="2">
        <v>1</v>
      </c>
      <c r="H631" s="21">
        <v>0.9</v>
      </c>
      <c r="I631" s="2">
        <v>1</v>
      </c>
    </row>
    <row r="632" spans="1:9" ht="15.75" hidden="1" customHeight="1" x14ac:dyDescent="0.2">
      <c r="A632" s="11">
        <v>636</v>
      </c>
      <c r="B632" s="2">
        <v>636</v>
      </c>
      <c r="C632" s="2">
        <v>55</v>
      </c>
      <c r="D632" s="2">
        <f>VLOOKUP(C632,Course!$A$1:$C$229, 2, FALSE)</f>
        <v>0</v>
      </c>
      <c r="E632" s="2">
        <v>89</v>
      </c>
      <c r="F632" s="2" t="s">
        <v>1376</v>
      </c>
      <c r="G632" s="2">
        <v>1</v>
      </c>
      <c r="H632" s="21">
        <v>0.9</v>
      </c>
      <c r="I632" s="2">
        <v>1</v>
      </c>
    </row>
    <row r="633" spans="1:9" ht="15.75" hidden="1" customHeight="1" x14ac:dyDescent="0.2">
      <c r="A633" s="11">
        <v>637</v>
      </c>
      <c r="B633" s="2">
        <v>637</v>
      </c>
      <c r="C633" s="2">
        <v>55</v>
      </c>
      <c r="D633" s="2">
        <f>VLOOKUP(C633,Course!$A$1:$C$229, 2, FALSE)</f>
        <v>0</v>
      </c>
      <c r="E633" s="2">
        <v>90</v>
      </c>
      <c r="F633" s="2" t="s">
        <v>1377</v>
      </c>
      <c r="G633" s="2">
        <v>1</v>
      </c>
      <c r="H633" s="21">
        <v>0.9</v>
      </c>
      <c r="I633" s="2">
        <v>1</v>
      </c>
    </row>
    <row r="634" spans="1:9" ht="15.75" hidden="1" customHeight="1" x14ac:dyDescent="0.2">
      <c r="A634" s="11">
        <v>638</v>
      </c>
      <c r="B634" s="2">
        <v>638</v>
      </c>
      <c r="C634" s="2">
        <v>55</v>
      </c>
      <c r="D634" s="2">
        <f>VLOOKUP(C634,Course!$A$1:$C$229, 2, FALSE)</f>
        <v>0</v>
      </c>
      <c r="E634" s="2">
        <v>91</v>
      </c>
      <c r="F634" s="2" t="s">
        <v>1378</v>
      </c>
      <c r="G634" s="2">
        <v>1</v>
      </c>
      <c r="H634" s="21">
        <v>0.9</v>
      </c>
      <c r="I634" s="2">
        <v>1</v>
      </c>
    </row>
    <row r="635" spans="1:9" ht="15.75" hidden="1" customHeight="1" x14ac:dyDescent="0.2">
      <c r="A635" s="11">
        <v>639</v>
      </c>
      <c r="B635" s="2">
        <v>639</v>
      </c>
      <c r="C635" s="2">
        <v>55</v>
      </c>
      <c r="D635" s="2">
        <f>VLOOKUP(C635,Course!$A$1:$C$229, 2, FALSE)</f>
        <v>0</v>
      </c>
      <c r="E635" s="2">
        <v>92</v>
      </c>
      <c r="F635" s="2" t="s">
        <v>1379</v>
      </c>
      <c r="G635" s="2">
        <v>1</v>
      </c>
      <c r="H635" s="21">
        <v>0.9</v>
      </c>
      <c r="I635" s="2">
        <v>1</v>
      </c>
    </row>
    <row r="636" spans="1:9" ht="15.75" hidden="1" customHeight="1" x14ac:dyDescent="0.2">
      <c r="A636" s="11">
        <v>640</v>
      </c>
      <c r="B636" s="2">
        <v>640</v>
      </c>
      <c r="C636" s="2">
        <v>55</v>
      </c>
      <c r="D636" s="2">
        <f>VLOOKUP(C636,Course!$A$1:$C$229, 2, FALSE)</f>
        <v>0</v>
      </c>
      <c r="E636" s="2">
        <v>93</v>
      </c>
      <c r="F636" s="2" t="s">
        <v>1380</v>
      </c>
      <c r="G636" s="2">
        <v>1</v>
      </c>
      <c r="H636" s="21">
        <v>0.9</v>
      </c>
      <c r="I636" s="2">
        <v>1</v>
      </c>
    </row>
    <row r="637" spans="1:9" ht="15.75" hidden="1" customHeight="1" x14ac:dyDescent="0.2">
      <c r="A637" s="11">
        <v>641</v>
      </c>
      <c r="B637" s="2">
        <v>641</v>
      </c>
      <c r="C637" s="2">
        <v>55</v>
      </c>
      <c r="D637" s="2">
        <f>VLOOKUP(C637,Course!$A$1:$C$229, 2, FALSE)</f>
        <v>0</v>
      </c>
      <c r="E637" s="2">
        <v>94</v>
      </c>
      <c r="F637" s="2" t="s">
        <v>1381</v>
      </c>
      <c r="G637" s="2">
        <v>1</v>
      </c>
      <c r="H637" s="21">
        <v>0.9</v>
      </c>
      <c r="I637" s="2">
        <v>1</v>
      </c>
    </row>
    <row r="638" spans="1:9" ht="15.75" hidden="1" customHeight="1" x14ac:dyDescent="0.2">
      <c r="A638" s="11">
        <v>642</v>
      </c>
      <c r="B638" s="2">
        <v>642</v>
      </c>
      <c r="C638" s="2">
        <v>55</v>
      </c>
      <c r="D638" s="2">
        <f>VLOOKUP(C638,Course!$A$1:$C$229, 2, FALSE)</f>
        <v>0</v>
      </c>
      <c r="E638" s="2">
        <v>95</v>
      </c>
      <c r="F638" s="2" t="s">
        <v>1382</v>
      </c>
      <c r="G638" s="2">
        <v>1</v>
      </c>
      <c r="H638" s="21">
        <v>0.9</v>
      </c>
      <c r="I638" s="2">
        <v>1</v>
      </c>
    </row>
    <row r="639" spans="1:9" ht="15.75" hidden="1" customHeight="1" x14ac:dyDescent="0.2">
      <c r="A639" s="11">
        <v>643</v>
      </c>
      <c r="B639" s="2">
        <v>643</v>
      </c>
      <c r="C639" s="2">
        <v>55</v>
      </c>
      <c r="D639" s="2">
        <f>VLOOKUP(C639,Course!$A$1:$C$229, 2, FALSE)</f>
        <v>0</v>
      </c>
      <c r="E639" s="2">
        <v>96</v>
      </c>
      <c r="F639" s="2" t="s">
        <v>1383</v>
      </c>
      <c r="G639" s="2">
        <v>1</v>
      </c>
      <c r="H639" s="21">
        <v>0.9</v>
      </c>
      <c r="I639" s="2">
        <v>1</v>
      </c>
    </row>
    <row r="640" spans="1:9" ht="15.75" hidden="1" customHeight="1" x14ac:dyDescent="0.2">
      <c r="A640" s="11">
        <v>644</v>
      </c>
      <c r="B640" s="2">
        <v>644</v>
      </c>
      <c r="C640" s="2">
        <v>56</v>
      </c>
      <c r="D640" s="2">
        <f>VLOOKUP(C640,Course!$A$1:$C$229, 2, FALSE)</f>
        <v>0</v>
      </c>
      <c r="E640" s="2">
        <v>86</v>
      </c>
      <c r="F640" s="2" t="s">
        <v>1384</v>
      </c>
      <c r="G640" s="2">
        <f t="shared" ref="G640:G645" si="1">1/6/2</f>
        <v>8.3333333333333329E-2</v>
      </c>
      <c r="H640" s="21">
        <v>0.8</v>
      </c>
      <c r="I640" s="2">
        <v>1</v>
      </c>
    </row>
    <row r="641" spans="1:9" ht="15.75" hidden="1" customHeight="1" x14ac:dyDescent="0.2">
      <c r="A641" s="11">
        <v>646</v>
      </c>
      <c r="B641" s="2">
        <v>646</v>
      </c>
      <c r="C641" s="2">
        <v>56</v>
      </c>
      <c r="D641" s="2">
        <f>VLOOKUP(C641,Course!$A$1:$C$229, 2, FALSE)</f>
        <v>0</v>
      </c>
      <c r="E641" s="2">
        <v>88</v>
      </c>
      <c r="F641" s="2" t="s">
        <v>1385</v>
      </c>
      <c r="G641" s="2">
        <f t="shared" si="1"/>
        <v>8.3333333333333329E-2</v>
      </c>
      <c r="H641" s="21">
        <v>0.8</v>
      </c>
      <c r="I641" s="2">
        <v>1</v>
      </c>
    </row>
    <row r="642" spans="1:9" ht="15.75" hidden="1" customHeight="1" x14ac:dyDescent="0.2">
      <c r="A642" s="11">
        <v>648</v>
      </c>
      <c r="B642" s="2">
        <v>648</v>
      </c>
      <c r="C642" s="2">
        <v>56</v>
      </c>
      <c r="D642" s="2">
        <f>VLOOKUP(C642,Course!$A$1:$C$229, 2, FALSE)</f>
        <v>0</v>
      </c>
      <c r="E642" s="2">
        <v>90</v>
      </c>
      <c r="F642" s="2" t="s">
        <v>1386</v>
      </c>
      <c r="G642" s="2">
        <f t="shared" si="1"/>
        <v>8.3333333333333329E-2</v>
      </c>
      <c r="H642" s="21">
        <v>0.8</v>
      </c>
      <c r="I642" s="2">
        <v>1</v>
      </c>
    </row>
    <row r="643" spans="1:9" ht="15.75" hidden="1" customHeight="1" x14ac:dyDescent="0.2">
      <c r="A643" s="11">
        <v>650</v>
      </c>
      <c r="B643" s="2">
        <v>650</v>
      </c>
      <c r="C643" s="2">
        <v>56</v>
      </c>
      <c r="D643" s="2">
        <f>VLOOKUP(C643,Course!$A$1:$C$229, 2, FALSE)</f>
        <v>0</v>
      </c>
      <c r="E643" s="2">
        <v>92</v>
      </c>
      <c r="F643" s="2" t="s">
        <v>1387</v>
      </c>
      <c r="G643" s="2">
        <f t="shared" si="1"/>
        <v>8.3333333333333329E-2</v>
      </c>
      <c r="H643" s="21">
        <v>0.8</v>
      </c>
      <c r="I643" s="2">
        <v>1</v>
      </c>
    </row>
    <row r="644" spans="1:9" ht="15.75" hidden="1" customHeight="1" x14ac:dyDescent="0.2">
      <c r="A644" s="11">
        <v>652</v>
      </c>
      <c r="B644" s="2">
        <v>652</v>
      </c>
      <c r="C644" s="2">
        <v>56</v>
      </c>
      <c r="D644" s="2">
        <f>VLOOKUP(C644,Course!$A$1:$C$229, 2, FALSE)</f>
        <v>0</v>
      </c>
      <c r="E644" s="2">
        <v>94</v>
      </c>
      <c r="F644" s="2" t="s">
        <v>1388</v>
      </c>
      <c r="G644" s="2">
        <f t="shared" si="1"/>
        <v>8.3333333333333329E-2</v>
      </c>
      <c r="H644" s="21">
        <v>0.8</v>
      </c>
      <c r="I644" s="2">
        <v>1</v>
      </c>
    </row>
    <row r="645" spans="1:9" ht="15.75" hidden="1" customHeight="1" x14ac:dyDescent="0.2">
      <c r="A645" s="11">
        <v>654</v>
      </c>
      <c r="B645" s="2">
        <v>654</v>
      </c>
      <c r="C645" s="2">
        <v>56</v>
      </c>
      <c r="D645" s="2">
        <f>VLOOKUP(C645,Course!$A$1:$C$229, 2, FALSE)</f>
        <v>0</v>
      </c>
      <c r="E645" s="2">
        <v>96</v>
      </c>
      <c r="F645" s="2" t="s">
        <v>1389</v>
      </c>
      <c r="G645" s="2">
        <f t="shared" si="1"/>
        <v>8.3333333333333329E-2</v>
      </c>
      <c r="H645" s="21">
        <v>0.8</v>
      </c>
      <c r="I645" s="2">
        <v>1</v>
      </c>
    </row>
    <row r="646" spans="1:9" ht="15.75" hidden="1" customHeight="1" x14ac:dyDescent="0.2">
      <c r="A646" s="11">
        <v>655</v>
      </c>
      <c r="B646" s="2">
        <v>655</v>
      </c>
      <c r="C646" s="2">
        <v>57</v>
      </c>
      <c r="D646" s="2" t="str">
        <f>VLOOKUP(C646,Course!$A$1:$C$229, 2, FALSE)</f>
        <v>Science 8</v>
      </c>
      <c r="E646" s="2">
        <v>85</v>
      </c>
      <c r="F646" s="2" t="s">
        <v>1390</v>
      </c>
      <c r="G646" s="2">
        <v>1</v>
      </c>
      <c r="H646" s="21">
        <v>0.8</v>
      </c>
      <c r="I646" s="2">
        <v>1</v>
      </c>
    </row>
    <row r="647" spans="1:9" ht="15.75" hidden="1" customHeight="1" x14ac:dyDescent="0.2">
      <c r="A647" s="11">
        <v>656</v>
      </c>
      <c r="B647" s="2">
        <v>656</v>
      </c>
      <c r="C647" s="2">
        <v>57</v>
      </c>
      <c r="D647" s="2" t="str">
        <f>VLOOKUP(C647,Course!$A$1:$C$229, 2, FALSE)</f>
        <v>Science 8</v>
      </c>
      <c r="E647" s="2">
        <v>86</v>
      </c>
      <c r="F647" s="2" t="s">
        <v>1391</v>
      </c>
      <c r="G647" s="2">
        <v>1</v>
      </c>
      <c r="H647" s="21">
        <v>0.8</v>
      </c>
      <c r="I647" s="2">
        <v>1</v>
      </c>
    </row>
    <row r="648" spans="1:9" ht="15.75" hidden="1" customHeight="1" x14ac:dyDescent="0.2">
      <c r="A648" s="11">
        <v>657</v>
      </c>
      <c r="B648" s="2">
        <v>657</v>
      </c>
      <c r="C648" s="2">
        <v>57</v>
      </c>
      <c r="D648" s="2" t="str">
        <f>VLOOKUP(C648,Course!$A$1:$C$229, 2, FALSE)</f>
        <v>Science 8</v>
      </c>
      <c r="E648" s="2">
        <v>87</v>
      </c>
      <c r="F648" s="2" t="s">
        <v>1392</v>
      </c>
      <c r="G648" s="2">
        <v>1</v>
      </c>
      <c r="H648" s="21">
        <v>0.8</v>
      </c>
      <c r="I648" s="2">
        <v>1</v>
      </c>
    </row>
    <row r="649" spans="1:9" ht="15.75" hidden="1" customHeight="1" x14ac:dyDescent="0.2">
      <c r="A649" s="11">
        <v>658</v>
      </c>
      <c r="B649" s="2">
        <v>658</v>
      </c>
      <c r="C649" s="2">
        <v>57</v>
      </c>
      <c r="D649" s="2" t="str">
        <f>VLOOKUP(C649,Course!$A$1:$C$229, 2, FALSE)</f>
        <v>Science 8</v>
      </c>
      <c r="E649" s="2">
        <v>88</v>
      </c>
      <c r="F649" s="2" t="s">
        <v>1393</v>
      </c>
      <c r="G649" s="2">
        <v>1</v>
      </c>
      <c r="H649" s="21">
        <v>0.8</v>
      </c>
      <c r="I649" s="2">
        <v>1</v>
      </c>
    </row>
    <row r="650" spans="1:9" ht="15.75" hidden="1" customHeight="1" x14ac:dyDescent="0.2">
      <c r="A650" s="11">
        <v>659</v>
      </c>
      <c r="B650" s="2">
        <v>659</v>
      </c>
      <c r="C650" s="2">
        <v>57</v>
      </c>
      <c r="D650" s="2" t="str">
        <f>VLOOKUP(C650,Course!$A$1:$C$229, 2, FALSE)</f>
        <v>Science 8</v>
      </c>
      <c r="E650" s="2">
        <v>89</v>
      </c>
      <c r="F650" s="2" t="s">
        <v>1394</v>
      </c>
      <c r="G650" s="2">
        <v>1</v>
      </c>
      <c r="H650" s="21">
        <v>0.8</v>
      </c>
      <c r="I650" s="2">
        <v>1</v>
      </c>
    </row>
    <row r="651" spans="1:9" ht="15.75" hidden="1" customHeight="1" x14ac:dyDescent="0.2">
      <c r="A651" s="11">
        <v>660</v>
      </c>
      <c r="B651" s="2">
        <v>660</v>
      </c>
      <c r="C651" s="2">
        <v>57</v>
      </c>
      <c r="D651" s="2" t="str">
        <f>VLOOKUP(C651,Course!$A$1:$C$229, 2, FALSE)</f>
        <v>Science 8</v>
      </c>
      <c r="E651" s="2">
        <v>90</v>
      </c>
      <c r="F651" s="2" t="s">
        <v>1395</v>
      </c>
      <c r="G651" s="2">
        <v>1</v>
      </c>
      <c r="H651" s="21">
        <v>0.8</v>
      </c>
      <c r="I651" s="2">
        <v>1</v>
      </c>
    </row>
    <row r="652" spans="1:9" ht="15.75" hidden="1" customHeight="1" x14ac:dyDescent="0.2">
      <c r="A652" s="11">
        <v>661</v>
      </c>
      <c r="B652" s="2">
        <v>661</v>
      </c>
      <c r="C652" s="2">
        <v>57</v>
      </c>
      <c r="D652" s="2" t="str">
        <f>VLOOKUP(C652,Course!$A$1:$C$229, 2, FALSE)</f>
        <v>Science 8</v>
      </c>
      <c r="E652" s="2">
        <v>91</v>
      </c>
      <c r="F652" s="2" t="s">
        <v>1396</v>
      </c>
      <c r="G652" s="2">
        <v>1</v>
      </c>
      <c r="H652" s="21">
        <v>0.8</v>
      </c>
      <c r="I652" s="2">
        <v>1</v>
      </c>
    </row>
    <row r="653" spans="1:9" ht="15.75" hidden="1" customHeight="1" x14ac:dyDescent="0.2">
      <c r="A653" s="11">
        <v>662</v>
      </c>
      <c r="B653" s="2">
        <v>662</v>
      </c>
      <c r="C653" s="2">
        <v>57</v>
      </c>
      <c r="D653" s="2" t="str">
        <f>VLOOKUP(C653,Course!$A$1:$C$229, 2, FALSE)</f>
        <v>Science 8</v>
      </c>
      <c r="E653" s="2">
        <v>92</v>
      </c>
      <c r="F653" s="2" t="s">
        <v>1397</v>
      </c>
      <c r="G653" s="2">
        <v>1</v>
      </c>
      <c r="H653" s="21">
        <v>0.8</v>
      </c>
      <c r="I653" s="2">
        <v>1</v>
      </c>
    </row>
    <row r="654" spans="1:9" ht="15.75" hidden="1" customHeight="1" x14ac:dyDescent="0.2">
      <c r="A654" s="11">
        <v>663</v>
      </c>
      <c r="B654" s="2">
        <v>663</v>
      </c>
      <c r="C654" s="2">
        <v>57</v>
      </c>
      <c r="D654" s="2" t="str">
        <f>VLOOKUP(C654,Course!$A$1:$C$229, 2, FALSE)</f>
        <v>Science 8</v>
      </c>
      <c r="E654" s="2">
        <v>93</v>
      </c>
      <c r="F654" s="2" t="s">
        <v>1398</v>
      </c>
      <c r="G654" s="2">
        <v>1</v>
      </c>
      <c r="H654" s="21">
        <v>0.8</v>
      </c>
      <c r="I654" s="2">
        <v>1</v>
      </c>
    </row>
    <row r="655" spans="1:9" ht="15.75" hidden="1" customHeight="1" x14ac:dyDescent="0.2">
      <c r="A655" s="11">
        <v>664</v>
      </c>
      <c r="B655" s="2">
        <v>664</v>
      </c>
      <c r="C655" s="2">
        <v>57</v>
      </c>
      <c r="D655" s="2" t="str">
        <f>VLOOKUP(C655,Course!$A$1:$C$229, 2, FALSE)</f>
        <v>Science 8</v>
      </c>
      <c r="E655" s="2">
        <v>94</v>
      </c>
      <c r="F655" s="2" t="s">
        <v>1399</v>
      </c>
      <c r="G655" s="2">
        <v>1</v>
      </c>
      <c r="H655" s="21">
        <v>0.8</v>
      </c>
      <c r="I655" s="2">
        <v>1</v>
      </c>
    </row>
    <row r="656" spans="1:9" ht="15.75" hidden="1" customHeight="1" x14ac:dyDescent="0.2">
      <c r="A656" s="11">
        <v>665</v>
      </c>
      <c r="B656" s="2">
        <v>665</v>
      </c>
      <c r="C656" s="2">
        <v>57</v>
      </c>
      <c r="D656" s="2" t="str">
        <f>VLOOKUP(C656,Course!$A$1:$C$229, 2, FALSE)</f>
        <v>Science 8</v>
      </c>
      <c r="E656" s="2">
        <v>95</v>
      </c>
      <c r="F656" s="2" t="s">
        <v>1400</v>
      </c>
      <c r="G656" s="2">
        <v>1</v>
      </c>
      <c r="H656" s="21">
        <v>0.8</v>
      </c>
      <c r="I656" s="2">
        <v>1</v>
      </c>
    </row>
    <row r="657" spans="1:9" ht="15.75" hidden="1" customHeight="1" x14ac:dyDescent="0.2">
      <c r="A657" s="11">
        <v>666</v>
      </c>
      <c r="B657" s="2">
        <v>666</v>
      </c>
      <c r="C657" s="2">
        <v>57</v>
      </c>
      <c r="D657" s="2" t="str">
        <f>VLOOKUP(C657,Course!$A$1:$C$229, 2, FALSE)</f>
        <v>Science 8</v>
      </c>
      <c r="E657" s="2">
        <v>96</v>
      </c>
      <c r="F657" s="2" t="s">
        <v>1401</v>
      </c>
      <c r="G657" s="2">
        <v>1</v>
      </c>
      <c r="H657" s="21">
        <v>0.8</v>
      </c>
      <c r="I657" s="2">
        <v>1</v>
      </c>
    </row>
    <row r="658" spans="1:9" ht="15.75" hidden="1" customHeight="1" x14ac:dyDescent="0.2">
      <c r="A658" s="11">
        <v>667</v>
      </c>
      <c r="B658" s="2">
        <v>667</v>
      </c>
      <c r="C658" s="2">
        <v>58</v>
      </c>
      <c r="D658" s="2">
        <f>VLOOKUP(C658,Course!$A$1:$C$229, 2, FALSE)</f>
        <v>0</v>
      </c>
      <c r="E658" s="2">
        <v>97</v>
      </c>
      <c r="F658" s="2" t="s">
        <v>1402</v>
      </c>
      <c r="G658" s="2">
        <v>1</v>
      </c>
      <c r="H658" s="21">
        <v>0.8</v>
      </c>
      <c r="I658" s="2">
        <v>1</v>
      </c>
    </row>
    <row r="659" spans="1:9" ht="15.75" hidden="1" customHeight="1" x14ac:dyDescent="0.2">
      <c r="A659" s="11">
        <v>668</v>
      </c>
      <c r="B659" s="2">
        <v>668</v>
      </c>
      <c r="C659" s="2">
        <v>58</v>
      </c>
      <c r="D659" s="2">
        <f>VLOOKUP(C659,Course!$A$1:$C$229, 2, FALSE)</f>
        <v>0</v>
      </c>
      <c r="E659" s="2">
        <v>98</v>
      </c>
      <c r="F659" s="2" t="s">
        <v>1403</v>
      </c>
      <c r="G659" s="2">
        <v>1</v>
      </c>
      <c r="H659" s="21">
        <v>0.8</v>
      </c>
      <c r="I659" s="2">
        <v>1</v>
      </c>
    </row>
    <row r="660" spans="1:9" ht="15.75" hidden="1" customHeight="1" x14ac:dyDescent="0.2">
      <c r="A660" s="11">
        <v>669</v>
      </c>
      <c r="B660" s="2">
        <v>669</v>
      </c>
      <c r="C660" s="2">
        <v>58</v>
      </c>
      <c r="D660" s="2">
        <f>VLOOKUP(C660,Course!$A$1:$C$229, 2, FALSE)</f>
        <v>0</v>
      </c>
      <c r="E660" s="2">
        <v>99</v>
      </c>
      <c r="F660" s="2" t="s">
        <v>1404</v>
      </c>
      <c r="G660" s="2">
        <v>1</v>
      </c>
      <c r="H660" s="21">
        <v>0.8</v>
      </c>
      <c r="I660" s="2">
        <v>1</v>
      </c>
    </row>
    <row r="661" spans="1:9" ht="15.75" hidden="1" customHeight="1" x14ac:dyDescent="0.2">
      <c r="A661" s="11">
        <v>670</v>
      </c>
      <c r="B661" s="2">
        <v>670</v>
      </c>
      <c r="C661" s="2">
        <v>58</v>
      </c>
      <c r="D661" s="2">
        <f>VLOOKUP(C661,Course!$A$1:$C$229, 2, FALSE)</f>
        <v>0</v>
      </c>
      <c r="E661" s="2">
        <v>100</v>
      </c>
      <c r="F661" s="2" t="s">
        <v>1405</v>
      </c>
      <c r="G661" s="2">
        <v>1</v>
      </c>
      <c r="H661" s="21">
        <v>0.8</v>
      </c>
      <c r="I661" s="2">
        <v>1</v>
      </c>
    </row>
    <row r="662" spans="1:9" ht="15.75" hidden="1" customHeight="1" x14ac:dyDescent="0.2">
      <c r="A662" s="11">
        <v>671</v>
      </c>
      <c r="B662" s="2">
        <v>671</v>
      </c>
      <c r="C662" s="2">
        <v>58</v>
      </c>
      <c r="D662" s="2">
        <f>VLOOKUP(C662,Course!$A$1:$C$229, 2, FALSE)</f>
        <v>0</v>
      </c>
      <c r="E662" s="2">
        <v>101</v>
      </c>
      <c r="F662" s="2" t="s">
        <v>1406</v>
      </c>
      <c r="G662" s="2">
        <v>1</v>
      </c>
      <c r="H662" s="21">
        <v>0.8</v>
      </c>
      <c r="I662" s="2">
        <v>1</v>
      </c>
    </row>
    <row r="663" spans="1:9" ht="15.75" hidden="1" customHeight="1" x14ac:dyDescent="0.2">
      <c r="A663" s="11">
        <v>672</v>
      </c>
      <c r="B663" s="2">
        <v>672</v>
      </c>
      <c r="C663" s="2">
        <v>58</v>
      </c>
      <c r="D663" s="2">
        <f>VLOOKUP(C663,Course!$A$1:$C$229, 2, FALSE)</f>
        <v>0</v>
      </c>
      <c r="E663" s="2">
        <v>102</v>
      </c>
      <c r="F663" s="2" t="s">
        <v>1407</v>
      </c>
      <c r="G663" s="2">
        <v>1</v>
      </c>
      <c r="H663" s="21">
        <v>0.8</v>
      </c>
      <c r="I663" s="2">
        <v>1</v>
      </c>
    </row>
    <row r="664" spans="1:9" ht="15.75" hidden="1" customHeight="1" x14ac:dyDescent="0.2">
      <c r="A664" s="11">
        <v>673</v>
      </c>
      <c r="B664" s="2">
        <v>673</v>
      </c>
      <c r="C664" s="2">
        <v>58</v>
      </c>
      <c r="D664" s="2">
        <f>VLOOKUP(C664,Course!$A$1:$C$229, 2, FALSE)</f>
        <v>0</v>
      </c>
      <c r="E664" s="2">
        <v>103</v>
      </c>
      <c r="F664" s="2" t="s">
        <v>1408</v>
      </c>
      <c r="G664" s="2">
        <v>1</v>
      </c>
      <c r="H664" s="21">
        <v>0.8</v>
      </c>
      <c r="I664" s="2">
        <v>1</v>
      </c>
    </row>
    <row r="665" spans="1:9" ht="15.75" hidden="1" customHeight="1" x14ac:dyDescent="0.2">
      <c r="A665" s="11">
        <v>674</v>
      </c>
      <c r="B665" s="2">
        <v>674</v>
      </c>
      <c r="C665" s="2">
        <v>58</v>
      </c>
      <c r="D665" s="2">
        <f>VLOOKUP(C665,Course!$A$1:$C$229, 2, FALSE)</f>
        <v>0</v>
      </c>
      <c r="E665" s="2">
        <v>104</v>
      </c>
      <c r="F665" s="2" t="s">
        <v>1409</v>
      </c>
      <c r="G665" s="2">
        <v>1</v>
      </c>
      <c r="H665" s="21">
        <v>0.8</v>
      </c>
      <c r="I665" s="2">
        <v>1</v>
      </c>
    </row>
    <row r="666" spans="1:9" ht="15.75" hidden="1" customHeight="1" x14ac:dyDescent="0.2">
      <c r="A666" s="11">
        <v>675</v>
      </c>
      <c r="B666" s="2">
        <v>675</v>
      </c>
      <c r="C666" s="2">
        <v>58</v>
      </c>
      <c r="D666" s="2">
        <f>VLOOKUP(C666,Course!$A$1:$C$229, 2, FALSE)</f>
        <v>0</v>
      </c>
      <c r="E666" s="2">
        <v>105</v>
      </c>
      <c r="F666" s="2" t="s">
        <v>1410</v>
      </c>
      <c r="G666" s="2">
        <v>1</v>
      </c>
      <c r="H666" s="21">
        <v>0.8</v>
      </c>
      <c r="I666" s="2">
        <v>1</v>
      </c>
    </row>
    <row r="667" spans="1:9" ht="15.75" hidden="1" customHeight="1" x14ac:dyDescent="0.2">
      <c r="A667" s="11">
        <v>676</v>
      </c>
      <c r="B667" s="2">
        <v>676</v>
      </c>
      <c r="C667" s="2">
        <v>58</v>
      </c>
      <c r="D667" s="2">
        <f>VLOOKUP(C667,Course!$A$1:$C$229, 2, FALSE)</f>
        <v>0</v>
      </c>
      <c r="E667" s="2">
        <v>106</v>
      </c>
      <c r="F667" s="2" t="s">
        <v>1411</v>
      </c>
      <c r="G667" s="2">
        <v>1</v>
      </c>
      <c r="H667" s="21">
        <v>0.8</v>
      </c>
      <c r="I667" s="2">
        <v>1</v>
      </c>
    </row>
    <row r="668" spans="1:9" ht="15.75" hidden="1" customHeight="1" x14ac:dyDescent="0.2">
      <c r="A668" s="11">
        <v>677</v>
      </c>
      <c r="B668" s="2">
        <v>677</v>
      </c>
      <c r="C668" s="2">
        <v>58</v>
      </c>
      <c r="D668" s="2">
        <f>VLOOKUP(C668,Course!$A$1:$C$229, 2, FALSE)</f>
        <v>0</v>
      </c>
      <c r="E668" s="2">
        <v>107</v>
      </c>
      <c r="F668" s="2" t="s">
        <v>1412</v>
      </c>
      <c r="G668" s="2">
        <v>1</v>
      </c>
      <c r="H668" s="21">
        <v>0.8</v>
      </c>
      <c r="I668" s="2">
        <v>1</v>
      </c>
    </row>
    <row r="669" spans="1:9" ht="15.75" hidden="1" customHeight="1" x14ac:dyDescent="0.2">
      <c r="A669" s="11">
        <v>678</v>
      </c>
      <c r="B669" s="2">
        <v>678</v>
      </c>
      <c r="C669" s="2">
        <v>58</v>
      </c>
      <c r="D669" s="2">
        <f>VLOOKUP(C669,Course!$A$1:$C$229, 2, FALSE)</f>
        <v>0</v>
      </c>
      <c r="E669" s="2">
        <v>108</v>
      </c>
      <c r="F669" s="2" t="s">
        <v>1413</v>
      </c>
      <c r="G669" s="2">
        <v>1</v>
      </c>
      <c r="H669" s="21">
        <v>0.8</v>
      </c>
      <c r="I669" s="2">
        <v>1</v>
      </c>
    </row>
    <row r="670" spans="1:9" ht="15.75" hidden="1" customHeight="1" x14ac:dyDescent="0.2">
      <c r="A670" s="11">
        <v>679</v>
      </c>
      <c r="B670" s="2">
        <v>679</v>
      </c>
      <c r="C670" s="2">
        <v>59</v>
      </c>
      <c r="D670" s="2" t="s">
        <v>1414</v>
      </c>
      <c r="E670" s="2">
        <v>97</v>
      </c>
      <c r="F670" s="2" t="s">
        <v>1415</v>
      </c>
      <c r="G670" s="2">
        <v>1</v>
      </c>
      <c r="H670" s="21">
        <v>0.8</v>
      </c>
      <c r="I670" s="2">
        <v>1</v>
      </c>
    </row>
    <row r="671" spans="1:9" ht="15.75" hidden="1" customHeight="1" x14ac:dyDescent="0.2">
      <c r="A671" s="11">
        <v>680</v>
      </c>
      <c r="B671" s="2">
        <v>680</v>
      </c>
      <c r="C671" s="2">
        <v>59</v>
      </c>
      <c r="D671" s="2" t="s">
        <v>1414</v>
      </c>
      <c r="E671" s="2">
        <v>98</v>
      </c>
      <c r="F671" s="2" t="s">
        <v>1416</v>
      </c>
      <c r="G671" s="2">
        <v>1</v>
      </c>
      <c r="H671" s="21">
        <v>0.8</v>
      </c>
      <c r="I671" s="2">
        <v>1</v>
      </c>
    </row>
    <row r="672" spans="1:9" ht="15.75" hidden="1" customHeight="1" x14ac:dyDescent="0.2">
      <c r="A672" s="11">
        <v>681</v>
      </c>
      <c r="B672" s="2">
        <v>681</v>
      </c>
      <c r="C672" s="2">
        <v>59</v>
      </c>
      <c r="D672" s="2" t="s">
        <v>1414</v>
      </c>
      <c r="E672" s="2">
        <v>99</v>
      </c>
      <c r="F672" s="2" t="s">
        <v>1417</v>
      </c>
      <c r="G672" s="2">
        <v>1</v>
      </c>
      <c r="H672" s="21">
        <v>0.8</v>
      </c>
      <c r="I672" s="2">
        <v>1</v>
      </c>
    </row>
    <row r="673" spans="1:9" ht="15.75" hidden="1" customHeight="1" x14ac:dyDescent="0.2">
      <c r="A673" s="11">
        <v>682</v>
      </c>
      <c r="B673" s="2">
        <v>682</v>
      </c>
      <c r="C673" s="2">
        <v>59</v>
      </c>
      <c r="D673" s="2" t="s">
        <v>1414</v>
      </c>
      <c r="E673" s="2">
        <v>100</v>
      </c>
      <c r="F673" s="2" t="s">
        <v>1418</v>
      </c>
      <c r="G673" s="2">
        <v>1</v>
      </c>
      <c r="H673" s="21">
        <v>0.8</v>
      </c>
      <c r="I673" s="2">
        <v>1</v>
      </c>
    </row>
    <row r="674" spans="1:9" ht="15.75" hidden="1" customHeight="1" x14ac:dyDescent="0.2">
      <c r="A674" s="11">
        <v>683</v>
      </c>
      <c r="B674" s="2">
        <v>683</v>
      </c>
      <c r="C674" s="2">
        <v>59</v>
      </c>
      <c r="D674" s="2" t="s">
        <v>1414</v>
      </c>
      <c r="E674" s="2">
        <v>101</v>
      </c>
      <c r="F674" s="2" t="s">
        <v>1419</v>
      </c>
      <c r="G674" s="2">
        <v>1</v>
      </c>
      <c r="H674" s="21">
        <v>0.8</v>
      </c>
      <c r="I674" s="2">
        <v>1</v>
      </c>
    </row>
    <row r="675" spans="1:9" ht="15.75" hidden="1" customHeight="1" x14ac:dyDescent="0.2">
      <c r="A675" s="11">
        <v>684</v>
      </c>
      <c r="B675" s="2">
        <v>684</v>
      </c>
      <c r="C675" s="2">
        <v>59</v>
      </c>
      <c r="D675" s="2" t="s">
        <v>1414</v>
      </c>
      <c r="E675" s="2">
        <v>102</v>
      </c>
      <c r="F675" s="2" t="s">
        <v>1420</v>
      </c>
      <c r="G675" s="2">
        <v>1</v>
      </c>
      <c r="H675" s="21">
        <v>0.8</v>
      </c>
      <c r="I675" s="2">
        <v>1</v>
      </c>
    </row>
    <row r="676" spans="1:9" ht="15.75" hidden="1" customHeight="1" x14ac:dyDescent="0.2">
      <c r="A676" s="11">
        <v>685</v>
      </c>
      <c r="B676" s="2">
        <v>685</v>
      </c>
      <c r="C676" s="2">
        <v>59</v>
      </c>
      <c r="D676" s="2" t="s">
        <v>1414</v>
      </c>
      <c r="E676" s="2">
        <v>103</v>
      </c>
      <c r="F676" s="2" t="s">
        <v>1421</v>
      </c>
      <c r="G676" s="2">
        <v>1</v>
      </c>
      <c r="H676" s="21">
        <v>0.8</v>
      </c>
      <c r="I676" s="2">
        <v>1</v>
      </c>
    </row>
    <row r="677" spans="1:9" ht="15.75" hidden="1" customHeight="1" x14ac:dyDescent="0.2">
      <c r="A677" s="11">
        <v>686</v>
      </c>
      <c r="B677" s="2">
        <v>686</v>
      </c>
      <c r="C677" s="2">
        <v>59</v>
      </c>
      <c r="D677" s="2" t="s">
        <v>1414</v>
      </c>
      <c r="E677" s="2">
        <v>104</v>
      </c>
      <c r="F677" s="2" t="s">
        <v>1422</v>
      </c>
      <c r="G677" s="2">
        <v>1</v>
      </c>
      <c r="H677" s="21">
        <v>0.8</v>
      </c>
      <c r="I677" s="2">
        <v>1</v>
      </c>
    </row>
    <row r="678" spans="1:9" ht="15.75" hidden="1" customHeight="1" x14ac:dyDescent="0.2">
      <c r="A678" s="11">
        <v>687</v>
      </c>
      <c r="B678" s="2">
        <v>687</v>
      </c>
      <c r="C678" s="2">
        <v>59</v>
      </c>
      <c r="D678" s="2" t="s">
        <v>1414</v>
      </c>
      <c r="E678" s="2">
        <v>105</v>
      </c>
      <c r="F678" s="2" t="s">
        <v>1423</v>
      </c>
      <c r="G678" s="2">
        <v>1</v>
      </c>
      <c r="H678" s="21">
        <v>0.8</v>
      </c>
      <c r="I678" s="2">
        <v>1</v>
      </c>
    </row>
    <row r="679" spans="1:9" ht="15.75" hidden="1" customHeight="1" x14ac:dyDescent="0.2">
      <c r="A679" s="11">
        <v>688</v>
      </c>
      <c r="B679" s="2">
        <v>688</v>
      </c>
      <c r="C679" s="2">
        <v>59</v>
      </c>
      <c r="D679" s="2" t="s">
        <v>1414</v>
      </c>
      <c r="E679" s="2">
        <v>106</v>
      </c>
      <c r="F679" s="2" t="s">
        <v>1424</v>
      </c>
      <c r="G679" s="2">
        <v>1</v>
      </c>
      <c r="H679" s="21">
        <v>0.8</v>
      </c>
      <c r="I679" s="2">
        <v>1</v>
      </c>
    </row>
    <row r="680" spans="1:9" ht="15.75" hidden="1" customHeight="1" x14ac:dyDescent="0.2">
      <c r="A680" s="11">
        <v>689</v>
      </c>
      <c r="B680" s="2">
        <v>689</v>
      </c>
      <c r="C680" s="2">
        <v>59</v>
      </c>
      <c r="D680" s="2" t="s">
        <v>1414</v>
      </c>
      <c r="E680" s="2">
        <v>107</v>
      </c>
      <c r="F680" s="2" t="s">
        <v>1425</v>
      </c>
      <c r="G680" s="2">
        <v>1</v>
      </c>
      <c r="H680" s="21">
        <v>0.8</v>
      </c>
      <c r="I680" s="2">
        <v>1</v>
      </c>
    </row>
    <row r="681" spans="1:9" ht="15.75" hidden="1" customHeight="1" x14ac:dyDescent="0.2">
      <c r="A681" s="11">
        <v>690</v>
      </c>
      <c r="B681" s="2">
        <v>690</v>
      </c>
      <c r="C681" s="2">
        <v>59</v>
      </c>
      <c r="D681" s="2" t="s">
        <v>1414</v>
      </c>
      <c r="E681" s="2">
        <v>108</v>
      </c>
      <c r="F681" s="2" t="s">
        <v>1426</v>
      </c>
      <c r="G681" s="2">
        <v>1</v>
      </c>
      <c r="H681" s="21">
        <v>0.8</v>
      </c>
      <c r="I681" s="2">
        <v>1</v>
      </c>
    </row>
    <row r="682" spans="1:9" ht="15.75" hidden="1" customHeight="1" x14ac:dyDescent="0.2">
      <c r="A682" s="11">
        <v>691</v>
      </c>
      <c r="B682" s="2">
        <v>691</v>
      </c>
      <c r="C682" s="2">
        <v>60</v>
      </c>
      <c r="D682" s="2" t="str">
        <f>VLOOKUP(C682,Course!$A$1:$C$229, 2, FALSE)</f>
        <v>Biblical Studies I: New Testament Survey</v>
      </c>
      <c r="E682" s="2">
        <v>97</v>
      </c>
      <c r="F682" s="2" t="s">
        <v>1427</v>
      </c>
      <c r="G682" s="2">
        <v>1</v>
      </c>
      <c r="H682" s="21">
        <v>0.8</v>
      </c>
      <c r="I682" s="2">
        <v>1</v>
      </c>
    </row>
    <row r="683" spans="1:9" ht="15.75" hidden="1" customHeight="1" x14ac:dyDescent="0.2">
      <c r="A683" s="11">
        <v>692</v>
      </c>
      <c r="B683" s="2">
        <v>692</v>
      </c>
      <c r="C683" s="2">
        <v>60</v>
      </c>
      <c r="D683" s="2" t="str">
        <f>VLOOKUP(C683,Course!$A$1:$C$229, 2, FALSE)</f>
        <v>Biblical Studies I: New Testament Survey</v>
      </c>
      <c r="E683" s="2">
        <v>98</v>
      </c>
      <c r="F683" s="2" t="s">
        <v>1428</v>
      </c>
      <c r="G683" s="2">
        <v>1</v>
      </c>
      <c r="H683" s="21">
        <v>0.8</v>
      </c>
      <c r="I683" s="2">
        <v>1</v>
      </c>
    </row>
    <row r="684" spans="1:9" ht="15.75" hidden="1" customHeight="1" x14ac:dyDescent="0.2">
      <c r="A684" s="11">
        <v>693</v>
      </c>
      <c r="B684" s="2">
        <v>693</v>
      </c>
      <c r="C684" s="2">
        <v>60</v>
      </c>
      <c r="D684" s="2" t="str">
        <f>VLOOKUP(C684,Course!$A$1:$C$229, 2, FALSE)</f>
        <v>Biblical Studies I: New Testament Survey</v>
      </c>
      <c r="E684" s="2">
        <v>99</v>
      </c>
      <c r="F684" s="2" t="s">
        <v>1429</v>
      </c>
      <c r="G684" s="2">
        <v>1</v>
      </c>
      <c r="H684" s="21">
        <v>0.8</v>
      </c>
      <c r="I684" s="2">
        <v>1</v>
      </c>
    </row>
    <row r="685" spans="1:9" ht="15.75" hidden="1" customHeight="1" x14ac:dyDescent="0.2">
      <c r="A685" s="11">
        <v>694</v>
      </c>
      <c r="B685" s="2">
        <v>694</v>
      </c>
      <c r="C685" s="2">
        <v>60</v>
      </c>
      <c r="D685" s="2" t="str">
        <f>VLOOKUP(C685,Course!$A$1:$C$229, 2, FALSE)</f>
        <v>Biblical Studies I: New Testament Survey</v>
      </c>
      <c r="E685" s="2">
        <v>100</v>
      </c>
      <c r="F685" s="2" t="s">
        <v>1430</v>
      </c>
      <c r="G685" s="2">
        <v>1</v>
      </c>
      <c r="H685" s="21">
        <v>0.8</v>
      </c>
      <c r="I685" s="2">
        <v>1</v>
      </c>
    </row>
    <row r="686" spans="1:9" ht="15.75" hidden="1" customHeight="1" x14ac:dyDescent="0.2">
      <c r="A686" s="11">
        <v>695</v>
      </c>
      <c r="B686" s="2">
        <v>695</v>
      </c>
      <c r="C686" s="2">
        <v>60</v>
      </c>
      <c r="D686" s="2" t="str">
        <f>VLOOKUP(C686,Course!$A$1:$C$229, 2, FALSE)</f>
        <v>Biblical Studies I: New Testament Survey</v>
      </c>
      <c r="E686" s="2">
        <v>101</v>
      </c>
      <c r="F686" s="2" t="s">
        <v>1431</v>
      </c>
      <c r="G686" s="2">
        <v>1</v>
      </c>
      <c r="H686" s="21">
        <v>0.8</v>
      </c>
      <c r="I686" s="2">
        <v>1</v>
      </c>
    </row>
    <row r="687" spans="1:9" ht="15.75" hidden="1" customHeight="1" x14ac:dyDescent="0.2">
      <c r="A687" s="11">
        <v>696</v>
      </c>
      <c r="B687" s="2">
        <v>696</v>
      </c>
      <c r="C687" s="2">
        <v>60</v>
      </c>
      <c r="D687" s="2" t="str">
        <f>VLOOKUP(C687,Course!$A$1:$C$229, 2, FALSE)</f>
        <v>Biblical Studies I: New Testament Survey</v>
      </c>
      <c r="E687" s="2">
        <v>102</v>
      </c>
      <c r="F687" s="2" t="s">
        <v>1432</v>
      </c>
      <c r="G687" s="2">
        <v>1</v>
      </c>
      <c r="H687" s="21">
        <v>0.8</v>
      </c>
      <c r="I687" s="2">
        <v>1</v>
      </c>
    </row>
    <row r="688" spans="1:9" ht="15.75" hidden="1" customHeight="1" x14ac:dyDescent="0.2">
      <c r="A688" s="11">
        <v>697</v>
      </c>
      <c r="B688" s="2">
        <v>697</v>
      </c>
      <c r="C688" s="2">
        <v>61</v>
      </c>
      <c r="D688" s="2">
        <f>VLOOKUP(C688,Course!$A$1:$C$229, 2, FALSE)</f>
        <v>0</v>
      </c>
      <c r="E688" s="2">
        <v>97</v>
      </c>
      <c r="F688" s="2" t="s">
        <v>1433</v>
      </c>
      <c r="G688" s="2">
        <v>1</v>
      </c>
      <c r="H688" s="21">
        <v>0.8</v>
      </c>
      <c r="I688" s="2">
        <v>1</v>
      </c>
    </row>
    <row r="689" spans="1:9" ht="15.75" hidden="1" customHeight="1" x14ac:dyDescent="0.2">
      <c r="A689" s="11">
        <v>698</v>
      </c>
      <c r="B689" s="2">
        <v>698</v>
      </c>
      <c r="C689" s="2">
        <v>61</v>
      </c>
      <c r="D689" s="2">
        <f>VLOOKUP(C689,Course!$A$1:$C$229, 2, FALSE)</f>
        <v>0</v>
      </c>
      <c r="E689" s="2">
        <v>98</v>
      </c>
      <c r="F689" s="2" t="s">
        <v>1434</v>
      </c>
      <c r="G689" s="2">
        <v>1</v>
      </c>
      <c r="H689" s="21">
        <v>0.8</v>
      </c>
      <c r="I689" s="2">
        <v>1</v>
      </c>
    </row>
    <row r="690" spans="1:9" ht="15.75" hidden="1" customHeight="1" x14ac:dyDescent="0.2">
      <c r="A690" s="11">
        <v>699</v>
      </c>
      <c r="B690" s="2">
        <v>699</v>
      </c>
      <c r="C690" s="2">
        <v>61</v>
      </c>
      <c r="D690" s="2">
        <f>VLOOKUP(C690,Course!$A$1:$C$229, 2, FALSE)</f>
        <v>0</v>
      </c>
      <c r="E690" s="2">
        <v>99</v>
      </c>
      <c r="F690" s="2" t="s">
        <v>1435</v>
      </c>
      <c r="G690" s="2">
        <v>1</v>
      </c>
      <c r="H690" s="21">
        <v>0.8</v>
      </c>
      <c r="I690" s="2">
        <v>1</v>
      </c>
    </row>
    <row r="691" spans="1:9" ht="15.75" hidden="1" customHeight="1" x14ac:dyDescent="0.2">
      <c r="A691" s="11">
        <v>700</v>
      </c>
      <c r="B691" s="2">
        <v>700</v>
      </c>
      <c r="C691" s="2">
        <v>61</v>
      </c>
      <c r="D691" s="2">
        <f>VLOOKUP(C691,Course!$A$1:$C$229, 2, FALSE)</f>
        <v>0</v>
      </c>
      <c r="E691" s="2">
        <v>100</v>
      </c>
      <c r="F691" s="2" t="s">
        <v>1436</v>
      </c>
      <c r="G691" s="2">
        <v>1</v>
      </c>
      <c r="H691" s="21">
        <v>0.8</v>
      </c>
      <c r="I691" s="2">
        <v>1</v>
      </c>
    </row>
    <row r="692" spans="1:9" ht="15.75" hidden="1" customHeight="1" x14ac:dyDescent="0.2">
      <c r="A692" s="11">
        <v>701</v>
      </c>
      <c r="B692" s="2">
        <v>701</v>
      </c>
      <c r="C692" s="2">
        <v>61</v>
      </c>
      <c r="D692" s="2">
        <f>VLOOKUP(C692,Course!$A$1:$C$229, 2, FALSE)</f>
        <v>0</v>
      </c>
      <c r="E692" s="2">
        <v>101</v>
      </c>
      <c r="F692" s="2" t="s">
        <v>1437</v>
      </c>
      <c r="G692" s="2">
        <v>1</v>
      </c>
      <c r="H692" s="21">
        <v>0.8</v>
      </c>
      <c r="I692" s="2">
        <v>1</v>
      </c>
    </row>
    <row r="693" spans="1:9" ht="15.75" hidden="1" customHeight="1" x14ac:dyDescent="0.2">
      <c r="A693" s="11">
        <v>702</v>
      </c>
      <c r="B693" s="2">
        <v>702</v>
      </c>
      <c r="C693" s="2">
        <v>61</v>
      </c>
      <c r="D693" s="2">
        <f>VLOOKUP(C693,Course!$A$1:$C$229, 2, FALSE)</f>
        <v>0</v>
      </c>
      <c r="E693" s="2">
        <v>102</v>
      </c>
      <c r="F693" s="2" t="s">
        <v>1438</v>
      </c>
      <c r="G693" s="2">
        <v>1</v>
      </c>
      <c r="H693" s="21">
        <v>0.8</v>
      </c>
      <c r="I693" s="2">
        <v>1</v>
      </c>
    </row>
    <row r="694" spans="1:9" ht="15.75" hidden="1" customHeight="1" x14ac:dyDescent="0.2">
      <c r="A694" s="11">
        <v>703</v>
      </c>
      <c r="B694" s="2">
        <v>703</v>
      </c>
      <c r="C694" s="2">
        <v>61</v>
      </c>
      <c r="D694" s="2">
        <f>VLOOKUP(C694,Course!$A$1:$C$229, 2, FALSE)</f>
        <v>0</v>
      </c>
      <c r="E694" s="2">
        <v>103</v>
      </c>
      <c r="F694" s="2" t="s">
        <v>1439</v>
      </c>
      <c r="G694" s="2">
        <v>1</v>
      </c>
      <c r="H694" s="21">
        <v>0.8</v>
      </c>
      <c r="I694" s="2">
        <v>1</v>
      </c>
    </row>
    <row r="695" spans="1:9" ht="15.75" hidden="1" customHeight="1" x14ac:dyDescent="0.2">
      <c r="A695" s="11">
        <v>704</v>
      </c>
      <c r="B695" s="2">
        <v>704</v>
      </c>
      <c r="C695" s="2">
        <v>61</v>
      </c>
      <c r="D695" s="2">
        <f>VLOOKUP(C695,Course!$A$1:$C$229, 2, FALSE)</f>
        <v>0</v>
      </c>
      <c r="E695" s="2">
        <v>104</v>
      </c>
      <c r="F695" s="2" t="s">
        <v>1440</v>
      </c>
      <c r="G695" s="2">
        <v>1</v>
      </c>
      <c r="H695" s="21">
        <v>0.8</v>
      </c>
      <c r="I695" s="2">
        <v>1</v>
      </c>
    </row>
    <row r="696" spans="1:9" ht="15.75" hidden="1" customHeight="1" x14ac:dyDescent="0.2">
      <c r="A696" s="11">
        <v>705</v>
      </c>
      <c r="B696" s="2">
        <v>705</v>
      </c>
      <c r="C696" s="2">
        <v>61</v>
      </c>
      <c r="D696" s="2">
        <f>VLOOKUP(C696,Course!$A$1:$C$229, 2, FALSE)</f>
        <v>0</v>
      </c>
      <c r="E696" s="2">
        <v>105</v>
      </c>
      <c r="F696" s="2" t="s">
        <v>1441</v>
      </c>
      <c r="G696" s="2">
        <v>1</v>
      </c>
      <c r="H696" s="21">
        <v>0.8</v>
      </c>
      <c r="I696" s="2">
        <v>1</v>
      </c>
    </row>
    <row r="697" spans="1:9" ht="15.75" hidden="1" customHeight="1" x14ac:dyDescent="0.2">
      <c r="A697" s="11">
        <v>706</v>
      </c>
      <c r="B697" s="2">
        <v>706</v>
      </c>
      <c r="C697" s="2">
        <v>61</v>
      </c>
      <c r="D697" s="2">
        <f>VLOOKUP(C697,Course!$A$1:$C$229, 2, FALSE)</f>
        <v>0</v>
      </c>
      <c r="E697" s="2">
        <v>106</v>
      </c>
      <c r="F697" s="2" t="s">
        <v>1442</v>
      </c>
      <c r="G697" s="2">
        <v>1</v>
      </c>
      <c r="H697" s="21">
        <v>0.8</v>
      </c>
      <c r="I697" s="2">
        <v>1</v>
      </c>
    </row>
    <row r="698" spans="1:9" ht="15.75" hidden="1" customHeight="1" x14ac:dyDescent="0.2">
      <c r="A698" s="11">
        <v>707</v>
      </c>
      <c r="B698" s="2">
        <v>707</v>
      </c>
      <c r="C698" s="2">
        <v>61</v>
      </c>
      <c r="D698" s="2">
        <f>VLOOKUP(C698,Course!$A$1:$C$229, 2, FALSE)</f>
        <v>0</v>
      </c>
      <c r="E698" s="2">
        <v>107</v>
      </c>
      <c r="F698" s="2" t="s">
        <v>1443</v>
      </c>
      <c r="G698" s="2">
        <v>1</v>
      </c>
      <c r="H698" s="21">
        <v>0.8</v>
      </c>
      <c r="I698" s="2">
        <v>1</v>
      </c>
    </row>
    <row r="699" spans="1:9" ht="15.75" hidden="1" customHeight="1" x14ac:dyDescent="0.2">
      <c r="A699" s="11">
        <v>708</v>
      </c>
      <c r="B699" s="2">
        <v>708</v>
      </c>
      <c r="C699" s="2">
        <v>61</v>
      </c>
      <c r="D699" s="2">
        <f>VLOOKUP(C699,Course!$A$1:$C$229, 2, FALSE)</f>
        <v>0</v>
      </c>
      <c r="E699" s="2">
        <v>108</v>
      </c>
      <c r="F699" s="2" t="s">
        <v>1444</v>
      </c>
      <c r="G699" s="2">
        <v>1</v>
      </c>
      <c r="H699" s="21">
        <v>0.8</v>
      </c>
      <c r="I699" s="2">
        <v>1</v>
      </c>
    </row>
    <row r="700" spans="1:9" ht="15.75" hidden="1" customHeight="1" x14ac:dyDescent="0.2">
      <c r="A700" s="11">
        <v>709</v>
      </c>
      <c r="B700" s="2">
        <v>709</v>
      </c>
      <c r="C700" s="2">
        <v>62</v>
      </c>
      <c r="D700" s="2">
        <f>VLOOKUP(C700,Course!$A$1:$C$229, 2, FALSE)</f>
        <v>0</v>
      </c>
      <c r="E700" s="2">
        <v>97</v>
      </c>
      <c r="F700" s="2" t="s">
        <v>1445</v>
      </c>
      <c r="G700" s="2">
        <v>1</v>
      </c>
      <c r="H700" s="21">
        <v>0.8</v>
      </c>
      <c r="I700" s="2">
        <v>1</v>
      </c>
    </row>
    <row r="701" spans="1:9" ht="15.75" hidden="1" customHeight="1" x14ac:dyDescent="0.2">
      <c r="A701" s="11">
        <v>710</v>
      </c>
      <c r="B701" s="2">
        <v>710</v>
      </c>
      <c r="C701" s="2">
        <v>62</v>
      </c>
      <c r="D701" s="2">
        <f>VLOOKUP(C701,Course!$A$1:$C$229, 2, FALSE)</f>
        <v>0</v>
      </c>
      <c r="E701" s="2">
        <v>98</v>
      </c>
      <c r="F701" s="2" t="s">
        <v>1446</v>
      </c>
      <c r="G701" s="2">
        <v>1</v>
      </c>
      <c r="H701" s="21">
        <v>0.8</v>
      </c>
      <c r="I701" s="2">
        <v>1</v>
      </c>
    </row>
    <row r="702" spans="1:9" ht="15.75" hidden="1" customHeight="1" x14ac:dyDescent="0.2">
      <c r="A702" s="11">
        <v>711</v>
      </c>
      <c r="B702" s="2">
        <v>711</v>
      </c>
      <c r="C702" s="2">
        <v>62</v>
      </c>
      <c r="D702" s="2">
        <f>VLOOKUP(C702,Course!$A$1:$C$229, 2, FALSE)</f>
        <v>0</v>
      </c>
      <c r="E702" s="2">
        <v>99</v>
      </c>
      <c r="F702" s="2" t="s">
        <v>1447</v>
      </c>
      <c r="G702" s="2">
        <v>1</v>
      </c>
      <c r="H702" s="21">
        <v>0.8</v>
      </c>
      <c r="I702" s="2">
        <v>1</v>
      </c>
    </row>
    <row r="703" spans="1:9" ht="15.75" hidden="1" customHeight="1" x14ac:dyDescent="0.2">
      <c r="A703" s="11">
        <v>712</v>
      </c>
      <c r="B703" s="2">
        <v>712</v>
      </c>
      <c r="C703" s="2">
        <v>62</v>
      </c>
      <c r="D703" s="2">
        <f>VLOOKUP(C703,Course!$A$1:$C$229, 2, FALSE)</f>
        <v>0</v>
      </c>
      <c r="E703" s="2">
        <v>100</v>
      </c>
      <c r="F703" s="2" t="s">
        <v>1448</v>
      </c>
      <c r="G703" s="2">
        <v>1</v>
      </c>
      <c r="H703" s="21">
        <v>0.8</v>
      </c>
      <c r="I703" s="2">
        <v>1</v>
      </c>
    </row>
    <row r="704" spans="1:9" ht="15.75" hidden="1" customHeight="1" x14ac:dyDescent="0.2">
      <c r="A704" s="11">
        <v>713</v>
      </c>
      <c r="B704" s="2">
        <v>713</v>
      </c>
      <c r="C704" s="2">
        <v>62</v>
      </c>
      <c r="D704" s="2">
        <f>VLOOKUP(C704,Course!$A$1:$C$229, 2, FALSE)</f>
        <v>0</v>
      </c>
      <c r="E704" s="2">
        <v>101</v>
      </c>
      <c r="F704" s="2" t="s">
        <v>769</v>
      </c>
      <c r="G704" s="2">
        <v>1</v>
      </c>
      <c r="H704" s="21">
        <v>0.8</v>
      </c>
      <c r="I704" s="2">
        <v>1</v>
      </c>
    </row>
    <row r="705" spans="1:9" ht="15.75" hidden="1" customHeight="1" x14ac:dyDescent="0.2">
      <c r="A705" s="11">
        <v>714</v>
      </c>
      <c r="B705" s="2">
        <v>714</v>
      </c>
      <c r="C705" s="2">
        <v>62</v>
      </c>
      <c r="D705" s="2">
        <f>VLOOKUP(C705,Course!$A$1:$C$229, 2, FALSE)</f>
        <v>0</v>
      </c>
      <c r="E705" s="2">
        <v>102</v>
      </c>
      <c r="F705" s="2" t="s">
        <v>770</v>
      </c>
      <c r="G705" s="2">
        <v>1</v>
      </c>
      <c r="H705" s="21">
        <v>0.8</v>
      </c>
      <c r="I705" s="2">
        <v>1</v>
      </c>
    </row>
    <row r="706" spans="1:9" ht="15.75" hidden="1" customHeight="1" x14ac:dyDescent="0.2">
      <c r="A706" s="11">
        <v>715</v>
      </c>
      <c r="B706" s="2">
        <v>715</v>
      </c>
      <c r="C706" s="2">
        <v>62</v>
      </c>
      <c r="D706" s="2">
        <f>VLOOKUP(C706,Course!$A$1:$C$229, 2, FALSE)</f>
        <v>0</v>
      </c>
      <c r="E706" s="2">
        <v>103</v>
      </c>
      <c r="F706" s="2" t="s">
        <v>771</v>
      </c>
      <c r="G706" s="2">
        <v>1</v>
      </c>
      <c r="H706" s="21">
        <v>0.8</v>
      </c>
      <c r="I706" s="2">
        <v>1</v>
      </c>
    </row>
    <row r="707" spans="1:9" ht="15.75" hidden="1" customHeight="1" x14ac:dyDescent="0.2">
      <c r="A707" s="11">
        <v>716</v>
      </c>
      <c r="B707" s="2">
        <v>716</v>
      </c>
      <c r="C707" s="2">
        <v>62</v>
      </c>
      <c r="D707" s="2">
        <f>VLOOKUP(C707,Course!$A$1:$C$229, 2, FALSE)</f>
        <v>0</v>
      </c>
      <c r="E707" s="2">
        <v>104</v>
      </c>
      <c r="F707" s="2" t="s">
        <v>772</v>
      </c>
      <c r="G707" s="2">
        <v>1</v>
      </c>
      <c r="H707" s="21">
        <v>0.8</v>
      </c>
      <c r="I707" s="2">
        <v>1</v>
      </c>
    </row>
    <row r="708" spans="1:9" ht="15.75" hidden="1" customHeight="1" x14ac:dyDescent="0.2">
      <c r="A708" s="11">
        <v>717</v>
      </c>
      <c r="B708" s="2">
        <v>717</v>
      </c>
      <c r="C708" s="2">
        <v>62</v>
      </c>
      <c r="D708" s="2">
        <f>VLOOKUP(C708,Course!$A$1:$C$229, 2, FALSE)</f>
        <v>0</v>
      </c>
      <c r="E708" s="2">
        <v>105</v>
      </c>
      <c r="F708" s="2" t="s">
        <v>773</v>
      </c>
      <c r="G708" s="2">
        <v>1</v>
      </c>
      <c r="H708" s="21">
        <v>0.8</v>
      </c>
      <c r="I708" s="2">
        <v>1</v>
      </c>
    </row>
    <row r="709" spans="1:9" ht="15.75" hidden="1" customHeight="1" x14ac:dyDescent="0.2">
      <c r="A709" s="11">
        <v>718</v>
      </c>
      <c r="B709" s="2">
        <v>718</v>
      </c>
      <c r="C709" s="2">
        <v>62</v>
      </c>
      <c r="D709" s="2">
        <f>VLOOKUP(C709,Course!$A$1:$C$229, 2, FALSE)</f>
        <v>0</v>
      </c>
      <c r="E709" s="2">
        <v>106</v>
      </c>
      <c r="F709" s="2" t="s">
        <v>774</v>
      </c>
      <c r="G709" s="2">
        <v>1</v>
      </c>
      <c r="H709" s="21">
        <v>0.8</v>
      </c>
      <c r="I709" s="2">
        <v>1</v>
      </c>
    </row>
    <row r="710" spans="1:9" ht="15.75" hidden="1" customHeight="1" x14ac:dyDescent="0.2">
      <c r="A710" s="11">
        <v>719</v>
      </c>
      <c r="B710" s="2">
        <v>719</v>
      </c>
      <c r="C710" s="2">
        <v>62</v>
      </c>
      <c r="D710" s="2">
        <f>VLOOKUP(C710,Course!$A$1:$C$229, 2, FALSE)</f>
        <v>0</v>
      </c>
      <c r="E710" s="2">
        <v>107</v>
      </c>
      <c r="F710" s="2" t="s">
        <v>775</v>
      </c>
      <c r="G710" s="2">
        <v>1</v>
      </c>
      <c r="H710" s="21">
        <v>0.8</v>
      </c>
      <c r="I710" s="2">
        <v>1</v>
      </c>
    </row>
    <row r="711" spans="1:9" ht="15.75" hidden="1" customHeight="1" x14ac:dyDescent="0.2">
      <c r="A711" s="11">
        <v>720</v>
      </c>
      <c r="B711" s="2">
        <v>720</v>
      </c>
      <c r="C711" s="2">
        <v>62</v>
      </c>
      <c r="D711" s="2">
        <f>VLOOKUP(C711,Course!$A$1:$C$229, 2, FALSE)</f>
        <v>0</v>
      </c>
      <c r="E711" s="2">
        <v>108</v>
      </c>
      <c r="F711" s="2" t="s">
        <v>776</v>
      </c>
      <c r="G711" s="2">
        <v>1</v>
      </c>
      <c r="H711" s="21">
        <v>0.8</v>
      </c>
      <c r="I711" s="2">
        <v>1</v>
      </c>
    </row>
    <row r="712" spans="1:9" ht="15.75" hidden="1" customHeight="1" x14ac:dyDescent="0.2">
      <c r="A712" s="11">
        <v>721</v>
      </c>
      <c r="B712" s="2">
        <v>721</v>
      </c>
      <c r="C712" s="2">
        <v>63</v>
      </c>
      <c r="D712" s="2">
        <f>VLOOKUP(C712,Course!$A$1:$C$229, 2, FALSE)</f>
        <v>0</v>
      </c>
      <c r="E712" s="2">
        <v>97</v>
      </c>
      <c r="F712" s="2" t="s">
        <v>1449</v>
      </c>
      <c r="G712" s="2">
        <v>1</v>
      </c>
      <c r="H712" s="21">
        <v>0.8</v>
      </c>
      <c r="I712" s="2">
        <v>1</v>
      </c>
    </row>
    <row r="713" spans="1:9" ht="15.75" hidden="1" customHeight="1" x14ac:dyDescent="0.2">
      <c r="A713" s="11">
        <v>722</v>
      </c>
      <c r="B713" s="2">
        <v>722</v>
      </c>
      <c r="C713" s="2">
        <v>63</v>
      </c>
      <c r="D713" s="2">
        <f>VLOOKUP(C713,Course!$A$1:$C$229, 2, FALSE)</f>
        <v>0</v>
      </c>
      <c r="E713" s="2">
        <v>98</v>
      </c>
      <c r="F713" s="2" t="s">
        <v>1450</v>
      </c>
      <c r="G713" s="2">
        <v>1</v>
      </c>
      <c r="H713" s="21">
        <v>0.8</v>
      </c>
      <c r="I713" s="2">
        <v>1</v>
      </c>
    </row>
    <row r="714" spans="1:9" ht="15.75" hidden="1" customHeight="1" x14ac:dyDescent="0.2">
      <c r="A714" s="11">
        <v>723</v>
      </c>
      <c r="B714" s="2">
        <v>723</v>
      </c>
      <c r="C714" s="2">
        <v>63</v>
      </c>
      <c r="D714" s="2">
        <f>VLOOKUP(C714,Course!$A$1:$C$229, 2, FALSE)</f>
        <v>0</v>
      </c>
      <c r="E714" s="2">
        <v>99</v>
      </c>
      <c r="F714" s="2" t="s">
        <v>1451</v>
      </c>
      <c r="G714" s="2">
        <v>1</v>
      </c>
      <c r="H714" s="21">
        <v>0.8</v>
      </c>
      <c r="I714" s="2">
        <v>1</v>
      </c>
    </row>
    <row r="715" spans="1:9" ht="15.75" hidden="1" customHeight="1" x14ac:dyDescent="0.2">
      <c r="A715" s="11">
        <v>724</v>
      </c>
      <c r="B715" s="2">
        <v>724</v>
      </c>
      <c r="C715" s="2">
        <v>63</v>
      </c>
      <c r="D715" s="2">
        <f>VLOOKUP(C715,Course!$A$1:$C$229, 2, FALSE)</f>
        <v>0</v>
      </c>
      <c r="E715" s="2">
        <v>100</v>
      </c>
      <c r="F715" s="2" t="s">
        <v>1452</v>
      </c>
      <c r="G715" s="2">
        <v>1</v>
      </c>
      <c r="H715" s="21">
        <v>0.8</v>
      </c>
      <c r="I715" s="2">
        <v>1</v>
      </c>
    </row>
    <row r="716" spans="1:9" ht="15.75" hidden="1" customHeight="1" x14ac:dyDescent="0.2">
      <c r="A716" s="11">
        <v>725</v>
      </c>
      <c r="B716" s="2">
        <v>725</v>
      </c>
      <c r="C716" s="2">
        <v>63</v>
      </c>
      <c r="D716" s="2">
        <f>VLOOKUP(C716,Course!$A$1:$C$229, 2, FALSE)</f>
        <v>0</v>
      </c>
      <c r="E716" s="2">
        <v>101</v>
      </c>
      <c r="F716" s="2" t="s">
        <v>1453</v>
      </c>
      <c r="G716" s="2">
        <v>1</v>
      </c>
      <c r="H716" s="21">
        <v>0.8</v>
      </c>
      <c r="I716" s="2">
        <v>1</v>
      </c>
    </row>
    <row r="717" spans="1:9" ht="15.75" hidden="1" customHeight="1" x14ac:dyDescent="0.2">
      <c r="A717" s="11">
        <v>726</v>
      </c>
      <c r="B717" s="2">
        <v>726</v>
      </c>
      <c r="C717" s="2">
        <v>63</v>
      </c>
      <c r="D717" s="2">
        <f>VLOOKUP(C717,Course!$A$1:$C$229, 2, FALSE)</f>
        <v>0</v>
      </c>
      <c r="E717" s="2">
        <v>102</v>
      </c>
      <c r="F717" s="2" t="s">
        <v>1454</v>
      </c>
      <c r="G717" s="2">
        <v>1</v>
      </c>
      <c r="H717" s="21">
        <v>0.8</v>
      </c>
      <c r="I717" s="2">
        <v>1</v>
      </c>
    </row>
    <row r="718" spans="1:9" ht="15.75" hidden="1" customHeight="1" x14ac:dyDescent="0.2">
      <c r="A718" s="11">
        <v>727</v>
      </c>
      <c r="B718" s="2">
        <v>727</v>
      </c>
      <c r="C718" s="2">
        <v>63</v>
      </c>
      <c r="D718" s="2">
        <f>VLOOKUP(C718,Course!$A$1:$C$229, 2, FALSE)</f>
        <v>0</v>
      </c>
      <c r="E718" s="2">
        <v>103</v>
      </c>
      <c r="F718" s="2" t="s">
        <v>1455</v>
      </c>
      <c r="G718" s="2">
        <v>1</v>
      </c>
      <c r="H718" s="21">
        <v>0.8</v>
      </c>
      <c r="I718" s="2">
        <v>1</v>
      </c>
    </row>
    <row r="719" spans="1:9" ht="15.75" hidden="1" customHeight="1" x14ac:dyDescent="0.2">
      <c r="A719" s="11">
        <v>728</v>
      </c>
      <c r="B719" s="2">
        <v>728</v>
      </c>
      <c r="C719" s="2">
        <v>63</v>
      </c>
      <c r="D719" s="2">
        <f>VLOOKUP(C719,Course!$A$1:$C$229, 2, FALSE)</f>
        <v>0</v>
      </c>
      <c r="E719" s="2">
        <v>104</v>
      </c>
      <c r="F719" s="2" t="s">
        <v>1456</v>
      </c>
      <c r="G719" s="2">
        <v>1</v>
      </c>
      <c r="H719" s="21">
        <v>0.8</v>
      </c>
      <c r="I719" s="2">
        <v>1</v>
      </c>
    </row>
    <row r="720" spans="1:9" ht="15.75" hidden="1" customHeight="1" x14ac:dyDescent="0.2">
      <c r="A720" s="11">
        <v>729</v>
      </c>
      <c r="B720" s="2">
        <v>729</v>
      </c>
      <c r="C720" s="2">
        <v>63</v>
      </c>
      <c r="D720" s="2">
        <f>VLOOKUP(C720,Course!$A$1:$C$229, 2, FALSE)</f>
        <v>0</v>
      </c>
      <c r="E720" s="2">
        <v>105</v>
      </c>
      <c r="F720" s="2" t="s">
        <v>1457</v>
      </c>
      <c r="G720" s="2">
        <v>1</v>
      </c>
      <c r="H720" s="21">
        <v>0.8</v>
      </c>
      <c r="I720" s="2">
        <v>1</v>
      </c>
    </row>
    <row r="721" spans="1:9" ht="15.75" hidden="1" customHeight="1" x14ac:dyDescent="0.2">
      <c r="A721" s="11">
        <v>730</v>
      </c>
      <c r="B721" s="2">
        <v>730</v>
      </c>
      <c r="C721" s="2">
        <v>63</v>
      </c>
      <c r="D721" s="2">
        <f>VLOOKUP(C721,Course!$A$1:$C$229, 2, FALSE)</f>
        <v>0</v>
      </c>
      <c r="E721" s="2">
        <v>106</v>
      </c>
      <c r="F721" s="2" t="s">
        <v>1458</v>
      </c>
      <c r="G721" s="2">
        <v>1</v>
      </c>
      <c r="H721" s="21">
        <v>0.8</v>
      </c>
      <c r="I721" s="2">
        <v>1</v>
      </c>
    </row>
    <row r="722" spans="1:9" ht="15.75" hidden="1" customHeight="1" x14ac:dyDescent="0.2">
      <c r="A722" s="11">
        <v>731</v>
      </c>
      <c r="B722" s="2">
        <v>731</v>
      </c>
      <c r="C722" s="2">
        <v>63</v>
      </c>
      <c r="D722" s="2">
        <f>VLOOKUP(C722,Course!$A$1:$C$229, 2, FALSE)</f>
        <v>0</v>
      </c>
      <c r="E722" s="2">
        <v>107</v>
      </c>
      <c r="F722" s="2" t="s">
        <v>1459</v>
      </c>
      <c r="G722" s="2">
        <v>1</v>
      </c>
      <c r="H722" s="21">
        <v>0.8</v>
      </c>
      <c r="I722" s="2">
        <v>1</v>
      </c>
    </row>
    <row r="723" spans="1:9" ht="15.75" hidden="1" customHeight="1" x14ac:dyDescent="0.2">
      <c r="A723" s="11">
        <v>732</v>
      </c>
      <c r="B723" s="2">
        <v>732</v>
      </c>
      <c r="C723" s="2">
        <v>63</v>
      </c>
      <c r="D723" s="2">
        <f>VLOOKUP(C723,Course!$A$1:$C$229, 2, FALSE)</f>
        <v>0</v>
      </c>
      <c r="E723" s="2">
        <v>108</v>
      </c>
      <c r="F723" s="2" t="s">
        <v>1460</v>
      </c>
      <c r="G723" s="2">
        <v>1</v>
      </c>
      <c r="H723" s="21">
        <v>0.8</v>
      </c>
      <c r="I723" s="2">
        <v>1</v>
      </c>
    </row>
    <row r="724" spans="1:9" ht="15.75" hidden="1" customHeight="1" x14ac:dyDescent="0.2">
      <c r="A724" s="11">
        <v>733</v>
      </c>
      <c r="B724" s="2">
        <v>733</v>
      </c>
      <c r="C724" s="2">
        <v>64</v>
      </c>
      <c r="D724" s="2">
        <f>VLOOKUP(C724,Course!$A$1:$C$229, 2, FALSE)</f>
        <v>0</v>
      </c>
      <c r="E724" s="2">
        <v>1</v>
      </c>
      <c r="F724" s="2" t="s">
        <v>1461</v>
      </c>
      <c r="G724" s="2">
        <v>1</v>
      </c>
      <c r="H724" s="21">
        <v>0.8</v>
      </c>
      <c r="I724" s="2">
        <v>1</v>
      </c>
    </row>
    <row r="725" spans="1:9" ht="15.75" hidden="1" customHeight="1" x14ac:dyDescent="0.2">
      <c r="A725" s="11">
        <v>734</v>
      </c>
      <c r="B725" s="2">
        <v>734</v>
      </c>
      <c r="C725" s="2">
        <v>64</v>
      </c>
      <c r="D725" s="2">
        <f>VLOOKUP(C725,Course!$A$1:$C$229, 2, FALSE)</f>
        <v>0</v>
      </c>
      <c r="E725" s="2">
        <v>2</v>
      </c>
      <c r="F725" s="2" t="s">
        <v>1462</v>
      </c>
      <c r="G725" s="2">
        <v>1</v>
      </c>
      <c r="H725" s="21">
        <v>0.8</v>
      </c>
      <c r="I725" s="2">
        <v>1</v>
      </c>
    </row>
    <row r="726" spans="1:9" ht="15.75" hidden="1" customHeight="1" x14ac:dyDescent="0.2">
      <c r="A726" s="11">
        <v>735</v>
      </c>
      <c r="B726" s="2">
        <v>735</v>
      </c>
      <c r="C726" s="2">
        <v>65</v>
      </c>
      <c r="D726" s="2">
        <f>VLOOKUP(C726,Course!$A$1:$C$229, 2, FALSE)</f>
        <v>0</v>
      </c>
      <c r="E726" s="2">
        <v>1</v>
      </c>
      <c r="F726" s="2" t="s">
        <v>1463</v>
      </c>
      <c r="G726" s="2">
        <v>1</v>
      </c>
      <c r="H726" s="21">
        <v>0.8</v>
      </c>
      <c r="I726" s="2">
        <v>1</v>
      </c>
    </row>
    <row r="727" spans="1:9" ht="15.75" hidden="1" customHeight="1" x14ac:dyDescent="0.2">
      <c r="A727" s="11">
        <v>736</v>
      </c>
      <c r="B727" s="2">
        <v>736</v>
      </c>
      <c r="C727" s="2">
        <v>65</v>
      </c>
      <c r="D727" s="2">
        <f>VLOOKUP(C727,Course!$A$1:$C$229, 2, FALSE)</f>
        <v>0</v>
      </c>
      <c r="E727" s="2">
        <v>2</v>
      </c>
      <c r="F727" s="2" t="s">
        <v>1464</v>
      </c>
      <c r="G727" s="2">
        <v>1</v>
      </c>
      <c r="H727" s="21">
        <v>0.8</v>
      </c>
      <c r="I727" s="2">
        <v>1</v>
      </c>
    </row>
    <row r="728" spans="1:9" ht="15.75" hidden="1" customHeight="1" x14ac:dyDescent="0.2">
      <c r="A728" s="11">
        <v>737</v>
      </c>
      <c r="B728" s="2">
        <v>737</v>
      </c>
      <c r="C728" s="2">
        <v>65</v>
      </c>
      <c r="D728" s="2">
        <f>VLOOKUP(C728,Course!$A$1:$C$229, 2, FALSE)</f>
        <v>0</v>
      </c>
      <c r="E728" s="2">
        <v>3</v>
      </c>
      <c r="F728" s="2" t="s">
        <v>1465</v>
      </c>
      <c r="G728" s="2">
        <v>1</v>
      </c>
      <c r="H728" s="21">
        <v>0.8</v>
      </c>
      <c r="I728" s="2">
        <v>1</v>
      </c>
    </row>
    <row r="729" spans="1:9" ht="15.75" hidden="1" customHeight="1" x14ac:dyDescent="0.2">
      <c r="A729" s="11">
        <v>738</v>
      </c>
      <c r="B729" s="2">
        <v>738</v>
      </c>
      <c r="C729" s="2">
        <v>65</v>
      </c>
      <c r="D729" s="2">
        <f>VLOOKUP(C729,Course!$A$1:$C$229, 2, FALSE)</f>
        <v>0</v>
      </c>
      <c r="E729" s="2">
        <v>4</v>
      </c>
      <c r="F729" s="2" t="s">
        <v>1466</v>
      </c>
      <c r="G729" s="2">
        <v>1</v>
      </c>
      <c r="H729" s="21">
        <v>0.8</v>
      </c>
      <c r="I729" s="2">
        <v>1</v>
      </c>
    </row>
    <row r="730" spans="1:9" ht="15.75" hidden="1" customHeight="1" x14ac:dyDescent="0.2">
      <c r="A730" s="11">
        <v>739</v>
      </c>
      <c r="B730" s="2">
        <v>739</v>
      </c>
      <c r="C730" s="2">
        <v>65</v>
      </c>
      <c r="D730" s="2">
        <f>VLOOKUP(C730,Course!$A$1:$C$229, 2, FALSE)</f>
        <v>0</v>
      </c>
      <c r="E730" s="2">
        <v>5</v>
      </c>
      <c r="F730" s="2" t="s">
        <v>1467</v>
      </c>
      <c r="G730" s="2">
        <v>1</v>
      </c>
      <c r="H730" s="21">
        <v>0.8</v>
      </c>
      <c r="I730" s="2">
        <v>1</v>
      </c>
    </row>
    <row r="731" spans="1:9" ht="15.75" hidden="1" customHeight="1" x14ac:dyDescent="0.2">
      <c r="A731" s="11">
        <v>740</v>
      </c>
      <c r="B731" s="2">
        <v>740</v>
      </c>
      <c r="C731" s="2">
        <v>65</v>
      </c>
      <c r="D731" s="2">
        <f>VLOOKUP(C731,Course!$A$1:$C$229, 2, FALSE)</f>
        <v>0</v>
      </c>
      <c r="E731" s="2">
        <v>6</v>
      </c>
      <c r="F731" s="2" t="s">
        <v>1468</v>
      </c>
      <c r="G731" s="2">
        <v>1</v>
      </c>
      <c r="H731" s="21">
        <v>0.8</v>
      </c>
      <c r="I731" s="2">
        <v>1</v>
      </c>
    </row>
    <row r="732" spans="1:9" ht="15.75" hidden="1" customHeight="1" x14ac:dyDescent="0.2">
      <c r="A732" s="11">
        <v>741</v>
      </c>
      <c r="B732" s="2">
        <v>741</v>
      </c>
      <c r="C732" s="2">
        <v>65</v>
      </c>
      <c r="D732" s="2">
        <f>VLOOKUP(C732,Course!$A$1:$C$229, 2, FALSE)</f>
        <v>0</v>
      </c>
      <c r="E732" s="2">
        <v>7</v>
      </c>
      <c r="F732" s="2" t="s">
        <v>1469</v>
      </c>
      <c r="G732" s="2">
        <v>1</v>
      </c>
      <c r="H732" s="21">
        <v>0.8</v>
      </c>
      <c r="I732" s="2">
        <v>1</v>
      </c>
    </row>
    <row r="733" spans="1:9" ht="15.75" hidden="1" customHeight="1" x14ac:dyDescent="0.2">
      <c r="A733" s="11">
        <v>742</v>
      </c>
      <c r="B733" s="2">
        <v>742</v>
      </c>
      <c r="C733" s="2">
        <v>65</v>
      </c>
      <c r="D733" s="2">
        <f>VLOOKUP(C733,Course!$A$1:$C$229, 2, FALSE)</f>
        <v>0</v>
      </c>
      <c r="E733" s="2">
        <v>8</v>
      </c>
      <c r="F733" s="2" t="s">
        <v>1470</v>
      </c>
      <c r="G733" s="2">
        <v>1</v>
      </c>
      <c r="H733" s="21">
        <v>0.8</v>
      </c>
      <c r="I733" s="2">
        <v>1</v>
      </c>
    </row>
    <row r="734" spans="1:9" ht="15.75" hidden="1" customHeight="1" x14ac:dyDescent="0.2">
      <c r="A734" s="11">
        <v>743</v>
      </c>
      <c r="B734" s="2">
        <v>743</v>
      </c>
      <c r="C734" s="2">
        <v>65</v>
      </c>
      <c r="D734" s="2">
        <f>VLOOKUP(C734,Course!$A$1:$C$229, 2, FALSE)</f>
        <v>0</v>
      </c>
      <c r="E734" s="2">
        <v>9</v>
      </c>
      <c r="F734" s="2" t="s">
        <v>1471</v>
      </c>
      <c r="G734" s="2">
        <v>1</v>
      </c>
      <c r="H734" s="21">
        <v>0.8</v>
      </c>
      <c r="I734" s="2">
        <v>1</v>
      </c>
    </row>
    <row r="735" spans="1:9" ht="15.75" hidden="1" customHeight="1" x14ac:dyDescent="0.2">
      <c r="A735" s="11">
        <v>744</v>
      </c>
      <c r="B735" s="2">
        <v>744</v>
      </c>
      <c r="C735" s="2">
        <v>65</v>
      </c>
      <c r="D735" s="2">
        <f>VLOOKUP(C735,Course!$A$1:$C$229, 2, FALSE)</f>
        <v>0</v>
      </c>
      <c r="E735" s="2">
        <v>10</v>
      </c>
      <c r="F735" s="2" t="s">
        <v>1472</v>
      </c>
      <c r="G735" s="2">
        <v>1</v>
      </c>
      <c r="H735" s="21">
        <v>0.8</v>
      </c>
      <c r="I735" s="2">
        <v>1</v>
      </c>
    </row>
    <row r="736" spans="1:9" ht="15.75" hidden="1" customHeight="1" x14ac:dyDescent="0.2">
      <c r="A736" s="11">
        <v>745</v>
      </c>
      <c r="B736" s="2">
        <v>745</v>
      </c>
      <c r="C736" s="2">
        <v>65</v>
      </c>
      <c r="D736" s="2">
        <f>VLOOKUP(C736,Course!$A$1:$C$229, 2, FALSE)</f>
        <v>0</v>
      </c>
      <c r="E736" s="2">
        <v>11</v>
      </c>
      <c r="F736" s="2" t="s">
        <v>1473</v>
      </c>
      <c r="G736" s="2">
        <v>1</v>
      </c>
      <c r="H736" s="21">
        <v>0.8</v>
      </c>
      <c r="I736" s="2">
        <v>1</v>
      </c>
    </row>
    <row r="737" spans="1:9" ht="15.75" hidden="1" customHeight="1" x14ac:dyDescent="0.2">
      <c r="A737" s="11">
        <v>746</v>
      </c>
      <c r="B737" s="2">
        <v>746</v>
      </c>
      <c r="C737" s="2">
        <v>65</v>
      </c>
      <c r="D737" s="2">
        <f>VLOOKUP(C737,Course!$A$1:$C$229, 2, FALSE)</f>
        <v>0</v>
      </c>
      <c r="E737" s="2">
        <v>12</v>
      </c>
      <c r="F737" s="2" t="s">
        <v>1474</v>
      </c>
      <c r="G737" s="2">
        <v>1</v>
      </c>
      <c r="H737" s="21">
        <v>0.8</v>
      </c>
      <c r="I737" s="2">
        <v>1</v>
      </c>
    </row>
    <row r="738" spans="1:9" ht="15.75" hidden="1" customHeight="1" x14ac:dyDescent="0.2">
      <c r="A738" s="11">
        <v>747</v>
      </c>
      <c r="B738" s="2">
        <v>747</v>
      </c>
      <c r="C738" s="2">
        <v>66</v>
      </c>
      <c r="D738" s="2">
        <f>VLOOKUP(C738,Course!$A$1:$C$229, 2, FALSE)</f>
        <v>0</v>
      </c>
      <c r="E738" s="2">
        <v>97</v>
      </c>
      <c r="F738" s="2" t="s">
        <v>1475</v>
      </c>
      <c r="G738" s="2">
        <v>1</v>
      </c>
      <c r="H738" s="21">
        <v>0.8</v>
      </c>
      <c r="I738" s="2">
        <v>1</v>
      </c>
    </row>
    <row r="739" spans="1:9" ht="15.75" hidden="1" customHeight="1" x14ac:dyDescent="0.2">
      <c r="A739" s="11">
        <v>748</v>
      </c>
      <c r="B739" s="2">
        <v>748</v>
      </c>
      <c r="C739" s="2">
        <v>66</v>
      </c>
      <c r="D739" s="2">
        <f>VLOOKUP(C739,Course!$A$1:$C$229, 2, FALSE)</f>
        <v>0</v>
      </c>
      <c r="E739" s="2">
        <v>98</v>
      </c>
      <c r="F739" s="2" t="s">
        <v>1476</v>
      </c>
      <c r="G739" s="2">
        <v>1</v>
      </c>
      <c r="H739" s="21">
        <v>0.8</v>
      </c>
      <c r="I739" s="2">
        <v>1</v>
      </c>
    </row>
    <row r="740" spans="1:9" ht="15.75" hidden="1" customHeight="1" x14ac:dyDescent="0.2">
      <c r="A740" s="11">
        <v>749</v>
      </c>
      <c r="B740" s="2">
        <v>749</v>
      </c>
      <c r="C740" s="2">
        <v>66</v>
      </c>
      <c r="D740" s="2">
        <f>VLOOKUP(C740,Course!$A$1:$C$229, 2, FALSE)</f>
        <v>0</v>
      </c>
      <c r="E740" s="2">
        <v>99</v>
      </c>
      <c r="F740" s="2" t="s">
        <v>1477</v>
      </c>
      <c r="G740" s="2">
        <v>1</v>
      </c>
      <c r="H740" s="21">
        <v>0.8</v>
      </c>
      <c r="I740" s="2">
        <v>1</v>
      </c>
    </row>
    <row r="741" spans="1:9" ht="15.75" hidden="1" customHeight="1" x14ac:dyDescent="0.2">
      <c r="A741" s="11">
        <v>750</v>
      </c>
      <c r="B741" s="2">
        <v>750</v>
      </c>
      <c r="C741" s="2">
        <v>66</v>
      </c>
      <c r="D741" s="2">
        <f>VLOOKUP(C741,Course!$A$1:$C$229, 2, FALSE)</f>
        <v>0</v>
      </c>
      <c r="E741" s="2">
        <v>100</v>
      </c>
      <c r="F741" s="2" t="s">
        <v>1478</v>
      </c>
      <c r="G741" s="2">
        <v>1</v>
      </c>
      <c r="H741" s="21">
        <v>0.8</v>
      </c>
      <c r="I741" s="2">
        <v>1</v>
      </c>
    </row>
    <row r="742" spans="1:9" ht="15.75" hidden="1" customHeight="1" x14ac:dyDescent="0.2">
      <c r="A742" s="11">
        <v>751</v>
      </c>
      <c r="B742" s="2">
        <v>751</v>
      </c>
      <c r="C742" s="2">
        <v>66</v>
      </c>
      <c r="D742" s="2">
        <f>VLOOKUP(C742,Course!$A$1:$C$229, 2, FALSE)</f>
        <v>0</v>
      </c>
      <c r="E742" s="2">
        <v>101</v>
      </c>
      <c r="F742" s="2" t="s">
        <v>1479</v>
      </c>
      <c r="G742" s="2">
        <v>1</v>
      </c>
      <c r="H742" s="21">
        <v>0.8</v>
      </c>
      <c r="I742" s="2">
        <v>1</v>
      </c>
    </row>
    <row r="743" spans="1:9" ht="15.75" hidden="1" customHeight="1" x14ac:dyDescent="0.2">
      <c r="A743" s="11">
        <v>752</v>
      </c>
      <c r="B743" s="2">
        <v>752</v>
      </c>
      <c r="C743" s="2">
        <v>66</v>
      </c>
      <c r="D743" s="2">
        <f>VLOOKUP(C743,Course!$A$1:$C$229, 2, FALSE)</f>
        <v>0</v>
      </c>
      <c r="E743" s="2">
        <v>102</v>
      </c>
      <c r="F743" s="2" t="s">
        <v>1480</v>
      </c>
      <c r="G743" s="2">
        <v>1</v>
      </c>
      <c r="H743" s="21">
        <v>0.8</v>
      </c>
      <c r="I743" s="2">
        <v>1</v>
      </c>
    </row>
    <row r="744" spans="1:9" ht="15.75" hidden="1" customHeight="1" x14ac:dyDescent="0.2">
      <c r="A744" s="11">
        <v>753</v>
      </c>
      <c r="B744" s="2">
        <v>753</v>
      </c>
      <c r="C744" s="2">
        <v>66</v>
      </c>
      <c r="D744" s="2">
        <f>VLOOKUP(C744,Course!$A$1:$C$229, 2, FALSE)</f>
        <v>0</v>
      </c>
      <c r="E744" s="2">
        <v>103</v>
      </c>
      <c r="F744" s="2" t="s">
        <v>1481</v>
      </c>
      <c r="G744" s="2">
        <v>1</v>
      </c>
      <c r="H744" s="21">
        <v>0.8</v>
      </c>
      <c r="I744" s="2">
        <v>1</v>
      </c>
    </row>
    <row r="745" spans="1:9" ht="15.75" hidden="1" customHeight="1" x14ac:dyDescent="0.2">
      <c r="A745" s="11">
        <v>754</v>
      </c>
      <c r="B745" s="2">
        <v>754</v>
      </c>
      <c r="C745" s="2">
        <v>66</v>
      </c>
      <c r="D745" s="2">
        <f>VLOOKUP(C745,Course!$A$1:$C$229, 2, FALSE)</f>
        <v>0</v>
      </c>
      <c r="E745" s="2">
        <v>104</v>
      </c>
      <c r="F745" s="2" t="s">
        <v>1482</v>
      </c>
      <c r="G745" s="2">
        <v>1</v>
      </c>
      <c r="H745" s="21">
        <v>0.8</v>
      </c>
      <c r="I745" s="2">
        <v>1</v>
      </c>
    </row>
    <row r="746" spans="1:9" ht="15.75" hidden="1" customHeight="1" x14ac:dyDescent="0.2">
      <c r="A746" s="11">
        <v>755</v>
      </c>
      <c r="B746" s="2">
        <v>755</v>
      </c>
      <c r="C746" s="2">
        <v>66</v>
      </c>
      <c r="D746" s="2">
        <f>VLOOKUP(C746,Course!$A$1:$C$229, 2, FALSE)</f>
        <v>0</v>
      </c>
      <c r="E746" s="2">
        <v>105</v>
      </c>
      <c r="F746" s="2" t="s">
        <v>1483</v>
      </c>
      <c r="G746" s="2">
        <v>1</v>
      </c>
      <c r="H746" s="21">
        <v>0.8</v>
      </c>
      <c r="I746" s="2">
        <v>1</v>
      </c>
    </row>
    <row r="747" spans="1:9" ht="15.75" hidden="1" customHeight="1" x14ac:dyDescent="0.2">
      <c r="A747" s="11">
        <v>756</v>
      </c>
      <c r="B747" s="2">
        <v>756</v>
      </c>
      <c r="C747" s="2">
        <v>66</v>
      </c>
      <c r="D747" s="2">
        <f>VLOOKUP(C747,Course!$A$1:$C$229, 2, FALSE)</f>
        <v>0</v>
      </c>
      <c r="E747" s="2">
        <v>106</v>
      </c>
      <c r="F747" s="2" t="s">
        <v>1484</v>
      </c>
      <c r="G747" s="2">
        <v>1</v>
      </c>
      <c r="H747" s="21">
        <v>0.8</v>
      </c>
      <c r="I747" s="2">
        <v>1</v>
      </c>
    </row>
    <row r="748" spans="1:9" ht="15.75" hidden="1" customHeight="1" x14ac:dyDescent="0.2">
      <c r="A748" s="11">
        <v>757</v>
      </c>
      <c r="B748" s="2">
        <v>757</v>
      </c>
      <c r="C748" s="2">
        <v>66</v>
      </c>
      <c r="D748" s="2">
        <f>VLOOKUP(C748,Course!$A$1:$C$229, 2, FALSE)</f>
        <v>0</v>
      </c>
      <c r="E748" s="2">
        <v>107</v>
      </c>
      <c r="F748" s="2" t="s">
        <v>1485</v>
      </c>
      <c r="G748" s="2">
        <v>1</v>
      </c>
      <c r="H748" s="21">
        <v>0.8</v>
      </c>
      <c r="I748" s="2">
        <v>1</v>
      </c>
    </row>
    <row r="749" spans="1:9" ht="15.75" hidden="1" customHeight="1" x14ac:dyDescent="0.2">
      <c r="A749" s="11">
        <v>758</v>
      </c>
      <c r="B749" s="2">
        <v>758</v>
      </c>
      <c r="C749" s="2">
        <v>66</v>
      </c>
      <c r="D749" s="2">
        <f>VLOOKUP(C749,Course!$A$1:$C$229, 2, FALSE)</f>
        <v>0</v>
      </c>
      <c r="E749" s="2">
        <v>108</v>
      </c>
      <c r="F749" s="2" t="s">
        <v>1486</v>
      </c>
      <c r="G749" s="2">
        <v>1</v>
      </c>
      <c r="H749" s="21">
        <v>0.8</v>
      </c>
      <c r="I749" s="2">
        <v>1</v>
      </c>
    </row>
    <row r="750" spans="1:9" ht="15.75" hidden="1" customHeight="1" x14ac:dyDescent="0.2">
      <c r="A750" s="11">
        <v>759</v>
      </c>
      <c r="B750" s="2">
        <v>759</v>
      </c>
      <c r="C750" s="2">
        <v>67</v>
      </c>
      <c r="D750" s="2">
        <f>VLOOKUP(C750,Course!$A$1:$C$229, 2, FALSE)</f>
        <v>0</v>
      </c>
      <c r="E750" s="2">
        <v>1</v>
      </c>
      <c r="F750" s="2" t="s">
        <v>1487</v>
      </c>
      <c r="G750" s="2">
        <v>1</v>
      </c>
      <c r="H750" s="21">
        <v>0.8</v>
      </c>
      <c r="I750" s="2">
        <v>1</v>
      </c>
    </row>
    <row r="751" spans="1:9" ht="15.75" hidden="1" customHeight="1" x14ac:dyDescent="0.2">
      <c r="A751" s="11">
        <v>760</v>
      </c>
      <c r="B751" s="2">
        <v>760</v>
      </c>
      <c r="C751" s="2">
        <v>67</v>
      </c>
      <c r="D751" s="2">
        <f>VLOOKUP(C751,Course!$A$1:$C$229, 2, FALSE)</f>
        <v>0</v>
      </c>
      <c r="E751" s="2">
        <v>2</v>
      </c>
      <c r="F751" s="2" t="s">
        <v>1488</v>
      </c>
      <c r="G751" s="2">
        <v>1</v>
      </c>
      <c r="H751" s="21">
        <v>0.8</v>
      </c>
      <c r="I751" s="2">
        <v>1</v>
      </c>
    </row>
    <row r="752" spans="1:9" ht="15.75" hidden="1" customHeight="1" x14ac:dyDescent="0.2">
      <c r="A752" s="11">
        <v>761</v>
      </c>
      <c r="B752" s="2">
        <v>761</v>
      </c>
      <c r="C752" s="2">
        <v>67</v>
      </c>
      <c r="D752" s="2">
        <f>VLOOKUP(C752,Course!$A$1:$C$229, 2, FALSE)</f>
        <v>0</v>
      </c>
      <c r="E752" s="2">
        <v>3</v>
      </c>
      <c r="F752" s="2" t="s">
        <v>1489</v>
      </c>
      <c r="G752" s="2">
        <v>1</v>
      </c>
      <c r="H752" s="21">
        <v>0.8</v>
      </c>
      <c r="I752" s="2">
        <v>1</v>
      </c>
    </row>
    <row r="753" spans="1:9" ht="15.75" hidden="1" customHeight="1" x14ac:dyDescent="0.2">
      <c r="A753" s="11">
        <v>762</v>
      </c>
      <c r="B753" s="2">
        <v>762</v>
      </c>
      <c r="C753" s="2">
        <v>67</v>
      </c>
      <c r="D753" s="2">
        <f>VLOOKUP(C753,Course!$A$1:$C$229, 2, FALSE)</f>
        <v>0</v>
      </c>
      <c r="E753" s="2">
        <v>4</v>
      </c>
      <c r="F753" s="2" t="s">
        <v>1490</v>
      </c>
      <c r="G753" s="2">
        <v>1</v>
      </c>
      <c r="H753" s="21">
        <v>0.8</v>
      </c>
      <c r="I753" s="2">
        <v>1</v>
      </c>
    </row>
    <row r="754" spans="1:9" ht="15.75" hidden="1" customHeight="1" x14ac:dyDescent="0.2">
      <c r="A754" s="11">
        <v>763</v>
      </c>
      <c r="B754" s="2">
        <v>763</v>
      </c>
      <c r="C754" s="2">
        <v>67</v>
      </c>
      <c r="D754" s="2">
        <f>VLOOKUP(C754,Course!$A$1:$C$229, 2, FALSE)</f>
        <v>0</v>
      </c>
      <c r="E754" s="2">
        <v>5</v>
      </c>
      <c r="F754" s="2" t="s">
        <v>1491</v>
      </c>
      <c r="G754" s="2">
        <v>1</v>
      </c>
      <c r="H754" s="21">
        <v>0.8</v>
      </c>
      <c r="I754" s="2">
        <v>1</v>
      </c>
    </row>
    <row r="755" spans="1:9" ht="15.75" hidden="1" customHeight="1" x14ac:dyDescent="0.2">
      <c r="A755" s="11">
        <v>764</v>
      </c>
      <c r="B755" s="2">
        <v>764</v>
      </c>
      <c r="C755" s="2">
        <v>67</v>
      </c>
      <c r="D755" s="2">
        <f>VLOOKUP(C755,Course!$A$1:$C$229, 2, FALSE)</f>
        <v>0</v>
      </c>
      <c r="E755" s="2">
        <v>6</v>
      </c>
      <c r="F755" s="2" t="s">
        <v>1492</v>
      </c>
      <c r="G755" s="2">
        <v>1</v>
      </c>
      <c r="H755" s="21">
        <v>0.8</v>
      </c>
      <c r="I755" s="2">
        <v>1</v>
      </c>
    </row>
    <row r="756" spans="1:9" ht="15.75" hidden="1" customHeight="1" x14ac:dyDescent="0.2">
      <c r="A756" s="11">
        <v>765</v>
      </c>
      <c r="B756" s="2">
        <v>765</v>
      </c>
      <c r="C756" s="2">
        <v>67</v>
      </c>
      <c r="D756" s="2">
        <f>VLOOKUP(C756,Course!$A$1:$C$229, 2, FALSE)</f>
        <v>0</v>
      </c>
      <c r="E756" s="2">
        <v>7</v>
      </c>
      <c r="F756" s="2" t="s">
        <v>1493</v>
      </c>
      <c r="G756" s="2">
        <v>1</v>
      </c>
      <c r="H756" s="21">
        <v>0.8</v>
      </c>
      <c r="I756" s="2">
        <v>1</v>
      </c>
    </row>
    <row r="757" spans="1:9" ht="15.75" hidden="1" customHeight="1" x14ac:dyDescent="0.2">
      <c r="A757" s="11">
        <v>766</v>
      </c>
      <c r="B757" s="2">
        <v>766</v>
      </c>
      <c r="C757" s="2">
        <v>67</v>
      </c>
      <c r="D757" s="2">
        <f>VLOOKUP(C757,Course!$A$1:$C$229, 2, FALSE)</f>
        <v>0</v>
      </c>
      <c r="E757" s="2">
        <v>8</v>
      </c>
      <c r="F757" s="2" t="s">
        <v>1494</v>
      </c>
      <c r="G757" s="2">
        <v>1</v>
      </c>
      <c r="H757" s="21">
        <v>0.8</v>
      </c>
      <c r="I757" s="2">
        <v>1</v>
      </c>
    </row>
    <row r="758" spans="1:9" ht="15.75" hidden="1" customHeight="1" x14ac:dyDescent="0.2">
      <c r="A758" s="11">
        <v>767</v>
      </c>
      <c r="B758" s="2">
        <v>767</v>
      </c>
      <c r="C758" s="2">
        <v>67</v>
      </c>
      <c r="D758" s="2">
        <f>VLOOKUP(C758,Course!$A$1:$C$229, 2, FALSE)</f>
        <v>0</v>
      </c>
      <c r="E758" s="2">
        <v>9</v>
      </c>
      <c r="F758" s="2" t="s">
        <v>1495</v>
      </c>
      <c r="G758" s="2">
        <v>1</v>
      </c>
      <c r="H758" s="21">
        <v>0.8</v>
      </c>
      <c r="I758" s="2">
        <v>1</v>
      </c>
    </row>
    <row r="759" spans="1:9" ht="15.75" hidden="1" customHeight="1" x14ac:dyDescent="0.2">
      <c r="A759" s="11">
        <v>768</v>
      </c>
      <c r="B759" s="2">
        <v>768</v>
      </c>
      <c r="C759" s="2">
        <v>67</v>
      </c>
      <c r="D759" s="2">
        <f>VLOOKUP(C759,Course!$A$1:$C$229, 2, FALSE)</f>
        <v>0</v>
      </c>
      <c r="E759" s="2">
        <v>10</v>
      </c>
      <c r="F759" s="2" t="s">
        <v>1496</v>
      </c>
      <c r="G759" s="2">
        <v>1</v>
      </c>
      <c r="H759" s="21">
        <v>0.8</v>
      </c>
      <c r="I759" s="2">
        <v>1</v>
      </c>
    </row>
    <row r="760" spans="1:9" ht="15.75" hidden="1" customHeight="1" x14ac:dyDescent="0.2">
      <c r="A760" s="11">
        <v>769</v>
      </c>
      <c r="B760" s="2">
        <v>769</v>
      </c>
      <c r="C760" s="2">
        <v>68</v>
      </c>
      <c r="D760" s="2">
        <f>VLOOKUP(C760,Course!$A$1:$C$229, 2, FALSE)</f>
        <v>0</v>
      </c>
      <c r="E760" s="2">
        <v>97</v>
      </c>
      <c r="F760" s="2" t="s">
        <v>1497</v>
      </c>
      <c r="G760" s="2">
        <v>1</v>
      </c>
      <c r="H760" s="21">
        <v>0.9</v>
      </c>
      <c r="I760" s="2">
        <v>1</v>
      </c>
    </row>
    <row r="761" spans="1:9" ht="15.75" hidden="1" customHeight="1" x14ac:dyDescent="0.2">
      <c r="A761" s="11">
        <v>770</v>
      </c>
      <c r="B761" s="2">
        <v>770</v>
      </c>
      <c r="C761" s="2">
        <v>68</v>
      </c>
      <c r="D761" s="2">
        <f>VLOOKUP(C761,Course!$A$1:$C$229, 2, FALSE)</f>
        <v>0</v>
      </c>
      <c r="E761" s="2">
        <v>98</v>
      </c>
      <c r="F761" s="2" t="s">
        <v>1498</v>
      </c>
      <c r="G761" s="2">
        <v>1</v>
      </c>
      <c r="H761" s="21">
        <v>0.9</v>
      </c>
      <c r="I761" s="2">
        <v>1</v>
      </c>
    </row>
    <row r="762" spans="1:9" ht="15.75" hidden="1" customHeight="1" x14ac:dyDescent="0.2">
      <c r="A762" s="11">
        <v>771</v>
      </c>
      <c r="B762" s="2">
        <v>771</v>
      </c>
      <c r="C762" s="2">
        <v>68</v>
      </c>
      <c r="D762" s="2">
        <f>VLOOKUP(C762,Course!$A$1:$C$229, 2, FALSE)</f>
        <v>0</v>
      </c>
      <c r="E762" s="2">
        <v>99</v>
      </c>
      <c r="F762" s="2" t="s">
        <v>1499</v>
      </c>
      <c r="G762" s="2">
        <v>1</v>
      </c>
      <c r="H762" s="21">
        <v>0.9</v>
      </c>
      <c r="I762" s="2">
        <v>1</v>
      </c>
    </row>
    <row r="763" spans="1:9" ht="15.75" hidden="1" customHeight="1" x14ac:dyDescent="0.2">
      <c r="A763" s="11">
        <v>772</v>
      </c>
      <c r="B763" s="2">
        <v>772</v>
      </c>
      <c r="C763" s="2">
        <v>68</v>
      </c>
      <c r="D763" s="2">
        <f>VLOOKUP(C763,Course!$A$1:$C$229, 2, FALSE)</f>
        <v>0</v>
      </c>
      <c r="E763" s="2">
        <v>100</v>
      </c>
      <c r="F763" s="2" t="s">
        <v>1500</v>
      </c>
      <c r="G763" s="2">
        <v>1</v>
      </c>
      <c r="H763" s="21">
        <v>0.9</v>
      </c>
      <c r="I763" s="2">
        <v>1</v>
      </c>
    </row>
    <row r="764" spans="1:9" ht="15.75" hidden="1" customHeight="1" x14ac:dyDescent="0.2">
      <c r="A764" s="11">
        <v>773</v>
      </c>
      <c r="B764" s="2">
        <v>773</v>
      </c>
      <c r="C764" s="2">
        <v>68</v>
      </c>
      <c r="D764" s="2">
        <f>VLOOKUP(C764,Course!$A$1:$C$229, 2, FALSE)</f>
        <v>0</v>
      </c>
      <c r="E764" s="2">
        <v>101</v>
      </c>
      <c r="F764" s="2" t="s">
        <v>1501</v>
      </c>
      <c r="G764" s="2">
        <v>1</v>
      </c>
      <c r="H764" s="21">
        <v>0.9</v>
      </c>
      <c r="I764" s="2">
        <v>1</v>
      </c>
    </row>
    <row r="765" spans="1:9" ht="15.75" hidden="1" customHeight="1" x14ac:dyDescent="0.2">
      <c r="A765" s="11">
        <v>774</v>
      </c>
      <c r="B765" s="2">
        <v>774</v>
      </c>
      <c r="C765" s="2">
        <v>68</v>
      </c>
      <c r="D765" s="2">
        <f>VLOOKUP(C765,Course!$A$1:$C$229, 2, FALSE)</f>
        <v>0</v>
      </c>
      <c r="E765" s="2">
        <v>102</v>
      </c>
      <c r="F765" s="2" t="s">
        <v>1502</v>
      </c>
      <c r="G765" s="2">
        <v>1</v>
      </c>
      <c r="H765" s="21">
        <v>0.9</v>
      </c>
      <c r="I765" s="2">
        <v>1</v>
      </c>
    </row>
    <row r="766" spans="1:9" ht="15.75" hidden="1" customHeight="1" x14ac:dyDescent="0.2">
      <c r="A766" s="11">
        <v>775</v>
      </c>
      <c r="B766" s="2">
        <v>775</v>
      </c>
      <c r="C766" s="2">
        <v>68</v>
      </c>
      <c r="D766" s="2">
        <f>VLOOKUP(C766,Course!$A$1:$C$229, 2, FALSE)</f>
        <v>0</v>
      </c>
      <c r="E766" s="2">
        <v>103</v>
      </c>
      <c r="F766" s="2" t="s">
        <v>1503</v>
      </c>
      <c r="G766" s="2">
        <v>1</v>
      </c>
      <c r="H766" s="21">
        <v>0.9</v>
      </c>
      <c r="I766" s="2">
        <v>1</v>
      </c>
    </row>
    <row r="767" spans="1:9" ht="15.75" hidden="1" customHeight="1" x14ac:dyDescent="0.2">
      <c r="A767" s="11">
        <v>776</v>
      </c>
      <c r="B767" s="2">
        <v>776</v>
      </c>
      <c r="C767" s="2">
        <v>68</v>
      </c>
      <c r="D767" s="2">
        <f>VLOOKUP(C767,Course!$A$1:$C$229, 2, FALSE)</f>
        <v>0</v>
      </c>
      <c r="E767" s="2">
        <v>104</v>
      </c>
      <c r="F767" s="2" t="s">
        <v>1504</v>
      </c>
      <c r="G767" s="2">
        <v>1</v>
      </c>
      <c r="H767" s="21">
        <v>0.9</v>
      </c>
      <c r="I767" s="2">
        <v>1</v>
      </c>
    </row>
    <row r="768" spans="1:9" ht="15.75" hidden="1" customHeight="1" x14ac:dyDescent="0.2">
      <c r="A768" s="11">
        <v>777</v>
      </c>
      <c r="B768" s="2">
        <v>777</v>
      </c>
      <c r="C768" s="2">
        <v>68</v>
      </c>
      <c r="D768" s="2">
        <f>VLOOKUP(C768,Course!$A$1:$C$229, 2, FALSE)</f>
        <v>0</v>
      </c>
      <c r="E768" s="2">
        <v>105</v>
      </c>
      <c r="F768" s="2" t="s">
        <v>1505</v>
      </c>
      <c r="G768" s="2">
        <v>1</v>
      </c>
      <c r="H768" s="21">
        <v>0.9</v>
      </c>
      <c r="I768" s="2">
        <v>1</v>
      </c>
    </row>
    <row r="769" spans="1:9" ht="15.75" hidden="1" customHeight="1" x14ac:dyDescent="0.2">
      <c r="A769" s="11">
        <v>778</v>
      </c>
      <c r="B769" s="2">
        <v>778</v>
      </c>
      <c r="C769" s="2">
        <v>68</v>
      </c>
      <c r="D769" s="2">
        <f>VLOOKUP(C769,Course!$A$1:$C$229, 2, FALSE)</f>
        <v>0</v>
      </c>
      <c r="E769" s="2">
        <v>106</v>
      </c>
      <c r="F769" s="2" t="s">
        <v>1506</v>
      </c>
      <c r="G769" s="2">
        <v>1</v>
      </c>
      <c r="H769" s="21">
        <v>0.9</v>
      </c>
      <c r="I769" s="2">
        <v>1</v>
      </c>
    </row>
    <row r="770" spans="1:9" ht="15.75" hidden="1" customHeight="1" x14ac:dyDescent="0.2">
      <c r="A770" s="11">
        <v>779</v>
      </c>
      <c r="B770" s="2">
        <v>779</v>
      </c>
      <c r="C770" s="2">
        <v>68</v>
      </c>
      <c r="D770" s="2">
        <f>VLOOKUP(C770,Course!$A$1:$C$229, 2, FALSE)</f>
        <v>0</v>
      </c>
      <c r="E770" s="2">
        <v>107</v>
      </c>
      <c r="F770" s="2" t="s">
        <v>1507</v>
      </c>
      <c r="G770" s="2">
        <v>1</v>
      </c>
      <c r="H770" s="21">
        <v>0.9</v>
      </c>
      <c r="I770" s="2">
        <v>1</v>
      </c>
    </row>
    <row r="771" spans="1:9" ht="15.75" hidden="1" customHeight="1" x14ac:dyDescent="0.2">
      <c r="A771" s="11">
        <v>780</v>
      </c>
      <c r="B771" s="2">
        <v>780</v>
      </c>
      <c r="C771" s="2">
        <v>68</v>
      </c>
      <c r="D771" s="2">
        <f>VLOOKUP(C771,Course!$A$1:$C$229, 2, FALSE)</f>
        <v>0</v>
      </c>
      <c r="E771" s="2">
        <v>108</v>
      </c>
      <c r="F771" s="2" t="s">
        <v>1508</v>
      </c>
      <c r="G771" s="2">
        <v>1</v>
      </c>
      <c r="H771" s="21">
        <v>0.9</v>
      </c>
      <c r="I771" s="2">
        <v>1</v>
      </c>
    </row>
    <row r="772" spans="1:9" ht="15.75" hidden="1" customHeight="1" x14ac:dyDescent="0.2">
      <c r="A772" s="11">
        <v>781</v>
      </c>
      <c r="B772" s="2">
        <v>781</v>
      </c>
      <c r="C772" s="2">
        <v>69</v>
      </c>
      <c r="D772" s="2">
        <f>VLOOKUP(C772,Course!$A$1:$C$229, 2, FALSE)</f>
        <v>0</v>
      </c>
      <c r="E772" s="2">
        <v>1</v>
      </c>
      <c r="F772" s="2" t="s">
        <v>1509</v>
      </c>
      <c r="G772" s="2">
        <v>1</v>
      </c>
      <c r="H772" s="21">
        <v>0.8</v>
      </c>
      <c r="I772" s="2">
        <v>1</v>
      </c>
    </row>
    <row r="773" spans="1:9" ht="15.75" hidden="1" customHeight="1" x14ac:dyDescent="0.2">
      <c r="A773" s="11">
        <v>782</v>
      </c>
      <c r="B773" s="2">
        <v>782</v>
      </c>
      <c r="C773" s="2">
        <v>69</v>
      </c>
      <c r="D773" s="2">
        <f>VLOOKUP(C773,Course!$A$1:$C$229, 2, FALSE)</f>
        <v>0</v>
      </c>
      <c r="E773" s="2">
        <v>2</v>
      </c>
      <c r="F773" s="2" t="s">
        <v>1510</v>
      </c>
      <c r="G773" s="2">
        <v>1</v>
      </c>
      <c r="H773" s="21">
        <v>0.8</v>
      </c>
      <c r="I773" s="2">
        <v>1</v>
      </c>
    </row>
    <row r="774" spans="1:9" ht="15.75" hidden="1" customHeight="1" x14ac:dyDescent="0.2">
      <c r="A774" s="11">
        <v>783</v>
      </c>
      <c r="B774" s="2">
        <v>783</v>
      </c>
      <c r="C774" s="2">
        <v>69</v>
      </c>
      <c r="D774" s="2">
        <f>VLOOKUP(C774,Course!$A$1:$C$229, 2, FALSE)</f>
        <v>0</v>
      </c>
      <c r="E774" s="2">
        <v>3</v>
      </c>
      <c r="F774" s="2" t="s">
        <v>1511</v>
      </c>
      <c r="G774" s="2">
        <v>1</v>
      </c>
      <c r="H774" s="21">
        <v>0.8</v>
      </c>
      <c r="I774" s="2">
        <v>1</v>
      </c>
    </row>
    <row r="775" spans="1:9" ht="15.75" hidden="1" customHeight="1" x14ac:dyDescent="0.2">
      <c r="A775" s="11">
        <v>784</v>
      </c>
      <c r="B775" s="2">
        <v>784</v>
      </c>
      <c r="C775" s="2">
        <v>69</v>
      </c>
      <c r="D775" s="2">
        <f>VLOOKUP(C775,Course!$A$1:$C$229, 2, FALSE)</f>
        <v>0</v>
      </c>
      <c r="E775" s="2">
        <v>4</v>
      </c>
      <c r="F775" s="2" t="s">
        <v>1512</v>
      </c>
      <c r="G775" s="2">
        <v>1</v>
      </c>
      <c r="H775" s="21">
        <v>0.8</v>
      </c>
      <c r="I775" s="2">
        <v>1</v>
      </c>
    </row>
    <row r="776" spans="1:9" ht="15.75" hidden="1" customHeight="1" x14ac:dyDescent="0.2">
      <c r="A776" s="11">
        <v>785</v>
      </c>
      <c r="B776" s="2">
        <v>785</v>
      </c>
      <c r="C776" s="2">
        <v>69</v>
      </c>
      <c r="D776" s="2">
        <f>VLOOKUP(C776,Course!$A$1:$C$229, 2, FALSE)</f>
        <v>0</v>
      </c>
      <c r="E776" s="2">
        <v>5</v>
      </c>
      <c r="F776" s="2" t="s">
        <v>1513</v>
      </c>
      <c r="G776" s="2">
        <v>1</v>
      </c>
      <c r="H776" s="21">
        <v>0.8</v>
      </c>
      <c r="I776" s="2">
        <v>1</v>
      </c>
    </row>
    <row r="777" spans="1:9" ht="15.75" hidden="1" customHeight="1" x14ac:dyDescent="0.2">
      <c r="A777" s="11">
        <v>786</v>
      </c>
      <c r="B777" s="2">
        <v>786</v>
      </c>
      <c r="C777" s="2">
        <v>69</v>
      </c>
      <c r="D777" s="2">
        <f>VLOOKUP(C777,Course!$A$1:$C$229, 2, FALSE)</f>
        <v>0</v>
      </c>
      <c r="E777" s="2">
        <v>6</v>
      </c>
      <c r="F777" s="2" t="s">
        <v>1514</v>
      </c>
      <c r="G777" s="2">
        <v>1</v>
      </c>
      <c r="H777" s="21">
        <v>0.8</v>
      </c>
      <c r="I777" s="2">
        <v>1</v>
      </c>
    </row>
    <row r="778" spans="1:9" ht="15.75" hidden="1" customHeight="1" x14ac:dyDescent="0.2">
      <c r="A778" s="11">
        <v>787</v>
      </c>
      <c r="B778" s="2">
        <v>787</v>
      </c>
      <c r="C778" s="2">
        <v>70</v>
      </c>
      <c r="D778" s="2">
        <f>VLOOKUP(C778,Course!$A$1:$C$229, 2, FALSE)</f>
        <v>0</v>
      </c>
      <c r="E778" s="2">
        <v>5</v>
      </c>
      <c r="F778" s="2" t="s">
        <v>1515</v>
      </c>
      <c r="G778" s="2">
        <v>1</v>
      </c>
      <c r="H778" s="21">
        <v>0.8</v>
      </c>
      <c r="I778" s="2">
        <v>1</v>
      </c>
    </row>
    <row r="779" spans="1:9" ht="15.75" hidden="1" customHeight="1" x14ac:dyDescent="0.2">
      <c r="A779" s="11">
        <v>788</v>
      </c>
      <c r="B779" s="2">
        <v>788</v>
      </c>
      <c r="C779" s="2">
        <v>70</v>
      </c>
      <c r="D779" s="2">
        <f>VLOOKUP(C779,Course!$A$1:$C$229, 2, FALSE)</f>
        <v>0</v>
      </c>
      <c r="E779" s="2">
        <v>6</v>
      </c>
      <c r="F779" s="2" t="s">
        <v>1516</v>
      </c>
      <c r="G779" s="2">
        <v>1</v>
      </c>
      <c r="H779" s="21">
        <v>0.8</v>
      </c>
      <c r="I779" s="2">
        <v>1</v>
      </c>
    </row>
    <row r="780" spans="1:9" ht="15.75" hidden="1" customHeight="1" x14ac:dyDescent="0.2">
      <c r="A780" s="11">
        <v>789</v>
      </c>
      <c r="B780" s="2">
        <v>789</v>
      </c>
      <c r="C780" s="2">
        <v>71</v>
      </c>
      <c r="D780" s="2">
        <f>VLOOKUP(C780,Course!$A$1:$C$229, 2, FALSE)</f>
        <v>0</v>
      </c>
      <c r="E780" s="2">
        <v>5</v>
      </c>
      <c r="F780" s="2" t="s">
        <v>1515</v>
      </c>
      <c r="G780" s="2">
        <v>1</v>
      </c>
      <c r="H780" s="21">
        <v>0.8</v>
      </c>
      <c r="I780" s="2">
        <v>1</v>
      </c>
    </row>
    <row r="781" spans="1:9" ht="15.75" hidden="1" customHeight="1" x14ac:dyDescent="0.2">
      <c r="A781" s="11">
        <v>790</v>
      </c>
      <c r="B781" s="2">
        <v>790</v>
      </c>
      <c r="C781" s="2">
        <v>71</v>
      </c>
      <c r="D781" s="2">
        <f>VLOOKUP(C781,Course!$A$1:$C$229, 2, FALSE)</f>
        <v>0</v>
      </c>
      <c r="E781" s="2">
        <v>6</v>
      </c>
      <c r="F781" s="2" t="s">
        <v>1516</v>
      </c>
      <c r="G781" s="2">
        <v>1</v>
      </c>
      <c r="H781" s="21">
        <v>0.8</v>
      </c>
      <c r="I781" s="2">
        <v>1</v>
      </c>
    </row>
    <row r="782" spans="1:9" ht="15.75" hidden="1" customHeight="1" x14ac:dyDescent="0.2">
      <c r="A782" s="11">
        <v>791</v>
      </c>
      <c r="B782" s="2">
        <v>791</v>
      </c>
      <c r="C782" s="2">
        <v>72</v>
      </c>
      <c r="D782" s="2">
        <f>VLOOKUP(C782,Course!$A$1:$C$229, 2, FALSE)</f>
        <v>0</v>
      </c>
      <c r="E782" s="2">
        <v>1</v>
      </c>
      <c r="F782" s="2" t="s">
        <v>1517</v>
      </c>
      <c r="G782" s="2">
        <v>1</v>
      </c>
      <c r="H782" s="21">
        <v>0.8</v>
      </c>
      <c r="I782" s="2">
        <v>1</v>
      </c>
    </row>
    <row r="783" spans="1:9" ht="15.75" hidden="1" customHeight="1" x14ac:dyDescent="0.2">
      <c r="A783" s="11">
        <v>792</v>
      </c>
      <c r="B783" s="2">
        <v>792</v>
      </c>
      <c r="C783" s="2">
        <v>72</v>
      </c>
      <c r="D783" s="2">
        <f>VLOOKUP(C783,Course!$A$1:$C$229, 2, FALSE)</f>
        <v>0</v>
      </c>
      <c r="E783" s="2">
        <v>2</v>
      </c>
      <c r="F783" s="2" t="s">
        <v>1518</v>
      </c>
      <c r="G783" s="2">
        <v>1</v>
      </c>
      <c r="H783" s="21">
        <v>0.8</v>
      </c>
      <c r="I783" s="2">
        <v>1</v>
      </c>
    </row>
    <row r="784" spans="1:9" ht="15.75" hidden="1" customHeight="1" x14ac:dyDescent="0.2">
      <c r="A784" s="11">
        <v>793</v>
      </c>
      <c r="B784" s="2">
        <v>793</v>
      </c>
      <c r="C784" s="2">
        <v>72</v>
      </c>
      <c r="D784" s="2">
        <f>VLOOKUP(C784,Course!$A$1:$C$229, 2, FALSE)</f>
        <v>0</v>
      </c>
      <c r="E784" s="2">
        <v>3</v>
      </c>
      <c r="F784" s="2" t="s">
        <v>1519</v>
      </c>
      <c r="G784" s="2">
        <v>1</v>
      </c>
      <c r="H784" s="21">
        <v>0.8</v>
      </c>
      <c r="I784" s="2">
        <v>1</v>
      </c>
    </row>
    <row r="785" spans="1:9" ht="15.75" hidden="1" customHeight="1" x14ac:dyDescent="0.2">
      <c r="A785" s="11">
        <v>794</v>
      </c>
      <c r="B785" s="2">
        <v>794</v>
      </c>
      <c r="C785" s="2">
        <v>72</v>
      </c>
      <c r="D785" s="2">
        <f>VLOOKUP(C785,Course!$A$1:$C$229, 2, FALSE)</f>
        <v>0</v>
      </c>
      <c r="E785" s="2">
        <v>4</v>
      </c>
      <c r="F785" s="2" t="s">
        <v>1520</v>
      </c>
      <c r="G785" s="2">
        <v>1</v>
      </c>
      <c r="H785" s="21">
        <v>0.8</v>
      </c>
      <c r="I785" s="2">
        <v>1</v>
      </c>
    </row>
    <row r="786" spans="1:9" ht="15.75" hidden="1" customHeight="1" x14ac:dyDescent="0.2">
      <c r="A786" s="11">
        <v>795</v>
      </c>
      <c r="B786" s="2">
        <v>795</v>
      </c>
      <c r="C786" s="2">
        <v>72</v>
      </c>
      <c r="D786" s="2">
        <f>VLOOKUP(C786,Course!$A$1:$C$229, 2, FALSE)</f>
        <v>0</v>
      </c>
      <c r="E786" s="2">
        <v>5</v>
      </c>
      <c r="F786" s="2" t="s">
        <v>1521</v>
      </c>
      <c r="G786" s="2">
        <v>1</v>
      </c>
      <c r="H786" s="21">
        <v>0.8</v>
      </c>
      <c r="I786" s="2">
        <v>1</v>
      </c>
    </row>
    <row r="787" spans="1:9" ht="15.75" hidden="1" customHeight="1" x14ac:dyDescent="0.2">
      <c r="A787" s="11">
        <v>796</v>
      </c>
      <c r="B787" s="2">
        <v>796</v>
      </c>
      <c r="C787" s="2">
        <v>72</v>
      </c>
      <c r="D787" s="2">
        <f>VLOOKUP(C787,Course!$A$1:$C$229, 2, FALSE)</f>
        <v>0</v>
      </c>
      <c r="E787" s="2">
        <v>6</v>
      </c>
      <c r="F787" s="2" t="s">
        <v>1522</v>
      </c>
      <c r="G787" s="2">
        <v>1</v>
      </c>
      <c r="H787" s="21">
        <v>0.8</v>
      </c>
      <c r="I787" s="2">
        <v>1</v>
      </c>
    </row>
    <row r="788" spans="1:9" ht="15.75" hidden="1" customHeight="1" x14ac:dyDescent="0.2">
      <c r="A788" s="11">
        <v>797</v>
      </c>
      <c r="B788" s="2">
        <v>797</v>
      </c>
      <c r="C788" s="2">
        <v>73</v>
      </c>
      <c r="D788" s="2">
        <f>VLOOKUP(C788,Course!$A$1:$C$229, 2, FALSE)</f>
        <v>0</v>
      </c>
      <c r="E788" s="2">
        <v>1</v>
      </c>
      <c r="F788" s="2" t="s">
        <v>1523</v>
      </c>
      <c r="G788" s="2">
        <v>1</v>
      </c>
      <c r="H788" s="21">
        <v>0.8</v>
      </c>
      <c r="I788" s="2">
        <v>1</v>
      </c>
    </row>
    <row r="789" spans="1:9" ht="15.75" hidden="1" customHeight="1" x14ac:dyDescent="0.2">
      <c r="A789" s="11">
        <v>798</v>
      </c>
      <c r="B789" s="2">
        <v>798</v>
      </c>
      <c r="C789" s="2">
        <v>73</v>
      </c>
      <c r="D789" s="2">
        <f>VLOOKUP(C789,Course!$A$1:$C$229, 2, FALSE)</f>
        <v>0</v>
      </c>
      <c r="E789" s="2">
        <v>2</v>
      </c>
      <c r="F789" s="2" t="s">
        <v>1524</v>
      </c>
      <c r="G789" s="2">
        <v>1</v>
      </c>
      <c r="H789" s="21">
        <v>0.8</v>
      </c>
      <c r="I789" s="2">
        <v>1</v>
      </c>
    </row>
    <row r="790" spans="1:9" ht="15.75" hidden="1" customHeight="1" x14ac:dyDescent="0.2">
      <c r="A790" s="11">
        <v>799</v>
      </c>
      <c r="B790" s="2">
        <v>799</v>
      </c>
      <c r="C790" s="2">
        <v>73</v>
      </c>
      <c r="D790" s="2">
        <f>VLOOKUP(C790,Course!$A$1:$C$229, 2, FALSE)</f>
        <v>0</v>
      </c>
      <c r="E790" s="2">
        <v>3</v>
      </c>
      <c r="F790" s="2" t="s">
        <v>1525</v>
      </c>
      <c r="G790" s="2">
        <v>1</v>
      </c>
      <c r="H790" s="21">
        <v>0.8</v>
      </c>
      <c r="I790" s="2">
        <v>1</v>
      </c>
    </row>
    <row r="791" spans="1:9" ht="15.75" hidden="1" customHeight="1" x14ac:dyDescent="0.2">
      <c r="A791" s="11">
        <v>800</v>
      </c>
      <c r="B791" s="2">
        <v>800</v>
      </c>
      <c r="C791" s="2">
        <v>73</v>
      </c>
      <c r="D791" s="2">
        <f>VLOOKUP(C791,Course!$A$1:$C$229, 2, FALSE)</f>
        <v>0</v>
      </c>
      <c r="E791" s="2">
        <v>4</v>
      </c>
      <c r="F791" s="2" t="s">
        <v>1526</v>
      </c>
      <c r="G791" s="2">
        <v>1</v>
      </c>
      <c r="H791" s="21">
        <v>0.8</v>
      </c>
      <c r="I791" s="2">
        <v>1</v>
      </c>
    </row>
    <row r="792" spans="1:9" ht="15.75" hidden="1" customHeight="1" x14ac:dyDescent="0.2">
      <c r="A792" s="11">
        <v>801</v>
      </c>
      <c r="B792" s="2">
        <v>801</v>
      </c>
      <c r="C792" s="2">
        <v>146</v>
      </c>
      <c r="D792" s="2">
        <f>VLOOKUP(C792,Course!$A$1:$C$229, 2, FALSE)</f>
        <v>0</v>
      </c>
      <c r="E792" s="2">
        <v>98</v>
      </c>
      <c r="F792" s="2" t="s">
        <v>1527</v>
      </c>
      <c r="G792" s="2">
        <f t="shared" ref="G792:G797" si="2">1/6</f>
        <v>0.16666666666666666</v>
      </c>
      <c r="H792" s="21">
        <v>0.8</v>
      </c>
      <c r="I792" s="2">
        <v>1</v>
      </c>
    </row>
    <row r="793" spans="1:9" ht="15.75" hidden="1" customHeight="1" x14ac:dyDescent="0.2">
      <c r="A793" s="11">
        <v>803</v>
      </c>
      <c r="B793" s="2">
        <v>803</v>
      </c>
      <c r="C793" s="2">
        <v>146</v>
      </c>
      <c r="D793" s="2">
        <f>VLOOKUP(C793,Course!$A$1:$C$229, 2, FALSE)</f>
        <v>0</v>
      </c>
      <c r="E793" s="2">
        <v>100</v>
      </c>
      <c r="F793" s="2" t="s">
        <v>1528</v>
      </c>
      <c r="G793" s="2">
        <f t="shared" si="2"/>
        <v>0.16666666666666666</v>
      </c>
      <c r="H793" s="21">
        <v>0.8</v>
      </c>
      <c r="I793" s="2">
        <v>1</v>
      </c>
    </row>
    <row r="794" spans="1:9" ht="15.75" hidden="1" customHeight="1" x14ac:dyDescent="0.2">
      <c r="A794" s="11">
        <v>805</v>
      </c>
      <c r="B794" s="2">
        <v>805</v>
      </c>
      <c r="C794" s="2">
        <v>146</v>
      </c>
      <c r="D794" s="2">
        <f>VLOOKUP(C794,Course!$A$1:$C$229, 2, FALSE)</f>
        <v>0</v>
      </c>
      <c r="E794" s="2">
        <v>102</v>
      </c>
      <c r="F794" s="2" t="s">
        <v>794</v>
      </c>
      <c r="G794" s="2">
        <f t="shared" si="2"/>
        <v>0.16666666666666666</v>
      </c>
      <c r="H794" s="21">
        <v>0.8</v>
      </c>
      <c r="I794" s="2">
        <v>1</v>
      </c>
    </row>
    <row r="795" spans="1:9" ht="15.75" hidden="1" customHeight="1" x14ac:dyDescent="0.2">
      <c r="A795" s="11">
        <v>807</v>
      </c>
      <c r="B795" s="2">
        <v>807</v>
      </c>
      <c r="C795" s="2">
        <v>146</v>
      </c>
      <c r="D795" s="2">
        <f>VLOOKUP(C795,Course!$A$1:$C$229, 2, FALSE)</f>
        <v>0</v>
      </c>
      <c r="E795" s="2">
        <v>104</v>
      </c>
      <c r="F795" s="2" t="s">
        <v>796</v>
      </c>
      <c r="G795" s="2">
        <f t="shared" si="2"/>
        <v>0.16666666666666666</v>
      </c>
      <c r="H795" s="21">
        <v>0.8</v>
      </c>
      <c r="I795" s="2">
        <v>1</v>
      </c>
    </row>
    <row r="796" spans="1:9" ht="15.75" hidden="1" customHeight="1" x14ac:dyDescent="0.2">
      <c r="A796" s="11">
        <v>809</v>
      </c>
      <c r="B796" s="2">
        <v>809</v>
      </c>
      <c r="C796" s="2">
        <v>146</v>
      </c>
      <c r="D796" s="2">
        <f>VLOOKUP(C796,Course!$A$1:$C$229, 2, FALSE)</f>
        <v>0</v>
      </c>
      <c r="E796" s="2">
        <v>106</v>
      </c>
      <c r="F796" s="2" t="s">
        <v>798</v>
      </c>
      <c r="G796" s="2">
        <f t="shared" si="2"/>
        <v>0.16666666666666666</v>
      </c>
      <c r="H796" s="21">
        <v>0.8</v>
      </c>
      <c r="I796" s="2">
        <v>1</v>
      </c>
    </row>
    <row r="797" spans="1:9" ht="15.75" hidden="1" customHeight="1" x14ac:dyDescent="0.2">
      <c r="A797" s="11">
        <v>811</v>
      </c>
      <c r="B797" s="2">
        <v>811</v>
      </c>
      <c r="C797" s="2">
        <v>146</v>
      </c>
      <c r="D797" s="2">
        <f>VLOOKUP(C797,Course!$A$1:$C$229, 2, FALSE)</f>
        <v>0</v>
      </c>
      <c r="E797" s="2">
        <v>108</v>
      </c>
      <c r="F797" s="2" t="s">
        <v>800</v>
      </c>
      <c r="G797" s="2">
        <f t="shared" si="2"/>
        <v>0.16666666666666666</v>
      </c>
      <c r="H797" s="21">
        <v>0.8</v>
      </c>
      <c r="I797" s="2">
        <v>1</v>
      </c>
    </row>
    <row r="798" spans="1:9" ht="15.75" hidden="1" customHeight="1" x14ac:dyDescent="0.2">
      <c r="A798" s="11">
        <v>812</v>
      </c>
      <c r="B798" s="2">
        <v>812</v>
      </c>
      <c r="C798" s="2">
        <v>74</v>
      </c>
      <c r="D798" s="2">
        <f>VLOOKUP(C798,Course!$A$1:$C$229, 2, FALSE)</f>
        <v>0</v>
      </c>
      <c r="E798" s="2">
        <v>1</v>
      </c>
      <c r="F798" s="2" t="s">
        <v>1529</v>
      </c>
      <c r="G798" s="2">
        <v>0.2</v>
      </c>
      <c r="H798" s="21">
        <v>0.8</v>
      </c>
      <c r="I798" s="2">
        <v>1</v>
      </c>
    </row>
    <row r="799" spans="1:9" ht="15.75" hidden="1" customHeight="1" x14ac:dyDescent="0.2">
      <c r="A799" s="11">
        <v>813</v>
      </c>
      <c r="B799" s="2">
        <v>813</v>
      </c>
      <c r="C799" s="2">
        <v>74</v>
      </c>
      <c r="D799" s="2">
        <f>VLOOKUP(C799,Course!$A$1:$C$229, 2, FALSE)</f>
        <v>0</v>
      </c>
      <c r="E799" s="2">
        <v>2</v>
      </c>
      <c r="F799" s="2" t="s">
        <v>1530</v>
      </c>
      <c r="G799" s="2">
        <v>0.2</v>
      </c>
      <c r="H799" s="21">
        <v>0.8</v>
      </c>
      <c r="I799" s="2">
        <v>1</v>
      </c>
    </row>
    <row r="800" spans="1:9" ht="15.75" hidden="1" customHeight="1" x14ac:dyDescent="0.2">
      <c r="A800" s="11">
        <v>814</v>
      </c>
      <c r="B800" s="2">
        <v>814</v>
      </c>
      <c r="C800" s="2">
        <v>74</v>
      </c>
      <c r="D800" s="2">
        <f>VLOOKUP(C800,Course!$A$1:$C$229, 2, FALSE)</f>
        <v>0</v>
      </c>
      <c r="E800" s="2">
        <v>3</v>
      </c>
      <c r="F800" s="2" t="s">
        <v>1531</v>
      </c>
      <c r="G800" s="2">
        <v>0.2</v>
      </c>
      <c r="H800" s="21">
        <v>0.8</v>
      </c>
      <c r="I800" s="2">
        <v>1</v>
      </c>
    </row>
    <row r="801" spans="1:9" ht="15.75" hidden="1" customHeight="1" x14ac:dyDescent="0.2">
      <c r="A801" s="11">
        <v>815</v>
      </c>
      <c r="B801" s="2">
        <v>815</v>
      </c>
      <c r="C801" s="2">
        <v>74</v>
      </c>
      <c r="D801" s="2">
        <f>VLOOKUP(C801,Course!$A$1:$C$229, 2, FALSE)</f>
        <v>0</v>
      </c>
      <c r="E801" s="2">
        <v>4</v>
      </c>
      <c r="F801" s="2" t="s">
        <v>1532</v>
      </c>
      <c r="G801" s="2">
        <v>0.2</v>
      </c>
      <c r="H801" s="21">
        <v>0.8</v>
      </c>
      <c r="I801" s="2">
        <v>1</v>
      </c>
    </row>
    <row r="802" spans="1:9" ht="15.75" hidden="1" customHeight="1" x14ac:dyDescent="0.2">
      <c r="A802" s="11">
        <v>816</v>
      </c>
      <c r="B802" s="2">
        <v>816</v>
      </c>
      <c r="C802" s="2">
        <v>74</v>
      </c>
      <c r="D802" s="2">
        <f>VLOOKUP(C802,Course!$A$1:$C$229, 2, FALSE)</f>
        <v>0</v>
      </c>
      <c r="E802" s="2">
        <v>5</v>
      </c>
      <c r="F802" s="2" t="s">
        <v>1533</v>
      </c>
      <c r="G802" s="2">
        <v>0.2</v>
      </c>
      <c r="H802" s="21">
        <v>0.8</v>
      </c>
      <c r="I802" s="2">
        <v>1</v>
      </c>
    </row>
    <row r="803" spans="1:9" ht="15.75" hidden="1" customHeight="1" x14ac:dyDescent="0.2">
      <c r="A803" s="11">
        <v>817</v>
      </c>
      <c r="B803" s="2">
        <v>817</v>
      </c>
      <c r="C803" s="2">
        <v>75</v>
      </c>
      <c r="D803" s="2" t="str">
        <f>VLOOKUP(C803,Course!$A$1:$C$229, 2, FALSE)</f>
        <v>Science 9</v>
      </c>
      <c r="E803" s="2">
        <v>97</v>
      </c>
      <c r="F803" s="2" t="s">
        <v>1534</v>
      </c>
      <c r="G803" s="2">
        <f t="shared" ref="G803:G814" si="3">1/12</f>
        <v>8.3333333333333329E-2</v>
      </c>
      <c r="H803" s="21">
        <v>0.8</v>
      </c>
      <c r="I803" s="2">
        <v>1</v>
      </c>
    </row>
    <row r="804" spans="1:9" ht="15.75" hidden="1" customHeight="1" x14ac:dyDescent="0.2">
      <c r="A804" s="11">
        <v>818</v>
      </c>
      <c r="B804" s="2">
        <v>818</v>
      </c>
      <c r="C804" s="2">
        <v>75</v>
      </c>
      <c r="D804" s="2" t="str">
        <f>VLOOKUP(C804,Course!$A$1:$C$229, 2, FALSE)</f>
        <v>Science 9</v>
      </c>
      <c r="E804" s="2">
        <v>98</v>
      </c>
      <c r="F804" s="2" t="s">
        <v>1535</v>
      </c>
      <c r="G804" s="2">
        <f t="shared" si="3"/>
        <v>8.3333333333333329E-2</v>
      </c>
      <c r="H804" s="21">
        <v>0.8</v>
      </c>
      <c r="I804" s="2">
        <v>1</v>
      </c>
    </row>
    <row r="805" spans="1:9" ht="15.75" hidden="1" customHeight="1" x14ac:dyDescent="0.2">
      <c r="A805" s="11">
        <v>819</v>
      </c>
      <c r="B805" s="2">
        <v>819</v>
      </c>
      <c r="C805" s="2">
        <v>75</v>
      </c>
      <c r="D805" s="2" t="str">
        <f>VLOOKUP(C805,Course!$A$1:$C$229, 2, FALSE)</f>
        <v>Science 9</v>
      </c>
      <c r="E805" s="2">
        <v>99</v>
      </c>
      <c r="F805" s="2" t="s">
        <v>1536</v>
      </c>
      <c r="G805" s="2">
        <f t="shared" si="3"/>
        <v>8.3333333333333329E-2</v>
      </c>
      <c r="H805" s="21">
        <v>0.8</v>
      </c>
      <c r="I805" s="2">
        <v>1</v>
      </c>
    </row>
    <row r="806" spans="1:9" ht="15.75" hidden="1" customHeight="1" x14ac:dyDescent="0.2">
      <c r="A806" s="11">
        <v>820</v>
      </c>
      <c r="B806" s="2">
        <v>820</v>
      </c>
      <c r="C806" s="2">
        <v>75</v>
      </c>
      <c r="D806" s="2" t="str">
        <f>VLOOKUP(C806,Course!$A$1:$C$229, 2, FALSE)</f>
        <v>Science 9</v>
      </c>
      <c r="E806" s="2">
        <v>100</v>
      </c>
      <c r="F806" s="2" t="s">
        <v>1537</v>
      </c>
      <c r="G806" s="2">
        <f t="shared" si="3"/>
        <v>8.3333333333333329E-2</v>
      </c>
      <c r="H806" s="21">
        <v>0.8</v>
      </c>
      <c r="I806" s="2">
        <v>1</v>
      </c>
    </row>
    <row r="807" spans="1:9" ht="15.75" hidden="1" customHeight="1" x14ac:dyDescent="0.2">
      <c r="A807" s="11">
        <v>821</v>
      </c>
      <c r="B807" s="2">
        <v>821</v>
      </c>
      <c r="C807" s="2">
        <v>75</v>
      </c>
      <c r="D807" s="2" t="str">
        <f>VLOOKUP(C807,Course!$A$1:$C$229, 2, FALSE)</f>
        <v>Science 9</v>
      </c>
      <c r="E807" s="2">
        <v>101</v>
      </c>
      <c r="F807" s="2" t="s">
        <v>1538</v>
      </c>
      <c r="G807" s="2">
        <f t="shared" si="3"/>
        <v>8.3333333333333329E-2</v>
      </c>
      <c r="H807" s="21">
        <v>0.8</v>
      </c>
      <c r="I807" s="2">
        <v>1</v>
      </c>
    </row>
    <row r="808" spans="1:9" ht="15.75" hidden="1" customHeight="1" x14ac:dyDescent="0.2">
      <c r="A808" s="11">
        <v>822</v>
      </c>
      <c r="B808" s="2">
        <v>822</v>
      </c>
      <c r="C808" s="2">
        <v>75</v>
      </c>
      <c r="D808" s="2" t="str">
        <f>VLOOKUP(C808,Course!$A$1:$C$229, 2, FALSE)</f>
        <v>Science 9</v>
      </c>
      <c r="E808" s="2">
        <v>102</v>
      </c>
      <c r="F808" s="2" t="s">
        <v>1539</v>
      </c>
      <c r="G808" s="2">
        <f t="shared" si="3"/>
        <v>8.3333333333333329E-2</v>
      </c>
      <c r="H808" s="21">
        <v>0.8</v>
      </c>
      <c r="I808" s="2">
        <v>1</v>
      </c>
    </row>
    <row r="809" spans="1:9" ht="15.75" hidden="1" customHeight="1" x14ac:dyDescent="0.2">
      <c r="A809" s="11">
        <v>823</v>
      </c>
      <c r="B809" s="2">
        <v>823</v>
      </c>
      <c r="C809" s="2">
        <v>75</v>
      </c>
      <c r="D809" s="2" t="str">
        <f>VLOOKUP(C809,Course!$A$1:$C$229, 2, FALSE)</f>
        <v>Science 9</v>
      </c>
      <c r="E809" s="2">
        <v>103</v>
      </c>
      <c r="F809" s="2" t="s">
        <v>1540</v>
      </c>
      <c r="G809" s="2">
        <f t="shared" si="3"/>
        <v>8.3333333333333329E-2</v>
      </c>
      <c r="H809" s="21">
        <v>0.8</v>
      </c>
      <c r="I809" s="2">
        <v>1</v>
      </c>
    </row>
    <row r="810" spans="1:9" ht="15.75" hidden="1" customHeight="1" x14ac:dyDescent="0.2">
      <c r="A810" s="11">
        <v>824</v>
      </c>
      <c r="B810" s="2">
        <v>824</v>
      </c>
      <c r="C810" s="2">
        <v>75</v>
      </c>
      <c r="D810" s="2" t="str">
        <f>VLOOKUP(C810,Course!$A$1:$C$229, 2, FALSE)</f>
        <v>Science 9</v>
      </c>
      <c r="E810" s="2">
        <v>104</v>
      </c>
      <c r="F810" s="2" t="s">
        <v>1541</v>
      </c>
      <c r="G810" s="2">
        <f t="shared" si="3"/>
        <v>8.3333333333333329E-2</v>
      </c>
      <c r="H810" s="21">
        <v>0.8</v>
      </c>
      <c r="I810" s="2">
        <v>1</v>
      </c>
    </row>
    <row r="811" spans="1:9" ht="15.75" hidden="1" customHeight="1" x14ac:dyDescent="0.2">
      <c r="A811" s="11">
        <v>825</v>
      </c>
      <c r="B811" s="2">
        <v>825</v>
      </c>
      <c r="C811" s="2">
        <v>75</v>
      </c>
      <c r="D811" s="2" t="str">
        <f>VLOOKUP(C811,Course!$A$1:$C$229, 2, FALSE)</f>
        <v>Science 9</v>
      </c>
      <c r="E811" s="2">
        <v>105</v>
      </c>
      <c r="F811" s="2" t="s">
        <v>1542</v>
      </c>
      <c r="G811" s="2">
        <f t="shared" si="3"/>
        <v>8.3333333333333329E-2</v>
      </c>
      <c r="H811" s="21">
        <v>0.8</v>
      </c>
      <c r="I811" s="2">
        <v>1</v>
      </c>
    </row>
    <row r="812" spans="1:9" ht="15.75" hidden="1" customHeight="1" x14ac:dyDescent="0.2">
      <c r="A812" s="11">
        <v>826</v>
      </c>
      <c r="B812" s="2">
        <v>826</v>
      </c>
      <c r="C812" s="2">
        <v>75</v>
      </c>
      <c r="D812" s="2" t="str">
        <f>VLOOKUP(C812,Course!$A$1:$C$229, 2, FALSE)</f>
        <v>Science 9</v>
      </c>
      <c r="E812" s="2">
        <v>106</v>
      </c>
      <c r="F812" s="2" t="s">
        <v>1543</v>
      </c>
      <c r="G812" s="2">
        <f t="shared" si="3"/>
        <v>8.3333333333333329E-2</v>
      </c>
      <c r="H812" s="21">
        <v>0.8</v>
      </c>
      <c r="I812" s="2">
        <v>1</v>
      </c>
    </row>
    <row r="813" spans="1:9" ht="15.75" hidden="1" customHeight="1" x14ac:dyDescent="0.2">
      <c r="A813" s="11">
        <v>827</v>
      </c>
      <c r="B813" s="2">
        <v>827</v>
      </c>
      <c r="C813" s="2">
        <v>75</v>
      </c>
      <c r="D813" s="2" t="str">
        <f>VLOOKUP(C813,Course!$A$1:$C$229, 2, FALSE)</f>
        <v>Science 9</v>
      </c>
      <c r="E813" s="2">
        <v>107</v>
      </c>
      <c r="F813" s="2" t="s">
        <v>1544</v>
      </c>
      <c r="G813" s="2">
        <f t="shared" si="3"/>
        <v>8.3333333333333329E-2</v>
      </c>
      <c r="H813" s="21">
        <v>0.8</v>
      </c>
      <c r="I813" s="2">
        <v>1</v>
      </c>
    </row>
    <row r="814" spans="1:9" ht="15.75" hidden="1" customHeight="1" x14ac:dyDescent="0.2">
      <c r="A814" s="11">
        <v>828</v>
      </c>
      <c r="B814" s="2">
        <v>828</v>
      </c>
      <c r="C814" s="2">
        <v>75</v>
      </c>
      <c r="D814" s="2" t="str">
        <f>VLOOKUP(C814,Course!$A$1:$C$229, 2, FALSE)</f>
        <v>Science 9</v>
      </c>
      <c r="E814" s="2">
        <v>108</v>
      </c>
      <c r="F814" s="2" t="s">
        <v>1545</v>
      </c>
      <c r="G814" s="2">
        <f t="shared" si="3"/>
        <v>8.3333333333333329E-2</v>
      </c>
      <c r="H814" s="21">
        <v>0.8</v>
      </c>
      <c r="I814" s="2">
        <v>1</v>
      </c>
    </row>
    <row r="815" spans="1:9" ht="15.75" hidden="1" customHeight="1" x14ac:dyDescent="0.2">
      <c r="A815" s="11">
        <v>829</v>
      </c>
      <c r="B815" s="2">
        <v>829</v>
      </c>
      <c r="C815" s="2">
        <v>76</v>
      </c>
      <c r="D815" s="2">
        <f>VLOOKUP(C815,Course!$A$1:$C$229, 2, FALSE)</f>
        <v>0</v>
      </c>
      <c r="E815" s="2">
        <v>1</v>
      </c>
      <c r="F815" s="2" t="s">
        <v>1546</v>
      </c>
      <c r="G815" s="2">
        <f t="shared" ref="G815:G826" si="4">1/6</f>
        <v>0.16666666666666666</v>
      </c>
      <c r="H815" s="21">
        <v>0.8</v>
      </c>
      <c r="I815" s="2">
        <v>1</v>
      </c>
    </row>
    <row r="816" spans="1:9" ht="15.75" hidden="1" customHeight="1" x14ac:dyDescent="0.2">
      <c r="A816" s="11">
        <v>830</v>
      </c>
      <c r="B816" s="2">
        <v>830</v>
      </c>
      <c r="C816" s="2">
        <v>76</v>
      </c>
      <c r="D816" s="2">
        <f>VLOOKUP(C816,Course!$A$1:$C$229, 2, FALSE)</f>
        <v>0</v>
      </c>
      <c r="E816" s="2">
        <v>2</v>
      </c>
      <c r="F816" s="2" t="s">
        <v>1547</v>
      </c>
      <c r="G816" s="2">
        <f t="shared" si="4"/>
        <v>0.16666666666666666</v>
      </c>
      <c r="H816" s="21">
        <v>0.8</v>
      </c>
      <c r="I816" s="2">
        <v>1</v>
      </c>
    </row>
    <row r="817" spans="1:9" ht="15.75" hidden="1" customHeight="1" x14ac:dyDescent="0.2">
      <c r="A817" s="11">
        <v>831</v>
      </c>
      <c r="B817" s="2">
        <v>831</v>
      </c>
      <c r="C817" s="2">
        <v>76</v>
      </c>
      <c r="D817" s="2">
        <f>VLOOKUP(C817,Course!$A$1:$C$229, 2, FALSE)</f>
        <v>0</v>
      </c>
      <c r="E817" s="2">
        <v>3</v>
      </c>
      <c r="F817" s="2" t="s">
        <v>1548</v>
      </c>
      <c r="G817" s="2">
        <f t="shared" si="4"/>
        <v>0.16666666666666666</v>
      </c>
      <c r="H817" s="21">
        <v>0.8</v>
      </c>
      <c r="I817" s="2">
        <v>1</v>
      </c>
    </row>
    <row r="818" spans="1:9" ht="15.75" hidden="1" customHeight="1" x14ac:dyDescent="0.2">
      <c r="A818" s="11">
        <v>832</v>
      </c>
      <c r="B818" s="2">
        <v>832</v>
      </c>
      <c r="C818" s="2">
        <v>76</v>
      </c>
      <c r="D818" s="2">
        <f>VLOOKUP(C818,Course!$A$1:$C$229, 2, FALSE)</f>
        <v>0</v>
      </c>
      <c r="E818" s="2">
        <v>4</v>
      </c>
      <c r="F818" s="2" t="s">
        <v>1549</v>
      </c>
      <c r="G818" s="2">
        <f t="shared" si="4"/>
        <v>0.16666666666666666</v>
      </c>
      <c r="H818" s="21">
        <v>0.8</v>
      </c>
      <c r="I818" s="2">
        <v>1</v>
      </c>
    </row>
    <row r="819" spans="1:9" ht="15.75" hidden="1" customHeight="1" x14ac:dyDescent="0.2">
      <c r="A819" s="11">
        <v>833</v>
      </c>
      <c r="B819" s="2">
        <v>833</v>
      </c>
      <c r="C819" s="2">
        <v>76</v>
      </c>
      <c r="D819" s="2">
        <f>VLOOKUP(C819,Course!$A$1:$C$229, 2, FALSE)</f>
        <v>0</v>
      </c>
      <c r="E819" s="2">
        <v>5</v>
      </c>
      <c r="F819" s="2" t="s">
        <v>1550</v>
      </c>
      <c r="G819" s="2">
        <f t="shared" si="4"/>
        <v>0.16666666666666666</v>
      </c>
      <c r="H819" s="21">
        <v>0.8</v>
      </c>
      <c r="I819" s="2">
        <v>1</v>
      </c>
    </row>
    <row r="820" spans="1:9" ht="15.75" hidden="1" customHeight="1" x14ac:dyDescent="0.2">
      <c r="A820" s="11">
        <v>834</v>
      </c>
      <c r="B820" s="2">
        <v>834</v>
      </c>
      <c r="C820" s="2">
        <v>76</v>
      </c>
      <c r="D820" s="2">
        <f>VLOOKUP(C820,Course!$A$1:$C$229, 2, FALSE)</f>
        <v>0</v>
      </c>
      <c r="E820" s="2">
        <v>6</v>
      </c>
      <c r="F820" s="2" t="s">
        <v>1551</v>
      </c>
      <c r="G820" s="2">
        <f t="shared" si="4"/>
        <v>0.16666666666666666</v>
      </c>
      <c r="H820" s="21">
        <v>0.8</v>
      </c>
      <c r="I820" s="2">
        <v>1</v>
      </c>
    </row>
    <row r="821" spans="1:9" ht="15.75" hidden="1" customHeight="1" x14ac:dyDescent="0.2">
      <c r="A821" s="11">
        <v>835</v>
      </c>
      <c r="B821" s="2">
        <v>835</v>
      </c>
      <c r="C821" s="2">
        <v>77</v>
      </c>
      <c r="D821" s="2">
        <f>VLOOKUP(C821,Course!$A$1:$C$229, 2, FALSE)</f>
        <v>0</v>
      </c>
      <c r="E821" s="2">
        <v>1</v>
      </c>
      <c r="F821" s="2" t="s">
        <v>1552</v>
      </c>
      <c r="G821" s="2">
        <f t="shared" si="4"/>
        <v>0.16666666666666666</v>
      </c>
      <c r="H821" s="21">
        <v>0.8</v>
      </c>
      <c r="I821" s="2">
        <v>1</v>
      </c>
    </row>
    <row r="822" spans="1:9" ht="15.75" hidden="1" customHeight="1" x14ac:dyDescent="0.2">
      <c r="A822" s="11">
        <v>836</v>
      </c>
      <c r="B822" s="2">
        <v>836</v>
      </c>
      <c r="C822" s="2">
        <v>77</v>
      </c>
      <c r="D822" s="2">
        <f>VLOOKUP(C822,Course!$A$1:$C$229, 2, FALSE)</f>
        <v>0</v>
      </c>
      <c r="E822" s="2">
        <v>2</v>
      </c>
      <c r="F822" s="2" t="s">
        <v>1553</v>
      </c>
      <c r="G822" s="2">
        <f t="shared" si="4"/>
        <v>0.16666666666666666</v>
      </c>
      <c r="H822" s="21">
        <v>0.8</v>
      </c>
      <c r="I822" s="2">
        <v>1</v>
      </c>
    </row>
    <row r="823" spans="1:9" ht="15.75" hidden="1" customHeight="1" x14ac:dyDescent="0.2">
      <c r="A823" s="11">
        <v>837</v>
      </c>
      <c r="B823" s="2">
        <v>837</v>
      </c>
      <c r="C823" s="2">
        <v>77</v>
      </c>
      <c r="D823" s="2">
        <f>VLOOKUP(C823,Course!$A$1:$C$229, 2, FALSE)</f>
        <v>0</v>
      </c>
      <c r="E823" s="2">
        <v>3</v>
      </c>
      <c r="F823" s="2" t="s">
        <v>1554</v>
      </c>
      <c r="G823" s="2">
        <f t="shared" si="4"/>
        <v>0.16666666666666666</v>
      </c>
      <c r="H823" s="21">
        <v>0.8</v>
      </c>
      <c r="I823" s="2">
        <v>1</v>
      </c>
    </row>
    <row r="824" spans="1:9" ht="15.75" hidden="1" customHeight="1" x14ac:dyDescent="0.2">
      <c r="A824" s="11">
        <v>838</v>
      </c>
      <c r="B824" s="2">
        <v>838</v>
      </c>
      <c r="C824" s="2">
        <v>77</v>
      </c>
      <c r="D824" s="2">
        <f>VLOOKUP(C824,Course!$A$1:$C$229, 2, FALSE)</f>
        <v>0</v>
      </c>
      <c r="E824" s="2">
        <v>4</v>
      </c>
      <c r="F824" s="2" t="s">
        <v>1555</v>
      </c>
      <c r="G824" s="2">
        <f t="shared" si="4"/>
        <v>0.16666666666666666</v>
      </c>
      <c r="H824" s="21">
        <v>0.8</v>
      </c>
      <c r="I824" s="2">
        <v>1</v>
      </c>
    </row>
    <row r="825" spans="1:9" ht="15.75" hidden="1" customHeight="1" x14ac:dyDescent="0.2">
      <c r="A825" s="11">
        <v>839</v>
      </c>
      <c r="B825" s="2">
        <v>839</v>
      </c>
      <c r="C825" s="2">
        <v>77</v>
      </c>
      <c r="D825" s="2">
        <f>VLOOKUP(C825,Course!$A$1:$C$229, 2, FALSE)</f>
        <v>0</v>
      </c>
      <c r="E825" s="2">
        <v>5</v>
      </c>
      <c r="F825" s="2" t="s">
        <v>1556</v>
      </c>
      <c r="G825" s="2">
        <f t="shared" si="4"/>
        <v>0.16666666666666666</v>
      </c>
      <c r="H825" s="21">
        <v>0.8</v>
      </c>
      <c r="I825" s="2">
        <v>1</v>
      </c>
    </row>
    <row r="826" spans="1:9" ht="15.75" hidden="1" customHeight="1" x14ac:dyDescent="0.2">
      <c r="A826" s="11">
        <v>840</v>
      </c>
      <c r="B826" s="2">
        <v>840</v>
      </c>
      <c r="C826" s="2">
        <v>77</v>
      </c>
      <c r="D826" s="2">
        <f>VLOOKUP(C826,Course!$A$1:$C$229, 2, FALSE)</f>
        <v>0</v>
      </c>
      <c r="E826" s="2">
        <v>6</v>
      </c>
      <c r="F826" s="2" t="s">
        <v>1557</v>
      </c>
      <c r="G826" s="2">
        <f t="shared" si="4"/>
        <v>0.16666666666666666</v>
      </c>
      <c r="H826" s="21">
        <v>0.8</v>
      </c>
      <c r="I826" s="2">
        <v>1</v>
      </c>
    </row>
    <row r="827" spans="1:9" ht="15.75" hidden="1" customHeight="1" x14ac:dyDescent="0.2">
      <c r="A827" s="11">
        <v>1298</v>
      </c>
      <c r="B827" s="2">
        <v>841</v>
      </c>
      <c r="C827" s="2">
        <v>78</v>
      </c>
      <c r="D827" s="2">
        <f>VLOOKUP(C827,Course!$A$1:$C$229, 2, FALSE)</f>
        <v>0</v>
      </c>
      <c r="E827" s="2">
        <v>1</v>
      </c>
      <c r="F827" s="2" t="s">
        <v>1558</v>
      </c>
      <c r="G827" s="2">
        <f t="shared" ref="G827:G836" si="5">1/10</f>
        <v>0.1</v>
      </c>
      <c r="H827" s="21">
        <v>0.8</v>
      </c>
      <c r="I827" s="2">
        <v>0</v>
      </c>
    </row>
    <row r="828" spans="1:9" ht="15.75" hidden="1" customHeight="1" x14ac:dyDescent="0.2">
      <c r="A828" s="11">
        <v>1299</v>
      </c>
      <c r="B828" s="2">
        <v>842</v>
      </c>
      <c r="C828" s="2">
        <v>78</v>
      </c>
      <c r="D828" s="2">
        <f>VLOOKUP(C828,Course!$A$1:$C$229, 2, FALSE)</f>
        <v>0</v>
      </c>
      <c r="E828" s="2">
        <v>2</v>
      </c>
      <c r="F828" s="2" t="s">
        <v>1559</v>
      </c>
      <c r="G828" s="2">
        <f t="shared" si="5"/>
        <v>0.1</v>
      </c>
      <c r="H828" s="21">
        <v>0.8</v>
      </c>
      <c r="I828" s="2">
        <v>0</v>
      </c>
    </row>
    <row r="829" spans="1:9" ht="15.75" hidden="1" customHeight="1" x14ac:dyDescent="0.2">
      <c r="A829" s="11">
        <v>1300</v>
      </c>
      <c r="B829" s="2">
        <v>843</v>
      </c>
      <c r="C829" s="2">
        <v>78</v>
      </c>
      <c r="D829" s="2">
        <f>VLOOKUP(C829,Course!$A$1:$C$229, 2, FALSE)</f>
        <v>0</v>
      </c>
      <c r="E829" s="2">
        <v>3</v>
      </c>
      <c r="F829" s="2" t="s">
        <v>1560</v>
      </c>
      <c r="G829" s="2">
        <f t="shared" si="5"/>
        <v>0.1</v>
      </c>
      <c r="H829" s="21">
        <v>0.8</v>
      </c>
      <c r="I829" s="2">
        <v>0</v>
      </c>
    </row>
    <row r="830" spans="1:9" ht="15.75" hidden="1" customHeight="1" x14ac:dyDescent="0.2">
      <c r="A830" s="11">
        <v>1301</v>
      </c>
      <c r="B830" s="2">
        <v>844</v>
      </c>
      <c r="C830" s="2">
        <v>78</v>
      </c>
      <c r="D830" s="2">
        <f>VLOOKUP(C830,Course!$A$1:$C$229, 2, FALSE)</f>
        <v>0</v>
      </c>
      <c r="E830" s="2">
        <v>4</v>
      </c>
      <c r="F830" s="2" t="s">
        <v>1561</v>
      </c>
      <c r="G830" s="2">
        <f t="shared" si="5"/>
        <v>0.1</v>
      </c>
      <c r="H830" s="21">
        <v>0.8</v>
      </c>
      <c r="I830" s="2">
        <v>0</v>
      </c>
    </row>
    <row r="831" spans="1:9" ht="15.75" hidden="1" customHeight="1" x14ac:dyDescent="0.2">
      <c r="A831" s="11">
        <v>1302</v>
      </c>
      <c r="B831" s="2">
        <v>829</v>
      </c>
      <c r="C831" s="2">
        <v>78</v>
      </c>
      <c r="D831" s="2">
        <f>VLOOKUP(C831,Course!$A$1:$C$229, 2, FALSE)</f>
        <v>0</v>
      </c>
      <c r="E831" s="2">
        <v>1</v>
      </c>
      <c r="G831" s="2">
        <f t="shared" si="5"/>
        <v>0.1</v>
      </c>
      <c r="H831" s="21">
        <v>0.8</v>
      </c>
      <c r="I831" s="2">
        <v>0</v>
      </c>
    </row>
    <row r="832" spans="1:9" ht="15.75" hidden="1" customHeight="1" x14ac:dyDescent="0.2">
      <c r="A832" s="11">
        <v>1303</v>
      </c>
      <c r="B832" s="2">
        <v>830</v>
      </c>
      <c r="C832" s="2">
        <v>78</v>
      </c>
      <c r="D832" s="2">
        <f>VLOOKUP(C832,Course!$A$1:$C$229, 2, FALSE)</f>
        <v>0</v>
      </c>
      <c r="E832" s="2">
        <v>2</v>
      </c>
      <c r="G832" s="2">
        <f t="shared" si="5"/>
        <v>0.1</v>
      </c>
      <c r="H832" s="21">
        <v>0.8</v>
      </c>
      <c r="I832" s="2">
        <v>0</v>
      </c>
    </row>
    <row r="833" spans="1:9" ht="15.75" hidden="1" customHeight="1" x14ac:dyDescent="0.2">
      <c r="A833" s="11">
        <v>1304</v>
      </c>
      <c r="B833" s="2">
        <v>831</v>
      </c>
      <c r="C833" s="2">
        <v>78</v>
      </c>
      <c r="D833" s="2">
        <f>VLOOKUP(C833,Course!$A$1:$C$229, 2, FALSE)</f>
        <v>0</v>
      </c>
      <c r="E833" s="2">
        <v>3</v>
      </c>
      <c r="G833" s="2">
        <f t="shared" si="5"/>
        <v>0.1</v>
      </c>
      <c r="H833" s="21">
        <v>0.8</v>
      </c>
      <c r="I833" s="2">
        <v>0</v>
      </c>
    </row>
    <row r="834" spans="1:9" ht="15.75" hidden="1" customHeight="1" x14ac:dyDescent="0.2">
      <c r="A834" s="11">
        <v>1305</v>
      </c>
      <c r="B834" s="2">
        <v>832</v>
      </c>
      <c r="C834" s="2">
        <v>78</v>
      </c>
      <c r="D834" s="2">
        <f>VLOOKUP(C834,Course!$A$1:$C$229, 2, FALSE)</f>
        <v>0</v>
      </c>
      <c r="E834" s="2">
        <v>4</v>
      </c>
      <c r="G834" s="2">
        <f t="shared" si="5"/>
        <v>0.1</v>
      </c>
      <c r="H834" s="21">
        <v>0.8</v>
      </c>
      <c r="I834" s="2">
        <v>0</v>
      </c>
    </row>
    <row r="835" spans="1:9" ht="15.75" hidden="1" customHeight="1" x14ac:dyDescent="0.2">
      <c r="A835" s="11">
        <v>1306</v>
      </c>
      <c r="B835" s="2">
        <v>833</v>
      </c>
      <c r="C835" s="2">
        <v>78</v>
      </c>
      <c r="D835" s="2">
        <f>VLOOKUP(C835,Course!$A$1:$C$229, 2, FALSE)</f>
        <v>0</v>
      </c>
      <c r="E835" s="2">
        <v>5</v>
      </c>
      <c r="G835" s="2">
        <f t="shared" si="5"/>
        <v>0.1</v>
      </c>
      <c r="H835" s="21">
        <v>0.8</v>
      </c>
      <c r="I835" s="2">
        <v>0</v>
      </c>
    </row>
    <row r="836" spans="1:9" ht="15.75" hidden="1" customHeight="1" x14ac:dyDescent="0.2">
      <c r="A836" s="11">
        <v>1307</v>
      </c>
      <c r="B836" s="2">
        <v>834</v>
      </c>
      <c r="C836" s="2">
        <v>78</v>
      </c>
      <c r="D836" s="2">
        <f>VLOOKUP(C836,Course!$A$1:$C$229, 2, FALSE)</f>
        <v>0</v>
      </c>
      <c r="E836" s="2">
        <v>6</v>
      </c>
      <c r="G836" s="2">
        <f t="shared" si="5"/>
        <v>0.1</v>
      </c>
      <c r="H836" s="21">
        <v>0.8</v>
      </c>
      <c r="I836" s="2">
        <v>0</v>
      </c>
    </row>
    <row r="837" spans="1:9" ht="15.75" hidden="1" customHeight="1" x14ac:dyDescent="0.2">
      <c r="A837" s="11">
        <v>845</v>
      </c>
      <c r="B837" s="2">
        <v>845</v>
      </c>
      <c r="C837" s="2">
        <v>79</v>
      </c>
      <c r="D837" s="2">
        <f>VLOOKUP(C837,Course!$A$1:$C$229, 2, FALSE)</f>
        <v>0</v>
      </c>
      <c r="E837" s="2">
        <v>97</v>
      </c>
      <c r="F837" s="2" t="s">
        <v>1562</v>
      </c>
      <c r="G837" s="2">
        <v>1</v>
      </c>
      <c r="H837" s="21">
        <v>0.8</v>
      </c>
      <c r="I837" s="2">
        <v>1</v>
      </c>
    </row>
    <row r="838" spans="1:9" ht="15.75" hidden="1" customHeight="1" x14ac:dyDescent="0.2">
      <c r="A838" s="11">
        <v>846</v>
      </c>
      <c r="B838" s="2">
        <v>846</v>
      </c>
      <c r="C838" s="2">
        <v>79</v>
      </c>
      <c r="D838" s="2">
        <f>VLOOKUP(C838,Course!$A$1:$C$229, 2, FALSE)</f>
        <v>0</v>
      </c>
      <c r="E838" s="2">
        <v>98</v>
      </c>
      <c r="F838" s="2" t="s">
        <v>1563</v>
      </c>
      <c r="G838" s="2">
        <v>1</v>
      </c>
      <c r="H838" s="21">
        <v>0.8</v>
      </c>
      <c r="I838" s="2">
        <v>1</v>
      </c>
    </row>
    <row r="839" spans="1:9" ht="15.75" hidden="1" customHeight="1" x14ac:dyDescent="0.2">
      <c r="A839" s="11">
        <v>847</v>
      </c>
      <c r="B839" s="2">
        <v>847</v>
      </c>
      <c r="C839" s="2">
        <v>79</v>
      </c>
      <c r="D839" s="2">
        <f>VLOOKUP(C839,Course!$A$1:$C$229, 2, FALSE)</f>
        <v>0</v>
      </c>
      <c r="E839" s="2">
        <v>99</v>
      </c>
      <c r="F839" s="2" t="s">
        <v>1564</v>
      </c>
      <c r="G839" s="2">
        <v>1</v>
      </c>
      <c r="H839" s="21">
        <v>0.8</v>
      </c>
      <c r="I839" s="2">
        <v>1</v>
      </c>
    </row>
    <row r="840" spans="1:9" ht="15.75" hidden="1" customHeight="1" x14ac:dyDescent="0.2">
      <c r="A840" s="11">
        <v>848</v>
      </c>
      <c r="B840" s="2">
        <v>848</v>
      </c>
      <c r="C840" s="2">
        <v>79</v>
      </c>
      <c r="D840" s="2">
        <f>VLOOKUP(C840,Course!$A$1:$C$229, 2, FALSE)</f>
        <v>0</v>
      </c>
      <c r="E840" s="2">
        <v>100</v>
      </c>
      <c r="F840" s="2" t="s">
        <v>1565</v>
      </c>
      <c r="G840" s="2">
        <v>1</v>
      </c>
      <c r="H840" s="21">
        <v>0.8</v>
      </c>
      <c r="I840" s="2">
        <v>1</v>
      </c>
    </row>
    <row r="841" spans="1:9" ht="15.75" hidden="1" customHeight="1" x14ac:dyDescent="0.2">
      <c r="A841" s="11">
        <v>849</v>
      </c>
      <c r="B841" s="2">
        <v>849</v>
      </c>
      <c r="C841" s="2">
        <v>79</v>
      </c>
      <c r="D841" s="2">
        <f>VLOOKUP(C841,Course!$A$1:$C$229, 2, FALSE)</f>
        <v>0</v>
      </c>
      <c r="E841" s="2">
        <v>101</v>
      </c>
      <c r="F841" s="2" t="s">
        <v>1566</v>
      </c>
      <c r="G841" s="2">
        <v>1</v>
      </c>
      <c r="H841" s="21">
        <v>0.8</v>
      </c>
      <c r="I841" s="2">
        <v>1</v>
      </c>
    </row>
    <row r="842" spans="1:9" ht="15.75" hidden="1" customHeight="1" x14ac:dyDescent="0.2">
      <c r="A842" s="11">
        <v>850</v>
      </c>
      <c r="B842" s="2">
        <v>850</v>
      </c>
      <c r="C842" s="2">
        <v>79</v>
      </c>
      <c r="D842" s="2">
        <f>VLOOKUP(C842,Course!$A$1:$C$229, 2, FALSE)</f>
        <v>0</v>
      </c>
      <c r="E842" s="2">
        <v>102</v>
      </c>
      <c r="F842" s="2" t="s">
        <v>1567</v>
      </c>
      <c r="G842" s="2">
        <v>1</v>
      </c>
      <c r="H842" s="21">
        <v>0.8</v>
      </c>
      <c r="I842" s="2">
        <v>1</v>
      </c>
    </row>
    <row r="843" spans="1:9" ht="15.75" hidden="1" customHeight="1" x14ac:dyDescent="0.2">
      <c r="A843" s="11">
        <v>851</v>
      </c>
      <c r="B843" s="2">
        <v>851</v>
      </c>
      <c r="C843" s="2">
        <v>79</v>
      </c>
      <c r="D843" s="2">
        <f>VLOOKUP(C843,Course!$A$1:$C$229, 2, FALSE)</f>
        <v>0</v>
      </c>
      <c r="E843" s="2">
        <v>103</v>
      </c>
      <c r="F843" s="2" t="s">
        <v>1568</v>
      </c>
      <c r="G843" s="2">
        <v>1</v>
      </c>
      <c r="H843" s="21">
        <v>0.8</v>
      </c>
      <c r="I843" s="2">
        <v>1</v>
      </c>
    </row>
    <row r="844" spans="1:9" ht="15.75" hidden="1" customHeight="1" x14ac:dyDescent="0.2">
      <c r="A844" s="11">
        <v>852</v>
      </c>
      <c r="B844" s="2">
        <v>852</v>
      </c>
      <c r="C844" s="2">
        <v>79</v>
      </c>
      <c r="D844" s="2">
        <f>VLOOKUP(C844,Course!$A$1:$C$229, 2, FALSE)</f>
        <v>0</v>
      </c>
      <c r="E844" s="2">
        <v>104</v>
      </c>
      <c r="F844" s="2" t="s">
        <v>1569</v>
      </c>
      <c r="G844" s="2">
        <v>1</v>
      </c>
      <c r="H844" s="21">
        <v>0.8</v>
      </c>
      <c r="I844" s="2">
        <v>1</v>
      </c>
    </row>
    <row r="845" spans="1:9" ht="15.75" hidden="1" customHeight="1" x14ac:dyDescent="0.2">
      <c r="A845" s="11">
        <v>853</v>
      </c>
      <c r="B845" s="2">
        <v>853</v>
      </c>
      <c r="C845" s="2">
        <v>79</v>
      </c>
      <c r="D845" s="2">
        <f>VLOOKUP(C845,Course!$A$1:$C$229, 2, FALSE)</f>
        <v>0</v>
      </c>
      <c r="E845" s="2">
        <v>105</v>
      </c>
      <c r="F845" s="2" t="s">
        <v>1570</v>
      </c>
      <c r="G845" s="2">
        <v>1</v>
      </c>
      <c r="H845" s="21">
        <v>0.8</v>
      </c>
      <c r="I845" s="2">
        <v>1</v>
      </c>
    </row>
    <row r="846" spans="1:9" ht="15.75" hidden="1" customHeight="1" x14ac:dyDescent="0.2">
      <c r="A846" s="11">
        <v>854</v>
      </c>
      <c r="B846" s="2">
        <v>854</v>
      </c>
      <c r="C846" s="2">
        <v>79</v>
      </c>
      <c r="D846" s="2">
        <f>VLOOKUP(C846,Course!$A$1:$C$229, 2, FALSE)</f>
        <v>0</v>
      </c>
      <c r="E846" s="2">
        <v>106</v>
      </c>
      <c r="F846" s="2" t="s">
        <v>1571</v>
      </c>
      <c r="G846" s="2">
        <v>1</v>
      </c>
      <c r="H846" s="21">
        <v>0.8</v>
      </c>
      <c r="I846" s="2">
        <v>1</v>
      </c>
    </row>
    <row r="847" spans="1:9" ht="15.75" hidden="1" customHeight="1" x14ac:dyDescent="0.2">
      <c r="A847" s="11">
        <v>855</v>
      </c>
      <c r="B847" s="2">
        <v>855</v>
      </c>
      <c r="C847" s="2">
        <v>79</v>
      </c>
      <c r="D847" s="2">
        <f>VLOOKUP(C847,Course!$A$1:$C$229, 2, FALSE)</f>
        <v>0</v>
      </c>
      <c r="E847" s="2">
        <v>107</v>
      </c>
      <c r="F847" s="2" t="s">
        <v>1572</v>
      </c>
      <c r="G847" s="2">
        <v>1</v>
      </c>
      <c r="H847" s="21">
        <v>0.8</v>
      </c>
      <c r="I847" s="2">
        <v>1</v>
      </c>
    </row>
    <row r="848" spans="1:9" ht="15.75" hidden="1" customHeight="1" x14ac:dyDescent="0.2">
      <c r="A848" s="11">
        <v>856</v>
      </c>
      <c r="B848" s="2">
        <v>856</v>
      </c>
      <c r="C848" s="2">
        <v>79</v>
      </c>
      <c r="D848" s="2">
        <f>VLOOKUP(C848,Course!$A$1:$C$229, 2, FALSE)</f>
        <v>0</v>
      </c>
      <c r="E848" s="2">
        <v>108</v>
      </c>
      <c r="F848" s="2" t="s">
        <v>1573</v>
      </c>
      <c r="G848" s="2">
        <v>1</v>
      </c>
      <c r="H848" s="21">
        <v>0.8</v>
      </c>
      <c r="I848" s="2">
        <v>1</v>
      </c>
    </row>
    <row r="849" spans="1:10" ht="15.75" hidden="1" customHeight="1" x14ac:dyDescent="0.2">
      <c r="A849" s="11">
        <v>857</v>
      </c>
      <c r="B849" s="2">
        <v>857</v>
      </c>
      <c r="C849" s="2">
        <v>80</v>
      </c>
      <c r="D849" s="2">
        <f>VLOOKUP(C849,Course!$A$1:$C$229, 2, FALSE)</f>
        <v>0</v>
      </c>
      <c r="E849" s="2">
        <v>97</v>
      </c>
      <c r="F849" s="2" t="s">
        <v>1574</v>
      </c>
      <c r="G849" s="2">
        <v>1</v>
      </c>
      <c r="H849" s="21">
        <v>0.8</v>
      </c>
      <c r="I849" s="2">
        <v>1</v>
      </c>
    </row>
    <row r="850" spans="1:10" ht="15.75" hidden="1" customHeight="1" x14ac:dyDescent="0.2">
      <c r="A850" s="11">
        <v>858</v>
      </c>
      <c r="B850" s="2">
        <v>858</v>
      </c>
      <c r="C850" s="2">
        <v>80</v>
      </c>
      <c r="D850" s="2">
        <f>VLOOKUP(C850,Course!$A$1:$C$229, 2, FALSE)</f>
        <v>0</v>
      </c>
      <c r="E850" s="2">
        <v>98</v>
      </c>
      <c r="F850" s="2" t="s">
        <v>1575</v>
      </c>
      <c r="G850" s="2">
        <v>1</v>
      </c>
      <c r="H850" s="21">
        <v>0.8</v>
      </c>
      <c r="I850" s="2">
        <v>1</v>
      </c>
    </row>
    <row r="851" spans="1:10" ht="15.75" hidden="1" customHeight="1" x14ac:dyDescent="0.2">
      <c r="A851" s="11">
        <v>859</v>
      </c>
      <c r="B851" s="2">
        <v>859</v>
      </c>
      <c r="C851" s="2">
        <v>80</v>
      </c>
      <c r="D851" s="2">
        <f>VLOOKUP(C851,Course!$A$1:$C$229, 2, FALSE)</f>
        <v>0</v>
      </c>
      <c r="E851" s="2">
        <v>99</v>
      </c>
      <c r="F851" s="2" t="s">
        <v>1576</v>
      </c>
      <c r="G851" s="2">
        <v>1</v>
      </c>
      <c r="H851" s="21">
        <v>0.8</v>
      </c>
      <c r="I851" s="2">
        <v>1</v>
      </c>
    </row>
    <row r="852" spans="1:10" ht="15.75" hidden="1" customHeight="1" x14ac:dyDescent="0.2">
      <c r="A852" s="11">
        <v>860</v>
      </c>
      <c r="B852" s="2">
        <v>860</v>
      </c>
      <c r="C852" s="2">
        <v>80</v>
      </c>
      <c r="D852" s="2">
        <f>VLOOKUP(C852,Course!$A$1:$C$229, 2, FALSE)</f>
        <v>0</v>
      </c>
      <c r="E852" s="2">
        <v>100</v>
      </c>
      <c r="F852" s="2" t="s">
        <v>1577</v>
      </c>
      <c r="G852" s="2">
        <v>1</v>
      </c>
      <c r="H852" s="21">
        <v>0.8</v>
      </c>
      <c r="I852" s="2">
        <v>1</v>
      </c>
    </row>
    <row r="853" spans="1:10" ht="15.75" hidden="1" customHeight="1" x14ac:dyDescent="0.2">
      <c r="A853" s="11">
        <v>861</v>
      </c>
      <c r="B853" s="2">
        <v>861</v>
      </c>
      <c r="C853" s="2">
        <v>80</v>
      </c>
      <c r="D853" s="2">
        <f>VLOOKUP(C853,Course!$A$1:$C$229, 2, FALSE)</f>
        <v>0</v>
      </c>
      <c r="E853" s="2">
        <v>101</v>
      </c>
      <c r="F853" s="2" t="s">
        <v>1578</v>
      </c>
      <c r="G853" s="2">
        <v>1</v>
      </c>
      <c r="H853" s="21">
        <v>0.8</v>
      </c>
      <c r="I853" s="2">
        <v>1</v>
      </c>
    </row>
    <row r="854" spans="1:10" ht="15.75" hidden="1" customHeight="1" x14ac:dyDescent="0.2">
      <c r="A854" s="11">
        <v>862</v>
      </c>
      <c r="B854" s="2">
        <v>862</v>
      </c>
      <c r="C854" s="2">
        <v>80</v>
      </c>
      <c r="D854" s="2">
        <f>VLOOKUP(C854,Course!$A$1:$C$229, 2, FALSE)</f>
        <v>0</v>
      </c>
      <c r="E854" s="2">
        <v>102</v>
      </c>
      <c r="F854" s="2" t="s">
        <v>1579</v>
      </c>
      <c r="G854" s="2">
        <v>1</v>
      </c>
      <c r="H854" s="21">
        <v>0.8</v>
      </c>
      <c r="I854" s="2">
        <v>1</v>
      </c>
    </row>
    <row r="855" spans="1:10" ht="15.75" hidden="1" customHeight="1" x14ac:dyDescent="0.2">
      <c r="A855" s="11">
        <v>863</v>
      </c>
      <c r="B855" s="2">
        <v>863</v>
      </c>
      <c r="C855" s="2">
        <v>80</v>
      </c>
      <c r="D855" s="2">
        <f>VLOOKUP(C855,Course!$A$1:$C$229, 2, FALSE)</f>
        <v>0</v>
      </c>
      <c r="E855" s="2">
        <v>103</v>
      </c>
      <c r="F855" s="2" t="s">
        <v>1580</v>
      </c>
      <c r="G855" s="2">
        <v>1</v>
      </c>
      <c r="H855" s="21">
        <v>0.8</v>
      </c>
      <c r="I855" s="2">
        <v>1</v>
      </c>
    </row>
    <row r="856" spans="1:10" ht="15.75" hidden="1" customHeight="1" x14ac:dyDescent="0.2">
      <c r="A856" s="11">
        <v>864</v>
      </c>
      <c r="B856" s="2">
        <v>864</v>
      </c>
      <c r="C856" s="2">
        <v>80</v>
      </c>
      <c r="D856" s="2">
        <f>VLOOKUP(C856,Course!$A$1:$C$229, 2, FALSE)</f>
        <v>0</v>
      </c>
      <c r="E856" s="2">
        <v>104</v>
      </c>
      <c r="F856" s="2" t="s">
        <v>1581</v>
      </c>
      <c r="G856" s="2">
        <v>1</v>
      </c>
      <c r="H856" s="21">
        <v>0.8</v>
      </c>
      <c r="I856" s="2">
        <v>1</v>
      </c>
    </row>
    <row r="857" spans="1:10" ht="15.75" hidden="1" customHeight="1" x14ac:dyDescent="0.2">
      <c r="A857" s="11">
        <v>865</v>
      </c>
      <c r="B857" s="2">
        <v>865</v>
      </c>
      <c r="C857" s="2">
        <v>80</v>
      </c>
      <c r="D857" s="2">
        <f>VLOOKUP(C857,Course!$A$1:$C$229, 2, FALSE)</f>
        <v>0</v>
      </c>
      <c r="E857" s="2">
        <v>105</v>
      </c>
      <c r="F857" s="2" t="s">
        <v>1582</v>
      </c>
      <c r="G857" s="2">
        <v>1</v>
      </c>
      <c r="H857" s="21">
        <v>0.8</v>
      </c>
      <c r="I857" s="2">
        <v>1</v>
      </c>
    </row>
    <row r="858" spans="1:10" ht="15.75" hidden="1" customHeight="1" x14ac:dyDescent="0.2">
      <c r="A858" s="11">
        <v>866</v>
      </c>
      <c r="B858" s="2">
        <v>866</v>
      </c>
      <c r="C858" s="2">
        <v>80</v>
      </c>
      <c r="D858" s="2">
        <f>VLOOKUP(C858,Course!$A$1:$C$229, 2, FALSE)</f>
        <v>0</v>
      </c>
      <c r="E858" s="2">
        <v>106</v>
      </c>
      <c r="F858" s="2" t="s">
        <v>1583</v>
      </c>
      <c r="G858" s="2">
        <v>1</v>
      </c>
      <c r="H858" s="21">
        <v>0.8</v>
      </c>
      <c r="I858" s="2">
        <v>1</v>
      </c>
    </row>
    <row r="859" spans="1:10" ht="15.75" hidden="1" customHeight="1" x14ac:dyDescent="0.2">
      <c r="A859" s="11">
        <v>867</v>
      </c>
      <c r="B859" s="2">
        <v>867</v>
      </c>
      <c r="C859" s="2">
        <v>80</v>
      </c>
      <c r="D859" s="2">
        <f>VLOOKUP(C859,Course!$A$1:$C$229, 2, FALSE)</f>
        <v>0</v>
      </c>
      <c r="E859" s="2">
        <v>107</v>
      </c>
      <c r="F859" s="2" t="s">
        <v>1584</v>
      </c>
      <c r="G859" s="2">
        <v>1</v>
      </c>
      <c r="H859" s="21">
        <v>0.8</v>
      </c>
      <c r="I859" s="2">
        <v>1</v>
      </c>
    </row>
    <row r="860" spans="1:10" ht="15.75" hidden="1" customHeight="1" x14ac:dyDescent="0.2">
      <c r="A860" s="11">
        <v>868</v>
      </c>
      <c r="B860" s="2">
        <v>868</v>
      </c>
      <c r="C860" s="2">
        <v>80</v>
      </c>
      <c r="D860" s="2">
        <f>VLOOKUP(C860,Course!$A$1:$C$229, 2, FALSE)</f>
        <v>0</v>
      </c>
      <c r="E860" s="2">
        <v>108</v>
      </c>
      <c r="F860" s="2" t="s">
        <v>1585</v>
      </c>
      <c r="G860" s="2">
        <v>1</v>
      </c>
      <c r="H860" s="21">
        <v>0.8</v>
      </c>
      <c r="I860" s="2">
        <v>1</v>
      </c>
    </row>
    <row r="861" spans="1:10" ht="15.75" hidden="1" customHeight="1" x14ac:dyDescent="0.2">
      <c r="A861" s="11">
        <v>869</v>
      </c>
      <c r="B861" s="2"/>
      <c r="C861" s="30"/>
      <c r="D861" s="30"/>
      <c r="E861" s="30"/>
      <c r="F861" s="30"/>
      <c r="G861" s="8"/>
      <c r="H861" s="21"/>
      <c r="I861" s="2"/>
      <c r="J861" s="2"/>
    </row>
    <row r="862" spans="1:10" ht="15.75" hidden="1" customHeight="1" x14ac:dyDescent="0.2">
      <c r="A862" s="11">
        <v>870</v>
      </c>
      <c r="B862" s="2"/>
      <c r="C862" s="30"/>
      <c r="D862" s="30"/>
      <c r="E862" s="30"/>
      <c r="F862" s="30"/>
      <c r="G862" s="8"/>
      <c r="H862" s="21"/>
      <c r="I862" s="2"/>
    </row>
    <row r="863" spans="1:10" ht="15.75" hidden="1" customHeight="1" x14ac:dyDescent="0.2">
      <c r="A863" s="11">
        <v>871</v>
      </c>
      <c r="B863" s="2">
        <v>871</v>
      </c>
      <c r="C863" s="2">
        <v>81</v>
      </c>
      <c r="D863" s="2">
        <f>VLOOKUP(C863,Course!$A$1:$C$229, 2, FALSE)</f>
        <v>0</v>
      </c>
      <c r="E863" s="2">
        <v>97</v>
      </c>
      <c r="F863" s="2" t="s">
        <v>1586</v>
      </c>
      <c r="G863" s="8">
        <f t="shared" ref="G863:G868" si="6">0.5/6</f>
        <v>8.3333333333333329E-2</v>
      </c>
      <c r="H863" s="21">
        <v>0.8</v>
      </c>
      <c r="I863" s="2">
        <v>1</v>
      </c>
    </row>
    <row r="864" spans="1:10" ht="15.75" hidden="1" customHeight="1" x14ac:dyDescent="0.2">
      <c r="A864" s="11">
        <v>872</v>
      </c>
      <c r="B864" s="2">
        <v>872</v>
      </c>
      <c r="C864" s="2">
        <v>92</v>
      </c>
      <c r="D864" s="2">
        <f>VLOOKUP(C864,Course!$A$1:$C$229, 2, FALSE)</f>
        <v>0</v>
      </c>
      <c r="E864" s="2">
        <v>98</v>
      </c>
      <c r="F864" s="2" t="s">
        <v>1587</v>
      </c>
      <c r="G864" s="8">
        <f t="shared" si="6"/>
        <v>8.3333333333333329E-2</v>
      </c>
      <c r="H864" s="21">
        <v>0.8</v>
      </c>
      <c r="I864" s="2">
        <v>1</v>
      </c>
    </row>
    <row r="865" spans="1:9" ht="15.75" hidden="1" customHeight="1" x14ac:dyDescent="0.2">
      <c r="A865" s="11">
        <v>873</v>
      </c>
      <c r="B865" s="2">
        <v>873</v>
      </c>
      <c r="C865" s="2">
        <v>92</v>
      </c>
      <c r="D865" s="2">
        <f>VLOOKUP(C865,Course!$A$1:$C$229, 2, FALSE)</f>
        <v>0</v>
      </c>
      <c r="E865" s="2">
        <v>99</v>
      </c>
      <c r="F865" s="2" t="s">
        <v>1588</v>
      </c>
      <c r="G865" s="8">
        <f t="shared" si="6"/>
        <v>8.3333333333333329E-2</v>
      </c>
      <c r="H865" s="21">
        <v>0.8</v>
      </c>
      <c r="I865" s="2">
        <v>1</v>
      </c>
    </row>
    <row r="866" spans="1:9" ht="15.75" hidden="1" customHeight="1" x14ac:dyDescent="0.2">
      <c r="A866" s="11">
        <v>874</v>
      </c>
      <c r="B866" s="2">
        <v>874</v>
      </c>
      <c r="C866" s="2">
        <v>92</v>
      </c>
      <c r="D866" s="2">
        <f>VLOOKUP(C866,Course!$A$1:$C$229, 2, FALSE)</f>
        <v>0</v>
      </c>
      <c r="E866" s="2">
        <v>100</v>
      </c>
      <c r="F866" s="2" t="s">
        <v>1589</v>
      </c>
      <c r="G866" s="8">
        <f t="shared" si="6"/>
        <v>8.3333333333333329E-2</v>
      </c>
      <c r="H866" s="21">
        <v>0.8</v>
      </c>
      <c r="I866" s="2">
        <v>1</v>
      </c>
    </row>
    <row r="867" spans="1:9" ht="15.75" hidden="1" customHeight="1" x14ac:dyDescent="0.2">
      <c r="A867" s="11">
        <v>875</v>
      </c>
      <c r="B867" s="2">
        <v>875</v>
      </c>
      <c r="C867" s="2">
        <v>92</v>
      </c>
      <c r="D867" s="2">
        <f>VLOOKUP(C867,Course!$A$1:$C$229, 2, FALSE)</f>
        <v>0</v>
      </c>
      <c r="E867" s="2">
        <v>101</v>
      </c>
      <c r="F867" s="2" t="s">
        <v>1590</v>
      </c>
      <c r="G867" s="8">
        <f t="shared" si="6"/>
        <v>8.3333333333333329E-2</v>
      </c>
      <c r="H867" s="21">
        <v>0.8</v>
      </c>
      <c r="I867" s="2">
        <v>1</v>
      </c>
    </row>
    <row r="868" spans="1:9" ht="15.75" hidden="1" customHeight="1" x14ac:dyDescent="0.2">
      <c r="A868" s="11">
        <v>876</v>
      </c>
      <c r="B868" s="2">
        <v>876</v>
      </c>
      <c r="C868" s="2">
        <v>81</v>
      </c>
      <c r="D868" s="2">
        <f>VLOOKUP(C868,Course!$A$1:$C$229, 2, FALSE)</f>
        <v>0</v>
      </c>
      <c r="E868" s="2">
        <v>102</v>
      </c>
      <c r="F868" s="2" t="s">
        <v>1591</v>
      </c>
      <c r="G868" s="8">
        <f t="shared" si="6"/>
        <v>8.3333333333333329E-2</v>
      </c>
      <c r="H868" s="21">
        <v>0.8</v>
      </c>
      <c r="I868" s="2">
        <v>1</v>
      </c>
    </row>
    <row r="869" spans="1:9" ht="15.75" hidden="1" customHeight="1" x14ac:dyDescent="0.2">
      <c r="A869" s="11">
        <v>877</v>
      </c>
      <c r="B869" s="2">
        <v>877</v>
      </c>
      <c r="C869" s="2">
        <v>82</v>
      </c>
      <c r="D869" s="2">
        <f>VLOOKUP(C869,Course!$A$1:$C$229, 2, FALSE)</f>
        <v>0</v>
      </c>
      <c r="E869" s="2">
        <v>1</v>
      </c>
      <c r="F869" s="2" t="s">
        <v>1592</v>
      </c>
      <c r="G869" s="2">
        <v>1</v>
      </c>
      <c r="H869" s="21">
        <v>0.8</v>
      </c>
      <c r="I869" s="2">
        <v>1</v>
      </c>
    </row>
    <row r="870" spans="1:9" ht="15.75" hidden="1" customHeight="1" x14ac:dyDescent="0.2">
      <c r="A870" s="11">
        <v>878</v>
      </c>
      <c r="B870" s="2">
        <v>878</v>
      </c>
      <c r="C870" s="2">
        <v>82</v>
      </c>
      <c r="D870" s="2">
        <f>VLOOKUP(C870,Course!$A$1:$C$229, 2, FALSE)</f>
        <v>0</v>
      </c>
      <c r="E870" s="2">
        <v>2</v>
      </c>
      <c r="F870" s="2" t="s">
        <v>1593</v>
      </c>
      <c r="G870" s="2">
        <v>1</v>
      </c>
      <c r="H870" s="21">
        <v>0.8</v>
      </c>
      <c r="I870" s="2">
        <v>1</v>
      </c>
    </row>
    <row r="871" spans="1:9" ht="15.75" hidden="1" customHeight="1" x14ac:dyDescent="0.2">
      <c r="A871" s="11">
        <v>879</v>
      </c>
      <c r="B871" s="2">
        <v>879</v>
      </c>
      <c r="C871" s="2">
        <v>82</v>
      </c>
      <c r="D871" s="2">
        <f>VLOOKUP(C871,Course!$A$1:$C$229, 2, FALSE)</f>
        <v>0</v>
      </c>
      <c r="E871" s="2">
        <v>3</v>
      </c>
      <c r="F871" s="2" t="s">
        <v>1594</v>
      </c>
      <c r="G871" s="2">
        <v>1</v>
      </c>
      <c r="H871" s="21">
        <v>0.8</v>
      </c>
      <c r="I871" s="2">
        <v>1</v>
      </c>
    </row>
    <row r="872" spans="1:9" ht="15.75" hidden="1" customHeight="1" x14ac:dyDescent="0.2">
      <c r="A872" s="11">
        <v>880</v>
      </c>
      <c r="B872" s="2">
        <v>880</v>
      </c>
      <c r="C872" s="2">
        <v>82</v>
      </c>
      <c r="D872" s="2">
        <f>VLOOKUP(C872,Course!$A$1:$C$229, 2, FALSE)</f>
        <v>0</v>
      </c>
      <c r="E872" s="2">
        <v>4</v>
      </c>
      <c r="F872" s="2" t="s">
        <v>1595</v>
      </c>
      <c r="G872" s="2">
        <v>1</v>
      </c>
      <c r="H872" s="21">
        <v>0.8</v>
      </c>
      <c r="I872" s="2">
        <v>1</v>
      </c>
    </row>
    <row r="873" spans="1:9" ht="15.75" hidden="1" customHeight="1" x14ac:dyDescent="0.2">
      <c r="A873" s="11">
        <v>881</v>
      </c>
      <c r="B873" s="2">
        <v>881</v>
      </c>
      <c r="C873" s="2">
        <v>82</v>
      </c>
      <c r="D873" s="2">
        <f>VLOOKUP(C873,Course!$A$1:$C$229, 2, FALSE)</f>
        <v>0</v>
      </c>
      <c r="E873" s="2">
        <v>5</v>
      </c>
      <c r="F873" s="2" t="s">
        <v>1596</v>
      </c>
      <c r="G873" s="2">
        <v>1</v>
      </c>
      <c r="H873" s="21">
        <v>0.8</v>
      </c>
      <c r="I873" s="2">
        <v>1</v>
      </c>
    </row>
    <row r="874" spans="1:9" ht="15.75" hidden="1" customHeight="1" x14ac:dyDescent="0.2">
      <c r="A874" s="11">
        <v>882</v>
      </c>
      <c r="B874" s="2">
        <v>882</v>
      </c>
      <c r="C874" s="2">
        <v>82</v>
      </c>
      <c r="D874" s="2">
        <f>VLOOKUP(C874,Course!$A$1:$C$229, 2, FALSE)</f>
        <v>0</v>
      </c>
      <c r="E874" s="2">
        <v>6</v>
      </c>
      <c r="F874" s="2" t="s">
        <v>1597</v>
      </c>
      <c r="G874" s="2">
        <v>1</v>
      </c>
      <c r="H874" s="21">
        <v>0.8</v>
      </c>
      <c r="I874" s="2">
        <v>1</v>
      </c>
    </row>
    <row r="875" spans="1:9" ht="15.75" hidden="1" customHeight="1" x14ac:dyDescent="0.2">
      <c r="A875" s="11">
        <v>883</v>
      </c>
      <c r="B875" s="2">
        <v>883</v>
      </c>
      <c r="C875" s="2">
        <v>83</v>
      </c>
      <c r="D875" s="2" t="str">
        <f>VLOOKUP(C875,Course!$A$1:$C$229, 2, FALSE)</f>
        <v>Successful Living</v>
      </c>
      <c r="E875" s="2">
        <v>1</v>
      </c>
      <c r="F875" s="2" t="s">
        <v>1598</v>
      </c>
      <c r="G875" s="2">
        <v>1</v>
      </c>
      <c r="H875" s="21">
        <v>0.8</v>
      </c>
      <c r="I875" s="2">
        <v>1</v>
      </c>
    </row>
    <row r="876" spans="1:9" ht="15.75" hidden="1" customHeight="1" x14ac:dyDescent="0.2">
      <c r="A876" s="11">
        <v>884</v>
      </c>
      <c r="B876" s="2">
        <v>884</v>
      </c>
      <c r="C876" s="2">
        <v>83</v>
      </c>
      <c r="D876" s="2" t="str">
        <f>VLOOKUP(C876,Course!$A$1:$C$229, 2, FALSE)</f>
        <v>Successful Living</v>
      </c>
      <c r="E876" s="2">
        <v>2</v>
      </c>
      <c r="F876" s="2" t="s">
        <v>1599</v>
      </c>
      <c r="G876" s="2">
        <v>1</v>
      </c>
      <c r="H876" s="21">
        <v>0.8</v>
      </c>
      <c r="I876" s="2">
        <v>1</v>
      </c>
    </row>
    <row r="877" spans="1:9" ht="15.75" hidden="1" customHeight="1" x14ac:dyDescent="0.2">
      <c r="A877" s="11">
        <v>885</v>
      </c>
      <c r="B877" s="2">
        <v>885</v>
      </c>
      <c r="C877" s="2">
        <v>83</v>
      </c>
      <c r="D877" s="2" t="str">
        <f>VLOOKUP(C877,Course!$A$1:$C$229, 2, FALSE)</f>
        <v>Successful Living</v>
      </c>
      <c r="E877" s="2">
        <v>3</v>
      </c>
      <c r="F877" s="2" t="s">
        <v>1600</v>
      </c>
      <c r="G877" s="2">
        <v>1</v>
      </c>
      <c r="H877" s="21">
        <v>0.8</v>
      </c>
      <c r="I877" s="2">
        <v>1</v>
      </c>
    </row>
    <row r="878" spans="1:9" ht="15.75" hidden="1" customHeight="1" x14ac:dyDescent="0.2">
      <c r="A878" s="11">
        <v>886</v>
      </c>
      <c r="B878" s="2">
        <v>886</v>
      </c>
      <c r="C878" s="2">
        <v>83</v>
      </c>
      <c r="D878" s="2" t="str">
        <f>VLOOKUP(C878,Course!$A$1:$C$229, 2, FALSE)</f>
        <v>Successful Living</v>
      </c>
      <c r="E878" s="2">
        <v>4</v>
      </c>
      <c r="F878" s="2" t="s">
        <v>1601</v>
      </c>
      <c r="G878" s="2">
        <v>1</v>
      </c>
      <c r="H878" s="21">
        <v>0.8</v>
      </c>
      <c r="I878" s="2">
        <v>1</v>
      </c>
    </row>
    <row r="879" spans="1:9" ht="15.75" hidden="1" customHeight="1" x14ac:dyDescent="0.2">
      <c r="A879" s="11">
        <v>887</v>
      </c>
      <c r="B879" s="2">
        <v>887</v>
      </c>
      <c r="C879" s="2">
        <v>83</v>
      </c>
      <c r="D879" s="2" t="str">
        <f>VLOOKUP(C879,Course!$A$1:$C$229, 2, FALSE)</f>
        <v>Successful Living</v>
      </c>
      <c r="E879" s="2">
        <v>5</v>
      </c>
      <c r="F879" s="2" t="s">
        <v>1602</v>
      </c>
      <c r="G879" s="2">
        <v>1</v>
      </c>
      <c r="H879" s="21">
        <v>0.8</v>
      </c>
      <c r="I879" s="2">
        <v>1</v>
      </c>
    </row>
    <row r="880" spans="1:9" ht="15.75" hidden="1" customHeight="1" x14ac:dyDescent="0.2">
      <c r="A880" s="11">
        <v>888</v>
      </c>
      <c r="B880" s="2">
        <v>888</v>
      </c>
      <c r="C880" s="2">
        <v>83</v>
      </c>
      <c r="D880" s="2" t="str">
        <f>VLOOKUP(C880,Course!$A$1:$C$229, 2, FALSE)</f>
        <v>Successful Living</v>
      </c>
      <c r="E880" s="2">
        <v>6</v>
      </c>
      <c r="F880" s="2" t="s">
        <v>1603</v>
      </c>
      <c r="G880" s="2">
        <v>1</v>
      </c>
      <c r="H880" s="21">
        <v>0.8</v>
      </c>
      <c r="I880" s="2">
        <v>1</v>
      </c>
    </row>
    <row r="881" spans="1:9" ht="15.75" hidden="1" customHeight="1" x14ac:dyDescent="0.2">
      <c r="A881" s="11">
        <v>889</v>
      </c>
      <c r="B881" s="2">
        <v>889</v>
      </c>
      <c r="C881" s="2">
        <v>83</v>
      </c>
      <c r="D881" s="2" t="str">
        <f>VLOOKUP(C881,Course!$A$1:$C$229, 2, FALSE)</f>
        <v>Successful Living</v>
      </c>
      <c r="E881" s="2">
        <v>7</v>
      </c>
      <c r="F881" s="2" t="s">
        <v>1604</v>
      </c>
      <c r="G881" s="2">
        <v>1</v>
      </c>
      <c r="H881" s="21">
        <v>0.8</v>
      </c>
      <c r="I881" s="2">
        <v>1</v>
      </c>
    </row>
    <row r="882" spans="1:9" ht="15.75" hidden="1" customHeight="1" x14ac:dyDescent="0.2">
      <c r="A882" s="11">
        <v>890</v>
      </c>
      <c r="B882" s="2">
        <v>890</v>
      </c>
      <c r="C882" s="2">
        <v>83</v>
      </c>
      <c r="D882" s="2" t="str">
        <f>VLOOKUP(C882,Course!$A$1:$C$229, 2, FALSE)</f>
        <v>Successful Living</v>
      </c>
      <c r="E882" s="2">
        <v>8</v>
      </c>
      <c r="F882" s="2" t="s">
        <v>1605</v>
      </c>
      <c r="G882" s="2">
        <v>1</v>
      </c>
      <c r="H882" s="21">
        <v>0.8</v>
      </c>
      <c r="I882" s="2">
        <v>1</v>
      </c>
    </row>
    <row r="883" spans="1:9" ht="15.75" hidden="1" customHeight="1" x14ac:dyDescent="0.2">
      <c r="A883" s="11">
        <v>891</v>
      </c>
      <c r="B883" s="2">
        <v>891</v>
      </c>
      <c r="C883" s="2">
        <v>83</v>
      </c>
      <c r="D883" s="2" t="str">
        <f>VLOOKUP(C883,Course!$A$1:$C$229, 2, FALSE)</f>
        <v>Successful Living</v>
      </c>
      <c r="E883" s="2">
        <v>9</v>
      </c>
      <c r="F883" s="2" t="s">
        <v>1606</v>
      </c>
      <c r="G883" s="2">
        <v>1</v>
      </c>
      <c r="H883" s="21">
        <v>0.8</v>
      </c>
      <c r="I883" s="2">
        <v>1</v>
      </c>
    </row>
    <row r="884" spans="1:9" ht="15.75" hidden="1" customHeight="1" x14ac:dyDescent="0.2">
      <c r="A884" s="11">
        <v>892</v>
      </c>
      <c r="B884" s="2">
        <v>892</v>
      </c>
      <c r="C884" s="2">
        <v>83</v>
      </c>
      <c r="D884" s="2" t="str">
        <f>VLOOKUP(C884,Course!$A$1:$C$229, 2, FALSE)</f>
        <v>Successful Living</v>
      </c>
      <c r="E884" s="2">
        <v>10</v>
      </c>
      <c r="F884" s="2" t="s">
        <v>1607</v>
      </c>
      <c r="G884" s="2">
        <v>1</v>
      </c>
      <c r="H884" s="21">
        <v>0.8</v>
      </c>
      <c r="I884" s="2">
        <v>1</v>
      </c>
    </row>
    <row r="885" spans="1:9" ht="15.75" hidden="1" customHeight="1" x14ac:dyDescent="0.2">
      <c r="A885" s="11">
        <v>893</v>
      </c>
      <c r="B885" s="2">
        <v>893</v>
      </c>
      <c r="C885" s="2">
        <v>83</v>
      </c>
      <c r="D885" s="2" t="str">
        <f>VLOOKUP(C885,Course!$A$1:$C$229, 2, FALSE)</f>
        <v>Successful Living</v>
      </c>
      <c r="E885" s="2">
        <v>11</v>
      </c>
      <c r="F885" s="2" t="s">
        <v>1608</v>
      </c>
      <c r="G885" s="2">
        <v>1</v>
      </c>
      <c r="H885" s="21">
        <v>0.8</v>
      </c>
      <c r="I885" s="2">
        <v>1</v>
      </c>
    </row>
    <row r="886" spans="1:9" ht="15.75" hidden="1" customHeight="1" x14ac:dyDescent="0.2">
      <c r="A886" s="11">
        <v>894</v>
      </c>
      <c r="B886" s="2">
        <v>894</v>
      </c>
      <c r="C886" s="2">
        <v>83</v>
      </c>
      <c r="D886" s="2" t="str">
        <f>VLOOKUP(C886,Course!$A$1:$C$229, 2, FALSE)</f>
        <v>Successful Living</v>
      </c>
      <c r="E886" s="2">
        <v>12</v>
      </c>
      <c r="F886" s="2" t="s">
        <v>1609</v>
      </c>
      <c r="G886" s="2">
        <v>1</v>
      </c>
      <c r="H886" s="21">
        <v>0.8</v>
      </c>
      <c r="I886" s="2">
        <v>1</v>
      </c>
    </row>
    <row r="887" spans="1:9" ht="15.75" hidden="1" customHeight="1" x14ac:dyDescent="0.2">
      <c r="A887" s="11">
        <v>895</v>
      </c>
      <c r="B887" s="2">
        <v>895</v>
      </c>
      <c r="C887" s="2">
        <v>85</v>
      </c>
      <c r="D887" s="2">
        <f>VLOOKUP(C887,Course!$A$1:$C$229, 2, FALSE)</f>
        <v>0</v>
      </c>
      <c r="E887" s="2">
        <v>1</v>
      </c>
      <c r="F887" s="2" t="s">
        <v>1610</v>
      </c>
      <c r="G887" s="2">
        <v>1</v>
      </c>
      <c r="H887" s="21">
        <v>0.8</v>
      </c>
      <c r="I887" s="2">
        <v>1</v>
      </c>
    </row>
    <row r="888" spans="1:9" ht="15.75" hidden="1" customHeight="1" x14ac:dyDescent="0.2">
      <c r="A888" s="11">
        <v>896</v>
      </c>
      <c r="B888" s="2">
        <v>896</v>
      </c>
      <c r="C888" s="2">
        <v>85</v>
      </c>
      <c r="D888" s="2">
        <f>VLOOKUP(C888,Course!$A$1:$C$229, 2, FALSE)</f>
        <v>0</v>
      </c>
      <c r="E888" s="2">
        <v>2</v>
      </c>
      <c r="F888" s="2" t="s">
        <v>1611</v>
      </c>
      <c r="G888" s="2">
        <v>1</v>
      </c>
      <c r="H888" s="21">
        <v>0.8</v>
      </c>
      <c r="I888" s="2">
        <v>1</v>
      </c>
    </row>
    <row r="889" spans="1:9" ht="15.75" hidden="1" customHeight="1" x14ac:dyDescent="0.2">
      <c r="A889" s="11">
        <v>897</v>
      </c>
      <c r="B889" s="2">
        <v>897</v>
      </c>
      <c r="C889" s="2">
        <v>85</v>
      </c>
      <c r="D889" s="2">
        <f>VLOOKUP(C889,Course!$A$1:$C$229, 2, FALSE)</f>
        <v>0</v>
      </c>
      <c r="E889" s="2">
        <v>3</v>
      </c>
      <c r="F889" s="2" t="s">
        <v>1612</v>
      </c>
      <c r="G889" s="2">
        <v>1</v>
      </c>
      <c r="H889" s="21">
        <v>0.8</v>
      </c>
      <c r="I889" s="2">
        <v>1</v>
      </c>
    </row>
    <row r="890" spans="1:9" ht="15.75" hidden="1" customHeight="1" x14ac:dyDescent="0.2">
      <c r="A890" s="11">
        <v>898</v>
      </c>
      <c r="B890" s="2">
        <v>898</v>
      </c>
      <c r="C890" s="2">
        <v>85</v>
      </c>
      <c r="D890" s="2">
        <f>VLOOKUP(C890,Course!$A$1:$C$229, 2, FALSE)</f>
        <v>0</v>
      </c>
      <c r="E890" s="2">
        <v>4</v>
      </c>
      <c r="F890" s="2" t="s">
        <v>1613</v>
      </c>
      <c r="G890" s="2">
        <v>1</v>
      </c>
      <c r="H890" s="21">
        <v>0.8</v>
      </c>
      <c r="I890" s="2">
        <v>1</v>
      </c>
    </row>
    <row r="891" spans="1:9" ht="15.75" hidden="1" customHeight="1" x14ac:dyDescent="0.2">
      <c r="A891" s="11">
        <v>899</v>
      </c>
      <c r="B891" s="2">
        <v>899</v>
      </c>
      <c r="C891" s="2">
        <v>85</v>
      </c>
      <c r="D891" s="2">
        <f>VLOOKUP(C891,Course!$A$1:$C$229, 2, FALSE)</f>
        <v>0</v>
      </c>
      <c r="E891" s="2">
        <v>5</v>
      </c>
      <c r="F891" s="2" t="s">
        <v>1614</v>
      </c>
      <c r="G891" s="2">
        <v>1</v>
      </c>
      <c r="H891" s="21">
        <v>0.8</v>
      </c>
      <c r="I891" s="2">
        <v>1</v>
      </c>
    </row>
    <row r="892" spans="1:9" ht="15.75" hidden="1" customHeight="1" x14ac:dyDescent="0.2">
      <c r="A892" s="11">
        <v>900</v>
      </c>
      <c r="B892" s="2">
        <v>900</v>
      </c>
      <c r="C892" s="2">
        <v>85</v>
      </c>
      <c r="D892" s="2">
        <f>VLOOKUP(C892,Course!$A$1:$C$229, 2, FALSE)</f>
        <v>0</v>
      </c>
      <c r="E892" s="2">
        <v>6</v>
      </c>
      <c r="F892" s="2" t="s">
        <v>1615</v>
      </c>
      <c r="G892" s="2">
        <v>1</v>
      </c>
      <c r="H892" s="21">
        <v>0.8</v>
      </c>
      <c r="I892" s="2">
        <v>1</v>
      </c>
    </row>
    <row r="893" spans="1:9" ht="15.75" hidden="1" customHeight="1" x14ac:dyDescent="0.2">
      <c r="A893" s="11">
        <v>901</v>
      </c>
      <c r="B893" s="2">
        <v>901</v>
      </c>
      <c r="C893" s="2">
        <v>85</v>
      </c>
      <c r="D893" s="2">
        <f>VLOOKUP(C893,Course!$A$1:$C$229, 2, FALSE)</f>
        <v>0</v>
      </c>
      <c r="E893" s="2">
        <v>7</v>
      </c>
      <c r="F893" s="2" t="s">
        <v>1616</v>
      </c>
      <c r="G893" s="2">
        <v>1</v>
      </c>
      <c r="H893" s="21">
        <v>0.8</v>
      </c>
      <c r="I893" s="2">
        <v>1</v>
      </c>
    </row>
    <row r="894" spans="1:9" ht="15.75" hidden="1" customHeight="1" x14ac:dyDescent="0.2">
      <c r="A894" s="11">
        <v>902</v>
      </c>
      <c r="B894" s="2">
        <v>902</v>
      </c>
      <c r="C894" s="2">
        <v>85</v>
      </c>
      <c r="D894" s="2">
        <f>VLOOKUP(C894,Course!$A$1:$C$229, 2, FALSE)</f>
        <v>0</v>
      </c>
      <c r="E894" s="2">
        <v>8</v>
      </c>
      <c r="F894" s="2" t="s">
        <v>1617</v>
      </c>
      <c r="G894" s="2">
        <v>1</v>
      </c>
      <c r="H894" s="21">
        <v>0.8</v>
      </c>
      <c r="I894" s="2">
        <v>1</v>
      </c>
    </row>
    <row r="895" spans="1:9" ht="15.75" hidden="1" customHeight="1" x14ac:dyDescent="0.2">
      <c r="A895" s="11">
        <v>903</v>
      </c>
      <c r="B895" s="2">
        <v>903</v>
      </c>
      <c r="C895" s="2">
        <v>86</v>
      </c>
      <c r="D895" s="2">
        <f>VLOOKUP(C895,Course!$A$1:$C$229, 2, FALSE)</f>
        <v>0</v>
      </c>
      <c r="E895" s="2">
        <v>109</v>
      </c>
      <c r="F895" s="2" t="s">
        <v>1618</v>
      </c>
      <c r="G895" s="2">
        <v>1</v>
      </c>
      <c r="H895" s="21">
        <v>0.8</v>
      </c>
      <c r="I895" s="2">
        <v>1</v>
      </c>
    </row>
    <row r="896" spans="1:9" ht="15.75" hidden="1" customHeight="1" x14ac:dyDescent="0.2">
      <c r="A896" s="11">
        <v>904</v>
      </c>
      <c r="B896" s="2">
        <v>904</v>
      </c>
      <c r="C896" s="2">
        <v>86</v>
      </c>
      <c r="D896" s="2">
        <f>VLOOKUP(C896,Course!$A$1:$C$229, 2, FALSE)</f>
        <v>0</v>
      </c>
      <c r="E896" s="2">
        <v>110</v>
      </c>
      <c r="F896" s="2" t="s">
        <v>1619</v>
      </c>
      <c r="G896" s="2">
        <v>1</v>
      </c>
      <c r="H896" s="21">
        <v>0.8</v>
      </c>
      <c r="I896" s="2">
        <v>1</v>
      </c>
    </row>
    <row r="897" spans="1:9" ht="15.75" hidden="1" customHeight="1" x14ac:dyDescent="0.2">
      <c r="A897" s="11">
        <v>905</v>
      </c>
      <c r="B897" s="2">
        <v>905</v>
      </c>
      <c r="C897" s="2">
        <v>86</v>
      </c>
      <c r="D897" s="2">
        <f>VLOOKUP(C897,Course!$A$1:$C$229, 2, FALSE)</f>
        <v>0</v>
      </c>
      <c r="E897" s="2">
        <v>111</v>
      </c>
      <c r="F897" s="2" t="s">
        <v>1620</v>
      </c>
      <c r="G897" s="2">
        <v>1</v>
      </c>
      <c r="H897" s="21">
        <v>0.8</v>
      </c>
      <c r="I897" s="2">
        <v>1</v>
      </c>
    </row>
    <row r="898" spans="1:9" ht="15.75" hidden="1" customHeight="1" x14ac:dyDescent="0.2">
      <c r="A898" s="11">
        <v>906</v>
      </c>
      <c r="B898" s="2">
        <v>906</v>
      </c>
      <c r="C898" s="2">
        <v>86</v>
      </c>
      <c r="D898" s="2">
        <f>VLOOKUP(C898,Course!$A$1:$C$229, 2, FALSE)</f>
        <v>0</v>
      </c>
      <c r="E898" s="2">
        <v>112</v>
      </c>
      <c r="F898" s="2" t="s">
        <v>1621</v>
      </c>
      <c r="G898" s="2">
        <v>1</v>
      </c>
      <c r="H898" s="21">
        <v>0.8</v>
      </c>
      <c r="I898" s="2">
        <v>1</v>
      </c>
    </row>
    <row r="899" spans="1:9" ht="15.75" hidden="1" customHeight="1" x14ac:dyDescent="0.2">
      <c r="A899" s="11">
        <v>907</v>
      </c>
      <c r="B899" s="2">
        <v>907</v>
      </c>
      <c r="C899" s="2">
        <v>86</v>
      </c>
      <c r="D899" s="2">
        <f>VLOOKUP(C899,Course!$A$1:$C$229, 2, FALSE)</f>
        <v>0</v>
      </c>
      <c r="E899" s="2">
        <v>113</v>
      </c>
      <c r="F899" s="2" t="s">
        <v>1622</v>
      </c>
      <c r="G899" s="2">
        <v>1</v>
      </c>
      <c r="H899" s="21">
        <v>0.8</v>
      </c>
      <c r="I899" s="2">
        <v>1</v>
      </c>
    </row>
    <row r="900" spans="1:9" ht="15.75" hidden="1" customHeight="1" x14ac:dyDescent="0.2">
      <c r="A900" s="11">
        <v>908</v>
      </c>
      <c r="B900" s="2">
        <v>908</v>
      </c>
      <c r="C900" s="2">
        <v>86</v>
      </c>
      <c r="D900" s="2">
        <f>VLOOKUP(C900,Course!$A$1:$C$229, 2, FALSE)</f>
        <v>0</v>
      </c>
      <c r="E900" s="2">
        <v>114</v>
      </c>
      <c r="F900" s="2" t="s">
        <v>1623</v>
      </c>
      <c r="G900" s="2">
        <v>1</v>
      </c>
      <c r="H900" s="21">
        <v>0.8</v>
      </c>
      <c r="I900" s="2">
        <v>1</v>
      </c>
    </row>
    <row r="901" spans="1:9" ht="15.75" hidden="1" customHeight="1" x14ac:dyDescent="0.2">
      <c r="A901" s="11">
        <v>909</v>
      </c>
      <c r="B901" s="2">
        <v>909</v>
      </c>
      <c r="C901" s="2">
        <v>86</v>
      </c>
      <c r="D901" s="2">
        <f>VLOOKUP(C901,Course!$A$1:$C$229, 2, FALSE)</f>
        <v>0</v>
      </c>
      <c r="E901" s="2">
        <v>115</v>
      </c>
      <c r="F901" s="2" t="s">
        <v>1624</v>
      </c>
      <c r="G901" s="2">
        <v>1</v>
      </c>
      <c r="H901" s="21">
        <v>0.8</v>
      </c>
      <c r="I901" s="2">
        <v>1</v>
      </c>
    </row>
    <row r="902" spans="1:9" ht="15.75" hidden="1" customHeight="1" x14ac:dyDescent="0.2">
      <c r="A902" s="11">
        <v>910</v>
      </c>
      <c r="B902" s="2">
        <v>910</v>
      </c>
      <c r="C902" s="2">
        <v>86</v>
      </c>
      <c r="D902" s="2">
        <f>VLOOKUP(C902,Course!$A$1:$C$229, 2, FALSE)</f>
        <v>0</v>
      </c>
      <c r="E902" s="2">
        <v>116</v>
      </c>
      <c r="F902" s="2" t="s">
        <v>1625</v>
      </c>
      <c r="G902" s="2">
        <v>1</v>
      </c>
      <c r="H902" s="21">
        <v>0.8</v>
      </c>
      <c r="I902" s="2">
        <v>1</v>
      </c>
    </row>
    <row r="903" spans="1:9" ht="15.75" hidden="1" customHeight="1" x14ac:dyDescent="0.2">
      <c r="A903" s="11">
        <v>911</v>
      </c>
      <c r="B903" s="2">
        <v>911</v>
      </c>
      <c r="C903" s="2">
        <v>86</v>
      </c>
      <c r="D903" s="2">
        <f>VLOOKUP(C903,Course!$A$1:$C$229, 2, FALSE)</f>
        <v>0</v>
      </c>
      <c r="E903" s="2">
        <v>117</v>
      </c>
      <c r="F903" s="2" t="s">
        <v>1626</v>
      </c>
      <c r="G903" s="2">
        <v>1</v>
      </c>
      <c r="H903" s="21">
        <v>0.8</v>
      </c>
      <c r="I903" s="2">
        <v>1</v>
      </c>
    </row>
    <row r="904" spans="1:9" ht="15.75" hidden="1" customHeight="1" x14ac:dyDescent="0.2">
      <c r="A904" s="11">
        <v>912</v>
      </c>
      <c r="B904" s="2">
        <v>912</v>
      </c>
      <c r="C904" s="2">
        <v>86</v>
      </c>
      <c r="D904" s="2">
        <f>VLOOKUP(C904,Course!$A$1:$C$229, 2, FALSE)</f>
        <v>0</v>
      </c>
      <c r="E904" s="2">
        <v>118</v>
      </c>
      <c r="F904" s="2" t="s">
        <v>1627</v>
      </c>
      <c r="G904" s="2">
        <v>1</v>
      </c>
      <c r="H904" s="21">
        <v>0.8</v>
      </c>
      <c r="I904" s="2">
        <v>1</v>
      </c>
    </row>
    <row r="905" spans="1:9" ht="15.75" hidden="1" customHeight="1" x14ac:dyDescent="0.2">
      <c r="A905" s="11">
        <v>913</v>
      </c>
      <c r="B905" s="2">
        <v>913</v>
      </c>
      <c r="C905" s="2">
        <v>86</v>
      </c>
      <c r="D905" s="2">
        <f>VLOOKUP(C905,Course!$A$1:$C$229, 2, FALSE)</f>
        <v>0</v>
      </c>
      <c r="E905" s="2">
        <v>119</v>
      </c>
      <c r="F905" s="2" t="s">
        <v>1628</v>
      </c>
      <c r="G905" s="2">
        <v>1</v>
      </c>
      <c r="H905" s="21">
        <v>0.8</v>
      </c>
      <c r="I905" s="2">
        <v>1</v>
      </c>
    </row>
    <row r="906" spans="1:9" ht="15.75" hidden="1" customHeight="1" x14ac:dyDescent="0.2">
      <c r="A906" s="11">
        <v>914</v>
      </c>
      <c r="B906" s="2">
        <v>914</v>
      </c>
      <c r="C906" s="2">
        <v>86</v>
      </c>
      <c r="D906" s="2">
        <f>VLOOKUP(C906,Course!$A$1:$C$229, 2, FALSE)</f>
        <v>0</v>
      </c>
      <c r="E906" s="2">
        <v>120</v>
      </c>
      <c r="F906" s="2" t="s">
        <v>1629</v>
      </c>
      <c r="G906" s="2">
        <v>1</v>
      </c>
      <c r="H906" s="21">
        <v>0.8</v>
      </c>
      <c r="I906" s="2">
        <v>1</v>
      </c>
    </row>
    <row r="907" spans="1:9" ht="15.75" hidden="1" customHeight="1" x14ac:dyDescent="0.2">
      <c r="A907" s="11">
        <v>915</v>
      </c>
      <c r="B907" s="2">
        <v>915</v>
      </c>
      <c r="C907" s="2">
        <v>87</v>
      </c>
      <c r="D907" s="2">
        <f>VLOOKUP(C907,Course!$A$1:$C$229, 2, FALSE)</f>
        <v>0</v>
      </c>
      <c r="E907" s="2">
        <v>109</v>
      </c>
      <c r="F907" s="2" t="s">
        <v>777</v>
      </c>
      <c r="G907" s="2">
        <v>1</v>
      </c>
      <c r="H907" s="21">
        <v>0.8</v>
      </c>
      <c r="I907" s="2">
        <v>1</v>
      </c>
    </row>
    <row r="908" spans="1:9" ht="15.75" hidden="1" customHeight="1" x14ac:dyDescent="0.2">
      <c r="A908" s="11">
        <v>916</v>
      </c>
      <c r="B908" s="2">
        <v>916</v>
      </c>
      <c r="C908" s="2">
        <v>87</v>
      </c>
      <c r="D908" s="2">
        <f>VLOOKUP(C908,Course!$A$1:$C$229, 2, FALSE)</f>
        <v>0</v>
      </c>
      <c r="E908" s="2">
        <v>110</v>
      </c>
      <c r="F908" s="2" t="s">
        <v>778</v>
      </c>
      <c r="G908" s="2">
        <v>1</v>
      </c>
      <c r="H908" s="21">
        <v>0.8</v>
      </c>
      <c r="I908" s="2">
        <v>1</v>
      </c>
    </row>
    <row r="909" spans="1:9" ht="15.75" hidden="1" customHeight="1" x14ac:dyDescent="0.2">
      <c r="A909" s="11">
        <v>917</v>
      </c>
      <c r="B909" s="2">
        <v>917</v>
      </c>
      <c r="C909" s="2">
        <v>87</v>
      </c>
      <c r="D909" s="2">
        <f>VLOOKUP(C909,Course!$A$1:$C$229, 2, FALSE)</f>
        <v>0</v>
      </c>
      <c r="E909" s="2">
        <v>111</v>
      </c>
      <c r="F909" s="2" t="s">
        <v>779</v>
      </c>
      <c r="G909" s="2">
        <v>1</v>
      </c>
      <c r="H909" s="21">
        <v>0.8</v>
      </c>
      <c r="I909" s="2">
        <v>1</v>
      </c>
    </row>
    <row r="910" spans="1:9" ht="15.75" hidden="1" customHeight="1" x14ac:dyDescent="0.2">
      <c r="A910" s="11">
        <v>918</v>
      </c>
      <c r="B910" s="2">
        <v>918</v>
      </c>
      <c r="C910" s="2">
        <v>87</v>
      </c>
      <c r="D910" s="2">
        <f>VLOOKUP(C910,Course!$A$1:$C$229, 2, FALSE)</f>
        <v>0</v>
      </c>
      <c r="E910" s="2">
        <v>112</v>
      </c>
      <c r="F910" s="2" t="s">
        <v>780</v>
      </c>
      <c r="G910" s="2">
        <v>1</v>
      </c>
      <c r="H910" s="21">
        <v>0.8</v>
      </c>
      <c r="I910" s="2">
        <v>1</v>
      </c>
    </row>
    <row r="911" spans="1:9" ht="15.75" hidden="1" customHeight="1" x14ac:dyDescent="0.2">
      <c r="A911" s="11">
        <v>919</v>
      </c>
      <c r="B911" s="2">
        <v>919</v>
      </c>
      <c r="C911" s="2">
        <v>87</v>
      </c>
      <c r="D911" s="2">
        <f>VLOOKUP(C911,Course!$A$1:$C$229, 2, FALSE)</f>
        <v>0</v>
      </c>
      <c r="E911" s="2">
        <v>113</v>
      </c>
      <c r="F911" s="2" t="s">
        <v>853</v>
      </c>
      <c r="G911" s="2">
        <v>1</v>
      </c>
      <c r="H911" s="21">
        <v>0.8</v>
      </c>
      <c r="I911" s="2">
        <v>1</v>
      </c>
    </row>
    <row r="912" spans="1:9" ht="15.75" hidden="1" customHeight="1" x14ac:dyDescent="0.2">
      <c r="A912" s="11">
        <v>920</v>
      </c>
      <c r="B912" s="2">
        <v>920</v>
      </c>
      <c r="C912" s="2">
        <v>87</v>
      </c>
      <c r="D912" s="2">
        <f>VLOOKUP(C912,Course!$A$1:$C$229, 2, FALSE)</f>
        <v>0</v>
      </c>
      <c r="E912" s="2">
        <v>114</v>
      </c>
      <c r="F912" s="2" t="s">
        <v>854</v>
      </c>
      <c r="G912" s="2">
        <v>1</v>
      </c>
      <c r="H912" s="21">
        <v>0.8</v>
      </c>
      <c r="I912" s="2">
        <v>1</v>
      </c>
    </row>
    <row r="913" spans="1:9" ht="15.75" hidden="1" customHeight="1" x14ac:dyDescent="0.2">
      <c r="A913" s="11">
        <v>921</v>
      </c>
      <c r="B913" s="2">
        <v>921</v>
      </c>
      <c r="C913" s="2">
        <v>87</v>
      </c>
      <c r="D913" s="2">
        <f>VLOOKUP(C913,Course!$A$1:$C$229, 2, FALSE)</f>
        <v>0</v>
      </c>
      <c r="E913" s="2">
        <v>115</v>
      </c>
      <c r="F913" s="2" t="s">
        <v>855</v>
      </c>
      <c r="G913" s="2">
        <v>1</v>
      </c>
      <c r="H913" s="21">
        <v>0.8</v>
      </c>
      <c r="I913" s="2">
        <v>1</v>
      </c>
    </row>
    <row r="914" spans="1:9" ht="15.75" hidden="1" customHeight="1" x14ac:dyDescent="0.2">
      <c r="A914" s="11">
        <v>922</v>
      </c>
      <c r="B914" s="2">
        <v>922</v>
      </c>
      <c r="C914" s="2">
        <v>87</v>
      </c>
      <c r="D914" s="2">
        <f>VLOOKUP(C914,Course!$A$1:$C$229, 2, FALSE)</f>
        <v>0</v>
      </c>
      <c r="E914" s="2">
        <v>116</v>
      </c>
      <c r="F914" s="2" t="s">
        <v>856</v>
      </c>
      <c r="G914" s="2">
        <v>1</v>
      </c>
      <c r="H914" s="21">
        <v>0.8</v>
      </c>
      <c r="I914" s="2">
        <v>1</v>
      </c>
    </row>
    <row r="915" spans="1:9" ht="15.75" hidden="1" customHeight="1" x14ac:dyDescent="0.2">
      <c r="A915" s="11">
        <v>923</v>
      </c>
      <c r="B915" s="2">
        <v>923</v>
      </c>
      <c r="C915" s="2">
        <v>87</v>
      </c>
      <c r="D915" s="2">
        <f>VLOOKUP(C915,Course!$A$1:$C$229, 2, FALSE)</f>
        <v>0</v>
      </c>
      <c r="E915" s="2">
        <v>117</v>
      </c>
      <c r="F915" s="2" t="s">
        <v>857</v>
      </c>
      <c r="G915" s="2">
        <v>1</v>
      </c>
      <c r="H915" s="21">
        <v>0.8</v>
      </c>
      <c r="I915" s="2">
        <v>1</v>
      </c>
    </row>
    <row r="916" spans="1:9" ht="15.75" hidden="1" customHeight="1" x14ac:dyDescent="0.2">
      <c r="A916" s="11">
        <v>924</v>
      </c>
      <c r="B916" s="2">
        <v>924</v>
      </c>
      <c r="C916" s="2">
        <v>87</v>
      </c>
      <c r="D916" s="2">
        <f>VLOOKUP(C916,Course!$A$1:$C$229, 2, FALSE)</f>
        <v>0</v>
      </c>
      <c r="E916" s="2">
        <v>118</v>
      </c>
      <c r="F916" s="2" t="s">
        <v>858</v>
      </c>
      <c r="G916" s="2">
        <v>1</v>
      </c>
      <c r="H916" s="21">
        <v>0.8</v>
      </c>
      <c r="I916" s="2">
        <v>1</v>
      </c>
    </row>
    <row r="917" spans="1:9" ht="15.75" hidden="1" customHeight="1" x14ac:dyDescent="0.2">
      <c r="A917" s="11">
        <v>925</v>
      </c>
      <c r="B917" s="2">
        <v>925</v>
      </c>
      <c r="C917" s="2">
        <v>87</v>
      </c>
      <c r="D917" s="2">
        <f>VLOOKUP(C917,Course!$A$1:$C$229, 2, FALSE)</f>
        <v>0</v>
      </c>
      <c r="E917" s="2">
        <v>119</v>
      </c>
      <c r="F917" s="2" t="s">
        <v>859</v>
      </c>
      <c r="G917" s="2">
        <v>1</v>
      </c>
      <c r="H917" s="21">
        <v>0.8</v>
      </c>
      <c r="I917" s="2">
        <v>1</v>
      </c>
    </row>
    <row r="918" spans="1:9" ht="15.75" hidden="1" customHeight="1" x14ac:dyDescent="0.2">
      <c r="A918" s="11">
        <v>926</v>
      </c>
      <c r="B918" s="2">
        <v>926</v>
      </c>
      <c r="C918" s="2">
        <v>87</v>
      </c>
      <c r="D918" s="2">
        <f>VLOOKUP(C918,Course!$A$1:$C$229, 2, FALSE)</f>
        <v>0</v>
      </c>
      <c r="E918" s="2">
        <v>120</v>
      </c>
      <c r="F918" s="2" t="s">
        <v>860</v>
      </c>
      <c r="G918" s="2">
        <v>1</v>
      </c>
      <c r="H918" s="21">
        <v>0.8</v>
      </c>
      <c r="I918" s="2">
        <v>1</v>
      </c>
    </row>
    <row r="919" spans="1:9" ht="15.75" hidden="1" customHeight="1" x14ac:dyDescent="0.2">
      <c r="A919" s="11">
        <v>927</v>
      </c>
      <c r="B919" s="2">
        <v>927</v>
      </c>
      <c r="C919" s="2">
        <v>88</v>
      </c>
      <c r="D919" s="2">
        <f>VLOOKUP(C919,Course!$A$1:$C$229, 2, FALSE)</f>
        <v>0</v>
      </c>
      <c r="E919" s="2">
        <v>3</v>
      </c>
      <c r="F919" s="2" t="s">
        <v>1630</v>
      </c>
      <c r="G919" s="2">
        <v>1</v>
      </c>
      <c r="H919" s="21">
        <v>0.8</v>
      </c>
      <c r="I919" s="2">
        <v>1</v>
      </c>
    </row>
    <row r="920" spans="1:9" ht="15.75" hidden="1" customHeight="1" x14ac:dyDescent="0.2">
      <c r="A920" s="11">
        <v>928</v>
      </c>
      <c r="B920" s="2">
        <v>928</v>
      </c>
      <c r="C920" s="2">
        <v>88</v>
      </c>
      <c r="D920" s="2">
        <f>VLOOKUP(C920,Course!$A$1:$C$229, 2, FALSE)</f>
        <v>0</v>
      </c>
      <c r="E920" s="2">
        <v>4</v>
      </c>
      <c r="F920" s="2" t="s">
        <v>1631</v>
      </c>
      <c r="G920" s="2">
        <v>1</v>
      </c>
      <c r="H920" s="21">
        <v>0.8</v>
      </c>
      <c r="I920" s="2">
        <v>1</v>
      </c>
    </row>
    <row r="921" spans="1:9" ht="15.75" hidden="1" customHeight="1" x14ac:dyDescent="0.2">
      <c r="A921" s="11">
        <v>929</v>
      </c>
      <c r="B921" s="2">
        <v>929</v>
      </c>
      <c r="C921" s="2">
        <v>88</v>
      </c>
      <c r="D921" s="2">
        <f>VLOOKUP(C921,Course!$A$1:$C$229, 2, FALSE)</f>
        <v>0</v>
      </c>
      <c r="E921" s="2">
        <v>5</v>
      </c>
      <c r="F921" s="2" t="s">
        <v>1632</v>
      </c>
      <c r="G921" s="2">
        <v>1</v>
      </c>
      <c r="H921" s="21">
        <v>0.8</v>
      </c>
      <c r="I921" s="2">
        <v>1</v>
      </c>
    </row>
    <row r="922" spans="1:9" ht="15.75" hidden="1" customHeight="1" x14ac:dyDescent="0.2">
      <c r="A922" s="11">
        <v>930</v>
      </c>
      <c r="B922" s="2">
        <v>930</v>
      </c>
      <c r="C922" s="2">
        <v>90</v>
      </c>
      <c r="D922" s="2" t="str">
        <f>VLOOKUP(C922,Course!$A$1:$C$229, 2, FALSE)</f>
        <v>Science 10</v>
      </c>
      <c r="E922" s="2">
        <v>109</v>
      </c>
      <c r="F922" s="2" t="s">
        <v>1633</v>
      </c>
      <c r="G922" s="2">
        <v>1</v>
      </c>
      <c r="H922" s="21">
        <v>0.8</v>
      </c>
      <c r="I922" s="2">
        <v>1</v>
      </c>
    </row>
    <row r="923" spans="1:9" ht="15.75" hidden="1" customHeight="1" x14ac:dyDescent="0.2">
      <c r="A923" s="11">
        <v>931</v>
      </c>
      <c r="B923" s="2">
        <v>931</v>
      </c>
      <c r="C923" s="2">
        <v>90</v>
      </c>
      <c r="D923" s="2" t="str">
        <f>VLOOKUP(C923,Course!$A$1:$C$229, 2, FALSE)</f>
        <v>Science 10</v>
      </c>
      <c r="E923" s="2">
        <v>110</v>
      </c>
      <c r="F923" s="2" t="s">
        <v>1634</v>
      </c>
      <c r="G923" s="2">
        <v>1</v>
      </c>
      <c r="H923" s="21">
        <v>0.8</v>
      </c>
      <c r="I923" s="2">
        <v>1</v>
      </c>
    </row>
    <row r="924" spans="1:9" ht="15.75" hidden="1" customHeight="1" x14ac:dyDescent="0.2">
      <c r="A924" s="11">
        <v>932</v>
      </c>
      <c r="B924" s="2">
        <v>932</v>
      </c>
      <c r="C924" s="2">
        <v>90</v>
      </c>
      <c r="D924" s="2" t="str">
        <f>VLOOKUP(C924,Course!$A$1:$C$229, 2, FALSE)</f>
        <v>Science 10</v>
      </c>
      <c r="E924" s="2">
        <v>111</v>
      </c>
      <c r="F924" s="2" t="s">
        <v>1635</v>
      </c>
      <c r="G924" s="2">
        <v>1</v>
      </c>
      <c r="H924" s="21">
        <v>0.8</v>
      </c>
      <c r="I924" s="2">
        <v>1</v>
      </c>
    </row>
    <row r="925" spans="1:9" ht="15.75" hidden="1" customHeight="1" x14ac:dyDescent="0.2">
      <c r="A925" s="11">
        <v>933</v>
      </c>
      <c r="B925" s="2">
        <v>933</v>
      </c>
      <c r="C925" s="2">
        <v>90</v>
      </c>
      <c r="D925" s="2" t="str">
        <f>VLOOKUP(C925,Course!$A$1:$C$229, 2, FALSE)</f>
        <v>Science 10</v>
      </c>
      <c r="E925" s="2">
        <v>112</v>
      </c>
      <c r="F925" s="2" t="s">
        <v>1636</v>
      </c>
      <c r="G925" s="2">
        <v>1</v>
      </c>
      <c r="H925" s="21">
        <v>0.8</v>
      </c>
      <c r="I925" s="2">
        <v>1</v>
      </c>
    </row>
    <row r="926" spans="1:9" ht="15.75" hidden="1" customHeight="1" x14ac:dyDescent="0.2">
      <c r="A926" s="11">
        <v>934</v>
      </c>
      <c r="B926" s="2">
        <v>934</v>
      </c>
      <c r="C926" s="2">
        <v>90</v>
      </c>
      <c r="D926" s="2" t="str">
        <f>VLOOKUP(C926,Course!$A$1:$C$229, 2, FALSE)</f>
        <v>Science 10</v>
      </c>
      <c r="E926" s="2">
        <v>113</v>
      </c>
      <c r="F926" s="2" t="s">
        <v>1637</v>
      </c>
      <c r="G926" s="2">
        <v>1</v>
      </c>
      <c r="H926" s="21">
        <v>0.8</v>
      </c>
      <c r="I926" s="2">
        <v>1</v>
      </c>
    </row>
    <row r="927" spans="1:9" ht="15.75" hidden="1" customHeight="1" x14ac:dyDescent="0.2">
      <c r="A927" s="11">
        <v>935</v>
      </c>
      <c r="B927" s="2">
        <v>935</v>
      </c>
      <c r="C927" s="2">
        <v>90</v>
      </c>
      <c r="D927" s="2" t="str">
        <f>VLOOKUP(C927,Course!$A$1:$C$229, 2, FALSE)</f>
        <v>Science 10</v>
      </c>
      <c r="E927" s="2">
        <v>114</v>
      </c>
      <c r="F927" s="2" t="s">
        <v>1638</v>
      </c>
      <c r="G927" s="2">
        <v>1</v>
      </c>
      <c r="H927" s="21">
        <v>0.8</v>
      </c>
      <c r="I927" s="2">
        <v>1</v>
      </c>
    </row>
    <row r="928" spans="1:9" ht="15.75" hidden="1" customHeight="1" x14ac:dyDescent="0.2">
      <c r="A928" s="11">
        <v>936</v>
      </c>
      <c r="B928" s="2">
        <v>936</v>
      </c>
      <c r="C928" s="2">
        <v>90</v>
      </c>
      <c r="D928" s="2" t="str">
        <f>VLOOKUP(C928,Course!$A$1:$C$229, 2, FALSE)</f>
        <v>Science 10</v>
      </c>
      <c r="E928" s="2">
        <v>115</v>
      </c>
      <c r="F928" s="2" t="s">
        <v>1639</v>
      </c>
      <c r="G928" s="2">
        <v>1</v>
      </c>
      <c r="H928" s="21">
        <v>0.8</v>
      </c>
      <c r="I928" s="2">
        <v>1</v>
      </c>
    </row>
    <row r="929" spans="1:9" ht="15.75" hidden="1" customHeight="1" x14ac:dyDescent="0.2">
      <c r="A929" s="11">
        <v>937</v>
      </c>
      <c r="B929" s="2">
        <v>937</v>
      </c>
      <c r="C929" s="2">
        <v>90</v>
      </c>
      <c r="D929" s="2" t="str">
        <f>VLOOKUP(C929,Course!$A$1:$C$229, 2, FALSE)</f>
        <v>Science 10</v>
      </c>
      <c r="E929" s="2">
        <v>116</v>
      </c>
      <c r="F929" s="2" t="s">
        <v>1640</v>
      </c>
      <c r="G929" s="2">
        <v>1</v>
      </c>
      <c r="H929" s="21">
        <v>0.8</v>
      </c>
      <c r="I929" s="2">
        <v>1</v>
      </c>
    </row>
    <row r="930" spans="1:9" ht="15.75" hidden="1" customHeight="1" x14ac:dyDescent="0.2">
      <c r="A930" s="11">
        <v>938</v>
      </c>
      <c r="B930" s="2">
        <v>938</v>
      </c>
      <c r="C930" s="2">
        <v>90</v>
      </c>
      <c r="D930" s="2" t="str">
        <f>VLOOKUP(C930,Course!$A$1:$C$229, 2, FALSE)</f>
        <v>Science 10</v>
      </c>
      <c r="E930" s="2">
        <v>117</v>
      </c>
      <c r="F930" s="2" t="s">
        <v>1641</v>
      </c>
      <c r="G930" s="2">
        <v>1</v>
      </c>
      <c r="H930" s="21">
        <v>0.8</v>
      </c>
      <c r="I930" s="2">
        <v>1</v>
      </c>
    </row>
    <row r="931" spans="1:9" ht="15.75" hidden="1" customHeight="1" x14ac:dyDescent="0.2">
      <c r="A931" s="11">
        <v>939</v>
      </c>
      <c r="B931" s="2">
        <v>939</v>
      </c>
      <c r="C931" s="2">
        <v>90</v>
      </c>
      <c r="D931" s="2" t="str">
        <f>VLOOKUP(C931,Course!$A$1:$C$229, 2, FALSE)</f>
        <v>Science 10</v>
      </c>
      <c r="E931" s="2">
        <v>118</v>
      </c>
      <c r="F931" s="2" t="s">
        <v>1642</v>
      </c>
      <c r="G931" s="2">
        <v>1</v>
      </c>
      <c r="H931" s="21">
        <v>0.8</v>
      </c>
      <c r="I931" s="2">
        <v>1</v>
      </c>
    </row>
    <row r="932" spans="1:9" ht="15.75" hidden="1" customHeight="1" x14ac:dyDescent="0.2">
      <c r="A932" s="11">
        <v>940</v>
      </c>
      <c r="B932" s="2">
        <v>940</v>
      </c>
      <c r="C932" s="2">
        <v>90</v>
      </c>
      <c r="D932" s="2" t="str">
        <f>VLOOKUP(C932,Course!$A$1:$C$229, 2, FALSE)</f>
        <v>Science 10</v>
      </c>
      <c r="E932" s="2">
        <v>119</v>
      </c>
      <c r="F932" s="2" t="s">
        <v>1643</v>
      </c>
      <c r="G932" s="2">
        <v>1</v>
      </c>
      <c r="H932" s="21">
        <v>0.8</v>
      </c>
      <c r="I932" s="2">
        <v>1</v>
      </c>
    </row>
    <row r="933" spans="1:9" ht="15.75" hidden="1" customHeight="1" x14ac:dyDescent="0.2">
      <c r="A933" s="11">
        <v>941</v>
      </c>
      <c r="B933" s="2">
        <v>941</v>
      </c>
      <c r="C933" s="2">
        <v>90</v>
      </c>
      <c r="D933" s="2" t="str">
        <f>VLOOKUP(C933,Course!$A$1:$C$229, 2, FALSE)</f>
        <v>Science 10</v>
      </c>
      <c r="E933" s="2">
        <v>120</v>
      </c>
      <c r="F933" s="2" t="s">
        <v>1644</v>
      </c>
      <c r="G933" s="2">
        <v>1</v>
      </c>
      <c r="H933" s="21">
        <v>0.8</v>
      </c>
      <c r="I933" s="2">
        <v>1</v>
      </c>
    </row>
    <row r="934" spans="1:9" ht="15.75" hidden="1" customHeight="1" x14ac:dyDescent="0.2">
      <c r="A934" s="11">
        <v>942</v>
      </c>
      <c r="B934" s="2">
        <v>942</v>
      </c>
      <c r="C934" s="2">
        <v>91</v>
      </c>
      <c r="D934" s="2" t="str">
        <f>VLOOKUP(C934,Course!$A$1:$C$229, 2, FALSE)</f>
        <v>History of Civilisation I</v>
      </c>
      <c r="E934" s="2">
        <v>1</v>
      </c>
      <c r="F934" s="2" t="s">
        <v>1645</v>
      </c>
      <c r="G934" s="2">
        <v>0.1</v>
      </c>
      <c r="H934" s="21">
        <v>0.8</v>
      </c>
      <c r="I934" s="2">
        <v>1</v>
      </c>
    </row>
    <row r="935" spans="1:9" ht="15.75" hidden="1" customHeight="1" x14ac:dyDescent="0.2">
      <c r="A935" s="11">
        <v>943</v>
      </c>
      <c r="B935" s="2">
        <v>943</v>
      </c>
      <c r="C935" s="2">
        <v>91</v>
      </c>
      <c r="D935" s="2" t="str">
        <f>VLOOKUP(C935,Course!$A$1:$C$229, 2, FALSE)</f>
        <v>History of Civilisation I</v>
      </c>
      <c r="E935" s="2">
        <v>2</v>
      </c>
      <c r="F935" s="2" t="s">
        <v>1646</v>
      </c>
      <c r="G935" s="2">
        <v>0.1</v>
      </c>
      <c r="H935" s="21">
        <v>0.8</v>
      </c>
      <c r="I935" s="2">
        <v>1</v>
      </c>
    </row>
    <row r="936" spans="1:9" ht="15.75" hidden="1" customHeight="1" x14ac:dyDescent="0.2">
      <c r="A936" s="11">
        <v>944</v>
      </c>
      <c r="B936" s="2">
        <v>944</v>
      </c>
      <c r="C936" s="2">
        <v>91</v>
      </c>
      <c r="D936" s="2" t="str">
        <f>VLOOKUP(C936,Course!$A$1:$C$229, 2, FALSE)</f>
        <v>History of Civilisation I</v>
      </c>
      <c r="E936" s="2">
        <v>3</v>
      </c>
      <c r="F936" s="2" t="s">
        <v>1647</v>
      </c>
      <c r="G936" s="2">
        <v>0.1</v>
      </c>
      <c r="H936" s="21">
        <v>0.8</v>
      </c>
      <c r="I936" s="2">
        <v>1</v>
      </c>
    </row>
    <row r="937" spans="1:9" ht="15.75" hidden="1" customHeight="1" x14ac:dyDescent="0.2">
      <c r="A937" s="11">
        <v>945</v>
      </c>
      <c r="B937" s="2">
        <v>945</v>
      </c>
      <c r="C937" s="2">
        <v>91</v>
      </c>
      <c r="D937" s="2" t="str">
        <f>VLOOKUP(C937,Course!$A$1:$C$229, 2, FALSE)</f>
        <v>History of Civilisation I</v>
      </c>
      <c r="E937" s="2">
        <v>4</v>
      </c>
      <c r="F937" s="2" t="s">
        <v>1648</v>
      </c>
      <c r="G937" s="2">
        <v>0.1</v>
      </c>
      <c r="H937" s="21">
        <v>0.8</v>
      </c>
      <c r="I937" s="2">
        <v>1</v>
      </c>
    </row>
    <row r="938" spans="1:9" ht="15.75" hidden="1" customHeight="1" x14ac:dyDescent="0.2">
      <c r="A938" s="11">
        <v>946</v>
      </c>
      <c r="B938" s="2">
        <v>946</v>
      </c>
      <c r="C938" s="2">
        <v>91</v>
      </c>
      <c r="D938" s="2" t="str">
        <f>VLOOKUP(C938,Course!$A$1:$C$229, 2, FALSE)</f>
        <v>History of Civilisation I</v>
      </c>
      <c r="E938" s="2">
        <v>5</v>
      </c>
      <c r="F938" s="2" t="s">
        <v>1649</v>
      </c>
      <c r="G938" s="2">
        <v>0.1</v>
      </c>
      <c r="H938" s="21">
        <v>0.8</v>
      </c>
      <c r="I938" s="2">
        <v>1</v>
      </c>
    </row>
    <row r="939" spans="1:9" ht="15.75" hidden="1" customHeight="1" x14ac:dyDescent="0.2">
      <c r="A939" s="11">
        <v>947</v>
      </c>
      <c r="B939" s="2">
        <v>947</v>
      </c>
      <c r="C939" s="2">
        <v>91</v>
      </c>
      <c r="D939" s="2" t="str">
        <f>VLOOKUP(C939,Course!$A$1:$C$229, 2, FALSE)</f>
        <v>History of Civilisation I</v>
      </c>
      <c r="E939" s="2">
        <v>6</v>
      </c>
      <c r="F939" s="2" t="s">
        <v>1650</v>
      </c>
      <c r="G939" s="2">
        <v>0.1</v>
      </c>
      <c r="H939" s="21">
        <v>0.8</v>
      </c>
      <c r="I939" s="2">
        <v>1</v>
      </c>
    </row>
    <row r="940" spans="1:9" ht="15.75" hidden="1" customHeight="1" x14ac:dyDescent="0.2">
      <c r="A940" s="11">
        <v>948</v>
      </c>
      <c r="B940" s="2">
        <v>948</v>
      </c>
      <c r="C940" s="2">
        <v>91</v>
      </c>
      <c r="D940" s="2" t="str">
        <f>VLOOKUP(C940,Course!$A$1:$C$229, 2, FALSE)</f>
        <v>History of Civilisation I</v>
      </c>
      <c r="E940" s="2">
        <v>7</v>
      </c>
      <c r="F940" s="2" t="s">
        <v>1651</v>
      </c>
      <c r="G940" s="2">
        <v>0.1</v>
      </c>
      <c r="H940" s="21">
        <v>0.8</v>
      </c>
      <c r="I940" s="2">
        <v>1</v>
      </c>
    </row>
    <row r="941" spans="1:9" ht="15.75" hidden="1" customHeight="1" x14ac:dyDescent="0.2">
      <c r="A941" s="11">
        <v>949</v>
      </c>
      <c r="B941" s="2">
        <v>949</v>
      </c>
      <c r="C941" s="2">
        <v>91</v>
      </c>
      <c r="D941" s="2" t="str">
        <f>VLOOKUP(C941,Course!$A$1:$C$229, 2, FALSE)</f>
        <v>History of Civilisation I</v>
      </c>
      <c r="E941" s="2">
        <v>8</v>
      </c>
      <c r="F941" s="2" t="s">
        <v>1652</v>
      </c>
      <c r="G941" s="2">
        <v>0.1</v>
      </c>
      <c r="H941" s="21">
        <v>0.8</v>
      </c>
      <c r="I941" s="2">
        <v>1</v>
      </c>
    </row>
    <row r="942" spans="1:9" ht="15.75" hidden="1" customHeight="1" x14ac:dyDescent="0.2">
      <c r="A942" s="11">
        <v>950</v>
      </c>
      <c r="B942" s="2">
        <v>950</v>
      </c>
      <c r="C942" s="2">
        <v>91</v>
      </c>
      <c r="D942" s="2" t="str">
        <f>VLOOKUP(C942,Course!$A$1:$C$229, 2, FALSE)</f>
        <v>History of Civilisation I</v>
      </c>
      <c r="E942" s="2">
        <v>9</v>
      </c>
      <c r="F942" s="2" t="s">
        <v>1653</v>
      </c>
      <c r="G942" s="2">
        <v>0.1</v>
      </c>
      <c r="H942" s="21">
        <v>0.8</v>
      </c>
      <c r="I942" s="2">
        <v>1</v>
      </c>
    </row>
    <row r="943" spans="1:9" ht="15.75" hidden="1" customHeight="1" x14ac:dyDescent="0.2">
      <c r="A943" s="11">
        <v>951</v>
      </c>
      <c r="B943" s="2">
        <v>951</v>
      </c>
      <c r="C943" s="2">
        <v>91</v>
      </c>
      <c r="D943" s="2" t="str">
        <f>VLOOKUP(C943,Course!$A$1:$C$229, 2, FALSE)</f>
        <v>History of Civilisation I</v>
      </c>
      <c r="E943" s="2">
        <v>10</v>
      </c>
      <c r="F943" s="2" t="s">
        <v>1654</v>
      </c>
      <c r="G943" s="2">
        <v>0.1</v>
      </c>
      <c r="H943" s="21">
        <v>0.8</v>
      </c>
      <c r="I943" s="2">
        <v>1</v>
      </c>
    </row>
    <row r="944" spans="1:9" ht="15.75" hidden="1" customHeight="1" x14ac:dyDescent="0.2">
      <c r="A944" s="11">
        <v>952</v>
      </c>
      <c r="B944" s="2"/>
      <c r="C944" s="30"/>
      <c r="D944" s="30"/>
      <c r="E944" s="30"/>
      <c r="F944" s="2"/>
      <c r="G944" s="2"/>
      <c r="H944" s="21"/>
      <c r="I944" s="2"/>
    </row>
    <row r="945" spans="1:9" ht="15.75" hidden="1" customHeight="1" x14ac:dyDescent="0.2">
      <c r="A945" s="11">
        <v>953</v>
      </c>
      <c r="B945" s="2"/>
      <c r="C945" s="30"/>
      <c r="D945" s="30"/>
      <c r="E945" s="30"/>
      <c r="F945" s="2"/>
      <c r="G945" s="2"/>
      <c r="H945" s="21"/>
      <c r="I945" s="2"/>
    </row>
    <row r="946" spans="1:9" ht="15.75" hidden="1" customHeight="1" x14ac:dyDescent="0.2">
      <c r="A946" s="11">
        <v>954</v>
      </c>
      <c r="B946" s="2">
        <v>954</v>
      </c>
      <c r="C946" s="2">
        <v>93</v>
      </c>
      <c r="D946" s="2">
        <f>VLOOKUP(C946,Course!$A$1:$C$229, 2, FALSE)</f>
        <v>0</v>
      </c>
      <c r="E946" s="2">
        <v>1</v>
      </c>
      <c r="F946" s="2" t="s">
        <v>1655</v>
      </c>
      <c r="G946" s="2">
        <v>1</v>
      </c>
      <c r="H946" s="21">
        <v>0.8</v>
      </c>
      <c r="I946" s="2">
        <v>1</v>
      </c>
    </row>
    <row r="947" spans="1:9" ht="15.75" hidden="1" customHeight="1" x14ac:dyDescent="0.2">
      <c r="A947" s="11">
        <v>955</v>
      </c>
      <c r="B947" s="2">
        <v>955</v>
      </c>
      <c r="C947" s="2">
        <v>93</v>
      </c>
      <c r="D947" s="2">
        <f>VLOOKUP(C947,Course!$A$1:$C$229, 2, FALSE)</f>
        <v>0</v>
      </c>
      <c r="E947" s="2">
        <v>2</v>
      </c>
      <c r="F947" s="2" t="s">
        <v>1656</v>
      </c>
      <c r="G947" s="2">
        <v>1</v>
      </c>
      <c r="H947" s="21">
        <v>0.8</v>
      </c>
      <c r="I947" s="2">
        <v>1</v>
      </c>
    </row>
    <row r="948" spans="1:9" ht="15.75" hidden="1" customHeight="1" x14ac:dyDescent="0.2">
      <c r="A948" s="11">
        <v>956</v>
      </c>
      <c r="B948" s="2">
        <v>956</v>
      </c>
      <c r="C948" s="2">
        <v>93</v>
      </c>
      <c r="D948" s="2">
        <f>VLOOKUP(C948,Course!$A$1:$C$229, 2, FALSE)</f>
        <v>0</v>
      </c>
      <c r="E948" s="2">
        <v>3</v>
      </c>
      <c r="F948" s="2" t="s">
        <v>1657</v>
      </c>
      <c r="G948" s="2">
        <v>1</v>
      </c>
      <c r="H948" s="21">
        <v>0.8</v>
      </c>
      <c r="I948" s="2">
        <v>1</v>
      </c>
    </row>
    <row r="949" spans="1:9" ht="15.75" hidden="1" customHeight="1" x14ac:dyDescent="0.2">
      <c r="A949" s="11">
        <v>957</v>
      </c>
      <c r="B949" s="2">
        <v>957</v>
      </c>
      <c r="C949" s="2">
        <v>93</v>
      </c>
      <c r="D949" s="2">
        <f>VLOOKUP(C949,Course!$A$1:$C$229, 2, FALSE)</f>
        <v>0</v>
      </c>
      <c r="E949" s="2">
        <v>4</v>
      </c>
      <c r="F949" s="2" t="s">
        <v>1658</v>
      </c>
      <c r="G949" s="2">
        <v>1</v>
      </c>
      <c r="H949" s="21">
        <v>0.8</v>
      </c>
      <c r="I949" s="2">
        <v>1</v>
      </c>
    </row>
    <row r="950" spans="1:9" ht="15.75" hidden="1" customHeight="1" x14ac:dyDescent="0.2">
      <c r="A950" s="11">
        <v>958</v>
      </c>
      <c r="B950" s="2">
        <v>958</v>
      </c>
      <c r="C950" s="2">
        <v>93</v>
      </c>
      <c r="D950" s="2">
        <f>VLOOKUP(C950,Course!$A$1:$C$229, 2, FALSE)</f>
        <v>0</v>
      </c>
      <c r="E950" s="2">
        <v>5</v>
      </c>
      <c r="F950" s="2" t="s">
        <v>1659</v>
      </c>
      <c r="G950" s="2">
        <v>1</v>
      </c>
      <c r="H950" s="21">
        <v>0.8</v>
      </c>
      <c r="I950" s="2">
        <v>1</v>
      </c>
    </row>
    <row r="951" spans="1:9" ht="15.75" hidden="1" customHeight="1" x14ac:dyDescent="0.2">
      <c r="A951" s="11">
        <v>959</v>
      </c>
      <c r="B951" s="2">
        <v>959</v>
      </c>
      <c r="C951" s="2">
        <v>94</v>
      </c>
      <c r="D951" s="2">
        <f>VLOOKUP(C951,Course!$A$1:$C$229, 2, FALSE)</f>
        <v>0</v>
      </c>
      <c r="E951" s="2">
        <v>133</v>
      </c>
      <c r="F951" s="2" t="s">
        <v>1660</v>
      </c>
      <c r="G951" s="2">
        <v>1</v>
      </c>
      <c r="H951" s="21">
        <v>0.8</v>
      </c>
      <c r="I951" s="2">
        <v>1</v>
      </c>
    </row>
    <row r="952" spans="1:9" ht="15.75" hidden="1" customHeight="1" x14ac:dyDescent="0.2">
      <c r="A952" s="11">
        <v>960</v>
      </c>
      <c r="B952" s="2">
        <v>960</v>
      </c>
      <c r="C952" s="2">
        <v>94</v>
      </c>
      <c r="D952" s="2">
        <f>VLOOKUP(C952,Course!$A$1:$C$229, 2, FALSE)</f>
        <v>0</v>
      </c>
      <c r="E952" s="2">
        <v>134</v>
      </c>
      <c r="F952" s="2" t="s">
        <v>1661</v>
      </c>
      <c r="G952" s="2">
        <v>1</v>
      </c>
      <c r="H952" s="21">
        <v>0.8</v>
      </c>
      <c r="I952" s="2">
        <v>1</v>
      </c>
    </row>
    <row r="953" spans="1:9" ht="15.75" hidden="1" customHeight="1" x14ac:dyDescent="0.2">
      <c r="A953" s="11">
        <v>961</v>
      </c>
      <c r="B953" s="2">
        <v>961</v>
      </c>
      <c r="C953" s="2">
        <v>94</v>
      </c>
      <c r="D953" s="2">
        <f>VLOOKUP(C953,Course!$A$1:$C$229, 2, FALSE)</f>
        <v>0</v>
      </c>
      <c r="E953" s="2">
        <v>135</v>
      </c>
      <c r="F953" s="2" t="s">
        <v>1662</v>
      </c>
      <c r="G953" s="2">
        <v>1</v>
      </c>
      <c r="H953" s="21">
        <v>0.8</v>
      </c>
      <c r="I953" s="2">
        <v>1</v>
      </c>
    </row>
    <row r="954" spans="1:9" ht="15.75" hidden="1" customHeight="1" x14ac:dyDescent="0.2">
      <c r="A954" s="11">
        <v>962</v>
      </c>
      <c r="B954" s="2">
        <v>962</v>
      </c>
      <c r="C954" s="2">
        <v>94</v>
      </c>
      <c r="D954" s="2">
        <f>VLOOKUP(C954,Course!$A$1:$C$229, 2, FALSE)</f>
        <v>0</v>
      </c>
      <c r="E954" s="2">
        <v>136</v>
      </c>
      <c r="F954" s="2" t="s">
        <v>1663</v>
      </c>
      <c r="G954" s="2">
        <v>1</v>
      </c>
      <c r="H954" s="21">
        <v>0.8</v>
      </c>
      <c r="I954" s="2">
        <v>1</v>
      </c>
    </row>
    <row r="955" spans="1:9" ht="15.75" hidden="1" customHeight="1" x14ac:dyDescent="0.2">
      <c r="A955" s="11">
        <v>963</v>
      </c>
      <c r="B955" s="2">
        <v>963</v>
      </c>
      <c r="C955" s="2">
        <v>94</v>
      </c>
      <c r="D955" s="2">
        <f>VLOOKUP(C955,Course!$A$1:$C$229, 2, FALSE)</f>
        <v>0</v>
      </c>
      <c r="E955" s="2">
        <v>137</v>
      </c>
      <c r="F955" s="2" t="s">
        <v>1664</v>
      </c>
      <c r="G955" s="2">
        <v>1</v>
      </c>
      <c r="H955" s="21">
        <v>0.8</v>
      </c>
      <c r="I955" s="2">
        <v>1</v>
      </c>
    </row>
    <row r="956" spans="1:9" ht="15.75" hidden="1" customHeight="1" x14ac:dyDescent="0.2">
      <c r="A956" s="11">
        <v>964</v>
      </c>
      <c r="B956" s="2">
        <v>964</v>
      </c>
      <c r="C956" s="2">
        <v>94</v>
      </c>
      <c r="D956" s="2">
        <f>VLOOKUP(C956,Course!$A$1:$C$229, 2, FALSE)</f>
        <v>0</v>
      </c>
      <c r="E956" s="2">
        <v>138</v>
      </c>
      <c r="F956" s="2" t="s">
        <v>1665</v>
      </c>
      <c r="G956" s="2">
        <v>1</v>
      </c>
      <c r="H956" s="21">
        <v>0.8</v>
      </c>
      <c r="I956" s="2">
        <v>1</v>
      </c>
    </row>
    <row r="957" spans="1:9" ht="15.75" hidden="1" customHeight="1" x14ac:dyDescent="0.2">
      <c r="A957" s="11">
        <v>965</v>
      </c>
      <c r="B957" s="2">
        <v>965</v>
      </c>
      <c r="C957" s="2">
        <v>95</v>
      </c>
      <c r="D957" s="2" t="str">
        <f>VLOOKUP(C957,Course!$A$1:$C$229, 2, FALSE)</f>
        <v>Biblical Studies II</v>
      </c>
      <c r="E957" s="2">
        <v>109</v>
      </c>
      <c r="F957" s="2" t="s">
        <v>1666</v>
      </c>
      <c r="G957" s="2">
        <v>1</v>
      </c>
      <c r="H957" s="21">
        <v>0.8</v>
      </c>
      <c r="I957" s="2">
        <v>1</v>
      </c>
    </row>
    <row r="958" spans="1:9" ht="15.75" hidden="1" customHeight="1" x14ac:dyDescent="0.2">
      <c r="A958" s="11">
        <v>966</v>
      </c>
      <c r="B958" s="2">
        <v>966</v>
      </c>
      <c r="C958" s="2">
        <v>95</v>
      </c>
      <c r="D958" s="2" t="str">
        <f>VLOOKUP(C958,Course!$A$1:$C$229, 2, FALSE)</f>
        <v>Biblical Studies II</v>
      </c>
      <c r="E958" s="2">
        <v>110</v>
      </c>
      <c r="F958" s="2" t="s">
        <v>1667</v>
      </c>
      <c r="G958" s="2">
        <v>1</v>
      </c>
      <c r="H958" s="21">
        <v>0.8</v>
      </c>
      <c r="I958" s="2">
        <v>1</v>
      </c>
    </row>
    <row r="959" spans="1:9" ht="15.75" hidden="1" customHeight="1" x14ac:dyDescent="0.2">
      <c r="A959" s="11">
        <v>967</v>
      </c>
      <c r="B959" s="2">
        <v>967</v>
      </c>
      <c r="C959" s="2">
        <v>95</v>
      </c>
      <c r="D959" s="2" t="str">
        <f>VLOOKUP(C959,Course!$A$1:$C$229, 2, FALSE)</f>
        <v>Biblical Studies II</v>
      </c>
      <c r="E959" s="2">
        <v>111</v>
      </c>
      <c r="F959" s="2" t="s">
        <v>1668</v>
      </c>
      <c r="G959" s="2">
        <v>1</v>
      </c>
      <c r="H959" s="21">
        <v>0.8</v>
      </c>
      <c r="I959" s="2">
        <v>1</v>
      </c>
    </row>
    <row r="960" spans="1:9" ht="15.75" hidden="1" customHeight="1" x14ac:dyDescent="0.2">
      <c r="A960" s="11">
        <v>968</v>
      </c>
      <c r="B960" s="2">
        <v>968</v>
      </c>
      <c r="C960" s="2">
        <v>95</v>
      </c>
      <c r="D960" s="2" t="str">
        <f>VLOOKUP(C960,Course!$A$1:$C$229, 2, FALSE)</f>
        <v>Biblical Studies II</v>
      </c>
      <c r="E960" s="2">
        <v>112</v>
      </c>
      <c r="F960" s="2" t="s">
        <v>1669</v>
      </c>
      <c r="G960" s="2">
        <v>1</v>
      </c>
      <c r="H960" s="21">
        <v>0.8</v>
      </c>
      <c r="I960" s="2">
        <v>1</v>
      </c>
    </row>
    <row r="961" spans="1:9" ht="15.75" hidden="1" customHeight="1" x14ac:dyDescent="0.2">
      <c r="A961" s="11">
        <v>969</v>
      </c>
      <c r="B961" s="2">
        <v>969</v>
      </c>
      <c r="C961" s="2">
        <v>95</v>
      </c>
      <c r="D961" s="2" t="str">
        <f>VLOOKUP(C961,Course!$A$1:$C$229, 2, FALSE)</f>
        <v>Biblical Studies II</v>
      </c>
      <c r="E961" s="2">
        <v>113</v>
      </c>
      <c r="F961" s="2" t="s">
        <v>1670</v>
      </c>
      <c r="G961" s="2">
        <v>1</v>
      </c>
      <c r="H961" s="21">
        <v>0.8</v>
      </c>
      <c r="I961" s="2">
        <v>1</v>
      </c>
    </row>
    <row r="962" spans="1:9" ht="15.75" hidden="1" customHeight="1" x14ac:dyDescent="0.2">
      <c r="A962" s="11">
        <v>970</v>
      </c>
      <c r="B962" s="2">
        <v>970</v>
      </c>
      <c r="C962" s="2">
        <v>95</v>
      </c>
      <c r="D962" s="2" t="str">
        <f>VLOOKUP(C962,Course!$A$1:$C$229, 2, FALSE)</f>
        <v>Biblical Studies II</v>
      </c>
      <c r="E962" s="2">
        <v>114</v>
      </c>
      <c r="F962" s="2" t="s">
        <v>1671</v>
      </c>
      <c r="G962" s="2">
        <v>1</v>
      </c>
      <c r="H962" s="21">
        <v>0.8</v>
      </c>
      <c r="I962" s="2">
        <v>1</v>
      </c>
    </row>
    <row r="963" spans="1:9" ht="15.75" hidden="1" customHeight="1" x14ac:dyDescent="0.2">
      <c r="A963" s="11">
        <v>971</v>
      </c>
      <c r="B963" s="2">
        <v>971</v>
      </c>
      <c r="C963" s="2">
        <v>95</v>
      </c>
      <c r="D963" s="2" t="str">
        <f>VLOOKUP(C963,Course!$A$1:$C$229, 2, FALSE)</f>
        <v>Biblical Studies II</v>
      </c>
      <c r="E963" s="2">
        <v>115</v>
      </c>
      <c r="F963" s="2" t="s">
        <v>1672</v>
      </c>
      <c r="G963" s="2">
        <v>1</v>
      </c>
      <c r="H963" s="21">
        <v>0.8</v>
      </c>
      <c r="I963" s="2">
        <v>1</v>
      </c>
    </row>
    <row r="964" spans="1:9" ht="15.75" hidden="1" customHeight="1" x14ac:dyDescent="0.2">
      <c r="A964" s="11">
        <v>972</v>
      </c>
      <c r="B964" s="2">
        <v>972</v>
      </c>
      <c r="C964" s="2">
        <v>95</v>
      </c>
      <c r="D964" s="2" t="str">
        <f>VLOOKUP(C964,Course!$A$1:$C$229, 2, FALSE)</f>
        <v>Biblical Studies II</v>
      </c>
      <c r="E964" s="2">
        <v>116</v>
      </c>
      <c r="F964" s="2" t="s">
        <v>1673</v>
      </c>
      <c r="G964" s="2">
        <v>1</v>
      </c>
      <c r="H964" s="21">
        <v>0.8</v>
      </c>
      <c r="I964" s="2">
        <v>1</v>
      </c>
    </row>
    <row r="965" spans="1:9" ht="15.75" hidden="1" customHeight="1" x14ac:dyDescent="0.2">
      <c r="A965" s="11">
        <v>973</v>
      </c>
      <c r="B965" s="2">
        <v>973</v>
      </c>
      <c r="C965" s="2">
        <v>95</v>
      </c>
      <c r="D965" s="2" t="str">
        <f>VLOOKUP(C965,Course!$A$1:$C$229, 2, FALSE)</f>
        <v>Biblical Studies II</v>
      </c>
      <c r="E965" s="2">
        <v>117</v>
      </c>
      <c r="F965" s="2" t="s">
        <v>1674</v>
      </c>
      <c r="G965" s="2">
        <v>1</v>
      </c>
      <c r="H965" s="21">
        <v>0.8</v>
      </c>
      <c r="I965" s="2">
        <v>1</v>
      </c>
    </row>
    <row r="966" spans="1:9" ht="15.75" hidden="1" customHeight="1" x14ac:dyDescent="0.2">
      <c r="A966" s="11">
        <v>974</v>
      </c>
      <c r="B966" s="2">
        <v>974</v>
      </c>
      <c r="C966" s="2">
        <v>95</v>
      </c>
      <c r="D966" s="2" t="str">
        <f>VLOOKUP(C966,Course!$A$1:$C$229, 2, FALSE)</f>
        <v>Biblical Studies II</v>
      </c>
      <c r="E966" s="2">
        <v>118</v>
      </c>
      <c r="F966" s="2" t="s">
        <v>1675</v>
      </c>
      <c r="G966" s="2">
        <v>1</v>
      </c>
      <c r="H966" s="21">
        <v>0.8</v>
      </c>
      <c r="I966" s="2">
        <v>1</v>
      </c>
    </row>
    <row r="967" spans="1:9" ht="15.75" hidden="1" customHeight="1" x14ac:dyDescent="0.2">
      <c r="A967" s="11">
        <v>975</v>
      </c>
      <c r="B967" s="2">
        <v>975</v>
      </c>
      <c r="C967" s="2">
        <v>95</v>
      </c>
      <c r="D967" s="2" t="str">
        <f>VLOOKUP(C967,Course!$A$1:$C$229, 2, FALSE)</f>
        <v>Biblical Studies II</v>
      </c>
      <c r="E967" s="2">
        <v>119</v>
      </c>
      <c r="F967" s="2" t="s">
        <v>1676</v>
      </c>
      <c r="G967" s="2">
        <v>1</v>
      </c>
      <c r="H967" s="21">
        <v>0.8</v>
      </c>
      <c r="I967" s="2">
        <v>1</v>
      </c>
    </row>
    <row r="968" spans="1:9" ht="15.75" hidden="1" customHeight="1" x14ac:dyDescent="0.2">
      <c r="A968" s="11">
        <v>976</v>
      </c>
      <c r="B968" s="2">
        <v>976</v>
      </c>
      <c r="C968" s="2">
        <v>95</v>
      </c>
      <c r="D968" s="2" t="str">
        <f>VLOOKUP(C968,Course!$A$1:$C$229, 2, FALSE)</f>
        <v>Biblical Studies II</v>
      </c>
      <c r="E968" s="2">
        <v>120</v>
      </c>
      <c r="F968" s="2" t="s">
        <v>1677</v>
      </c>
      <c r="G968" s="2">
        <v>1</v>
      </c>
      <c r="H968" s="21">
        <v>0.8</v>
      </c>
      <c r="I968" s="2">
        <v>1</v>
      </c>
    </row>
    <row r="969" spans="1:9" ht="15.75" hidden="1" customHeight="1" x14ac:dyDescent="0.2">
      <c r="A969" s="11">
        <v>977</v>
      </c>
      <c r="B969" s="2">
        <v>977</v>
      </c>
      <c r="C969" s="2">
        <v>96</v>
      </c>
      <c r="D969" s="2">
        <f>VLOOKUP(C969,Course!$A$1:$C$229, 2, FALSE)</f>
        <v>0</v>
      </c>
      <c r="E969" s="2">
        <v>109</v>
      </c>
      <c r="F969" s="2" t="s">
        <v>1678</v>
      </c>
      <c r="G969" s="2">
        <v>1</v>
      </c>
      <c r="H969" s="21">
        <v>0.8</v>
      </c>
      <c r="I969" s="2">
        <v>1</v>
      </c>
    </row>
    <row r="970" spans="1:9" ht="15.75" hidden="1" customHeight="1" x14ac:dyDescent="0.2">
      <c r="A970" s="11">
        <v>978</v>
      </c>
      <c r="B970" s="2">
        <v>978</v>
      </c>
      <c r="C970" s="2">
        <v>96</v>
      </c>
      <c r="D970" s="2">
        <f>VLOOKUP(C970,Course!$A$1:$C$229, 2, FALSE)</f>
        <v>0</v>
      </c>
      <c r="E970" s="2">
        <v>110</v>
      </c>
      <c r="F970" s="2" t="s">
        <v>1679</v>
      </c>
      <c r="G970" s="2">
        <v>1</v>
      </c>
      <c r="H970" s="21">
        <v>0.8</v>
      </c>
      <c r="I970" s="2">
        <v>1</v>
      </c>
    </row>
    <row r="971" spans="1:9" ht="15.75" hidden="1" customHeight="1" x14ac:dyDescent="0.2">
      <c r="A971" s="11">
        <v>979</v>
      </c>
      <c r="B971" s="2">
        <v>979</v>
      </c>
      <c r="C971" s="2">
        <v>96</v>
      </c>
      <c r="D971" s="2">
        <f>VLOOKUP(C971,Course!$A$1:$C$229, 2, FALSE)</f>
        <v>0</v>
      </c>
      <c r="E971" s="2">
        <v>111</v>
      </c>
      <c r="F971" s="2" t="s">
        <v>1680</v>
      </c>
      <c r="G971" s="2">
        <v>1</v>
      </c>
      <c r="H971" s="21">
        <v>0.8</v>
      </c>
      <c r="I971" s="2">
        <v>1</v>
      </c>
    </row>
    <row r="972" spans="1:9" ht="15.75" hidden="1" customHeight="1" x14ac:dyDescent="0.2">
      <c r="A972" s="11">
        <v>980</v>
      </c>
      <c r="B972" s="2">
        <v>980</v>
      </c>
      <c r="C972" s="2">
        <v>96</v>
      </c>
      <c r="D972" s="2">
        <f>VLOOKUP(C972,Course!$A$1:$C$229, 2, FALSE)</f>
        <v>0</v>
      </c>
      <c r="E972" s="2">
        <v>112</v>
      </c>
      <c r="F972" s="2" t="s">
        <v>1681</v>
      </c>
      <c r="G972" s="2">
        <v>1</v>
      </c>
      <c r="H972" s="21">
        <v>0.8</v>
      </c>
      <c r="I972" s="2">
        <v>1</v>
      </c>
    </row>
    <row r="973" spans="1:9" ht="15.75" hidden="1" customHeight="1" x14ac:dyDescent="0.2">
      <c r="A973" s="11">
        <v>981</v>
      </c>
      <c r="B973" s="2">
        <v>981</v>
      </c>
      <c r="C973" s="2">
        <v>96</v>
      </c>
      <c r="D973" s="2">
        <f>VLOOKUP(C973,Course!$A$1:$C$229, 2, FALSE)</f>
        <v>0</v>
      </c>
      <c r="E973" s="2">
        <v>113</v>
      </c>
      <c r="F973" s="2" t="s">
        <v>1682</v>
      </c>
      <c r="G973" s="2">
        <v>1</v>
      </c>
      <c r="H973" s="21">
        <v>0.8</v>
      </c>
      <c r="I973" s="2">
        <v>1</v>
      </c>
    </row>
    <row r="974" spans="1:9" ht="15.75" hidden="1" customHeight="1" x14ac:dyDescent="0.2">
      <c r="A974" s="11">
        <v>982</v>
      </c>
      <c r="B974" s="2">
        <v>982</v>
      </c>
      <c r="C974" s="2">
        <v>96</v>
      </c>
      <c r="D974" s="2">
        <f>VLOOKUP(C974,Course!$A$1:$C$229, 2, FALSE)</f>
        <v>0</v>
      </c>
      <c r="E974" s="2">
        <v>114</v>
      </c>
      <c r="F974" s="2" t="s">
        <v>1683</v>
      </c>
      <c r="G974" s="2">
        <v>1</v>
      </c>
      <c r="H974" s="21">
        <v>0.8</v>
      </c>
      <c r="I974" s="2">
        <v>1</v>
      </c>
    </row>
    <row r="975" spans="1:9" ht="15.75" hidden="1" customHeight="1" x14ac:dyDescent="0.2">
      <c r="A975" s="11">
        <v>983</v>
      </c>
      <c r="B975" s="2">
        <v>983</v>
      </c>
      <c r="C975" s="2">
        <v>98</v>
      </c>
      <c r="D975" s="2">
        <f>VLOOKUP(C975,Course!$A$1:$C$229, 2, FALSE)</f>
        <v>0</v>
      </c>
      <c r="E975" s="2">
        <v>121</v>
      </c>
      <c r="F975" s="2" t="s">
        <v>1684</v>
      </c>
      <c r="G975" s="2">
        <v>1</v>
      </c>
      <c r="H975" s="21">
        <v>0.8</v>
      </c>
      <c r="I975" s="2">
        <v>1</v>
      </c>
    </row>
    <row r="976" spans="1:9" ht="15.75" hidden="1" customHeight="1" x14ac:dyDescent="0.2">
      <c r="A976" s="11">
        <v>984</v>
      </c>
      <c r="B976" s="2">
        <v>984</v>
      </c>
      <c r="C976" s="2">
        <v>98</v>
      </c>
      <c r="D976" s="2">
        <f>VLOOKUP(C976,Course!$A$1:$C$229, 2, FALSE)</f>
        <v>0</v>
      </c>
      <c r="E976" s="2">
        <v>122</v>
      </c>
      <c r="F976" s="2" t="s">
        <v>1685</v>
      </c>
      <c r="G976" s="2">
        <v>1</v>
      </c>
      <c r="H976" s="21">
        <v>0.8</v>
      </c>
      <c r="I976" s="2">
        <v>1</v>
      </c>
    </row>
    <row r="977" spans="1:9" ht="15.75" hidden="1" customHeight="1" x14ac:dyDescent="0.2">
      <c r="A977" s="11">
        <v>985</v>
      </c>
      <c r="B977" s="2">
        <v>985</v>
      </c>
      <c r="C977" s="2">
        <v>98</v>
      </c>
      <c r="D977" s="2">
        <f>VLOOKUP(C977,Course!$A$1:$C$229, 2, FALSE)</f>
        <v>0</v>
      </c>
      <c r="E977" s="2">
        <v>123</v>
      </c>
      <c r="F977" s="2" t="s">
        <v>1686</v>
      </c>
      <c r="G977" s="2">
        <v>1</v>
      </c>
      <c r="H977" s="21">
        <v>0.8</v>
      </c>
      <c r="I977" s="2">
        <v>1</v>
      </c>
    </row>
    <row r="978" spans="1:9" ht="15.75" hidden="1" customHeight="1" x14ac:dyDescent="0.2">
      <c r="A978" s="11">
        <v>986</v>
      </c>
      <c r="B978" s="2">
        <v>986</v>
      </c>
      <c r="C978" s="2">
        <v>98</v>
      </c>
      <c r="D978" s="2">
        <f>VLOOKUP(C978,Course!$A$1:$C$229, 2, FALSE)</f>
        <v>0</v>
      </c>
      <c r="E978" s="2">
        <v>124</v>
      </c>
      <c r="F978" s="2" t="s">
        <v>1687</v>
      </c>
      <c r="G978" s="2">
        <v>1</v>
      </c>
      <c r="H978" s="21">
        <v>0.8</v>
      </c>
      <c r="I978" s="2">
        <v>1</v>
      </c>
    </row>
    <row r="979" spans="1:9" ht="15.75" hidden="1" customHeight="1" x14ac:dyDescent="0.2">
      <c r="A979" s="11">
        <v>987</v>
      </c>
      <c r="B979" s="2">
        <v>987</v>
      </c>
      <c r="C979" s="2">
        <v>98</v>
      </c>
      <c r="D979" s="2">
        <f>VLOOKUP(C979,Course!$A$1:$C$229, 2, FALSE)</f>
        <v>0</v>
      </c>
      <c r="E979" s="2">
        <v>125</v>
      </c>
      <c r="F979" s="2" t="s">
        <v>1688</v>
      </c>
      <c r="G979" s="2">
        <v>1</v>
      </c>
      <c r="H979" s="21">
        <v>0.8</v>
      </c>
      <c r="I979" s="2">
        <v>1</v>
      </c>
    </row>
    <row r="980" spans="1:9" ht="15.75" hidden="1" customHeight="1" x14ac:dyDescent="0.2">
      <c r="A980" s="11">
        <v>988</v>
      </c>
      <c r="B980" s="2">
        <v>988</v>
      </c>
      <c r="C980" s="2">
        <v>98</v>
      </c>
      <c r="D980" s="2">
        <f>VLOOKUP(C980,Course!$A$1:$C$229, 2, FALSE)</f>
        <v>0</v>
      </c>
      <c r="E980" s="2">
        <v>126</v>
      </c>
      <c r="F980" s="2" t="s">
        <v>1689</v>
      </c>
      <c r="G980" s="2">
        <v>1</v>
      </c>
      <c r="H980" s="21">
        <v>0.8</v>
      </c>
      <c r="I980" s="2">
        <v>1</v>
      </c>
    </row>
    <row r="981" spans="1:9" ht="15.75" hidden="1" customHeight="1" x14ac:dyDescent="0.2">
      <c r="A981" s="11">
        <v>989</v>
      </c>
      <c r="B981" s="2">
        <v>989</v>
      </c>
      <c r="C981" s="2">
        <v>98</v>
      </c>
      <c r="D981" s="2">
        <f>VLOOKUP(C981,Course!$A$1:$C$229, 2, FALSE)</f>
        <v>0</v>
      </c>
      <c r="E981" s="2">
        <v>127</v>
      </c>
      <c r="F981" s="2" t="s">
        <v>1690</v>
      </c>
      <c r="G981" s="2">
        <v>1</v>
      </c>
      <c r="H981" s="21">
        <v>0.8</v>
      </c>
      <c r="I981" s="2">
        <v>1</v>
      </c>
    </row>
    <row r="982" spans="1:9" ht="15.75" hidden="1" customHeight="1" x14ac:dyDescent="0.2">
      <c r="A982" s="11">
        <v>990</v>
      </c>
      <c r="B982" s="2">
        <v>990</v>
      </c>
      <c r="C982" s="2">
        <v>98</v>
      </c>
      <c r="D982" s="2">
        <f>VLOOKUP(C982,Course!$A$1:$C$229, 2, FALSE)</f>
        <v>0</v>
      </c>
      <c r="E982" s="2">
        <v>128</v>
      </c>
      <c r="F982" s="2" t="s">
        <v>1691</v>
      </c>
      <c r="G982" s="2">
        <v>1</v>
      </c>
      <c r="H982" s="21">
        <v>0.8</v>
      </c>
      <c r="I982" s="2">
        <v>1</v>
      </c>
    </row>
    <row r="983" spans="1:9" ht="15.75" hidden="1" customHeight="1" x14ac:dyDescent="0.2">
      <c r="A983" s="11">
        <v>991</v>
      </c>
      <c r="B983" s="2">
        <v>991</v>
      </c>
      <c r="C983" s="2">
        <v>98</v>
      </c>
      <c r="D983" s="2">
        <f>VLOOKUP(C983,Course!$A$1:$C$229, 2, FALSE)</f>
        <v>0</v>
      </c>
      <c r="E983" s="2">
        <v>129</v>
      </c>
      <c r="F983" s="2" t="s">
        <v>1692</v>
      </c>
      <c r="G983" s="2">
        <v>1</v>
      </c>
      <c r="H983" s="21">
        <v>0.8</v>
      </c>
      <c r="I983" s="2">
        <v>1</v>
      </c>
    </row>
    <row r="984" spans="1:9" ht="15.75" hidden="1" customHeight="1" x14ac:dyDescent="0.2">
      <c r="A984" s="11">
        <v>992</v>
      </c>
      <c r="B984" s="2">
        <v>992</v>
      </c>
      <c r="C984" s="2">
        <v>98</v>
      </c>
      <c r="D984" s="2">
        <f>VLOOKUP(C984,Course!$A$1:$C$229, 2, FALSE)</f>
        <v>0</v>
      </c>
      <c r="E984" s="2">
        <v>130</v>
      </c>
      <c r="F984" s="2" t="s">
        <v>1693</v>
      </c>
      <c r="G984" s="2">
        <v>1</v>
      </c>
      <c r="H984" s="21">
        <v>0.8</v>
      </c>
      <c r="I984" s="2">
        <v>1</v>
      </c>
    </row>
    <row r="985" spans="1:9" ht="15.75" hidden="1" customHeight="1" x14ac:dyDescent="0.2">
      <c r="A985" s="11">
        <v>993</v>
      </c>
      <c r="B985" s="2">
        <v>993</v>
      </c>
      <c r="C985" s="2">
        <v>98</v>
      </c>
      <c r="D985" s="2">
        <f>VLOOKUP(C985,Course!$A$1:$C$229, 2, FALSE)</f>
        <v>0</v>
      </c>
      <c r="E985" s="2">
        <v>131</v>
      </c>
      <c r="F985" s="2" t="s">
        <v>1694</v>
      </c>
      <c r="G985" s="2">
        <v>1</v>
      </c>
      <c r="H985" s="21">
        <v>0.8</v>
      </c>
      <c r="I985" s="2">
        <v>1</v>
      </c>
    </row>
    <row r="986" spans="1:9" ht="15.75" hidden="1" customHeight="1" x14ac:dyDescent="0.2">
      <c r="A986" s="11">
        <v>994</v>
      </c>
      <c r="B986" s="2">
        <v>994</v>
      </c>
      <c r="C986" s="2">
        <v>98</v>
      </c>
      <c r="D986" s="2">
        <f>VLOOKUP(C986,Course!$A$1:$C$229, 2, FALSE)</f>
        <v>0</v>
      </c>
      <c r="E986" s="2">
        <v>132</v>
      </c>
      <c r="F986" s="2" t="s">
        <v>1695</v>
      </c>
      <c r="G986" s="2">
        <v>1</v>
      </c>
      <c r="H986" s="21">
        <v>0.8</v>
      </c>
      <c r="I986" s="2">
        <v>1</v>
      </c>
    </row>
    <row r="987" spans="1:9" ht="15.75" hidden="1" customHeight="1" x14ac:dyDescent="0.2">
      <c r="A987" s="11">
        <v>995</v>
      </c>
      <c r="B987" s="2">
        <v>995</v>
      </c>
      <c r="C987" s="2">
        <v>99</v>
      </c>
      <c r="D987" s="2">
        <f>VLOOKUP(C987,Course!$A$1:$C$229, 2, FALSE)</f>
        <v>0</v>
      </c>
      <c r="E987" s="2">
        <v>1</v>
      </c>
      <c r="F987" s="2" t="s">
        <v>1696</v>
      </c>
      <c r="G987" s="2">
        <v>1</v>
      </c>
      <c r="H987" s="21">
        <v>0.8</v>
      </c>
      <c r="I987" s="2">
        <v>1</v>
      </c>
    </row>
    <row r="988" spans="1:9" ht="15.75" hidden="1" customHeight="1" x14ac:dyDescent="0.2">
      <c r="A988" s="11">
        <v>996</v>
      </c>
      <c r="B988" s="2">
        <v>996</v>
      </c>
      <c r="C988" s="2">
        <v>99</v>
      </c>
      <c r="D988" s="2">
        <f>VLOOKUP(C988,Course!$A$1:$C$229, 2, FALSE)</f>
        <v>0</v>
      </c>
      <c r="E988" s="2">
        <v>2</v>
      </c>
      <c r="F988" s="2" t="s">
        <v>1697</v>
      </c>
      <c r="G988" s="2">
        <v>1</v>
      </c>
      <c r="H988" s="21">
        <v>0.8</v>
      </c>
      <c r="I988" s="2">
        <v>1</v>
      </c>
    </row>
    <row r="989" spans="1:9" ht="15.75" hidden="1" customHeight="1" x14ac:dyDescent="0.2">
      <c r="A989" s="11">
        <v>997</v>
      </c>
      <c r="B989" s="2">
        <v>997</v>
      </c>
      <c r="C989" s="2">
        <v>99</v>
      </c>
      <c r="D989" s="2">
        <f>VLOOKUP(C989,Course!$A$1:$C$229, 2, FALSE)</f>
        <v>0</v>
      </c>
      <c r="E989" s="2">
        <v>3</v>
      </c>
      <c r="F989" s="2" t="s">
        <v>1698</v>
      </c>
      <c r="G989" s="2">
        <v>1</v>
      </c>
      <c r="H989" s="21">
        <v>0.8</v>
      </c>
      <c r="I989" s="2">
        <v>1</v>
      </c>
    </row>
    <row r="990" spans="1:9" ht="15.75" hidden="1" customHeight="1" x14ac:dyDescent="0.2">
      <c r="A990" s="11">
        <v>998</v>
      </c>
      <c r="B990" s="2">
        <v>998</v>
      </c>
      <c r="C990" s="2">
        <v>99</v>
      </c>
      <c r="D990" s="2">
        <f>VLOOKUP(C990,Course!$A$1:$C$229, 2, FALSE)</f>
        <v>0</v>
      </c>
      <c r="E990" s="2">
        <v>4</v>
      </c>
      <c r="F990" s="2" t="s">
        <v>1699</v>
      </c>
      <c r="G990" s="2">
        <v>1</v>
      </c>
      <c r="H990" s="21">
        <v>0.8</v>
      </c>
      <c r="I990" s="2">
        <v>1</v>
      </c>
    </row>
    <row r="991" spans="1:9" ht="15.75" hidden="1" customHeight="1" x14ac:dyDescent="0.2">
      <c r="A991" s="11">
        <v>999</v>
      </c>
      <c r="B991" s="2">
        <v>999</v>
      </c>
      <c r="C991" s="2">
        <v>99</v>
      </c>
      <c r="D991" s="2">
        <f>VLOOKUP(C991,Course!$A$1:$C$229, 2, FALSE)</f>
        <v>0</v>
      </c>
      <c r="E991" s="2">
        <v>5</v>
      </c>
      <c r="F991" s="2" t="s">
        <v>1700</v>
      </c>
      <c r="G991" s="2">
        <v>1</v>
      </c>
      <c r="H991" s="21">
        <v>0.8</v>
      </c>
      <c r="I991" s="2">
        <v>1</v>
      </c>
    </row>
    <row r="992" spans="1:9" ht="15.75" hidden="1" customHeight="1" x14ac:dyDescent="0.2">
      <c r="A992" s="11">
        <v>1000</v>
      </c>
      <c r="B992" s="2">
        <v>1000</v>
      </c>
      <c r="C992" s="2">
        <v>101</v>
      </c>
      <c r="D992" s="2">
        <f>VLOOKUP(C992,Course!$A$1:$C$229, 2, FALSE)</f>
        <v>0</v>
      </c>
      <c r="E992" s="2">
        <v>121</v>
      </c>
      <c r="F992" s="2" t="s">
        <v>861</v>
      </c>
      <c r="G992" s="2">
        <v>1</v>
      </c>
      <c r="H992" s="21">
        <v>0.8</v>
      </c>
      <c r="I992" s="2">
        <v>1</v>
      </c>
    </row>
    <row r="993" spans="1:9" ht="15.75" hidden="1" customHeight="1" x14ac:dyDescent="0.2">
      <c r="A993" s="11">
        <v>1001</v>
      </c>
      <c r="B993" s="2">
        <v>1001</v>
      </c>
      <c r="C993" s="2">
        <v>101</v>
      </c>
      <c r="D993" s="2">
        <f>VLOOKUP(C993,Course!$A$1:$C$229, 2, FALSE)</f>
        <v>0</v>
      </c>
      <c r="E993" s="2">
        <v>122</v>
      </c>
      <c r="F993" s="2" t="s">
        <v>862</v>
      </c>
      <c r="G993" s="2">
        <v>1</v>
      </c>
      <c r="H993" s="21">
        <v>0.8</v>
      </c>
      <c r="I993" s="2">
        <v>1</v>
      </c>
    </row>
    <row r="994" spans="1:9" ht="15.75" hidden="1" customHeight="1" x14ac:dyDescent="0.2">
      <c r="A994" s="11">
        <v>1002</v>
      </c>
      <c r="B994" s="2">
        <v>1002</v>
      </c>
      <c r="C994" s="2">
        <v>101</v>
      </c>
      <c r="D994" s="2">
        <f>VLOOKUP(C994,Course!$A$1:$C$229, 2, FALSE)</f>
        <v>0</v>
      </c>
      <c r="E994" s="2">
        <v>123</v>
      </c>
      <c r="F994" s="2" t="s">
        <v>863</v>
      </c>
      <c r="G994" s="2">
        <v>1</v>
      </c>
      <c r="H994" s="21">
        <v>0.8</v>
      </c>
      <c r="I994" s="2">
        <v>1</v>
      </c>
    </row>
    <row r="995" spans="1:9" ht="15.75" hidden="1" customHeight="1" x14ac:dyDescent="0.2">
      <c r="A995" s="11">
        <v>1003</v>
      </c>
      <c r="B995" s="2">
        <v>1003</v>
      </c>
      <c r="C995" s="2">
        <v>101</v>
      </c>
      <c r="D995" s="2">
        <f>VLOOKUP(C995,Course!$A$1:$C$229, 2, FALSE)</f>
        <v>0</v>
      </c>
      <c r="E995" s="2">
        <v>124</v>
      </c>
      <c r="F995" s="2" t="s">
        <v>864</v>
      </c>
      <c r="G995" s="2">
        <v>1</v>
      </c>
      <c r="H995" s="21">
        <v>0.8</v>
      </c>
      <c r="I995" s="2">
        <v>1</v>
      </c>
    </row>
    <row r="996" spans="1:9" ht="15.75" hidden="1" customHeight="1" x14ac:dyDescent="0.2">
      <c r="A996" s="11">
        <v>1004</v>
      </c>
      <c r="B996" s="2">
        <v>1004</v>
      </c>
      <c r="C996" s="2">
        <v>101</v>
      </c>
      <c r="D996" s="2">
        <f>VLOOKUP(C996,Course!$A$1:$C$229, 2, FALSE)</f>
        <v>0</v>
      </c>
      <c r="E996" s="2">
        <v>125</v>
      </c>
      <c r="F996" s="2" t="s">
        <v>937</v>
      </c>
      <c r="G996" s="2">
        <v>1</v>
      </c>
      <c r="H996" s="21">
        <v>0.8</v>
      </c>
      <c r="I996" s="2">
        <v>1</v>
      </c>
    </row>
    <row r="997" spans="1:9" ht="15.75" hidden="1" customHeight="1" x14ac:dyDescent="0.2">
      <c r="A997" s="11">
        <v>1005</v>
      </c>
      <c r="B997" s="2">
        <v>1005</v>
      </c>
      <c r="C997" s="2">
        <v>101</v>
      </c>
      <c r="D997" s="2">
        <f>VLOOKUP(C997,Course!$A$1:$C$229, 2, FALSE)</f>
        <v>0</v>
      </c>
      <c r="E997" s="2">
        <v>126</v>
      </c>
      <c r="F997" s="2" t="s">
        <v>938</v>
      </c>
      <c r="G997" s="2">
        <v>1</v>
      </c>
      <c r="H997" s="21">
        <v>0.8</v>
      </c>
      <c r="I997" s="2">
        <v>1</v>
      </c>
    </row>
    <row r="998" spans="1:9" ht="15.75" hidden="1" customHeight="1" x14ac:dyDescent="0.2">
      <c r="A998" s="11">
        <v>1006</v>
      </c>
      <c r="B998" s="2">
        <v>1006</v>
      </c>
      <c r="C998" s="2">
        <v>101</v>
      </c>
      <c r="D998" s="2">
        <f>VLOOKUP(C998,Course!$A$1:$C$229, 2, FALSE)</f>
        <v>0</v>
      </c>
      <c r="E998" s="2">
        <v>127</v>
      </c>
      <c r="F998" s="2" t="s">
        <v>939</v>
      </c>
      <c r="G998" s="2">
        <v>1</v>
      </c>
      <c r="H998" s="21">
        <v>0.8</v>
      </c>
      <c r="I998" s="2">
        <v>1</v>
      </c>
    </row>
    <row r="999" spans="1:9" ht="15.75" hidden="1" customHeight="1" x14ac:dyDescent="0.2">
      <c r="A999" s="11">
        <v>1007</v>
      </c>
      <c r="B999" s="2">
        <v>1007</v>
      </c>
      <c r="C999" s="2">
        <v>101</v>
      </c>
      <c r="D999" s="2">
        <f>VLOOKUP(C999,Course!$A$1:$C$229, 2, FALSE)</f>
        <v>0</v>
      </c>
      <c r="E999" s="2">
        <v>128</v>
      </c>
      <c r="F999" s="2" t="s">
        <v>940</v>
      </c>
      <c r="G999" s="2">
        <v>1</v>
      </c>
      <c r="H999" s="21">
        <v>0.8</v>
      </c>
      <c r="I999" s="2">
        <v>1</v>
      </c>
    </row>
    <row r="1000" spans="1:9" ht="15.75" hidden="1" customHeight="1" x14ac:dyDescent="0.2">
      <c r="A1000" s="11">
        <v>1008</v>
      </c>
      <c r="B1000" s="2">
        <v>1008</v>
      </c>
      <c r="C1000" s="2">
        <v>101</v>
      </c>
      <c r="D1000" s="2">
        <f>VLOOKUP(C1000,Course!$A$1:$C$229, 2, FALSE)</f>
        <v>0</v>
      </c>
      <c r="E1000" s="2">
        <v>129</v>
      </c>
      <c r="F1000" s="2" t="s">
        <v>941</v>
      </c>
      <c r="G1000" s="2">
        <v>1</v>
      </c>
      <c r="H1000" s="21">
        <v>0.8</v>
      </c>
      <c r="I1000" s="2">
        <v>1</v>
      </c>
    </row>
    <row r="1001" spans="1:9" ht="15.75" hidden="1" customHeight="1" x14ac:dyDescent="0.2">
      <c r="A1001" s="11">
        <v>1009</v>
      </c>
      <c r="B1001" s="2">
        <v>1009</v>
      </c>
      <c r="C1001" s="2">
        <v>101</v>
      </c>
      <c r="D1001" s="2">
        <f>VLOOKUP(C1001,Course!$A$1:$C$229, 2, FALSE)</f>
        <v>0</v>
      </c>
      <c r="E1001" s="2">
        <v>130</v>
      </c>
      <c r="F1001" s="2" t="s">
        <v>942</v>
      </c>
      <c r="G1001" s="2">
        <v>1</v>
      </c>
      <c r="H1001" s="21">
        <v>0.8</v>
      </c>
      <c r="I1001" s="2">
        <v>1</v>
      </c>
    </row>
    <row r="1002" spans="1:9" ht="15.75" hidden="1" customHeight="1" x14ac:dyDescent="0.2">
      <c r="A1002" s="11">
        <v>1010</v>
      </c>
      <c r="B1002" s="2">
        <v>1010</v>
      </c>
      <c r="C1002" s="2">
        <v>101</v>
      </c>
      <c r="D1002" s="2">
        <f>VLOOKUP(C1002,Course!$A$1:$C$229, 2, FALSE)</f>
        <v>0</v>
      </c>
      <c r="E1002" s="2">
        <v>131</v>
      </c>
      <c r="F1002" s="2" t="s">
        <v>943</v>
      </c>
      <c r="G1002" s="2">
        <v>1</v>
      </c>
      <c r="H1002" s="21">
        <v>0.8</v>
      </c>
      <c r="I1002" s="2">
        <v>1</v>
      </c>
    </row>
    <row r="1003" spans="1:9" ht="15.75" hidden="1" customHeight="1" x14ac:dyDescent="0.2">
      <c r="A1003" s="11">
        <v>1011</v>
      </c>
      <c r="B1003" s="2">
        <v>1011</v>
      </c>
      <c r="C1003" s="2">
        <v>101</v>
      </c>
      <c r="D1003" s="2">
        <f>VLOOKUP(C1003,Course!$A$1:$C$229, 2, FALSE)</f>
        <v>0</v>
      </c>
      <c r="E1003" s="2">
        <v>132</v>
      </c>
      <c r="F1003" s="2" t="s">
        <v>944</v>
      </c>
      <c r="G1003" s="2">
        <v>1</v>
      </c>
      <c r="H1003" s="21">
        <v>0.8</v>
      </c>
      <c r="I1003" s="2">
        <v>1</v>
      </c>
    </row>
    <row r="1004" spans="1:9" ht="15.75" hidden="1" customHeight="1" x14ac:dyDescent="0.2">
      <c r="A1004" s="11">
        <v>1012</v>
      </c>
      <c r="B1004" s="2">
        <v>1012</v>
      </c>
      <c r="C1004" s="2">
        <v>102</v>
      </c>
      <c r="D1004" s="2">
        <f>VLOOKUP(C1004,Course!$A$1:$C$229, 2, FALSE)</f>
        <v>0</v>
      </c>
      <c r="E1004" s="2">
        <v>1</v>
      </c>
      <c r="F1004" s="2" t="s">
        <v>1701</v>
      </c>
      <c r="G1004" s="2">
        <v>1</v>
      </c>
      <c r="H1004" s="21">
        <v>0.8</v>
      </c>
      <c r="I1004" s="2">
        <v>1</v>
      </c>
    </row>
    <row r="1005" spans="1:9" ht="15.75" hidden="1" customHeight="1" x14ac:dyDescent="0.2">
      <c r="A1005" s="11">
        <v>1013</v>
      </c>
      <c r="B1005" s="2">
        <v>1013</v>
      </c>
      <c r="C1005" s="2">
        <v>102</v>
      </c>
      <c r="D1005" s="2">
        <f>VLOOKUP(C1005,Course!$A$1:$C$229, 2, FALSE)</f>
        <v>0</v>
      </c>
      <c r="E1005" s="2">
        <v>2</v>
      </c>
      <c r="F1005" s="2" t="s">
        <v>1702</v>
      </c>
      <c r="G1005" s="2">
        <v>1</v>
      </c>
      <c r="H1005" s="21">
        <v>0.8</v>
      </c>
      <c r="I1005" s="2">
        <v>1</v>
      </c>
    </row>
    <row r="1006" spans="1:9" ht="15.75" hidden="1" customHeight="1" x14ac:dyDescent="0.2">
      <c r="A1006" s="11">
        <v>1014</v>
      </c>
      <c r="B1006" s="2">
        <v>1014</v>
      </c>
      <c r="C1006" s="2">
        <v>102</v>
      </c>
      <c r="D1006" s="2">
        <f>VLOOKUP(C1006,Course!$A$1:$C$229, 2, FALSE)</f>
        <v>0</v>
      </c>
      <c r="E1006" s="2">
        <v>3</v>
      </c>
      <c r="F1006" s="2" t="s">
        <v>1703</v>
      </c>
      <c r="G1006" s="2">
        <v>1</v>
      </c>
      <c r="H1006" s="21">
        <v>0.8</v>
      </c>
      <c r="I1006" s="2">
        <v>1</v>
      </c>
    </row>
    <row r="1007" spans="1:9" ht="15.75" hidden="1" customHeight="1" x14ac:dyDescent="0.2">
      <c r="A1007" s="11">
        <v>1015</v>
      </c>
      <c r="B1007" s="2">
        <v>1015</v>
      </c>
      <c r="C1007" s="2">
        <v>103</v>
      </c>
      <c r="D1007" s="2">
        <f>VLOOKUP(C1007,Course!$A$1:$C$229, 2, FALSE)</f>
        <v>0</v>
      </c>
      <c r="E1007" s="2">
        <v>1</v>
      </c>
      <c r="F1007" s="2" t="s">
        <v>1701</v>
      </c>
      <c r="G1007" s="2">
        <v>1</v>
      </c>
      <c r="H1007" s="21">
        <v>0.8</v>
      </c>
      <c r="I1007" s="2">
        <v>1</v>
      </c>
    </row>
    <row r="1008" spans="1:9" ht="15.75" hidden="1" customHeight="1" x14ac:dyDescent="0.2">
      <c r="A1008" s="11">
        <v>1016</v>
      </c>
      <c r="B1008" s="2">
        <v>1016</v>
      </c>
      <c r="C1008" s="2">
        <v>103</v>
      </c>
      <c r="D1008" s="2">
        <f>VLOOKUP(C1008,Course!$A$1:$C$229, 2, FALSE)</f>
        <v>0</v>
      </c>
      <c r="E1008" s="2">
        <v>2</v>
      </c>
      <c r="F1008" s="2" t="s">
        <v>1702</v>
      </c>
      <c r="G1008" s="2">
        <v>1</v>
      </c>
      <c r="H1008" s="21">
        <v>0.8</v>
      </c>
      <c r="I1008" s="2">
        <v>1</v>
      </c>
    </row>
    <row r="1009" spans="1:9" ht="15.75" hidden="1" customHeight="1" x14ac:dyDescent="0.2">
      <c r="A1009" s="11">
        <v>1017</v>
      </c>
      <c r="B1009" s="2">
        <v>1017</v>
      </c>
      <c r="C1009" s="2">
        <v>103</v>
      </c>
      <c r="D1009" s="2">
        <f>VLOOKUP(C1009,Course!$A$1:$C$229, 2, FALSE)</f>
        <v>0</v>
      </c>
      <c r="E1009" s="2">
        <v>3</v>
      </c>
      <c r="F1009" s="2" t="s">
        <v>1703</v>
      </c>
      <c r="G1009" s="2">
        <v>1</v>
      </c>
      <c r="H1009" s="21">
        <v>0.8</v>
      </c>
      <c r="I1009" s="2">
        <v>1</v>
      </c>
    </row>
    <row r="1010" spans="1:9" ht="15.75" hidden="1" customHeight="1" x14ac:dyDescent="0.2">
      <c r="A1010" s="11">
        <v>1018</v>
      </c>
      <c r="B1010" s="2">
        <v>1018</v>
      </c>
      <c r="C1010" s="2">
        <v>103</v>
      </c>
      <c r="D1010" s="2">
        <f>VLOOKUP(C1010,Course!$A$1:$C$229, 2, FALSE)</f>
        <v>0</v>
      </c>
      <c r="E1010" s="2">
        <v>4</v>
      </c>
      <c r="F1010" s="2" t="s">
        <v>1704</v>
      </c>
      <c r="G1010" s="2">
        <v>1</v>
      </c>
      <c r="H1010" s="21">
        <v>0.8</v>
      </c>
      <c r="I1010" s="2">
        <v>1</v>
      </c>
    </row>
    <row r="1011" spans="1:9" ht="15.75" hidden="1" customHeight="1" x14ac:dyDescent="0.2">
      <c r="A1011" s="11">
        <v>1019</v>
      </c>
      <c r="B1011" s="2">
        <v>1019</v>
      </c>
      <c r="C1011" s="2">
        <v>103</v>
      </c>
      <c r="D1011" s="2">
        <f>VLOOKUP(C1011,Course!$A$1:$C$229, 2, FALSE)</f>
        <v>0</v>
      </c>
      <c r="E1011" s="2">
        <v>5</v>
      </c>
      <c r="F1011" s="2" t="s">
        <v>1705</v>
      </c>
      <c r="G1011" s="2">
        <v>1</v>
      </c>
      <c r="H1011" s="21">
        <v>0.8</v>
      </c>
      <c r="I1011" s="2">
        <v>1</v>
      </c>
    </row>
    <row r="1012" spans="1:9" ht="15.75" hidden="1" customHeight="1" x14ac:dyDescent="0.2">
      <c r="A1012" s="11">
        <v>1020</v>
      </c>
      <c r="B1012" s="2">
        <v>1020</v>
      </c>
      <c r="C1012" s="2">
        <v>103</v>
      </c>
      <c r="D1012" s="2">
        <f>VLOOKUP(C1012,Course!$A$1:$C$229, 2, FALSE)</f>
        <v>0</v>
      </c>
      <c r="E1012" s="2">
        <v>6</v>
      </c>
      <c r="F1012" s="2" t="s">
        <v>1706</v>
      </c>
      <c r="G1012" s="2">
        <v>1</v>
      </c>
      <c r="H1012" s="21">
        <v>0.8</v>
      </c>
      <c r="I1012" s="2">
        <v>1</v>
      </c>
    </row>
    <row r="1013" spans="1:9" ht="15.75" hidden="1" customHeight="1" x14ac:dyDescent="0.2">
      <c r="A1013" s="11">
        <v>1021</v>
      </c>
      <c r="B1013" s="2">
        <v>1021</v>
      </c>
      <c r="C1013" s="2">
        <v>104</v>
      </c>
      <c r="D1013" s="2">
        <f>VLOOKUP(C1013,Course!$A$1:$C$229, 2, FALSE)</f>
        <v>0</v>
      </c>
      <c r="E1013" s="2">
        <v>121</v>
      </c>
      <c r="F1013" s="2" t="s">
        <v>1707</v>
      </c>
      <c r="G1013" s="2">
        <v>1</v>
      </c>
      <c r="H1013" s="21">
        <v>0.8</v>
      </c>
      <c r="I1013" s="2">
        <v>1</v>
      </c>
    </row>
    <row r="1014" spans="1:9" ht="15.75" hidden="1" customHeight="1" x14ac:dyDescent="0.2">
      <c r="A1014" s="11">
        <v>1022</v>
      </c>
      <c r="B1014" s="2">
        <v>1022</v>
      </c>
      <c r="C1014" s="2">
        <v>104</v>
      </c>
      <c r="D1014" s="2">
        <f>VLOOKUP(C1014,Course!$A$1:$C$229, 2, FALSE)</f>
        <v>0</v>
      </c>
      <c r="E1014" s="2">
        <v>122</v>
      </c>
      <c r="F1014" s="2" t="s">
        <v>1708</v>
      </c>
      <c r="G1014" s="2">
        <v>1</v>
      </c>
      <c r="H1014" s="21">
        <v>0.8</v>
      </c>
      <c r="I1014" s="2">
        <v>1</v>
      </c>
    </row>
    <row r="1015" spans="1:9" ht="15.75" hidden="1" customHeight="1" x14ac:dyDescent="0.2">
      <c r="A1015" s="11">
        <v>1023</v>
      </c>
      <c r="B1015" s="2">
        <v>1023</v>
      </c>
      <c r="C1015" s="2">
        <v>104</v>
      </c>
      <c r="D1015" s="2">
        <f>VLOOKUP(C1015,Course!$A$1:$C$229, 2, FALSE)</f>
        <v>0</v>
      </c>
      <c r="E1015" s="2">
        <v>123</v>
      </c>
      <c r="F1015" s="2" t="s">
        <v>1709</v>
      </c>
      <c r="G1015" s="2">
        <v>1</v>
      </c>
      <c r="H1015" s="21">
        <v>0.8</v>
      </c>
      <c r="I1015" s="2">
        <v>1</v>
      </c>
    </row>
    <row r="1016" spans="1:9" ht="15.75" hidden="1" customHeight="1" x14ac:dyDescent="0.2">
      <c r="A1016" s="11">
        <v>1024</v>
      </c>
      <c r="B1016" s="2">
        <v>1024</v>
      </c>
      <c r="C1016" s="2">
        <v>104</v>
      </c>
      <c r="D1016" s="2">
        <f>VLOOKUP(C1016,Course!$A$1:$C$229, 2, FALSE)</f>
        <v>0</v>
      </c>
      <c r="E1016" s="2">
        <v>124</v>
      </c>
      <c r="F1016" s="2" t="s">
        <v>1710</v>
      </c>
      <c r="G1016" s="2">
        <v>1</v>
      </c>
      <c r="H1016" s="21">
        <v>0.8</v>
      </c>
      <c r="I1016" s="2">
        <v>1</v>
      </c>
    </row>
    <row r="1017" spans="1:9" ht="15.75" hidden="1" customHeight="1" x14ac:dyDescent="0.2">
      <c r="A1017" s="11">
        <v>1025</v>
      </c>
      <c r="B1017" s="2">
        <v>1025</v>
      </c>
      <c r="C1017" s="2">
        <v>104</v>
      </c>
      <c r="D1017" s="2">
        <f>VLOOKUP(C1017,Course!$A$1:$C$229, 2, FALSE)</f>
        <v>0</v>
      </c>
      <c r="E1017" s="2">
        <v>125</v>
      </c>
      <c r="F1017" s="2" t="s">
        <v>1711</v>
      </c>
      <c r="G1017" s="2">
        <v>1</v>
      </c>
      <c r="H1017" s="21">
        <v>0.8</v>
      </c>
      <c r="I1017" s="2">
        <v>1</v>
      </c>
    </row>
    <row r="1018" spans="1:9" ht="15.75" hidden="1" customHeight="1" x14ac:dyDescent="0.2">
      <c r="A1018" s="11">
        <v>1026</v>
      </c>
      <c r="B1018" s="2">
        <v>1026</v>
      </c>
      <c r="C1018" s="2">
        <v>104</v>
      </c>
      <c r="D1018" s="2">
        <f>VLOOKUP(C1018,Course!$A$1:$C$229, 2, FALSE)</f>
        <v>0</v>
      </c>
      <c r="E1018" s="2">
        <v>126</v>
      </c>
      <c r="F1018" s="2" t="s">
        <v>1712</v>
      </c>
      <c r="G1018" s="2">
        <v>1</v>
      </c>
      <c r="H1018" s="21">
        <v>0.8</v>
      </c>
      <c r="I1018" s="2">
        <v>1</v>
      </c>
    </row>
    <row r="1019" spans="1:9" ht="15.75" hidden="1" customHeight="1" x14ac:dyDescent="0.2">
      <c r="A1019" s="11">
        <v>1027</v>
      </c>
      <c r="B1019" s="2">
        <v>1027</v>
      </c>
      <c r="C1019" s="2">
        <v>104</v>
      </c>
      <c r="D1019" s="2">
        <f>VLOOKUP(C1019,Course!$A$1:$C$229, 2, FALSE)</f>
        <v>0</v>
      </c>
      <c r="E1019" s="2">
        <v>127</v>
      </c>
      <c r="F1019" s="2" t="s">
        <v>1713</v>
      </c>
      <c r="G1019" s="2">
        <v>1</v>
      </c>
      <c r="H1019" s="21">
        <v>0.8</v>
      </c>
      <c r="I1019" s="2">
        <v>1</v>
      </c>
    </row>
    <row r="1020" spans="1:9" ht="15.75" hidden="1" customHeight="1" x14ac:dyDescent="0.2">
      <c r="A1020" s="11">
        <v>1028</v>
      </c>
      <c r="B1020" s="2">
        <v>1028</v>
      </c>
      <c r="C1020" s="2">
        <v>104</v>
      </c>
      <c r="D1020" s="2">
        <f>VLOOKUP(C1020,Course!$A$1:$C$229, 2, FALSE)</f>
        <v>0</v>
      </c>
      <c r="E1020" s="2">
        <v>128</v>
      </c>
      <c r="F1020" s="2" t="s">
        <v>1714</v>
      </c>
      <c r="G1020" s="2">
        <v>1</v>
      </c>
      <c r="H1020" s="21">
        <v>0.8</v>
      </c>
      <c r="I1020" s="2">
        <v>1</v>
      </c>
    </row>
    <row r="1021" spans="1:9" ht="15.75" hidden="1" customHeight="1" x14ac:dyDescent="0.2">
      <c r="A1021" s="11">
        <v>1029</v>
      </c>
      <c r="B1021" s="2">
        <v>1029</v>
      </c>
      <c r="C1021" s="2">
        <v>104</v>
      </c>
      <c r="D1021" s="2">
        <f>VLOOKUP(C1021,Course!$A$1:$C$229, 2, FALSE)</f>
        <v>0</v>
      </c>
      <c r="E1021" s="2">
        <v>129</v>
      </c>
      <c r="F1021" s="2" t="s">
        <v>1715</v>
      </c>
      <c r="G1021" s="2">
        <v>1</v>
      </c>
      <c r="H1021" s="21">
        <v>0.8</v>
      </c>
      <c r="I1021" s="2">
        <v>1</v>
      </c>
    </row>
    <row r="1022" spans="1:9" ht="15.75" hidden="1" customHeight="1" x14ac:dyDescent="0.2">
      <c r="A1022" s="11">
        <v>1030</v>
      </c>
      <c r="B1022" s="2">
        <v>1030</v>
      </c>
      <c r="C1022" s="2">
        <v>104</v>
      </c>
      <c r="D1022" s="2">
        <f>VLOOKUP(C1022,Course!$A$1:$C$229, 2, FALSE)</f>
        <v>0</v>
      </c>
      <c r="E1022" s="2">
        <v>130</v>
      </c>
      <c r="F1022" s="2" t="s">
        <v>1716</v>
      </c>
      <c r="G1022" s="2">
        <v>1</v>
      </c>
      <c r="H1022" s="21">
        <v>0.8</v>
      </c>
      <c r="I1022" s="2">
        <v>1</v>
      </c>
    </row>
    <row r="1023" spans="1:9" ht="15.75" hidden="1" customHeight="1" x14ac:dyDescent="0.2">
      <c r="A1023" s="11">
        <v>1031</v>
      </c>
      <c r="B1023" s="2">
        <v>1031</v>
      </c>
      <c r="C1023" s="2">
        <v>104</v>
      </c>
      <c r="D1023" s="2">
        <f>VLOOKUP(C1023,Course!$A$1:$C$229, 2, FALSE)</f>
        <v>0</v>
      </c>
      <c r="E1023" s="2">
        <v>131</v>
      </c>
      <c r="F1023" s="2" t="s">
        <v>1717</v>
      </c>
      <c r="G1023" s="2">
        <v>1</v>
      </c>
      <c r="H1023" s="21">
        <v>0.8</v>
      </c>
      <c r="I1023" s="2">
        <v>1</v>
      </c>
    </row>
    <row r="1024" spans="1:9" ht="15.75" hidden="1" customHeight="1" x14ac:dyDescent="0.2">
      <c r="A1024" s="11">
        <v>1032</v>
      </c>
      <c r="B1024" s="2">
        <v>1032</v>
      </c>
      <c r="C1024" s="2">
        <v>104</v>
      </c>
      <c r="D1024" s="2">
        <f>VLOOKUP(C1024,Course!$A$1:$C$229, 2, FALSE)</f>
        <v>0</v>
      </c>
      <c r="E1024" s="2">
        <v>132</v>
      </c>
      <c r="F1024" s="2" t="s">
        <v>1718</v>
      </c>
      <c r="G1024" s="2">
        <v>1</v>
      </c>
      <c r="H1024" s="21">
        <v>0.8</v>
      </c>
      <c r="I1024" s="2">
        <v>1</v>
      </c>
    </row>
    <row r="1025" spans="1:9" ht="15.75" hidden="1" customHeight="1" x14ac:dyDescent="0.2">
      <c r="A1025" s="11">
        <v>1033</v>
      </c>
      <c r="B1025" s="2">
        <v>1033</v>
      </c>
      <c r="C1025" s="2">
        <v>105</v>
      </c>
      <c r="D1025" s="2" t="str">
        <f>VLOOKUP(C1025,Course!$A$1:$C$229, 2, FALSE)</f>
        <v>Science 11</v>
      </c>
      <c r="E1025" s="2">
        <v>121</v>
      </c>
      <c r="F1025" s="2" t="s">
        <v>1719</v>
      </c>
      <c r="G1025" s="2">
        <v>1</v>
      </c>
      <c r="H1025" s="21">
        <v>0.8</v>
      </c>
      <c r="I1025" s="2">
        <v>1</v>
      </c>
    </row>
    <row r="1026" spans="1:9" ht="15.75" hidden="1" customHeight="1" x14ac:dyDescent="0.2">
      <c r="A1026" s="11">
        <v>1034</v>
      </c>
      <c r="B1026" s="2">
        <v>1034</v>
      </c>
      <c r="C1026" s="2">
        <v>105</v>
      </c>
      <c r="D1026" s="2" t="str">
        <f>VLOOKUP(C1026,Course!$A$1:$C$229, 2, FALSE)</f>
        <v>Science 11</v>
      </c>
      <c r="E1026" s="2">
        <v>122</v>
      </c>
      <c r="F1026" s="2" t="s">
        <v>1720</v>
      </c>
      <c r="G1026" s="2">
        <v>1</v>
      </c>
      <c r="H1026" s="21">
        <v>0.8</v>
      </c>
      <c r="I1026" s="2">
        <v>1</v>
      </c>
    </row>
    <row r="1027" spans="1:9" ht="15.75" hidden="1" customHeight="1" x14ac:dyDescent="0.2">
      <c r="A1027" s="11">
        <v>1035</v>
      </c>
      <c r="B1027" s="2">
        <v>1035</v>
      </c>
      <c r="C1027" s="2">
        <v>105</v>
      </c>
      <c r="D1027" s="2" t="str">
        <f>VLOOKUP(C1027,Course!$A$1:$C$229, 2, FALSE)</f>
        <v>Science 11</v>
      </c>
      <c r="E1027" s="2">
        <v>123</v>
      </c>
      <c r="F1027" s="2" t="s">
        <v>1721</v>
      </c>
      <c r="G1027" s="2">
        <v>1</v>
      </c>
      <c r="H1027" s="21">
        <v>0.8</v>
      </c>
      <c r="I1027" s="2">
        <v>1</v>
      </c>
    </row>
    <row r="1028" spans="1:9" ht="15.75" hidden="1" customHeight="1" x14ac:dyDescent="0.2">
      <c r="A1028" s="11">
        <v>1036</v>
      </c>
      <c r="B1028" s="2">
        <v>1036</v>
      </c>
      <c r="C1028" s="2">
        <v>105</v>
      </c>
      <c r="D1028" s="2" t="str">
        <f>VLOOKUP(C1028,Course!$A$1:$C$229, 2, FALSE)</f>
        <v>Science 11</v>
      </c>
      <c r="E1028" s="2">
        <v>124</v>
      </c>
      <c r="F1028" s="2" t="s">
        <v>1722</v>
      </c>
      <c r="G1028" s="2">
        <v>1</v>
      </c>
      <c r="H1028" s="21">
        <v>0.8</v>
      </c>
      <c r="I1028" s="2">
        <v>1</v>
      </c>
    </row>
    <row r="1029" spans="1:9" ht="15.75" hidden="1" customHeight="1" x14ac:dyDescent="0.2">
      <c r="A1029" s="11">
        <v>1037</v>
      </c>
      <c r="B1029" s="2">
        <v>1037</v>
      </c>
      <c r="C1029" s="2">
        <v>105</v>
      </c>
      <c r="D1029" s="2" t="str">
        <f>VLOOKUP(C1029,Course!$A$1:$C$229, 2, FALSE)</f>
        <v>Science 11</v>
      </c>
      <c r="E1029" s="2">
        <v>125</v>
      </c>
      <c r="F1029" s="2" t="s">
        <v>1723</v>
      </c>
      <c r="G1029" s="2">
        <v>1</v>
      </c>
      <c r="H1029" s="21">
        <v>0.8</v>
      </c>
      <c r="I1029" s="2">
        <v>1</v>
      </c>
    </row>
    <row r="1030" spans="1:9" ht="15.75" hidden="1" customHeight="1" x14ac:dyDescent="0.2">
      <c r="A1030" s="11">
        <v>1038</v>
      </c>
      <c r="B1030" s="2">
        <v>1038</v>
      </c>
      <c r="C1030" s="2">
        <v>105</v>
      </c>
      <c r="D1030" s="2" t="str">
        <f>VLOOKUP(C1030,Course!$A$1:$C$229, 2, FALSE)</f>
        <v>Science 11</v>
      </c>
      <c r="E1030" s="2">
        <v>126</v>
      </c>
      <c r="F1030" s="2" t="s">
        <v>1724</v>
      </c>
      <c r="G1030" s="2">
        <v>1</v>
      </c>
      <c r="H1030" s="21">
        <v>0.8</v>
      </c>
      <c r="I1030" s="2">
        <v>1</v>
      </c>
    </row>
    <row r="1031" spans="1:9" ht="15.75" hidden="1" customHeight="1" x14ac:dyDescent="0.2">
      <c r="A1031" s="11">
        <v>1039</v>
      </c>
      <c r="B1031" s="2">
        <v>1039</v>
      </c>
      <c r="C1031" s="2">
        <v>105</v>
      </c>
      <c r="D1031" s="2" t="str">
        <f>VLOOKUP(C1031,Course!$A$1:$C$229, 2, FALSE)</f>
        <v>Science 11</v>
      </c>
      <c r="E1031" s="2">
        <v>127</v>
      </c>
      <c r="F1031" s="2" t="s">
        <v>1725</v>
      </c>
      <c r="G1031" s="2">
        <v>1</v>
      </c>
      <c r="H1031" s="21">
        <v>0.8</v>
      </c>
      <c r="I1031" s="2">
        <v>1</v>
      </c>
    </row>
    <row r="1032" spans="1:9" ht="15.75" hidden="1" customHeight="1" x14ac:dyDescent="0.2">
      <c r="A1032" s="11">
        <v>1040</v>
      </c>
      <c r="B1032" s="2">
        <v>1040</v>
      </c>
      <c r="C1032" s="2">
        <v>105</v>
      </c>
      <c r="D1032" s="2" t="str">
        <f>VLOOKUP(C1032,Course!$A$1:$C$229, 2, FALSE)</f>
        <v>Science 11</v>
      </c>
      <c r="E1032" s="2">
        <v>128</v>
      </c>
      <c r="F1032" s="2" t="s">
        <v>1726</v>
      </c>
      <c r="G1032" s="2">
        <v>1</v>
      </c>
      <c r="H1032" s="21">
        <v>0.8</v>
      </c>
      <c r="I1032" s="2">
        <v>1</v>
      </c>
    </row>
    <row r="1033" spans="1:9" ht="15.75" hidden="1" customHeight="1" x14ac:dyDescent="0.2">
      <c r="A1033" s="11">
        <v>1041</v>
      </c>
      <c r="B1033" s="2">
        <v>1041</v>
      </c>
      <c r="C1033" s="2">
        <v>105</v>
      </c>
      <c r="D1033" s="2" t="str">
        <f>VLOOKUP(C1033,Course!$A$1:$C$229, 2, FALSE)</f>
        <v>Science 11</v>
      </c>
      <c r="E1033" s="2">
        <v>129</v>
      </c>
      <c r="F1033" s="2" t="s">
        <v>1727</v>
      </c>
      <c r="G1033" s="2">
        <v>1</v>
      </c>
      <c r="H1033" s="21">
        <v>0.8</v>
      </c>
      <c r="I1033" s="2">
        <v>1</v>
      </c>
    </row>
    <row r="1034" spans="1:9" ht="15.75" hidden="1" customHeight="1" x14ac:dyDescent="0.2">
      <c r="A1034" s="11">
        <v>1042</v>
      </c>
      <c r="B1034" s="2">
        <v>1042</v>
      </c>
      <c r="C1034" s="2">
        <v>105</v>
      </c>
      <c r="D1034" s="2" t="str">
        <f>VLOOKUP(C1034,Course!$A$1:$C$229, 2, FALSE)</f>
        <v>Science 11</v>
      </c>
      <c r="E1034" s="2">
        <v>130</v>
      </c>
      <c r="F1034" s="2" t="s">
        <v>1728</v>
      </c>
      <c r="G1034" s="2">
        <v>1</v>
      </c>
      <c r="H1034" s="21">
        <v>0.8</v>
      </c>
      <c r="I1034" s="2">
        <v>1</v>
      </c>
    </row>
    <row r="1035" spans="1:9" ht="15.75" hidden="1" customHeight="1" x14ac:dyDescent="0.2">
      <c r="A1035" s="11">
        <v>1043</v>
      </c>
      <c r="B1035" s="2">
        <v>1043</v>
      </c>
      <c r="C1035" s="2">
        <v>105</v>
      </c>
      <c r="D1035" s="2" t="str">
        <f>VLOOKUP(C1035,Course!$A$1:$C$229, 2, FALSE)</f>
        <v>Science 11</v>
      </c>
      <c r="E1035" s="2">
        <v>131</v>
      </c>
      <c r="F1035" s="2" t="s">
        <v>1729</v>
      </c>
      <c r="G1035" s="2">
        <v>1</v>
      </c>
      <c r="H1035" s="21">
        <v>0.8</v>
      </c>
      <c r="I1035" s="2">
        <v>1</v>
      </c>
    </row>
    <row r="1036" spans="1:9" ht="15.75" hidden="1" customHeight="1" x14ac:dyDescent="0.2">
      <c r="A1036" s="11">
        <v>1044</v>
      </c>
      <c r="B1036" s="2">
        <v>1044</v>
      </c>
      <c r="C1036" s="2">
        <v>105</v>
      </c>
      <c r="D1036" s="2" t="str">
        <f>VLOOKUP(C1036,Course!$A$1:$C$229, 2, FALSE)</f>
        <v>Science 11</v>
      </c>
      <c r="E1036" s="2">
        <v>132</v>
      </c>
      <c r="F1036" s="2" t="s">
        <v>1730</v>
      </c>
      <c r="G1036" s="2">
        <v>1</v>
      </c>
      <c r="H1036" s="21">
        <v>0.8</v>
      </c>
      <c r="I1036" s="2">
        <v>1</v>
      </c>
    </row>
    <row r="1037" spans="1:9" ht="15.75" hidden="1" customHeight="1" x14ac:dyDescent="0.2">
      <c r="A1037" s="11">
        <v>1045</v>
      </c>
      <c r="B1037" s="2">
        <v>1045</v>
      </c>
      <c r="C1037" s="2">
        <v>106</v>
      </c>
      <c r="D1037" s="2" t="str">
        <f>VLOOKUP(C1037,Course!$A$1:$C$229, 2, FALSE)</f>
        <v>Basic New Testament Church History</v>
      </c>
      <c r="E1037" s="2">
        <v>121</v>
      </c>
      <c r="F1037" s="2" t="s">
        <v>1731</v>
      </c>
      <c r="G1037" s="2">
        <f t="shared" ref="G1037:G1048" si="7">1/12</f>
        <v>8.3333333333333329E-2</v>
      </c>
      <c r="H1037" s="21">
        <v>0.8</v>
      </c>
      <c r="I1037" s="2">
        <v>1</v>
      </c>
    </row>
    <row r="1038" spans="1:9" ht="15.75" hidden="1" customHeight="1" x14ac:dyDescent="0.2">
      <c r="A1038" s="11">
        <v>1046</v>
      </c>
      <c r="B1038" s="2">
        <v>1046</v>
      </c>
      <c r="C1038" s="2">
        <v>106</v>
      </c>
      <c r="D1038" s="2" t="str">
        <f>VLOOKUP(C1038,Course!$A$1:$C$229, 2, FALSE)</f>
        <v>Basic New Testament Church History</v>
      </c>
      <c r="E1038" s="2">
        <v>122</v>
      </c>
      <c r="F1038" s="2" t="s">
        <v>1732</v>
      </c>
      <c r="G1038" s="2">
        <f t="shared" si="7"/>
        <v>8.3333333333333329E-2</v>
      </c>
      <c r="H1038" s="21">
        <v>0.8</v>
      </c>
      <c r="I1038" s="2">
        <v>1</v>
      </c>
    </row>
    <row r="1039" spans="1:9" ht="15.75" hidden="1" customHeight="1" x14ac:dyDescent="0.2">
      <c r="A1039" s="11">
        <v>1047</v>
      </c>
      <c r="B1039" s="2">
        <v>1047</v>
      </c>
      <c r="C1039" s="2">
        <v>106</v>
      </c>
      <c r="D1039" s="2" t="str">
        <f>VLOOKUP(C1039,Course!$A$1:$C$229, 2, FALSE)</f>
        <v>Basic New Testament Church History</v>
      </c>
      <c r="E1039" s="2">
        <v>123</v>
      </c>
      <c r="F1039" s="2" t="s">
        <v>1733</v>
      </c>
      <c r="G1039" s="2">
        <f t="shared" si="7"/>
        <v>8.3333333333333329E-2</v>
      </c>
      <c r="H1039" s="21">
        <v>0.8</v>
      </c>
      <c r="I1039" s="2">
        <v>1</v>
      </c>
    </row>
    <row r="1040" spans="1:9" ht="15.75" hidden="1" customHeight="1" x14ac:dyDescent="0.2">
      <c r="A1040" s="11">
        <v>1048</v>
      </c>
      <c r="B1040" s="2">
        <v>1048</v>
      </c>
      <c r="C1040" s="2">
        <v>106</v>
      </c>
      <c r="D1040" s="2" t="str">
        <f>VLOOKUP(C1040,Course!$A$1:$C$229, 2, FALSE)</f>
        <v>Basic New Testament Church History</v>
      </c>
      <c r="E1040" s="2">
        <v>124</v>
      </c>
      <c r="F1040" s="2" t="s">
        <v>1734</v>
      </c>
      <c r="G1040" s="2">
        <f t="shared" si="7"/>
        <v>8.3333333333333329E-2</v>
      </c>
      <c r="H1040" s="21">
        <v>0.8</v>
      </c>
      <c r="I1040" s="2">
        <v>1</v>
      </c>
    </row>
    <row r="1041" spans="1:9" ht="15.75" hidden="1" customHeight="1" x14ac:dyDescent="0.2">
      <c r="A1041" s="11">
        <v>1049</v>
      </c>
      <c r="B1041" s="2">
        <v>1049</v>
      </c>
      <c r="C1041" s="2">
        <v>106</v>
      </c>
      <c r="D1041" s="2" t="str">
        <f>VLOOKUP(C1041,Course!$A$1:$C$229, 2, FALSE)</f>
        <v>Basic New Testament Church History</v>
      </c>
      <c r="E1041" s="2">
        <v>125</v>
      </c>
      <c r="F1041" s="2" t="s">
        <v>1735</v>
      </c>
      <c r="G1041" s="2">
        <f t="shared" si="7"/>
        <v>8.3333333333333329E-2</v>
      </c>
      <c r="H1041" s="21">
        <v>0.8</v>
      </c>
      <c r="I1041" s="2">
        <v>1</v>
      </c>
    </row>
    <row r="1042" spans="1:9" ht="15.75" hidden="1" customHeight="1" x14ac:dyDescent="0.2">
      <c r="A1042" s="11">
        <v>1050</v>
      </c>
      <c r="B1042" s="2">
        <v>1050</v>
      </c>
      <c r="C1042" s="2">
        <v>106</v>
      </c>
      <c r="D1042" s="2" t="str">
        <f>VLOOKUP(C1042,Course!$A$1:$C$229, 2, FALSE)</f>
        <v>Basic New Testament Church History</v>
      </c>
      <c r="E1042" s="2">
        <v>126</v>
      </c>
      <c r="F1042" s="2" t="s">
        <v>1736</v>
      </c>
      <c r="G1042" s="2">
        <f t="shared" si="7"/>
        <v>8.3333333333333329E-2</v>
      </c>
      <c r="H1042" s="21">
        <v>0.8</v>
      </c>
      <c r="I1042" s="2">
        <v>1</v>
      </c>
    </row>
    <row r="1043" spans="1:9" ht="15.75" hidden="1" customHeight="1" x14ac:dyDescent="0.2">
      <c r="A1043" s="11">
        <v>1051</v>
      </c>
      <c r="B1043" s="2">
        <v>1051</v>
      </c>
      <c r="C1043" s="2">
        <v>106</v>
      </c>
      <c r="D1043" s="2" t="str">
        <f>VLOOKUP(C1043,Course!$A$1:$C$229, 2, FALSE)</f>
        <v>Basic New Testament Church History</v>
      </c>
      <c r="E1043" s="2">
        <v>127</v>
      </c>
      <c r="F1043" s="2" t="s">
        <v>1737</v>
      </c>
      <c r="G1043" s="2">
        <f t="shared" si="7"/>
        <v>8.3333333333333329E-2</v>
      </c>
      <c r="H1043" s="21">
        <v>0.8</v>
      </c>
      <c r="I1043" s="2">
        <v>1</v>
      </c>
    </row>
    <row r="1044" spans="1:9" ht="15.75" hidden="1" customHeight="1" x14ac:dyDescent="0.2">
      <c r="A1044" s="11">
        <v>1052</v>
      </c>
      <c r="B1044" s="2">
        <v>1052</v>
      </c>
      <c r="C1044" s="2">
        <v>106</v>
      </c>
      <c r="D1044" s="2" t="str">
        <f>VLOOKUP(C1044,Course!$A$1:$C$229, 2, FALSE)</f>
        <v>Basic New Testament Church History</v>
      </c>
      <c r="E1044" s="2">
        <v>128</v>
      </c>
      <c r="F1044" s="2" t="s">
        <v>1738</v>
      </c>
      <c r="G1044" s="2">
        <f t="shared" si="7"/>
        <v>8.3333333333333329E-2</v>
      </c>
      <c r="H1044" s="21">
        <v>0.8</v>
      </c>
      <c r="I1044" s="2">
        <v>1</v>
      </c>
    </row>
    <row r="1045" spans="1:9" ht="15.75" hidden="1" customHeight="1" x14ac:dyDescent="0.2">
      <c r="A1045" s="11">
        <v>1053</v>
      </c>
      <c r="B1045" s="2">
        <v>1053</v>
      </c>
      <c r="C1045" s="2">
        <v>106</v>
      </c>
      <c r="D1045" s="2" t="str">
        <f>VLOOKUP(C1045,Course!$A$1:$C$229, 2, FALSE)</f>
        <v>Basic New Testament Church History</v>
      </c>
      <c r="E1045" s="2">
        <v>129</v>
      </c>
      <c r="F1045" s="2" t="s">
        <v>1739</v>
      </c>
      <c r="G1045" s="2">
        <f t="shared" si="7"/>
        <v>8.3333333333333329E-2</v>
      </c>
      <c r="H1045" s="21">
        <v>0.8</v>
      </c>
      <c r="I1045" s="2">
        <v>1</v>
      </c>
    </row>
    <row r="1046" spans="1:9" ht="15.75" hidden="1" customHeight="1" x14ac:dyDescent="0.2">
      <c r="A1046" s="11">
        <v>1054</v>
      </c>
      <c r="B1046" s="2">
        <v>1054</v>
      </c>
      <c r="C1046" s="2">
        <v>106</v>
      </c>
      <c r="D1046" s="2" t="str">
        <f>VLOOKUP(C1046,Course!$A$1:$C$229, 2, FALSE)</f>
        <v>Basic New Testament Church History</v>
      </c>
      <c r="E1046" s="2">
        <v>130</v>
      </c>
      <c r="F1046" s="2" t="s">
        <v>1740</v>
      </c>
      <c r="G1046" s="2">
        <f t="shared" si="7"/>
        <v>8.3333333333333329E-2</v>
      </c>
      <c r="H1046" s="21">
        <v>0.8</v>
      </c>
      <c r="I1046" s="2">
        <v>1</v>
      </c>
    </row>
    <row r="1047" spans="1:9" ht="15.75" hidden="1" customHeight="1" x14ac:dyDescent="0.2">
      <c r="A1047" s="11">
        <v>1055</v>
      </c>
      <c r="B1047" s="2">
        <v>1055</v>
      </c>
      <c r="C1047" s="2">
        <v>106</v>
      </c>
      <c r="D1047" s="2" t="str">
        <f>VLOOKUP(C1047,Course!$A$1:$C$229, 2, FALSE)</f>
        <v>Basic New Testament Church History</v>
      </c>
      <c r="E1047" s="2">
        <v>131</v>
      </c>
      <c r="F1047" s="2" t="s">
        <v>1741</v>
      </c>
      <c r="G1047" s="2">
        <f t="shared" si="7"/>
        <v>8.3333333333333329E-2</v>
      </c>
      <c r="H1047" s="21">
        <v>0.8</v>
      </c>
      <c r="I1047" s="2">
        <v>1</v>
      </c>
    </row>
    <row r="1048" spans="1:9" ht="15.75" hidden="1" customHeight="1" x14ac:dyDescent="0.2">
      <c r="A1048" s="11">
        <v>1056</v>
      </c>
      <c r="B1048" s="2">
        <v>1056</v>
      </c>
      <c r="C1048" s="2">
        <v>106</v>
      </c>
      <c r="D1048" s="2" t="str">
        <f>VLOOKUP(C1048,Course!$A$1:$C$229, 2, FALSE)</f>
        <v>Basic New Testament Church History</v>
      </c>
      <c r="E1048" s="2">
        <v>132</v>
      </c>
      <c r="F1048" s="2" t="s">
        <v>1742</v>
      </c>
      <c r="G1048" s="2">
        <f t="shared" si="7"/>
        <v>8.3333333333333329E-2</v>
      </c>
      <c r="H1048" s="21">
        <v>0.8</v>
      </c>
      <c r="I1048" s="2">
        <v>1</v>
      </c>
    </row>
    <row r="1049" spans="1:9" ht="15.75" hidden="1" customHeight="1" x14ac:dyDescent="0.2">
      <c r="A1049" s="11">
        <v>1057</v>
      </c>
      <c r="B1049" s="2">
        <v>1057</v>
      </c>
      <c r="C1049" s="2">
        <v>107</v>
      </c>
      <c r="D1049" s="2">
        <f>VLOOKUP(C1049,Course!$A$1:$C$229, 2, FALSE)</f>
        <v>0</v>
      </c>
      <c r="E1049" s="2">
        <v>121</v>
      </c>
      <c r="F1049" s="2" t="s">
        <v>1743</v>
      </c>
      <c r="G1049" s="2">
        <v>1</v>
      </c>
      <c r="H1049" s="21">
        <v>0.8</v>
      </c>
      <c r="I1049" s="2">
        <v>1</v>
      </c>
    </row>
    <row r="1050" spans="1:9" ht="15.75" hidden="1" customHeight="1" x14ac:dyDescent="0.2">
      <c r="A1050" s="11">
        <v>1058</v>
      </c>
      <c r="B1050" s="2">
        <v>1058</v>
      </c>
      <c r="C1050" s="2">
        <v>107</v>
      </c>
      <c r="D1050" s="2">
        <f>VLOOKUP(C1050,Course!$A$1:$C$229, 2, FALSE)</f>
        <v>0</v>
      </c>
      <c r="E1050" s="2">
        <v>122</v>
      </c>
      <c r="F1050" s="2" t="s">
        <v>1744</v>
      </c>
      <c r="G1050" s="2">
        <v>1</v>
      </c>
      <c r="H1050" s="21">
        <v>0.8</v>
      </c>
      <c r="I1050" s="2">
        <v>1</v>
      </c>
    </row>
    <row r="1051" spans="1:9" ht="15.75" hidden="1" customHeight="1" x14ac:dyDescent="0.2">
      <c r="A1051" s="11">
        <v>1059</v>
      </c>
      <c r="B1051" s="2">
        <v>1059</v>
      </c>
      <c r="C1051" s="2">
        <v>107</v>
      </c>
      <c r="D1051" s="2">
        <f>VLOOKUP(C1051,Course!$A$1:$C$229, 2, FALSE)</f>
        <v>0</v>
      </c>
      <c r="E1051" s="2">
        <v>123</v>
      </c>
      <c r="F1051" s="2" t="s">
        <v>1745</v>
      </c>
      <c r="G1051" s="2">
        <v>1</v>
      </c>
      <c r="H1051" s="21">
        <v>0.8</v>
      </c>
      <c r="I1051" s="2">
        <v>1</v>
      </c>
    </row>
    <row r="1052" spans="1:9" ht="15.75" hidden="1" customHeight="1" x14ac:dyDescent="0.2">
      <c r="A1052" s="11">
        <v>1060</v>
      </c>
      <c r="B1052" s="2">
        <v>1060</v>
      </c>
      <c r="C1052" s="2">
        <v>107</v>
      </c>
      <c r="D1052" s="2">
        <f>VLOOKUP(C1052,Course!$A$1:$C$229, 2, FALSE)</f>
        <v>0</v>
      </c>
      <c r="E1052" s="2">
        <v>124</v>
      </c>
      <c r="F1052" s="2" t="s">
        <v>1746</v>
      </c>
      <c r="G1052" s="2">
        <v>1</v>
      </c>
      <c r="H1052" s="21">
        <v>0.8</v>
      </c>
      <c r="I1052" s="2">
        <v>1</v>
      </c>
    </row>
    <row r="1053" spans="1:9" ht="15.75" hidden="1" customHeight="1" x14ac:dyDescent="0.2">
      <c r="A1053" s="11">
        <v>1061</v>
      </c>
      <c r="B1053" s="2">
        <v>1061</v>
      </c>
      <c r="C1053" s="2">
        <v>107</v>
      </c>
      <c r="D1053" s="2">
        <f>VLOOKUP(C1053,Course!$A$1:$C$229, 2, FALSE)</f>
        <v>0</v>
      </c>
      <c r="E1053" s="2">
        <v>125</v>
      </c>
      <c r="F1053" s="2" t="s">
        <v>1747</v>
      </c>
      <c r="G1053" s="2">
        <v>1</v>
      </c>
      <c r="H1053" s="21">
        <v>0.8</v>
      </c>
      <c r="I1053" s="2">
        <v>1</v>
      </c>
    </row>
    <row r="1054" spans="1:9" ht="15.75" hidden="1" customHeight="1" x14ac:dyDescent="0.2">
      <c r="A1054" s="11">
        <v>1062</v>
      </c>
      <c r="B1054" s="2">
        <v>1062</v>
      </c>
      <c r="C1054" s="2">
        <v>107</v>
      </c>
      <c r="D1054" s="2">
        <f>VLOOKUP(C1054,Course!$A$1:$C$229, 2, FALSE)</f>
        <v>0</v>
      </c>
      <c r="E1054" s="2">
        <v>126</v>
      </c>
      <c r="F1054" s="2" t="s">
        <v>1748</v>
      </c>
      <c r="G1054" s="2">
        <v>1</v>
      </c>
      <c r="H1054" s="21">
        <v>0.8</v>
      </c>
      <c r="I1054" s="2">
        <v>1</v>
      </c>
    </row>
    <row r="1055" spans="1:9" ht="15.75" hidden="1" customHeight="1" x14ac:dyDescent="0.2">
      <c r="A1055" s="11">
        <v>1063</v>
      </c>
      <c r="B1055" s="2">
        <v>1063</v>
      </c>
      <c r="C1055" s="2">
        <v>107</v>
      </c>
      <c r="D1055" s="2">
        <f>VLOOKUP(C1055,Course!$A$1:$C$229, 2, FALSE)</f>
        <v>0</v>
      </c>
      <c r="E1055" s="2">
        <v>127</v>
      </c>
      <c r="F1055" s="2" t="s">
        <v>1749</v>
      </c>
      <c r="G1055" s="2">
        <v>1</v>
      </c>
      <c r="H1055" s="21">
        <v>0.8</v>
      </c>
      <c r="I1055" s="2">
        <v>1</v>
      </c>
    </row>
    <row r="1056" spans="1:9" ht="15.75" hidden="1" customHeight="1" x14ac:dyDescent="0.2">
      <c r="A1056" s="11">
        <v>1064</v>
      </c>
      <c r="B1056" s="2">
        <v>1064</v>
      </c>
      <c r="C1056" s="2">
        <v>107</v>
      </c>
      <c r="D1056" s="2">
        <f>VLOOKUP(C1056,Course!$A$1:$C$229, 2, FALSE)</f>
        <v>0</v>
      </c>
      <c r="E1056" s="2">
        <v>128</v>
      </c>
      <c r="F1056" s="2" t="s">
        <v>1750</v>
      </c>
      <c r="G1056" s="2">
        <v>1</v>
      </c>
      <c r="H1056" s="21">
        <v>0.8</v>
      </c>
      <c r="I1056" s="2">
        <v>1</v>
      </c>
    </row>
    <row r="1057" spans="1:9" ht="15.75" hidden="1" customHeight="1" x14ac:dyDescent="0.2">
      <c r="A1057" s="11">
        <v>1065</v>
      </c>
      <c r="B1057" s="2">
        <v>1065</v>
      </c>
      <c r="C1057" s="2">
        <v>107</v>
      </c>
      <c r="D1057" s="2">
        <f>VLOOKUP(C1057,Course!$A$1:$C$229, 2, FALSE)</f>
        <v>0</v>
      </c>
      <c r="E1057" s="2">
        <v>129</v>
      </c>
      <c r="F1057" s="2" t="s">
        <v>1751</v>
      </c>
      <c r="G1057" s="2">
        <v>1</v>
      </c>
      <c r="H1057" s="21">
        <v>0.8</v>
      </c>
      <c r="I1057" s="2">
        <v>1</v>
      </c>
    </row>
    <row r="1058" spans="1:9" ht="15.75" hidden="1" customHeight="1" x14ac:dyDescent="0.2">
      <c r="A1058" s="11">
        <v>1066</v>
      </c>
      <c r="B1058" s="2">
        <v>1066</v>
      </c>
      <c r="C1058" s="2">
        <v>107</v>
      </c>
      <c r="D1058" s="2">
        <f>VLOOKUP(C1058,Course!$A$1:$C$229, 2, FALSE)</f>
        <v>0</v>
      </c>
      <c r="E1058" s="2">
        <v>130</v>
      </c>
      <c r="F1058" s="2" t="s">
        <v>1752</v>
      </c>
      <c r="G1058" s="2">
        <v>1</v>
      </c>
      <c r="H1058" s="21">
        <v>0.8</v>
      </c>
      <c r="I1058" s="2">
        <v>1</v>
      </c>
    </row>
    <row r="1059" spans="1:9" ht="15.75" hidden="1" customHeight="1" x14ac:dyDescent="0.2">
      <c r="A1059" s="11">
        <v>1067</v>
      </c>
      <c r="B1059" s="2">
        <v>1067</v>
      </c>
      <c r="C1059" s="2">
        <v>107</v>
      </c>
      <c r="D1059" s="2">
        <f>VLOOKUP(C1059,Course!$A$1:$C$229, 2, FALSE)</f>
        <v>0</v>
      </c>
      <c r="E1059" s="2">
        <v>131</v>
      </c>
      <c r="F1059" s="2" t="s">
        <v>1753</v>
      </c>
      <c r="G1059" s="2">
        <v>1</v>
      </c>
      <c r="H1059" s="21">
        <v>0.8</v>
      </c>
      <c r="I1059" s="2">
        <v>1</v>
      </c>
    </row>
    <row r="1060" spans="1:9" ht="15.75" hidden="1" customHeight="1" x14ac:dyDescent="0.2">
      <c r="A1060" s="11">
        <v>1068</v>
      </c>
      <c r="B1060" s="2">
        <v>1068</v>
      </c>
      <c r="C1060" s="2">
        <v>107</v>
      </c>
      <c r="D1060" s="2">
        <f>VLOOKUP(C1060,Course!$A$1:$C$229, 2, FALSE)</f>
        <v>0</v>
      </c>
      <c r="E1060" s="2">
        <v>132</v>
      </c>
      <c r="F1060" s="2" t="s">
        <v>1754</v>
      </c>
      <c r="G1060" s="2">
        <v>1</v>
      </c>
      <c r="H1060" s="21">
        <v>0.8</v>
      </c>
      <c r="I1060" s="2">
        <v>1</v>
      </c>
    </row>
    <row r="1061" spans="1:9" ht="15.75" hidden="1" customHeight="1" x14ac:dyDescent="0.2">
      <c r="A1061" s="11">
        <v>1069</v>
      </c>
      <c r="B1061" s="2">
        <v>1069</v>
      </c>
      <c r="C1061" s="2">
        <v>108</v>
      </c>
      <c r="D1061" s="2" t="str">
        <f>VLOOKUP(C1061,Course!$A$1:$C$229, 2, FALSE)</f>
        <v>Basic Mathematics I</v>
      </c>
      <c r="E1061" s="2">
        <v>1</v>
      </c>
      <c r="F1061" s="2" t="s">
        <v>1755</v>
      </c>
      <c r="G1061" s="2">
        <v>1</v>
      </c>
      <c r="H1061" s="21">
        <v>0.8</v>
      </c>
      <c r="I1061" s="2">
        <v>1</v>
      </c>
    </row>
    <row r="1062" spans="1:9" ht="15.75" hidden="1" customHeight="1" x14ac:dyDescent="0.2">
      <c r="A1062" s="11">
        <v>1070</v>
      </c>
      <c r="B1062" s="2">
        <v>1070</v>
      </c>
      <c r="C1062" s="2">
        <v>108</v>
      </c>
      <c r="D1062" s="2" t="str">
        <f>VLOOKUP(C1062,Course!$A$1:$C$229, 2, FALSE)</f>
        <v>Basic Mathematics I</v>
      </c>
      <c r="E1062" s="2">
        <v>2</v>
      </c>
      <c r="F1062" s="2" t="s">
        <v>1756</v>
      </c>
      <c r="G1062" s="2">
        <v>1</v>
      </c>
      <c r="H1062" s="21">
        <v>0.8</v>
      </c>
      <c r="I1062" s="2">
        <v>1</v>
      </c>
    </row>
    <row r="1063" spans="1:9" ht="15.75" hidden="1" customHeight="1" x14ac:dyDescent="0.2">
      <c r="A1063" s="11">
        <v>1071</v>
      </c>
      <c r="B1063" s="2">
        <v>1071</v>
      </c>
      <c r="C1063" s="2">
        <v>108</v>
      </c>
      <c r="D1063" s="2" t="str">
        <f>VLOOKUP(C1063,Course!$A$1:$C$229, 2, FALSE)</f>
        <v>Basic Mathematics I</v>
      </c>
      <c r="E1063" s="2">
        <v>3</v>
      </c>
      <c r="F1063" s="2" t="s">
        <v>1757</v>
      </c>
      <c r="G1063" s="2">
        <v>1</v>
      </c>
      <c r="H1063" s="21">
        <v>0.8</v>
      </c>
      <c r="I1063" s="2">
        <v>1</v>
      </c>
    </row>
    <row r="1064" spans="1:9" ht="15.75" hidden="1" customHeight="1" x14ac:dyDescent="0.2">
      <c r="A1064" s="11">
        <v>1072</v>
      </c>
      <c r="B1064" s="2">
        <v>1072</v>
      </c>
      <c r="C1064" s="2">
        <v>108</v>
      </c>
      <c r="D1064" s="2" t="str">
        <f>VLOOKUP(C1064,Course!$A$1:$C$229, 2, FALSE)</f>
        <v>Basic Mathematics I</v>
      </c>
      <c r="E1064" s="2">
        <v>4</v>
      </c>
      <c r="F1064" s="2" t="s">
        <v>1758</v>
      </c>
      <c r="G1064" s="2">
        <v>1</v>
      </c>
      <c r="H1064" s="21">
        <v>0.8</v>
      </c>
      <c r="I1064" s="2">
        <v>1</v>
      </c>
    </row>
    <row r="1065" spans="1:9" ht="15.75" hidden="1" customHeight="1" x14ac:dyDescent="0.2">
      <c r="A1065" s="11">
        <v>1073</v>
      </c>
      <c r="B1065" s="2">
        <v>1073</v>
      </c>
      <c r="C1065" s="2">
        <v>108</v>
      </c>
      <c r="D1065" s="2" t="str">
        <f>VLOOKUP(C1065,Course!$A$1:$C$229, 2, FALSE)</f>
        <v>Basic Mathematics I</v>
      </c>
      <c r="E1065" s="2">
        <v>5</v>
      </c>
      <c r="F1065" s="2" t="s">
        <v>1759</v>
      </c>
      <c r="G1065" s="2">
        <v>1</v>
      </c>
      <c r="H1065" s="21">
        <v>0.8</v>
      </c>
      <c r="I1065" s="2">
        <v>1</v>
      </c>
    </row>
    <row r="1066" spans="1:9" ht="15.75" hidden="1" customHeight="1" x14ac:dyDescent="0.2">
      <c r="A1066" s="11">
        <v>1074</v>
      </c>
      <c r="B1066" s="2">
        <v>1074</v>
      </c>
      <c r="C1066" s="2">
        <v>108</v>
      </c>
      <c r="D1066" s="2" t="str">
        <f>VLOOKUP(C1066,Course!$A$1:$C$229, 2, FALSE)</f>
        <v>Basic Mathematics I</v>
      </c>
      <c r="E1066" s="2">
        <v>6</v>
      </c>
      <c r="F1066" s="2" t="s">
        <v>1760</v>
      </c>
      <c r="G1066" s="2">
        <v>1</v>
      </c>
      <c r="H1066" s="21">
        <v>0.8</v>
      </c>
      <c r="I1066" s="2">
        <v>1</v>
      </c>
    </row>
    <row r="1067" spans="1:9" ht="15.75" hidden="1" customHeight="1" x14ac:dyDescent="0.2">
      <c r="A1067" s="11">
        <v>1075</v>
      </c>
      <c r="B1067" s="2">
        <v>1075</v>
      </c>
      <c r="C1067" s="2">
        <v>108</v>
      </c>
      <c r="D1067" s="2" t="str">
        <f>VLOOKUP(C1067,Course!$A$1:$C$229, 2, FALSE)</f>
        <v>Basic Mathematics I</v>
      </c>
      <c r="E1067" s="2">
        <v>7</v>
      </c>
      <c r="F1067" s="2" t="s">
        <v>1761</v>
      </c>
      <c r="G1067" s="2">
        <v>1</v>
      </c>
      <c r="H1067" s="21">
        <v>0.8</v>
      </c>
      <c r="I1067" s="2">
        <v>1</v>
      </c>
    </row>
    <row r="1068" spans="1:9" ht="15.75" hidden="1" customHeight="1" x14ac:dyDescent="0.2">
      <c r="A1068" s="11">
        <v>1076</v>
      </c>
      <c r="B1068" s="2">
        <v>1076</v>
      </c>
      <c r="C1068" s="2">
        <v>108</v>
      </c>
      <c r="D1068" s="2" t="str">
        <f>VLOOKUP(C1068,Course!$A$1:$C$229, 2, FALSE)</f>
        <v>Basic Mathematics I</v>
      </c>
      <c r="E1068" s="2">
        <v>8</v>
      </c>
      <c r="F1068" s="2" t="s">
        <v>1762</v>
      </c>
      <c r="G1068" s="2">
        <v>1</v>
      </c>
      <c r="H1068" s="21">
        <v>0.8</v>
      </c>
      <c r="I1068" s="2">
        <v>1</v>
      </c>
    </row>
    <row r="1069" spans="1:9" ht="15.75" hidden="1" customHeight="1" x14ac:dyDescent="0.2">
      <c r="A1069" s="11">
        <v>1077</v>
      </c>
      <c r="B1069" s="2">
        <v>1077</v>
      </c>
      <c r="C1069" s="2">
        <v>108</v>
      </c>
      <c r="D1069" s="2" t="str">
        <f>VLOOKUP(C1069,Course!$A$1:$C$229, 2, FALSE)</f>
        <v>Basic Mathematics I</v>
      </c>
      <c r="E1069" s="2">
        <v>9</v>
      </c>
      <c r="F1069" s="2" t="s">
        <v>1763</v>
      </c>
      <c r="G1069" s="2">
        <v>1</v>
      </c>
      <c r="H1069" s="21">
        <v>0.8</v>
      </c>
      <c r="I1069" s="2">
        <v>1</v>
      </c>
    </row>
    <row r="1070" spans="1:9" ht="15.75" hidden="1" customHeight="1" x14ac:dyDescent="0.2">
      <c r="A1070" s="11">
        <v>1078</v>
      </c>
      <c r="B1070" s="2">
        <v>1078</v>
      </c>
      <c r="C1070" s="2">
        <v>108</v>
      </c>
      <c r="D1070" s="2" t="str">
        <f>VLOOKUP(C1070,Course!$A$1:$C$229, 2, FALSE)</f>
        <v>Basic Mathematics I</v>
      </c>
      <c r="E1070" s="2">
        <v>10</v>
      </c>
      <c r="F1070" s="2" t="s">
        <v>1764</v>
      </c>
      <c r="G1070" s="2">
        <v>1</v>
      </c>
      <c r="H1070" s="21">
        <v>0.8</v>
      </c>
      <c r="I1070" s="2">
        <v>1</v>
      </c>
    </row>
    <row r="1071" spans="1:9" ht="15.75" hidden="1" customHeight="1" x14ac:dyDescent="0.2">
      <c r="A1071" s="11">
        <v>1079</v>
      </c>
      <c r="B1071" s="2">
        <v>1079</v>
      </c>
      <c r="C1071" s="2">
        <v>109</v>
      </c>
      <c r="D1071" s="2" t="str">
        <f>VLOOKUP(C1071,Course!$A$1:$C$229, 2, FALSE)</f>
        <v>Basic Mathematics II Precalculus</v>
      </c>
      <c r="E1071" s="2">
        <v>11</v>
      </c>
      <c r="F1071" s="2" t="s">
        <v>1765</v>
      </c>
      <c r="G1071" s="2">
        <v>1</v>
      </c>
      <c r="H1071" s="21">
        <v>0.8</v>
      </c>
      <c r="I1071" s="2">
        <v>1</v>
      </c>
    </row>
    <row r="1072" spans="1:9" ht="15.75" hidden="1" customHeight="1" x14ac:dyDescent="0.2">
      <c r="A1072" s="11">
        <v>1080</v>
      </c>
      <c r="B1072" s="2">
        <v>1080</v>
      </c>
      <c r="C1072" s="2">
        <v>109</v>
      </c>
      <c r="D1072" s="2" t="str">
        <f>VLOOKUP(C1072,Course!$A$1:$C$229, 2, FALSE)</f>
        <v>Basic Mathematics II Precalculus</v>
      </c>
      <c r="E1072" s="2">
        <v>12</v>
      </c>
      <c r="F1072" s="2" t="s">
        <v>1766</v>
      </c>
      <c r="G1072" s="2">
        <v>1</v>
      </c>
      <c r="H1072" s="21">
        <v>0.8</v>
      </c>
      <c r="I1072" s="2">
        <v>1</v>
      </c>
    </row>
    <row r="1073" spans="1:9" ht="15.75" hidden="1" customHeight="1" x14ac:dyDescent="0.2">
      <c r="A1073" s="11">
        <v>1081</v>
      </c>
      <c r="B1073" s="2">
        <v>1081</v>
      </c>
      <c r="C1073" s="2">
        <v>109</v>
      </c>
      <c r="D1073" s="2" t="str">
        <f>VLOOKUP(C1073,Course!$A$1:$C$229, 2, FALSE)</f>
        <v>Basic Mathematics II Precalculus</v>
      </c>
      <c r="E1073" s="2">
        <v>13</v>
      </c>
      <c r="F1073" s="2" t="s">
        <v>1767</v>
      </c>
      <c r="G1073" s="2">
        <v>1</v>
      </c>
      <c r="H1073" s="21">
        <v>0.8</v>
      </c>
      <c r="I1073" s="2">
        <v>1</v>
      </c>
    </row>
    <row r="1074" spans="1:9" ht="15.75" hidden="1" customHeight="1" x14ac:dyDescent="0.2">
      <c r="A1074" s="11">
        <v>1082</v>
      </c>
      <c r="B1074" s="2">
        <v>1082</v>
      </c>
      <c r="C1074" s="2">
        <v>109</v>
      </c>
      <c r="D1074" s="2" t="str">
        <f>VLOOKUP(C1074,Course!$A$1:$C$229, 2, FALSE)</f>
        <v>Basic Mathematics II Precalculus</v>
      </c>
      <c r="E1074" s="2">
        <v>14</v>
      </c>
      <c r="F1074" s="2" t="s">
        <v>1768</v>
      </c>
      <c r="G1074" s="2">
        <v>1</v>
      </c>
      <c r="H1074" s="21">
        <v>0.8</v>
      </c>
      <c r="I1074" s="2">
        <v>1</v>
      </c>
    </row>
    <row r="1075" spans="1:9" ht="15.75" hidden="1" customHeight="1" x14ac:dyDescent="0.2">
      <c r="A1075" s="11">
        <v>1083</v>
      </c>
      <c r="B1075" s="2">
        <v>1083</v>
      </c>
      <c r="C1075" s="2">
        <v>109</v>
      </c>
      <c r="D1075" s="2" t="str">
        <f>VLOOKUP(C1075,Course!$A$1:$C$229, 2, FALSE)</f>
        <v>Basic Mathematics II Precalculus</v>
      </c>
      <c r="E1075" s="2">
        <v>15</v>
      </c>
      <c r="F1075" s="2" t="s">
        <v>1769</v>
      </c>
      <c r="G1075" s="2">
        <v>1</v>
      </c>
      <c r="H1075" s="21">
        <v>0.8</v>
      </c>
      <c r="I1075" s="2">
        <v>1</v>
      </c>
    </row>
    <row r="1076" spans="1:9" ht="15.75" hidden="1" customHeight="1" x14ac:dyDescent="0.2">
      <c r="A1076" s="11">
        <v>1084</v>
      </c>
      <c r="B1076" s="2">
        <v>1084</v>
      </c>
      <c r="C1076" s="2">
        <v>109</v>
      </c>
      <c r="D1076" s="2" t="str">
        <f>VLOOKUP(C1076,Course!$A$1:$C$229, 2, FALSE)</f>
        <v>Basic Mathematics II Precalculus</v>
      </c>
      <c r="E1076" s="2">
        <v>16</v>
      </c>
      <c r="F1076" s="2" t="s">
        <v>1770</v>
      </c>
      <c r="G1076" s="2">
        <v>1</v>
      </c>
      <c r="H1076" s="21">
        <v>0.8</v>
      </c>
      <c r="I1076" s="2">
        <v>1</v>
      </c>
    </row>
    <row r="1077" spans="1:9" ht="15.75" hidden="1" customHeight="1" x14ac:dyDescent="0.2">
      <c r="A1077" s="11">
        <v>1085</v>
      </c>
      <c r="B1077" s="2">
        <v>1085</v>
      </c>
      <c r="C1077" s="2">
        <v>109</v>
      </c>
      <c r="D1077" s="2" t="str">
        <f>VLOOKUP(C1077,Course!$A$1:$C$229, 2, FALSE)</f>
        <v>Basic Mathematics II Precalculus</v>
      </c>
      <c r="E1077" s="2">
        <v>17</v>
      </c>
      <c r="F1077" s="2" t="s">
        <v>1771</v>
      </c>
      <c r="G1077" s="2">
        <v>1</v>
      </c>
      <c r="H1077" s="21">
        <v>0.8</v>
      </c>
      <c r="I1077" s="2">
        <v>1</v>
      </c>
    </row>
    <row r="1078" spans="1:9" ht="15.75" hidden="1" customHeight="1" x14ac:dyDescent="0.2">
      <c r="A1078" s="11">
        <v>1086</v>
      </c>
      <c r="B1078" s="2">
        <v>1086</v>
      </c>
      <c r="C1078" s="2">
        <v>109</v>
      </c>
      <c r="D1078" s="2" t="str">
        <f>VLOOKUP(C1078,Course!$A$1:$C$229, 2, FALSE)</f>
        <v>Basic Mathematics II Precalculus</v>
      </c>
      <c r="E1078" s="2">
        <v>18</v>
      </c>
      <c r="F1078" s="2" t="s">
        <v>1772</v>
      </c>
      <c r="G1078" s="2">
        <v>1</v>
      </c>
      <c r="H1078" s="21">
        <v>0.8</v>
      </c>
      <c r="I1078" s="2">
        <v>1</v>
      </c>
    </row>
    <row r="1079" spans="1:9" ht="15.75" hidden="1" customHeight="1" x14ac:dyDescent="0.2">
      <c r="A1079" s="11">
        <v>1087</v>
      </c>
      <c r="B1079" s="2">
        <v>1087</v>
      </c>
      <c r="C1079" s="2">
        <v>109</v>
      </c>
      <c r="D1079" s="2" t="str">
        <f>VLOOKUP(C1079,Course!$A$1:$C$229, 2, FALSE)</f>
        <v>Basic Mathematics II Precalculus</v>
      </c>
      <c r="E1079" s="2">
        <v>19</v>
      </c>
      <c r="F1079" s="2" t="s">
        <v>1773</v>
      </c>
      <c r="G1079" s="2">
        <v>1</v>
      </c>
      <c r="H1079" s="21">
        <v>0.8</v>
      </c>
      <c r="I1079" s="2">
        <v>1</v>
      </c>
    </row>
    <row r="1080" spans="1:9" ht="15.75" hidden="1" customHeight="1" x14ac:dyDescent="0.2">
      <c r="A1080" s="11">
        <v>1088</v>
      </c>
      <c r="B1080" s="2">
        <v>1088</v>
      </c>
      <c r="C1080" s="2">
        <v>109</v>
      </c>
      <c r="D1080" s="2" t="str">
        <f>VLOOKUP(C1080,Course!$A$1:$C$229, 2, FALSE)</f>
        <v>Basic Mathematics II Precalculus</v>
      </c>
      <c r="E1080" s="2">
        <v>20</v>
      </c>
      <c r="F1080" s="2" t="s">
        <v>1774</v>
      </c>
      <c r="G1080" s="2">
        <v>1</v>
      </c>
      <c r="H1080" s="21">
        <v>0.8</v>
      </c>
      <c r="I1080" s="2">
        <v>1</v>
      </c>
    </row>
    <row r="1081" spans="1:9" ht="15.75" hidden="1" customHeight="1" x14ac:dyDescent="0.2">
      <c r="A1081" s="11">
        <v>1089</v>
      </c>
      <c r="B1081" s="2">
        <v>1089</v>
      </c>
      <c r="C1081" s="2">
        <v>110</v>
      </c>
      <c r="D1081" s="2">
        <f>VLOOKUP(C1081,Course!$A$1:$C$229, 2, FALSE)</f>
        <v>0</v>
      </c>
      <c r="E1081" s="2">
        <v>139</v>
      </c>
      <c r="F1081" s="2" t="s">
        <v>1775</v>
      </c>
      <c r="G1081" s="2">
        <v>1</v>
      </c>
      <c r="H1081" s="21">
        <v>0.8</v>
      </c>
      <c r="I1081" s="2">
        <v>1</v>
      </c>
    </row>
    <row r="1082" spans="1:9" ht="15.75" hidden="1" customHeight="1" x14ac:dyDescent="0.2">
      <c r="A1082" s="11">
        <v>1090</v>
      </c>
      <c r="B1082" s="2">
        <v>1090</v>
      </c>
      <c r="C1082" s="2">
        <v>110</v>
      </c>
      <c r="D1082" s="2">
        <f>VLOOKUP(C1082,Course!$A$1:$C$229, 2, FALSE)</f>
        <v>0</v>
      </c>
      <c r="E1082" s="2">
        <v>140</v>
      </c>
      <c r="F1082" s="2" t="s">
        <v>1776</v>
      </c>
      <c r="G1082" s="2">
        <v>1</v>
      </c>
      <c r="H1082" s="21">
        <v>0.8</v>
      </c>
      <c r="I1082" s="2">
        <v>1</v>
      </c>
    </row>
    <row r="1083" spans="1:9" ht="15.75" hidden="1" customHeight="1" x14ac:dyDescent="0.2">
      <c r="A1083" s="11">
        <v>1091</v>
      </c>
      <c r="B1083" s="2">
        <v>1091</v>
      </c>
      <c r="C1083" s="2">
        <v>110</v>
      </c>
      <c r="D1083" s="2">
        <f>VLOOKUP(C1083,Course!$A$1:$C$229, 2, FALSE)</f>
        <v>0</v>
      </c>
      <c r="E1083" s="2">
        <v>141</v>
      </c>
      <c r="F1083" s="2" t="s">
        <v>1777</v>
      </c>
      <c r="G1083" s="2">
        <v>1</v>
      </c>
      <c r="H1083" s="21">
        <v>0.8</v>
      </c>
      <c r="I1083" s="2">
        <v>1</v>
      </c>
    </row>
    <row r="1084" spans="1:9" ht="15.75" hidden="1" customHeight="1" x14ac:dyDescent="0.2">
      <c r="A1084" s="11">
        <v>1092</v>
      </c>
      <c r="B1084" s="2">
        <v>1092</v>
      </c>
      <c r="C1084" s="2">
        <v>110</v>
      </c>
      <c r="D1084" s="2">
        <f>VLOOKUP(C1084,Course!$A$1:$C$229, 2, FALSE)</f>
        <v>0</v>
      </c>
      <c r="E1084" s="2">
        <v>142</v>
      </c>
      <c r="F1084" s="2" t="s">
        <v>1778</v>
      </c>
      <c r="G1084" s="2">
        <v>1</v>
      </c>
      <c r="H1084" s="21">
        <v>0.8</v>
      </c>
      <c r="I1084" s="2">
        <v>1</v>
      </c>
    </row>
    <row r="1085" spans="1:9" ht="15.75" hidden="1" customHeight="1" x14ac:dyDescent="0.2">
      <c r="A1085" s="11">
        <v>1093</v>
      </c>
      <c r="B1085" s="2">
        <v>1093</v>
      </c>
      <c r="C1085" s="2">
        <v>110</v>
      </c>
      <c r="D1085" s="2">
        <f>VLOOKUP(C1085,Course!$A$1:$C$229, 2, FALSE)</f>
        <v>0</v>
      </c>
      <c r="E1085" s="2">
        <v>143</v>
      </c>
      <c r="F1085" s="2" t="s">
        <v>1779</v>
      </c>
      <c r="G1085" s="2">
        <v>1</v>
      </c>
      <c r="H1085" s="21">
        <v>0.8</v>
      </c>
      <c r="I1085" s="2">
        <v>1</v>
      </c>
    </row>
    <row r="1086" spans="1:9" ht="15.75" hidden="1" customHeight="1" x14ac:dyDescent="0.2">
      <c r="A1086" s="11">
        <v>1094</v>
      </c>
      <c r="B1086" s="2">
        <v>1094</v>
      </c>
      <c r="C1086" s="2">
        <v>110</v>
      </c>
      <c r="D1086" s="2">
        <f>VLOOKUP(C1086,Course!$A$1:$C$229, 2, FALSE)</f>
        <v>0</v>
      </c>
      <c r="E1086" s="2">
        <v>144</v>
      </c>
      <c r="F1086" s="2" t="s">
        <v>1780</v>
      </c>
      <c r="G1086" s="2">
        <v>1</v>
      </c>
      <c r="H1086" s="21">
        <v>0.8</v>
      </c>
      <c r="I1086" s="2">
        <v>1</v>
      </c>
    </row>
    <row r="1087" spans="1:9" ht="15.75" hidden="1" customHeight="1" x14ac:dyDescent="0.2">
      <c r="A1087" s="11">
        <v>1095</v>
      </c>
      <c r="B1087" s="2">
        <v>1095</v>
      </c>
      <c r="C1087" s="2">
        <v>111</v>
      </c>
      <c r="D1087" s="2">
        <f>VLOOKUP(C1087,Course!$A$1:$C$229, 2, FALSE)</f>
        <v>0</v>
      </c>
      <c r="E1087" s="2">
        <v>133</v>
      </c>
      <c r="F1087" s="2" t="s">
        <v>1781</v>
      </c>
      <c r="G1087" s="2">
        <v>1</v>
      </c>
      <c r="H1087" s="21">
        <v>0.8</v>
      </c>
      <c r="I1087" s="2">
        <v>1</v>
      </c>
    </row>
    <row r="1088" spans="1:9" ht="15.75" hidden="1" customHeight="1" x14ac:dyDescent="0.2">
      <c r="A1088" s="11">
        <v>1096</v>
      </c>
      <c r="B1088" s="2">
        <v>1096</v>
      </c>
      <c r="C1088" s="2">
        <v>111</v>
      </c>
      <c r="D1088" s="2">
        <f>VLOOKUP(C1088,Course!$A$1:$C$229, 2, FALSE)</f>
        <v>0</v>
      </c>
      <c r="E1088" s="2">
        <v>134</v>
      </c>
      <c r="F1088" s="2" t="s">
        <v>1782</v>
      </c>
      <c r="G1088" s="2">
        <v>1</v>
      </c>
      <c r="H1088" s="21">
        <v>0.8</v>
      </c>
      <c r="I1088" s="2">
        <v>1</v>
      </c>
    </row>
    <row r="1089" spans="1:9" ht="15.75" hidden="1" customHeight="1" x14ac:dyDescent="0.2">
      <c r="A1089" s="11">
        <v>1097</v>
      </c>
      <c r="B1089" s="2">
        <v>1097</v>
      </c>
      <c r="C1089" s="2">
        <v>111</v>
      </c>
      <c r="D1089" s="2">
        <f>VLOOKUP(C1089,Course!$A$1:$C$229, 2, FALSE)</f>
        <v>0</v>
      </c>
      <c r="E1089" s="2">
        <v>135</v>
      </c>
      <c r="F1089" s="2" t="s">
        <v>1783</v>
      </c>
      <c r="G1089" s="2">
        <v>1</v>
      </c>
      <c r="H1089" s="21">
        <v>0.8</v>
      </c>
      <c r="I1089" s="2">
        <v>1</v>
      </c>
    </row>
    <row r="1090" spans="1:9" ht="15.75" hidden="1" customHeight="1" x14ac:dyDescent="0.2">
      <c r="A1090" s="11">
        <v>1098</v>
      </c>
      <c r="B1090" s="2">
        <v>1098</v>
      </c>
      <c r="C1090" s="2">
        <v>111</v>
      </c>
      <c r="D1090" s="2">
        <f>VLOOKUP(C1090,Course!$A$1:$C$229, 2, FALSE)</f>
        <v>0</v>
      </c>
      <c r="E1090" s="2">
        <v>136</v>
      </c>
      <c r="F1090" s="2" t="s">
        <v>1784</v>
      </c>
      <c r="G1090" s="2">
        <v>1</v>
      </c>
      <c r="H1090" s="21">
        <v>0.8</v>
      </c>
      <c r="I1090" s="2">
        <v>1</v>
      </c>
    </row>
    <row r="1091" spans="1:9" ht="15.75" hidden="1" customHeight="1" x14ac:dyDescent="0.2">
      <c r="A1091" s="11">
        <v>1099</v>
      </c>
      <c r="B1091" s="2">
        <v>1099</v>
      </c>
      <c r="C1091" s="2">
        <v>111</v>
      </c>
      <c r="D1091" s="2">
        <f>VLOOKUP(C1091,Course!$A$1:$C$229, 2, FALSE)</f>
        <v>0</v>
      </c>
      <c r="E1091" s="2">
        <v>137</v>
      </c>
      <c r="F1091" s="2" t="s">
        <v>1785</v>
      </c>
      <c r="G1091" s="2">
        <v>1</v>
      </c>
      <c r="H1091" s="21">
        <v>0.8</v>
      </c>
      <c r="I1091" s="2">
        <v>1</v>
      </c>
    </row>
    <row r="1092" spans="1:9" ht="15.75" hidden="1" customHeight="1" x14ac:dyDescent="0.2">
      <c r="A1092" s="11">
        <v>1100</v>
      </c>
      <c r="B1092" s="2">
        <v>1100</v>
      </c>
      <c r="C1092" s="2">
        <v>111</v>
      </c>
      <c r="D1092" s="2">
        <f>VLOOKUP(C1092,Course!$A$1:$C$229, 2, FALSE)</f>
        <v>0</v>
      </c>
      <c r="E1092" s="2">
        <v>138</v>
      </c>
      <c r="F1092" s="2" t="s">
        <v>1786</v>
      </c>
      <c r="G1092" s="2">
        <v>1</v>
      </c>
      <c r="H1092" s="21">
        <v>0.8</v>
      </c>
      <c r="I1092" s="2">
        <v>1</v>
      </c>
    </row>
    <row r="1093" spans="1:9" ht="15.75" hidden="1" customHeight="1" x14ac:dyDescent="0.2">
      <c r="A1093" s="11">
        <v>1101</v>
      </c>
      <c r="B1093" s="2">
        <v>1101</v>
      </c>
      <c r="C1093" s="2">
        <v>112</v>
      </c>
      <c r="D1093" s="2">
        <f>VLOOKUP(C1093,Course!$A$1:$C$229, 2, FALSE)</f>
        <v>0</v>
      </c>
      <c r="E1093" s="2">
        <v>1</v>
      </c>
      <c r="F1093" s="2" t="s">
        <v>1787</v>
      </c>
      <c r="G1093" s="2">
        <v>1</v>
      </c>
      <c r="H1093" s="21">
        <v>0.8</v>
      </c>
      <c r="I1093" s="2">
        <v>1</v>
      </c>
    </row>
    <row r="1094" spans="1:9" ht="15.75" hidden="1" customHeight="1" x14ac:dyDescent="0.2">
      <c r="A1094" s="11">
        <v>1102</v>
      </c>
      <c r="B1094" s="2">
        <v>1102</v>
      </c>
      <c r="C1094" s="2">
        <v>112</v>
      </c>
      <c r="D1094" s="2">
        <f>VLOOKUP(C1094,Course!$A$1:$C$229, 2, FALSE)</f>
        <v>0</v>
      </c>
      <c r="E1094" s="2">
        <v>2</v>
      </c>
      <c r="F1094" s="2" t="s">
        <v>1788</v>
      </c>
      <c r="G1094" s="2">
        <v>1</v>
      </c>
      <c r="H1094" s="21">
        <v>0.8</v>
      </c>
      <c r="I1094" s="2">
        <v>1</v>
      </c>
    </row>
    <row r="1095" spans="1:9" ht="15.75" hidden="1" customHeight="1" x14ac:dyDescent="0.2">
      <c r="A1095" s="11">
        <v>1103</v>
      </c>
      <c r="B1095" s="2">
        <v>1103</v>
      </c>
      <c r="C1095" s="2">
        <v>112</v>
      </c>
      <c r="D1095" s="2">
        <f>VLOOKUP(C1095,Course!$A$1:$C$229, 2, FALSE)</f>
        <v>0</v>
      </c>
      <c r="E1095" s="2">
        <v>3</v>
      </c>
      <c r="F1095" s="2" t="s">
        <v>1789</v>
      </c>
      <c r="G1095" s="2">
        <v>1</v>
      </c>
      <c r="H1095" s="21">
        <v>0.8</v>
      </c>
      <c r="I1095" s="2">
        <v>1</v>
      </c>
    </row>
    <row r="1096" spans="1:9" ht="15.75" hidden="1" customHeight="1" x14ac:dyDescent="0.2">
      <c r="A1096" s="11">
        <v>1104</v>
      </c>
      <c r="B1096" s="2">
        <v>1104</v>
      </c>
      <c r="C1096" s="2">
        <v>112</v>
      </c>
      <c r="D1096" s="2">
        <f>VLOOKUP(C1096,Course!$A$1:$C$229, 2, FALSE)</f>
        <v>0</v>
      </c>
      <c r="E1096" s="2">
        <v>4</v>
      </c>
      <c r="F1096" s="2" t="s">
        <v>1790</v>
      </c>
      <c r="G1096" s="2">
        <v>1</v>
      </c>
      <c r="H1096" s="21">
        <v>0.8</v>
      </c>
      <c r="I1096" s="2">
        <v>1</v>
      </c>
    </row>
    <row r="1097" spans="1:9" ht="15.75" hidden="1" customHeight="1" x14ac:dyDescent="0.2">
      <c r="A1097" s="11">
        <v>1105</v>
      </c>
      <c r="B1097" s="2">
        <v>1105</v>
      </c>
      <c r="C1097" s="2">
        <v>112</v>
      </c>
      <c r="D1097" s="2">
        <f>VLOOKUP(C1097,Course!$A$1:$C$229, 2, FALSE)</f>
        <v>0</v>
      </c>
      <c r="E1097" s="2">
        <v>5</v>
      </c>
      <c r="F1097" s="2" t="s">
        <v>1791</v>
      </c>
      <c r="G1097" s="2">
        <v>1</v>
      </c>
      <c r="H1097" s="21">
        <v>0.8</v>
      </c>
      <c r="I1097" s="2">
        <v>1</v>
      </c>
    </row>
    <row r="1098" spans="1:9" ht="15.75" hidden="1" customHeight="1" x14ac:dyDescent="0.2">
      <c r="A1098" s="11">
        <v>1106</v>
      </c>
      <c r="B1098" s="2">
        <v>1106</v>
      </c>
      <c r="C1098" s="2">
        <v>112</v>
      </c>
      <c r="D1098" s="2">
        <f>VLOOKUP(C1098,Course!$A$1:$C$229, 2, FALSE)</f>
        <v>0</v>
      </c>
      <c r="E1098" s="2">
        <v>6</v>
      </c>
      <c r="F1098" s="2" t="s">
        <v>1792</v>
      </c>
      <c r="G1098" s="2">
        <v>1</v>
      </c>
      <c r="H1098" s="21">
        <v>0.8</v>
      </c>
      <c r="I1098" s="2">
        <v>1</v>
      </c>
    </row>
    <row r="1099" spans="1:9" ht="15.75" hidden="1" customHeight="1" x14ac:dyDescent="0.2">
      <c r="A1099" s="11">
        <v>1107</v>
      </c>
      <c r="B1099" s="2">
        <v>1107</v>
      </c>
      <c r="C1099" s="2">
        <v>112</v>
      </c>
      <c r="D1099" s="2">
        <f>VLOOKUP(C1099,Course!$A$1:$C$229, 2, FALSE)</f>
        <v>0</v>
      </c>
      <c r="E1099" s="2">
        <v>7</v>
      </c>
      <c r="F1099" s="2" t="s">
        <v>1793</v>
      </c>
      <c r="G1099" s="2">
        <v>1</v>
      </c>
      <c r="H1099" s="21">
        <v>0.8</v>
      </c>
      <c r="I1099" s="2">
        <v>1</v>
      </c>
    </row>
    <row r="1100" spans="1:9" ht="15.75" hidden="1" customHeight="1" x14ac:dyDescent="0.2">
      <c r="A1100" s="11">
        <v>1108</v>
      </c>
      <c r="B1100" s="2">
        <v>1108</v>
      </c>
      <c r="C1100" s="2">
        <v>112</v>
      </c>
      <c r="D1100" s="2">
        <f>VLOOKUP(C1100,Course!$A$1:$C$229, 2, FALSE)</f>
        <v>0</v>
      </c>
      <c r="E1100" s="2">
        <v>8</v>
      </c>
      <c r="F1100" s="2" t="s">
        <v>1794</v>
      </c>
      <c r="G1100" s="2">
        <v>1</v>
      </c>
      <c r="H1100" s="21">
        <v>0.8</v>
      </c>
      <c r="I1100" s="2">
        <v>1</v>
      </c>
    </row>
    <row r="1101" spans="1:9" ht="15.75" hidden="1" customHeight="1" x14ac:dyDescent="0.2">
      <c r="A1101" s="11">
        <v>1109</v>
      </c>
      <c r="B1101" s="2">
        <v>1109</v>
      </c>
      <c r="C1101" s="2">
        <v>112</v>
      </c>
      <c r="D1101" s="2">
        <f>VLOOKUP(C1101,Course!$A$1:$C$229, 2, FALSE)</f>
        <v>0</v>
      </c>
      <c r="E1101" s="2">
        <v>9</v>
      </c>
      <c r="F1101" s="2" t="s">
        <v>1795</v>
      </c>
      <c r="G1101" s="2">
        <v>1</v>
      </c>
      <c r="H1101" s="21">
        <v>0.8</v>
      </c>
      <c r="I1101" s="2">
        <v>1</v>
      </c>
    </row>
    <row r="1102" spans="1:9" ht="15.75" hidden="1" customHeight="1" x14ac:dyDescent="0.2">
      <c r="A1102" s="11">
        <v>1110</v>
      </c>
      <c r="B1102" s="2">
        <v>1110</v>
      </c>
      <c r="C1102" s="2">
        <v>112</v>
      </c>
      <c r="D1102" s="2">
        <f>VLOOKUP(C1102,Course!$A$1:$C$229, 2, FALSE)</f>
        <v>0</v>
      </c>
      <c r="E1102" s="2">
        <v>10</v>
      </c>
      <c r="F1102" s="2" t="s">
        <v>1796</v>
      </c>
      <c r="G1102" s="2">
        <v>1</v>
      </c>
      <c r="H1102" s="21">
        <v>0.8</v>
      </c>
      <c r="I1102" s="2">
        <v>1</v>
      </c>
    </row>
    <row r="1103" spans="1:9" ht="15.75" hidden="1" customHeight="1" x14ac:dyDescent="0.2">
      <c r="A1103" s="11">
        <v>1111</v>
      </c>
      <c r="B1103" s="2">
        <v>1111</v>
      </c>
      <c r="C1103" s="2">
        <v>113</v>
      </c>
      <c r="D1103" s="2">
        <f>VLOOKUP(C1103,Course!$A$1:$C$229, 2, FALSE)</f>
        <v>0</v>
      </c>
      <c r="E1103" s="2">
        <v>133</v>
      </c>
      <c r="F1103" s="2" t="s">
        <v>945</v>
      </c>
      <c r="G1103" s="2">
        <v>1</v>
      </c>
      <c r="H1103" s="21">
        <v>0.8</v>
      </c>
      <c r="I1103" s="2">
        <v>1</v>
      </c>
    </row>
    <row r="1104" spans="1:9" ht="15.75" hidden="1" customHeight="1" x14ac:dyDescent="0.2">
      <c r="A1104" s="11">
        <v>1112</v>
      </c>
      <c r="B1104" s="2">
        <v>1112</v>
      </c>
      <c r="C1104" s="2">
        <v>113</v>
      </c>
      <c r="D1104" s="2">
        <f>VLOOKUP(C1104,Course!$A$1:$C$229, 2, FALSE)</f>
        <v>0</v>
      </c>
      <c r="E1104" s="2">
        <v>134</v>
      </c>
      <c r="F1104" s="2" t="s">
        <v>946</v>
      </c>
      <c r="G1104" s="2">
        <v>1</v>
      </c>
      <c r="H1104" s="21">
        <v>0.8</v>
      </c>
      <c r="I1104" s="2">
        <v>1</v>
      </c>
    </row>
    <row r="1105" spans="1:9" ht="15.75" hidden="1" customHeight="1" x14ac:dyDescent="0.2">
      <c r="A1105" s="11">
        <v>1113</v>
      </c>
      <c r="B1105" s="2">
        <v>1113</v>
      </c>
      <c r="C1105" s="2">
        <v>113</v>
      </c>
      <c r="D1105" s="2">
        <f>VLOOKUP(C1105,Course!$A$1:$C$229, 2, FALSE)</f>
        <v>0</v>
      </c>
      <c r="E1105" s="2">
        <v>135</v>
      </c>
      <c r="F1105" s="2" t="s">
        <v>947</v>
      </c>
      <c r="G1105" s="2">
        <v>1</v>
      </c>
      <c r="H1105" s="21">
        <v>0.8</v>
      </c>
      <c r="I1105" s="2">
        <v>1</v>
      </c>
    </row>
    <row r="1106" spans="1:9" ht="15.75" hidden="1" customHeight="1" x14ac:dyDescent="0.2">
      <c r="A1106" s="11">
        <v>1114</v>
      </c>
      <c r="B1106" s="2">
        <v>1114</v>
      </c>
      <c r="C1106" s="2">
        <v>113</v>
      </c>
      <c r="D1106" s="2">
        <f>VLOOKUP(C1106,Course!$A$1:$C$229, 2, FALSE)</f>
        <v>0</v>
      </c>
      <c r="E1106" s="2">
        <v>136</v>
      </c>
      <c r="F1106" s="2" t="s">
        <v>948</v>
      </c>
      <c r="G1106" s="2">
        <v>1</v>
      </c>
      <c r="H1106" s="21">
        <v>0.8</v>
      </c>
      <c r="I1106" s="2">
        <v>1</v>
      </c>
    </row>
    <row r="1107" spans="1:9" ht="15.75" hidden="1" customHeight="1" x14ac:dyDescent="0.2">
      <c r="A1107" s="11">
        <v>1115</v>
      </c>
      <c r="B1107" s="2">
        <v>1115</v>
      </c>
      <c r="C1107" s="2">
        <v>113</v>
      </c>
      <c r="D1107" s="2">
        <f>VLOOKUP(C1107,Course!$A$1:$C$229, 2, FALSE)</f>
        <v>0</v>
      </c>
      <c r="E1107" s="2">
        <v>137</v>
      </c>
      <c r="F1107" s="2" t="s">
        <v>1021</v>
      </c>
      <c r="G1107" s="2">
        <v>1</v>
      </c>
      <c r="H1107" s="21">
        <v>0.8</v>
      </c>
      <c r="I1107" s="2">
        <v>1</v>
      </c>
    </row>
    <row r="1108" spans="1:9" ht="15.75" hidden="1" customHeight="1" x14ac:dyDescent="0.2">
      <c r="A1108" s="11">
        <v>1116</v>
      </c>
      <c r="B1108" s="2">
        <v>1116</v>
      </c>
      <c r="C1108" s="2">
        <v>113</v>
      </c>
      <c r="D1108" s="2">
        <f>VLOOKUP(C1108,Course!$A$1:$C$229, 2, FALSE)</f>
        <v>0</v>
      </c>
      <c r="E1108" s="2">
        <v>138</v>
      </c>
      <c r="F1108" s="2" t="s">
        <v>1022</v>
      </c>
      <c r="G1108" s="2">
        <v>1</v>
      </c>
      <c r="H1108" s="21">
        <v>0.8</v>
      </c>
      <c r="I1108" s="2">
        <v>1</v>
      </c>
    </row>
    <row r="1109" spans="1:9" ht="15.75" hidden="1" customHeight="1" x14ac:dyDescent="0.2">
      <c r="A1109" s="11">
        <v>1117</v>
      </c>
      <c r="B1109" s="2">
        <v>1117</v>
      </c>
      <c r="C1109" s="2">
        <v>113</v>
      </c>
      <c r="D1109" s="2">
        <f>VLOOKUP(C1109,Course!$A$1:$C$229, 2, FALSE)</f>
        <v>0</v>
      </c>
      <c r="E1109" s="2">
        <v>139</v>
      </c>
      <c r="F1109" s="2" t="s">
        <v>1023</v>
      </c>
      <c r="G1109" s="2">
        <v>1</v>
      </c>
      <c r="H1109" s="21">
        <v>0.8</v>
      </c>
      <c r="I1109" s="2">
        <v>1</v>
      </c>
    </row>
    <row r="1110" spans="1:9" ht="15.75" hidden="1" customHeight="1" x14ac:dyDescent="0.2">
      <c r="A1110" s="11">
        <v>1118</v>
      </c>
      <c r="B1110" s="2">
        <v>1118</v>
      </c>
      <c r="C1110" s="2">
        <v>113</v>
      </c>
      <c r="D1110" s="2">
        <f>VLOOKUP(C1110,Course!$A$1:$C$229, 2, FALSE)</f>
        <v>0</v>
      </c>
      <c r="E1110" s="2">
        <v>140</v>
      </c>
      <c r="F1110" s="2" t="s">
        <v>1024</v>
      </c>
      <c r="G1110" s="2">
        <v>1</v>
      </c>
      <c r="H1110" s="21">
        <v>0.8</v>
      </c>
      <c r="I1110" s="2">
        <v>1</v>
      </c>
    </row>
    <row r="1111" spans="1:9" ht="15.75" hidden="1" customHeight="1" x14ac:dyDescent="0.2">
      <c r="A1111" s="11">
        <v>1119</v>
      </c>
      <c r="B1111" s="2">
        <v>1119</v>
      </c>
      <c r="C1111" s="2">
        <v>113</v>
      </c>
      <c r="D1111" s="2">
        <f>VLOOKUP(C1111,Course!$A$1:$C$229, 2, FALSE)</f>
        <v>0</v>
      </c>
      <c r="E1111" s="2">
        <v>141</v>
      </c>
      <c r="F1111" s="2" t="s">
        <v>1025</v>
      </c>
      <c r="G1111" s="2">
        <v>1</v>
      </c>
      <c r="H1111" s="21">
        <v>0.8</v>
      </c>
      <c r="I1111" s="2">
        <v>1</v>
      </c>
    </row>
    <row r="1112" spans="1:9" ht="15.75" hidden="1" customHeight="1" x14ac:dyDescent="0.2">
      <c r="A1112" s="11">
        <v>1120</v>
      </c>
      <c r="B1112" s="2">
        <v>1120</v>
      </c>
      <c r="C1112" s="2">
        <v>113</v>
      </c>
      <c r="D1112" s="2">
        <f>VLOOKUP(C1112,Course!$A$1:$C$229, 2, FALSE)</f>
        <v>0</v>
      </c>
      <c r="E1112" s="2">
        <v>142</v>
      </c>
      <c r="F1112" s="2" t="s">
        <v>1026</v>
      </c>
      <c r="G1112" s="2">
        <v>1</v>
      </c>
      <c r="H1112" s="21">
        <v>0.8</v>
      </c>
      <c r="I1112" s="2">
        <v>1</v>
      </c>
    </row>
    <row r="1113" spans="1:9" ht="15.75" hidden="1" customHeight="1" x14ac:dyDescent="0.2">
      <c r="A1113" s="11">
        <v>1121</v>
      </c>
      <c r="B1113" s="2">
        <v>1121</v>
      </c>
      <c r="C1113" s="2">
        <v>113</v>
      </c>
      <c r="D1113" s="2">
        <f>VLOOKUP(C1113,Course!$A$1:$C$229, 2, FALSE)</f>
        <v>0</v>
      </c>
      <c r="E1113" s="2">
        <v>143</v>
      </c>
      <c r="F1113" s="2" t="s">
        <v>1027</v>
      </c>
      <c r="G1113" s="2">
        <v>1</v>
      </c>
      <c r="H1113" s="21">
        <v>0.8</v>
      </c>
      <c r="I1113" s="2">
        <v>1</v>
      </c>
    </row>
    <row r="1114" spans="1:9" ht="15.75" hidden="1" customHeight="1" x14ac:dyDescent="0.2">
      <c r="A1114" s="11">
        <v>1122</v>
      </c>
      <c r="B1114" s="2">
        <v>1122</v>
      </c>
      <c r="C1114" s="2">
        <v>113</v>
      </c>
      <c r="D1114" s="2">
        <f>VLOOKUP(C1114,Course!$A$1:$C$229, 2, FALSE)</f>
        <v>0</v>
      </c>
      <c r="E1114" s="2">
        <v>144</v>
      </c>
      <c r="F1114" s="2" t="s">
        <v>1028</v>
      </c>
      <c r="G1114" s="2">
        <v>1</v>
      </c>
      <c r="H1114" s="21">
        <v>0.8</v>
      </c>
      <c r="I1114" s="2">
        <v>1</v>
      </c>
    </row>
    <row r="1115" spans="1:9" ht="15.75" hidden="1" customHeight="1" x14ac:dyDescent="0.2">
      <c r="A1115" s="11">
        <v>1123</v>
      </c>
      <c r="B1115" s="2">
        <v>1123</v>
      </c>
      <c r="C1115" s="2">
        <v>114</v>
      </c>
      <c r="D1115" s="2">
        <f>VLOOKUP(C1115,Course!$A$1:$C$229, 2, FALSE)</f>
        <v>0</v>
      </c>
      <c r="E1115" s="2">
        <v>11</v>
      </c>
      <c r="F1115" s="2" t="s">
        <v>1797</v>
      </c>
      <c r="G1115" s="2">
        <v>1</v>
      </c>
      <c r="H1115" s="21">
        <v>0.8</v>
      </c>
      <c r="I1115" s="2">
        <v>1</v>
      </c>
    </row>
    <row r="1116" spans="1:9" ht="15.75" hidden="1" customHeight="1" x14ac:dyDescent="0.2">
      <c r="A1116" s="11">
        <v>1124</v>
      </c>
      <c r="B1116" s="2">
        <v>1124</v>
      </c>
      <c r="C1116" s="2">
        <v>114</v>
      </c>
      <c r="D1116" s="2">
        <f>VLOOKUP(C1116,Course!$A$1:$C$229, 2, FALSE)</f>
        <v>0</v>
      </c>
      <c r="E1116" s="2">
        <v>12</v>
      </c>
      <c r="F1116" s="2" t="s">
        <v>1798</v>
      </c>
      <c r="G1116" s="2">
        <v>1</v>
      </c>
      <c r="H1116" s="21">
        <v>0.8</v>
      </c>
      <c r="I1116" s="2">
        <v>1</v>
      </c>
    </row>
    <row r="1117" spans="1:9" ht="15.75" hidden="1" customHeight="1" x14ac:dyDescent="0.2">
      <c r="A1117" s="11">
        <v>1125</v>
      </c>
      <c r="B1117" s="2">
        <v>1125</v>
      </c>
      <c r="C1117" s="2">
        <v>114</v>
      </c>
      <c r="D1117" s="2">
        <f>VLOOKUP(C1117,Course!$A$1:$C$229, 2, FALSE)</f>
        <v>0</v>
      </c>
      <c r="E1117" s="2">
        <v>13</v>
      </c>
      <c r="F1117" s="2" t="s">
        <v>1799</v>
      </c>
      <c r="G1117" s="2">
        <v>1</v>
      </c>
      <c r="H1117" s="21">
        <v>0.8</v>
      </c>
      <c r="I1117" s="2">
        <v>1</v>
      </c>
    </row>
    <row r="1118" spans="1:9" ht="15.75" hidden="1" customHeight="1" x14ac:dyDescent="0.2">
      <c r="A1118" s="11">
        <v>1126</v>
      </c>
      <c r="B1118" s="2">
        <v>1126</v>
      </c>
      <c r="C1118" s="2">
        <v>114</v>
      </c>
      <c r="D1118" s="2">
        <f>VLOOKUP(C1118,Course!$A$1:$C$229, 2, FALSE)</f>
        <v>0</v>
      </c>
      <c r="E1118" s="2">
        <v>14</v>
      </c>
      <c r="F1118" s="2" t="s">
        <v>1800</v>
      </c>
      <c r="G1118" s="2">
        <v>1</v>
      </c>
      <c r="H1118" s="21">
        <v>0.8</v>
      </c>
      <c r="I1118" s="2">
        <v>1</v>
      </c>
    </row>
    <row r="1119" spans="1:9" ht="15.75" hidden="1" customHeight="1" x14ac:dyDescent="0.2">
      <c r="A1119" s="11">
        <v>1127</v>
      </c>
      <c r="B1119" s="2">
        <v>1127</v>
      </c>
      <c r="C1119" s="2">
        <v>114</v>
      </c>
      <c r="D1119" s="2">
        <f>VLOOKUP(C1119,Course!$A$1:$C$229, 2, FALSE)</f>
        <v>0</v>
      </c>
      <c r="E1119" s="2">
        <v>15</v>
      </c>
      <c r="F1119" s="2" t="s">
        <v>1801</v>
      </c>
      <c r="G1119" s="2">
        <v>1</v>
      </c>
      <c r="H1119" s="21">
        <v>0.8</v>
      </c>
      <c r="I1119" s="2">
        <v>1</v>
      </c>
    </row>
    <row r="1120" spans="1:9" ht="15.75" hidden="1" customHeight="1" x14ac:dyDescent="0.2">
      <c r="A1120" s="11">
        <v>1128</v>
      </c>
      <c r="B1120" s="2">
        <v>1128</v>
      </c>
      <c r="C1120" s="2">
        <v>114</v>
      </c>
      <c r="D1120" s="2">
        <f>VLOOKUP(C1120,Course!$A$1:$C$229, 2, FALSE)</f>
        <v>0</v>
      </c>
      <c r="E1120" s="2">
        <v>16</v>
      </c>
      <c r="F1120" s="2" t="s">
        <v>1802</v>
      </c>
      <c r="G1120" s="2">
        <v>1</v>
      </c>
      <c r="H1120" s="21">
        <v>0.8</v>
      </c>
      <c r="I1120" s="2">
        <v>1</v>
      </c>
    </row>
    <row r="1121" spans="1:9" ht="15.75" hidden="1" customHeight="1" x14ac:dyDescent="0.2">
      <c r="A1121" s="11">
        <v>1129</v>
      </c>
      <c r="B1121" s="2">
        <v>1129</v>
      </c>
      <c r="C1121" s="2">
        <v>114</v>
      </c>
      <c r="D1121" s="2">
        <f>VLOOKUP(C1121,Course!$A$1:$C$229, 2, FALSE)</f>
        <v>0</v>
      </c>
      <c r="E1121" s="2">
        <v>17</v>
      </c>
      <c r="F1121" s="2" t="s">
        <v>1803</v>
      </c>
      <c r="G1121" s="2">
        <v>1</v>
      </c>
      <c r="H1121" s="21">
        <v>0.8</v>
      </c>
      <c r="I1121" s="2">
        <v>1</v>
      </c>
    </row>
    <row r="1122" spans="1:9" ht="15.75" hidden="1" customHeight="1" x14ac:dyDescent="0.2">
      <c r="A1122" s="11">
        <v>1130</v>
      </c>
      <c r="B1122" s="2">
        <v>1130</v>
      </c>
      <c r="C1122" s="2">
        <v>114</v>
      </c>
      <c r="D1122" s="2">
        <f>VLOOKUP(C1122,Course!$A$1:$C$229, 2, FALSE)</f>
        <v>0</v>
      </c>
      <c r="E1122" s="2">
        <v>18</v>
      </c>
      <c r="F1122" s="2" t="s">
        <v>1804</v>
      </c>
      <c r="G1122" s="2">
        <v>1</v>
      </c>
      <c r="H1122" s="21">
        <v>0.8</v>
      </c>
      <c r="I1122" s="2">
        <v>1</v>
      </c>
    </row>
    <row r="1123" spans="1:9" ht="15.75" hidden="1" customHeight="1" x14ac:dyDescent="0.2">
      <c r="A1123" s="11">
        <v>1131</v>
      </c>
      <c r="B1123" s="2">
        <v>1131</v>
      </c>
      <c r="C1123" s="2">
        <v>114</v>
      </c>
      <c r="D1123" s="2">
        <f>VLOOKUP(C1123,Course!$A$1:$C$229, 2, FALSE)</f>
        <v>0</v>
      </c>
      <c r="E1123" s="2">
        <v>19</v>
      </c>
      <c r="F1123" s="2" t="s">
        <v>1805</v>
      </c>
      <c r="G1123" s="2">
        <v>1</v>
      </c>
      <c r="H1123" s="21">
        <v>0.8</v>
      </c>
      <c r="I1123" s="2">
        <v>1</v>
      </c>
    </row>
    <row r="1124" spans="1:9" ht="15.75" hidden="1" customHeight="1" x14ac:dyDescent="0.2">
      <c r="A1124" s="11">
        <v>1132</v>
      </c>
      <c r="B1124" s="2">
        <v>1132</v>
      </c>
      <c r="C1124" s="2">
        <v>114</v>
      </c>
      <c r="D1124" s="2">
        <f>VLOOKUP(C1124,Course!$A$1:$C$229, 2, FALSE)</f>
        <v>0</v>
      </c>
      <c r="E1124" s="2">
        <v>20</v>
      </c>
      <c r="F1124" s="2" t="s">
        <v>1806</v>
      </c>
      <c r="G1124" s="2">
        <v>1</v>
      </c>
      <c r="H1124" s="21">
        <v>0.8</v>
      </c>
      <c r="I1124" s="2">
        <v>1</v>
      </c>
    </row>
    <row r="1125" spans="1:9" ht="15.75" hidden="1" customHeight="1" x14ac:dyDescent="0.2">
      <c r="A1125" s="11">
        <v>1133</v>
      </c>
      <c r="B1125" s="2">
        <v>1133</v>
      </c>
      <c r="C1125" s="2">
        <v>115</v>
      </c>
      <c r="D1125" s="2">
        <f>VLOOKUP(C1125,Course!$A$1:$C$229, 2, FALSE)</f>
        <v>0</v>
      </c>
      <c r="E1125" s="2">
        <v>7</v>
      </c>
      <c r="F1125" s="2" t="s">
        <v>1807</v>
      </c>
      <c r="G1125" s="2">
        <v>1</v>
      </c>
      <c r="H1125" s="21">
        <v>0.8</v>
      </c>
      <c r="I1125" s="2">
        <v>1</v>
      </c>
    </row>
    <row r="1126" spans="1:9" ht="15.75" hidden="1" customHeight="1" x14ac:dyDescent="0.2">
      <c r="A1126" s="11">
        <v>1134</v>
      </c>
      <c r="B1126" s="2">
        <v>1134</v>
      </c>
      <c r="C1126" s="2">
        <v>115</v>
      </c>
      <c r="D1126" s="2">
        <f>VLOOKUP(C1126,Course!$A$1:$C$229, 2, FALSE)</f>
        <v>0</v>
      </c>
      <c r="E1126" s="2">
        <v>8</v>
      </c>
      <c r="F1126" s="2" t="s">
        <v>1808</v>
      </c>
      <c r="G1126" s="2">
        <v>1</v>
      </c>
      <c r="H1126" s="21">
        <v>0.8</v>
      </c>
      <c r="I1126" s="2">
        <v>1</v>
      </c>
    </row>
    <row r="1127" spans="1:9" ht="15.75" hidden="1" customHeight="1" x14ac:dyDescent="0.2">
      <c r="A1127" s="11">
        <v>1135</v>
      </c>
      <c r="B1127" s="2">
        <v>1135</v>
      </c>
      <c r="C1127" s="2">
        <v>116</v>
      </c>
      <c r="D1127" s="2" t="str">
        <f>VLOOKUP(C1127,Course!$A$1:$C$229, 2, FALSE)</f>
        <v>Basic Intro. to Physical Science</v>
      </c>
      <c r="E1127" s="2">
        <v>1</v>
      </c>
      <c r="F1127" s="2" t="s">
        <v>1809</v>
      </c>
      <c r="G1127" s="2">
        <v>1</v>
      </c>
      <c r="H1127" s="21">
        <v>0.8</v>
      </c>
      <c r="I1127" s="2">
        <v>1</v>
      </c>
    </row>
    <row r="1128" spans="1:9" ht="15.75" hidden="1" customHeight="1" x14ac:dyDescent="0.2">
      <c r="A1128" s="11">
        <v>1136</v>
      </c>
      <c r="B1128" s="2">
        <v>1136</v>
      </c>
      <c r="C1128" s="2">
        <v>116</v>
      </c>
      <c r="D1128" s="2" t="str">
        <f>VLOOKUP(C1128,Course!$A$1:$C$229, 2, FALSE)</f>
        <v>Basic Intro. to Physical Science</v>
      </c>
      <c r="E1128" s="2">
        <v>2</v>
      </c>
      <c r="F1128" s="2" t="s">
        <v>1810</v>
      </c>
      <c r="G1128" s="2">
        <v>1</v>
      </c>
      <c r="H1128" s="21">
        <v>0.8</v>
      </c>
      <c r="I1128" s="2">
        <v>1</v>
      </c>
    </row>
    <row r="1129" spans="1:9" ht="15.75" hidden="1" customHeight="1" x14ac:dyDescent="0.2">
      <c r="A1129" s="11">
        <v>1137</v>
      </c>
      <c r="B1129" s="2">
        <v>1137</v>
      </c>
      <c r="C1129" s="2">
        <v>116</v>
      </c>
      <c r="D1129" s="2" t="str">
        <f>VLOOKUP(C1129,Course!$A$1:$C$229, 2, FALSE)</f>
        <v>Basic Intro. to Physical Science</v>
      </c>
      <c r="E1129" s="2">
        <v>3</v>
      </c>
      <c r="F1129" s="2" t="s">
        <v>1811</v>
      </c>
      <c r="G1129" s="2">
        <v>1</v>
      </c>
      <c r="H1129" s="21">
        <v>0.8</v>
      </c>
      <c r="I1129" s="2">
        <v>1</v>
      </c>
    </row>
    <row r="1130" spans="1:9" ht="15.75" hidden="1" customHeight="1" x14ac:dyDescent="0.2">
      <c r="A1130" s="11">
        <v>1138</v>
      </c>
      <c r="B1130" s="2">
        <v>1138</v>
      </c>
      <c r="C1130" s="2">
        <v>116</v>
      </c>
      <c r="D1130" s="2" t="str">
        <f>VLOOKUP(C1130,Course!$A$1:$C$229, 2, FALSE)</f>
        <v>Basic Intro. to Physical Science</v>
      </c>
      <c r="E1130" s="2">
        <v>4</v>
      </c>
      <c r="F1130" s="2" t="s">
        <v>1812</v>
      </c>
      <c r="G1130" s="2">
        <v>1</v>
      </c>
      <c r="H1130" s="21">
        <v>0.8</v>
      </c>
      <c r="I1130" s="2">
        <v>1</v>
      </c>
    </row>
    <row r="1131" spans="1:9" ht="15.75" hidden="1" customHeight="1" x14ac:dyDescent="0.2">
      <c r="A1131" s="11">
        <v>1139</v>
      </c>
      <c r="B1131" s="2">
        <v>1139</v>
      </c>
      <c r="C1131" s="2">
        <v>116</v>
      </c>
      <c r="D1131" s="2" t="str">
        <f>VLOOKUP(C1131,Course!$A$1:$C$229, 2, FALSE)</f>
        <v>Basic Intro. to Physical Science</v>
      </c>
      <c r="E1131" s="2">
        <v>5</v>
      </c>
      <c r="F1131" s="2" t="s">
        <v>1813</v>
      </c>
      <c r="G1131" s="2">
        <v>1</v>
      </c>
      <c r="H1131" s="21">
        <v>0.8</v>
      </c>
      <c r="I1131" s="2">
        <v>1</v>
      </c>
    </row>
    <row r="1132" spans="1:9" ht="15.75" hidden="1" customHeight="1" x14ac:dyDescent="0.2">
      <c r="A1132" s="11">
        <v>1140</v>
      </c>
      <c r="B1132" s="2">
        <v>1140</v>
      </c>
      <c r="C1132" s="2">
        <v>116</v>
      </c>
      <c r="D1132" s="2" t="str">
        <f>VLOOKUP(C1132,Course!$A$1:$C$229, 2, FALSE)</f>
        <v>Basic Intro. to Physical Science</v>
      </c>
      <c r="E1132" s="2">
        <v>6</v>
      </c>
      <c r="F1132" s="2" t="s">
        <v>1814</v>
      </c>
      <c r="G1132" s="2">
        <v>1</v>
      </c>
      <c r="H1132" s="21">
        <v>0.8</v>
      </c>
      <c r="I1132" s="2">
        <v>1</v>
      </c>
    </row>
    <row r="1133" spans="1:9" ht="15.75" hidden="1" customHeight="1" x14ac:dyDescent="0.2">
      <c r="A1133" s="11">
        <v>1141</v>
      </c>
      <c r="B1133" s="2">
        <v>1141</v>
      </c>
      <c r="C1133" s="2">
        <v>116</v>
      </c>
      <c r="D1133" s="2" t="str">
        <f>VLOOKUP(C1133,Course!$A$1:$C$229, 2, FALSE)</f>
        <v>Basic Intro. to Physical Science</v>
      </c>
      <c r="E1133" s="2">
        <v>7</v>
      </c>
      <c r="F1133" s="2" t="s">
        <v>1815</v>
      </c>
      <c r="G1133" s="2">
        <v>1</v>
      </c>
      <c r="H1133" s="21">
        <v>0.8</v>
      </c>
      <c r="I1133" s="2">
        <v>1</v>
      </c>
    </row>
    <row r="1134" spans="1:9" ht="15.75" hidden="1" customHeight="1" x14ac:dyDescent="0.2">
      <c r="A1134" s="11">
        <v>1142</v>
      </c>
      <c r="B1134" s="2">
        <v>1142</v>
      </c>
      <c r="C1134" s="2">
        <v>116</v>
      </c>
      <c r="D1134" s="2" t="str">
        <f>VLOOKUP(C1134,Course!$A$1:$C$229, 2, FALSE)</f>
        <v>Basic Intro. to Physical Science</v>
      </c>
      <c r="E1134" s="2">
        <v>8</v>
      </c>
      <c r="F1134" s="2" t="s">
        <v>1816</v>
      </c>
      <c r="G1134" s="2">
        <v>1</v>
      </c>
      <c r="H1134" s="21">
        <v>0.8</v>
      </c>
      <c r="I1134" s="2">
        <v>1</v>
      </c>
    </row>
    <row r="1135" spans="1:9" ht="15.75" hidden="1" customHeight="1" x14ac:dyDescent="0.2">
      <c r="A1135" s="11">
        <v>1143</v>
      </c>
      <c r="B1135" s="2">
        <v>1143</v>
      </c>
      <c r="C1135" s="2">
        <v>116</v>
      </c>
      <c r="D1135" s="2" t="str">
        <f>VLOOKUP(C1135,Course!$A$1:$C$229, 2, FALSE)</f>
        <v>Basic Intro. to Physical Science</v>
      </c>
      <c r="E1135" s="2">
        <v>9</v>
      </c>
      <c r="F1135" s="2" t="s">
        <v>1817</v>
      </c>
      <c r="G1135" s="2">
        <v>1</v>
      </c>
      <c r="H1135" s="21">
        <v>0.8</v>
      </c>
      <c r="I1135" s="2">
        <v>1</v>
      </c>
    </row>
    <row r="1136" spans="1:9" ht="15.75" hidden="1" customHeight="1" x14ac:dyDescent="0.2">
      <c r="A1136" s="11">
        <v>1144</v>
      </c>
      <c r="B1136" s="2">
        <v>1144</v>
      </c>
      <c r="C1136" s="2">
        <v>116</v>
      </c>
      <c r="D1136" s="2" t="str">
        <f>VLOOKUP(C1136,Course!$A$1:$C$229, 2, FALSE)</f>
        <v>Basic Intro. to Physical Science</v>
      </c>
      <c r="E1136" s="2">
        <v>10</v>
      </c>
      <c r="F1136" s="2" t="s">
        <v>1818</v>
      </c>
      <c r="G1136" s="2">
        <v>1</v>
      </c>
      <c r="H1136" s="21">
        <v>0.8</v>
      </c>
      <c r="I1136" s="2">
        <v>1</v>
      </c>
    </row>
    <row r="1137" spans="1:9" ht="15.75" hidden="1" customHeight="1" x14ac:dyDescent="0.2">
      <c r="A1137" s="11">
        <v>1145</v>
      </c>
      <c r="B1137" s="2">
        <v>1145</v>
      </c>
      <c r="C1137" s="2">
        <v>117</v>
      </c>
      <c r="D1137" s="2" t="str">
        <f>VLOOKUP(C1137,Course!$A$1:$C$229, 2, FALSE)</f>
        <v>Science 12</v>
      </c>
      <c r="E1137" s="2">
        <v>133</v>
      </c>
      <c r="F1137" s="2" t="s">
        <v>1819</v>
      </c>
      <c r="G1137" s="2">
        <v>1</v>
      </c>
      <c r="H1137" s="21">
        <v>0.8</v>
      </c>
      <c r="I1137" s="2">
        <v>1</v>
      </c>
    </row>
    <row r="1138" spans="1:9" ht="15.75" hidden="1" customHeight="1" x14ac:dyDescent="0.2">
      <c r="A1138" s="11">
        <v>1146</v>
      </c>
      <c r="B1138" s="2">
        <v>1146</v>
      </c>
      <c r="C1138" s="2">
        <v>117</v>
      </c>
      <c r="D1138" s="2" t="str">
        <f>VLOOKUP(C1138,Course!$A$1:$C$229, 2, FALSE)</f>
        <v>Science 12</v>
      </c>
      <c r="E1138" s="2">
        <v>134</v>
      </c>
      <c r="F1138" s="2" t="s">
        <v>1820</v>
      </c>
      <c r="G1138" s="2">
        <v>1</v>
      </c>
      <c r="H1138" s="21">
        <v>0.8</v>
      </c>
      <c r="I1138" s="2">
        <v>1</v>
      </c>
    </row>
    <row r="1139" spans="1:9" ht="15.75" hidden="1" customHeight="1" x14ac:dyDescent="0.2">
      <c r="A1139" s="11">
        <v>1147</v>
      </c>
      <c r="B1139" s="2">
        <v>1147</v>
      </c>
      <c r="C1139" s="2">
        <v>117</v>
      </c>
      <c r="D1139" s="2" t="str">
        <f>VLOOKUP(C1139,Course!$A$1:$C$229, 2, FALSE)</f>
        <v>Science 12</v>
      </c>
      <c r="E1139" s="2">
        <v>135</v>
      </c>
      <c r="F1139" s="2" t="s">
        <v>1821</v>
      </c>
      <c r="G1139" s="2">
        <v>1</v>
      </c>
      <c r="H1139" s="21">
        <v>0.8</v>
      </c>
      <c r="I1139" s="2">
        <v>1</v>
      </c>
    </row>
    <row r="1140" spans="1:9" ht="15.75" hidden="1" customHeight="1" x14ac:dyDescent="0.2">
      <c r="A1140" s="11">
        <v>1148</v>
      </c>
      <c r="B1140" s="2">
        <v>1148</v>
      </c>
      <c r="C1140" s="2">
        <v>117</v>
      </c>
      <c r="D1140" s="2" t="str">
        <f>VLOOKUP(C1140,Course!$A$1:$C$229, 2, FALSE)</f>
        <v>Science 12</v>
      </c>
      <c r="E1140" s="2">
        <v>136</v>
      </c>
      <c r="F1140" s="2" t="s">
        <v>1822</v>
      </c>
      <c r="G1140" s="2">
        <v>1</v>
      </c>
      <c r="H1140" s="21">
        <v>0.8</v>
      </c>
      <c r="I1140" s="2">
        <v>1</v>
      </c>
    </row>
    <row r="1141" spans="1:9" ht="15.75" hidden="1" customHeight="1" x14ac:dyDescent="0.2">
      <c r="A1141" s="11">
        <v>1149</v>
      </c>
      <c r="B1141" s="2">
        <v>1149</v>
      </c>
      <c r="C1141" s="2">
        <v>117</v>
      </c>
      <c r="D1141" s="2" t="str">
        <f>VLOOKUP(C1141,Course!$A$1:$C$229, 2, FALSE)</f>
        <v>Science 12</v>
      </c>
      <c r="E1141" s="2">
        <v>137</v>
      </c>
      <c r="F1141" s="2" t="s">
        <v>1823</v>
      </c>
      <c r="G1141" s="2">
        <v>1</v>
      </c>
      <c r="H1141" s="21">
        <v>0.8</v>
      </c>
      <c r="I1141" s="2">
        <v>1</v>
      </c>
    </row>
    <row r="1142" spans="1:9" ht="15.75" hidden="1" customHeight="1" x14ac:dyDescent="0.2">
      <c r="A1142" s="11">
        <v>1150</v>
      </c>
      <c r="B1142" s="2">
        <v>1150</v>
      </c>
      <c r="C1142" s="2">
        <v>117</v>
      </c>
      <c r="D1142" s="2" t="str">
        <f>VLOOKUP(C1142,Course!$A$1:$C$229, 2, FALSE)</f>
        <v>Science 12</v>
      </c>
      <c r="E1142" s="2">
        <v>138</v>
      </c>
      <c r="F1142" s="2" t="s">
        <v>1824</v>
      </c>
      <c r="G1142" s="2">
        <v>1</v>
      </c>
      <c r="H1142" s="21">
        <v>0.8</v>
      </c>
      <c r="I1142" s="2">
        <v>1</v>
      </c>
    </row>
    <row r="1143" spans="1:9" ht="15.75" hidden="1" customHeight="1" x14ac:dyDescent="0.2">
      <c r="A1143" s="11">
        <v>1151</v>
      </c>
      <c r="B1143" s="2">
        <v>1151</v>
      </c>
      <c r="C1143" s="2">
        <v>117</v>
      </c>
      <c r="D1143" s="2" t="str">
        <f>VLOOKUP(C1143,Course!$A$1:$C$229, 2, FALSE)</f>
        <v>Science 12</v>
      </c>
      <c r="E1143" s="2">
        <v>139</v>
      </c>
      <c r="F1143" s="2" t="s">
        <v>1825</v>
      </c>
      <c r="G1143" s="2">
        <v>1</v>
      </c>
      <c r="H1143" s="21">
        <v>0.8</v>
      </c>
      <c r="I1143" s="2">
        <v>1</v>
      </c>
    </row>
    <row r="1144" spans="1:9" ht="15.75" hidden="1" customHeight="1" x14ac:dyDescent="0.2">
      <c r="A1144" s="11">
        <v>1152</v>
      </c>
      <c r="B1144" s="2">
        <v>1152</v>
      </c>
      <c r="C1144" s="2">
        <v>117</v>
      </c>
      <c r="D1144" s="2" t="str">
        <f>VLOOKUP(C1144,Course!$A$1:$C$229, 2, FALSE)</f>
        <v>Science 12</v>
      </c>
      <c r="E1144" s="2">
        <v>140</v>
      </c>
      <c r="F1144" s="2" t="s">
        <v>1826</v>
      </c>
      <c r="G1144" s="2">
        <v>1</v>
      </c>
      <c r="H1144" s="21">
        <v>0.8</v>
      </c>
      <c r="I1144" s="2">
        <v>1</v>
      </c>
    </row>
    <row r="1145" spans="1:9" ht="15.75" hidden="1" customHeight="1" x14ac:dyDescent="0.2">
      <c r="A1145" s="11">
        <v>1153</v>
      </c>
      <c r="B1145" s="2">
        <v>1153</v>
      </c>
      <c r="C1145" s="2">
        <v>117</v>
      </c>
      <c r="D1145" s="2" t="str">
        <f>VLOOKUP(C1145,Course!$A$1:$C$229, 2, FALSE)</f>
        <v>Science 12</v>
      </c>
      <c r="E1145" s="2">
        <v>141</v>
      </c>
      <c r="F1145" s="2" t="s">
        <v>1827</v>
      </c>
      <c r="G1145" s="2">
        <v>1</v>
      </c>
      <c r="H1145" s="21">
        <v>0.8</v>
      </c>
      <c r="I1145" s="2">
        <v>1</v>
      </c>
    </row>
    <row r="1146" spans="1:9" ht="15.75" hidden="1" customHeight="1" x14ac:dyDescent="0.2">
      <c r="A1146" s="11">
        <v>1154</v>
      </c>
      <c r="B1146" s="2">
        <v>1154</v>
      </c>
      <c r="C1146" s="2">
        <v>117</v>
      </c>
      <c r="D1146" s="2" t="str">
        <f>VLOOKUP(C1146,Course!$A$1:$C$229, 2, FALSE)</f>
        <v>Science 12</v>
      </c>
      <c r="E1146" s="2">
        <v>142</v>
      </c>
      <c r="F1146" s="2" t="s">
        <v>1828</v>
      </c>
      <c r="G1146" s="2">
        <v>1</v>
      </c>
      <c r="H1146" s="21">
        <v>0.8</v>
      </c>
      <c r="I1146" s="2">
        <v>1</v>
      </c>
    </row>
    <row r="1147" spans="1:9" ht="15.75" hidden="1" customHeight="1" x14ac:dyDescent="0.2">
      <c r="A1147" s="11">
        <v>1155</v>
      </c>
      <c r="B1147" s="2">
        <v>1155</v>
      </c>
      <c r="C1147" s="2">
        <v>117</v>
      </c>
      <c r="D1147" s="2" t="str">
        <f>VLOOKUP(C1147,Course!$A$1:$C$229, 2, FALSE)</f>
        <v>Science 12</v>
      </c>
      <c r="E1147" s="2">
        <v>143</v>
      </c>
      <c r="F1147" s="2" t="s">
        <v>1829</v>
      </c>
      <c r="G1147" s="2">
        <v>1</v>
      </c>
      <c r="H1147" s="21">
        <v>0.8</v>
      </c>
      <c r="I1147" s="2">
        <v>1</v>
      </c>
    </row>
    <row r="1148" spans="1:9" ht="15.75" hidden="1" customHeight="1" x14ac:dyDescent="0.2">
      <c r="A1148" s="11">
        <v>1156</v>
      </c>
      <c r="B1148" s="2">
        <v>1156</v>
      </c>
      <c r="C1148" s="2">
        <v>117</v>
      </c>
      <c r="D1148" s="2" t="str">
        <f>VLOOKUP(C1148,Course!$A$1:$C$229, 2, FALSE)</f>
        <v>Science 12</v>
      </c>
      <c r="E1148" s="2">
        <v>144</v>
      </c>
      <c r="F1148" s="2" t="s">
        <v>1830</v>
      </c>
      <c r="G1148" s="2">
        <v>1</v>
      </c>
      <c r="H1148" s="21">
        <v>0.8</v>
      </c>
      <c r="I1148" s="2">
        <v>1</v>
      </c>
    </row>
    <row r="1149" spans="1:9" ht="15.75" hidden="1" customHeight="1" x14ac:dyDescent="0.2">
      <c r="A1149" s="11">
        <v>1157</v>
      </c>
      <c r="B1149" s="2">
        <v>1157</v>
      </c>
      <c r="C1149" s="2">
        <v>118</v>
      </c>
      <c r="D1149" s="2">
        <f>VLOOKUP(C1149,Course!$A$1:$C$229, 2, FALSE)</f>
        <v>0</v>
      </c>
      <c r="E1149" s="2">
        <v>85</v>
      </c>
      <c r="F1149" s="2" t="s">
        <v>1831</v>
      </c>
      <c r="G1149" s="2">
        <v>1</v>
      </c>
      <c r="H1149" s="21">
        <v>0.8</v>
      </c>
      <c r="I1149" s="2">
        <v>1</v>
      </c>
    </row>
    <row r="1150" spans="1:9" ht="15.75" hidden="1" customHeight="1" x14ac:dyDescent="0.2">
      <c r="A1150" s="11">
        <v>1158</v>
      </c>
      <c r="B1150" s="2">
        <v>1158</v>
      </c>
      <c r="C1150" s="2">
        <v>118</v>
      </c>
      <c r="D1150" s="2">
        <f>VLOOKUP(C1150,Course!$A$1:$C$229, 2, FALSE)</f>
        <v>0</v>
      </c>
      <c r="E1150" s="2">
        <v>86</v>
      </c>
      <c r="F1150" s="2" t="s">
        <v>1832</v>
      </c>
      <c r="G1150" s="2">
        <v>1</v>
      </c>
      <c r="H1150" s="21">
        <v>0.8</v>
      </c>
      <c r="I1150" s="2">
        <v>1</v>
      </c>
    </row>
    <row r="1151" spans="1:9" ht="15.75" hidden="1" customHeight="1" x14ac:dyDescent="0.2">
      <c r="A1151" s="11">
        <v>1159</v>
      </c>
      <c r="B1151" s="2">
        <v>1159</v>
      </c>
      <c r="C1151" s="2">
        <v>118</v>
      </c>
      <c r="D1151" s="2">
        <f>VLOOKUP(C1151,Course!$A$1:$C$229, 2, FALSE)</f>
        <v>0</v>
      </c>
      <c r="E1151" s="2">
        <v>87</v>
      </c>
      <c r="F1151" s="2" t="s">
        <v>1833</v>
      </c>
      <c r="G1151" s="2">
        <v>1</v>
      </c>
      <c r="H1151" s="21">
        <v>0.8</v>
      </c>
      <c r="I1151" s="2">
        <v>1</v>
      </c>
    </row>
    <row r="1152" spans="1:9" ht="15.75" hidden="1" customHeight="1" x14ac:dyDescent="0.2">
      <c r="A1152" s="11">
        <v>1160</v>
      </c>
      <c r="B1152" s="2">
        <v>1160</v>
      </c>
      <c r="C1152" s="2">
        <v>118</v>
      </c>
      <c r="D1152" s="2">
        <f>VLOOKUP(C1152,Course!$A$1:$C$229, 2, FALSE)</f>
        <v>0</v>
      </c>
      <c r="E1152" s="2">
        <v>88</v>
      </c>
      <c r="F1152" s="2" t="s">
        <v>1834</v>
      </c>
      <c r="G1152" s="2">
        <v>1</v>
      </c>
      <c r="H1152" s="21">
        <v>0.8</v>
      </c>
      <c r="I1152" s="2">
        <v>1</v>
      </c>
    </row>
    <row r="1153" spans="1:9" ht="15.75" hidden="1" customHeight="1" x14ac:dyDescent="0.2">
      <c r="A1153" s="11">
        <v>1161</v>
      </c>
      <c r="B1153" s="2">
        <v>1161</v>
      </c>
      <c r="C1153" s="2">
        <v>118</v>
      </c>
      <c r="D1153" s="2">
        <f>VLOOKUP(C1153,Course!$A$1:$C$229, 2, FALSE)</f>
        <v>0</v>
      </c>
      <c r="E1153" s="2">
        <v>89</v>
      </c>
      <c r="F1153" s="2" t="s">
        <v>1835</v>
      </c>
      <c r="G1153" s="2">
        <v>1</v>
      </c>
      <c r="H1153" s="21">
        <v>0.8</v>
      </c>
      <c r="I1153" s="2">
        <v>1</v>
      </c>
    </row>
    <row r="1154" spans="1:9" ht="15.75" hidden="1" customHeight="1" x14ac:dyDescent="0.2">
      <c r="A1154" s="11">
        <v>1162</v>
      </c>
      <c r="B1154" s="2">
        <v>1162</v>
      </c>
      <c r="C1154" s="2">
        <v>118</v>
      </c>
      <c r="D1154" s="2">
        <f>VLOOKUP(C1154,Course!$A$1:$C$229, 2, FALSE)</f>
        <v>0</v>
      </c>
      <c r="E1154" s="2">
        <v>90</v>
      </c>
      <c r="F1154" s="2" t="s">
        <v>1836</v>
      </c>
      <c r="G1154" s="2">
        <v>1</v>
      </c>
      <c r="H1154" s="21">
        <v>0.8</v>
      </c>
      <c r="I1154" s="2">
        <v>1</v>
      </c>
    </row>
    <row r="1155" spans="1:9" ht="15.75" hidden="1" customHeight="1" x14ac:dyDescent="0.2">
      <c r="A1155" s="11">
        <v>1163</v>
      </c>
      <c r="B1155" s="2">
        <v>1163</v>
      </c>
      <c r="C1155" s="2">
        <v>118</v>
      </c>
      <c r="D1155" s="2">
        <f>VLOOKUP(C1155,Course!$A$1:$C$229, 2, FALSE)</f>
        <v>0</v>
      </c>
      <c r="E1155" s="2">
        <v>91</v>
      </c>
      <c r="F1155" s="2" t="s">
        <v>1837</v>
      </c>
      <c r="G1155" s="2">
        <v>1</v>
      </c>
      <c r="H1155" s="21">
        <v>0.8</v>
      </c>
      <c r="I1155" s="2">
        <v>1</v>
      </c>
    </row>
    <row r="1156" spans="1:9" ht="15.75" hidden="1" customHeight="1" x14ac:dyDescent="0.2">
      <c r="A1156" s="11">
        <v>1164</v>
      </c>
      <c r="B1156" s="2">
        <v>1164</v>
      </c>
      <c r="C1156" s="2">
        <v>118</v>
      </c>
      <c r="D1156" s="2">
        <f>VLOOKUP(C1156,Course!$A$1:$C$229, 2, FALSE)</f>
        <v>0</v>
      </c>
      <c r="E1156" s="2">
        <v>92</v>
      </c>
      <c r="F1156" s="2" t="s">
        <v>1838</v>
      </c>
      <c r="G1156" s="2">
        <v>1</v>
      </c>
      <c r="H1156" s="21">
        <v>0.8</v>
      </c>
      <c r="I1156" s="2">
        <v>1</v>
      </c>
    </row>
    <row r="1157" spans="1:9" ht="15.75" hidden="1" customHeight="1" x14ac:dyDescent="0.2">
      <c r="A1157" s="11">
        <v>1165</v>
      </c>
      <c r="B1157" s="2">
        <v>1165</v>
      </c>
      <c r="C1157" s="2">
        <v>118</v>
      </c>
      <c r="D1157" s="2">
        <f>VLOOKUP(C1157,Course!$A$1:$C$229, 2, FALSE)</f>
        <v>0</v>
      </c>
      <c r="E1157" s="2">
        <v>93</v>
      </c>
      <c r="F1157" s="2" t="s">
        <v>1839</v>
      </c>
      <c r="G1157" s="2">
        <v>1</v>
      </c>
      <c r="H1157" s="21">
        <v>0.8</v>
      </c>
      <c r="I1157" s="2">
        <v>1</v>
      </c>
    </row>
    <row r="1158" spans="1:9" ht="15.75" hidden="1" customHeight="1" x14ac:dyDescent="0.2">
      <c r="A1158" s="11">
        <v>1166</v>
      </c>
      <c r="B1158" s="2">
        <v>1166</v>
      </c>
      <c r="C1158" s="2">
        <v>118</v>
      </c>
      <c r="D1158" s="2">
        <f>VLOOKUP(C1158,Course!$A$1:$C$229, 2, FALSE)</f>
        <v>0</v>
      </c>
      <c r="E1158" s="2">
        <v>94</v>
      </c>
      <c r="F1158" s="2" t="s">
        <v>1840</v>
      </c>
      <c r="G1158" s="2">
        <v>1</v>
      </c>
      <c r="H1158" s="21">
        <v>0.8</v>
      </c>
      <c r="I1158" s="2">
        <v>1</v>
      </c>
    </row>
    <row r="1159" spans="1:9" ht="15.75" hidden="1" customHeight="1" x14ac:dyDescent="0.2">
      <c r="A1159" s="11">
        <v>1167</v>
      </c>
      <c r="B1159" s="2">
        <v>1167</v>
      </c>
      <c r="C1159" s="2">
        <v>118</v>
      </c>
      <c r="D1159" s="2">
        <f>VLOOKUP(C1159,Course!$A$1:$C$229, 2, FALSE)</f>
        <v>0</v>
      </c>
      <c r="E1159" s="2">
        <v>95</v>
      </c>
      <c r="F1159" s="2" t="s">
        <v>1841</v>
      </c>
      <c r="G1159" s="2">
        <v>1</v>
      </c>
      <c r="H1159" s="21">
        <v>0.8</v>
      </c>
      <c r="I1159" s="2">
        <v>1</v>
      </c>
    </row>
    <row r="1160" spans="1:9" ht="15.75" hidden="1" customHeight="1" x14ac:dyDescent="0.2">
      <c r="A1160" s="11">
        <v>1168</v>
      </c>
      <c r="B1160" s="2">
        <v>1168</v>
      </c>
      <c r="C1160" s="2">
        <v>118</v>
      </c>
      <c r="D1160" s="2">
        <f>VLOOKUP(C1160,Course!$A$1:$C$229, 2, FALSE)</f>
        <v>0</v>
      </c>
      <c r="E1160" s="2">
        <v>96</v>
      </c>
      <c r="F1160" s="2" t="s">
        <v>1842</v>
      </c>
      <c r="G1160" s="2">
        <v>1</v>
      </c>
      <c r="H1160" s="21">
        <v>0.8</v>
      </c>
      <c r="I1160" s="2">
        <v>1</v>
      </c>
    </row>
    <row r="1161" spans="1:9" ht="15.75" hidden="1" customHeight="1" x14ac:dyDescent="0.2">
      <c r="A1161" s="11">
        <v>1169</v>
      </c>
      <c r="B1161" s="2">
        <v>1169</v>
      </c>
      <c r="C1161" s="2">
        <v>119</v>
      </c>
      <c r="D1161" s="2" t="str">
        <f>VLOOKUP(C1161,Course!$A$1:$C$229, 2, FALSE)</f>
        <v>Civics and Economics</v>
      </c>
      <c r="E1161" s="2">
        <v>133</v>
      </c>
      <c r="F1161" s="2" t="s">
        <v>1843</v>
      </c>
      <c r="G1161" s="2">
        <v>1</v>
      </c>
      <c r="H1161" s="21">
        <v>0.8</v>
      </c>
      <c r="I1161" s="2">
        <v>1</v>
      </c>
    </row>
    <row r="1162" spans="1:9" ht="15.75" hidden="1" customHeight="1" x14ac:dyDescent="0.2">
      <c r="A1162" s="11">
        <v>1170</v>
      </c>
      <c r="B1162" s="2">
        <v>1170</v>
      </c>
      <c r="C1162" s="2">
        <v>119</v>
      </c>
      <c r="D1162" s="2" t="str">
        <f>VLOOKUP(C1162,Course!$A$1:$C$229, 2, FALSE)</f>
        <v>Civics and Economics</v>
      </c>
      <c r="E1162" s="2">
        <v>134</v>
      </c>
      <c r="F1162" s="2" t="s">
        <v>1844</v>
      </c>
      <c r="G1162" s="2">
        <v>1</v>
      </c>
      <c r="H1162" s="21">
        <v>0.8</v>
      </c>
      <c r="I1162" s="2">
        <v>1</v>
      </c>
    </row>
    <row r="1163" spans="1:9" ht="15.75" hidden="1" customHeight="1" x14ac:dyDescent="0.2">
      <c r="A1163" s="11">
        <v>1171</v>
      </c>
      <c r="B1163" s="2">
        <v>1171</v>
      </c>
      <c r="C1163" s="2">
        <v>119</v>
      </c>
      <c r="D1163" s="2" t="str">
        <f>VLOOKUP(C1163,Course!$A$1:$C$229, 2, FALSE)</f>
        <v>Civics and Economics</v>
      </c>
      <c r="E1163" s="2">
        <v>135</v>
      </c>
      <c r="F1163" s="2" t="s">
        <v>1845</v>
      </c>
      <c r="G1163" s="2">
        <v>1</v>
      </c>
      <c r="H1163" s="21">
        <v>0.8</v>
      </c>
      <c r="I1163" s="2">
        <v>1</v>
      </c>
    </row>
    <row r="1164" spans="1:9" ht="15.75" hidden="1" customHeight="1" x14ac:dyDescent="0.2">
      <c r="A1164" s="11">
        <v>1172</v>
      </c>
      <c r="B1164" s="2">
        <v>1172</v>
      </c>
      <c r="C1164" s="2">
        <v>119</v>
      </c>
      <c r="D1164" s="2" t="str">
        <f>VLOOKUP(C1164,Course!$A$1:$C$229, 2, FALSE)</f>
        <v>Civics and Economics</v>
      </c>
      <c r="E1164" s="2">
        <v>136</v>
      </c>
      <c r="F1164" s="2" t="s">
        <v>1846</v>
      </c>
      <c r="G1164" s="2">
        <v>1</v>
      </c>
      <c r="H1164" s="21">
        <v>0.8</v>
      </c>
      <c r="I1164" s="2">
        <v>1</v>
      </c>
    </row>
    <row r="1165" spans="1:9" ht="15.75" hidden="1" customHeight="1" x14ac:dyDescent="0.2">
      <c r="A1165" s="11">
        <v>1173</v>
      </c>
      <c r="B1165" s="2">
        <v>1173</v>
      </c>
      <c r="C1165" s="2">
        <v>119</v>
      </c>
      <c r="D1165" s="2" t="str">
        <f>VLOOKUP(C1165,Course!$A$1:$C$229, 2, FALSE)</f>
        <v>Civics and Economics</v>
      </c>
      <c r="E1165" s="2">
        <v>137</v>
      </c>
      <c r="F1165" s="2" t="s">
        <v>1847</v>
      </c>
      <c r="G1165" s="2">
        <v>1</v>
      </c>
      <c r="H1165" s="21">
        <v>0.8</v>
      </c>
      <c r="I1165" s="2">
        <v>1</v>
      </c>
    </row>
    <row r="1166" spans="1:9" ht="15.75" hidden="1" customHeight="1" x14ac:dyDescent="0.2">
      <c r="A1166" s="11">
        <v>1174</v>
      </c>
      <c r="B1166" s="2">
        <v>1174</v>
      </c>
      <c r="C1166" s="2">
        <v>119</v>
      </c>
      <c r="D1166" s="2" t="str">
        <f>VLOOKUP(C1166,Course!$A$1:$C$229, 2, FALSE)</f>
        <v>Civics and Economics</v>
      </c>
      <c r="E1166" s="2">
        <v>138</v>
      </c>
      <c r="F1166" s="2" t="s">
        <v>1848</v>
      </c>
      <c r="G1166" s="2">
        <v>1</v>
      </c>
      <c r="H1166" s="21">
        <v>0.8</v>
      </c>
      <c r="I1166" s="2">
        <v>1</v>
      </c>
    </row>
    <row r="1167" spans="1:9" ht="15.75" hidden="1" customHeight="1" x14ac:dyDescent="0.2">
      <c r="A1167" s="11">
        <v>1175</v>
      </c>
      <c r="B1167" s="2">
        <v>1175</v>
      </c>
      <c r="C1167" s="2">
        <v>119</v>
      </c>
      <c r="D1167" s="2" t="str">
        <f>VLOOKUP(C1167,Course!$A$1:$C$229, 2, FALSE)</f>
        <v>Civics and Economics</v>
      </c>
      <c r="E1167" s="2">
        <v>139</v>
      </c>
      <c r="F1167" s="2" t="s">
        <v>1849</v>
      </c>
      <c r="G1167" s="2">
        <v>1</v>
      </c>
      <c r="H1167" s="21">
        <v>0.8</v>
      </c>
      <c r="I1167" s="2">
        <v>1</v>
      </c>
    </row>
    <row r="1168" spans="1:9" ht="15.75" hidden="1" customHeight="1" x14ac:dyDescent="0.2">
      <c r="A1168" s="11">
        <v>1176</v>
      </c>
      <c r="B1168" s="2">
        <v>1176</v>
      </c>
      <c r="C1168" s="2">
        <v>119</v>
      </c>
      <c r="D1168" s="2" t="str">
        <f>VLOOKUP(C1168,Course!$A$1:$C$229, 2, FALSE)</f>
        <v>Civics and Economics</v>
      </c>
      <c r="E1168" s="2">
        <v>140</v>
      </c>
      <c r="F1168" s="2" t="s">
        <v>1850</v>
      </c>
      <c r="G1168" s="2">
        <v>1</v>
      </c>
      <c r="H1168" s="21">
        <v>0.8</v>
      </c>
      <c r="I1168" s="2">
        <v>1</v>
      </c>
    </row>
    <row r="1169" spans="1:9" ht="15.75" hidden="1" customHeight="1" x14ac:dyDescent="0.2">
      <c r="A1169" s="11">
        <v>1177</v>
      </c>
      <c r="B1169" s="2">
        <v>1177</v>
      </c>
      <c r="C1169" s="2">
        <v>119</v>
      </c>
      <c r="D1169" s="2" t="str">
        <f>VLOOKUP(C1169,Course!$A$1:$C$229, 2, FALSE)</f>
        <v>Civics and Economics</v>
      </c>
      <c r="E1169" s="2">
        <v>141</v>
      </c>
      <c r="F1169" s="2" t="s">
        <v>1851</v>
      </c>
      <c r="G1169" s="2">
        <v>1</v>
      </c>
      <c r="H1169" s="21">
        <v>0.8</v>
      </c>
      <c r="I1169" s="2">
        <v>1</v>
      </c>
    </row>
    <row r="1170" spans="1:9" ht="15.75" hidden="1" customHeight="1" x14ac:dyDescent="0.2">
      <c r="A1170" s="11">
        <v>1178</v>
      </c>
      <c r="B1170" s="2">
        <v>1178</v>
      </c>
      <c r="C1170" s="2">
        <v>119</v>
      </c>
      <c r="D1170" s="2" t="str">
        <f>VLOOKUP(C1170,Course!$A$1:$C$229, 2, FALSE)</f>
        <v>Civics and Economics</v>
      </c>
      <c r="E1170" s="2">
        <v>142</v>
      </c>
      <c r="F1170" s="2" t="s">
        <v>1852</v>
      </c>
      <c r="G1170" s="2">
        <v>1</v>
      </c>
      <c r="H1170" s="21">
        <v>0.8</v>
      </c>
      <c r="I1170" s="2">
        <v>1</v>
      </c>
    </row>
    <row r="1171" spans="1:9" ht="15.75" hidden="1" customHeight="1" x14ac:dyDescent="0.2">
      <c r="A1171" s="11">
        <v>1179</v>
      </c>
      <c r="B1171" s="2">
        <v>1179</v>
      </c>
      <c r="C1171" s="2">
        <v>119</v>
      </c>
      <c r="D1171" s="2" t="str">
        <f>VLOOKUP(C1171,Course!$A$1:$C$229, 2, FALSE)</f>
        <v>Civics and Economics</v>
      </c>
      <c r="E1171" s="2">
        <v>143</v>
      </c>
      <c r="F1171" s="2" t="s">
        <v>1853</v>
      </c>
      <c r="G1171" s="2">
        <v>1</v>
      </c>
      <c r="H1171" s="21">
        <v>0.8</v>
      </c>
      <c r="I1171" s="2">
        <v>1</v>
      </c>
    </row>
    <row r="1172" spans="1:9" ht="15.75" hidden="1" customHeight="1" x14ac:dyDescent="0.2">
      <c r="A1172" s="11">
        <v>1180</v>
      </c>
      <c r="B1172" s="2">
        <v>1180</v>
      </c>
      <c r="C1172" s="2">
        <v>119</v>
      </c>
      <c r="D1172" s="2" t="str">
        <f>VLOOKUP(C1172,Course!$A$1:$C$229, 2, FALSE)</f>
        <v>Civics and Economics</v>
      </c>
      <c r="E1172" s="2">
        <v>144</v>
      </c>
      <c r="F1172" s="2" t="s">
        <v>1854</v>
      </c>
      <c r="G1172" s="2">
        <v>1</v>
      </c>
      <c r="H1172" s="21">
        <v>0.8</v>
      </c>
      <c r="I1172" s="2">
        <v>1</v>
      </c>
    </row>
    <row r="1173" spans="1:9" ht="15.75" hidden="1" customHeight="1" x14ac:dyDescent="0.2">
      <c r="A1173" s="11">
        <v>1181</v>
      </c>
      <c r="B1173" s="2">
        <v>1181</v>
      </c>
      <c r="C1173" s="2">
        <v>120</v>
      </c>
      <c r="D1173" s="2">
        <f>VLOOKUP(C1173,Course!$A$1:$C$229, 2, FALSE)</f>
        <v>0</v>
      </c>
      <c r="E1173" s="2">
        <v>133</v>
      </c>
      <c r="F1173" s="2" t="s">
        <v>1855</v>
      </c>
      <c r="G1173" s="2">
        <f t="shared" ref="G1173:G1178" si="8">1/6</f>
        <v>0.16666666666666666</v>
      </c>
      <c r="H1173" s="21">
        <v>0.8</v>
      </c>
      <c r="I1173" s="2">
        <v>1</v>
      </c>
    </row>
    <row r="1174" spans="1:9" ht="15.75" hidden="1" customHeight="1" x14ac:dyDescent="0.2">
      <c r="A1174" s="11">
        <v>1182</v>
      </c>
      <c r="B1174" s="2">
        <v>1182</v>
      </c>
      <c r="C1174" s="2">
        <v>120</v>
      </c>
      <c r="D1174" s="2">
        <f>VLOOKUP(C1174,Course!$A$1:$C$229, 2, FALSE)</f>
        <v>0</v>
      </c>
      <c r="E1174" s="2">
        <v>134</v>
      </c>
      <c r="F1174" s="2" t="s">
        <v>1856</v>
      </c>
      <c r="G1174" s="2">
        <f t="shared" si="8"/>
        <v>0.16666666666666666</v>
      </c>
      <c r="H1174" s="21">
        <v>0.8</v>
      </c>
      <c r="I1174" s="2">
        <v>1</v>
      </c>
    </row>
    <row r="1175" spans="1:9" ht="15.75" hidden="1" customHeight="1" x14ac:dyDescent="0.2">
      <c r="A1175" s="11">
        <v>1183</v>
      </c>
      <c r="B1175" s="2">
        <v>1183</v>
      </c>
      <c r="C1175" s="2">
        <v>120</v>
      </c>
      <c r="D1175" s="2">
        <f>VLOOKUP(C1175,Course!$A$1:$C$229, 2, FALSE)</f>
        <v>0</v>
      </c>
      <c r="E1175" s="2">
        <v>135</v>
      </c>
      <c r="F1175" s="2" t="s">
        <v>1857</v>
      </c>
      <c r="G1175" s="2">
        <f t="shared" si="8"/>
        <v>0.16666666666666666</v>
      </c>
      <c r="H1175" s="21">
        <v>0.8</v>
      </c>
      <c r="I1175" s="2">
        <v>1</v>
      </c>
    </row>
    <row r="1176" spans="1:9" ht="15.75" hidden="1" customHeight="1" x14ac:dyDescent="0.2">
      <c r="A1176" s="11">
        <v>1184</v>
      </c>
      <c r="B1176" s="2">
        <v>1184</v>
      </c>
      <c r="C1176" s="2">
        <v>120</v>
      </c>
      <c r="D1176" s="2">
        <f>VLOOKUP(C1176,Course!$A$1:$C$229, 2, FALSE)</f>
        <v>0</v>
      </c>
      <c r="E1176" s="2">
        <v>136</v>
      </c>
      <c r="F1176" s="2" t="s">
        <v>1858</v>
      </c>
      <c r="G1176" s="2">
        <f t="shared" si="8"/>
        <v>0.16666666666666666</v>
      </c>
      <c r="H1176" s="21">
        <v>0.8</v>
      </c>
      <c r="I1176" s="2">
        <v>1</v>
      </c>
    </row>
    <row r="1177" spans="1:9" ht="15.75" hidden="1" customHeight="1" x14ac:dyDescent="0.2">
      <c r="A1177" s="11">
        <v>1185</v>
      </c>
      <c r="B1177" s="2">
        <v>1185</v>
      </c>
      <c r="C1177" s="2">
        <v>120</v>
      </c>
      <c r="D1177" s="2">
        <f>VLOOKUP(C1177,Course!$A$1:$C$229, 2, FALSE)</f>
        <v>0</v>
      </c>
      <c r="E1177" s="2">
        <v>137</v>
      </c>
      <c r="F1177" s="2" t="s">
        <v>1859</v>
      </c>
      <c r="G1177" s="2">
        <f t="shared" si="8"/>
        <v>0.16666666666666666</v>
      </c>
      <c r="H1177" s="21">
        <v>0.8</v>
      </c>
      <c r="I1177" s="2">
        <v>1</v>
      </c>
    </row>
    <row r="1178" spans="1:9" ht="15.75" hidden="1" customHeight="1" x14ac:dyDescent="0.2">
      <c r="A1178" s="11">
        <v>1186</v>
      </c>
      <c r="B1178" s="2">
        <v>1186</v>
      </c>
      <c r="C1178" s="2">
        <v>120</v>
      </c>
      <c r="D1178" s="2">
        <f>VLOOKUP(C1178,Course!$A$1:$C$229, 2, FALSE)</f>
        <v>0</v>
      </c>
      <c r="E1178" s="2">
        <v>138</v>
      </c>
      <c r="F1178" s="2" t="s">
        <v>1860</v>
      </c>
      <c r="G1178" s="2">
        <f t="shared" si="8"/>
        <v>0.16666666666666666</v>
      </c>
      <c r="H1178" s="21">
        <v>0.8</v>
      </c>
      <c r="I1178" s="2">
        <v>1</v>
      </c>
    </row>
    <row r="1179" spans="1:9" ht="15.75" hidden="1" customHeight="1" x14ac:dyDescent="0.2">
      <c r="A1179" s="11">
        <v>1187</v>
      </c>
      <c r="B1179" s="2">
        <v>1187</v>
      </c>
      <c r="C1179" s="2">
        <v>121</v>
      </c>
      <c r="D1179" s="2" t="str">
        <f>VLOOKUP(C1179,Course!$A$1:$C$229, 2, FALSE)</f>
        <v>History of Civilisation II</v>
      </c>
      <c r="E1179" s="2">
        <v>11</v>
      </c>
      <c r="F1179" s="2" t="s">
        <v>1861</v>
      </c>
      <c r="G1179" s="2">
        <v>0.1</v>
      </c>
      <c r="H1179" s="21">
        <v>0.8</v>
      </c>
      <c r="I1179" s="2">
        <v>1</v>
      </c>
    </row>
    <row r="1180" spans="1:9" ht="15.75" hidden="1" customHeight="1" x14ac:dyDescent="0.2">
      <c r="A1180" s="11">
        <v>1188</v>
      </c>
      <c r="B1180" s="2">
        <v>1188</v>
      </c>
      <c r="C1180" s="2">
        <v>121</v>
      </c>
      <c r="D1180" s="2" t="str">
        <f>VLOOKUP(C1180,Course!$A$1:$C$229, 2, FALSE)</f>
        <v>History of Civilisation II</v>
      </c>
      <c r="E1180" s="2">
        <v>12</v>
      </c>
      <c r="F1180" s="2" t="s">
        <v>1862</v>
      </c>
      <c r="G1180" s="2">
        <v>0.1</v>
      </c>
      <c r="H1180" s="21">
        <v>0.8</v>
      </c>
      <c r="I1180" s="2">
        <v>1</v>
      </c>
    </row>
    <row r="1181" spans="1:9" ht="15.75" hidden="1" customHeight="1" x14ac:dyDescent="0.2">
      <c r="A1181" s="11">
        <v>1189</v>
      </c>
      <c r="B1181" s="2">
        <v>1189</v>
      </c>
      <c r="C1181" s="2">
        <v>121</v>
      </c>
      <c r="D1181" s="2" t="str">
        <f>VLOOKUP(C1181,Course!$A$1:$C$229, 2, FALSE)</f>
        <v>History of Civilisation II</v>
      </c>
      <c r="E1181" s="2">
        <v>13</v>
      </c>
      <c r="F1181" s="2" t="s">
        <v>1863</v>
      </c>
      <c r="G1181" s="2">
        <v>0.1</v>
      </c>
      <c r="H1181" s="21">
        <v>0.8</v>
      </c>
      <c r="I1181" s="2">
        <v>1</v>
      </c>
    </row>
    <row r="1182" spans="1:9" ht="15.75" hidden="1" customHeight="1" x14ac:dyDescent="0.2">
      <c r="A1182" s="11">
        <v>1190</v>
      </c>
      <c r="B1182" s="2">
        <v>1190</v>
      </c>
      <c r="C1182" s="2">
        <v>121</v>
      </c>
      <c r="D1182" s="2" t="str">
        <f>VLOOKUP(C1182,Course!$A$1:$C$229, 2, FALSE)</f>
        <v>History of Civilisation II</v>
      </c>
      <c r="E1182" s="2">
        <v>14</v>
      </c>
      <c r="F1182" s="2" t="s">
        <v>1864</v>
      </c>
      <c r="G1182" s="2">
        <v>0.1</v>
      </c>
      <c r="H1182" s="21">
        <v>0.8</v>
      </c>
      <c r="I1182" s="2">
        <v>1</v>
      </c>
    </row>
    <row r="1183" spans="1:9" ht="15.75" hidden="1" customHeight="1" x14ac:dyDescent="0.2">
      <c r="A1183" s="11">
        <v>1191</v>
      </c>
      <c r="B1183" s="2">
        <v>1191</v>
      </c>
      <c r="C1183" s="2">
        <v>121</v>
      </c>
      <c r="D1183" s="2" t="str">
        <f>VLOOKUP(C1183,Course!$A$1:$C$229, 2, FALSE)</f>
        <v>History of Civilisation II</v>
      </c>
      <c r="E1183" s="2">
        <v>15</v>
      </c>
      <c r="F1183" s="2" t="s">
        <v>1865</v>
      </c>
      <c r="G1183" s="2">
        <v>0.1</v>
      </c>
      <c r="H1183" s="21">
        <v>0.8</v>
      </c>
      <c r="I1183" s="2">
        <v>1</v>
      </c>
    </row>
    <row r="1184" spans="1:9" ht="15.75" hidden="1" customHeight="1" x14ac:dyDescent="0.2">
      <c r="A1184" s="11">
        <v>1192</v>
      </c>
      <c r="B1184" s="2">
        <v>1192</v>
      </c>
      <c r="C1184" s="2">
        <v>121</v>
      </c>
      <c r="D1184" s="2" t="str">
        <f>VLOOKUP(C1184,Course!$A$1:$C$229, 2, FALSE)</f>
        <v>History of Civilisation II</v>
      </c>
      <c r="E1184" s="2">
        <v>16</v>
      </c>
      <c r="F1184" s="2" t="s">
        <v>1866</v>
      </c>
      <c r="G1184" s="2">
        <v>0.1</v>
      </c>
      <c r="H1184" s="21">
        <v>0.8</v>
      </c>
      <c r="I1184" s="2">
        <v>1</v>
      </c>
    </row>
    <row r="1185" spans="1:9" ht="15.75" hidden="1" customHeight="1" x14ac:dyDescent="0.2">
      <c r="A1185" s="11">
        <v>1193</v>
      </c>
      <c r="B1185" s="2">
        <v>1193</v>
      </c>
      <c r="C1185" s="2">
        <v>121</v>
      </c>
      <c r="D1185" s="2" t="str">
        <f>VLOOKUP(C1185,Course!$A$1:$C$229, 2, FALSE)</f>
        <v>History of Civilisation II</v>
      </c>
      <c r="E1185" s="2">
        <v>17</v>
      </c>
      <c r="F1185" s="2" t="s">
        <v>1867</v>
      </c>
      <c r="G1185" s="2">
        <v>0.1</v>
      </c>
      <c r="H1185" s="21">
        <v>0.8</v>
      </c>
      <c r="I1185" s="2">
        <v>1</v>
      </c>
    </row>
    <row r="1186" spans="1:9" ht="15.75" hidden="1" customHeight="1" x14ac:dyDescent="0.2">
      <c r="A1186" s="11">
        <v>1194</v>
      </c>
      <c r="B1186" s="2">
        <v>1194</v>
      </c>
      <c r="C1186" s="2">
        <v>121</v>
      </c>
      <c r="D1186" s="2" t="str">
        <f>VLOOKUP(C1186,Course!$A$1:$C$229, 2, FALSE)</f>
        <v>History of Civilisation II</v>
      </c>
      <c r="E1186" s="2">
        <v>18</v>
      </c>
      <c r="F1186" s="2" t="s">
        <v>1868</v>
      </c>
      <c r="G1186" s="2">
        <v>0.1</v>
      </c>
      <c r="H1186" s="21">
        <v>0.8</v>
      </c>
      <c r="I1186" s="2">
        <v>1</v>
      </c>
    </row>
    <row r="1187" spans="1:9" ht="15.75" hidden="1" customHeight="1" x14ac:dyDescent="0.2">
      <c r="A1187" s="11">
        <v>1195</v>
      </c>
      <c r="B1187" s="2">
        <v>1195</v>
      </c>
      <c r="C1187" s="2">
        <v>121</v>
      </c>
      <c r="D1187" s="2" t="str">
        <f>VLOOKUP(C1187,Course!$A$1:$C$229, 2, FALSE)</f>
        <v>History of Civilisation II</v>
      </c>
      <c r="E1187" s="2">
        <v>19</v>
      </c>
      <c r="F1187" s="2" t="s">
        <v>1869</v>
      </c>
      <c r="G1187" s="2">
        <v>0.1</v>
      </c>
      <c r="H1187" s="21">
        <v>0.8</v>
      </c>
      <c r="I1187" s="2">
        <v>1</v>
      </c>
    </row>
    <row r="1188" spans="1:9" ht="15.75" hidden="1" customHeight="1" x14ac:dyDescent="0.2">
      <c r="A1188" s="11">
        <v>1196</v>
      </c>
      <c r="B1188" s="2">
        <v>1196</v>
      </c>
      <c r="C1188" s="2">
        <v>121</v>
      </c>
      <c r="D1188" s="2" t="str">
        <f>VLOOKUP(C1188,Course!$A$1:$C$229, 2, FALSE)</f>
        <v>History of Civilisation II</v>
      </c>
      <c r="E1188" s="2">
        <v>20</v>
      </c>
      <c r="F1188" s="2" t="s">
        <v>1870</v>
      </c>
      <c r="G1188" s="2">
        <v>0.1</v>
      </c>
      <c r="H1188" s="21">
        <v>0.8</v>
      </c>
      <c r="I1188" s="2">
        <v>1</v>
      </c>
    </row>
    <row r="1189" spans="1:9" ht="15.75" hidden="1" customHeight="1" x14ac:dyDescent="0.2">
      <c r="A1189" s="11">
        <v>1197</v>
      </c>
      <c r="B1189" s="2">
        <v>1197</v>
      </c>
      <c r="C1189" s="2">
        <v>122</v>
      </c>
      <c r="D1189" s="2">
        <f>VLOOKUP(C1189,Course!$A$1:$C$229, 2, FALSE)</f>
        <v>0</v>
      </c>
      <c r="E1189" s="2">
        <v>133</v>
      </c>
      <c r="F1189" s="2" t="s">
        <v>1871</v>
      </c>
      <c r="G1189" s="2">
        <v>0.25</v>
      </c>
      <c r="H1189" s="21">
        <v>0.8</v>
      </c>
      <c r="I1189" s="2">
        <v>1</v>
      </c>
    </row>
    <row r="1190" spans="1:9" ht="15.75" hidden="1" customHeight="1" x14ac:dyDescent="0.2">
      <c r="A1190" s="11">
        <v>1198</v>
      </c>
      <c r="B1190" s="2">
        <v>1198</v>
      </c>
      <c r="C1190" s="2">
        <v>122</v>
      </c>
      <c r="D1190" s="2">
        <f>VLOOKUP(C1190,Course!$A$1:$C$229, 2, FALSE)</f>
        <v>0</v>
      </c>
      <c r="E1190" s="2">
        <v>134</v>
      </c>
      <c r="F1190" s="2" t="s">
        <v>1872</v>
      </c>
      <c r="G1190" s="2">
        <v>0.25</v>
      </c>
      <c r="H1190" s="21">
        <v>0.8</v>
      </c>
      <c r="I1190" s="2">
        <v>1</v>
      </c>
    </row>
    <row r="1191" spans="1:9" ht="15.75" hidden="1" customHeight="1" x14ac:dyDescent="0.2">
      <c r="A1191" s="11">
        <v>1199</v>
      </c>
      <c r="B1191" s="2">
        <v>1199</v>
      </c>
      <c r="C1191" s="2">
        <v>122</v>
      </c>
      <c r="D1191" s="2">
        <f>VLOOKUP(C1191,Course!$A$1:$C$229, 2, FALSE)</f>
        <v>0</v>
      </c>
      <c r="E1191" s="2">
        <v>135</v>
      </c>
      <c r="F1191" s="2" t="s">
        <v>1873</v>
      </c>
      <c r="G1191" s="2">
        <v>0.25</v>
      </c>
      <c r="H1191" s="21">
        <v>0.8</v>
      </c>
      <c r="I1191" s="2">
        <v>1</v>
      </c>
    </row>
    <row r="1192" spans="1:9" ht="15.75" hidden="1" customHeight="1" x14ac:dyDescent="0.2">
      <c r="A1192" s="11">
        <v>1200</v>
      </c>
      <c r="B1192" s="2">
        <v>1200</v>
      </c>
      <c r="C1192" s="2">
        <v>122</v>
      </c>
      <c r="D1192" s="2">
        <f>VLOOKUP(C1192,Course!$A$1:$C$229, 2, FALSE)</f>
        <v>0</v>
      </c>
      <c r="E1192" s="2">
        <v>136</v>
      </c>
      <c r="F1192" s="2" t="s">
        <v>1874</v>
      </c>
      <c r="G1192" s="2">
        <v>0.25</v>
      </c>
      <c r="H1192" s="21">
        <v>0.8</v>
      </c>
      <c r="I1192" s="2">
        <v>1</v>
      </c>
    </row>
    <row r="1193" spans="1:9" ht="15.75" hidden="1" customHeight="1" x14ac:dyDescent="0.2">
      <c r="A1193" s="11">
        <v>1201</v>
      </c>
      <c r="B1193" s="2">
        <v>1201</v>
      </c>
      <c r="C1193" s="2">
        <v>123</v>
      </c>
      <c r="D1193" s="2">
        <f>VLOOKUP(C1193,Course!$A$1:$C$229, 2, FALSE)</f>
        <v>0</v>
      </c>
      <c r="E1193" s="2">
        <v>6</v>
      </c>
      <c r="F1193" s="2" t="s">
        <v>1875</v>
      </c>
      <c r="G1193" s="2">
        <v>1</v>
      </c>
      <c r="H1193" s="21">
        <v>0.8</v>
      </c>
      <c r="I1193" s="2">
        <v>1</v>
      </c>
    </row>
    <row r="1194" spans="1:9" ht="15.75" hidden="1" customHeight="1" x14ac:dyDescent="0.2">
      <c r="A1194" s="11">
        <v>1202</v>
      </c>
      <c r="B1194" s="2">
        <v>1202</v>
      </c>
      <c r="C1194" s="2">
        <v>123</v>
      </c>
      <c r="D1194" s="2">
        <f>VLOOKUP(C1194,Course!$A$1:$C$229, 2, FALSE)</f>
        <v>0</v>
      </c>
      <c r="E1194" s="2">
        <v>7</v>
      </c>
      <c r="F1194" s="2" t="s">
        <v>1876</v>
      </c>
      <c r="G1194" s="2">
        <v>1</v>
      </c>
      <c r="H1194" s="21">
        <v>0.8</v>
      </c>
      <c r="I1194" s="2">
        <v>1</v>
      </c>
    </row>
    <row r="1195" spans="1:9" ht="15.75" hidden="1" customHeight="1" x14ac:dyDescent="0.2">
      <c r="A1195" s="11">
        <v>1203</v>
      </c>
      <c r="B1195" s="2">
        <v>1203</v>
      </c>
      <c r="C1195" s="2">
        <v>123</v>
      </c>
      <c r="D1195" s="2">
        <f>VLOOKUP(C1195,Course!$A$1:$C$229, 2, FALSE)</f>
        <v>0</v>
      </c>
      <c r="E1195" s="2">
        <v>8</v>
      </c>
      <c r="F1195" s="2" t="s">
        <v>1877</v>
      </c>
      <c r="G1195" s="2">
        <v>1</v>
      </c>
      <c r="H1195" s="21">
        <v>0.8</v>
      </c>
      <c r="I1195" s="2">
        <v>1</v>
      </c>
    </row>
    <row r="1196" spans="1:9" ht="15.75" hidden="1" customHeight="1" x14ac:dyDescent="0.2">
      <c r="A1196" s="11">
        <v>1204</v>
      </c>
      <c r="B1196" s="2">
        <v>1204</v>
      </c>
      <c r="C1196" s="2">
        <v>123</v>
      </c>
      <c r="D1196" s="2">
        <f>VLOOKUP(C1196,Course!$A$1:$C$229, 2, FALSE)</f>
        <v>0</v>
      </c>
      <c r="E1196" s="2">
        <v>9</v>
      </c>
      <c r="F1196" s="2" t="s">
        <v>1878</v>
      </c>
      <c r="G1196" s="2">
        <v>1</v>
      </c>
      <c r="H1196" s="21">
        <v>0.8</v>
      </c>
      <c r="I1196" s="2">
        <v>1</v>
      </c>
    </row>
    <row r="1197" spans="1:9" ht="15.75" hidden="1" customHeight="1" x14ac:dyDescent="0.2">
      <c r="A1197" s="11">
        <v>1205</v>
      </c>
      <c r="B1197" s="2">
        <v>1205</v>
      </c>
      <c r="C1197" s="2">
        <v>123</v>
      </c>
      <c r="D1197" s="2">
        <f>VLOOKUP(C1197,Course!$A$1:$C$229, 2, FALSE)</f>
        <v>0</v>
      </c>
      <c r="E1197" s="2">
        <v>10</v>
      </c>
      <c r="F1197" s="2" t="s">
        <v>1879</v>
      </c>
      <c r="G1197" s="2">
        <v>1</v>
      </c>
      <c r="H1197" s="21">
        <v>0.8</v>
      </c>
      <c r="I1197" s="2">
        <v>1</v>
      </c>
    </row>
    <row r="1198" spans="1:9" ht="15.75" hidden="1" customHeight="1" x14ac:dyDescent="0.2">
      <c r="A1198" s="11">
        <v>1206</v>
      </c>
      <c r="B1198" s="2">
        <v>1206</v>
      </c>
      <c r="C1198" s="2">
        <v>124</v>
      </c>
      <c r="D1198" s="2" t="str">
        <f>VLOOKUP(C1198,Course!$A$1:$C$229, 2, FALSE)</f>
        <v>Basic Christian Growth</v>
      </c>
      <c r="E1198" s="2">
        <v>133</v>
      </c>
      <c r="F1198" s="2" t="s">
        <v>1880</v>
      </c>
      <c r="G1198" s="2">
        <v>1</v>
      </c>
      <c r="H1198" s="21">
        <v>0.8</v>
      </c>
      <c r="I1198" s="2">
        <v>1</v>
      </c>
    </row>
    <row r="1199" spans="1:9" ht="15.75" hidden="1" customHeight="1" x14ac:dyDescent="0.2">
      <c r="A1199" s="11">
        <v>1207</v>
      </c>
      <c r="B1199" s="2">
        <v>1207</v>
      </c>
      <c r="C1199" s="2">
        <v>124</v>
      </c>
      <c r="D1199" s="2" t="str">
        <f>VLOOKUP(C1199,Course!$A$1:$C$229, 2, FALSE)</f>
        <v>Basic Christian Growth</v>
      </c>
      <c r="E1199" s="2">
        <v>134</v>
      </c>
      <c r="F1199" s="2" t="s">
        <v>1881</v>
      </c>
      <c r="G1199" s="2">
        <v>1</v>
      </c>
      <c r="H1199" s="21">
        <v>0.8</v>
      </c>
      <c r="I1199" s="2">
        <v>1</v>
      </c>
    </row>
    <row r="1200" spans="1:9" ht="15.75" hidden="1" customHeight="1" x14ac:dyDescent="0.2">
      <c r="A1200" s="11">
        <v>1208</v>
      </c>
      <c r="B1200" s="2">
        <v>1208</v>
      </c>
      <c r="C1200" s="2">
        <v>124</v>
      </c>
      <c r="D1200" s="2" t="str">
        <f>VLOOKUP(C1200,Course!$A$1:$C$229, 2, FALSE)</f>
        <v>Basic Christian Growth</v>
      </c>
      <c r="E1200" s="2">
        <v>135</v>
      </c>
      <c r="F1200" s="2" t="s">
        <v>1882</v>
      </c>
      <c r="G1200" s="2">
        <v>1</v>
      </c>
      <c r="H1200" s="21">
        <v>0.8</v>
      </c>
      <c r="I1200" s="2">
        <v>1</v>
      </c>
    </row>
    <row r="1201" spans="1:9" ht="15.75" hidden="1" customHeight="1" x14ac:dyDescent="0.2">
      <c r="A1201" s="11">
        <v>1209</v>
      </c>
      <c r="B1201" s="2">
        <v>1209</v>
      </c>
      <c r="C1201" s="2">
        <v>124</v>
      </c>
      <c r="D1201" s="2" t="str">
        <f>VLOOKUP(C1201,Course!$A$1:$C$229, 2, FALSE)</f>
        <v>Basic Christian Growth</v>
      </c>
      <c r="E1201" s="2">
        <v>136</v>
      </c>
      <c r="F1201" s="2" t="s">
        <v>1883</v>
      </c>
      <c r="G1201" s="2">
        <v>1</v>
      </c>
      <c r="H1201" s="21">
        <v>0.8</v>
      </c>
      <c r="I1201" s="2">
        <v>1</v>
      </c>
    </row>
    <row r="1202" spans="1:9" ht="15.75" hidden="1" customHeight="1" x14ac:dyDescent="0.2">
      <c r="A1202" s="11">
        <v>1210</v>
      </c>
      <c r="B1202" s="2">
        <v>1210</v>
      </c>
      <c r="C1202" s="2">
        <v>124</v>
      </c>
      <c r="D1202" s="2" t="str">
        <f>VLOOKUP(C1202,Course!$A$1:$C$229, 2, FALSE)</f>
        <v>Basic Christian Growth</v>
      </c>
      <c r="E1202" s="2">
        <v>137</v>
      </c>
      <c r="F1202" s="2" t="s">
        <v>1884</v>
      </c>
      <c r="G1202" s="2">
        <v>1</v>
      </c>
      <c r="H1202" s="21">
        <v>0.8</v>
      </c>
      <c r="I1202" s="2">
        <v>1</v>
      </c>
    </row>
    <row r="1203" spans="1:9" ht="15.75" hidden="1" customHeight="1" x14ac:dyDescent="0.2">
      <c r="A1203" s="11">
        <v>1211</v>
      </c>
      <c r="B1203" s="2">
        <v>1211</v>
      </c>
      <c r="C1203" s="2">
        <v>124</v>
      </c>
      <c r="D1203" s="2" t="str">
        <f>VLOOKUP(C1203,Course!$A$1:$C$229, 2, FALSE)</f>
        <v>Basic Christian Growth</v>
      </c>
      <c r="E1203" s="2">
        <v>138</v>
      </c>
      <c r="F1203" s="2" t="s">
        <v>1885</v>
      </c>
      <c r="G1203" s="2">
        <v>1</v>
      </c>
      <c r="H1203" s="21">
        <v>0.8</v>
      </c>
      <c r="I1203" s="2">
        <v>1</v>
      </c>
    </row>
    <row r="1204" spans="1:9" ht="15.75" hidden="1" customHeight="1" x14ac:dyDescent="0.2">
      <c r="A1204" s="11">
        <v>1212</v>
      </c>
      <c r="B1204" s="2">
        <v>1212</v>
      </c>
      <c r="C1204" s="2">
        <v>125</v>
      </c>
      <c r="D1204" s="2">
        <f>VLOOKUP(C1204,Course!$A$1:$C$229, 2, FALSE)</f>
        <v>0</v>
      </c>
      <c r="E1204" s="2">
        <v>139</v>
      </c>
      <c r="F1204" s="2" t="s">
        <v>1886</v>
      </c>
      <c r="G1204" s="2">
        <v>1</v>
      </c>
      <c r="H1204" s="21">
        <v>0.8</v>
      </c>
      <c r="I1204" s="2">
        <v>1</v>
      </c>
    </row>
    <row r="1205" spans="1:9" ht="15.75" hidden="1" customHeight="1" x14ac:dyDescent="0.2">
      <c r="A1205" s="11">
        <v>1213</v>
      </c>
      <c r="B1205" s="2">
        <v>1213</v>
      </c>
      <c r="C1205" s="2">
        <v>125</v>
      </c>
      <c r="D1205" s="2">
        <f>VLOOKUP(C1205,Course!$A$1:$C$229, 2, FALSE)</f>
        <v>0</v>
      </c>
      <c r="E1205" s="2">
        <v>140</v>
      </c>
      <c r="F1205" s="2" t="s">
        <v>1887</v>
      </c>
      <c r="G1205" s="2">
        <v>1</v>
      </c>
      <c r="H1205" s="21">
        <v>0.8</v>
      </c>
      <c r="I1205" s="2">
        <v>1</v>
      </c>
    </row>
    <row r="1206" spans="1:9" ht="15.75" hidden="1" customHeight="1" x14ac:dyDescent="0.2">
      <c r="A1206" s="11">
        <v>1214</v>
      </c>
      <c r="B1206" s="2">
        <v>1214</v>
      </c>
      <c r="C1206" s="2">
        <v>125</v>
      </c>
      <c r="D1206" s="2">
        <f>VLOOKUP(C1206,Course!$A$1:$C$229, 2, FALSE)</f>
        <v>0</v>
      </c>
      <c r="E1206" s="2">
        <v>141</v>
      </c>
      <c r="F1206" s="2" t="s">
        <v>1888</v>
      </c>
      <c r="G1206" s="2">
        <v>1</v>
      </c>
      <c r="H1206" s="21">
        <v>0.8</v>
      </c>
      <c r="I1206" s="2">
        <v>1</v>
      </c>
    </row>
    <row r="1207" spans="1:9" ht="15.75" hidden="1" customHeight="1" x14ac:dyDescent="0.2">
      <c r="A1207" s="11">
        <v>1215</v>
      </c>
      <c r="B1207" s="2">
        <v>1215</v>
      </c>
      <c r="C1207" s="2">
        <v>125</v>
      </c>
      <c r="D1207" s="2">
        <f>VLOOKUP(C1207,Course!$A$1:$C$229, 2, FALSE)</f>
        <v>0</v>
      </c>
      <c r="E1207" s="2">
        <v>142</v>
      </c>
      <c r="F1207" s="2" t="s">
        <v>1889</v>
      </c>
      <c r="G1207" s="2">
        <v>1</v>
      </c>
      <c r="H1207" s="21">
        <v>0.8</v>
      </c>
      <c r="I1207" s="2">
        <v>1</v>
      </c>
    </row>
    <row r="1208" spans="1:9" ht="15.75" hidden="1" customHeight="1" x14ac:dyDescent="0.2">
      <c r="A1208" s="11">
        <v>1216</v>
      </c>
      <c r="B1208" s="2">
        <v>1216</v>
      </c>
      <c r="C1208" s="2">
        <v>125</v>
      </c>
      <c r="D1208" s="2">
        <f>VLOOKUP(C1208,Course!$A$1:$C$229, 2, FALSE)</f>
        <v>0</v>
      </c>
      <c r="E1208" s="2">
        <v>143</v>
      </c>
      <c r="F1208" s="2" t="s">
        <v>1890</v>
      </c>
      <c r="G1208" s="2">
        <v>1</v>
      </c>
      <c r="H1208" s="21">
        <v>0.8</v>
      </c>
      <c r="I1208" s="2">
        <v>1</v>
      </c>
    </row>
    <row r="1209" spans="1:9" ht="15.75" hidden="1" customHeight="1" x14ac:dyDescent="0.2">
      <c r="A1209" s="11">
        <v>1217</v>
      </c>
      <c r="B1209" s="2">
        <v>1217</v>
      </c>
      <c r="C1209" s="2">
        <v>125</v>
      </c>
      <c r="D1209" s="2">
        <f>VLOOKUP(C1209,Course!$A$1:$C$229, 2, FALSE)</f>
        <v>0</v>
      </c>
      <c r="E1209" s="2">
        <v>144</v>
      </c>
      <c r="F1209" s="2" t="s">
        <v>1891</v>
      </c>
      <c r="G1209" s="2">
        <v>1</v>
      </c>
      <c r="H1209" s="21">
        <v>0.8</v>
      </c>
      <c r="I1209" s="2">
        <v>1</v>
      </c>
    </row>
    <row r="1210" spans="1:9" ht="15.75" hidden="1" customHeight="1" x14ac:dyDescent="0.2">
      <c r="A1210" s="11">
        <v>1218</v>
      </c>
      <c r="B1210" s="2">
        <v>1051</v>
      </c>
      <c r="C1210" s="2">
        <v>126</v>
      </c>
      <c r="D1210" s="2" t="str">
        <f>VLOOKUP(C1210,Course!$A$1:$C$229, 3, FALSE)</f>
        <v>New Testament Church History II</v>
      </c>
      <c r="E1210" s="2">
        <v>127</v>
      </c>
      <c r="F1210" s="2" t="s">
        <v>1737</v>
      </c>
      <c r="G1210" s="2">
        <f t="shared" ref="G1210:G1215" si="9">1/5</f>
        <v>0.2</v>
      </c>
      <c r="H1210" s="21">
        <v>0.8</v>
      </c>
      <c r="I1210" s="2">
        <v>1</v>
      </c>
    </row>
    <row r="1211" spans="1:9" ht="15.75" hidden="1" customHeight="1" x14ac:dyDescent="0.2">
      <c r="A1211" s="11">
        <v>1219</v>
      </c>
      <c r="B1211" s="2">
        <v>1052</v>
      </c>
      <c r="C1211" s="2">
        <v>126</v>
      </c>
      <c r="D1211" s="2" t="str">
        <f>VLOOKUP(C1211,Course!$A$1:$C$229, 3, FALSE)</f>
        <v>New Testament Church History II</v>
      </c>
      <c r="E1211" s="2">
        <v>128</v>
      </c>
      <c r="F1211" s="2" t="s">
        <v>1738</v>
      </c>
      <c r="G1211" s="2">
        <f t="shared" si="9"/>
        <v>0.2</v>
      </c>
      <c r="H1211" s="21">
        <v>0.8</v>
      </c>
      <c r="I1211" s="2">
        <v>1</v>
      </c>
    </row>
    <row r="1212" spans="1:9" ht="15.75" hidden="1" customHeight="1" x14ac:dyDescent="0.2">
      <c r="A1212" s="11">
        <v>1220</v>
      </c>
      <c r="B1212" s="2">
        <v>1053</v>
      </c>
      <c r="C1212" s="2">
        <v>126</v>
      </c>
      <c r="D1212" s="2" t="str">
        <f>VLOOKUP(C1212,Course!$A$1:$C$229, 3, FALSE)</f>
        <v>New Testament Church History II</v>
      </c>
      <c r="E1212" s="2">
        <v>129</v>
      </c>
      <c r="F1212" s="2" t="s">
        <v>1739</v>
      </c>
      <c r="G1212" s="2">
        <f t="shared" si="9"/>
        <v>0.2</v>
      </c>
      <c r="H1212" s="21">
        <v>0.8</v>
      </c>
      <c r="I1212" s="2">
        <v>1</v>
      </c>
    </row>
    <row r="1213" spans="1:9" ht="15.75" hidden="1" customHeight="1" x14ac:dyDescent="0.2">
      <c r="A1213" s="11">
        <v>1221</v>
      </c>
      <c r="B1213" s="2">
        <v>1054</v>
      </c>
      <c r="C1213" s="2">
        <v>126</v>
      </c>
      <c r="D1213" s="2" t="str">
        <f>VLOOKUP(C1213,Course!$A$1:$C$229, 3, FALSE)</f>
        <v>New Testament Church History II</v>
      </c>
      <c r="E1213" s="2">
        <v>130</v>
      </c>
      <c r="F1213" s="2" t="s">
        <v>1740</v>
      </c>
      <c r="G1213" s="2">
        <f t="shared" si="9"/>
        <v>0.2</v>
      </c>
      <c r="H1213" s="21">
        <v>0.8</v>
      </c>
      <c r="I1213" s="2">
        <v>1</v>
      </c>
    </row>
    <row r="1214" spans="1:9" ht="15.75" hidden="1" customHeight="1" x14ac:dyDescent="0.2">
      <c r="A1214" s="11">
        <v>1222</v>
      </c>
      <c r="B1214" s="2">
        <v>1055</v>
      </c>
      <c r="C1214" s="2">
        <v>126</v>
      </c>
      <c r="D1214" s="2" t="str">
        <f>VLOOKUP(C1214,Course!$A$1:$C$229, 3, FALSE)</f>
        <v>New Testament Church History II</v>
      </c>
      <c r="E1214" s="2">
        <v>131</v>
      </c>
      <c r="F1214" s="2" t="s">
        <v>1741</v>
      </c>
      <c r="G1214" s="2">
        <f t="shared" si="9"/>
        <v>0.2</v>
      </c>
      <c r="H1214" s="21">
        <v>0.8</v>
      </c>
      <c r="I1214" s="2">
        <v>1</v>
      </c>
    </row>
    <row r="1215" spans="1:9" ht="15.75" hidden="1" customHeight="1" x14ac:dyDescent="0.2">
      <c r="A1215" s="11">
        <v>1223</v>
      </c>
      <c r="B1215" s="2">
        <v>1056</v>
      </c>
      <c r="C1215" s="2">
        <v>126</v>
      </c>
      <c r="D1215" s="2" t="str">
        <f>VLOOKUP(C1215,Course!$A$1:$C$229, 3, FALSE)</f>
        <v>New Testament Church History II</v>
      </c>
      <c r="E1215" s="2">
        <v>132</v>
      </c>
      <c r="F1215" s="2" t="s">
        <v>1742</v>
      </c>
      <c r="G1215" s="2">
        <f t="shared" si="9"/>
        <v>0.2</v>
      </c>
      <c r="H1215" s="21">
        <v>0.8</v>
      </c>
      <c r="I1215" s="2">
        <v>1</v>
      </c>
    </row>
    <row r="1216" spans="1:9" ht="15.75" hidden="1" customHeight="1" x14ac:dyDescent="0.2">
      <c r="A1216" s="11">
        <v>1224</v>
      </c>
      <c r="B1216" s="2">
        <v>1224</v>
      </c>
      <c r="C1216" s="2">
        <v>127</v>
      </c>
      <c r="D1216" s="2">
        <f>VLOOKUP(C1216,Course!$A$1:$C$229, 2, FALSE)</f>
        <v>0</v>
      </c>
      <c r="E1216" s="2">
        <v>1</v>
      </c>
      <c r="G1216" s="2">
        <f t="shared" ref="G1216:G1225" si="10">1/10</f>
        <v>0.1</v>
      </c>
      <c r="H1216" s="21">
        <v>0.8</v>
      </c>
      <c r="I1216" s="2">
        <v>1</v>
      </c>
    </row>
    <row r="1217" spans="1:9" ht="15.75" hidden="1" customHeight="1" x14ac:dyDescent="0.2">
      <c r="A1217" s="11">
        <v>1225</v>
      </c>
      <c r="B1217" s="2">
        <v>1225</v>
      </c>
      <c r="C1217" s="2">
        <v>127</v>
      </c>
      <c r="D1217" s="2">
        <f>VLOOKUP(C1217,Course!$A$1:$C$229, 2, FALSE)</f>
        <v>0</v>
      </c>
      <c r="E1217" s="2">
        <v>2</v>
      </c>
      <c r="G1217" s="2">
        <f t="shared" si="10"/>
        <v>0.1</v>
      </c>
      <c r="H1217" s="21">
        <v>0.8</v>
      </c>
      <c r="I1217" s="2">
        <v>1</v>
      </c>
    </row>
    <row r="1218" spans="1:9" ht="15.75" hidden="1" customHeight="1" x14ac:dyDescent="0.2">
      <c r="A1218" s="11">
        <v>1226</v>
      </c>
      <c r="B1218" s="2">
        <v>1226</v>
      </c>
      <c r="C1218" s="2">
        <v>127</v>
      </c>
      <c r="D1218" s="2">
        <f>VLOOKUP(C1218,Course!$A$1:$C$229, 2, FALSE)</f>
        <v>0</v>
      </c>
      <c r="E1218" s="2">
        <v>3</v>
      </c>
      <c r="G1218" s="2">
        <f t="shared" si="10"/>
        <v>0.1</v>
      </c>
      <c r="H1218" s="21">
        <v>0.8</v>
      </c>
      <c r="I1218" s="2">
        <v>1</v>
      </c>
    </row>
    <row r="1219" spans="1:9" ht="15.75" hidden="1" customHeight="1" x14ac:dyDescent="0.2">
      <c r="A1219" s="11">
        <v>1227</v>
      </c>
      <c r="B1219" s="2">
        <v>1227</v>
      </c>
      <c r="C1219" s="2">
        <v>127</v>
      </c>
      <c r="D1219" s="2">
        <f>VLOOKUP(C1219,Course!$A$1:$C$229, 2, FALSE)</f>
        <v>0</v>
      </c>
      <c r="E1219" s="2">
        <v>4</v>
      </c>
      <c r="G1219" s="2">
        <f t="shared" si="10"/>
        <v>0.1</v>
      </c>
      <c r="H1219" s="21">
        <v>0.8</v>
      </c>
      <c r="I1219" s="2">
        <v>1</v>
      </c>
    </row>
    <row r="1220" spans="1:9" ht="15.75" hidden="1" customHeight="1" x14ac:dyDescent="0.2">
      <c r="A1220" s="11">
        <v>1228</v>
      </c>
      <c r="B1220" s="2">
        <v>1228</v>
      </c>
      <c r="C1220" s="2">
        <v>127</v>
      </c>
      <c r="D1220" s="2">
        <f>VLOOKUP(C1220,Course!$A$1:$C$229, 2, FALSE)</f>
        <v>0</v>
      </c>
      <c r="E1220" s="2">
        <v>5</v>
      </c>
      <c r="G1220" s="2">
        <f t="shared" si="10"/>
        <v>0.1</v>
      </c>
      <c r="H1220" s="21">
        <v>0.8</v>
      </c>
      <c r="I1220" s="2">
        <v>1</v>
      </c>
    </row>
    <row r="1221" spans="1:9" ht="15.75" hidden="1" customHeight="1" x14ac:dyDescent="0.2">
      <c r="A1221" s="11">
        <v>1229</v>
      </c>
      <c r="B1221" s="2">
        <v>1229</v>
      </c>
      <c r="C1221" s="2">
        <v>127</v>
      </c>
      <c r="D1221" s="2">
        <f>VLOOKUP(C1221,Course!$A$1:$C$229, 2, FALSE)</f>
        <v>0</v>
      </c>
      <c r="E1221" s="2">
        <v>6</v>
      </c>
      <c r="G1221" s="2">
        <f t="shared" si="10"/>
        <v>0.1</v>
      </c>
      <c r="H1221" s="21">
        <v>0.8</v>
      </c>
      <c r="I1221" s="2">
        <v>1</v>
      </c>
    </row>
    <row r="1222" spans="1:9" ht="15.75" hidden="1" customHeight="1" x14ac:dyDescent="0.2">
      <c r="A1222" s="11">
        <v>1230</v>
      </c>
      <c r="B1222" s="2">
        <v>1230</v>
      </c>
      <c r="C1222" s="2">
        <v>127</v>
      </c>
      <c r="D1222" s="2">
        <f>VLOOKUP(C1222,Course!$A$1:$C$229, 2, FALSE)</f>
        <v>0</v>
      </c>
      <c r="E1222" s="2">
        <v>7</v>
      </c>
      <c r="G1222" s="2">
        <f t="shared" si="10"/>
        <v>0.1</v>
      </c>
      <c r="H1222" s="21">
        <v>0.8</v>
      </c>
      <c r="I1222" s="2">
        <v>1</v>
      </c>
    </row>
    <row r="1223" spans="1:9" ht="15.75" hidden="1" customHeight="1" x14ac:dyDescent="0.2">
      <c r="A1223" s="11">
        <v>1231</v>
      </c>
      <c r="B1223" s="2">
        <v>1231</v>
      </c>
      <c r="C1223" s="2">
        <v>127</v>
      </c>
      <c r="D1223" s="2">
        <f>VLOOKUP(C1223,Course!$A$1:$C$229, 2, FALSE)</f>
        <v>0</v>
      </c>
      <c r="E1223" s="2">
        <v>8</v>
      </c>
      <c r="G1223" s="2">
        <f t="shared" si="10"/>
        <v>0.1</v>
      </c>
      <c r="H1223" s="21">
        <v>0.8</v>
      </c>
      <c r="I1223" s="2">
        <v>1</v>
      </c>
    </row>
    <row r="1224" spans="1:9" ht="15.75" hidden="1" customHeight="1" x14ac:dyDescent="0.2">
      <c r="A1224" s="11">
        <v>1232</v>
      </c>
      <c r="B1224" s="2">
        <v>1232</v>
      </c>
      <c r="C1224" s="2">
        <v>127</v>
      </c>
      <c r="D1224" s="2">
        <f>VLOOKUP(C1224,Course!$A$1:$C$229, 2, FALSE)</f>
        <v>0</v>
      </c>
      <c r="E1224" s="2">
        <v>9</v>
      </c>
      <c r="G1224" s="2">
        <f t="shared" si="10"/>
        <v>0.1</v>
      </c>
      <c r="H1224" s="21">
        <v>0.8</v>
      </c>
      <c r="I1224" s="2">
        <v>1</v>
      </c>
    </row>
    <row r="1225" spans="1:9" ht="15.75" hidden="1" customHeight="1" x14ac:dyDescent="0.2">
      <c r="A1225" s="11">
        <v>1233</v>
      </c>
      <c r="B1225" s="2">
        <v>1233</v>
      </c>
      <c r="C1225" s="2">
        <v>127</v>
      </c>
      <c r="D1225" s="2">
        <f>VLOOKUP(C1225,Course!$A$1:$C$229, 2, FALSE)</f>
        <v>0</v>
      </c>
      <c r="E1225" s="2">
        <v>10</v>
      </c>
      <c r="G1225" s="2">
        <f t="shared" si="10"/>
        <v>0.1</v>
      </c>
      <c r="H1225" s="21">
        <v>0.8</v>
      </c>
      <c r="I1225" s="2">
        <v>1</v>
      </c>
    </row>
    <row r="1226" spans="1:9" ht="15.75" hidden="1" customHeight="1" x14ac:dyDescent="0.2">
      <c r="A1226" s="11">
        <v>1234</v>
      </c>
      <c r="B1226" s="2">
        <v>959</v>
      </c>
      <c r="C1226" s="2">
        <v>131</v>
      </c>
      <c r="D1226" s="2">
        <f>VLOOKUP(C1226,Course!$A$1:$C$229, 2, FALSE)</f>
        <v>0</v>
      </c>
      <c r="E1226" s="2">
        <v>133</v>
      </c>
      <c r="F1226" s="2" t="s">
        <v>1892</v>
      </c>
      <c r="G1226" s="2">
        <v>1</v>
      </c>
      <c r="H1226" s="21">
        <v>0.8</v>
      </c>
      <c r="I1226" s="2">
        <v>1</v>
      </c>
    </row>
    <row r="1227" spans="1:9" ht="15.75" hidden="1" customHeight="1" x14ac:dyDescent="0.2">
      <c r="A1227" s="11">
        <v>1235</v>
      </c>
      <c r="B1227" s="2">
        <v>960</v>
      </c>
      <c r="C1227" s="2">
        <v>131</v>
      </c>
      <c r="D1227" s="2">
        <f>VLOOKUP(C1227,Course!$A$1:$C$229, 2, FALSE)</f>
        <v>0</v>
      </c>
      <c r="E1227" s="2">
        <v>134</v>
      </c>
      <c r="F1227" s="2" t="s">
        <v>1893</v>
      </c>
      <c r="G1227" s="2">
        <v>1</v>
      </c>
      <c r="H1227" s="21">
        <v>0.8</v>
      </c>
      <c r="I1227" s="2">
        <v>1</v>
      </c>
    </row>
    <row r="1228" spans="1:9" ht="15.75" hidden="1" customHeight="1" x14ac:dyDescent="0.2">
      <c r="A1228" s="11">
        <v>1236</v>
      </c>
      <c r="B1228" s="2">
        <v>961</v>
      </c>
      <c r="C1228" s="2">
        <v>131</v>
      </c>
      <c r="D1228" s="2">
        <f>VLOOKUP(C1228,Course!$A$1:$C$229, 2, FALSE)</f>
        <v>0</v>
      </c>
      <c r="E1228" s="2">
        <v>135</v>
      </c>
      <c r="F1228" s="2" t="s">
        <v>1894</v>
      </c>
      <c r="G1228" s="2">
        <v>1</v>
      </c>
      <c r="H1228" s="21">
        <v>0.8</v>
      </c>
      <c r="I1228" s="2">
        <v>1</v>
      </c>
    </row>
    <row r="1229" spans="1:9" ht="15.75" hidden="1" customHeight="1" x14ac:dyDescent="0.2">
      <c r="A1229" s="11">
        <v>1237</v>
      </c>
      <c r="B1229" s="2">
        <v>962</v>
      </c>
      <c r="C1229" s="2">
        <v>131</v>
      </c>
      <c r="D1229" s="2">
        <f>VLOOKUP(C1229,Course!$A$1:$C$229, 2, FALSE)</f>
        <v>0</v>
      </c>
      <c r="E1229" s="2">
        <v>136</v>
      </c>
      <c r="F1229" s="2" t="s">
        <v>1895</v>
      </c>
      <c r="G1229" s="2">
        <v>1</v>
      </c>
      <c r="H1229" s="21">
        <v>0.8</v>
      </c>
      <c r="I1229" s="2">
        <v>1</v>
      </c>
    </row>
    <row r="1230" spans="1:9" ht="15.75" hidden="1" customHeight="1" x14ac:dyDescent="0.2">
      <c r="A1230" s="11">
        <v>1238</v>
      </c>
      <c r="B1230" s="2">
        <v>963</v>
      </c>
      <c r="C1230" s="2">
        <v>131</v>
      </c>
      <c r="D1230" s="2">
        <f>VLOOKUP(C1230,Course!$A$1:$C$229, 2, FALSE)</f>
        <v>0</v>
      </c>
      <c r="E1230" s="2">
        <v>137</v>
      </c>
      <c r="F1230" s="2" t="s">
        <v>1896</v>
      </c>
      <c r="G1230" s="2">
        <v>1</v>
      </c>
      <c r="H1230" s="21">
        <v>0.8</v>
      </c>
      <c r="I1230" s="2">
        <v>1</v>
      </c>
    </row>
    <row r="1231" spans="1:9" ht="15.75" hidden="1" customHeight="1" x14ac:dyDescent="0.2">
      <c r="A1231" s="11">
        <v>1239</v>
      </c>
      <c r="B1231" s="2">
        <v>964</v>
      </c>
      <c r="C1231" s="2">
        <v>131</v>
      </c>
      <c r="D1231" s="2">
        <f>VLOOKUP(C1231,Course!$A$1:$C$229, 2, FALSE)</f>
        <v>0</v>
      </c>
      <c r="E1231" s="2">
        <v>138</v>
      </c>
      <c r="F1231" s="2" t="s">
        <v>1897</v>
      </c>
      <c r="G1231" s="2">
        <v>1</v>
      </c>
      <c r="H1231" s="21">
        <v>0.8</v>
      </c>
      <c r="I1231" s="2">
        <v>1</v>
      </c>
    </row>
    <row r="1232" spans="1:9" ht="15.75" hidden="1" customHeight="1" x14ac:dyDescent="0.2">
      <c r="A1232" s="11">
        <v>1240</v>
      </c>
      <c r="B1232" s="2">
        <v>1212</v>
      </c>
      <c r="C1232" s="2">
        <v>131</v>
      </c>
      <c r="D1232" s="2">
        <f>VLOOKUP(C1232,Course!$A$1:$C$229, 2, FALSE)</f>
        <v>0</v>
      </c>
      <c r="E1232" s="2">
        <v>139</v>
      </c>
      <c r="F1232" s="2" t="s">
        <v>1898</v>
      </c>
      <c r="G1232" s="2">
        <v>1</v>
      </c>
      <c r="H1232" s="21">
        <v>0.8</v>
      </c>
      <c r="I1232" s="2">
        <v>1</v>
      </c>
    </row>
    <row r="1233" spans="1:9" ht="15.75" hidden="1" customHeight="1" x14ac:dyDescent="0.2">
      <c r="A1233" s="11">
        <v>1241</v>
      </c>
      <c r="B1233" s="2">
        <v>1213</v>
      </c>
      <c r="C1233" s="2">
        <v>131</v>
      </c>
      <c r="D1233" s="2">
        <f>VLOOKUP(C1233,Course!$A$1:$C$229, 2, FALSE)</f>
        <v>0</v>
      </c>
      <c r="E1233" s="2">
        <v>140</v>
      </c>
      <c r="F1233" s="2" t="s">
        <v>1899</v>
      </c>
      <c r="G1233" s="2">
        <v>1</v>
      </c>
      <c r="H1233" s="21">
        <v>0.8</v>
      </c>
      <c r="I1233" s="2">
        <v>1</v>
      </c>
    </row>
    <row r="1234" spans="1:9" ht="15.75" hidden="1" customHeight="1" x14ac:dyDescent="0.2">
      <c r="A1234" s="11">
        <v>1242</v>
      </c>
      <c r="B1234" s="2">
        <v>1214</v>
      </c>
      <c r="C1234" s="2">
        <v>131</v>
      </c>
      <c r="D1234" s="2">
        <f>VLOOKUP(C1234,Course!$A$1:$C$229, 2, FALSE)</f>
        <v>0</v>
      </c>
      <c r="E1234" s="2">
        <v>141</v>
      </c>
      <c r="F1234" s="2" t="s">
        <v>1900</v>
      </c>
      <c r="G1234" s="2">
        <v>1</v>
      </c>
      <c r="H1234" s="21">
        <v>0.8</v>
      </c>
      <c r="I1234" s="2">
        <v>1</v>
      </c>
    </row>
    <row r="1235" spans="1:9" ht="15.75" hidden="1" customHeight="1" x14ac:dyDescent="0.2">
      <c r="A1235" s="11">
        <v>1243</v>
      </c>
      <c r="B1235" s="2">
        <v>1215</v>
      </c>
      <c r="C1235" s="2">
        <v>131</v>
      </c>
      <c r="D1235" s="2">
        <f>VLOOKUP(C1235,Course!$A$1:$C$229, 2, FALSE)</f>
        <v>0</v>
      </c>
      <c r="E1235" s="2">
        <v>142</v>
      </c>
      <c r="F1235" s="2" t="s">
        <v>1901</v>
      </c>
      <c r="G1235" s="2">
        <v>1</v>
      </c>
      <c r="H1235" s="21">
        <v>0.8</v>
      </c>
      <c r="I1235" s="2">
        <v>1</v>
      </c>
    </row>
    <row r="1236" spans="1:9" ht="15.75" hidden="1" customHeight="1" x14ac:dyDescent="0.2">
      <c r="A1236" s="11">
        <v>1244</v>
      </c>
      <c r="B1236" s="2">
        <v>1216</v>
      </c>
      <c r="C1236" s="2">
        <v>131</v>
      </c>
      <c r="D1236" s="2">
        <f>VLOOKUP(C1236,Course!$A$1:$C$229, 2, FALSE)</f>
        <v>0</v>
      </c>
      <c r="E1236" s="2">
        <v>143</v>
      </c>
      <c r="F1236" s="2" t="s">
        <v>1902</v>
      </c>
      <c r="G1236" s="2">
        <v>1</v>
      </c>
      <c r="H1236" s="21">
        <v>0.8</v>
      </c>
      <c r="I1236" s="2">
        <v>1</v>
      </c>
    </row>
    <row r="1237" spans="1:9" ht="15.75" hidden="1" customHeight="1" x14ac:dyDescent="0.2">
      <c r="A1237" s="11">
        <v>1245</v>
      </c>
      <c r="B1237" s="2">
        <v>1217</v>
      </c>
      <c r="C1237" s="2">
        <v>131</v>
      </c>
      <c r="D1237" s="2">
        <f>VLOOKUP(C1237,Course!$A$1:$C$229, 2, FALSE)</f>
        <v>0</v>
      </c>
      <c r="E1237" s="2">
        <v>144</v>
      </c>
      <c r="F1237" s="2" t="s">
        <v>1903</v>
      </c>
      <c r="G1237" s="2">
        <v>1</v>
      </c>
      <c r="H1237" s="21">
        <v>0.8</v>
      </c>
      <c r="I1237" s="2">
        <v>1</v>
      </c>
    </row>
    <row r="1238" spans="1:9" ht="15.75" hidden="1" customHeight="1" x14ac:dyDescent="0.2">
      <c r="A1238" s="11">
        <v>1246</v>
      </c>
      <c r="B1238" s="2">
        <v>1234</v>
      </c>
      <c r="C1238" s="2">
        <v>130</v>
      </c>
      <c r="D1238" s="2">
        <f>VLOOKUP(C1238, Course!$A$2:$C$149, 2, FALSE)</f>
        <v>0</v>
      </c>
      <c r="E1238" s="2">
        <v>1</v>
      </c>
      <c r="G1238" s="2">
        <f t="shared" ref="G1238:G1253" si="11">1/16</f>
        <v>6.25E-2</v>
      </c>
      <c r="H1238" s="21">
        <v>0.8</v>
      </c>
      <c r="I1238" s="2">
        <v>1</v>
      </c>
    </row>
    <row r="1239" spans="1:9" ht="15.75" hidden="1" customHeight="1" x14ac:dyDescent="0.2">
      <c r="A1239" s="11">
        <v>1247</v>
      </c>
      <c r="B1239" s="2">
        <v>1235</v>
      </c>
      <c r="C1239" s="2">
        <v>130</v>
      </c>
      <c r="D1239" s="2">
        <f>VLOOKUP(C1239, Course!$A$2:$C$149, 2, FALSE)</f>
        <v>0</v>
      </c>
      <c r="E1239" s="2">
        <v>2</v>
      </c>
      <c r="G1239" s="2">
        <f t="shared" si="11"/>
        <v>6.25E-2</v>
      </c>
      <c r="H1239" s="21">
        <v>0.8</v>
      </c>
      <c r="I1239" s="2">
        <v>1</v>
      </c>
    </row>
    <row r="1240" spans="1:9" ht="15.75" hidden="1" customHeight="1" x14ac:dyDescent="0.2">
      <c r="A1240" s="11">
        <v>1248</v>
      </c>
      <c r="B1240" s="2">
        <v>1236</v>
      </c>
      <c r="C1240" s="2">
        <v>130</v>
      </c>
      <c r="D1240" s="2">
        <f>VLOOKUP(C1240, Course!$A$2:$C$149, 2, FALSE)</f>
        <v>0</v>
      </c>
      <c r="E1240" s="2">
        <v>3</v>
      </c>
      <c r="G1240" s="2">
        <f t="shared" si="11"/>
        <v>6.25E-2</v>
      </c>
      <c r="H1240" s="21">
        <v>0.8</v>
      </c>
      <c r="I1240" s="2">
        <v>1</v>
      </c>
    </row>
    <row r="1241" spans="1:9" ht="15.75" hidden="1" customHeight="1" x14ac:dyDescent="0.2">
      <c r="A1241" s="11">
        <v>1249</v>
      </c>
      <c r="B1241" s="2">
        <v>1237</v>
      </c>
      <c r="C1241" s="2">
        <v>130</v>
      </c>
      <c r="D1241" s="2">
        <f>VLOOKUP(C1241, Course!$A$2:$C$149, 2, FALSE)</f>
        <v>0</v>
      </c>
      <c r="E1241" s="2">
        <v>4</v>
      </c>
      <c r="G1241" s="2">
        <f t="shared" si="11"/>
        <v>6.25E-2</v>
      </c>
      <c r="H1241" s="21">
        <v>0.8</v>
      </c>
      <c r="I1241" s="2">
        <v>1</v>
      </c>
    </row>
    <row r="1242" spans="1:9" ht="15.75" hidden="1" customHeight="1" x14ac:dyDescent="0.2">
      <c r="A1242" s="11">
        <v>1250</v>
      </c>
      <c r="B1242" s="2">
        <v>1238</v>
      </c>
      <c r="C1242" s="2">
        <v>130</v>
      </c>
      <c r="D1242" s="2">
        <f>VLOOKUP(C1242, Course!$A$2:$C$149, 2, FALSE)</f>
        <v>0</v>
      </c>
      <c r="E1242" s="2">
        <v>5</v>
      </c>
      <c r="G1242" s="2">
        <f t="shared" si="11"/>
        <v>6.25E-2</v>
      </c>
      <c r="H1242" s="21">
        <v>0.8</v>
      </c>
      <c r="I1242" s="2">
        <v>1</v>
      </c>
    </row>
    <row r="1243" spans="1:9" ht="15.75" hidden="1" customHeight="1" x14ac:dyDescent="0.2">
      <c r="A1243" s="11">
        <v>1251</v>
      </c>
      <c r="B1243" s="2">
        <v>1239</v>
      </c>
      <c r="C1243" s="2">
        <v>130</v>
      </c>
      <c r="D1243" s="2">
        <f>VLOOKUP(C1243, Course!$A$2:$C$149, 2, FALSE)</f>
        <v>0</v>
      </c>
      <c r="E1243" s="2">
        <v>6</v>
      </c>
      <c r="G1243" s="2">
        <f t="shared" si="11"/>
        <v>6.25E-2</v>
      </c>
      <c r="H1243" s="21">
        <v>0.8</v>
      </c>
      <c r="I1243" s="2">
        <v>1</v>
      </c>
    </row>
    <row r="1244" spans="1:9" ht="15.75" hidden="1" customHeight="1" x14ac:dyDescent="0.2">
      <c r="A1244" s="11">
        <v>1252</v>
      </c>
      <c r="B1244" s="2">
        <v>1240</v>
      </c>
      <c r="C1244" s="2">
        <v>130</v>
      </c>
      <c r="D1244" s="2">
        <f>VLOOKUP(C1244, Course!$A$2:$C$149, 2, FALSE)</f>
        <v>0</v>
      </c>
      <c r="E1244" s="2">
        <v>7</v>
      </c>
      <c r="G1244" s="2">
        <f t="shared" si="11"/>
        <v>6.25E-2</v>
      </c>
      <c r="H1244" s="21">
        <v>0.8</v>
      </c>
      <c r="I1244" s="2">
        <v>1</v>
      </c>
    </row>
    <row r="1245" spans="1:9" ht="15.75" hidden="1" customHeight="1" x14ac:dyDescent="0.2">
      <c r="A1245" s="11">
        <v>1253</v>
      </c>
      <c r="B1245" s="2">
        <v>1241</v>
      </c>
      <c r="C1245" s="2">
        <v>130</v>
      </c>
      <c r="D1245" s="2">
        <f>VLOOKUP(C1245, Course!$A$2:$C$149, 2, FALSE)</f>
        <v>0</v>
      </c>
      <c r="E1245" s="2">
        <v>8</v>
      </c>
      <c r="G1245" s="2">
        <f t="shared" si="11"/>
        <v>6.25E-2</v>
      </c>
      <c r="H1245" s="21">
        <v>0.8</v>
      </c>
      <c r="I1245" s="2">
        <v>1</v>
      </c>
    </row>
    <row r="1246" spans="1:9" ht="15.75" hidden="1" customHeight="1" x14ac:dyDescent="0.2">
      <c r="A1246" s="11">
        <v>1254</v>
      </c>
      <c r="B1246" s="2">
        <v>1242</v>
      </c>
      <c r="C1246" s="2">
        <v>130</v>
      </c>
      <c r="D1246" s="2">
        <f>VLOOKUP(C1246, Course!$A$2:$C$149, 2, FALSE)</f>
        <v>0</v>
      </c>
      <c r="E1246" s="2">
        <v>9</v>
      </c>
      <c r="G1246" s="2">
        <f t="shared" si="11"/>
        <v>6.25E-2</v>
      </c>
      <c r="H1246" s="21">
        <v>0.8</v>
      </c>
      <c r="I1246" s="2">
        <v>1</v>
      </c>
    </row>
    <row r="1247" spans="1:9" ht="15.75" hidden="1" customHeight="1" x14ac:dyDescent="0.2">
      <c r="A1247" s="11">
        <v>1255</v>
      </c>
      <c r="B1247" s="2">
        <v>1243</v>
      </c>
      <c r="C1247" s="2">
        <v>130</v>
      </c>
      <c r="D1247" s="2">
        <f>VLOOKUP(C1247, Course!$A$2:$C$149, 2, FALSE)</f>
        <v>0</v>
      </c>
      <c r="E1247" s="2">
        <v>10</v>
      </c>
      <c r="G1247" s="2">
        <f t="shared" si="11"/>
        <v>6.25E-2</v>
      </c>
      <c r="H1247" s="21">
        <v>0.8</v>
      </c>
      <c r="I1247" s="2">
        <v>1</v>
      </c>
    </row>
    <row r="1248" spans="1:9" ht="15.75" hidden="1" customHeight="1" x14ac:dyDescent="0.2">
      <c r="A1248" s="11">
        <v>1256</v>
      </c>
      <c r="B1248" s="2">
        <v>1244</v>
      </c>
      <c r="C1248" s="2">
        <v>130</v>
      </c>
      <c r="D1248" s="2">
        <f>VLOOKUP(C1248, Course!$A$2:$C$149, 2, FALSE)</f>
        <v>0</v>
      </c>
      <c r="E1248" s="2">
        <v>11</v>
      </c>
      <c r="G1248" s="2">
        <f t="shared" si="11"/>
        <v>6.25E-2</v>
      </c>
      <c r="H1248" s="21">
        <v>0.8</v>
      </c>
      <c r="I1248" s="2">
        <v>1</v>
      </c>
    </row>
    <row r="1249" spans="1:9" ht="15.75" hidden="1" customHeight="1" x14ac:dyDescent="0.2">
      <c r="A1249" s="11">
        <v>1257</v>
      </c>
      <c r="B1249" s="2">
        <v>1245</v>
      </c>
      <c r="C1249" s="2">
        <v>130</v>
      </c>
      <c r="D1249" s="2">
        <f>VLOOKUP(C1249, Course!$A$2:$C$149, 2, FALSE)</f>
        <v>0</v>
      </c>
      <c r="E1249" s="2">
        <v>12</v>
      </c>
      <c r="G1249" s="2">
        <f t="shared" si="11"/>
        <v>6.25E-2</v>
      </c>
      <c r="H1249" s="21">
        <v>0.8</v>
      </c>
      <c r="I1249" s="2">
        <v>1</v>
      </c>
    </row>
    <row r="1250" spans="1:9" ht="15.75" hidden="1" customHeight="1" x14ac:dyDescent="0.2">
      <c r="A1250" s="11">
        <v>1258</v>
      </c>
      <c r="B1250" s="2">
        <v>1246</v>
      </c>
      <c r="C1250" s="2">
        <v>130</v>
      </c>
      <c r="D1250" s="2">
        <f>VLOOKUP(C1250, Course!$A$2:$C$149, 2, FALSE)</f>
        <v>0</v>
      </c>
      <c r="E1250" s="2">
        <v>13</v>
      </c>
      <c r="G1250" s="2">
        <f t="shared" si="11"/>
        <v>6.25E-2</v>
      </c>
      <c r="H1250" s="21">
        <v>0.8</v>
      </c>
      <c r="I1250" s="2">
        <v>1</v>
      </c>
    </row>
    <row r="1251" spans="1:9" ht="15.75" hidden="1" customHeight="1" x14ac:dyDescent="0.2">
      <c r="A1251" s="11">
        <v>1259</v>
      </c>
      <c r="B1251" s="2">
        <v>1247</v>
      </c>
      <c r="C1251" s="2">
        <v>130</v>
      </c>
      <c r="D1251" s="2">
        <f>VLOOKUP(C1251, Course!$A$2:$C$149, 2, FALSE)</f>
        <v>0</v>
      </c>
      <c r="E1251" s="2">
        <v>14</v>
      </c>
      <c r="G1251" s="2">
        <f t="shared" si="11"/>
        <v>6.25E-2</v>
      </c>
      <c r="H1251" s="21">
        <v>0.8</v>
      </c>
      <c r="I1251" s="2">
        <v>1</v>
      </c>
    </row>
    <row r="1252" spans="1:9" ht="15.75" hidden="1" customHeight="1" x14ac:dyDescent="0.2">
      <c r="A1252" s="11">
        <v>1260</v>
      </c>
      <c r="B1252" s="2">
        <v>1248</v>
      </c>
      <c r="C1252" s="2">
        <v>130</v>
      </c>
      <c r="D1252" s="2">
        <f>VLOOKUP(C1252, Course!$A$2:$C$149, 2, FALSE)</f>
        <v>0</v>
      </c>
      <c r="E1252" s="2">
        <v>15</v>
      </c>
      <c r="G1252" s="2">
        <f t="shared" si="11"/>
        <v>6.25E-2</v>
      </c>
      <c r="H1252" s="21">
        <v>0.8</v>
      </c>
      <c r="I1252" s="2">
        <v>1</v>
      </c>
    </row>
    <row r="1253" spans="1:9" ht="15.75" hidden="1" customHeight="1" x14ac:dyDescent="0.2">
      <c r="A1253" s="11">
        <v>1261</v>
      </c>
      <c r="B1253" s="2">
        <v>1249</v>
      </c>
      <c r="C1253" s="2">
        <v>130</v>
      </c>
      <c r="D1253" s="2">
        <f>VLOOKUP(C1253, Course!$A$2:$C$149, 2, FALSE)</f>
        <v>0</v>
      </c>
      <c r="E1253" s="2">
        <v>16</v>
      </c>
      <c r="G1253" s="2">
        <f t="shared" si="11"/>
        <v>6.25E-2</v>
      </c>
      <c r="H1253" s="21">
        <v>0.8</v>
      </c>
      <c r="I1253" s="2">
        <v>1</v>
      </c>
    </row>
    <row r="1254" spans="1:9" ht="15.75" hidden="1" customHeight="1" x14ac:dyDescent="0.2">
      <c r="A1254" s="11">
        <v>1262</v>
      </c>
      <c r="B1254" s="2">
        <v>1268</v>
      </c>
      <c r="C1254" s="2">
        <v>147</v>
      </c>
      <c r="D1254" s="2">
        <f>VLOOKUP(C1254, Course!$A$2:$C$149, 2, FALSE)</f>
        <v>0</v>
      </c>
      <c r="E1254" s="2">
        <v>49</v>
      </c>
      <c r="G1254" s="2">
        <f t="shared" ref="G1254:G1290" si="12">1/12</f>
        <v>8.3333333333333329E-2</v>
      </c>
      <c r="H1254" s="21">
        <v>0.8</v>
      </c>
      <c r="I1254" s="2">
        <v>1</v>
      </c>
    </row>
    <row r="1255" spans="1:9" ht="15.75" hidden="1" customHeight="1" x14ac:dyDescent="0.2">
      <c r="A1255" s="11">
        <v>1263</v>
      </c>
      <c r="B1255" s="2">
        <v>1269</v>
      </c>
      <c r="C1255" s="2">
        <v>147</v>
      </c>
      <c r="D1255" s="2">
        <f>VLOOKUP(C1255, Course!$A$2:$C$149, 2, FALSE)</f>
        <v>0</v>
      </c>
      <c r="E1255" s="2">
        <v>50</v>
      </c>
      <c r="G1255" s="2">
        <f t="shared" si="12"/>
        <v>8.3333333333333329E-2</v>
      </c>
      <c r="H1255" s="21">
        <v>0.8</v>
      </c>
      <c r="I1255" s="2">
        <v>1</v>
      </c>
    </row>
    <row r="1256" spans="1:9" ht="15.75" hidden="1" customHeight="1" x14ac:dyDescent="0.2">
      <c r="A1256" s="11">
        <v>1264</v>
      </c>
      <c r="B1256" s="2">
        <v>1270</v>
      </c>
      <c r="C1256" s="2">
        <v>147</v>
      </c>
      <c r="D1256" s="2">
        <f>VLOOKUP(C1256, Course!$A$2:$C$149, 2, FALSE)</f>
        <v>0</v>
      </c>
      <c r="E1256" s="2">
        <v>51</v>
      </c>
      <c r="G1256" s="2">
        <f t="shared" si="12"/>
        <v>8.3333333333333329E-2</v>
      </c>
      <c r="H1256" s="21">
        <v>0.8</v>
      </c>
      <c r="I1256" s="2">
        <v>1</v>
      </c>
    </row>
    <row r="1257" spans="1:9" ht="15.75" hidden="1" customHeight="1" x14ac:dyDescent="0.2">
      <c r="A1257" s="11">
        <v>1265</v>
      </c>
      <c r="B1257" s="2">
        <v>1271</v>
      </c>
      <c r="C1257" s="2">
        <v>147</v>
      </c>
      <c r="D1257" s="2">
        <f>VLOOKUP(C1257, Course!$A$2:$C$149, 2, FALSE)</f>
        <v>0</v>
      </c>
      <c r="E1257" s="2">
        <v>52</v>
      </c>
      <c r="G1257" s="2">
        <f t="shared" si="12"/>
        <v>8.3333333333333329E-2</v>
      </c>
      <c r="H1257" s="21">
        <v>0.8</v>
      </c>
      <c r="I1257" s="2">
        <v>1</v>
      </c>
    </row>
    <row r="1258" spans="1:9" ht="15.75" hidden="1" customHeight="1" x14ac:dyDescent="0.2">
      <c r="A1258" s="11">
        <v>1266</v>
      </c>
      <c r="B1258" s="2">
        <v>1272</v>
      </c>
      <c r="C1258" s="2">
        <v>147</v>
      </c>
      <c r="D1258" s="2">
        <f>VLOOKUP(C1258, Course!$A$2:$C$149, 2, FALSE)</f>
        <v>0</v>
      </c>
      <c r="E1258" s="2">
        <v>53</v>
      </c>
      <c r="G1258" s="2">
        <f t="shared" si="12"/>
        <v>8.3333333333333329E-2</v>
      </c>
      <c r="H1258" s="21">
        <v>0.8</v>
      </c>
      <c r="I1258" s="2">
        <v>1</v>
      </c>
    </row>
    <row r="1259" spans="1:9" ht="15.75" hidden="1" customHeight="1" x14ac:dyDescent="0.2">
      <c r="A1259" s="11">
        <v>1267</v>
      </c>
      <c r="B1259" s="2">
        <v>1273</v>
      </c>
      <c r="C1259" s="2">
        <v>147</v>
      </c>
      <c r="D1259" s="2">
        <f>VLOOKUP(C1259, Course!$A$2:$C$149, 2, FALSE)</f>
        <v>0</v>
      </c>
      <c r="E1259" s="2">
        <v>54</v>
      </c>
      <c r="G1259" s="2">
        <f t="shared" si="12"/>
        <v>8.3333333333333329E-2</v>
      </c>
      <c r="H1259" s="21">
        <v>0.8</v>
      </c>
      <c r="I1259" s="2">
        <v>1</v>
      </c>
    </row>
    <row r="1260" spans="1:9" ht="15.75" hidden="1" customHeight="1" x14ac:dyDescent="0.2">
      <c r="A1260" s="11">
        <v>1268</v>
      </c>
      <c r="B1260" s="2">
        <v>1274</v>
      </c>
      <c r="C1260" s="2">
        <v>147</v>
      </c>
      <c r="D1260" s="2">
        <f>VLOOKUP(C1260, Course!$A$2:$C$149, 2, FALSE)</f>
        <v>0</v>
      </c>
      <c r="E1260" s="2">
        <v>55</v>
      </c>
      <c r="G1260" s="2">
        <f t="shared" si="12"/>
        <v>8.3333333333333329E-2</v>
      </c>
      <c r="H1260" s="21">
        <v>0.8</v>
      </c>
      <c r="I1260" s="2">
        <v>1</v>
      </c>
    </row>
    <row r="1261" spans="1:9" ht="15.75" hidden="1" customHeight="1" x14ac:dyDescent="0.2">
      <c r="A1261" s="11">
        <v>1269</v>
      </c>
      <c r="B1261" s="2">
        <v>1275</v>
      </c>
      <c r="C1261" s="2">
        <v>147</v>
      </c>
      <c r="D1261" s="2">
        <f>VLOOKUP(C1261, Course!$A$2:$C$149, 2, FALSE)</f>
        <v>0</v>
      </c>
      <c r="E1261" s="2">
        <v>56</v>
      </c>
      <c r="G1261" s="2">
        <f t="shared" si="12"/>
        <v>8.3333333333333329E-2</v>
      </c>
      <c r="H1261" s="21">
        <v>0.8</v>
      </c>
      <c r="I1261" s="2">
        <v>1</v>
      </c>
    </row>
    <row r="1262" spans="1:9" ht="15.75" hidden="1" customHeight="1" x14ac:dyDescent="0.2">
      <c r="A1262" s="11">
        <v>1270</v>
      </c>
      <c r="B1262" s="2">
        <v>1276</v>
      </c>
      <c r="C1262" s="2">
        <v>147</v>
      </c>
      <c r="D1262" s="2">
        <f>VLOOKUP(C1262, Course!$A$2:$C$149, 2, FALSE)</f>
        <v>0</v>
      </c>
      <c r="E1262" s="2">
        <v>57</v>
      </c>
      <c r="G1262" s="2">
        <f t="shared" si="12"/>
        <v>8.3333333333333329E-2</v>
      </c>
      <c r="H1262" s="21">
        <v>0.8</v>
      </c>
      <c r="I1262" s="2">
        <v>1</v>
      </c>
    </row>
    <row r="1263" spans="1:9" ht="15.75" hidden="1" customHeight="1" x14ac:dyDescent="0.2">
      <c r="A1263" s="11">
        <v>1271</v>
      </c>
      <c r="B1263" s="2">
        <v>1277</v>
      </c>
      <c r="C1263" s="2">
        <v>147</v>
      </c>
      <c r="D1263" s="2">
        <f>VLOOKUP(C1263, Course!$A$2:$C$149, 2, FALSE)</f>
        <v>0</v>
      </c>
      <c r="E1263" s="2">
        <v>58</v>
      </c>
      <c r="G1263" s="2">
        <f t="shared" si="12"/>
        <v>8.3333333333333329E-2</v>
      </c>
      <c r="H1263" s="21">
        <v>0.8</v>
      </c>
      <c r="I1263" s="2">
        <v>1</v>
      </c>
    </row>
    <row r="1264" spans="1:9" ht="15.75" hidden="1" customHeight="1" x14ac:dyDescent="0.2">
      <c r="A1264" s="11">
        <v>1272</v>
      </c>
      <c r="B1264" s="2">
        <v>1278</v>
      </c>
      <c r="C1264" s="2">
        <v>147</v>
      </c>
      <c r="D1264" s="2">
        <f>VLOOKUP(C1264, Course!$A$2:$C$149, 2, FALSE)</f>
        <v>0</v>
      </c>
      <c r="E1264" s="2">
        <v>59</v>
      </c>
      <c r="G1264" s="2">
        <f t="shared" si="12"/>
        <v>8.3333333333333329E-2</v>
      </c>
      <c r="H1264" s="21">
        <v>0.8</v>
      </c>
      <c r="I1264" s="2">
        <v>1</v>
      </c>
    </row>
    <row r="1265" spans="1:9" ht="15.75" hidden="1" customHeight="1" x14ac:dyDescent="0.2">
      <c r="A1265" s="11">
        <v>1273</v>
      </c>
      <c r="B1265" s="2">
        <v>1279</v>
      </c>
      <c r="C1265" s="2">
        <v>147</v>
      </c>
      <c r="D1265" s="2">
        <f>VLOOKUP(C1265, Course!$A$2:$C$149, 2, FALSE)</f>
        <v>0</v>
      </c>
      <c r="E1265" s="2">
        <v>60</v>
      </c>
      <c r="G1265" s="2">
        <f t="shared" si="12"/>
        <v>8.3333333333333329E-2</v>
      </c>
      <c r="H1265" s="21">
        <v>0.8</v>
      </c>
      <c r="I1265" s="2">
        <v>1</v>
      </c>
    </row>
    <row r="1266" spans="1:9" ht="15.75" hidden="1" customHeight="1" x14ac:dyDescent="0.2">
      <c r="A1266" s="11">
        <v>1274</v>
      </c>
      <c r="B1266" s="2">
        <v>1280</v>
      </c>
      <c r="C1266" s="2">
        <v>148</v>
      </c>
      <c r="D1266" s="2">
        <f>VLOOKUP(C1266, Course!$A$2:$C$150, 2, FALSE)</f>
        <v>0</v>
      </c>
      <c r="E1266" s="2">
        <v>109</v>
      </c>
      <c r="G1266" s="2">
        <f t="shared" si="12"/>
        <v>8.3333333333333329E-2</v>
      </c>
      <c r="H1266" s="21">
        <v>0.8</v>
      </c>
      <c r="I1266" s="2">
        <v>1</v>
      </c>
    </row>
    <row r="1267" spans="1:9" ht="15.75" hidden="1" customHeight="1" x14ac:dyDescent="0.2">
      <c r="A1267" s="11">
        <v>1275</v>
      </c>
      <c r="B1267" s="2">
        <v>1281</v>
      </c>
      <c r="C1267" s="2">
        <v>148</v>
      </c>
      <c r="D1267" s="2">
        <f>VLOOKUP(C1267, Course!$A$2:$C$150, 2, FALSE)</f>
        <v>0</v>
      </c>
      <c r="E1267" s="2">
        <v>110</v>
      </c>
      <c r="G1267" s="2">
        <f t="shared" si="12"/>
        <v>8.3333333333333329E-2</v>
      </c>
      <c r="H1267" s="21">
        <v>0.8</v>
      </c>
      <c r="I1267" s="2">
        <v>1</v>
      </c>
    </row>
    <row r="1268" spans="1:9" ht="15.75" hidden="1" customHeight="1" x14ac:dyDescent="0.2">
      <c r="A1268" s="11">
        <v>1276</v>
      </c>
      <c r="B1268" s="2">
        <v>1282</v>
      </c>
      <c r="C1268" s="2">
        <v>148</v>
      </c>
      <c r="D1268" s="2">
        <f>VLOOKUP(C1268, Course!$A$2:$C$150, 2, FALSE)</f>
        <v>0</v>
      </c>
      <c r="E1268" s="2">
        <v>111</v>
      </c>
      <c r="G1268" s="2">
        <f t="shared" si="12"/>
        <v>8.3333333333333329E-2</v>
      </c>
      <c r="H1268" s="21">
        <v>0.8</v>
      </c>
      <c r="I1268" s="2">
        <v>1</v>
      </c>
    </row>
    <row r="1269" spans="1:9" ht="15.75" hidden="1" customHeight="1" x14ac:dyDescent="0.2">
      <c r="A1269" s="11">
        <v>1277</v>
      </c>
      <c r="B1269" s="2">
        <v>1283</v>
      </c>
      <c r="C1269" s="2">
        <v>148</v>
      </c>
      <c r="D1269" s="2">
        <f>VLOOKUP(C1269, Course!$A$2:$C$150, 2, FALSE)</f>
        <v>0</v>
      </c>
      <c r="E1269" s="2">
        <v>112</v>
      </c>
      <c r="G1269" s="2">
        <f t="shared" si="12"/>
        <v>8.3333333333333329E-2</v>
      </c>
      <c r="H1269" s="21">
        <v>0.8</v>
      </c>
      <c r="I1269" s="2">
        <v>1</v>
      </c>
    </row>
    <row r="1270" spans="1:9" ht="15.75" hidden="1" customHeight="1" x14ac:dyDescent="0.2">
      <c r="A1270" s="11">
        <v>1278</v>
      </c>
      <c r="B1270" s="2">
        <v>1284</v>
      </c>
      <c r="C1270" s="2">
        <v>148</v>
      </c>
      <c r="D1270" s="2">
        <f>VLOOKUP(C1270, Course!$A$2:$C$150, 2, FALSE)</f>
        <v>0</v>
      </c>
      <c r="E1270" s="2">
        <v>113</v>
      </c>
      <c r="G1270" s="2">
        <f t="shared" si="12"/>
        <v>8.3333333333333329E-2</v>
      </c>
      <c r="H1270" s="21">
        <v>0.8</v>
      </c>
      <c r="I1270" s="2">
        <v>1</v>
      </c>
    </row>
    <row r="1271" spans="1:9" ht="15.75" hidden="1" customHeight="1" x14ac:dyDescent="0.2">
      <c r="A1271" s="11">
        <v>1279</v>
      </c>
      <c r="B1271" s="2">
        <v>1285</v>
      </c>
      <c r="C1271" s="2">
        <v>148</v>
      </c>
      <c r="D1271" s="2">
        <f>VLOOKUP(C1271, Course!$A$2:$C$150, 2, FALSE)</f>
        <v>0</v>
      </c>
      <c r="E1271" s="2">
        <v>114</v>
      </c>
      <c r="G1271" s="2">
        <f t="shared" si="12"/>
        <v>8.3333333333333329E-2</v>
      </c>
      <c r="H1271" s="21">
        <v>0.8</v>
      </c>
      <c r="I1271" s="2">
        <v>1</v>
      </c>
    </row>
    <row r="1272" spans="1:9" ht="15.75" hidden="1" customHeight="1" x14ac:dyDescent="0.2">
      <c r="A1272" s="11">
        <v>1280</v>
      </c>
      <c r="B1272" s="2">
        <v>1286</v>
      </c>
      <c r="C1272" s="2">
        <v>148</v>
      </c>
      <c r="D1272" s="2">
        <f>VLOOKUP(C1272, Course!$A$2:$C$150, 2, FALSE)</f>
        <v>0</v>
      </c>
      <c r="E1272" s="2">
        <v>115</v>
      </c>
      <c r="G1272" s="2">
        <f t="shared" si="12"/>
        <v>8.3333333333333329E-2</v>
      </c>
      <c r="H1272" s="21">
        <v>0.8</v>
      </c>
      <c r="I1272" s="2">
        <v>1</v>
      </c>
    </row>
    <row r="1273" spans="1:9" ht="15.75" hidden="1" customHeight="1" x14ac:dyDescent="0.2">
      <c r="A1273" s="11">
        <v>1281</v>
      </c>
      <c r="B1273" s="2">
        <v>1287</v>
      </c>
      <c r="C1273" s="2">
        <v>148</v>
      </c>
      <c r="D1273" s="2">
        <f>VLOOKUP(C1273, Course!$A$2:$C$150, 2, FALSE)</f>
        <v>0</v>
      </c>
      <c r="E1273" s="2">
        <v>116</v>
      </c>
      <c r="G1273" s="2">
        <f t="shared" si="12"/>
        <v>8.3333333333333329E-2</v>
      </c>
      <c r="H1273" s="21">
        <v>0.8</v>
      </c>
      <c r="I1273" s="2">
        <v>1</v>
      </c>
    </row>
    <row r="1274" spans="1:9" ht="15.75" hidden="1" customHeight="1" x14ac:dyDescent="0.2">
      <c r="A1274" s="11">
        <v>1282</v>
      </c>
      <c r="B1274" s="2">
        <v>1288</v>
      </c>
      <c r="C1274" s="2">
        <v>148</v>
      </c>
      <c r="D1274" s="2">
        <f>VLOOKUP(C1274, Course!$A$2:$C$150, 2, FALSE)</f>
        <v>0</v>
      </c>
      <c r="E1274" s="2">
        <v>117</v>
      </c>
      <c r="G1274" s="2">
        <f t="shared" si="12"/>
        <v>8.3333333333333329E-2</v>
      </c>
      <c r="H1274" s="21">
        <v>0.8</v>
      </c>
      <c r="I1274" s="2">
        <v>1</v>
      </c>
    </row>
    <row r="1275" spans="1:9" ht="15.75" hidden="1" customHeight="1" x14ac:dyDescent="0.2">
      <c r="A1275" s="11">
        <v>1283</v>
      </c>
      <c r="B1275" s="2">
        <v>1289</v>
      </c>
      <c r="C1275" s="2">
        <v>148</v>
      </c>
      <c r="D1275" s="2">
        <f>VLOOKUP(C1275, Course!$A$2:$C$150, 2, FALSE)</f>
        <v>0</v>
      </c>
      <c r="E1275" s="2">
        <v>118</v>
      </c>
      <c r="G1275" s="2">
        <f t="shared" si="12"/>
        <v>8.3333333333333329E-2</v>
      </c>
      <c r="H1275" s="21">
        <v>0.8</v>
      </c>
      <c r="I1275" s="2">
        <v>1</v>
      </c>
    </row>
    <row r="1276" spans="1:9" ht="15.75" hidden="1" customHeight="1" x14ac:dyDescent="0.2">
      <c r="A1276" s="11">
        <v>1284</v>
      </c>
      <c r="B1276" s="2">
        <v>1290</v>
      </c>
      <c r="C1276" s="2">
        <v>148</v>
      </c>
      <c r="D1276" s="2">
        <f>VLOOKUP(C1276, Course!$A$2:$C$150, 2, FALSE)</f>
        <v>0</v>
      </c>
      <c r="E1276" s="2">
        <v>119</v>
      </c>
      <c r="G1276" s="2">
        <f t="shared" si="12"/>
        <v>8.3333333333333329E-2</v>
      </c>
      <c r="H1276" s="21">
        <v>0.8</v>
      </c>
      <c r="I1276" s="2">
        <v>1</v>
      </c>
    </row>
    <row r="1277" spans="1:9" ht="15.75" hidden="1" customHeight="1" x14ac:dyDescent="0.2">
      <c r="A1277" s="11">
        <v>1285</v>
      </c>
      <c r="B1277" s="2">
        <v>1291</v>
      </c>
      <c r="C1277" s="2">
        <v>148</v>
      </c>
      <c r="D1277" s="2">
        <f>VLOOKUP(C1277, Course!$A$2:$C$150, 2, FALSE)</f>
        <v>0</v>
      </c>
      <c r="E1277" s="2">
        <v>120</v>
      </c>
      <c r="G1277" s="2">
        <f t="shared" si="12"/>
        <v>8.3333333333333329E-2</v>
      </c>
      <c r="H1277" s="21">
        <v>0.8</v>
      </c>
      <c r="I1277" s="2">
        <v>1</v>
      </c>
    </row>
    <row r="1278" spans="1:9" ht="15.75" hidden="1" customHeight="1" x14ac:dyDescent="0.2">
      <c r="A1278" s="11">
        <v>1286</v>
      </c>
      <c r="B1278" s="2">
        <v>1292</v>
      </c>
      <c r="C1278" s="2">
        <v>149</v>
      </c>
      <c r="D1278" s="2">
        <f>VLOOKUP(C1278, Course!$A$2:$C$150, 2, FALSE)</f>
        <v>0</v>
      </c>
      <c r="E1278" s="2">
        <v>13</v>
      </c>
      <c r="G1278" s="2">
        <f t="shared" si="12"/>
        <v>8.3333333333333329E-2</v>
      </c>
      <c r="H1278" s="21">
        <v>0.8</v>
      </c>
      <c r="I1278" s="2">
        <v>1</v>
      </c>
    </row>
    <row r="1279" spans="1:9" ht="15.75" hidden="1" customHeight="1" x14ac:dyDescent="0.2">
      <c r="A1279" s="11">
        <v>1287</v>
      </c>
      <c r="B1279" s="2">
        <v>1293</v>
      </c>
      <c r="C1279" s="2">
        <v>149</v>
      </c>
      <c r="D1279" s="2">
        <f>VLOOKUP(C1279, Course!$A$2:$C$150, 2, FALSE)</f>
        <v>0</v>
      </c>
      <c r="E1279" s="2">
        <v>14</v>
      </c>
      <c r="G1279" s="2">
        <f t="shared" si="12"/>
        <v>8.3333333333333329E-2</v>
      </c>
      <c r="H1279" s="21">
        <v>0.8</v>
      </c>
      <c r="I1279" s="2">
        <v>1</v>
      </c>
    </row>
    <row r="1280" spans="1:9" ht="15.75" hidden="1" customHeight="1" x14ac:dyDescent="0.2">
      <c r="A1280" s="11">
        <v>1288</v>
      </c>
      <c r="B1280" s="2">
        <v>1294</v>
      </c>
      <c r="C1280" s="2">
        <v>149</v>
      </c>
      <c r="D1280" s="2">
        <f>VLOOKUP(C1280, Course!$A$2:$C$150, 2, FALSE)</f>
        <v>0</v>
      </c>
      <c r="E1280" s="2">
        <v>15</v>
      </c>
      <c r="G1280" s="2">
        <f t="shared" si="12"/>
        <v>8.3333333333333329E-2</v>
      </c>
      <c r="H1280" s="21">
        <v>0.8</v>
      </c>
      <c r="I1280" s="2">
        <v>1</v>
      </c>
    </row>
    <row r="1281" spans="1:9" ht="15.75" hidden="1" customHeight="1" x14ac:dyDescent="0.2">
      <c r="A1281" s="11">
        <v>1289</v>
      </c>
      <c r="B1281" s="2">
        <v>1295</v>
      </c>
      <c r="C1281" s="2">
        <v>149</v>
      </c>
      <c r="D1281" s="2">
        <f>VLOOKUP(C1281, Course!$A$2:$C$150, 2, FALSE)</f>
        <v>0</v>
      </c>
      <c r="E1281" s="2">
        <v>16</v>
      </c>
      <c r="G1281" s="2">
        <f t="shared" si="12"/>
        <v>8.3333333333333329E-2</v>
      </c>
      <c r="H1281" s="21">
        <v>0.8</v>
      </c>
      <c r="I1281" s="2">
        <v>1</v>
      </c>
    </row>
    <row r="1282" spans="1:9" ht="15.75" hidden="1" customHeight="1" x14ac:dyDescent="0.2">
      <c r="A1282" s="11">
        <v>1290</v>
      </c>
      <c r="B1282" s="2">
        <v>1296</v>
      </c>
      <c r="C1282" s="2">
        <v>149</v>
      </c>
      <c r="D1282" s="2">
        <f>VLOOKUP(C1282, Course!$A$2:$C$150, 2, FALSE)</f>
        <v>0</v>
      </c>
      <c r="E1282" s="2">
        <v>17</v>
      </c>
      <c r="G1282" s="2">
        <f t="shared" si="12"/>
        <v>8.3333333333333329E-2</v>
      </c>
      <c r="H1282" s="21">
        <v>0.8</v>
      </c>
      <c r="I1282" s="2">
        <v>1</v>
      </c>
    </row>
    <row r="1283" spans="1:9" ht="15.75" hidden="1" customHeight="1" x14ac:dyDescent="0.2">
      <c r="A1283" s="11">
        <v>1291</v>
      </c>
      <c r="B1283" s="2">
        <v>1297</v>
      </c>
      <c r="C1283" s="2">
        <v>149</v>
      </c>
      <c r="D1283" s="2">
        <f>VLOOKUP(C1283, Course!$A$2:$C$150, 2, FALSE)</f>
        <v>0</v>
      </c>
      <c r="E1283" s="2">
        <v>18</v>
      </c>
      <c r="G1283" s="2">
        <f t="shared" si="12"/>
        <v>8.3333333333333329E-2</v>
      </c>
      <c r="H1283" s="21">
        <v>0.8</v>
      </c>
      <c r="I1283" s="2">
        <v>1</v>
      </c>
    </row>
    <row r="1284" spans="1:9" ht="15.75" hidden="1" customHeight="1" x14ac:dyDescent="0.2">
      <c r="A1284" s="11">
        <v>1292</v>
      </c>
      <c r="B1284" s="2">
        <v>1298</v>
      </c>
      <c r="C1284" s="2">
        <v>149</v>
      </c>
      <c r="D1284" s="2">
        <f>VLOOKUP(C1284, Course!$A$2:$C$150, 2, FALSE)</f>
        <v>0</v>
      </c>
      <c r="E1284" s="2">
        <v>19</v>
      </c>
      <c r="G1284" s="2">
        <f t="shared" si="12"/>
        <v>8.3333333333333329E-2</v>
      </c>
      <c r="H1284" s="21">
        <v>0.8</v>
      </c>
      <c r="I1284" s="2">
        <v>1</v>
      </c>
    </row>
    <row r="1285" spans="1:9" ht="15.75" hidden="1" customHeight="1" x14ac:dyDescent="0.2">
      <c r="A1285" s="11">
        <v>1293</v>
      </c>
      <c r="B1285" s="2">
        <v>1299</v>
      </c>
      <c r="C1285" s="2">
        <v>149</v>
      </c>
      <c r="D1285" s="2">
        <f>VLOOKUP(C1285, Course!$A$2:$C$150, 2, FALSE)</f>
        <v>0</v>
      </c>
      <c r="E1285" s="2">
        <v>20</v>
      </c>
      <c r="G1285" s="2">
        <f t="shared" si="12"/>
        <v>8.3333333333333329E-2</v>
      </c>
      <c r="H1285" s="21">
        <v>0.8</v>
      </c>
      <c r="I1285" s="2">
        <v>1</v>
      </c>
    </row>
    <row r="1286" spans="1:9" ht="15.75" hidden="1" customHeight="1" x14ac:dyDescent="0.2">
      <c r="A1286" s="11">
        <v>1294</v>
      </c>
      <c r="B1286" s="2">
        <v>1300</v>
      </c>
      <c r="C1286" s="2">
        <v>149</v>
      </c>
      <c r="D1286" s="2">
        <f>VLOOKUP(C1286, Course!$A$2:$C$150, 2, FALSE)</f>
        <v>0</v>
      </c>
      <c r="E1286" s="2">
        <v>21</v>
      </c>
      <c r="G1286" s="2">
        <f t="shared" si="12"/>
        <v>8.3333333333333329E-2</v>
      </c>
      <c r="H1286" s="21">
        <v>0.8</v>
      </c>
      <c r="I1286" s="2">
        <v>1</v>
      </c>
    </row>
    <row r="1287" spans="1:9" ht="15.75" hidden="1" customHeight="1" x14ac:dyDescent="0.2">
      <c r="A1287" s="11">
        <v>1295</v>
      </c>
      <c r="B1287" s="2">
        <v>1301</v>
      </c>
      <c r="C1287" s="2">
        <v>149</v>
      </c>
      <c r="D1287" s="2">
        <f>VLOOKUP(C1287, Course!$A$2:$C$150, 2, FALSE)</f>
        <v>0</v>
      </c>
      <c r="E1287" s="2">
        <v>22</v>
      </c>
      <c r="G1287" s="2">
        <f t="shared" si="12"/>
        <v>8.3333333333333329E-2</v>
      </c>
      <c r="H1287" s="21">
        <v>0.8</v>
      </c>
      <c r="I1287" s="2">
        <v>1</v>
      </c>
    </row>
    <row r="1288" spans="1:9" ht="15.75" hidden="1" customHeight="1" x14ac:dyDescent="0.2">
      <c r="A1288" s="11">
        <v>1296</v>
      </c>
      <c r="B1288" s="2">
        <v>1302</v>
      </c>
      <c r="C1288" s="2">
        <v>149</v>
      </c>
      <c r="D1288" s="2">
        <f>VLOOKUP(C1288, Course!$A$2:$C$150, 2, FALSE)</f>
        <v>0</v>
      </c>
      <c r="E1288" s="2">
        <v>23</v>
      </c>
      <c r="G1288" s="2">
        <f t="shared" si="12"/>
        <v>8.3333333333333329E-2</v>
      </c>
      <c r="H1288" s="21">
        <v>0.8</v>
      </c>
      <c r="I1288" s="2">
        <v>1</v>
      </c>
    </row>
    <row r="1289" spans="1:9" ht="15.75" hidden="1" customHeight="1" x14ac:dyDescent="0.2">
      <c r="A1289" s="11">
        <v>1297</v>
      </c>
      <c r="B1289" s="2">
        <v>1303</v>
      </c>
      <c r="C1289" s="2">
        <v>149</v>
      </c>
      <c r="D1289" s="2">
        <f>VLOOKUP(C1289, Course!$A$2:$C$150, 2, FALSE)</f>
        <v>0</v>
      </c>
      <c r="E1289" s="2">
        <v>24</v>
      </c>
      <c r="G1289" s="2">
        <f t="shared" si="12"/>
        <v>8.3333333333333329E-2</v>
      </c>
      <c r="H1289" s="21">
        <v>0.8</v>
      </c>
      <c r="I1289" s="2">
        <v>1</v>
      </c>
    </row>
    <row r="1290" spans="1:9" ht="15.75" hidden="1" customHeight="1" x14ac:dyDescent="0.2">
      <c r="A1290" s="11">
        <v>1308</v>
      </c>
      <c r="B1290" s="2">
        <v>1310</v>
      </c>
      <c r="C1290" s="2">
        <v>159</v>
      </c>
      <c r="D1290" s="2" t="str">
        <f>VLOOKUP(C1290, Course!$A$2:$D$950, 4, FALSE)</f>
        <v>AEE Physical Science I-B (part 1)</v>
      </c>
      <c r="E1290" s="2">
        <v>85</v>
      </c>
      <c r="G1290" s="2">
        <f t="shared" si="12"/>
        <v>8.3333333333333329E-2</v>
      </c>
      <c r="H1290" s="21">
        <v>0.8</v>
      </c>
      <c r="I1290" s="2">
        <v>1</v>
      </c>
    </row>
    <row r="1291" spans="1:9" ht="15.75" hidden="1" customHeight="1" x14ac:dyDescent="0.2">
      <c r="A1291" s="11">
        <v>1309</v>
      </c>
      <c r="B1291" s="2">
        <v>1311</v>
      </c>
      <c r="C1291" s="2">
        <v>159</v>
      </c>
      <c r="D1291" s="2" t="str">
        <f>VLOOKUP(C1291, Course!$A$2:$D$950, 4, FALSE)</f>
        <v>AEE Physical Science I-B (part 1)</v>
      </c>
      <c r="E1291" s="2">
        <v>86</v>
      </c>
      <c r="G1291" s="2">
        <f>2/12</f>
        <v>0.16666666666666666</v>
      </c>
      <c r="H1291" s="21">
        <v>0.8</v>
      </c>
      <c r="I1291" s="2">
        <v>1</v>
      </c>
    </row>
    <row r="1292" spans="1:9" ht="15.75" hidden="1" customHeight="1" x14ac:dyDescent="0.2">
      <c r="A1292" s="11">
        <v>1310</v>
      </c>
      <c r="B1292" s="2">
        <v>1312</v>
      </c>
      <c r="C1292" s="2">
        <v>159</v>
      </c>
      <c r="D1292" s="2" t="str">
        <f>VLOOKUP(C1292, Course!$A$2:$D$950, 4, FALSE)</f>
        <v>AEE Physical Science I-B (part 1)</v>
      </c>
      <c r="E1292" s="2">
        <v>87</v>
      </c>
      <c r="G1292" s="2">
        <f>1/12</f>
        <v>8.3333333333333329E-2</v>
      </c>
      <c r="H1292" s="21">
        <v>0.8</v>
      </c>
      <c r="I1292" s="2">
        <v>1</v>
      </c>
    </row>
    <row r="1293" spans="1:9" ht="15.75" hidden="1" customHeight="1" x14ac:dyDescent="0.2">
      <c r="A1293" s="11">
        <v>1311</v>
      </c>
      <c r="B1293" s="2">
        <v>1313</v>
      </c>
      <c r="C1293" s="2">
        <v>159</v>
      </c>
      <c r="D1293" s="2" t="str">
        <f>VLOOKUP(C1293, Course!$A$2:$D$950, 4, FALSE)</f>
        <v>AEE Physical Science I-B (part 1)</v>
      </c>
      <c r="E1293" s="2">
        <v>88</v>
      </c>
      <c r="G1293" s="2">
        <f>2/12</f>
        <v>0.16666666666666666</v>
      </c>
      <c r="H1293" s="21">
        <v>0.8</v>
      </c>
      <c r="I1293" s="2">
        <v>1</v>
      </c>
    </row>
    <row r="1294" spans="1:9" ht="15.75" hidden="1" customHeight="1" x14ac:dyDescent="0.2">
      <c r="A1294" s="11">
        <v>1312</v>
      </c>
      <c r="B1294" s="2">
        <v>1314</v>
      </c>
      <c r="C1294" s="2">
        <v>160</v>
      </c>
      <c r="D1294" s="2" t="str">
        <f>VLOOKUP(C1294, Course!$A$2:$D$950, 4, FALSE)</f>
        <v>AEE Physical Science I-B (part 2)</v>
      </c>
      <c r="E1294" s="2">
        <v>97</v>
      </c>
      <c r="G1294" s="2">
        <f>1/12</f>
        <v>8.3333333333333329E-2</v>
      </c>
      <c r="H1294" s="21">
        <v>0.8</v>
      </c>
      <c r="I1294" s="2">
        <v>1</v>
      </c>
    </row>
    <row r="1295" spans="1:9" ht="15.75" hidden="1" customHeight="1" x14ac:dyDescent="0.2">
      <c r="A1295" s="11">
        <v>1313</v>
      </c>
      <c r="B1295" s="2">
        <v>1315</v>
      </c>
      <c r="C1295" s="2">
        <v>160</v>
      </c>
      <c r="D1295" s="2" t="str">
        <f>VLOOKUP(C1295, Course!$A$2:$D$950, 4, FALSE)</f>
        <v>AEE Physical Science I-B (part 2)</v>
      </c>
      <c r="E1295" s="2">
        <v>98</v>
      </c>
      <c r="G1295" s="2">
        <f>2/12</f>
        <v>0.16666666666666666</v>
      </c>
      <c r="H1295" s="21">
        <v>0.8</v>
      </c>
      <c r="I1295" s="2">
        <v>1</v>
      </c>
    </row>
    <row r="1296" spans="1:9" ht="15.75" hidden="1" customHeight="1" x14ac:dyDescent="0.2">
      <c r="A1296" s="11">
        <v>1314</v>
      </c>
      <c r="B1296" s="2">
        <v>1316</v>
      </c>
      <c r="C1296" s="2">
        <v>160</v>
      </c>
      <c r="D1296" s="2" t="str">
        <f>VLOOKUP(C1296, Course!$A$2:$D$950, 4, FALSE)</f>
        <v>AEE Physical Science I-B (part 2)</v>
      </c>
      <c r="E1296" s="2">
        <v>99</v>
      </c>
      <c r="G1296" s="2">
        <f>1/12</f>
        <v>8.3333333333333329E-2</v>
      </c>
      <c r="H1296" s="21">
        <v>0.8</v>
      </c>
      <c r="I1296" s="2">
        <v>1</v>
      </c>
    </row>
    <row r="1297" spans="1:9" ht="15.75" hidden="1" customHeight="1" x14ac:dyDescent="0.2">
      <c r="A1297" s="11">
        <v>1315</v>
      </c>
      <c r="B1297" s="2">
        <v>1317</v>
      </c>
      <c r="C1297" s="2">
        <v>160</v>
      </c>
      <c r="D1297" s="2" t="str">
        <f>VLOOKUP(C1297, Course!$A$2:$D$950, 4, FALSE)</f>
        <v>AEE Physical Science I-B (part 2)</v>
      </c>
      <c r="E1297" s="2">
        <v>100</v>
      </c>
      <c r="G1297" s="2">
        <f>2/12</f>
        <v>0.16666666666666666</v>
      </c>
      <c r="H1297" s="21">
        <v>0.8</v>
      </c>
      <c r="I1297" s="2">
        <v>1</v>
      </c>
    </row>
    <row r="1298" spans="1:9" ht="15.75" hidden="1" customHeight="1" x14ac:dyDescent="0.2">
      <c r="A1298" s="11">
        <v>1316</v>
      </c>
      <c r="B1298" s="2">
        <v>1347</v>
      </c>
      <c r="C1298" s="2">
        <v>151</v>
      </c>
      <c r="D1298" s="2" t="s">
        <v>454</v>
      </c>
      <c r="E1298" s="2">
        <v>1</v>
      </c>
      <c r="G1298" s="2">
        <f t="shared" ref="G1298:G1299" si="13">1/12</f>
        <v>8.3333333333333329E-2</v>
      </c>
      <c r="H1298" s="21">
        <v>0.8</v>
      </c>
      <c r="I1298" s="2">
        <v>1</v>
      </c>
    </row>
    <row r="1299" spans="1:9" ht="15.75" hidden="1" customHeight="1" x14ac:dyDescent="0.2">
      <c r="A1299" s="11">
        <v>1317</v>
      </c>
      <c r="B1299" s="2">
        <v>1348</v>
      </c>
      <c r="C1299" s="2">
        <v>151</v>
      </c>
      <c r="D1299" s="2" t="s">
        <v>454</v>
      </c>
      <c r="E1299" s="2">
        <v>2</v>
      </c>
      <c r="G1299" s="2">
        <f t="shared" si="13"/>
        <v>8.3333333333333329E-2</v>
      </c>
      <c r="H1299" s="21">
        <v>0.8</v>
      </c>
      <c r="I1299" s="2">
        <v>1</v>
      </c>
    </row>
    <row r="1300" spans="1:9" ht="15.75" customHeight="1" x14ac:dyDescent="0.2">
      <c r="A1300" s="11">
        <v>1318</v>
      </c>
      <c r="B1300">
        <v>1382</v>
      </c>
      <c r="C1300" s="2">
        <v>152</v>
      </c>
      <c r="D1300" s="2" t="s">
        <v>96</v>
      </c>
      <c r="E1300" s="2">
        <v>7</v>
      </c>
      <c r="G1300" s="2">
        <v>0</v>
      </c>
      <c r="H1300" s="21">
        <v>0.8</v>
      </c>
      <c r="I1300" s="2">
        <v>1</v>
      </c>
    </row>
    <row r="1301" spans="1:9" ht="15.75" customHeight="1" x14ac:dyDescent="0.2">
      <c r="A1301" s="11">
        <v>1319</v>
      </c>
      <c r="B1301">
        <v>1383</v>
      </c>
      <c r="C1301" s="2">
        <v>152</v>
      </c>
      <c r="D1301" s="2" t="s">
        <v>96</v>
      </c>
      <c r="E1301" s="2">
        <v>8</v>
      </c>
      <c r="G1301" s="2">
        <v>0</v>
      </c>
      <c r="H1301" s="21">
        <v>0.8</v>
      </c>
      <c r="I1301" s="2">
        <v>1</v>
      </c>
    </row>
    <row r="1302" spans="1:9" ht="15.75" customHeight="1" x14ac:dyDescent="0.2">
      <c r="A1302" s="11">
        <v>1320</v>
      </c>
      <c r="B1302">
        <v>1384</v>
      </c>
      <c r="C1302" s="2">
        <v>152</v>
      </c>
      <c r="D1302" s="2" t="s">
        <v>96</v>
      </c>
      <c r="E1302" s="2">
        <v>9</v>
      </c>
      <c r="G1302" s="2">
        <v>0</v>
      </c>
      <c r="H1302" s="21">
        <v>0.8</v>
      </c>
      <c r="I1302" s="2">
        <v>1</v>
      </c>
    </row>
    <row r="1303" spans="1:9" ht="15.75" customHeight="1" x14ac:dyDescent="0.2">
      <c r="A1303" s="11">
        <v>1321</v>
      </c>
      <c r="B1303">
        <v>1385</v>
      </c>
      <c r="C1303" s="2">
        <v>152</v>
      </c>
      <c r="D1303" s="2" t="s">
        <v>96</v>
      </c>
      <c r="E1303" s="2">
        <v>10</v>
      </c>
      <c r="G1303" s="2">
        <v>0</v>
      </c>
      <c r="H1303" s="21">
        <v>0.8</v>
      </c>
      <c r="I1303" s="2">
        <v>1</v>
      </c>
    </row>
    <row r="1304" spans="1:9" ht="15.75" hidden="1" customHeight="1" x14ac:dyDescent="0.2">
      <c r="A1304" s="11">
        <v>1322</v>
      </c>
      <c r="B1304" s="2">
        <v>697</v>
      </c>
      <c r="C1304" s="2">
        <v>154</v>
      </c>
      <c r="D1304" s="2" t="s">
        <v>713</v>
      </c>
      <c r="E1304" s="2">
        <v>97</v>
      </c>
      <c r="G1304" s="2">
        <f t="shared" ref="G1304:G1327" si="14">1/12</f>
        <v>8.3333333333333329E-2</v>
      </c>
      <c r="H1304" s="21">
        <v>0.8</v>
      </c>
      <c r="I1304" s="2">
        <v>1</v>
      </c>
    </row>
    <row r="1305" spans="1:9" ht="15.75" hidden="1" customHeight="1" x14ac:dyDescent="0.2">
      <c r="A1305" s="11">
        <v>1323</v>
      </c>
      <c r="B1305" s="2">
        <v>698</v>
      </c>
      <c r="C1305" s="2">
        <v>154</v>
      </c>
      <c r="D1305" s="2" t="s">
        <v>713</v>
      </c>
      <c r="E1305" s="2">
        <v>98</v>
      </c>
      <c r="G1305" s="2">
        <f t="shared" si="14"/>
        <v>8.3333333333333329E-2</v>
      </c>
      <c r="H1305" s="21">
        <v>0.8</v>
      </c>
      <c r="I1305" s="2">
        <v>1</v>
      </c>
    </row>
    <row r="1306" spans="1:9" ht="15.75" hidden="1" customHeight="1" x14ac:dyDescent="0.2">
      <c r="A1306" s="11">
        <v>1324</v>
      </c>
      <c r="B1306" s="2">
        <v>699</v>
      </c>
      <c r="C1306" s="2">
        <v>154</v>
      </c>
      <c r="D1306" s="2" t="s">
        <v>713</v>
      </c>
      <c r="E1306" s="2">
        <v>99</v>
      </c>
      <c r="G1306" s="2">
        <f t="shared" si="14"/>
        <v>8.3333333333333329E-2</v>
      </c>
      <c r="H1306" s="21">
        <v>0.8</v>
      </c>
      <c r="I1306" s="2">
        <v>1</v>
      </c>
    </row>
    <row r="1307" spans="1:9" ht="15.75" hidden="1" customHeight="1" x14ac:dyDescent="0.2">
      <c r="A1307" s="11">
        <v>1325</v>
      </c>
      <c r="B1307" s="2">
        <v>700</v>
      </c>
      <c r="C1307" s="2">
        <v>154</v>
      </c>
      <c r="D1307" s="2" t="s">
        <v>713</v>
      </c>
      <c r="E1307" s="2">
        <v>100</v>
      </c>
      <c r="G1307" s="2">
        <f t="shared" si="14"/>
        <v>8.3333333333333329E-2</v>
      </c>
      <c r="H1307" s="21">
        <v>0.8</v>
      </c>
      <c r="I1307" s="2">
        <v>1</v>
      </c>
    </row>
    <row r="1308" spans="1:9" ht="15.75" hidden="1" customHeight="1" x14ac:dyDescent="0.2">
      <c r="A1308" s="11">
        <v>1326</v>
      </c>
      <c r="B1308" s="2">
        <v>701</v>
      </c>
      <c r="C1308" s="2">
        <v>154</v>
      </c>
      <c r="D1308" s="2" t="s">
        <v>713</v>
      </c>
      <c r="E1308" s="2">
        <v>101</v>
      </c>
      <c r="G1308" s="2">
        <f t="shared" si="14"/>
        <v>8.3333333333333329E-2</v>
      </c>
      <c r="H1308" s="21">
        <v>0.8</v>
      </c>
      <c r="I1308" s="2">
        <v>1</v>
      </c>
    </row>
    <row r="1309" spans="1:9" ht="15.75" hidden="1" customHeight="1" x14ac:dyDescent="0.2">
      <c r="A1309" s="11">
        <v>1327</v>
      </c>
      <c r="B1309" s="2">
        <v>702</v>
      </c>
      <c r="C1309" s="2">
        <v>154</v>
      </c>
      <c r="D1309" s="2" t="s">
        <v>713</v>
      </c>
      <c r="E1309" s="2">
        <v>102</v>
      </c>
      <c r="G1309" s="2">
        <f t="shared" si="14"/>
        <v>8.3333333333333329E-2</v>
      </c>
      <c r="H1309" s="21">
        <v>0.8</v>
      </c>
      <c r="I1309" s="2">
        <v>1</v>
      </c>
    </row>
    <row r="1310" spans="1:9" ht="15.75" hidden="1" customHeight="1" x14ac:dyDescent="0.2">
      <c r="A1310" s="11">
        <v>1328</v>
      </c>
      <c r="B1310" s="2">
        <v>903</v>
      </c>
      <c r="C1310" s="2">
        <v>154</v>
      </c>
      <c r="D1310" s="2" t="s">
        <v>713</v>
      </c>
      <c r="E1310" s="2">
        <v>109</v>
      </c>
      <c r="G1310" s="2">
        <f t="shared" si="14"/>
        <v>8.3333333333333329E-2</v>
      </c>
      <c r="H1310" s="21">
        <v>0.8</v>
      </c>
      <c r="I1310" s="2">
        <v>1</v>
      </c>
    </row>
    <row r="1311" spans="1:9" ht="15.75" hidden="1" customHeight="1" x14ac:dyDescent="0.2">
      <c r="A1311" s="11">
        <v>1329</v>
      </c>
      <c r="B1311" s="2">
        <v>904</v>
      </c>
      <c r="C1311" s="2">
        <v>154</v>
      </c>
      <c r="D1311" s="2" t="s">
        <v>713</v>
      </c>
      <c r="E1311" s="2">
        <v>110</v>
      </c>
      <c r="G1311" s="2">
        <f t="shared" si="14"/>
        <v>8.3333333333333329E-2</v>
      </c>
      <c r="H1311" s="21">
        <v>0.8</v>
      </c>
      <c r="I1311" s="2">
        <v>1</v>
      </c>
    </row>
    <row r="1312" spans="1:9" ht="15.75" hidden="1" customHeight="1" x14ac:dyDescent="0.2">
      <c r="A1312" s="11">
        <v>1330</v>
      </c>
      <c r="B1312" s="2">
        <v>905</v>
      </c>
      <c r="C1312" s="2">
        <v>154</v>
      </c>
      <c r="D1312" s="2" t="s">
        <v>713</v>
      </c>
      <c r="E1312" s="2">
        <v>111</v>
      </c>
      <c r="G1312" s="2">
        <f t="shared" si="14"/>
        <v>8.3333333333333329E-2</v>
      </c>
      <c r="H1312" s="21">
        <v>0.8</v>
      </c>
      <c r="I1312" s="2">
        <v>1</v>
      </c>
    </row>
    <row r="1313" spans="1:9" ht="15.75" hidden="1" customHeight="1" x14ac:dyDescent="0.2">
      <c r="A1313" s="11">
        <v>1331</v>
      </c>
      <c r="B1313" s="2">
        <v>906</v>
      </c>
      <c r="C1313" s="2">
        <v>154</v>
      </c>
      <c r="D1313" s="2" t="s">
        <v>713</v>
      </c>
      <c r="E1313" s="2">
        <v>112</v>
      </c>
      <c r="G1313" s="2">
        <f t="shared" si="14"/>
        <v>8.3333333333333329E-2</v>
      </c>
      <c r="H1313" s="21">
        <v>0.8</v>
      </c>
      <c r="I1313" s="2">
        <v>1</v>
      </c>
    </row>
    <row r="1314" spans="1:9" ht="15.75" hidden="1" customHeight="1" x14ac:dyDescent="0.2">
      <c r="A1314" s="11">
        <v>1332</v>
      </c>
      <c r="B1314" s="2">
        <v>907</v>
      </c>
      <c r="C1314" s="2">
        <v>154</v>
      </c>
      <c r="D1314" s="2" t="s">
        <v>713</v>
      </c>
      <c r="E1314" s="2">
        <v>113</v>
      </c>
      <c r="G1314" s="2">
        <f t="shared" si="14"/>
        <v>8.3333333333333329E-2</v>
      </c>
      <c r="H1314" s="21">
        <v>0.8</v>
      </c>
      <c r="I1314" s="2">
        <v>1</v>
      </c>
    </row>
    <row r="1315" spans="1:9" ht="15.75" hidden="1" customHeight="1" x14ac:dyDescent="0.2">
      <c r="A1315" s="11">
        <v>1333</v>
      </c>
      <c r="B1315" s="2">
        <v>908</v>
      </c>
      <c r="C1315" s="2">
        <v>154</v>
      </c>
      <c r="D1315" s="2" t="s">
        <v>713</v>
      </c>
      <c r="E1315" s="2">
        <v>114</v>
      </c>
      <c r="G1315" s="2">
        <f t="shared" si="14"/>
        <v>8.3333333333333329E-2</v>
      </c>
      <c r="H1315" s="21">
        <v>0.8</v>
      </c>
      <c r="I1315" s="2">
        <v>1</v>
      </c>
    </row>
    <row r="1316" spans="1:9" ht="15.75" hidden="1" customHeight="1" x14ac:dyDescent="0.2">
      <c r="A1316" s="11">
        <v>1334</v>
      </c>
      <c r="B1316" s="2">
        <v>703</v>
      </c>
      <c r="C1316" s="2">
        <v>155</v>
      </c>
      <c r="D1316" s="2" t="s">
        <v>716</v>
      </c>
      <c r="E1316" s="2">
        <v>104</v>
      </c>
      <c r="G1316" s="2">
        <f t="shared" si="14"/>
        <v>8.3333333333333329E-2</v>
      </c>
      <c r="H1316" s="21">
        <v>0.8</v>
      </c>
      <c r="I1316" s="2">
        <v>1</v>
      </c>
    </row>
    <row r="1317" spans="1:9" ht="15.75" hidden="1" customHeight="1" x14ac:dyDescent="0.2">
      <c r="A1317" s="11">
        <v>1335</v>
      </c>
      <c r="B1317" s="2">
        <v>704</v>
      </c>
      <c r="C1317" s="2">
        <v>155</v>
      </c>
      <c r="D1317" s="2" t="s">
        <v>716</v>
      </c>
      <c r="E1317" s="2">
        <v>105</v>
      </c>
      <c r="G1317" s="2">
        <f t="shared" si="14"/>
        <v>8.3333333333333329E-2</v>
      </c>
      <c r="H1317" s="21">
        <v>0.8</v>
      </c>
      <c r="I1317" s="2">
        <v>1</v>
      </c>
    </row>
    <row r="1318" spans="1:9" ht="15.75" hidden="1" customHeight="1" x14ac:dyDescent="0.2">
      <c r="A1318" s="11">
        <v>1336</v>
      </c>
      <c r="B1318" s="2">
        <v>705</v>
      </c>
      <c r="C1318" s="2">
        <v>155</v>
      </c>
      <c r="D1318" s="2" t="s">
        <v>716</v>
      </c>
      <c r="E1318" s="2">
        <v>106</v>
      </c>
      <c r="G1318" s="2">
        <f t="shared" si="14"/>
        <v>8.3333333333333329E-2</v>
      </c>
      <c r="H1318" s="21">
        <v>0.8</v>
      </c>
      <c r="I1318" s="2">
        <v>1</v>
      </c>
    </row>
    <row r="1319" spans="1:9" ht="15.75" hidden="1" customHeight="1" x14ac:dyDescent="0.2">
      <c r="A1319" s="11">
        <v>1337</v>
      </c>
      <c r="B1319" s="2">
        <v>706</v>
      </c>
      <c r="C1319" s="2">
        <v>155</v>
      </c>
      <c r="D1319" s="2" t="s">
        <v>716</v>
      </c>
      <c r="E1319" s="2">
        <v>107</v>
      </c>
      <c r="G1319" s="2">
        <f t="shared" si="14"/>
        <v>8.3333333333333329E-2</v>
      </c>
      <c r="H1319" s="21">
        <v>0.8</v>
      </c>
      <c r="I1319" s="2">
        <v>1</v>
      </c>
    </row>
    <row r="1320" spans="1:9" ht="15.75" hidden="1" customHeight="1" x14ac:dyDescent="0.2">
      <c r="A1320" s="11">
        <v>1338</v>
      </c>
      <c r="B1320" s="2">
        <v>707</v>
      </c>
      <c r="C1320" s="2">
        <v>155</v>
      </c>
      <c r="D1320" s="2" t="s">
        <v>716</v>
      </c>
      <c r="E1320" s="2">
        <v>108</v>
      </c>
      <c r="G1320" s="2">
        <f t="shared" si="14"/>
        <v>8.3333333333333329E-2</v>
      </c>
      <c r="H1320" s="21">
        <v>0.8</v>
      </c>
      <c r="I1320" s="2">
        <v>1</v>
      </c>
    </row>
    <row r="1321" spans="1:9" ht="15.75" hidden="1" customHeight="1" x14ac:dyDescent="0.2">
      <c r="A1321" s="11">
        <v>1339</v>
      </c>
      <c r="B1321" s="2">
        <v>708</v>
      </c>
      <c r="C1321" s="2">
        <v>155</v>
      </c>
      <c r="D1321" s="2" t="s">
        <v>716</v>
      </c>
      <c r="E1321" s="2">
        <v>109</v>
      </c>
      <c r="G1321" s="2">
        <f t="shared" si="14"/>
        <v>8.3333333333333329E-2</v>
      </c>
      <c r="H1321" s="21">
        <v>0.8</v>
      </c>
      <c r="I1321" s="2">
        <v>1</v>
      </c>
    </row>
    <row r="1322" spans="1:9" ht="15.75" hidden="1" customHeight="1" x14ac:dyDescent="0.2">
      <c r="A1322" s="11">
        <v>1340</v>
      </c>
      <c r="B1322" s="2">
        <v>909</v>
      </c>
      <c r="C1322" s="2">
        <v>155</v>
      </c>
      <c r="D1322" s="2" t="s">
        <v>716</v>
      </c>
      <c r="E1322" s="2">
        <v>115</v>
      </c>
      <c r="G1322" s="2">
        <f t="shared" si="14"/>
        <v>8.3333333333333329E-2</v>
      </c>
      <c r="H1322" s="21">
        <v>0.8</v>
      </c>
      <c r="I1322" s="2">
        <v>1</v>
      </c>
    </row>
    <row r="1323" spans="1:9" ht="15.75" hidden="1" customHeight="1" x14ac:dyDescent="0.2">
      <c r="A1323" s="11">
        <v>1341</v>
      </c>
      <c r="B1323" s="2">
        <v>910</v>
      </c>
      <c r="C1323" s="2">
        <v>155</v>
      </c>
      <c r="D1323" s="2" t="s">
        <v>716</v>
      </c>
      <c r="E1323" s="2">
        <v>116</v>
      </c>
      <c r="G1323" s="2">
        <f t="shared" si="14"/>
        <v>8.3333333333333329E-2</v>
      </c>
      <c r="H1323" s="21">
        <v>0.8</v>
      </c>
      <c r="I1323" s="2">
        <v>1</v>
      </c>
    </row>
    <row r="1324" spans="1:9" ht="15.75" hidden="1" customHeight="1" x14ac:dyDescent="0.2">
      <c r="A1324" s="11">
        <v>1342</v>
      </c>
      <c r="B1324" s="2">
        <v>911</v>
      </c>
      <c r="C1324" s="2">
        <v>155</v>
      </c>
      <c r="D1324" s="2" t="s">
        <v>716</v>
      </c>
      <c r="E1324" s="2">
        <v>117</v>
      </c>
      <c r="G1324" s="2">
        <f t="shared" si="14"/>
        <v>8.3333333333333329E-2</v>
      </c>
      <c r="H1324" s="21">
        <v>0.8</v>
      </c>
      <c r="I1324" s="2">
        <v>1</v>
      </c>
    </row>
    <row r="1325" spans="1:9" ht="15.75" hidden="1" customHeight="1" x14ac:dyDescent="0.2">
      <c r="A1325" s="11">
        <v>1343</v>
      </c>
      <c r="B1325" s="2">
        <v>912</v>
      </c>
      <c r="C1325" s="2">
        <v>155</v>
      </c>
      <c r="D1325" s="2" t="s">
        <v>716</v>
      </c>
      <c r="E1325" s="2">
        <v>118</v>
      </c>
      <c r="G1325" s="2">
        <f t="shared" si="14"/>
        <v>8.3333333333333329E-2</v>
      </c>
      <c r="H1325" s="21">
        <v>0.8</v>
      </c>
      <c r="I1325" s="2">
        <v>1</v>
      </c>
    </row>
    <row r="1326" spans="1:9" ht="15.75" hidden="1" customHeight="1" x14ac:dyDescent="0.2">
      <c r="A1326" s="11">
        <v>1344</v>
      </c>
      <c r="B1326" s="2">
        <v>913</v>
      </c>
      <c r="C1326" s="2">
        <v>155</v>
      </c>
      <c r="D1326" s="2" t="s">
        <v>716</v>
      </c>
      <c r="E1326" s="2">
        <v>119</v>
      </c>
      <c r="G1326" s="2">
        <f t="shared" si="14"/>
        <v>8.3333333333333329E-2</v>
      </c>
      <c r="H1326" s="21">
        <v>0.8</v>
      </c>
      <c r="I1326" s="2">
        <v>1</v>
      </c>
    </row>
    <row r="1327" spans="1:9" ht="15.75" hidden="1" customHeight="1" x14ac:dyDescent="0.2">
      <c r="A1327" s="11">
        <v>1345</v>
      </c>
      <c r="B1327" s="2">
        <v>914</v>
      </c>
      <c r="C1327" s="2">
        <v>155</v>
      </c>
      <c r="D1327" s="2" t="s">
        <v>716</v>
      </c>
      <c r="E1327" s="2">
        <v>120</v>
      </c>
      <c r="G1327" s="2">
        <f t="shared" si="14"/>
        <v>8.3333333333333329E-2</v>
      </c>
      <c r="H1327" s="21">
        <v>0.8</v>
      </c>
      <c r="I1327" s="2">
        <v>1</v>
      </c>
    </row>
    <row r="1328" spans="1:9" ht="15.75" hidden="1" customHeight="1" x14ac:dyDescent="0.2">
      <c r="A1328" s="11">
        <v>1346</v>
      </c>
      <c r="B1328" s="2">
        <v>1318</v>
      </c>
      <c r="C1328" s="2">
        <v>97</v>
      </c>
      <c r="D1328" s="2" t="s">
        <v>1904</v>
      </c>
      <c r="E1328" s="2">
        <v>1</v>
      </c>
      <c r="G1328" s="2">
        <v>0</v>
      </c>
      <c r="H1328" s="21">
        <v>0.8</v>
      </c>
      <c r="I1328" s="2">
        <v>1</v>
      </c>
    </row>
    <row r="1329" spans="1:9" ht="15.75" hidden="1" customHeight="1" x14ac:dyDescent="0.2">
      <c r="A1329" s="11">
        <v>1347</v>
      </c>
      <c r="B1329" s="2">
        <v>1319</v>
      </c>
      <c r="C1329" s="2">
        <v>97</v>
      </c>
      <c r="D1329" s="2" t="s">
        <v>1904</v>
      </c>
      <c r="E1329" s="2">
        <v>2</v>
      </c>
      <c r="G1329" s="2">
        <f>1/12</f>
        <v>8.3333333333333329E-2</v>
      </c>
      <c r="H1329" s="21">
        <v>0.8</v>
      </c>
      <c r="I1329" s="2">
        <v>1</v>
      </c>
    </row>
    <row r="1330" spans="1:9" ht="15.75" hidden="1" customHeight="1" x14ac:dyDescent="0.2">
      <c r="A1330" s="11">
        <v>1348</v>
      </c>
      <c r="B1330" s="2">
        <v>1320</v>
      </c>
      <c r="C1330" s="2">
        <v>97</v>
      </c>
      <c r="D1330" s="2" t="s">
        <v>1904</v>
      </c>
      <c r="E1330" s="2">
        <v>3</v>
      </c>
      <c r="G1330" s="2">
        <v>0</v>
      </c>
      <c r="H1330" s="21">
        <v>0.8</v>
      </c>
      <c r="I1330" s="2">
        <v>1</v>
      </c>
    </row>
    <row r="1331" spans="1:9" ht="15.75" hidden="1" customHeight="1" x14ac:dyDescent="0.2">
      <c r="A1331" s="11">
        <v>1349</v>
      </c>
      <c r="B1331" s="2">
        <v>1321</v>
      </c>
      <c r="C1331" s="2">
        <v>97</v>
      </c>
      <c r="D1331" s="2" t="s">
        <v>1904</v>
      </c>
      <c r="E1331" s="2">
        <v>4</v>
      </c>
      <c r="G1331" s="2">
        <f>1/12</f>
        <v>8.3333333333333329E-2</v>
      </c>
      <c r="H1331" s="21">
        <v>0.8</v>
      </c>
      <c r="I1331" s="2">
        <v>1</v>
      </c>
    </row>
    <row r="1332" spans="1:9" ht="15.75" hidden="1" customHeight="1" x14ac:dyDescent="0.2">
      <c r="A1332" s="11">
        <v>1350</v>
      </c>
      <c r="B1332" s="2">
        <v>1322</v>
      </c>
      <c r="C1332" s="2">
        <v>97</v>
      </c>
      <c r="D1332" s="2" t="s">
        <v>1904</v>
      </c>
      <c r="E1332" s="2">
        <v>5</v>
      </c>
      <c r="G1332" s="2">
        <v>0</v>
      </c>
      <c r="H1332" s="21">
        <v>0.8</v>
      </c>
      <c r="I1332" s="2">
        <v>1</v>
      </c>
    </row>
    <row r="1333" spans="1:9" ht="15.75" hidden="1" customHeight="1" x14ac:dyDescent="0.2">
      <c r="A1333" s="11">
        <v>1351</v>
      </c>
      <c r="B1333" s="2">
        <v>1323</v>
      </c>
      <c r="C1333" s="2">
        <v>97</v>
      </c>
      <c r="D1333" s="2" t="s">
        <v>1904</v>
      </c>
      <c r="E1333" s="2">
        <v>6</v>
      </c>
      <c r="G1333" s="2">
        <f>1/12</f>
        <v>8.3333333333333329E-2</v>
      </c>
      <c r="H1333" s="21">
        <v>0.8</v>
      </c>
      <c r="I1333" s="2">
        <v>1</v>
      </c>
    </row>
    <row r="1334" spans="1:9" ht="15.75" hidden="1" customHeight="1" x14ac:dyDescent="0.2">
      <c r="A1334" s="11">
        <v>1352</v>
      </c>
      <c r="B1334" s="2">
        <v>1324</v>
      </c>
      <c r="C1334" s="2">
        <v>97</v>
      </c>
      <c r="D1334" s="2" t="s">
        <v>1904</v>
      </c>
      <c r="E1334" s="2">
        <v>7</v>
      </c>
      <c r="G1334" s="2">
        <v>0</v>
      </c>
      <c r="H1334" s="21">
        <v>0.8</v>
      </c>
      <c r="I1334" s="2">
        <v>1</v>
      </c>
    </row>
    <row r="1335" spans="1:9" ht="15.75" hidden="1" customHeight="1" x14ac:dyDescent="0.2">
      <c r="A1335" s="11">
        <v>1353</v>
      </c>
      <c r="B1335" s="2">
        <v>1325</v>
      </c>
      <c r="C1335" s="2">
        <v>97</v>
      </c>
      <c r="D1335" s="2" t="s">
        <v>1904</v>
      </c>
      <c r="E1335" s="2">
        <v>8</v>
      </c>
      <c r="G1335" s="2">
        <f>1/12</f>
        <v>8.3333333333333329E-2</v>
      </c>
      <c r="H1335" s="21">
        <v>0.8</v>
      </c>
      <c r="I1335" s="2">
        <v>1</v>
      </c>
    </row>
    <row r="1336" spans="1:9" ht="15.75" hidden="1" customHeight="1" x14ac:dyDescent="0.2">
      <c r="A1336" s="11">
        <v>1354</v>
      </c>
      <c r="B1336" s="2">
        <v>1326</v>
      </c>
      <c r="C1336" s="2">
        <v>97</v>
      </c>
      <c r="D1336" s="2" t="s">
        <v>1904</v>
      </c>
      <c r="E1336" s="2">
        <v>9</v>
      </c>
      <c r="G1336" s="2">
        <v>0</v>
      </c>
      <c r="H1336" s="21">
        <v>0.8</v>
      </c>
      <c r="I1336" s="2">
        <v>1</v>
      </c>
    </row>
    <row r="1337" spans="1:9" ht="15.75" hidden="1" customHeight="1" x14ac:dyDescent="0.2">
      <c r="A1337" s="11">
        <v>1355</v>
      </c>
      <c r="B1337" s="2">
        <v>1327</v>
      </c>
      <c r="C1337" s="2">
        <v>97</v>
      </c>
      <c r="D1337" s="2" t="s">
        <v>1904</v>
      </c>
      <c r="E1337" s="2">
        <v>10</v>
      </c>
      <c r="G1337" s="2">
        <f>1/12</f>
        <v>8.3333333333333329E-2</v>
      </c>
      <c r="H1337" s="21">
        <v>0.8</v>
      </c>
      <c r="I1337" s="2">
        <v>1</v>
      </c>
    </row>
    <row r="1338" spans="1:9" ht="15.75" hidden="1" customHeight="1" x14ac:dyDescent="0.2">
      <c r="A1338" s="11">
        <v>1356</v>
      </c>
      <c r="B1338" s="2">
        <v>1328</v>
      </c>
      <c r="C1338" s="2">
        <v>97</v>
      </c>
      <c r="D1338" s="2" t="s">
        <v>1904</v>
      </c>
      <c r="E1338" s="2">
        <v>11</v>
      </c>
      <c r="G1338" s="2">
        <v>0</v>
      </c>
      <c r="H1338" s="21">
        <v>0.8</v>
      </c>
      <c r="I1338" s="2">
        <v>1</v>
      </c>
    </row>
    <row r="1339" spans="1:9" ht="15.75" hidden="1" customHeight="1" x14ac:dyDescent="0.2">
      <c r="A1339" s="11">
        <v>1357</v>
      </c>
      <c r="B1339" s="2">
        <v>1329</v>
      </c>
      <c r="C1339" s="2">
        <v>97</v>
      </c>
      <c r="D1339" s="2" t="s">
        <v>1904</v>
      </c>
      <c r="E1339" s="2">
        <v>12</v>
      </c>
      <c r="G1339" s="2">
        <v>0</v>
      </c>
      <c r="H1339" s="21">
        <v>0.8</v>
      </c>
      <c r="I1339" s="2">
        <v>1</v>
      </c>
    </row>
    <row r="1340" spans="1:9" ht="15.75" hidden="1" customHeight="1" x14ac:dyDescent="0.2">
      <c r="A1340" s="11">
        <v>1358</v>
      </c>
      <c r="B1340" s="2">
        <v>1330</v>
      </c>
      <c r="C1340" s="2">
        <v>97</v>
      </c>
      <c r="D1340" s="2" t="s">
        <v>1904</v>
      </c>
      <c r="E1340" s="2">
        <v>13</v>
      </c>
      <c r="G1340" s="2">
        <f>1/12</f>
        <v>8.3333333333333329E-2</v>
      </c>
      <c r="H1340" s="21">
        <v>0.8</v>
      </c>
      <c r="I1340" s="2">
        <v>1</v>
      </c>
    </row>
    <row r="1341" spans="1:9" ht="15.75" hidden="1" customHeight="1" x14ac:dyDescent="0.2">
      <c r="A1341" s="11">
        <v>1359</v>
      </c>
      <c r="B1341" s="2">
        <v>1331</v>
      </c>
      <c r="C1341" s="2">
        <v>97</v>
      </c>
      <c r="D1341" s="2" t="s">
        <v>1904</v>
      </c>
      <c r="E1341" s="2">
        <v>14</v>
      </c>
      <c r="G1341" s="2">
        <v>0</v>
      </c>
      <c r="H1341" s="21">
        <v>0.8</v>
      </c>
      <c r="I1341" s="2">
        <v>1</v>
      </c>
    </row>
    <row r="1342" spans="1:9" ht="15.75" hidden="1" customHeight="1" x14ac:dyDescent="0.2">
      <c r="A1342" s="11">
        <v>1360</v>
      </c>
      <c r="B1342" s="2">
        <v>1332</v>
      </c>
      <c r="C1342" s="2">
        <v>97</v>
      </c>
      <c r="D1342" s="2" t="s">
        <v>1904</v>
      </c>
      <c r="E1342" s="2">
        <v>15</v>
      </c>
      <c r="G1342" s="2">
        <f>1/12</f>
        <v>8.3333333333333329E-2</v>
      </c>
      <c r="H1342" s="21">
        <v>0.8</v>
      </c>
      <c r="I1342" s="2">
        <v>1</v>
      </c>
    </row>
    <row r="1343" spans="1:9" ht="15.75" hidden="1" customHeight="1" x14ac:dyDescent="0.2">
      <c r="A1343" s="11">
        <v>1361</v>
      </c>
      <c r="B1343" s="2">
        <v>1333</v>
      </c>
      <c r="C1343" s="2">
        <v>97</v>
      </c>
      <c r="D1343" s="2" t="s">
        <v>1904</v>
      </c>
      <c r="E1343" s="2">
        <v>16</v>
      </c>
      <c r="G1343" s="2">
        <v>0</v>
      </c>
      <c r="H1343" s="21">
        <v>0.8</v>
      </c>
      <c r="I1343" s="2">
        <v>1</v>
      </c>
    </row>
    <row r="1344" spans="1:9" ht="15.75" hidden="1" customHeight="1" x14ac:dyDescent="0.2">
      <c r="A1344" s="11">
        <v>1362</v>
      </c>
      <c r="B1344" s="2">
        <v>1334</v>
      </c>
      <c r="C1344" s="2">
        <v>97</v>
      </c>
      <c r="D1344" s="2" t="s">
        <v>1904</v>
      </c>
      <c r="E1344" s="2">
        <v>17</v>
      </c>
      <c r="G1344" s="2">
        <f>1/12</f>
        <v>8.3333333333333329E-2</v>
      </c>
      <c r="H1344" s="21">
        <v>0.8</v>
      </c>
      <c r="I1344" s="2">
        <v>1</v>
      </c>
    </row>
    <row r="1345" spans="1:10" ht="15.75" hidden="1" customHeight="1" x14ac:dyDescent="0.2">
      <c r="A1345" s="11">
        <v>1363</v>
      </c>
      <c r="B1345" s="2">
        <v>1335</v>
      </c>
      <c r="C1345" s="2">
        <v>97</v>
      </c>
      <c r="D1345" s="2" t="s">
        <v>1904</v>
      </c>
      <c r="E1345" s="2">
        <v>18</v>
      </c>
      <c r="G1345" s="2">
        <v>0</v>
      </c>
      <c r="H1345" s="21">
        <v>0.8</v>
      </c>
      <c r="I1345" s="2">
        <v>1</v>
      </c>
    </row>
    <row r="1346" spans="1:10" ht="15.75" hidden="1" customHeight="1" x14ac:dyDescent="0.2">
      <c r="A1346" s="11">
        <v>1364</v>
      </c>
      <c r="B1346" s="2">
        <v>1336</v>
      </c>
      <c r="C1346" s="2">
        <v>97</v>
      </c>
      <c r="D1346" s="2" t="s">
        <v>1904</v>
      </c>
      <c r="E1346" s="2">
        <v>19</v>
      </c>
      <c r="G1346" s="2">
        <f>1/12</f>
        <v>8.3333333333333329E-2</v>
      </c>
      <c r="H1346" s="21">
        <v>0.8</v>
      </c>
      <c r="I1346" s="2">
        <v>1</v>
      </c>
    </row>
    <row r="1347" spans="1:10" ht="15.75" hidden="1" customHeight="1" x14ac:dyDescent="0.2">
      <c r="A1347" s="11">
        <v>1365</v>
      </c>
      <c r="B1347" s="2">
        <v>1337</v>
      </c>
      <c r="C1347" s="2">
        <v>97</v>
      </c>
      <c r="D1347" s="2" t="s">
        <v>1904</v>
      </c>
      <c r="E1347" s="2">
        <v>20</v>
      </c>
      <c r="G1347" s="2">
        <v>0</v>
      </c>
      <c r="H1347" s="21">
        <v>0.8</v>
      </c>
      <c r="I1347" s="2">
        <v>1</v>
      </c>
    </row>
    <row r="1348" spans="1:10" ht="15.75" hidden="1" customHeight="1" x14ac:dyDescent="0.2">
      <c r="A1348" s="11">
        <v>1366</v>
      </c>
      <c r="B1348" s="2">
        <v>1338</v>
      </c>
      <c r="C1348" s="2">
        <v>97</v>
      </c>
      <c r="D1348" s="2" t="s">
        <v>1904</v>
      </c>
      <c r="E1348" s="2">
        <v>21</v>
      </c>
      <c r="G1348" s="2">
        <f>1/12</f>
        <v>8.3333333333333329E-2</v>
      </c>
      <c r="H1348" s="21">
        <v>0.8</v>
      </c>
      <c r="I1348" s="2">
        <v>1</v>
      </c>
    </row>
    <row r="1349" spans="1:10" ht="15.75" hidden="1" customHeight="1" x14ac:dyDescent="0.2">
      <c r="A1349" s="11">
        <v>1367</v>
      </c>
      <c r="B1349" s="2">
        <v>1339</v>
      </c>
      <c r="C1349" s="2">
        <v>97</v>
      </c>
      <c r="D1349" s="2" t="s">
        <v>1904</v>
      </c>
      <c r="E1349" s="2">
        <v>22</v>
      </c>
      <c r="G1349" s="2">
        <v>0</v>
      </c>
      <c r="H1349" s="21">
        <v>0.8</v>
      </c>
      <c r="I1349" s="2">
        <v>1</v>
      </c>
    </row>
    <row r="1350" spans="1:10" ht="15.75" hidden="1" customHeight="1" x14ac:dyDescent="0.2">
      <c r="A1350" s="11">
        <v>1368</v>
      </c>
      <c r="B1350" s="2">
        <v>1340</v>
      </c>
      <c r="C1350" s="2">
        <v>97</v>
      </c>
      <c r="D1350" s="2" t="s">
        <v>1904</v>
      </c>
      <c r="E1350" s="2">
        <v>23</v>
      </c>
      <c r="G1350" s="2">
        <f>1/12</f>
        <v>8.3333333333333329E-2</v>
      </c>
      <c r="H1350" s="21">
        <v>0.8</v>
      </c>
      <c r="I1350" s="2">
        <v>1</v>
      </c>
    </row>
    <row r="1351" spans="1:10" ht="15.75" hidden="1" customHeight="1" x14ac:dyDescent="0.2">
      <c r="A1351" s="11">
        <v>1369</v>
      </c>
      <c r="B1351" s="2">
        <v>1341</v>
      </c>
      <c r="C1351" s="2">
        <v>97</v>
      </c>
      <c r="D1351" s="2" t="s">
        <v>1904</v>
      </c>
      <c r="E1351" s="2">
        <v>24</v>
      </c>
      <c r="G1351" s="2">
        <v>0</v>
      </c>
      <c r="H1351" s="21">
        <v>0.8</v>
      </c>
      <c r="I1351" s="2">
        <v>1</v>
      </c>
    </row>
    <row r="1352" spans="1:10" ht="15.75" hidden="1" customHeight="1" x14ac:dyDescent="0.2">
      <c r="A1352" s="11">
        <v>1370</v>
      </c>
      <c r="B1352" s="2">
        <v>1342</v>
      </c>
      <c r="C1352" s="2">
        <v>97</v>
      </c>
      <c r="D1352" s="2" t="s">
        <v>1904</v>
      </c>
      <c r="E1352" s="2">
        <v>25</v>
      </c>
      <c r="G1352" s="2">
        <f>1/12</f>
        <v>8.3333333333333329E-2</v>
      </c>
      <c r="H1352" s="21">
        <v>0.8</v>
      </c>
      <c r="I1352" s="2">
        <v>1</v>
      </c>
    </row>
    <row r="1353" spans="1:10" ht="15.75" hidden="1" customHeight="1" x14ac:dyDescent="0.2">
      <c r="A1353" s="11">
        <v>1371</v>
      </c>
      <c r="B1353" s="2">
        <v>1349</v>
      </c>
      <c r="C1353" s="2">
        <v>146</v>
      </c>
      <c r="D1353" s="2" t="str">
        <f>VLOOKUP(C1353,Course!$A$1:$C$929, 3, FALSE)</f>
        <v>Literature Level 9</v>
      </c>
      <c r="E1353" s="2">
        <v>108</v>
      </c>
      <c r="F1353" s="2" t="s">
        <v>800</v>
      </c>
      <c r="G1353" s="2">
        <f t="shared" ref="G1353:G1355" si="15">1/6</f>
        <v>0.16666666666666666</v>
      </c>
      <c r="H1353" s="21">
        <v>0.8</v>
      </c>
      <c r="I1353" s="2">
        <v>1</v>
      </c>
      <c r="J1353" s="2" t="s">
        <v>1905</v>
      </c>
    </row>
    <row r="1354" spans="1:10" ht="15.75" hidden="1" customHeight="1" x14ac:dyDescent="0.2">
      <c r="A1354" s="11">
        <v>1372</v>
      </c>
      <c r="B1354" s="2">
        <v>1350</v>
      </c>
      <c r="C1354" s="2">
        <v>146</v>
      </c>
      <c r="D1354" s="2" t="str">
        <f>VLOOKUP(C1354,Course!$A$1:$C$929, 3, FALSE)</f>
        <v>Literature Level 9</v>
      </c>
      <c r="E1354" s="2">
        <v>108</v>
      </c>
      <c r="F1354" s="2" t="s">
        <v>800</v>
      </c>
      <c r="G1354" s="2">
        <f t="shared" si="15"/>
        <v>0.16666666666666666</v>
      </c>
      <c r="H1354" s="21">
        <v>0.8</v>
      </c>
      <c r="I1354" s="2">
        <v>1</v>
      </c>
      <c r="J1354" s="2" t="s">
        <v>1906</v>
      </c>
    </row>
    <row r="1355" spans="1:10" ht="15.75" hidden="1" customHeight="1" x14ac:dyDescent="0.2">
      <c r="A1355" s="11">
        <v>1373</v>
      </c>
      <c r="B1355" s="2">
        <v>1351</v>
      </c>
      <c r="C1355" s="2">
        <v>146</v>
      </c>
      <c r="D1355" s="2" t="str">
        <f>VLOOKUP(C1355,Course!$A$1:$C$929, 3, FALSE)</f>
        <v>Literature Level 9</v>
      </c>
      <c r="E1355" s="2">
        <v>108</v>
      </c>
      <c r="F1355" s="2" t="s">
        <v>800</v>
      </c>
      <c r="G1355" s="2">
        <f t="shared" si="15"/>
        <v>0.16666666666666666</v>
      </c>
      <c r="H1355" s="21">
        <v>0.8</v>
      </c>
      <c r="I1355" s="2">
        <v>1</v>
      </c>
      <c r="J1355" s="2" t="s">
        <v>1907</v>
      </c>
    </row>
    <row r="1356" spans="1:10" ht="15.75" hidden="1" customHeight="1" x14ac:dyDescent="0.2">
      <c r="A1356" s="11">
        <v>1364</v>
      </c>
      <c r="B1356" s="2">
        <v>1045</v>
      </c>
      <c r="C1356" s="2">
        <v>161</v>
      </c>
      <c r="D1356" s="2" t="str">
        <f>VLOOKUP(C1356,Course!$A$1:$C$229, 3, FALSE)</f>
        <v>New Testament Church History I</v>
      </c>
      <c r="E1356" s="2">
        <v>121</v>
      </c>
      <c r="G1356" s="2">
        <f t="shared" ref="G1356:G1361" si="16">1/5</f>
        <v>0.2</v>
      </c>
      <c r="H1356" s="21">
        <v>0.8</v>
      </c>
      <c r="I1356" s="2">
        <v>1</v>
      </c>
    </row>
    <row r="1357" spans="1:10" ht="15.75" hidden="1" customHeight="1" x14ac:dyDescent="0.2">
      <c r="A1357" s="11">
        <v>1365</v>
      </c>
      <c r="B1357" s="2">
        <v>1046</v>
      </c>
      <c r="C1357" s="2">
        <v>161</v>
      </c>
      <c r="D1357" s="2" t="str">
        <f>VLOOKUP(C1357,Course!$A$1:$C$229, 3, FALSE)</f>
        <v>New Testament Church History I</v>
      </c>
      <c r="E1357" s="2">
        <v>122</v>
      </c>
      <c r="G1357" s="2">
        <f t="shared" si="16"/>
        <v>0.2</v>
      </c>
      <c r="H1357" s="21">
        <v>0.8</v>
      </c>
      <c r="I1357" s="2">
        <v>1</v>
      </c>
    </row>
    <row r="1358" spans="1:10" ht="15.75" hidden="1" customHeight="1" x14ac:dyDescent="0.2">
      <c r="A1358" s="11">
        <v>1366</v>
      </c>
      <c r="B1358" s="2">
        <v>1047</v>
      </c>
      <c r="C1358" s="2">
        <v>161</v>
      </c>
      <c r="D1358" s="2" t="str">
        <f>VLOOKUP(C1358,Course!$A$1:$C$229, 3, FALSE)</f>
        <v>New Testament Church History I</v>
      </c>
      <c r="E1358" s="2">
        <v>123</v>
      </c>
      <c r="G1358" s="2">
        <f t="shared" si="16"/>
        <v>0.2</v>
      </c>
      <c r="H1358" s="21">
        <v>0.8</v>
      </c>
      <c r="I1358" s="2">
        <v>1</v>
      </c>
    </row>
    <row r="1359" spans="1:10" ht="15.75" hidden="1" customHeight="1" x14ac:dyDescent="0.2">
      <c r="A1359" s="11">
        <v>1367</v>
      </c>
      <c r="B1359" s="2">
        <v>1048</v>
      </c>
      <c r="C1359" s="2">
        <v>161</v>
      </c>
      <c r="D1359" s="2" t="str">
        <f>VLOOKUP(C1359,Course!$A$1:$C$229, 3, FALSE)</f>
        <v>New Testament Church History I</v>
      </c>
      <c r="E1359" s="2">
        <v>124</v>
      </c>
      <c r="G1359" s="2">
        <f t="shared" si="16"/>
        <v>0.2</v>
      </c>
      <c r="H1359" s="21">
        <v>0.8</v>
      </c>
      <c r="I1359" s="2">
        <v>1</v>
      </c>
    </row>
    <row r="1360" spans="1:10" ht="15.75" hidden="1" customHeight="1" x14ac:dyDescent="0.2">
      <c r="A1360" s="11">
        <v>1368</v>
      </c>
      <c r="B1360" s="2">
        <v>1049</v>
      </c>
      <c r="C1360" s="2">
        <v>161</v>
      </c>
      <c r="D1360" s="2" t="str">
        <f>VLOOKUP(C1360,Course!$A$1:$C$229, 3, FALSE)</f>
        <v>New Testament Church History I</v>
      </c>
      <c r="E1360" s="2">
        <v>125</v>
      </c>
      <c r="G1360" s="2">
        <f t="shared" si="16"/>
        <v>0.2</v>
      </c>
      <c r="H1360" s="21">
        <v>0.8</v>
      </c>
      <c r="I1360" s="2">
        <v>1</v>
      </c>
    </row>
    <row r="1361" spans="1:9" ht="15.75" hidden="1" customHeight="1" x14ac:dyDescent="0.2">
      <c r="A1361" s="11">
        <v>1369</v>
      </c>
      <c r="B1361" s="2">
        <v>1050</v>
      </c>
      <c r="C1361" s="2">
        <v>161</v>
      </c>
      <c r="D1361" s="2" t="str">
        <f>VLOOKUP(C1361,Course!$A$1:$C$229, 3, FALSE)</f>
        <v>New Testament Church History I</v>
      </c>
      <c r="E1361" s="2">
        <v>126</v>
      </c>
      <c r="G1361" s="2">
        <f t="shared" si="16"/>
        <v>0.2</v>
      </c>
      <c r="H1361" s="21">
        <v>0.8</v>
      </c>
      <c r="I1361" s="2">
        <v>1</v>
      </c>
    </row>
    <row r="1362" spans="1:9" ht="15.75" hidden="1" customHeight="1" x14ac:dyDescent="0.2">
      <c r="A1362" s="11">
        <v>1370</v>
      </c>
      <c r="B1362" s="2">
        <v>1169</v>
      </c>
      <c r="C1362" s="2">
        <v>164</v>
      </c>
      <c r="D1362" s="2" t="str">
        <f>VLOOKUP(C1362,Course!$A$1:$C$229, 2, FALSE)</f>
        <v>U.S. Civics</v>
      </c>
      <c r="E1362" s="2">
        <v>133</v>
      </c>
      <c r="F1362" s="2" t="s">
        <v>1843</v>
      </c>
      <c r="G1362" s="2">
        <f t="shared" ref="G1362:G1397" si="17">1/6</f>
        <v>0.16666666666666666</v>
      </c>
      <c r="H1362" s="21">
        <v>0.8</v>
      </c>
      <c r="I1362" s="2">
        <v>1</v>
      </c>
    </row>
    <row r="1363" spans="1:9" ht="15.75" hidden="1" customHeight="1" x14ac:dyDescent="0.2">
      <c r="A1363" s="2">
        <v>1371</v>
      </c>
      <c r="B1363" s="2">
        <v>1170</v>
      </c>
      <c r="C1363" s="2">
        <v>164</v>
      </c>
      <c r="D1363" s="2" t="str">
        <f>VLOOKUP(C1363,Course!$A$1:$C$229, 2, FALSE)</f>
        <v>U.S. Civics</v>
      </c>
      <c r="E1363" s="2">
        <v>134</v>
      </c>
      <c r="F1363" s="2" t="s">
        <v>1844</v>
      </c>
      <c r="G1363" s="2">
        <f t="shared" si="17"/>
        <v>0.16666666666666666</v>
      </c>
      <c r="H1363" s="21">
        <v>0.8</v>
      </c>
      <c r="I1363" s="2">
        <v>1</v>
      </c>
    </row>
    <row r="1364" spans="1:9" ht="15.75" hidden="1" customHeight="1" x14ac:dyDescent="0.2">
      <c r="A1364" s="2">
        <v>1372</v>
      </c>
      <c r="B1364" s="2">
        <v>1171</v>
      </c>
      <c r="C1364" s="2">
        <v>164</v>
      </c>
      <c r="D1364" s="2" t="str">
        <f>VLOOKUP(C1364,Course!$A$1:$C$229, 2, FALSE)</f>
        <v>U.S. Civics</v>
      </c>
      <c r="E1364" s="2">
        <v>135</v>
      </c>
      <c r="F1364" s="2" t="s">
        <v>1845</v>
      </c>
      <c r="G1364" s="2">
        <f t="shared" si="17"/>
        <v>0.16666666666666666</v>
      </c>
      <c r="H1364" s="21">
        <v>0.8</v>
      </c>
      <c r="I1364" s="2">
        <v>1</v>
      </c>
    </row>
    <row r="1365" spans="1:9" ht="15.75" hidden="1" customHeight="1" x14ac:dyDescent="0.2">
      <c r="A1365" s="2">
        <v>1373</v>
      </c>
      <c r="B1365" s="2">
        <v>1172</v>
      </c>
      <c r="C1365" s="2">
        <v>164</v>
      </c>
      <c r="D1365" s="2" t="str">
        <f>VLOOKUP(C1365,Course!$A$1:$C$229, 2, FALSE)</f>
        <v>U.S. Civics</v>
      </c>
      <c r="E1365" s="2">
        <v>136</v>
      </c>
      <c r="F1365" s="2" t="s">
        <v>1846</v>
      </c>
      <c r="G1365" s="2">
        <f t="shared" si="17"/>
        <v>0.16666666666666666</v>
      </c>
      <c r="H1365" s="21">
        <v>0.8</v>
      </c>
      <c r="I1365" s="2">
        <v>1</v>
      </c>
    </row>
    <row r="1366" spans="1:9" ht="15.75" hidden="1" customHeight="1" x14ac:dyDescent="0.2">
      <c r="A1366" s="2">
        <v>1374</v>
      </c>
      <c r="B1366" s="2">
        <v>1173</v>
      </c>
      <c r="C1366" s="2">
        <v>164</v>
      </c>
      <c r="D1366" s="2" t="str">
        <f>VLOOKUP(C1366,Course!$A$1:$C$229, 2, FALSE)</f>
        <v>U.S. Civics</v>
      </c>
      <c r="E1366" s="2">
        <v>137</v>
      </c>
      <c r="F1366" s="2" t="s">
        <v>1847</v>
      </c>
      <c r="G1366" s="2">
        <f t="shared" si="17"/>
        <v>0.16666666666666666</v>
      </c>
      <c r="H1366" s="21">
        <v>0.8</v>
      </c>
      <c r="I1366" s="2">
        <v>1</v>
      </c>
    </row>
    <row r="1367" spans="1:9" ht="15.75" hidden="1" customHeight="1" x14ac:dyDescent="0.2">
      <c r="A1367" s="2">
        <v>1375</v>
      </c>
      <c r="B1367" s="2">
        <v>1174</v>
      </c>
      <c r="C1367" s="2">
        <v>164</v>
      </c>
      <c r="D1367" s="2" t="str">
        <f>VLOOKUP(C1367,Course!$A$1:$C$229, 2, FALSE)</f>
        <v>U.S. Civics</v>
      </c>
      <c r="E1367" s="2">
        <v>138</v>
      </c>
      <c r="F1367" s="2" t="s">
        <v>1848</v>
      </c>
      <c r="G1367" s="2">
        <f t="shared" si="17"/>
        <v>0.16666666666666666</v>
      </c>
      <c r="H1367" s="21">
        <v>0.8</v>
      </c>
      <c r="I1367" s="2">
        <v>1</v>
      </c>
    </row>
    <row r="1368" spans="1:9" ht="15.75" hidden="1" customHeight="1" x14ac:dyDescent="0.2">
      <c r="A1368" s="2">
        <v>1376</v>
      </c>
      <c r="B1368" s="2">
        <v>1175</v>
      </c>
      <c r="C1368" s="2">
        <v>165</v>
      </c>
      <c r="D1368" s="2" t="str">
        <f>VLOOKUP(C1368,Course!$A$1:$C$229, 2, FALSE)</f>
        <v>Economics</v>
      </c>
      <c r="E1368" s="2">
        <v>139</v>
      </c>
      <c r="F1368" s="2" t="s">
        <v>1849</v>
      </c>
      <c r="G1368" s="2">
        <f t="shared" si="17"/>
        <v>0.16666666666666666</v>
      </c>
      <c r="H1368" s="21">
        <v>0.8</v>
      </c>
      <c r="I1368" s="2">
        <v>1</v>
      </c>
    </row>
    <row r="1369" spans="1:9" ht="15.75" hidden="1" customHeight="1" x14ac:dyDescent="0.2">
      <c r="A1369" s="2">
        <v>1377</v>
      </c>
      <c r="B1369" s="2">
        <v>1176</v>
      </c>
      <c r="C1369" s="2">
        <v>165</v>
      </c>
      <c r="D1369" s="2" t="str">
        <f>VLOOKUP(C1369,Course!$A$1:$C$229, 2, FALSE)</f>
        <v>Economics</v>
      </c>
      <c r="E1369" s="2">
        <v>140</v>
      </c>
      <c r="F1369" s="2" t="s">
        <v>1850</v>
      </c>
      <c r="G1369" s="2">
        <f t="shared" si="17"/>
        <v>0.16666666666666666</v>
      </c>
      <c r="H1369" s="21">
        <v>0.8</v>
      </c>
      <c r="I1369" s="2">
        <v>1</v>
      </c>
    </row>
    <row r="1370" spans="1:9" ht="15.75" hidden="1" customHeight="1" x14ac:dyDescent="0.2">
      <c r="A1370" s="2">
        <v>1378</v>
      </c>
      <c r="B1370" s="2">
        <v>1177</v>
      </c>
      <c r="C1370" s="2">
        <v>165</v>
      </c>
      <c r="D1370" s="2" t="str">
        <f>VLOOKUP(C1370,Course!$A$1:$C$229, 2, FALSE)</f>
        <v>Economics</v>
      </c>
      <c r="E1370" s="2">
        <v>141</v>
      </c>
      <c r="F1370" s="2" t="s">
        <v>1851</v>
      </c>
      <c r="G1370" s="2">
        <f t="shared" si="17"/>
        <v>0.16666666666666666</v>
      </c>
      <c r="H1370" s="21">
        <v>0.8</v>
      </c>
      <c r="I1370" s="2">
        <v>1</v>
      </c>
    </row>
    <row r="1371" spans="1:9" ht="15.75" hidden="1" customHeight="1" x14ac:dyDescent="0.2">
      <c r="A1371" s="2">
        <v>1379</v>
      </c>
      <c r="B1371" s="2">
        <v>1178</v>
      </c>
      <c r="C1371" s="2">
        <v>165</v>
      </c>
      <c r="D1371" s="2" t="str">
        <f>VLOOKUP(C1371,Course!$A$1:$C$229, 2, FALSE)</f>
        <v>Economics</v>
      </c>
      <c r="E1371" s="2">
        <v>142</v>
      </c>
      <c r="F1371" s="2" t="s">
        <v>1852</v>
      </c>
      <c r="G1371" s="2">
        <f t="shared" si="17"/>
        <v>0.16666666666666666</v>
      </c>
      <c r="H1371" s="21">
        <v>0.8</v>
      </c>
      <c r="I1371" s="2">
        <v>1</v>
      </c>
    </row>
    <row r="1372" spans="1:9" ht="15.75" hidden="1" customHeight="1" x14ac:dyDescent="0.2">
      <c r="A1372" s="2">
        <v>1380</v>
      </c>
      <c r="B1372" s="2">
        <v>1179</v>
      </c>
      <c r="C1372" s="2">
        <v>165</v>
      </c>
      <c r="D1372" s="2" t="str">
        <f>VLOOKUP(C1372,Course!$A$1:$C$229, 2, FALSE)</f>
        <v>Economics</v>
      </c>
      <c r="E1372" s="2">
        <v>143</v>
      </c>
      <c r="F1372" s="2" t="s">
        <v>1853</v>
      </c>
      <c r="G1372" s="2">
        <f t="shared" si="17"/>
        <v>0.16666666666666666</v>
      </c>
      <c r="H1372" s="21">
        <v>0.8</v>
      </c>
      <c r="I1372" s="2">
        <v>1</v>
      </c>
    </row>
    <row r="1373" spans="1:9" ht="15.75" hidden="1" customHeight="1" x14ac:dyDescent="0.2">
      <c r="A1373" s="2">
        <v>1381</v>
      </c>
      <c r="B1373" s="2">
        <v>1180</v>
      </c>
      <c r="C1373" s="2">
        <v>165</v>
      </c>
      <c r="D1373" s="2" t="str">
        <f>VLOOKUP(C1373,Course!$A$1:$C$229, 2, FALSE)</f>
        <v>Economics</v>
      </c>
      <c r="E1373" s="2">
        <v>144</v>
      </c>
      <c r="F1373" s="2" t="s">
        <v>1854</v>
      </c>
      <c r="G1373" s="2">
        <f t="shared" si="17"/>
        <v>0.16666666666666666</v>
      </c>
      <c r="H1373" s="21">
        <v>0.8</v>
      </c>
      <c r="I1373" s="2">
        <v>1</v>
      </c>
    </row>
    <row r="1374" spans="1:9" ht="15.75" hidden="1" customHeight="1" x14ac:dyDescent="0.2">
      <c r="A1374" s="2">
        <v>1382</v>
      </c>
      <c r="B1374" s="2">
        <v>679</v>
      </c>
      <c r="C1374" s="2">
        <v>59</v>
      </c>
      <c r="D1374" s="2" t="s">
        <v>1414</v>
      </c>
      <c r="E1374" s="2">
        <v>97</v>
      </c>
      <c r="F1374" s="2" t="s">
        <v>1415</v>
      </c>
      <c r="G1374" s="2">
        <f t="shared" si="17"/>
        <v>0.16666666666666666</v>
      </c>
      <c r="H1374" s="21">
        <v>0.8</v>
      </c>
      <c r="I1374" s="2">
        <v>1</v>
      </c>
    </row>
    <row r="1375" spans="1:9" ht="15.75" hidden="1" customHeight="1" x14ac:dyDescent="0.2">
      <c r="A1375" s="2">
        <v>1383</v>
      </c>
      <c r="B1375" s="2">
        <v>680</v>
      </c>
      <c r="C1375" s="2">
        <v>59</v>
      </c>
      <c r="D1375" s="2" t="s">
        <v>1414</v>
      </c>
      <c r="E1375" s="2">
        <v>98</v>
      </c>
      <c r="F1375" s="2" t="s">
        <v>1416</v>
      </c>
      <c r="G1375" s="2">
        <f t="shared" si="17"/>
        <v>0.16666666666666666</v>
      </c>
      <c r="H1375" s="21">
        <v>0.8</v>
      </c>
      <c r="I1375" s="2">
        <v>1</v>
      </c>
    </row>
    <row r="1376" spans="1:9" ht="15.75" hidden="1" customHeight="1" x14ac:dyDescent="0.2">
      <c r="A1376" s="2">
        <v>1384</v>
      </c>
      <c r="B1376" s="2">
        <v>681</v>
      </c>
      <c r="C1376" s="2">
        <v>59</v>
      </c>
      <c r="D1376" s="2" t="s">
        <v>1414</v>
      </c>
      <c r="E1376" s="2">
        <v>99</v>
      </c>
      <c r="F1376" s="2" t="s">
        <v>1417</v>
      </c>
      <c r="G1376" s="2">
        <f t="shared" si="17"/>
        <v>0.16666666666666666</v>
      </c>
      <c r="H1376" s="21">
        <v>0.8</v>
      </c>
      <c r="I1376" s="2">
        <v>1</v>
      </c>
    </row>
    <row r="1377" spans="1:9" ht="15.75" hidden="1" customHeight="1" x14ac:dyDescent="0.2">
      <c r="A1377" s="2">
        <v>1385</v>
      </c>
      <c r="B1377" s="2">
        <v>682</v>
      </c>
      <c r="C1377" s="2">
        <v>59</v>
      </c>
      <c r="D1377" s="2" t="s">
        <v>1414</v>
      </c>
      <c r="E1377" s="2">
        <v>100</v>
      </c>
      <c r="F1377" s="2" t="s">
        <v>1418</v>
      </c>
      <c r="G1377" s="2">
        <f t="shared" si="17"/>
        <v>0.16666666666666666</v>
      </c>
      <c r="H1377" s="21">
        <v>0.8</v>
      </c>
      <c r="I1377" s="2">
        <v>1</v>
      </c>
    </row>
    <row r="1378" spans="1:9" ht="15.75" hidden="1" customHeight="1" x14ac:dyDescent="0.2">
      <c r="A1378" s="2">
        <v>1386</v>
      </c>
      <c r="B1378" s="2">
        <v>683</v>
      </c>
      <c r="C1378" s="2">
        <v>59</v>
      </c>
      <c r="D1378" s="2" t="s">
        <v>1414</v>
      </c>
      <c r="E1378" s="2">
        <v>101</v>
      </c>
      <c r="F1378" s="2" t="s">
        <v>1419</v>
      </c>
      <c r="G1378" s="2">
        <f t="shared" si="17"/>
        <v>0.16666666666666666</v>
      </c>
      <c r="H1378" s="21">
        <v>0.8</v>
      </c>
      <c r="I1378" s="2">
        <v>1</v>
      </c>
    </row>
    <row r="1379" spans="1:9" ht="15.75" hidden="1" customHeight="1" x14ac:dyDescent="0.2">
      <c r="A1379" s="2">
        <v>1387</v>
      </c>
      <c r="B1379" s="2">
        <v>684</v>
      </c>
      <c r="C1379" s="2">
        <v>59</v>
      </c>
      <c r="D1379" s="2" t="s">
        <v>1414</v>
      </c>
      <c r="E1379" s="2">
        <v>102</v>
      </c>
      <c r="F1379" s="2" t="s">
        <v>1420</v>
      </c>
      <c r="G1379" s="2">
        <f t="shared" si="17"/>
        <v>0.16666666666666666</v>
      </c>
      <c r="H1379" s="21">
        <v>0.8</v>
      </c>
      <c r="I1379" s="2">
        <v>1</v>
      </c>
    </row>
    <row r="1380" spans="1:9" ht="15.75" hidden="1" customHeight="1" x14ac:dyDescent="0.2">
      <c r="A1380" s="2">
        <v>1388</v>
      </c>
      <c r="B1380" s="2">
        <v>685</v>
      </c>
      <c r="C1380" s="2">
        <v>59</v>
      </c>
      <c r="D1380" s="2" t="s">
        <v>1414</v>
      </c>
      <c r="E1380" s="2">
        <v>103</v>
      </c>
      <c r="F1380" s="2" t="s">
        <v>1421</v>
      </c>
      <c r="G1380" s="2">
        <f t="shared" si="17"/>
        <v>0.16666666666666666</v>
      </c>
      <c r="H1380" s="21">
        <v>0.8</v>
      </c>
      <c r="I1380" s="2">
        <v>1</v>
      </c>
    </row>
    <row r="1381" spans="1:9" ht="15.75" hidden="1" customHeight="1" x14ac:dyDescent="0.2">
      <c r="A1381" s="2">
        <v>1389</v>
      </c>
      <c r="B1381" s="2">
        <v>686</v>
      </c>
      <c r="C1381" s="2">
        <v>59</v>
      </c>
      <c r="D1381" s="2" t="s">
        <v>1414</v>
      </c>
      <c r="E1381" s="2">
        <v>104</v>
      </c>
      <c r="F1381" s="2" t="s">
        <v>1422</v>
      </c>
      <c r="G1381" s="2">
        <f t="shared" si="17"/>
        <v>0.16666666666666666</v>
      </c>
      <c r="H1381" s="21">
        <v>0.8</v>
      </c>
      <c r="I1381" s="2">
        <v>1</v>
      </c>
    </row>
    <row r="1382" spans="1:9" ht="15.75" hidden="1" customHeight="1" x14ac:dyDescent="0.2">
      <c r="A1382" s="2">
        <v>1390</v>
      </c>
      <c r="B1382" s="2">
        <v>687</v>
      </c>
      <c r="C1382" s="2">
        <v>59</v>
      </c>
      <c r="D1382" s="2" t="s">
        <v>1414</v>
      </c>
      <c r="E1382" s="2">
        <v>105</v>
      </c>
      <c r="F1382" s="2" t="s">
        <v>1423</v>
      </c>
      <c r="G1382" s="2">
        <f t="shared" si="17"/>
        <v>0.16666666666666666</v>
      </c>
      <c r="H1382" s="21">
        <v>0.8</v>
      </c>
      <c r="I1382" s="2">
        <v>1</v>
      </c>
    </row>
    <row r="1383" spans="1:9" ht="15.75" hidden="1" customHeight="1" x14ac:dyDescent="0.2">
      <c r="A1383" s="2">
        <v>1391</v>
      </c>
      <c r="B1383" s="2">
        <v>688</v>
      </c>
      <c r="C1383" s="2">
        <v>59</v>
      </c>
      <c r="D1383" s="2" t="s">
        <v>1414</v>
      </c>
      <c r="E1383" s="2">
        <v>106</v>
      </c>
      <c r="F1383" s="2" t="s">
        <v>1424</v>
      </c>
      <c r="G1383" s="2">
        <f t="shared" si="17"/>
        <v>0.16666666666666666</v>
      </c>
      <c r="H1383" s="21">
        <v>0.8</v>
      </c>
      <c r="I1383" s="2">
        <v>1</v>
      </c>
    </row>
    <row r="1384" spans="1:9" ht="15.75" hidden="1" customHeight="1" x14ac:dyDescent="0.2">
      <c r="A1384" s="2">
        <v>1392</v>
      </c>
      <c r="B1384" s="2">
        <v>689</v>
      </c>
      <c r="C1384" s="2">
        <v>59</v>
      </c>
      <c r="D1384" s="2" t="s">
        <v>1414</v>
      </c>
      <c r="E1384" s="2">
        <v>107</v>
      </c>
      <c r="F1384" s="2" t="s">
        <v>1425</v>
      </c>
      <c r="G1384" s="2">
        <f t="shared" si="17"/>
        <v>0.16666666666666666</v>
      </c>
      <c r="H1384" s="21">
        <v>0.8</v>
      </c>
      <c r="I1384" s="2">
        <v>1</v>
      </c>
    </row>
    <row r="1385" spans="1:9" ht="15.75" hidden="1" customHeight="1" x14ac:dyDescent="0.2">
      <c r="A1385" s="2">
        <v>1393</v>
      </c>
      <c r="B1385" s="2">
        <v>690</v>
      </c>
      <c r="C1385" s="2">
        <v>59</v>
      </c>
      <c r="D1385" s="2" t="s">
        <v>1414</v>
      </c>
      <c r="E1385" s="2">
        <v>108</v>
      </c>
      <c r="F1385" s="2" t="s">
        <v>1426</v>
      </c>
      <c r="G1385" s="2">
        <f t="shared" si="17"/>
        <v>0.16666666666666666</v>
      </c>
      <c r="H1385" s="21">
        <v>0.8</v>
      </c>
      <c r="I1385" s="2">
        <v>1</v>
      </c>
    </row>
    <row r="1386" spans="1:9" ht="15" hidden="1" customHeight="1" x14ac:dyDescent="0.2">
      <c r="A1386" s="2">
        <v>1394</v>
      </c>
      <c r="B1386" s="2">
        <v>1358</v>
      </c>
      <c r="C1386" s="2">
        <v>166</v>
      </c>
      <c r="D1386" s="2" t="s">
        <v>6</v>
      </c>
      <c r="E1386" s="2">
        <v>1</v>
      </c>
      <c r="G1386" s="2">
        <f t="shared" si="17"/>
        <v>0.16666666666666666</v>
      </c>
      <c r="H1386" s="21">
        <v>0.8</v>
      </c>
      <c r="I1386" s="2">
        <v>1</v>
      </c>
    </row>
    <row r="1387" spans="1:9" ht="15" hidden="1" customHeight="1" x14ac:dyDescent="0.2">
      <c r="A1387" s="2">
        <v>1395</v>
      </c>
      <c r="B1387" s="2">
        <v>1359</v>
      </c>
      <c r="C1387" s="2">
        <v>166</v>
      </c>
      <c r="D1387" s="2" t="s">
        <v>6</v>
      </c>
      <c r="E1387" s="2">
        <v>2</v>
      </c>
      <c r="G1387" s="2">
        <f t="shared" si="17"/>
        <v>0.16666666666666666</v>
      </c>
      <c r="H1387" s="21">
        <v>0.8</v>
      </c>
      <c r="I1387" s="2">
        <v>1</v>
      </c>
    </row>
    <row r="1388" spans="1:9" ht="15" hidden="1" customHeight="1" x14ac:dyDescent="0.2">
      <c r="A1388" s="2">
        <v>1396</v>
      </c>
      <c r="B1388" s="2">
        <v>1360</v>
      </c>
      <c r="C1388" s="2">
        <v>166</v>
      </c>
      <c r="D1388" s="2" t="s">
        <v>6</v>
      </c>
      <c r="E1388" s="2">
        <v>3</v>
      </c>
      <c r="G1388" s="2">
        <f t="shared" si="17"/>
        <v>0.16666666666666666</v>
      </c>
      <c r="H1388" s="21">
        <v>0.8</v>
      </c>
      <c r="I1388" s="2">
        <v>1</v>
      </c>
    </row>
    <row r="1389" spans="1:9" ht="15" hidden="1" customHeight="1" x14ac:dyDescent="0.2">
      <c r="A1389" s="2">
        <v>1397</v>
      </c>
      <c r="B1389" s="2">
        <v>1361</v>
      </c>
      <c r="C1389" s="2">
        <v>166</v>
      </c>
      <c r="D1389" s="2" t="s">
        <v>6</v>
      </c>
      <c r="E1389" s="2">
        <v>4</v>
      </c>
      <c r="G1389" s="2">
        <f t="shared" si="17"/>
        <v>0.16666666666666666</v>
      </c>
      <c r="H1389" s="21">
        <v>0.8</v>
      </c>
      <c r="I1389" s="2">
        <v>1</v>
      </c>
    </row>
    <row r="1390" spans="1:9" ht="15" hidden="1" customHeight="1" x14ac:dyDescent="0.2">
      <c r="A1390" s="2">
        <v>1398</v>
      </c>
      <c r="B1390" s="2">
        <v>1362</v>
      </c>
      <c r="C1390" s="2">
        <v>166</v>
      </c>
      <c r="D1390" s="2" t="s">
        <v>6</v>
      </c>
      <c r="E1390" s="2">
        <v>5</v>
      </c>
      <c r="G1390" s="2">
        <f t="shared" si="17"/>
        <v>0.16666666666666666</v>
      </c>
      <c r="H1390" s="21">
        <v>0.8</v>
      </c>
      <c r="I1390" s="2">
        <v>1</v>
      </c>
    </row>
    <row r="1391" spans="1:9" ht="15" hidden="1" customHeight="1" x14ac:dyDescent="0.2">
      <c r="A1391" s="2">
        <v>1399</v>
      </c>
      <c r="B1391" s="2">
        <v>1363</v>
      </c>
      <c r="C1391" s="2">
        <v>166</v>
      </c>
      <c r="D1391" s="2" t="s">
        <v>6</v>
      </c>
      <c r="E1391" s="2">
        <v>6</v>
      </c>
      <c r="G1391" s="2">
        <f t="shared" si="17"/>
        <v>0.16666666666666666</v>
      </c>
      <c r="H1391" s="21">
        <v>0.8</v>
      </c>
      <c r="I1391" s="2">
        <v>1</v>
      </c>
    </row>
    <row r="1392" spans="1:9" ht="15" hidden="1" customHeight="1" x14ac:dyDescent="0.2">
      <c r="A1392" s="2">
        <v>1400</v>
      </c>
      <c r="B1392" s="2">
        <v>1364</v>
      </c>
      <c r="C1392" s="2">
        <v>166</v>
      </c>
      <c r="D1392" s="2" t="s">
        <v>6</v>
      </c>
      <c r="E1392" s="2">
        <v>7</v>
      </c>
      <c r="G1392" s="2">
        <f t="shared" si="17"/>
        <v>0.16666666666666666</v>
      </c>
      <c r="H1392" s="21">
        <v>0.8</v>
      </c>
      <c r="I1392" s="2">
        <v>1</v>
      </c>
    </row>
    <row r="1393" spans="1:9" ht="15" hidden="1" customHeight="1" x14ac:dyDescent="0.2">
      <c r="A1393" s="2">
        <v>1401</v>
      </c>
      <c r="B1393" s="2">
        <v>1365</v>
      </c>
      <c r="C1393" s="2">
        <v>166</v>
      </c>
      <c r="D1393" s="2" t="s">
        <v>6</v>
      </c>
      <c r="E1393" s="2">
        <v>8</v>
      </c>
      <c r="G1393" s="2">
        <f t="shared" si="17"/>
        <v>0.16666666666666666</v>
      </c>
      <c r="H1393" s="21">
        <v>0.8</v>
      </c>
      <c r="I1393" s="2">
        <v>1</v>
      </c>
    </row>
    <row r="1394" spans="1:9" ht="15" hidden="1" customHeight="1" x14ac:dyDescent="0.2">
      <c r="A1394" s="2">
        <v>1402</v>
      </c>
      <c r="B1394" s="2">
        <v>1366</v>
      </c>
      <c r="C1394" s="2">
        <v>166</v>
      </c>
      <c r="D1394" s="2" t="s">
        <v>6</v>
      </c>
      <c r="E1394" s="2">
        <v>9</v>
      </c>
      <c r="G1394" s="2">
        <f t="shared" si="17"/>
        <v>0.16666666666666666</v>
      </c>
      <c r="H1394" s="21">
        <v>0.8</v>
      </c>
      <c r="I1394" s="2">
        <v>1</v>
      </c>
    </row>
    <row r="1395" spans="1:9" ht="15" hidden="1" customHeight="1" x14ac:dyDescent="0.2">
      <c r="A1395" s="2">
        <v>1403</v>
      </c>
      <c r="B1395" s="2">
        <v>1367</v>
      </c>
      <c r="C1395" s="2">
        <v>166</v>
      </c>
      <c r="D1395" s="2" t="s">
        <v>6</v>
      </c>
      <c r="E1395" s="2">
        <v>10</v>
      </c>
      <c r="G1395" s="2">
        <f t="shared" si="17"/>
        <v>0.16666666666666666</v>
      </c>
      <c r="H1395" s="21">
        <v>0.8</v>
      </c>
      <c r="I1395" s="2">
        <v>1</v>
      </c>
    </row>
    <row r="1396" spans="1:9" ht="15" hidden="1" customHeight="1" x14ac:dyDescent="0.2">
      <c r="A1396" s="2">
        <v>1404</v>
      </c>
      <c r="B1396" s="2">
        <v>1368</v>
      </c>
      <c r="C1396" s="2">
        <v>166</v>
      </c>
      <c r="D1396" s="2" t="s">
        <v>6</v>
      </c>
      <c r="E1396" s="2">
        <v>11</v>
      </c>
      <c r="G1396" s="2">
        <f t="shared" si="17"/>
        <v>0.16666666666666666</v>
      </c>
      <c r="H1396" s="21">
        <v>0.8</v>
      </c>
      <c r="I1396" s="2">
        <v>1</v>
      </c>
    </row>
    <row r="1397" spans="1:9" ht="15" hidden="1" customHeight="1" x14ac:dyDescent="0.2">
      <c r="A1397" s="2">
        <v>1405</v>
      </c>
      <c r="B1397" s="2">
        <v>1369</v>
      </c>
      <c r="C1397" s="2">
        <v>166</v>
      </c>
      <c r="D1397" s="2" t="s">
        <v>6</v>
      </c>
      <c r="E1397" s="2">
        <v>12</v>
      </c>
      <c r="G1397" s="2">
        <f t="shared" si="17"/>
        <v>0.16666666666666666</v>
      </c>
      <c r="H1397" s="21">
        <v>0.8</v>
      </c>
      <c r="I1397" s="2">
        <v>1</v>
      </c>
    </row>
    <row r="1398" spans="1:9" ht="15" customHeight="1" x14ac:dyDescent="0.2">
      <c r="C1398" s="2"/>
    </row>
    <row r="1399" spans="1:9" ht="15" customHeight="1" x14ac:dyDescent="0.2">
      <c r="C1399" s="2"/>
    </row>
    <row r="1400" spans="1:9" ht="15" customHeight="1" x14ac:dyDescent="0.2">
      <c r="C1400" s="2"/>
    </row>
  </sheetData>
  <autoFilter ref="A1:J1397" xr:uid="{00000000-0001-0000-1000-000000000000}">
    <filterColumn colId="2">
      <filters>
        <filter val="152"/>
      </filters>
    </filterColumn>
  </autoFilter>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tabColor rgb="FF548135"/>
  </sheetPr>
  <dimension ref="A1:Z1374"/>
  <sheetViews>
    <sheetView zoomScale="150" workbookViewId="0">
      <pane xSplit="3" ySplit="1" topLeftCell="D870" activePane="bottomRight" state="frozen"/>
      <selection pane="topRight" activeCell="D1" sqref="D1"/>
      <selection pane="bottomLeft" activeCell="A2" sqref="A2"/>
      <selection pane="bottomRight" activeCell="B1375" sqref="B1375"/>
    </sheetView>
  </sheetViews>
  <sheetFormatPr baseColWidth="10" defaultColWidth="14.5" defaultRowHeight="15" customHeight="1" x14ac:dyDescent="0.2"/>
  <cols>
    <col min="1" max="1" width="5.33203125" customWidth="1"/>
    <col min="2" max="2" width="10.5" customWidth="1"/>
    <col min="3" max="3" width="9.83203125" customWidth="1"/>
    <col min="4" max="4" width="16.5" customWidth="1"/>
    <col min="5" max="5" width="11.5" customWidth="1"/>
    <col min="6" max="6" width="51.83203125" customWidth="1"/>
    <col min="7" max="7" width="12.6640625" customWidth="1"/>
    <col min="8" max="8" width="9.1640625" customWidth="1"/>
    <col min="9" max="10" width="13.83203125" customWidth="1"/>
    <col min="11" max="11" width="7.33203125" customWidth="1"/>
    <col min="12" max="12" width="17.6640625" customWidth="1"/>
    <col min="13" max="13" width="11.1640625" customWidth="1"/>
    <col min="14" max="14" width="51.83203125" customWidth="1"/>
    <col min="15" max="26" width="8.83203125" customWidth="1"/>
  </cols>
  <sheetData>
    <row r="1" spans="1:26" x14ac:dyDescent="0.2">
      <c r="A1" s="1" t="s">
        <v>56</v>
      </c>
      <c r="B1" s="1" t="s">
        <v>740</v>
      </c>
      <c r="C1" s="1" t="s">
        <v>1</v>
      </c>
      <c r="D1" s="1" t="s">
        <v>1908</v>
      </c>
      <c r="E1" s="22" t="s">
        <v>1909</v>
      </c>
      <c r="F1" s="1" t="s">
        <v>741</v>
      </c>
      <c r="G1" s="1" t="s">
        <v>1910</v>
      </c>
      <c r="H1" s="23" t="s">
        <v>1911</v>
      </c>
      <c r="I1" s="23" t="s">
        <v>1912</v>
      </c>
      <c r="J1" s="23" t="s">
        <v>1913</v>
      </c>
      <c r="K1" s="1" t="s">
        <v>2</v>
      </c>
      <c r="L1" s="1" t="s">
        <v>1914</v>
      </c>
      <c r="M1" s="1" t="s">
        <v>413</v>
      </c>
      <c r="N1" s="1" t="s">
        <v>252</v>
      </c>
      <c r="O1" s="1"/>
      <c r="P1" s="1"/>
      <c r="Q1" s="1"/>
      <c r="R1" s="1"/>
      <c r="S1" s="1"/>
      <c r="T1" s="1"/>
      <c r="U1" s="1"/>
      <c r="V1" s="1"/>
      <c r="W1" s="1"/>
      <c r="X1" s="1"/>
      <c r="Y1" s="1"/>
      <c r="Z1" s="1"/>
    </row>
    <row r="2" spans="1:26" hidden="1" x14ac:dyDescent="0.2">
      <c r="A2" s="2">
        <v>1</v>
      </c>
      <c r="B2" s="2">
        <v>1</v>
      </c>
      <c r="C2" s="2">
        <v>2</v>
      </c>
      <c r="D2" s="2" t="s">
        <v>472</v>
      </c>
      <c r="E2" s="2" t="str">
        <f>UPPER(LEFT(G2,2)) &amp; RIGHT("00" &amp; C2, 3) &amp; D2 &amp; RIGHT("0" &amp; H2, 2) &amp; K2</f>
        <v>12002RR03PT</v>
      </c>
      <c r="F2" s="2">
        <f>VLOOKUP(B2,Course!$A$2:$R$329,2,FALSE)</f>
        <v>0</v>
      </c>
      <c r="G2" s="2">
        <f>VLOOKUP(B2, Course!$A$2:$L$950, 8, FALSE)</f>
        <v>12</v>
      </c>
      <c r="H2" s="2">
        <v>3</v>
      </c>
      <c r="I2" s="2">
        <v>1</v>
      </c>
      <c r="K2" s="2" t="s">
        <v>1915</v>
      </c>
      <c r="L2" s="2" t="str">
        <f>VLOOKUP(B2, Course!$A$1:$O$933, 14, FALSE)</f>
        <v>RR</v>
      </c>
      <c r="M2" s="2">
        <v>1</v>
      </c>
    </row>
    <row r="3" spans="1:26" hidden="1" x14ac:dyDescent="0.2">
      <c r="A3" s="2">
        <v>2</v>
      </c>
      <c r="B3" s="2">
        <v>1</v>
      </c>
      <c r="C3" s="2">
        <v>3</v>
      </c>
      <c r="D3" s="2" t="s">
        <v>472</v>
      </c>
      <c r="E3" s="2" t="str">
        <f t="shared" ref="E3:E257" si="0">UPPER(LEFT(G3,2)) &amp; RIGHT("0" &amp; C3, 2) &amp; D3 &amp; RIGHT("0" &amp; H3, 2) &amp; K3</f>
        <v>1203RR03PT</v>
      </c>
      <c r="F3" s="2">
        <f>VLOOKUP(B3,Course!$A$2:$R$329,2,FALSE)</f>
        <v>0</v>
      </c>
      <c r="G3" s="2">
        <f>VLOOKUP(B3, Course!$A$2:$L$950, 8, FALSE)</f>
        <v>12</v>
      </c>
      <c r="H3" s="2">
        <v>3</v>
      </c>
      <c r="I3" s="2">
        <v>1</v>
      </c>
      <c r="K3" s="2" t="s">
        <v>1915</v>
      </c>
      <c r="L3" s="2" t="str">
        <f>VLOOKUP(B3, Course!$A$1:$O$933, 14, FALSE)</f>
        <v>RR</v>
      </c>
      <c r="M3" s="2">
        <v>1</v>
      </c>
    </row>
    <row r="4" spans="1:26" hidden="1" x14ac:dyDescent="0.2">
      <c r="A4" s="2">
        <v>3</v>
      </c>
      <c r="B4" s="2">
        <v>1</v>
      </c>
      <c r="C4" s="2">
        <v>4</v>
      </c>
      <c r="D4" s="2" t="s">
        <v>472</v>
      </c>
      <c r="E4" s="2" t="str">
        <f t="shared" si="0"/>
        <v>1204RR03PT</v>
      </c>
      <c r="F4" s="2">
        <f>VLOOKUP(B4,Course!$A$2:$R$329,2,FALSE)</f>
        <v>0</v>
      </c>
      <c r="G4" s="2">
        <f>VLOOKUP(B4, Course!$A$2:$L$950, 8, FALSE)</f>
        <v>12</v>
      </c>
      <c r="H4" s="2">
        <v>3</v>
      </c>
      <c r="I4" s="2">
        <v>1</v>
      </c>
      <c r="K4" s="2" t="s">
        <v>1915</v>
      </c>
      <c r="L4" s="2" t="str">
        <f>VLOOKUP(B4, Course!$A$1:$O$933, 14, FALSE)</f>
        <v>RR</v>
      </c>
      <c r="M4" s="2">
        <v>1</v>
      </c>
    </row>
    <row r="5" spans="1:26" hidden="1" x14ac:dyDescent="0.2">
      <c r="A5" s="2">
        <v>4</v>
      </c>
      <c r="B5" s="2">
        <v>1</v>
      </c>
      <c r="C5" s="2">
        <v>5</v>
      </c>
      <c r="D5" s="2" t="s">
        <v>472</v>
      </c>
      <c r="E5" s="2" t="str">
        <f t="shared" si="0"/>
        <v>1205RR03PT</v>
      </c>
      <c r="F5" s="2">
        <f>VLOOKUP(B5,Course!$A$2:$R$329,2,FALSE)</f>
        <v>0</v>
      </c>
      <c r="G5" s="2">
        <f>VLOOKUP(B5, Course!$A$2:$L$950, 8, FALSE)</f>
        <v>12</v>
      </c>
      <c r="H5" s="2">
        <v>3</v>
      </c>
      <c r="I5" s="2">
        <v>1</v>
      </c>
      <c r="K5" s="2" t="s">
        <v>1915</v>
      </c>
      <c r="L5" s="2" t="str">
        <f>VLOOKUP(B5, Course!$A$1:$O$933, 14, FALSE)</f>
        <v>RR</v>
      </c>
      <c r="M5" s="2">
        <v>1</v>
      </c>
    </row>
    <row r="6" spans="1:26" hidden="1" x14ac:dyDescent="0.2">
      <c r="A6" s="2">
        <v>5</v>
      </c>
      <c r="B6" s="2">
        <v>1</v>
      </c>
      <c r="C6" s="2">
        <v>6</v>
      </c>
      <c r="D6" s="2" t="s">
        <v>472</v>
      </c>
      <c r="E6" s="2" t="str">
        <f t="shared" si="0"/>
        <v>1206RR03PT</v>
      </c>
      <c r="F6" s="2">
        <f>VLOOKUP(B6,Course!$A$2:$R$329,2,FALSE)</f>
        <v>0</v>
      </c>
      <c r="G6" s="2">
        <f>VLOOKUP(B6, Course!$A$2:$L$950, 8, FALSE)</f>
        <v>12</v>
      </c>
      <c r="H6" s="2">
        <v>3</v>
      </c>
      <c r="I6" s="2">
        <v>1</v>
      </c>
      <c r="K6" s="2" t="s">
        <v>1915</v>
      </c>
      <c r="L6" s="2" t="str">
        <f>VLOOKUP(B6, Course!$A$1:$O$933, 14, FALSE)</f>
        <v>RR</v>
      </c>
      <c r="M6" s="2">
        <v>1</v>
      </c>
    </row>
    <row r="7" spans="1:26" hidden="1" x14ac:dyDescent="0.2">
      <c r="A7" s="2">
        <v>6</v>
      </c>
      <c r="B7" s="2">
        <v>1</v>
      </c>
      <c r="C7" s="2">
        <v>7</v>
      </c>
      <c r="D7" s="2" t="s">
        <v>472</v>
      </c>
      <c r="E7" s="2" t="str">
        <f t="shared" si="0"/>
        <v>1207RR03PT</v>
      </c>
      <c r="F7" s="2">
        <f>VLOOKUP(B7,Course!$A$2:$R$329,2,FALSE)</f>
        <v>0</v>
      </c>
      <c r="G7" s="2">
        <f>VLOOKUP(B7, Course!$A$2:$L$950, 8, FALSE)</f>
        <v>12</v>
      </c>
      <c r="H7" s="2">
        <v>3</v>
      </c>
      <c r="I7" s="2">
        <v>1</v>
      </c>
      <c r="K7" s="2" t="s">
        <v>1915</v>
      </c>
      <c r="L7" s="2" t="str">
        <f>VLOOKUP(B7, Course!$A$1:$O$933, 14, FALSE)</f>
        <v>RR</v>
      </c>
      <c r="M7" s="2">
        <v>1</v>
      </c>
    </row>
    <row r="8" spans="1:26" hidden="1" x14ac:dyDescent="0.2">
      <c r="A8" s="2">
        <v>7</v>
      </c>
      <c r="B8" s="2">
        <v>1</v>
      </c>
      <c r="C8" s="2">
        <v>8</v>
      </c>
      <c r="D8" s="2" t="s">
        <v>472</v>
      </c>
      <c r="E8" s="2" t="str">
        <f t="shared" si="0"/>
        <v>1208RR03PT</v>
      </c>
      <c r="F8" s="2">
        <f>VLOOKUP(B8,Course!$A$2:$R$329,2,FALSE)</f>
        <v>0</v>
      </c>
      <c r="G8" s="2">
        <f>VLOOKUP(B8, Course!$A$2:$L$950, 8, FALSE)</f>
        <v>12</v>
      </c>
      <c r="H8" s="2">
        <v>3</v>
      </c>
      <c r="I8" s="2">
        <v>1</v>
      </c>
      <c r="K8" s="2" t="s">
        <v>1915</v>
      </c>
      <c r="L8" s="2" t="str">
        <f>VLOOKUP(B8, Course!$A$1:$O$933, 14, FALSE)</f>
        <v>RR</v>
      </c>
      <c r="M8" s="2">
        <v>1</v>
      </c>
    </row>
    <row r="9" spans="1:26" hidden="1" x14ac:dyDescent="0.2">
      <c r="A9" s="2">
        <v>8</v>
      </c>
      <c r="B9" s="2">
        <v>1</v>
      </c>
      <c r="C9" s="2">
        <v>9</v>
      </c>
      <c r="D9" s="2" t="s">
        <v>472</v>
      </c>
      <c r="E9" s="2" t="str">
        <f t="shared" si="0"/>
        <v>1209RR03PT</v>
      </c>
      <c r="F9" s="2">
        <f>VLOOKUP(B9,Course!$A$2:$R$329,2,FALSE)</f>
        <v>0</v>
      </c>
      <c r="G9" s="2">
        <f>VLOOKUP(B9, Course!$A$2:$L$950, 8, FALSE)</f>
        <v>12</v>
      </c>
      <c r="H9" s="2">
        <v>3</v>
      </c>
      <c r="I9" s="2">
        <v>1</v>
      </c>
      <c r="K9" s="2" t="s">
        <v>1915</v>
      </c>
      <c r="L9" s="2" t="str">
        <f>VLOOKUP(B9, Course!$A$1:$O$933, 14, FALSE)</f>
        <v>RR</v>
      </c>
      <c r="M9" s="2">
        <v>1</v>
      </c>
    </row>
    <row r="10" spans="1:26" hidden="1" x14ac:dyDescent="0.2">
      <c r="A10" s="2">
        <v>9</v>
      </c>
      <c r="B10" s="2">
        <v>1</v>
      </c>
      <c r="C10" s="2">
        <v>10</v>
      </c>
      <c r="D10" s="2" t="s">
        <v>472</v>
      </c>
      <c r="E10" s="2" t="str">
        <f t="shared" si="0"/>
        <v>1210RR03PT</v>
      </c>
      <c r="F10" s="2">
        <f>VLOOKUP(B10,Course!$A$2:$R$329,2,FALSE)</f>
        <v>0</v>
      </c>
      <c r="G10" s="2">
        <f>VLOOKUP(B10, Course!$A$2:$L$950, 8, FALSE)</f>
        <v>12</v>
      </c>
      <c r="H10" s="2">
        <v>3</v>
      </c>
      <c r="I10" s="2">
        <v>1</v>
      </c>
      <c r="K10" s="2" t="s">
        <v>1915</v>
      </c>
      <c r="L10" s="2" t="str">
        <f>VLOOKUP(B10, Course!$A$1:$O$933, 14, FALSE)</f>
        <v>RR</v>
      </c>
      <c r="M10" s="2">
        <v>1</v>
      </c>
    </row>
    <row r="11" spans="1:26" hidden="1" x14ac:dyDescent="0.2">
      <c r="A11" s="2">
        <v>10</v>
      </c>
      <c r="B11" s="2">
        <v>1</v>
      </c>
      <c r="C11" s="2">
        <v>11</v>
      </c>
      <c r="D11" s="2" t="s">
        <v>472</v>
      </c>
      <c r="E11" s="2" t="str">
        <f t="shared" si="0"/>
        <v>1211RR03PT</v>
      </c>
      <c r="F11" s="2">
        <f>VLOOKUP(B11,Course!$A$2:$R$329,2,FALSE)</f>
        <v>0</v>
      </c>
      <c r="G11" s="2">
        <f>VLOOKUP(B11, Course!$A$2:$L$950, 8, FALSE)</f>
        <v>12</v>
      </c>
      <c r="H11" s="2">
        <v>3</v>
      </c>
      <c r="I11" s="2">
        <v>3</v>
      </c>
      <c r="K11" s="2" t="s">
        <v>1915</v>
      </c>
      <c r="L11" s="2" t="str">
        <f>VLOOKUP(B11, Course!$A$1:$O$933, 14, FALSE)</f>
        <v>RR</v>
      </c>
      <c r="M11" s="2">
        <v>1</v>
      </c>
    </row>
    <row r="12" spans="1:26" hidden="1" x14ac:dyDescent="0.2">
      <c r="A12" s="2">
        <v>11</v>
      </c>
      <c r="B12" s="2">
        <v>1</v>
      </c>
      <c r="C12" s="2">
        <v>12</v>
      </c>
      <c r="D12" s="2" t="s">
        <v>472</v>
      </c>
      <c r="E12" s="2" t="str">
        <f t="shared" si="0"/>
        <v>1212RR03PT</v>
      </c>
      <c r="F12" s="2">
        <f>VLOOKUP(B12,Course!$A$2:$R$329,2,FALSE)</f>
        <v>0</v>
      </c>
      <c r="G12" s="2">
        <f>VLOOKUP(B12, Course!$A$2:$L$950, 8, FALSE)</f>
        <v>12</v>
      </c>
      <c r="H12" s="2">
        <v>3</v>
      </c>
      <c r="I12" s="2">
        <v>2</v>
      </c>
      <c r="K12" s="2" t="s">
        <v>1915</v>
      </c>
      <c r="L12" s="2" t="str">
        <f>VLOOKUP(B12, Course!$A$1:$O$933, 14, FALSE)</f>
        <v>RR</v>
      </c>
      <c r="M12" s="2">
        <v>1</v>
      </c>
    </row>
    <row r="13" spans="1:26" hidden="1" x14ac:dyDescent="0.2">
      <c r="A13" s="2">
        <v>12</v>
      </c>
      <c r="B13" s="2">
        <v>2</v>
      </c>
      <c r="C13" s="2">
        <v>1</v>
      </c>
      <c r="D13" s="2" t="s">
        <v>369</v>
      </c>
      <c r="E13" s="2" t="str">
        <f t="shared" si="0"/>
        <v>1201MA03PT</v>
      </c>
      <c r="F13" s="2">
        <f>VLOOKUP(B13,Course!$A$2:$R$329,2,FALSE)</f>
        <v>0</v>
      </c>
      <c r="G13" s="2">
        <f>VLOOKUP(B13, Course!$A$2:$L$950, 8, FALSE)</f>
        <v>12</v>
      </c>
      <c r="H13" s="2">
        <v>3</v>
      </c>
      <c r="I13" s="2">
        <v>1</v>
      </c>
      <c r="K13" s="2" t="s">
        <v>1915</v>
      </c>
      <c r="L13" s="2" t="str">
        <f>VLOOKUP(B13, Course!$A$1:$O$933, 14, FALSE)</f>
        <v>MA</v>
      </c>
      <c r="M13" s="2">
        <v>1</v>
      </c>
    </row>
    <row r="14" spans="1:26" hidden="1" x14ac:dyDescent="0.2">
      <c r="A14" s="2">
        <v>13</v>
      </c>
      <c r="B14" s="2">
        <v>2</v>
      </c>
      <c r="C14" s="2">
        <v>2</v>
      </c>
      <c r="D14" s="2" t="s">
        <v>369</v>
      </c>
      <c r="E14" s="2" t="str">
        <f t="shared" si="0"/>
        <v>1202MA03PT</v>
      </c>
      <c r="F14" s="2">
        <f>VLOOKUP(B14,Course!$A$2:$R$329,2,FALSE)</f>
        <v>0</v>
      </c>
      <c r="G14" s="2">
        <f>VLOOKUP(B14, Course!$A$2:$L$950, 8, FALSE)</f>
        <v>12</v>
      </c>
      <c r="H14" s="2">
        <v>3</v>
      </c>
      <c r="I14" s="2">
        <v>2</v>
      </c>
      <c r="K14" s="2" t="s">
        <v>1915</v>
      </c>
      <c r="L14" s="2" t="str">
        <f>VLOOKUP(B14, Course!$A$1:$O$933, 14, FALSE)</f>
        <v>MA</v>
      </c>
      <c r="M14" s="2">
        <v>1</v>
      </c>
    </row>
    <row r="15" spans="1:26" hidden="1" x14ac:dyDescent="0.2">
      <c r="A15" s="2">
        <v>14</v>
      </c>
      <c r="B15" s="2">
        <v>2</v>
      </c>
      <c r="C15" s="2">
        <v>3</v>
      </c>
      <c r="D15" s="2" t="s">
        <v>369</v>
      </c>
      <c r="E15" s="2" t="str">
        <f t="shared" si="0"/>
        <v>1203MA03PT</v>
      </c>
      <c r="F15" s="2">
        <f>VLOOKUP(B15,Course!$A$2:$R$329,2,FALSE)</f>
        <v>0</v>
      </c>
      <c r="G15" s="2">
        <f>VLOOKUP(B15, Course!$A$2:$L$950, 8, FALSE)</f>
        <v>12</v>
      </c>
      <c r="H15" s="2">
        <v>3</v>
      </c>
      <c r="I15" s="2">
        <v>2</v>
      </c>
      <c r="K15" s="2" t="s">
        <v>1915</v>
      </c>
      <c r="L15" s="2" t="str">
        <f>VLOOKUP(B15, Course!$A$1:$O$933, 14, FALSE)</f>
        <v>MA</v>
      </c>
      <c r="M15" s="2">
        <v>1</v>
      </c>
    </row>
    <row r="16" spans="1:26" hidden="1" x14ac:dyDescent="0.2">
      <c r="A16" s="2">
        <v>15</v>
      </c>
      <c r="B16" s="2">
        <v>2</v>
      </c>
      <c r="C16" s="2">
        <v>4</v>
      </c>
      <c r="D16" s="2" t="s">
        <v>369</v>
      </c>
      <c r="E16" s="2" t="str">
        <f t="shared" si="0"/>
        <v>1204MA03PT</v>
      </c>
      <c r="F16" s="2">
        <f>VLOOKUP(B16,Course!$A$2:$R$329,2,FALSE)</f>
        <v>0</v>
      </c>
      <c r="G16" s="2">
        <f>VLOOKUP(B16, Course!$A$2:$L$950, 8, FALSE)</f>
        <v>12</v>
      </c>
      <c r="H16" s="2">
        <v>3</v>
      </c>
      <c r="I16" s="2">
        <v>2</v>
      </c>
      <c r="K16" s="2" t="s">
        <v>1915</v>
      </c>
      <c r="L16" s="2" t="str">
        <f>VLOOKUP(B16, Course!$A$1:$O$933, 14, FALSE)</f>
        <v>MA</v>
      </c>
      <c r="M16" s="2">
        <v>1</v>
      </c>
    </row>
    <row r="17" spans="1:14" hidden="1" x14ac:dyDescent="0.2">
      <c r="A17" s="2">
        <v>16</v>
      </c>
      <c r="B17" s="2">
        <v>2</v>
      </c>
      <c r="C17" s="2">
        <v>5</v>
      </c>
      <c r="D17" s="2" t="s">
        <v>369</v>
      </c>
      <c r="E17" s="2" t="str">
        <f t="shared" si="0"/>
        <v>1205MA03PT</v>
      </c>
      <c r="F17" s="2">
        <f>VLOOKUP(B17,Course!$A$2:$R$329,2,FALSE)</f>
        <v>0</v>
      </c>
      <c r="G17" s="2">
        <f>VLOOKUP(B17, Course!$A$2:$L$950, 8, FALSE)</f>
        <v>12</v>
      </c>
      <c r="H17" s="2">
        <v>3</v>
      </c>
      <c r="I17" s="2">
        <v>2</v>
      </c>
      <c r="K17" s="2" t="s">
        <v>1915</v>
      </c>
      <c r="L17" s="2" t="str">
        <f>VLOOKUP(B17, Course!$A$1:$O$933, 14, FALSE)</f>
        <v>MA</v>
      </c>
      <c r="M17" s="2">
        <v>1</v>
      </c>
    </row>
    <row r="18" spans="1:14" hidden="1" x14ac:dyDescent="0.2">
      <c r="A18" s="2">
        <v>17</v>
      </c>
      <c r="B18" s="2">
        <v>2</v>
      </c>
      <c r="C18" s="2">
        <v>6</v>
      </c>
      <c r="D18" s="2" t="s">
        <v>369</v>
      </c>
      <c r="E18" s="2" t="str">
        <f t="shared" si="0"/>
        <v>1206MA03PT</v>
      </c>
      <c r="F18" s="2">
        <f>VLOOKUP(B18,Course!$A$2:$R$329,2,FALSE)</f>
        <v>0</v>
      </c>
      <c r="G18" s="2">
        <f>VLOOKUP(B18, Course!$A$2:$L$950, 8, FALSE)</f>
        <v>12</v>
      </c>
      <c r="H18" s="2">
        <v>3</v>
      </c>
      <c r="I18" s="2">
        <v>2</v>
      </c>
      <c r="K18" s="2" t="s">
        <v>1915</v>
      </c>
      <c r="L18" s="2" t="str">
        <f>VLOOKUP(B18, Course!$A$1:$O$933, 14, FALSE)</f>
        <v>MA</v>
      </c>
      <c r="M18" s="2">
        <v>1</v>
      </c>
    </row>
    <row r="19" spans="1:14" hidden="1" x14ac:dyDescent="0.2">
      <c r="A19" s="2">
        <v>18</v>
      </c>
      <c r="B19" s="2">
        <v>2</v>
      </c>
      <c r="C19" s="2">
        <v>7</v>
      </c>
      <c r="D19" s="2" t="s">
        <v>369</v>
      </c>
      <c r="E19" s="2" t="str">
        <f t="shared" si="0"/>
        <v>1207MA03PT</v>
      </c>
      <c r="F19" s="2">
        <f>VLOOKUP(B19,Course!$A$2:$R$329,2,FALSE)</f>
        <v>0</v>
      </c>
      <c r="G19" s="2">
        <f>VLOOKUP(B19, Course!$A$2:$L$950, 8, FALSE)</f>
        <v>12</v>
      </c>
      <c r="H19" s="2">
        <v>3</v>
      </c>
      <c r="I19" s="2">
        <v>2</v>
      </c>
      <c r="K19" s="2" t="s">
        <v>1915</v>
      </c>
      <c r="L19" s="2" t="str">
        <f>VLOOKUP(B19, Course!$A$1:$O$933, 14, FALSE)</f>
        <v>MA</v>
      </c>
      <c r="M19" s="2">
        <v>1</v>
      </c>
    </row>
    <row r="20" spans="1:14" hidden="1" x14ac:dyDescent="0.2">
      <c r="A20" s="2">
        <v>19</v>
      </c>
      <c r="B20" s="2">
        <v>2</v>
      </c>
      <c r="C20" s="2">
        <v>8</v>
      </c>
      <c r="D20" s="2" t="s">
        <v>369</v>
      </c>
      <c r="E20" s="2" t="str">
        <f t="shared" si="0"/>
        <v>1208MA03PT</v>
      </c>
      <c r="F20" s="2">
        <f>VLOOKUP(B20,Course!$A$2:$R$329,2,FALSE)</f>
        <v>0</v>
      </c>
      <c r="G20" s="2">
        <f>VLOOKUP(B20, Course!$A$2:$L$950, 8, FALSE)</f>
        <v>12</v>
      </c>
      <c r="H20" s="2">
        <v>3</v>
      </c>
      <c r="I20" s="2">
        <v>2</v>
      </c>
      <c r="K20" s="2" t="s">
        <v>1915</v>
      </c>
      <c r="L20" s="2" t="str">
        <f>VLOOKUP(B20, Course!$A$1:$O$933, 14, FALSE)</f>
        <v>MA</v>
      </c>
      <c r="M20" s="2">
        <v>1</v>
      </c>
    </row>
    <row r="21" spans="1:14" ht="15.75" hidden="1" customHeight="1" x14ac:dyDescent="0.2">
      <c r="A21" s="2">
        <v>20</v>
      </c>
      <c r="B21" s="2">
        <v>2</v>
      </c>
      <c r="C21" s="2">
        <v>9</v>
      </c>
      <c r="D21" s="2" t="s">
        <v>369</v>
      </c>
      <c r="E21" s="2" t="str">
        <f t="shared" si="0"/>
        <v>1209MA03PT</v>
      </c>
      <c r="F21" s="2">
        <f>VLOOKUP(B21,Course!$A$2:$R$329,2,FALSE)</f>
        <v>0</v>
      </c>
      <c r="G21" s="2">
        <f>VLOOKUP(B21, Course!$A$2:$L$950, 8, FALSE)</f>
        <v>12</v>
      </c>
      <c r="H21" s="2">
        <v>3</v>
      </c>
      <c r="I21" s="2">
        <v>2</v>
      </c>
      <c r="K21" s="2" t="s">
        <v>1915</v>
      </c>
      <c r="L21" s="2" t="str">
        <f>VLOOKUP(B21, Course!$A$1:$O$933, 14, FALSE)</f>
        <v>MA</v>
      </c>
      <c r="M21" s="2">
        <v>1</v>
      </c>
    </row>
    <row r="22" spans="1:14" ht="15.75" hidden="1" customHeight="1" x14ac:dyDescent="0.2">
      <c r="A22" s="2">
        <v>21</v>
      </c>
      <c r="B22" s="2">
        <v>2</v>
      </c>
      <c r="C22" s="2">
        <v>10</v>
      </c>
      <c r="D22" s="2" t="s">
        <v>369</v>
      </c>
      <c r="E22" s="2" t="str">
        <f t="shared" si="0"/>
        <v>1210MA03PT</v>
      </c>
      <c r="F22" s="2">
        <f>VLOOKUP(B22,Course!$A$2:$R$329,2,FALSE)</f>
        <v>0</v>
      </c>
      <c r="G22" s="2">
        <f>VLOOKUP(B22, Course!$A$2:$L$950, 8, FALSE)</f>
        <v>12</v>
      </c>
      <c r="H22" s="2">
        <v>3</v>
      </c>
      <c r="I22" s="2">
        <v>2</v>
      </c>
      <c r="K22" s="2" t="s">
        <v>1915</v>
      </c>
      <c r="L22" s="2" t="str">
        <f>VLOOKUP(B22, Course!$A$1:$O$933, 14, FALSE)</f>
        <v>MA</v>
      </c>
      <c r="M22" s="2">
        <v>1</v>
      </c>
    </row>
    <row r="23" spans="1:14" ht="15.75" hidden="1" customHeight="1" x14ac:dyDescent="0.2">
      <c r="A23" s="2">
        <v>22</v>
      </c>
      <c r="B23" s="2">
        <v>2</v>
      </c>
      <c r="C23" s="2">
        <v>11</v>
      </c>
      <c r="D23" s="2" t="s">
        <v>369</v>
      </c>
      <c r="E23" s="2" t="str">
        <f t="shared" si="0"/>
        <v>1211MA03PT</v>
      </c>
      <c r="F23" s="2">
        <f>VLOOKUP(B23,Course!$A$2:$R$329,2,FALSE)</f>
        <v>0</v>
      </c>
      <c r="G23" s="2">
        <f>VLOOKUP(B23, Course!$A$2:$L$950, 8, FALSE)</f>
        <v>12</v>
      </c>
      <c r="H23" s="2">
        <v>3</v>
      </c>
      <c r="I23" s="2">
        <v>2</v>
      </c>
      <c r="K23" s="2" t="s">
        <v>1915</v>
      </c>
      <c r="L23" s="2" t="str">
        <f>VLOOKUP(B23, Course!$A$1:$O$933, 14, FALSE)</f>
        <v>MA</v>
      </c>
      <c r="M23" s="2">
        <v>1</v>
      </c>
    </row>
    <row r="24" spans="1:14" ht="15.75" hidden="1" customHeight="1" x14ac:dyDescent="0.2">
      <c r="A24" s="2">
        <v>23</v>
      </c>
      <c r="B24" s="2">
        <v>2</v>
      </c>
      <c r="C24" s="2">
        <v>12</v>
      </c>
      <c r="D24" s="2" t="s">
        <v>369</v>
      </c>
      <c r="E24" s="2" t="str">
        <f t="shared" si="0"/>
        <v>1212MA03PT</v>
      </c>
      <c r="F24" s="2">
        <f>VLOOKUP(B24,Course!$A$2:$R$329,2,FALSE)</f>
        <v>0</v>
      </c>
      <c r="G24" s="2">
        <f>VLOOKUP(B24, Course!$A$2:$L$950, 8, FALSE)</f>
        <v>12</v>
      </c>
      <c r="H24" s="2">
        <v>3</v>
      </c>
      <c r="I24" s="2">
        <v>2</v>
      </c>
      <c r="K24" s="2" t="s">
        <v>1915</v>
      </c>
      <c r="L24" s="2" t="str">
        <f>VLOOKUP(B24, Course!$A$1:$O$933, 14, FALSE)</f>
        <v>MA</v>
      </c>
      <c r="M24" s="2">
        <v>1</v>
      </c>
      <c r="N24" s="24"/>
    </row>
    <row r="25" spans="1:14" ht="15.75" hidden="1" customHeight="1" x14ac:dyDescent="0.2">
      <c r="A25" s="2">
        <v>24</v>
      </c>
      <c r="B25" s="2">
        <v>3</v>
      </c>
      <c r="C25" s="2">
        <v>1</v>
      </c>
      <c r="D25" s="2" t="s">
        <v>476</v>
      </c>
      <c r="E25" s="2" t="str">
        <f t="shared" si="0"/>
        <v>1201EN03PT</v>
      </c>
      <c r="F25" s="2">
        <f>VLOOKUP(B25,Course!$A$2:$R$329,2,FALSE)</f>
        <v>0</v>
      </c>
      <c r="G25" s="2">
        <f>VLOOKUP(B25, Course!$A$2:$L$950, 8, FALSE)</f>
        <v>12</v>
      </c>
      <c r="H25" s="2">
        <v>3</v>
      </c>
      <c r="I25" s="2">
        <v>3</v>
      </c>
      <c r="K25" s="2" t="s">
        <v>1915</v>
      </c>
      <c r="L25" s="2" t="str">
        <f>VLOOKUP(B25, Course!$A$1:$O$933, 14, FALSE)</f>
        <v>EN</v>
      </c>
      <c r="M25" s="2">
        <v>1</v>
      </c>
    </row>
    <row r="26" spans="1:14" ht="15.75" hidden="1" customHeight="1" x14ac:dyDescent="0.2">
      <c r="A26" s="2">
        <v>25</v>
      </c>
      <c r="B26" s="2">
        <v>3</v>
      </c>
      <c r="C26" s="2">
        <v>2</v>
      </c>
      <c r="D26" s="2" t="s">
        <v>476</v>
      </c>
      <c r="E26" s="2" t="str">
        <f t="shared" si="0"/>
        <v>1202EN03PT</v>
      </c>
      <c r="F26" s="2">
        <f>VLOOKUP(B26,Course!$A$2:$R$329,2,FALSE)</f>
        <v>0</v>
      </c>
      <c r="G26" s="2">
        <f>VLOOKUP(B26, Course!$A$2:$L$950, 8, FALSE)</f>
        <v>12</v>
      </c>
      <c r="H26" s="2">
        <v>3</v>
      </c>
      <c r="I26" s="2">
        <v>2</v>
      </c>
      <c r="K26" s="2" t="s">
        <v>1915</v>
      </c>
      <c r="L26" s="2" t="str">
        <f>VLOOKUP(B26, Course!$A$1:$O$933, 14, FALSE)</f>
        <v>EN</v>
      </c>
      <c r="M26" s="2">
        <v>1</v>
      </c>
    </row>
    <row r="27" spans="1:14" ht="15.75" hidden="1" customHeight="1" x14ac:dyDescent="0.2">
      <c r="A27" s="2">
        <v>26</v>
      </c>
      <c r="B27" s="2">
        <v>3</v>
      </c>
      <c r="C27" s="2">
        <v>3</v>
      </c>
      <c r="D27" s="2" t="s">
        <v>476</v>
      </c>
      <c r="E27" s="2" t="str">
        <f t="shared" si="0"/>
        <v>1203EN03PT</v>
      </c>
      <c r="F27" s="2">
        <f>VLOOKUP(B27,Course!$A$2:$R$329,2,FALSE)</f>
        <v>0</v>
      </c>
      <c r="G27" s="2">
        <f>VLOOKUP(B27, Course!$A$2:$L$950, 8, FALSE)</f>
        <v>12</v>
      </c>
      <c r="H27" s="2">
        <v>3</v>
      </c>
      <c r="I27" s="2">
        <v>2</v>
      </c>
      <c r="K27" s="2" t="s">
        <v>1915</v>
      </c>
      <c r="L27" s="2" t="str">
        <f>VLOOKUP(B27, Course!$A$1:$O$933, 14, FALSE)</f>
        <v>EN</v>
      </c>
      <c r="M27" s="2">
        <v>1</v>
      </c>
    </row>
    <row r="28" spans="1:14" ht="15.75" hidden="1" customHeight="1" x14ac:dyDescent="0.2">
      <c r="A28" s="2">
        <v>27</v>
      </c>
      <c r="B28" s="2">
        <v>3</v>
      </c>
      <c r="C28" s="2">
        <v>4</v>
      </c>
      <c r="D28" s="2" t="s">
        <v>476</v>
      </c>
      <c r="E28" s="2" t="str">
        <f t="shared" si="0"/>
        <v>1204EN03PT</v>
      </c>
      <c r="F28" s="2">
        <f>VLOOKUP(B28,Course!$A$2:$R$329,2,FALSE)</f>
        <v>0</v>
      </c>
      <c r="G28" s="2">
        <f>VLOOKUP(B28, Course!$A$2:$L$950, 8, FALSE)</f>
        <v>12</v>
      </c>
      <c r="H28" s="2">
        <v>3</v>
      </c>
      <c r="I28" s="2">
        <v>2</v>
      </c>
      <c r="K28" s="2" t="s">
        <v>1915</v>
      </c>
      <c r="L28" s="2" t="str">
        <f>VLOOKUP(B28, Course!$A$1:$O$933, 14, FALSE)</f>
        <v>EN</v>
      </c>
      <c r="M28" s="2">
        <v>1</v>
      </c>
    </row>
    <row r="29" spans="1:14" ht="15.75" hidden="1" customHeight="1" x14ac:dyDescent="0.2">
      <c r="A29" s="2">
        <v>28</v>
      </c>
      <c r="B29" s="2">
        <v>3</v>
      </c>
      <c r="C29" s="2">
        <v>5</v>
      </c>
      <c r="D29" s="2" t="s">
        <v>476</v>
      </c>
      <c r="E29" s="2" t="str">
        <f t="shared" si="0"/>
        <v>1205EN03PT</v>
      </c>
      <c r="F29" s="2">
        <f>VLOOKUP(B29,Course!$A$2:$R$329,2,FALSE)</f>
        <v>0</v>
      </c>
      <c r="G29" s="2">
        <f>VLOOKUP(B29, Course!$A$2:$L$950, 8, FALSE)</f>
        <v>12</v>
      </c>
      <c r="H29" s="2">
        <v>3</v>
      </c>
      <c r="I29" s="2">
        <v>2</v>
      </c>
      <c r="K29" s="2" t="s">
        <v>1915</v>
      </c>
      <c r="L29" s="2" t="str">
        <f>VLOOKUP(B29, Course!$A$1:$O$933, 14, FALSE)</f>
        <v>EN</v>
      </c>
      <c r="M29" s="2">
        <v>1</v>
      </c>
    </row>
    <row r="30" spans="1:14" ht="15.75" hidden="1" customHeight="1" x14ac:dyDescent="0.2">
      <c r="A30" s="2">
        <v>29</v>
      </c>
      <c r="B30" s="2">
        <v>3</v>
      </c>
      <c r="C30" s="2">
        <v>6</v>
      </c>
      <c r="D30" s="2" t="s">
        <v>476</v>
      </c>
      <c r="E30" s="2" t="str">
        <f t="shared" si="0"/>
        <v>1206EN03PT</v>
      </c>
      <c r="F30" s="2">
        <f>VLOOKUP(B30,Course!$A$2:$R$329,2,FALSE)</f>
        <v>0</v>
      </c>
      <c r="G30" s="2">
        <f>VLOOKUP(B30, Course!$A$2:$L$950, 8, FALSE)</f>
        <v>12</v>
      </c>
      <c r="H30" s="2">
        <v>3</v>
      </c>
      <c r="I30" s="2">
        <v>2</v>
      </c>
      <c r="K30" s="2" t="s">
        <v>1915</v>
      </c>
      <c r="L30" s="2" t="str">
        <f>VLOOKUP(B30, Course!$A$1:$O$933, 14, FALSE)</f>
        <v>EN</v>
      </c>
      <c r="M30" s="2">
        <v>1</v>
      </c>
    </row>
    <row r="31" spans="1:14" ht="15.75" hidden="1" customHeight="1" x14ac:dyDescent="0.2">
      <c r="A31" s="2">
        <v>30</v>
      </c>
      <c r="B31" s="2">
        <v>3</v>
      </c>
      <c r="C31" s="2">
        <v>7</v>
      </c>
      <c r="D31" s="2" t="s">
        <v>476</v>
      </c>
      <c r="E31" s="2" t="str">
        <f t="shared" si="0"/>
        <v>1207EN03PT</v>
      </c>
      <c r="F31" s="2">
        <f>VLOOKUP(B31,Course!$A$2:$R$329,2,FALSE)</f>
        <v>0</v>
      </c>
      <c r="G31" s="2">
        <f>VLOOKUP(B31, Course!$A$2:$L$950, 8, FALSE)</f>
        <v>12</v>
      </c>
      <c r="H31" s="2">
        <v>3</v>
      </c>
      <c r="I31" s="2">
        <v>2</v>
      </c>
      <c r="K31" s="2" t="s">
        <v>1915</v>
      </c>
      <c r="L31" s="2" t="str">
        <f>VLOOKUP(B31, Course!$A$1:$O$933, 14, FALSE)</f>
        <v>EN</v>
      </c>
      <c r="M31" s="2">
        <v>1</v>
      </c>
    </row>
    <row r="32" spans="1:14" ht="15.75" hidden="1" customHeight="1" x14ac:dyDescent="0.2">
      <c r="A32" s="2">
        <v>31</v>
      </c>
      <c r="B32" s="2">
        <v>3</v>
      </c>
      <c r="C32" s="2">
        <v>8</v>
      </c>
      <c r="D32" s="2" t="s">
        <v>476</v>
      </c>
      <c r="E32" s="2" t="str">
        <f t="shared" si="0"/>
        <v>1208EN03PT</v>
      </c>
      <c r="F32" s="2">
        <f>VLOOKUP(B32,Course!$A$2:$R$329,2,FALSE)</f>
        <v>0</v>
      </c>
      <c r="G32" s="2">
        <f>VLOOKUP(B32, Course!$A$2:$L$950, 8, FALSE)</f>
        <v>12</v>
      </c>
      <c r="H32" s="2">
        <v>3</v>
      </c>
      <c r="I32" s="2">
        <v>2</v>
      </c>
      <c r="K32" s="2" t="s">
        <v>1915</v>
      </c>
      <c r="L32" s="2" t="str">
        <f>VLOOKUP(B32, Course!$A$1:$O$933, 14, FALSE)</f>
        <v>EN</v>
      </c>
      <c r="M32" s="2">
        <v>1</v>
      </c>
    </row>
    <row r="33" spans="1:13" ht="15.75" hidden="1" customHeight="1" x14ac:dyDescent="0.2">
      <c r="A33" s="2">
        <v>32</v>
      </c>
      <c r="B33" s="2">
        <v>3</v>
      </c>
      <c r="C33" s="2">
        <v>9</v>
      </c>
      <c r="D33" s="2" t="s">
        <v>476</v>
      </c>
      <c r="E33" s="2" t="str">
        <f t="shared" si="0"/>
        <v>1209EN03PT</v>
      </c>
      <c r="F33" s="2">
        <f>VLOOKUP(B33,Course!$A$2:$R$329,2,FALSE)</f>
        <v>0</v>
      </c>
      <c r="G33" s="2">
        <f>VLOOKUP(B33, Course!$A$2:$L$950, 8, FALSE)</f>
        <v>12</v>
      </c>
      <c r="H33" s="2">
        <v>3</v>
      </c>
      <c r="I33" s="2">
        <v>2</v>
      </c>
      <c r="K33" s="2" t="s">
        <v>1915</v>
      </c>
      <c r="L33" s="2" t="str">
        <f>VLOOKUP(B33, Course!$A$1:$O$933, 14, FALSE)</f>
        <v>EN</v>
      </c>
      <c r="M33" s="2">
        <v>1</v>
      </c>
    </row>
    <row r="34" spans="1:13" ht="15.75" hidden="1" customHeight="1" x14ac:dyDescent="0.2">
      <c r="A34" s="2">
        <v>33</v>
      </c>
      <c r="B34" s="2">
        <v>3</v>
      </c>
      <c r="C34" s="2">
        <v>10</v>
      </c>
      <c r="D34" s="2" t="s">
        <v>476</v>
      </c>
      <c r="E34" s="2" t="str">
        <f t="shared" si="0"/>
        <v>1210EN03PT</v>
      </c>
      <c r="F34" s="2">
        <f>VLOOKUP(B34,Course!$A$2:$R$329,2,FALSE)</f>
        <v>0</v>
      </c>
      <c r="G34" s="2">
        <f>VLOOKUP(B34, Course!$A$2:$L$950, 8, FALSE)</f>
        <v>12</v>
      </c>
      <c r="H34" s="2">
        <v>3</v>
      </c>
      <c r="I34" s="2">
        <v>2</v>
      </c>
      <c r="K34" s="2" t="s">
        <v>1915</v>
      </c>
      <c r="L34" s="2" t="str">
        <f>VLOOKUP(B34, Course!$A$1:$O$933, 14, FALSE)</f>
        <v>EN</v>
      </c>
      <c r="M34" s="2">
        <v>1</v>
      </c>
    </row>
    <row r="35" spans="1:13" ht="15.75" hidden="1" customHeight="1" x14ac:dyDescent="0.2">
      <c r="A35" s="2">
        <v>34</v>
      </c>
      <c r="B35" s="2">
        <v>3</v>
      </c>
      <c r="C35" s="2">
        <v>11</v>
      </c>
      <c r="D35" s="2" t="s">
        <v>476</v>
      </c>
      <c r="E35" s="2" t="str">
        <f t="shared" si="0"/>
        <v>1211EN03PT</v>
      </c>
      <c r="F35" s="2">
        <f>VLOOKUP(B35,Course!$A$2:$R$329,2,FALSE)</f>
        <v>0</v>
      </c>
      <c r="G35" s="2">
        <f>VLOOKUP(B35, Course!$A$2:$L$950, 8, FALSE)</f>
        <v>12</v>
      </c>
      <c r="H35" s="2">
        <v>3</v>
      </c>
      <c r="I35" s="2">
        <v>2</v>
      </c>
      <c r="K35" s="2" t="s">
        <v>1915</v>
      </c>
      <c r="L35" s="2" t="str">
        <f>VLOOKUP(B35, Course!$A$1:$O$933, 14, FALSE)</f>
        <v>EN</v>
      </c>
      <c r="M35" s="2">
        <v>1</v>
      </c>
    </row>
    <row r="36" spans="1:13" ht="15.75" hidden="1" customHeight="1" x14ac:dyDescent="0.2">
      <c r="A36" s="2">
        <v>35</v>
      </c>
      <c r="B36" s="2">
        <v>3</v>
      </c>
      <c r="C36" s="2">
        <v>12</v>
      </c>
      <c r="D36" s="2" t="s">
        <v>476</v>
      </c>
      <c r="E36" s="2" t="str">
        <f t="shared" si="0"/>
        <v>1212EN03PT</v>
      </c>
      <c r="F36" s="2">
        <f>VLOOKUP(B36,Course!$A$2:$R$329,2,FALSE)</f>
        <v>0</v>
      </c>
      <c r="G36" s="2">
        <f>VLOOKUP(B36, Course!$A$2:$L$950, 8, FALSE)</f>
        <v>12</v>
      </c>
      <c r="H36" s="2">
        <v>3</v>
      </c>
      <c r="I36" s="2">
        <v>2</v>
      </c>
      <c r="K36" s="2" t="s">
        <v>1915</v>
      </c>
      <c r="L36" s="2" t="str">
        <f>VLOOKUP(B36, Course!$A$1:$O$933, 14, FALSE)</f>
        <v>EN</v>
      </c>
      <c r="M36" s="2">
        <v>1</v>
      </c>
    </row>
    <row r="37" spans="1:13" ht="15.75" hidden="1" customHeight="1" x14ac:dyDescent="0.2">
      <c r="A37" s="2">
        <v>36</v>
      </c>
      <c r="B37" s="2">
        <v>4</v>
      </c>
      <c r="C37" s="2">
        <v>1</v>
      </c>
      <c r="D37" s="2" t="s">
        <v>373</v>
      </c>
      <c r="E37" s="2" t="str">
        <f t="shared" si="0"/>
        <v>1201WB03PT</v>
      </c>
      <c r="F37" s="2">
        <f>VLOOKUP(B37,Course!$A$2:$R$329,2,FALSE)</f>
        <v>0</v>
      </c>
      <c r="G37" s="2">
        <f>VLOOKUP(B37, Course!$A$2:$L$950, 8, FALSE)</f>
        <v>12</v>
      </c>
      <c r="H37" s="2">
        <v>3</v>
      </c>
      <c r="I37" s="2">
        <v>3</v>
      </c>
      <c r="K37" s="2" t="s">
        <v>1915</v>
      </c>
      <c r="L37" s="2" t="str">
        <f>VLOOKUP(B37, Course!$A$1:$O$933, 14, FALSE)</f>
        <v>WB</v>
      </c>
      <c r="M37" s="2">
        <v>1</v>
      </c>
    </row>
    <row r="38" spans="1:13" ht="15.75" hidden="1" customHeight="1" x14ac:dyDescent="0.2">
      <c r="A38" s="2">
        <v>37</v>
      </c>
      <c r="B38" s="2">
        <v>4</v>
      </c>
      <c r="C38" s="2">
        <v>2</v>
      </c>
      <c r="D38" s="2" t="s">
        <v>373</v>
      </c>
      <c r="E38" s="2" t="str">
        <f t="shared" si="0"/>
        <v>1202WB03PT</v>
      </c>
      <c r="F38" s="2">
        <f>VLOOKUP(B38,Course!$A$2:$R$329,2,FALSE)</f>
        <v>0</v>
      </c>
      <c r="G38" s="2">
        <f>VLOOKUP(B38, Course!$A$2:$L$950, 8, FALSE)</f>
        <v>12</v>
      </c>
      <c r="H38" s="2">
        <v>3</v>
      </c>
      <c r="I38" s="2">
        <v>2</v>
      </c>
      <c r="K38" s="2" t="s">
        <v>1915</v>
      </c>
      <c r="L38" s="2" t="str">
        <f>VLOOKUP(B38, Course!$A$1:$O$933, 14, FALSE)</f>
        <v>WB</v>
      </c>
      <c r="M38" s="2">
        <v>1</v>
      </c>
    </row>
    <row r="39" spans="1:13" ht="15.75" hidden="1" customHeight="1" x14ac:dyDescent="0.2">
      <c r="A39" s="2">
        <v>38</v>
      </c>
      <c r="B39" s="2">
        <v>4</v>
      </c>
      <c r="C39" s="2">
        <v>3</v>
      </c>
      <c r="D39" s="2" t="s">
        <v>373</v>
      </c>
      <c r="E39" s="2" t="str">
        <f t="shared" si="0"/>
        <v>1203WB03PT</v>
      </c>
      <c r="F39" s="2">
        <f>VLOOKUP(B39,Course!$A$2:$R$329,2,FALSE)</f>
        <v>0</v>
      </c>
      <c r="G39" s="2">
        <f>VLOOKUP(B39, Course!$A$2:$L$950, 8, FALSE)</f>
        <v>12</v>
      </c>
      <c r="H39" s="2">
        <v>3</v>
      </c>
      <c r="I39" s="2">
        <v>2</v>
      </c>
      <c r="K39" s="2" t="s">
        <v>1915</v>
      </c>
      <c r="L39" s="2" t="str">
        <f>VLOOKUP(B39, Course!$A$1:$O$933, 14, FALSE)</f>
        <v>WB</v>
      </c>
      <c r="M39" s="2">
        <v>1</v>
      </c>
    </row>
    <row r="40" spans="1:13" ht="15.75" hidden="1" customHeight="1" x14ac:dyDescent="0.2">
      <c r="A40" s="2">
        <v>39</v>
      </c>
      <c r="B40" s="2">
        <v>4</v>
      </c>
      <c r="C40" s="2">
        <v>4</v>
      </c>
      <c r="D40" s="2" t="s">
        <v>373</v>
      </c>
      <c r="E40" s="2" t="str">
        <f t="shared" si="0"/>
        <v>1204WB03PT</v>
      </c>
      <c r="F40" s="2">
        <f>VLOOKUP(B40,Course!$A$2:$R$329,2,FALSE)</f>
        <v>0</v>
      </c>
      <c r="G40" s="2">
        <f>VLOOKUP(B40, Course!$A$2:$L$950, 8, FALSE)</f>
        <v>12</v>
      </c>
      <c r="H40" s="2">
        <v>3</v>
      </c>
      <c r="I40" s="2">
        <v>2</v>
      </c>
      <c r="K40" s="2" t="s">
        <v>1915</v>
      </c>
      <c r="L40" s="2" t="str">
        <f>VLOOKUP(B40, Course!$A$1:$O$933, 14, FALSE)</f>
        <v>WB</v>
      </c>
      <c r="M40" s="2">
        <v>1</v>
      </c>
    </row>
    <row r="41" spans="1:13" ht="15.75" hidden="1" customHeight="1" x14ac:dyDescent="0.2">
      <c r="A41" s="2">
        <v>40</v>
      </c>
      <c r="B41" s="2">
        <v>4</v>
      </c>
      <c r="C41" s="2">
        <v>5</v>
      </c>
      <c r="D41" s="2" t="s">
        <v>373</v>
      </c>
      <c r="E41" s="2" t="str">
        <f t="shared" si="0"/>
        <v>1205WB03PT</v>
      </c>
      <c r="F41" s="2">
        <f>VLOOKUP(B41,Course!$A$2:$R$329,2,FALSE)</f>
        <v>0</v>
      </c>
      <c r="G41" s="2">
        <f>VLOOKUP(B41, Course!$A$2:$L$950, 8, FALSE)</f>
        <v>12</v>
      </c>
      <c r="H41" s="2">
        <v>3</v>
      </c>
      <c r="I41" s="2">
        <v>2</v>
      </c>
      <c r="K41" s="2" t="s">
        <v>1915</v>
      </c>
      <c r="L41" s="2" t="str">
        <f>VLOOKUP(B41, Course!$A$1:$O$933, 14, FALSE)</f>
        <v>WB</v>
      </c>
      <c r="M41" s="2">
        <v>1</v>
      </c>
    </row>
    <row r="42" spans="1:13" ht="15.75" hidden="1" customHeight="1" x14ac:dyDescent="0.2">
      <c r="A42" s="2">
        <v>41</v>
      </c>
      <c r="B42" s="2">
        <v>4</v>
      </c>
      <c r="C42" s="2">
        <v>6</v>
      </c>
      <c r="D42" s="2" t="s">
        <v>373</v>
      </c>
      <c r="E42" s="2" t="str">
        <f t="shared" si="0"/>
        <v>1206WB03PT</v>
      </c>
      <c r="F42" s="2">
        <f>VLOOKUP(B42,Course!$A$2:$R$329,2,FALSE)</f>
        <v>0</v>
      </c>
      <c r="G42" s="2">
        <f>VLOOKUP(B42, Course!$A$2:$L$950, 8, FALSE)</f>
        <v>12</v>
      </c>
      <c r="H42" s="2">
        <v>3</v>
      </c>
      <c r="I42" s="2">
        <v>2</v>
      </c>
      <c r="K42" s="2" t="s">
        <v>1915</v>
      </c>
      <c r="L42" s="2" t="str">
        <f>VLOOKUP(B42, Course!$A$1:$O$933, 14, FALSE)</f>
        <v>WB</v>
      </c>
      <c r="M42" s="2">
        <v>1</v>
      </c>
    </row>
    <row r="43" spans="1:13" ht="15.75" hidden="1" customHeight="1" x14ac:dyDescent="0.2">
      <c r="A43" s="2">
        <v>42</v>
      </c>
      <c r="B43" s="2">
        <v>4</v>
      </c>
      <c r="C43" s="2">
        <v>7</v>
      </c>
      <c r="D43" s="2" t="s">
        <v>373</v>
      </c>
      <c r="E43" s="2" t="str">
        <f t="shared" si="0"/>
        <v>1207WB03PT</v>
      </c>
      <c r="F43" s="2">
        <f>VLOOKUP(B43,Course!$A$2:$R$329,2,FALSE)</f>
        <v>0</v>
      </c>
      <c r="G43" s="2">
        <f>VLOOKUP(B43, Course!$A$2:$L$950, 8, FALSE)</f>
        <v>12</v>
      </c>
      <c r="H43" s="2">
        <v>3</v>
      </c>
      <c r="I43" s="2">
        <v>2</v>
      </c>
      <c r="K43" s="2" t="s">
        <v>1915</v>
      </c>
      <c r="L43" s="2" t="str">
        <f>VLOOKUP(B43, Course!$A$1:$O$933, 14, FALSE)</f>
        <v>WB</v>
      </c>
      <c r="M43" s="2">
        <v>1</v>
      </c>
    </row>
    <row r="44" spans="1:13" ht="15.75" hidden="1" customHeight="1" x14ac:dyDescent="0.2">
      <c r="A44" s="2">
        <v>43</v>
      </c>
      <c r="B44" s="2">
        <v>4</v>
      </c>
      <c r="C44" s="2">
        <v>8</v>
      </c>
      <c r="D44" s="2" t="s">
        <v>373</v>
      </c>
      <c r="E44" s="2" t="str">
        <f t="shared" si="0"/>
        <v>1208WB03PT</v>
      </c>
      <c r="F44" s="2">
        <f>VLOOKUP(B44,Course!$A$2:$R$329,2,FALSE)</f>
        <v>0</v>
      </c>
      <c r="G44" s="2">
        <f>VLOOKUP(B44, Course!$A$2:$L$950, 8, FALSE)</f>
        <v>12</v>
      </c>
      <c r="H44" s="2">
        <v>3</v>
      </c>
      <c r="I44" s="2">
        <v>2</v>
      </c>
      <c r="K44" s="2" t="s">
        <v>1915</v>
      </c>
      <c r="L44" s="2" t="str">
        <f>VLOOKUP(B44, Course!$A$1:$O$933, 14, FALSE)</f>
        <v>WB</v>
      </c>
      <c r="M44" s="2">
        <v>1</v>
      </c>
    </row>
    <row r="45" spans="1:13" ht="15.75" hidden="1" customHeight="1" x14ac:dyDescent="0.2">
      <c r="A45" s="2">
        <v>44</v>
      </c>
      <c r="B45" s="2">
        <v>4</v>
      </c>
      <c r="C45" s="2">
        <v>9</v>
      </c>
      <c r="D45" s="2" t="s">
        <v>373</v>
      </c>
      <c r="E45" s="2" t="str">
        <f t="shared" si="0"/>
        <v>1209WB03PT</v>
      </c>
      <c r="F45" s="2">
        <f>VLOOKUP(B45,Course!$A$2:$R$329,2,FALSE)</f>
        <v>0</v>
      </c>
      <c r="G45" s="2">
        <f>VLOOKUP(B45, Course!$A$2:$L$950, 8, FALSE)</f>
        <v>12</v>
      </c>
      <c r="H45" s="2">
        <v>3</v>
      </c>
      <c r="I45" s="2">
        <v>2</v>
      </c>
      <c r="K45" s="2" t="s">
        <v>1915</v>
      </c>
      <c r="L45" s="2" t="str">
        <f>VLOOKUP(B45, Course!$A$1:$O$933, 14, FALSE)</f>
        <v>WB</v>
      </c>
      <c r="M45" s="2">
        <v>1</v>
      </c>
    </row>
    <row r="46" spans="1:13" ht="15.75" hidden="1" customHeight="1" x14ac:dyDescent="0.2">
      <c r="A46" s="2">
        <v>45</v>
      </c>
      <c r="B46" s="2">
        <v>4</v>
      </c>
      <c r="C46" s="2">
        <v>10</v>
      </c>
      <c r="D46" s="2" t="s">
        <v>373</v>
      </c>
      <c r="E46" s="2" t="str">
        <f t="shared" si="0"/>
        <v>1210WB03PT</v>
      </c>
      <c r="F46" s="2">
        <f>VLOOKUP(B46,Course!$A$2:$R$329,2,FALSE)</f>
        <v>0</v>
      </c>
      <c r="G46" s="2">
        <f>VLOOKUP(B46, Course!$A$2:$L$950, 8, FALSE)</f>
        <v>12</v>
      </c>
      <c r="H46" s="2">
        <v>3</v>
      </c>
      <c r="I46" s="2">
        <v>2</v>
      </c>
      <c r="K46" s="2" t="s">
        <v>1915</v>
      </c>
      <c r="L46" s="2" t="str">
        <f>VLOOKUP(B46, Course!$A$1:$O$933, 14, FALSE)</f>
        <v>WB</v>
      </c>
      <c r="M46" s="2">
        <v>1</v>
      </c>
    </row>
    <row r="47" spans="1:13" ht="15.75" hidden="1" customHeight="1" x14ac:dyDescent="0.2">
      <c r="A47" s="2">
        <v>46</v>
      </c>
      <c r="B47" s="2">
        <v>4</v>
      </c>
      <c r="C47" s="2">
        <v>11</v>
      </c>
      <c r="D47" s="2" t="s">
        <v>373</v>
      </c>
      <c r="E47" s="2" t="str">
        <f t="shared" si="0"/>
        <v>1211WB03PT</v>
      </c>
      <c r="F47" s="2">
        <f>VLOOKUP(B47,Course!$A$2:$R$329,2,FALSE)</f>
        <v>0</v>
      </c>
      <c r="G47" s="2">
        <f>VLOOKUP(B47, Course!$A$2:$L$950, 8, FALSE)</f>
        <v>12</v>
      </c>
      <c r="H47" s="2">
        <v>3</v>
      </c>
      <c r="I47" s="2">
        <v>2</v>
      </c>
      <c r="K47" s="2" t="s">
        <v>1915</v>
      </c>
      <c r="L47" s="2" t="str">
        <f>VLOOKUP(B47, Course!$A$1:$O$933, 14, FALSE)</f>
        <v>WB</v>
      </c>
      <c r="M47" s="2">
        <v>1</v>
      </c>
    </row>
    <row r="48" spans="1:13" ht="15.75" hidden="1" customHeight="1" x14ac:dyDescent="0.2">
      <c r="A48" s="2">
        <v>47</v>
      </c>
      <c r="B48" s="2">
        <v>4</v>
      </c>
      <c r="C48" s="2">
        <v>12</v>
      </c>
      <c r="D48" s="2" t="s">
        <v>373</v>
      </c>
      <c r="E48" s="2" t="str">
        <f t="shared" si="0"/>
        <v>1212WB03PT</v>
      </c>
      <c r="F48" s="2">
        <f>VLOOKUP(B48,Course!$A$2:$R$329,2,FALSE)</f>
        <v>0</v>
      </c>
      <c r="G48" s="2">
        <f>VLOOKUP(B48, Course!$A$2:$L$950, 8, FALSE)</f>
        <v>12</v>
      </c>
      <c r="H48" s="2">
        <v>3</v>
      </c>
      <c r="I48" s="2">
        <v>2</v>
      </c>
      <c r="K48" s="2" t="s">
        <v>1915</v>
      </c>
      <c r="L48" s="2" t="str">
        <f>VLOOKUP(B48, Course!$A$1:$O$933, 14, FALSE)</f>
        <v>WB</v>
      </c>
      <c r="M48" s="2">
        <v>1</v>
      </c>
    </row>
    <row r="49" spans="1:13" ht="15.75" hidden="1" customHeight="1" x14ac:dyDescent="0.2">
      <c r="A49" s="2">
        <v>48</v>
      </c>
      <c r="B49" s="2">
        <v>5</v>
      </c>
      <c r="C49" s="2">
        <v>1</v>
      </c>
      <c r="D49" s="2" t="s">
        <v>479</v>
      </c>
      <c r="E49" s="2" t="str">
        <f t="shared" si="0"/>
        <v>1201LC03PT</v>
      </c>
      <c r="F49" s="2">
        <f>VLOOKUP(B49,Course!$A$2:$R$329,2,FALSE)</f>
        <v>0</v>
      </c>
      <c r="G49" s="2">
        <f>VLOOKUP(B49, Course!$A$2:$L$950, 8, FALSE)</f>
        <v>12</v>
      </c>
      <c r="H49" s="2">
        <v>3</v>
      </c>
      <c r="I49" s="2">
        <v>2</v>
      </c>
      <c r="K49" s="2" t="s">
        <v>1915</v>
      </c>
      <c r="L49" s="2" t="str">
        <f>VLOOKUP(B49, Course!$A$1:$O$933, 14, FALSE)</f>
        <v>LC</v>
      </c>
      <c r="M49" s="2">
        <v>1</v>
      </c>
    </row>
    <row r="50" spans="1:13" ht="15.75" hidden="1" customHeight="1" x14ac:dyDescent="0.2">
      <c r="A50" s="2">
        <v>49</v>
      </c>
      <c r="B50" s="2">
        <v>5</v>
      </c>
      <c r="C50" s="2">
        <v>2</v>
      </c>
      <c r="D50" s="2" t="s">
        <v>479</v>
      </c>
      <c r="E50" s="2" t="str">
        <f t="shared" si="0"/>
        <v>1202LC03PT</v>
      </c>
      <c r="F50" s="2">
        <f>VLOOKUP(B50,Course!$A$2:$R$329,2,FALSE)</f>
        <v>0</v>
      </c>
      <c r="G50" s="2">
        <f>VLOOKUP(B50, Course!$A$2:$L$950, 8, FALSE)</f>
        <v>12</v>
      </c>
      <c r="H50" s="2">
        <v>3</v>
      </c>
      <c r="I50" s="2">
        <v>2</v>
      </c>
      <c r="K50" s="2" t="s">
        <v>1915</v>
      </c>
      <c r="L50" s="2" t="str">
        <f>VLOOKUP(B50, Course!$A$1:$O$933, 14, FALSE)</f>
        <v>LC</v>
      </c>
      <c r="M50" s="2">
        <v>1</v>
      </c>
    </row>
    <row r="51" spans="1:13" ht="15.75" hidden="1" customHeight="1" x14ac:dyDescent="0.2">
      <c r="A51" s="2">
        <v>50</v>
      </c>
      <c r="B51" s="2">
        <v>5</v>
      </c>
      <c r="C51" s="2">
        <v>3</v>
      </c>
      <c r="D51" s="2" t="s">
        <v>479</v>
      </c>
      <c r="E51" s="2" t="str">
        <f t="shared" si="0"/>
        <v>1203LC03PT</v>
      </c>
      <c r="F51" s="2">
        <f>VLOOKUP(B51,Course!$A$2:$R$329,2,FALSE)</f>
        <v>0</v>
      </c>
      <c r="G51" s="2">
        <f>VLOOKUP(B51, Course!$A$2:$L$950, 8, FALSE)</f>
        <v>12</v>
      </c>
      <c r="H51" s="2">
        <v>3</v>
      </c>
      <c r="I51" s="2">
        <v>2</v>
      </c>
      <c r="K51" s="2" t="s">
        <v>1915</v>
      </c>
      <c r="L51" s="2" t="str">
        <f>VLOOKUP(B51, Course!$A$1:$O$933, 14, FALSE)</f>
        <v>LC</v>
      </c>
      <c r="M51" s="2">
        <v>1</v>
      </c>
    </row>
    <row r="52" spans="1:13" ht="15.75" hidden="1" customHeight="1" x14ac:dyDescent="0.2">
      <c r="A52" s="2">
        <v>51</v>
      </c>
      <c r="B52" s="2">
        <v>5</v>
      </c>
      <c r="C52" s="2">
        <v>4</v>
      </c>
      <c r="D52" s="2" t="s">
        <v>479</v>
      </c>
      <c r="E52" s="2" t="str">
        <f t="shared" si="0"/>
        <v>1204LC03PT</v>
      </c>
      <c r="F52" s="2">
        <f>VLOOKUP(B52,Course!$A$2:$R$329,2,FALSE)</f>
        <v>0</v>
      </c>
      <c r="G52" s="2">
        <f>VLOOKUP(B52, Course!$A$2:$L$950, 8, FALSE)</f>
        <v>12</v>
      </c>
      <c r="H52" s="2">
        <v>3</v>
      </c>
      <c r="I52" s="2">
        <v>2</v>
      </c>
      <c r="K52" s="2" t="s">
        <v>1915</v>
      </c>
      <c r="L52" s="2" t="str">
        <f>VLOOKUP(B52, Course!$A$1:$O$933, 14, FALSE)</f>
        <v>LC</v>
      </c>
      <c r="M52" s="2">
        <v>1</v>
      </c>
    </row>
    <row r="53" spans="1:13" ht="15.75" hidden="1" customHeight="1" x14ac:dyDescent="0.2">
      <c r="A53" s="2">
        <v>52</v>
      </c>
      <c r="B53" s="2">
        <v>5</v>
      </c>
      <c r="C53" s="2">
        <v>5</v>
      </c>
      <c r="D53" s="2" t="s">
        <v>479</v>
      </c>
      <c r="E53" s="2" t="str">
        <f t="shared" si="0"/>
        <v>1205LC03PT</v>
      </c>
      <c r="F53" s="2">
        <f>VLOOKUP(B53,Course!$A$2:$R$329,2,FALSE)</f>
        <v>0</v>
      </c>
      <c r="G53" s="2">
        <f>VLOOKUP(B53, Course!$A$2:$L$950, 8, FALSE)</f>
        <v>12</v>
      </c>
      <c r="H53" s="2">
        <v>3</v>
      </c>
      <c r="I53" s="2">
        <v>2</v>
      </c>
      <c r="K53" s="2" t="s">
        <v>1915</v>
      </c>
      <c r="L53" s="2" t="str">
        <f>VLOOKUP(B53, Course!$A$1:$O$933, 14, FALSE)</f>
        <v>LC</v>
      </c>
      <c r="M53" s="2">
        <v>1</v>
      </c>
    </row>
    <row r="54" spans="1:13" ht="15.75" hidden="1" customHeight="1" x14ac:dyDescent="0.2">
      <c r="A54" s="2">
        <v>53</v>
      </c>
      <c r="B54" s="2">
        <v>5</v>
      </c>
      <c r="C54" s="2">
        <v>6</v>
      </c>
      <c r="D54" s="2" t="s">
        <v>479</v>
      </c>
      <c r="E54" s="2" t="str">
        <f t="shared" si="0"/>
        <v>1206LC03PT</v>
      </c>
      <c r="F54" s="2">
        <f>VLOOKUP(B54,Course!$A$2:$R$329,2,FALSE)</f>
        <v>0</v>
      </c>
      <c r="G54" s="2">
        <f>VLOOKUP(B54, Course!$A$2:$L$950, 8, FALSE)</f>
        <v>12</v>
      </c>
      <c r="H54" s="2">
        <v>3</v>
      </c>
      <c r="I54" s="2">
        <v>2</v>
      </c>
      <c r="K54" s="2" t="s">
        <v>1915</v>
      </c>
      <c r="L54" s="2" t="str">
        <f>VLOOKUP(B54, Course!$A$1:$O$933, 14, FALSE)</f>
        <v>LC</v>
      </c>
      <c r="M54" s="2">
        <v>1</v>
      </c>
    </row>
    <row r="55" spans="1:13" ht="15.75" hidden="1" customHeight="1" x14ac:dyDescent="0.2">
      <c r="A55" s="2">
        <v>54</v>
      </c>
      <c r="B55" s="2">
        <v>5</v>
      </c>
      <c r="C55" s="2">
        <v>7</v>
      </c>
      <c r="D55" s="2" t="s">
        <v>479</v>
      </c>
      <c r="E55" s="2" t="str">
        <f t="shared" si="0"/>
        <v>1207LC03PT</v>
      </c>
      <c r="F55" s="2">
        <f>VLOOKUP(B55,Course!$A$2:$R$329,2,FALSE)</f>
        <v>0</v>
      </c>
      <c r="G55" s="2">
        <f>VLOOKUP(B55, Course!$A$2:$L$950, 8, FALSE)</f>
        <v>12</v>
      </c>
      <c r="H55" s="2">
        <v>3</v>
      </c>
      <c r="I55" s="2">
        <v>2</v>
      </c>
      <c r="K55" s="2" t="s">
        <v>1915</v>
      </c>
      <c r="L55" s="2" t="str">
        <f>VLOOKUP(B55, Course!$A$1:$O$933, 14, FALSE)</f>
        <v>LC</v>
      </c>
      <c r="M55" s="2">
        <v>1</v>
      </c>
    </row>
    <row r="56" spans="1:13" ht="15.75" hidden="1" customHeight="1" x14ac:dyDescent="0.2">
      <c r="A56" s="2">
        <v>55</v>
      </c>
      <c r="B56" s="2">
        <v>5</v>
      </c>
      <c r="C56" s="2">
        <v>8</v>
      </c>
      <c r="D56" s="2" t="s">
        <v>479</v>
      </c>
      <c r="E56" s="2" t="str">
        <f t="shared" si="0"/>
        <v>1208LC03PT</v>
      </c>
      <c r="F56" s="2">
        <f>VLOOKUP(B56,Course!$A$2:$R$329,2,FALSE)</f>
        <v>0</v>
      </c>
      <c r="G56" s="2">
        <f>VLOOKUP(B56, Course!$A$2:$L$950, 8, FALSE)</f>
        <v>12</v>
      </c>
      <c r="H56" s="2">
        <v>3</v>
      </c>
      <c r="I56" s="2">
        <v>2</v>
      </c>
      <c r="K56" s="2" t="s">
        <v>1915</v>
      </c>
      <c r="L56" s="2" t="str">
        <f>VLOOKUP(B56, Course!$A$1:$O$933, 14, FALSE)</f>
        <v>LC</v>
      </c>
      <c r="M56" s="2">
        <v>1</v>
      </c>
    </row>
    <row r="57" spans="1:13" ht="15.75" hidden="1" customHeight="1" x14ac:dyDescent="0.2">
      <c r="A57" s="2">
        <v>56</v>
      </c>
      <c r="B57" s="2">
        <v>5</v>
      </c>
      <c r="C57" s="2">
        <v>9</v>
      </c>
      <c r="D57" s="2" t="s">
        <v>479</v>
      </c>
      <c r="E57" s="2" t="str">
        <f t="shared" si="0"/>
        <v>1209LC03PT</v>
      </c>
      <c r="F57" s="2">
        <f>VLOOKUP(B57,Course!$A$2:$R$329,2,FALSE)</f>
        <v>0</v>
      </c>
      <c r="G57" s="2">
        <f>VLOOKUP(B57, Course!$A$2:$L$950, 8, FALSE)</f>
        <v>12</v>
      </c>
      <c r="H57" s="2">
        <v>3</v>
      </c>
      <c r="I57" s="2">
        <v>2</v>
      </c>
      <c r="K57" s="2" t="s">
        <v>1915</v>
      </c>
      <c r="L57" s="2" t="str">
        <f>VLOOKUP(B57, Course!$A$1:$O$933, 14, FALSE)</f>
        <v>LC</v>
      </c>
      <c r="M57" s="2">
        <v>1</v>
      </c>
    </row>
    <row r="58" spans="1:13" ht="15.75" hidden="1" customHeight="1" x14ac:dyDescent="0.2">
      <c r="A58" s="2">
        <v>57</v>
      </c>
      <c r="B58" s="2">
        <v>5</v>
      </c>
      <c r="C58" s="2">
        <v>10</v>
      </c>
      <c r="D58" s="2" t="s">
        <v>479</v>
      </c>
      <c r="E58" s="2" t="str">
        <f t="shared" si="0"/>
        <v>1210LC03PT</v>
      </c>
      <c r="F58" s="2">
        <f>VLOOKUP(B58,Course!$A$2:$R$329,2,FALSE)</f>
        <v>0</v>
      </c>
      <c r="G58" s="2">
        <f>VLOOKUP(B58, Course!$A$2:$L$950, 8, FALSE)</f>
        <v>12</v>
      </c>
      <c r="H58" s="2">
        <v>3</v>
      </c>
      <c r="I58" s="2">
        <v>2</v>
      </c>
      <c r="K58" s="2" t="s">
        <v>1915</v>
      </c>
      <c r="L58" s="2" t="str">
        <f>VLOOKUP(B58, Course!$A$1:$O$933, 14, FALSE)</f>
        <v>LC</v>
      </c>
      <c r="M58" s="2">
        <v>1</v>
      </c>
    </row>
    <row r="59" spans="1:13" ht="15.75" hidden="1" customHeight="1" x14ac:dyDescent="0.2">
      <c r="A59" s="2">
        <v>58</v>
      </c>
      <c r="B59" s="2">
        <v>5</v>
      </c>
      <c r="C59" s="2">
        <v>11</v>
      </c>
      <c r="D59" s="2" t="s">
        <v>479</v>
      </c>
      <c r="E59" s="2" t="str">
        <f t="shared" si="0"/>
        <v>1211LC03PT</v>
      </c>
      <c r="F59" s="2">
        <f>VLOOKUP(B59,Course!$A$2:$R$329,2,FALSE)</f>
        <v>0</v>
      </c>
      <c r="G59" s="2">
        <f>VLOOKUP(B59, Course!$A$2:$L$950, 8, FALSE)</f>
        <v>12</v>
      </c>
      <c r="H59" s="2">
        <v>3</v>
      </c>
      <c r="I59" s="2">
        <v>2</v>
      </c>
      <c r="K59" s="2" t="s">
        <v>1915</v>
      </c>
      <c r="L59" s="2" t="str">
        <f>VLOOKUP(B59, Course!$A$1:$O$933, 14, FALSE)</f>
        <v>LC</v>
      </c>
      <c r="M59" s="2">
        <v>1</v>
      </c>
    </row>
    <row r="60" spans="1:13" ht="15.75" hidden="1" customHeight="1" x14ac:dyDescent="0.2">
      <c r="A60" s="2">
        <v>59</v>
      </c>
      <c r="B60" s="2">
        <v>5</v>
      </c>
      <c r="C60" s="2">
        <v>12</v>
      </c>
      <c r="D60" s="2" t="s">
        <v>479</v>
      </c>
      <c r="E60" s="2" t="str">
        <f t="shared" si="0"/>
        <v>1212LC03PT</v>
      </c>
      <c r="F60" s="2">
        <f>VLOOKUP(B60,Course!$A$2:$R$329,2,FALSE)</f>
        <v>0</v>
      </c>
      <c r="G60" s="2">
        <f>VLOOKUP(B60, Course!$A$2:$L$950, 8, FALSE)</f>
        <v>12</v>
      </c>
      <c r="H60" s="2">
        <v>3</v>
      </c>
      <c r="I60" s="2">
        <v>2</v>
      </c>
      <c r="K60" s="2" t="s">
        <v>1915</v>
      </c>
      <c r="L60" s="2" t="str">
        <f>VLOOKUP(B60, Course!$A$1:$O$933, 14, FALSE)</f>
        <v>LC</v>
      </c>
      <c r="M60" s="2">
        <v>1</v>
      </c>
    </row>
    <row r="61" spans="1:13" ht="15.75" hidden="1" customHeight="1" x14ac:dyDescent="0.2">
      <c r="A61" s="2">
        <v>60</v>
      </c>
      <c r="B61" s="2">
        <v>6</v>
      </c>
      <c r="C61" s="2">
        <v>1</v>
      </c>
      <c r="D61" s="2" t="s">
        <v>377</v>
      </c>
      <c r="E61" s="2" t="str">
        <f t="shared" si="0"/>
        <v>1201SC03PT</v>
      </c>
      <c r="F61" s="2" t="str">
        <f>VLOOKUP(B61,Course!$A$2:$R$329,2,FALSE)</f>
        <v>Science 1</v>
      </c>
      <c r="G61" s="2">
        <f>VLOOKUP(B61, Course!$A$2:$L$950, 8, FALSE)</f>
        <v>12</v>
      </c>
      <c r="H61" s="2">
        <v>3</v>
      </c>
      <c r="I61" s="2">
        <v>2</v>
      </c>
      <c r="K61" s="2" t="s">
        <v>1915</v>
      </c>
      <c r="L61" s="2" t="str">
        <f>VLOOKUP(B61, Course!$A$1:$O$933, 14, FALSE)</f>
        <v>SC</v>
      </c>
      <c r="M61" s="2">
        <v>1</v>
      </c>
    </row>
    <row r="62" spans="1:13" ht="15.75" hidden="1" customHeight="1" x14ac:dyDescent="0.2">
      <c r="A62" s="2">
        <v>61</v>
      </c>
      <c r="B62" s="2">
        <v>6</v>
      </c>
      <c r="C62" s="2">
        <v>2</v>
      </c>
      <c r="D62" s="2" t="s">
        <v>377</v>
      </c>
      <c r="E62" s="2" t="str">
        <f t="shared" si="0"/>
        <v>1202SC03PT</v>
      </c>
      <c r="F62" s="2" t="str">
        <f>VLOOKUP(B62,Course!$A$2:$R$329,2,FALSE)</f>
        <v>Science 1</v>
      </c>
      <c r="G62" s="2">
        <f>VLOOKUP(B62, Course!$A$2:$L$950, 8, FALSE)</f>
        <v>12</v>
      </c>
      <c r="H62" s="2">
        <v>3</v>
      </c>
      <c r="I62" s="2">
        <v>2</v>
      </c>
      <c r="K62" s="2" t="s">
        <v>1915</v>
      </c>
      <c r="L62" s="2" t="str">
        <f>VLOOKUP(B62, Course!$A$1:$O$933, 14, FALSE)</f>
        <v>SC</v>
      </c>
      <c r="M62" s="2">
        <v>1</v>
      </c>
    </row>
    <row r="63" spans="1:13" ht="15.75" hidden="1" customHeight="1" x14ac:dyDescent="0.2">
      <c r="A63" s="2">
        <v>62</v>
      </c>
      <c r="B63" s="2">
        <v>6</v>
      </c>
      <c r="C63" s="2">
        <v>3</v>
      </c>
      <c r="D63" s="2" t="s">
        <v>377</v>
      </c>
      <c r="E63" s="2" t="str">
        <f t="shared" si="0"/>
        <v>1203SC03PT</v>
      </c>
      <c r="F63" s="2" t="str">
        <f>VLOOKUP(B63,Course!$A$2:$R$329,2,FALSE)</f>
        <v>Science 1</v>
      </c>
      <c r="G63" s="2">
        <f>VLOOKUP(B63, Course!$A$2:$L$950, 8, FALSE)</f>
        <v>12</v>
      </c>
      <c r="H63" s="2">
        <v>3</v>
      </c>
      <c r="I63" s="2">
        <v>2</v>
      </c>
      <c r="K63" s="2" t="s">
        <v>1915</v>
      </c>
      <c r="L63" s="2" t="str">
        <f>VLOOKUP(B63, Course!$A$1:$O$933, 14, FALSE)</f>
        <v>SC</v>
      </c>
      <c r="M63" s="2">
        <v>1</v>
      </c>
    </row>
    <row r="64" spans="1:13" ht="15.75" hidden="1" customHeight="1" x14ac:dyDescent="0.2">
      <c r="A64" s="2">
        <v>63</v>
      </c>
      <c r="B64" s="2">
        <v>6</v>
      </c>
      <c r="C64" s="2">
        <v>4</v>
      </c>
      <c r="D64" s="2" t="s">
        <v>377</v>
      </c>
      <c r="E64" s="2" t="str">
        <f t="shared" si="0"/>
        <v>1204SC03PT</v>
      </c>
      <c r="F64" s="2" t="str">
        <f>VLOOKUP(B64,Course!$A$2:$R$329,2,FALSE)</f>
        <v>Science 1</v>
      </c>
      <c r="G64" s="2">
        <f>VLOOKUP(B64, Course!$A$2:$L$950, 8, FALSE)</f>
        <v>12</v>
      </c>
      <c r="H64" s="2">
        <v>3</v>
      </c>
      <c r="I64" s="2">
        <v>2</v>
      </c>
      <c r="K64" s="2" t="s">
        <v>1915</v>
      </c>
      <c r="L64" s="2" t="str">
        <f>VLOOKUP(B64, Course!$A$1:$O$933, 14, FALSE)</f>
        <v>SC</v>
      </c>
      <c r="M64" s="2">
        <v>1</v>
      </c>
    </row>
    <row r="65" spans="1:13" ht="15.75" hidden="1" customHeight="1" x14ac:dyDescent="0.2">
      <c r="A65" s="2">
        <v>64</v>
      </c>
      <c r="B65" s="2">
        <v>6</v>
      </c>
      <c r="C65" s="2">
        <v>5</v>
      </c>
      <c r="D65" s="2" t="s">
        <v>377</v>
      </c>
      <c r="E65" s="2" t="str">
        <f t="shared" si="0"/>
        <v>1205SC03PT</v>
      </c>
      <c r="F65" s="2" t="str">
        <f>VLOOKUP(B65,Course!$A$2:$R$329,2,FALSE)</f>
        <v>Science 1</v>
      </c>
      <c r="G65" s="2">
        <f>VLOOKUP(B65, Course!$A$2:$L$950, 8, FALSE)</f>
        <v>12</v>
      </c>
      <c r="H65" s="2">
        <v>3</v>
      </c>
      <c r="I65" s="2">
        <v>2</v>
      </c>
      <c r="K65" s="2" t="s">
        <v>1915</v>
      </c>
      <c r="L65" s="2" t="str">
        <f>VLOOKUP(B65, Course!$A$1:$O$933, 14, FALSE)</f>
        <v>SC</v>
      </c>
      <c r="M65" s="2">
        <v>1</v>
      </c>
    </row>
    <row r="66" spans="1:13" ht="15.75" hidden="1" customHeight="1" x14ac:dyDescent="0.2">
      <c r="A66" s="2">
        <v>65</v>
      </c>
      <c r="B66" s="2">
        <v>6</v>
      </c>
      <c r="C66" s="2">
        <v>6</v>
      </c>
      <c r="D66" s="2" t="s">
        <v>377</v>
      </c>
      <c r="E66" s="2" t="str">
        <f t="shared" si="0"/>
        <v>1206SC03PT</v>
      </c>
      <c r="F66" s="2" t="str">
        <f>VLOOKUP(B66,Course!$A$2:$R$329,2,FALSE)</f>
        <v>Science 1</v>
      </c>
      <c r="G66" s="2">
        <f>VLOOKUP(B66, Course!$A$2:$L$950, 8, FALSE)</f>
        <v>12</v>
      </c>
      <c r="H66" s="2">
        <v>3</v>
      </c>
      <c r="I66" s="2">
        <v>2</v>
      </c>
      <c r="K66" s="2" t="s">
        <v>1915</v>
      </c>
      <c r="L66" s="2" t="str">
        <f>VLOOKUP(B66, Course!$A$1:$O$933, 14, FALSE)</f>
        <v>SC</v>
      </c>
      <c r="M66" s="2">
        <v>1</v>
      </c>
    </row>
    <row r="67" spans="1:13" ht="15.75" hidden="1" customHeight="1" x14ac:dyDescent="0.2">
      <c r="A67" s="2">
        <v>66</v>
      </c>
      <c r="B67" s="2">
        <v>6</v>
      </c>
      <c r="C67" s="2">
        <v>7</v>
      </c>
      <c r="D67" s="2" t="s">
        <v>377</v>
      </c>
      <c r="E67" s="2" t="str">
        <f t="shared" si="0"/>
        <v>1207SC03PT</v>
      </c>
      <c r="F67" s="2" t="str">
        <f>VLOOKUP(B67,Course!$A$2:$R$329,2,FALSE)</f>
        <v>Science 1</v>
      </c>
      <c r="G67" s="2">
        <f>VLOOKUP(B67, Course!$A$2:$L$950, 8, FALSE)</f>
        <v>12</v>
      </c>
      <c r="H67" s="2">
        <v>3</v>
      </c>
      <c r="I67" s="2">
        <v>2</v>
      </c>
      <c r="K67" s="2" t="s">
        <v>1915</v>
      </c>
      <c r="L67" s="2" t="str">
        <f>VLOOKUP(B67, Course!$A$1:$O$933, 14, FALSE)</f>
        <v>SC</v>
      </c>
      <c r="M67" s="2">
        <v>1</v>
      </c>
    </row>
    <row r="68" spans="1:13" ht="15.75" hidden="1" customHeight="1" x14ac:dyDescent="0.2">
      <c r="A68" s="2">
        <v>67</v>
      </c>
      <c r="B68" s="2">
        <v>6</v>
      </c>
      <c r="C68" s="2">
        <v>8</v>
      </c>
      <c r="D68" s="2" t="s">
        <v>377</v>
      </c>
      <c r="E68" s="2" t="str">
        <f t="shared" si="0"/>
        <v>1208SC03PT</v>
      </c>
      <c r="F68" s="2" t="str">
        <f>VLOOKUP(B68,Course!$A$2:$R$329,2,FALSE)</f>
        <v>Science 1</v>
      </c>
      <c r="G68" s="2">
        <f>VLOOKUP(B68, Course!$A$2:$L$950, 8, FALSE)</f>
        <v>12</v>
      </c>
      <c r="H68" s="2">
        <v>3</v>
      </c>
      <c r="I68" s="2">
        <v>2</v>
      </c>
      <c r="K68" s="2" t="s">
        <v>1915</v>
      </c>
      <c r="L68" s="2" t="str">
        <f>VLOOKUP(B68, Course!$A$1:$O$933, 14, FALSE)</f>
        <v>SC</v>
      </c>
      <c r="M68" s="2">
        <v>1</v>
      </c>
    </row>
    <row r="69" spans="1:13" ht="15.75" hidden="1" customHeight="1" x14ac:dyDescent="0.2">
      <c r="A69" s="2">
        <v>68</v>
      </c>
      <c r="B69" s="2">
        <v>6</v>
      </c>
      <c r="C69" s="2">
        <v>9</v>
      </c>
      <c r="D69" s="2" t="s">
        <v>377</v>
      </c>
      <c r="E69" s="2" t="str">
        <f t="shared" si="0"/>
        <v>1209SC03PT</v>
      </c>
      <c r="F69" s="2" t="str">
        <f>VLOOKUP(B69,Course!$A$2:$R$329,2,FALSE)</f>
        <v>Science 1</v>
      </c>
      <c r="G69" s="2">
        <f>VLOOKUP(B69, Course!$A$2:$L$950, 8, FALSE)</f>
        <v>12</v>
      </c>
      <c r="H69" s="2">
        <v>3</v>
      </c>
      <c r="I69" s="2">
        <v>2</v>
      </c>
      <c r="K69" s="2" t="s">
        <v>1915</v>
      </c>
      <c r="L69" s="2" t="str">
        <f>VLOOKUP(B69, Course!$A$1:$O$933, 14, FALSE)</f>
        <v>SC</v>
      </c>
      <c r="M69" s="2">
        <v>1</v>
      </c>
    </row>
    <row r="70" spans="1:13" ht="15.75" hidden="1" customHeight="1" x14ac:dyDescent="0.2">
      <c r="A70" s="2">
        <v>69</v>
      </c>
      <c r="B70" s="2">
        <v>6</v>
      </c>
      <c r="C70" s="2">
        <v>10</v>
      </c>
      <c r="D70" s="2" t="s">
        <v>377</v>
      </c>
      <c r="E70" s="2" t="str">
        <f t="shared" si="0"/>
        <v>1210SC03PT</v>
      </c>
      <c r="F70" s="2" t="str">
        <f>VLOOKUP(B70,Course!$A$2:$R$329,2,FALSE)</f>
        <v>Science 1</v>
      </c>
      <c r="G70" s="2">
        <f>VLOOKUP(B70, Course!$A$2:$L$950, 8, FALSE)</f>
        <v>12</v>
      </c>
      <c r="H70" s="2">
        <v>3</v>
      </c>
      <c r="I70" s="2">
        <v>2</v>
      </c>
      <c r="K70" s="2" t="s">
        <v>1915</v>
      </c>
      <c r="L70" s="2" t="str">
        <f>VLOOKUP(B70, Course!$A$1:$O$933, 14, FALSE)</f>
        <v>SC</v>
      </c>
      <c r="M70" s="2">
        <v>1</v>
      </c>
    </row>
    <row r="71" spans="1:13" ht="15.75" hidden="1" customHeight="1" x14ac:dyDescent="0.2">
      <c r="A71" s="2">
        <v>70</v>
      </c>
      <c r="B71" s="2">
        <v>6</v>
      </c>
      <c r="C71" s="2">
        <v>11</v>
      </c>
      <c r="D71" s="2" t="s">
        <v>377</v>
      </c>
      <c r="E71" s="2" t="str">
        <f t="shared" si="0"/>
        <v>1211SC03PT</v>
      </c>
      <c r="F71" s="2" t="str">
        <f>VLOOKUP(B71,Course!$A$2:$R$329,2,FALSE)</f>
        <v>Science 1</v>
      </c>
      <c r="G71" s="2">
        <f>VLOOKUP(B71, Course!$A$2:$L$950, 8, FALSE)</f>
        <v>12</v>
      </c>
      <c r="H71" s="2">
        <v>3</v>
      </c>
      <c r="I71" s="2">
        <v>2</v>
      </c>
      <c r="K71" s="2" t="s">
        <v>1915</v>
      </c>
      <c r="L71" s="2" t="str">
        <f>VLOOKUP(B71, Course!$A$1:$O$933, 14, FALSE)</f>
        <v>SC</v>
      </c>
      <c r="M71" s="2">
        <v>1</v>
      </c>
    </row>
    <row r="72" spans="1:13" ht="15.75" hidden="1" customHeight="1" x14ac:dyDescent="0.2">
      <c r="A72" s="2">
        <v>71</v>
      </c>
      <c r="B72" s="2">
        <v>6</v>
      </c>
      <c r="C72" s="2">
        <v>12</v>
      </c>
      <c r="D72" s="2" t="s">
        <v>377</v>
      </c>
      <c r="E72" s="2" t="str">
        <f t="shared" si="0"/>
        <v>1212SC03PT</v>
      </c>
      <c r="F72" s="2" t="str">
        <f>VLOOKUP(B72,Course!$A$2:$R$329,2,FALSE)</f>
        <v>Science 1</v>
      </c>
      <c r="G72" s="2">
        <f>VLOOKUP(B72, Course!$A$2:$L$950, 8, FALSE)</f>
        <v>12</v>
      </c>
      <c r="H72" s="2">
        <v>3</v>
      </c>
      <c r="I72" s="2">
        <v>2</v>
      </c>
      <c r="K72" s="2" t="s">
        <v>1915</v>
      </c>
      <c r="L72" s="2" t="str">
        <f>VLOOKUP(B72, Course!$A$1:$O$933, 14, FALSE)</f>
        <v>SC</v>
      </c>
      <c r="M72" s="2">
        <v>1</v>
      </c>
    </row>
    <row r="73" spans="1:13" ht="15.75" hidden="1" customHeight="1" x14ac:dyDescent="0.2">
      <c r="A73" s="2">
        <v>72</v>
      </c>
      <c r="B73" s="2">
        <v>7</v>
      </c>
      <c r="C73" s="2">
        <v>1</v>
      </c>
      <c r="D73" s="2" t="s">
        <v>379</v>
      </c>
      <c r="E73" s="2" t="str">
        <f t="shared" si="0"/>
        <v>1201SS03PT</v>
      </c>
      <c r="F73" s="2">
        <f>VLOOKUP(B73,Course!$A$2:$R$329,2,FALSE)</f>
        <v>0</v>
      </c>
      <c r="G73" s="2">
        <f>VLOOKUP(B73, Course!$A$2:$L$950, 8, FALSE)</f>
        <v>12</v>
      </c>
      <c r="H73" s="2">
        <v>3</v>
      </c>
      <c r="I73" s="2">
        <v>2</v>
      </c>
      <c r="K73" s="2" t="s">
        <v>1915</v>
      </c>
      <c r="L73" s="2" t="str">
        <f>VLOOKUP(B73, Course!$A$1:$O$933, 14, FALSE)</f>
        <v>SS</v>
      </c>
      <c r="M73" s="2">
        <v>1</v>
      </c>
    </row>
    <row r="74" spans="1:13" ht="15.75" hidden="1" customHeight="1" x14ac:dyDescent="0.2">
      <c r="A74" s="2">
        <v>73</v>
      </c>
      <c r="B74" s="2">
        <v>7</v>
      </c>
      <c r="C74" s="2">
        <v>2</v>
      </c>
      <c r="D74" s="2" t="s">
        <v>379</v>
      </c>
      <c r="E74" s="2" t="str">
        <f t="shared" si="0"/>
        <v>1202SS03PT</v>
      </c>
      <c r="F74" s="2">
        <f>VLOOKUP(B74,Course!$A$2:$R$329,2,FALSE)</f>
        <v>0</v>
      </c>
      <c r="G74" s="2">
        <f>VLOOKUP(B74, Course!$A$2:$L$950, 8, FALSE)</f>
        <v>12</v>
      </c>
      <c r="H74" s="2">
        <v>3</v>
      </c>
      <c r="I74" s="2">
        <v>2</v>
      </c>
      <c r="K74" s="2" t="s">
        <v>1915</v>
      </c>
      <c r="L74" s="2" t="str">
        <f>VLOOKUP(B74, Course!$A$1:$O$933, 14, FALSE)</f>
        <v>SS</v>
      </c>
      <c r="M74" s="2">
        <v>1</v>
      </c>
    </row>
    <row r="75" spans="1:13" ht="15.75" hidden="1" customHeight="1" x14ac:dyDescent="0.2">
      <c r="A75" s="2">
        <v>74</v>
      </c>
      <c r="B75" s="2">
        <v>7</v>
      </c>
      <c r="C75" s="2">
        <v>3</v>
      </c>
      <c r="D75" s="2" t="s">
        <v>379</v>
      </c>
      <c r="E75" s="2" t="str">
        <f t="shared" si="0"/>
        <v>1203SS03PT</v>
      </c>
      <c r="F75" s="2">
        <f>VLOOKUP(B75,Course!$A$2:$R$329,2,FALSE)</f>
        <v>0</v>
      </c>
      <c r="G75" s="2">
        <f>VLOOKUP(B75, Course!$A$2:$L$950, 8, FALSE)</f>
        <v>12</v>
      </c>
      <c r="H75" s="2">
        <v>3</v>
      </c>
      <c r="I75" s="2">
        <v>2</v>
      </c>
      <c r="K75" s="2" t="s">
        <v>1915</v>
      </c>
      <c r="L75" s="2" t="str">
        <f>VLOOKUP(B75, Course!$A$1:$O$933, 14, FALSE)</f>
        <v>SS</v>
      </c>
      <c r="M75" s="2">
        <v>1</v>
      </c>
    </row>
    <row r="76" spans="1:13" ht="15.75" hidden="1" customHeight="1" x14ac:dyDescent="0.2">
      <c r="A76" s="2">
        <v>75</v>
      </c>
      <c r="B76" s="2">
        <v>7</v>
      </c>
      <c r="C76" s="2">
        <v>4</v>
      </c>
      <c r="D76" s="2" t="s">
        <v>379</v>
      </c>
      <c r="E76" s="2" t="str">
        <f t="shared" si="0"/>
        <v>1204SS03PT</v>
      </c>
      <c r="F76" s="2">
        <f>VLOOKUP(B76,Course!$A$2:$R$329,2,FALSE)</f>
        <v>0</v>
      </c>
      <c r="G76" s="2">
        <f>VLOOKUP(B76, Course!$A$2:$L$950, 8, FALSE)</f>
        <v>12</v>
      </c>
      <c r="H76" s="2">
        <v>3</v>
      </c>
      <c r="I76" s="2">
        <v>2</v>
      </c>
      <c r="K76" s="2" t="s">
        <v>1915</v>
      </c>
      <c r="L76" s="2" t="str">
        <f>VLOOKUP(B76, Course!$A$1:$O$933, 14, FALSE)</f>
        <v>SS</v>
      </c>
      <c r="M76" s="2">
        <v>1</v>
      </c>
    </row>
    <row r="77" spans="1:13" ht="15.75" hidden="1" customHeight="1" x14ac:dyDescent="0.2">
      <c r="A77" s="2">
        <v>76</v>
      </c>
      <c r="B77" s="2">
        <v>7</v>
      </c>
      <c r="C77" s="2">
        <v>5</v>
      </c>
      <c r="D77" s="2" t="s">
        <v>379</v>
      </c>
      <c r="E77" s="2" t="str">
        <f t="shared" si="0"/>
        <v>1205SS03PT</v>
      </c>
      <c r="F77" s="2">
        <f>VLOOKUP(B77,Course!$A$2:$R$329,2,FALSE)</f>
        <v>0</v>
      </c>
      <c r="G77" s="2">
        <f>VLOOKUP(B77, Course!$A$2:$L$950, 8, FALSE)</f>
        <v>12</v>
      </c>
      <c r="H77" s="2">
        <v>3</v>
      </c>
      <c r="I77" s="2">
        <v>2</v>
      </c>
      <c r="K77" s="2" t="s">
        <v>1915</v>
      </c>
      <c r="L77" s="2" t="str">
        <f>VLOOKUP(B77, Course!$A$1:$O$933, 14, FALSE)</f>
        <v>SS</v>
      </c>
      <c r="M77" s="2">
        <v>1</v>
      </c>
    </row>
    <row r="78" spans="1:13" ht="15.75" hidden="1" customHeight="1" x14ac:dyDescent="0.2">
      <c r="A78" s="2">
        <v>77</v>
      </c>
      <c r="B78" s="2">
        <v>7</v>
      </c>
      <c r="C78" s="2">
        <v>6</v>
      </c>
      <c r="D78" s="2" t="s">
        <v>379</v>
      </c>
      <c r="E78" s="2" t="str">
        <f t="shared" si="0"/>
        <v>1206SS03PT</v>
      </c>
      <c r="F78" s="2">
        <f>VLOOKUP(B78,Course!$A$2:$R$329,2,FALSE)</f>
        <v>0</v>
      </c>
      <c r="G78" s="2">
        <f>VLOOKUP(B78, Course!$A$2:$L$950, 8, FALSE)</f>
        <v>12</v>
      </c>
      <c r="H78" s="2">
        <v>3</v>
      </c>
      <c r="I78" s="2">
        <v>2</v>
      </c>
      <c r="K78" s="2" t="s">
        <v>1915</v>
      </c>
      <c r="L78" s="2" t="str">
        <f>VLOOKUP(B78, Course!$A$1:$O$933, 14, FALSE)</f>
        <v>SS</v>
      </c>
      <c r="M78" s="2">
        <v>1</v>
      </c>
    </row>
    <row r="79" spans="1:13" ht="15.75" hidden="1" customHeight="1" x14ac:dyDescent="0.2">
      <c r="A79" s="2">
        <v>78</v>
      </c>
      <c r="B79" s="2">
        <v>7</v>
      </c>
      <c r="C79" s="2">
        <v>7</v>
      </c>
      <c r="D79" s="2" t="s">
        <v>379</v>
      </c>
      <c r="E79" s="2" t="str">
        <f t="shared" si="0"/>
        <v>1207SS03PT</v>
      </c>
      <c r="F79" s="2">
        <f>VLOOKUP(B79,Course!$A$2:$R$329,2,FALSE)</f>
        <v>0</v>
      </c>
      <c r="G79" s="2">
        <f>VLOOKUP(B79, Course!$A$2:$L$950, 8, FALSE)</f>
        <v>12</v>
      </c>
      <c r="H79" s="2">
        <v>3</v>
      </c>
      <c r="I79" s="2">
        <v>2</v>
      </c>
      <c r="K79" s="2" t="s">
        <v>1915</v>
      </c>
      <c r="L79" s="2" t="str">
        <f>VLOOKUP(B79, Course!$A$1:$O$933, 14, FALSE)</f>
        <v>SS</v>
      </c>
      <c r="M79" s="2">
        <v>1</v>
      </c>
    </row>
    <row r="80" spans="1:13" ht="15.75" hidden="1" customHeight="1" x14ac:dyDescent="0.2">
      <c r="A80" s="2">
        <v>79</v>
      </c>
      <c r="B80" s="2">
        <v>7</v>
      </c>
      <c r="C80" s="2">
        <v>8</v>
      </c>
      <c r="D80" s="2" t="s">
        <v>379</v>
      </c>
      <c r="E80" s="2" t="str">
        <f t="shared" si="0"/>
        <v>1208SS03PT</v>
      </c>
      <c r="F80" s="2">
        <f>VLOOKUP(B80,Course!$A$2:$R$329,2,FALSE)</f>
        <v>0</v>
      </c>
      <c r="G80" s="2">
        <f>VLOOKUP(B80, Course!$A$2:$L$950, 8, FALSE)</f>
        <v>12</v>
      </c>
      <c r="H80" s="2">
        <v>3</v>
      </c>
      <c r="I80" s="2">
        <v>2</v>
      </c>
      <c r="K80" s="2" t="s">
        <v>1915</v>
      </c>
      <c r="L80" s="2" t="str">
        <f>VLOOKUP(B80, Course!$A$1:$O$933, 14, FALSE)</f>
        <v>SS</v>
      </c>
      <c r="M80" s="2">
        <v>1</v>
      </c>
    </row>
    <row r="81" spans="1:13" ht="15.75" hidden="1" customHeight="1" x14ac:dyDescent="0.2">
      <c r="A81" s="2">
        <v>80</v>
      </c>
      <c r="B81" s="2">
        <v>7</v>
      </c>
      <c r="C81" s="2">
        <v>9</v>
      </c>
      <c r="D81" s="2" t="s">
        <v>379</v>
      </c>
      <c r="E81" s="2" t="str">
        <f t="shared" si="0"/>
        <v>1209SS03PT</v>
      </c>
      <c r="F81" s="2">
        <f>VLOOKUP(B81,Course!$A$2:$R$329,2,FALSE)</f>
        <v>0</v>
      </c>
      <c r="G81" s="2">
        <f>VLOOKUP(B81, Course!$A$2:$L$950, 8, FALSE)</f>
        <v>12</v>
      </c>
      <c r="H81" s="2">
        <v>3</v>
      </c>
      <c r="I81" s="2">
        <v>2</v>
      </c>
      <c r="K81" s="2" t="s">
        <v>1915</v>
      </c>
      <c r="L81" s="2" t="str">
        <f>VLOOKUP(B81, Course!$A$1:$O$933, 14, FALSE)</f>
        <v>SS</v>
      </c>
      <c r="M81" s="2">
        <v>1</v>
      </c>
    </row>
    <row r="82" spans="1:13" ht="15.75" hidden="1" customHeight="1" x14ac:dyDescent="0.2">
      <c r="A82" s="2">
        <v>81</v>
      </c>
      <c r="B82" s="2">
        <v>7</v>
      </c>
      <c r="C82" s="2">
        <v>10</v>
      </c>
      <c r="D82" s="2" t="s">
        <v>379</v>
      </c>
      <c r="E82" s="2" t="str">
        <f t="shared" si="0"/>
        <v>1210SS03PT</v>
      </c>
      <c r="F82" s="2">
        <f>VLOOKUP(B82,Course!$A$2:$R$329,2,FALSE)</f>
        <v>0</v>
      </c>
      <c r="G82" s="2">
        <f>VLOOKUP(B82, Course!$A$2:$L$950, 8, FALSE)</f>
        <v>12</v>
      </c>
      <c r="H82" s="2">
        <v>3</v>
      </c>
      <c r="I82" s="2">
        <v>2</v>
      </c>
      <c r="K82" s="2" t="s">
        <v>1915</v>
      </c>
      <c r="L82" s="2" t="str">
        <f>VLOOKUP(B82, Course!$A$1:$O$933, 14, FALSE)</f>
        <v>SS</v>
      </c>
      <c r="M82" s="2">
        <v>1</v>
      </c>
    </row>
    <row r="83" spans="1:13" ht="15.75" hidden="1" customHeight="1" x14ac:dyDescent="0.2">
      <c r="A83" s="2">
        <v>82</v>
      </c>
      <c r="B83" s="2">
        <v>7</v>
      </c>
      <c r="C83" s="2">
        <v>11</v>
      </c>
      <c r="D83" s="2" t="s">
        <v>379</v>
      </c>
      <c r="E83" s="2" t="str">
        <f t="shared" si="0"/>
        <v>1211SS03PT</v>
      </c>
      <c r="F83" s="2">
        <f>VLOOKUP(B83,Course!$A$2:$R$329,2,FALSE)</f>
        <v>0</v>
      </c>
      <c r="G83" s="2">
        <f>VLOOKUP(B83, Course!$A$2:$L$950, 8, FALSE)</f>
        <v>12</v>
      </c>
      <c r="H83" s="2">
        <v>3</v>
      </c>
      <c r="I83" s="2">
        <v>2</v>
      </c>
      <c r="K83" s="2" t="s">
        <v>1915</v>
      </c>
      <c r="L83" s="2" t="str">
        <f>VLOOKUP(B83, Course!$A$1:$O$933, 14, FALSE)</f>
        <v>SS</v>
      </c>
      <c r="M83" s="2">
        <v>1</v>
      </c>
    </row>
    <row r="84" spans="1:13" ht="15.75" hidden="1" customHeight="1" x14ac:dyDescent="0.2">
      <c r="A84" s="2">
        <v>83</v>
      </c>
      <c r="B84" s="2">
        <v>7</v>
      </c>
      <c r="C84" s="2">
        <v>12</v>
      </c>
      <c r="D84" s="2" t="s">
        <v>379</v>
      </c>
      <c r="E84" s="2" t="str">
        <f t="shared" si="0"/>
        <v>1212SS03PT</v>
      </c>
      <c r="F84" s="2">
        <f>VLOOKUP(B84,Course!$A$2:$R$329,2,FALSE)</f>
        <v>0</v>
      </c>
      <c r="G84" s="2">
        <f>VLOOKUP(B84, Course!$A$2:$L$950, 8, FALSE)</f>
        <v>12</v>
      </c>
      <c r="H84" s="2">
        <v>3</v>
      </c>
      <c r="I84" s="2">
        <v>2</v>
      </c>
      <c r="K84" s="2" t="s">
        <v>1915</v>
      </c>
      <c r="L84" s="2" t="str">
        <f>VLOOKUP(B84, Course!$A$1:$O$933, 14, FALSE)</f>
        <v>SS</v>
      </c>
      <c r="M84" s="2">
        <v>1</v>
      </c>
    </row>
    <row r="85" spans="1:13" ht="15.75" hidden="1" customHeight="1" x14ac:dyDescent="0.2">
      <c r="A85" s="2">
        <v>84</v>
      </c>
      <c r="B85" s="2">
        <v>8</v>
      </c>
      <c r="C85" s="2">
        <v>1</v>
      </c>
      <c r="D85" s="2" t="s">
        <v>484</v>
      </c>
      <c r="E85" s="2" t="str">
        <f t="shared" si="0"/>
        <v>1201BR03PT</v>
      </c>
      <c r="F85" s="2">
        <f>VLOOKUP(B85,Course!$A$2:$R$329,2,FALSE)</f>
        <v>0</v>
      </c>
      <c r="G85" s="2">
        <f>VLOOKUP(B85, Course!$A$2:$L$950, 8, FALSE)</f>
        <v>12</v>
      </c>
      <c r="H85" s="2">
        <v>3</v>
      </c>
      <c r="I85" s="2">
        <v>2</v>
      </c>
      <c r="K85" s="2" t="s">
        <v>1915</v>
      </c>
      <c r="L85" s="2" t="str">
        <f>VLOOKUP(B85, Course!$A$1:$O$933, 14, FALSE)</f>
        <v>BR</v>
      </c>
      <c r="M85" s="2">
        <v>1</v>
      </c>
    </row>
    <row r="86" spans="1:13" ht="15.75" hidden="1" customHeight="1" x14ac:dyDescent="0.2">
      <c r="A86" s="2">
        <v>85</v>
      </c>
      <c r="B86" s="2">
        <v>8</v>
      </c>
      <c r="C86" s="2">
        <v>2</v>
      </c>
      <c r="D86" s="2" t="s">
        <v>484</v>
      </c>
      <c r="E86" s="2" t="str">
        <f t="shared" si="0"/>
        <v>1202BR03PT</v>
      </c>
      <c r="F86" s="2">
        <f>VLOOKUP(B86,Course!$A$2:$R$329,2,FALSE)</f>
        <v>0</v>
      </c>
      <c r="G86" s="2">
        <f>VLOOKUP(B86, Course!$A$2:$L$950, 8, FALSE)</f>
        <v>12</v>
      </c>
      <c r="H86" s="2">
        <v>3</v>
      </c>
      <c r="I86" s="2">
        <v>2</v>
      </c>
      <c r="K86" s="2" t="s">
        <v>1915</v>
      </c>
      <c r="L86" s="2" t="str">
        <f>VLOOKUP(B86, Course!$A$1:$O$933, 14, FALSE)</f>
        <v>BR</v>
      </c>
      <c r="M86" s="2">
        <v>1</v>
      </c>
    </row>
    <row r="87" spans="1:13" ht="15.75" hidden="1" customHeight="1" x14ac:dyDescent="0.2">
      <c r="A87" s="2">
        <v>86</v>
      </c>
      <c r="B87" s="2">
        <v>8</v>
      </c>
      <c r="C87" s="2">
        <v>3</v>
      </c>
      <c r="D87" s="2" t="s">
        <v>484</v>
      </c>
      <c r="E87" s="2" t="str">
        <f t="shared" si="0"/>
        <v>1203BR03PT</v>
      </c>
      <c r="F87" s="2">
        <f>VLOOKUP(B87,Course!$A$2:$R$329,2,FALSE)</f>
        <v>0</v>
      </c>
      <c r="G87" s="2">
        <f>VLOOKUP(B87, Course!$A$2:$L$950, 8, FALSE)</f>
        <v>12</v>
      </c>
      <c r="H87" s="2">
        <v>3</v>
      </c>
      <c r="I87" s="2">
        <v>2</v>
      </c>
      <c r="K87" s="2" t="s">
        <v>1915</v>
      </c>
      <c r="L87" s="2" t="str">
        <f>VLOOKUP(B87, Course!$A$1:$O$933, 14, FALSE)</f>
        <v>BR</v>
      </c>
      <c r="M87" s="2">
        <v>1</v>
      </c>
    </row>
    <row r="88" spans="1:13" ht="15.75" hidden="1" customHeight="1" x14ac:dyDescent="0.2">
      <c r="A88" s="2">
        <v>87</v>
      </c>
      <c r="B88" s="2">
        <v>8</v>
      </c>
      <c r="C88" s="2">
        <v>4</v>
      </c>
      <c r="D88" s="2" t="s">
        <v>484</v>
      </c>
      <c r="E88" s="2" t="str">
        <f t="shared" si="0"/>
        <v>1204BR03PT</v>
      </c>
      <c r="F88" s="2">
        <f>VLOOKUP(B88,Course!$A$2:$R$329,2,FALSE)</f>
        <v>0</v>
      </c>
      <c r="G88" s="2">
        <f>VLOOKUP(B88, Course!$A$2:$L$950, 8, FALSE)</f>
        <v>12</v>
      </c>
      <c r="H88" s="2">
        <v>3</v>
      </c>
      <c r="I88" s="2">
        <v>2</v>
      </c>
      <c r="K88" s="2" t="s">
        <v>1915</v>
      </c>
      <c r="L88" s="2" t="str">
        <f>VLOOKUP(B88, Course!$A$1:$O$933, 14, FALSE)</f>
        <v>BR</v>
      </c>
      <c r="M88" s="2">
        <v>1</v>
      </c>
    </row>
    <row r="89" spans="1:13" ht="15.75" hidden="1" customHeight="1" x14ac:dyDescent="0.2">
      <c r="A89" s="2">
        <v>88</v>
      </c>
      <c r="B89" s="2">
        <v>8</v>
      </c>
      <c r="C89" s="2">
        <v>5</v>
      </c>
      <c r="D89" s="2" t="s">
        <v>484</v>
      </c>
      <c r="E89" s="2" t="str">
        <f t="shared" si="0"/>
        <v>1205BR03PT</v>
      </c>
      <c r="F89" s="2">
        <f>VLOOKUP(B89,Course!$A$2:$R$329,2,FALSE)</f>
        <v>0</v>
      </c>
      <c r="G89" s="2">
        <f>VLOOKUP(B89, Course!$A$2:$L$950, 8, FALSE)</f>
        <v>12</v>
      </c>
      <c r="H89" s="2">
        <v>3</v>
      </c>
      <c r="I89" s="2">
        <v>2</v>
      </c>
      <c r="K89" s="2" t="s">
        <v>1915</v>
      </c>
      <c r="L89" s="2" t="str">
        <f>VLOOKUP(B89, Course!$A$1:$O$933, 14, FALSE)</f>
        <v>BR</v>
      </c>
      <c r="M89" s="2">
        <v>1</v>
      </c>
    </row>
    <row r="90" spans="1:13" ht="15.75" hidden="1" customHeight="1" x14ac:dyDescent="0.2">
      <c r="A90" s="2">
        <v>89</v>
      </c>
      <c r="B90" s="2">
        <v>8</v>
      </c>
      <c r="C90" s="2">
        <v>6</v>
      </c>
      <c r="D90" s="2" t="s">
        <v>484</v>
      </c>
      <c r="E90" s="2" t="str">
        <f t="shared" si="0"/>
        <v>1206BR03PT</v>
      </c>
      <c r="F90" s="2">
        <f>VLOOKUP(B90,Course!$A$2:$R$329,2,FALSE)</f>
        <v>0</v>
      </c>
      <c r="G90" s="2">
        <f>VLOOKUP(B90, Course!$A$2:$L$950, 8, FALSE)</f>
        <v>12</v>
      </c>
      <c r="H90" s="2">
        <v>3</v>
      </c>
      <c r="I90" s="2">
        <v>2</v>
      </c>
      <c r="K90" s="2" t="s">
        <v>1915</v>
      </c>
      <c r="L90" s="2" t="str">
        <f>VLOOKUP(B90, Course!$A$1:$O$933, 14, FALSE)</f>
        <v>BR</v>
      </c>
      <c r="M90" s="2">
        <v>1</v>
      </c>
    </row>
    <row r="91" spans="1:13" ht="15.75" hidden="1" customHeight="1" x14ac:dyDescent="0.2">
      <c r="A91" s="2">
        <v>90</v>
      </c>
      <c r="B91" s="2">
        <v>8</v>
      </c>
      <c r="C91" s="2">
        <v>7</v>
      </c>
      <c r="D91" s="2" t="s">
        <v>484</v>
      </c>
      <c r="E91" s="2" t="str">
        <f t="shared" si="0"/>
        <v>1207BR03PT</v>
      </c>
      <c r="F91" s="2">
        <f>VLOOKUP(B91,Course!$A$2:$R$329,2,FALSE)</f>
        <v>0</v>
      </c>
      <c r="G91" s="2">
        <f>VLOOKUP(B91, Course!$A$2:$L$950, 8, FALSE)</f>
        <v>12</v>
      </c>
      <c r="H91" s="2">
        <v>3</v>
      </c>
      <c r="I91" s="2">
        <v>2</v>
      </c>
      <c r="K91" s="2" t="s">
        <v>1915</v>
      </c>
      <c r="L91" s="2" t="str">
        <f>VLOOKUP(B91, Course!$A$1:$O$933, 14, FALSE)</f>
        <v>BR</v>
      </c>
      <c r="M91" s="2">
        <v>1</v>
      </c>
    </row>
    <row r="92" spans="1:13" ht="15.75" hidden="1" customHeight="1" x14ac:dyDescent="0.2">
      <c r="A92" s="2">
        <v>91</v>
      </c>
      <c r="B92" s="2">
        <v>8</v>
      </c>
      <c r="C92" s="2">
        <v>8</v>
      </c>
      <c r="D92" s="2" t="s">
        <v>484</v>
      </c>
      <c r="E92" s="2" t="str">
        <f t="shared" si="0"/>
        <v>1208BR03PT</v>
      </c>
      <c r="F92" s="2">
        <f>VLOOKUP(B92,Course!$A$2:$R$329,2,FALSE)</f>
        <v>0</v>
      </c>
      <c r="G92" s="2">
        <f>VLOOKUP(B92, Course!$A$2:$L$950, 8, FALSE)</f>
        <v>12</v>
      </c>
      <c r="H92" s="2">
        <v>3</v>
      </c>
      <c r="I92" s="2">
        <v>2</v>
      </c>
      <c r="K92" s="2" t="s">
        <v>1915</v>
      </c>
      <c r="L92" s="2" t="str">
        <f>VLOOKUP(B92, Course!$A$1:$O$933, 14, FALSE)</f>
        <v>BR</v>
      </c>
      <c r="M92" s="2">
        <v>1</v>
      </c>
    </row>
    <row r="93" spans="1:13" ht="15.75" hidden="1" customHeight="1" x14ac:dyDescent="0.2">
      <c r="A93" s="2">
        <v>92</v>
      </c>
      <c r="B93" s="2">
        <v>8</v>
      </c>
      <c r="C93" s="2">
        <v>9</v>
      </c>
      <c r="D93" s="2" t="s">
        <v>484</v>
      </c>
      <c r="E93" s="2" t="str">
        <f t="shared" si="0"/>
        <v>1209BR03PT</v>
      </c>
      <c r="F93" s="2">
        <f>VLOOKUP(B93,Course!$A$2:$R$329,2,FALSE)</f>
        <v>0</v>
      </c>
      <c r="G93" s="2">
        <f>VLOOKUP(B93, Course!$A$2:$L$950, 8, FALSE)</f>
        <v>12</v>
      </c>
      <c r="H93" s="2">
        <v>3</v>
      </c>
      <c r="I93" s="2">
        <v>2</v>
      </c>
      <c r="K93" s="2" t="s">
        <v>1915</v>
      </c>
      <c r="L93" s="2" t="str">
        <f>VLOOKUP(B93, Course!$A$1:$O$933, 14, FALSE)</f>
        <v>BR</v>
      </c>
      <c r="M93" s="2">
        <v>1</v>
      </c>
    </row>
    <row r="94" spans="1:13" ht="15.75" hidden="1" customHeight="1" x14ac:dyDescent="0.2">
      <c r="A94" s="2">
        <v>93</v>
      </c>
      <c r="B94" s="2">
        <v>8</v>
      </c>
      <c r="C94" s="2">
        <v>10</v>
      </c>
      <c r="D94" s="2" t="s">
        <v>484</v>
      </c>
      <c r="E94" s="2" t="str">
        <f t="shared" si="0"/>
        <v>1210BR03PT</v>
      </c>
      <c r="F94" s="2">
        <f>VLOOKUP(B94,Course!$A$2:$R$329,2,FALSE)</f>
        <v>0</v>
      </c>
      <c r="G94" s="2">
        <f>VLOOKUP(B94, Course!$A$2:$L$950, 8, FALSE)</f>
        <v>12</v>
      </c>
      <c r="H94" s="2">
        <v>3</v>
      </c>
      <c r="I94" s="2">
        <v>2</v>
      </c>
      <c r="K94" s="2" t="s">
        <v>1915</v>
      </c>
      <c r="L94" s="2" t="str">
        <f>VLOOKUP(B94, Course!$A$1:$O$933, 14, FALSE)</f>
        <v>BR</v>
      </c>
      <c r="M94" s="2">
        <v>1</v>
      </c>
    </row>
    <row r="95" spans="1:13" ht="15.75" hidden="1" customHeight="1" x14ac:dyDescent="0.2">
      <c r="A95" s="2">
        <v>94</v>
      </c>
      <c r="B95" s="2">
        <v>8</v>
      </c>
      <c r="C95" s="2">
        <v>11</v>
      </c>
      <c r="D95" s="2" t="s">
        <v>484</v>
      </c>
      <c r="E95" s="2" t="str">
        <f t="shared" si="0"/>
        <v>1211BR03PT</v>
      </c>
      <c r="F95" s="2">
        <f>VLOOKUP(B95,Course!$A$2:$R$329,2,FALSE)</f>
        <v>0</v>
      </c>
      <c r="G95" s="2">
        <f>VLOOKUP(B95, Course!$A$2:$L$950, 8, FALSE)</f>
        <v>12</v>
      </c>
      <c r="H95" s="2">
        <v>3</v>
      </c>
      <c r="I95" s="2">
        <v>2</v>
      </c>
      <c r="K95" s="2" t="s">
        <v>1915</v>
      </c>
      <c r="L95" s="2" t="str">
        <f>VLOOKUP(B95, Course!$A$1:$O$933, 14, FALSE)</f>
        <v>BR</v>
      </c>
      <c r="M95" s="2">
        <v>1</v>
      </c>
    </row>
    <row r="96" spans="1:13" ht="15.75" hidden="1" customHeight="1" x14ac:dyDescent="0.2">
      <c r="A96" s="2">
        <v>95</v>
      </c>
      <c r="B96" s="2">
        <v>8</v>
      </c>
      <c r="C96" s="2">
        <v>12</v>
      </c>
      <c r="D96" s="2" t="s">
        <v>484</v>
      </c>
      <c r="E96" s="2" t="str">
        <f t="shared" si="0"/>
        <v>1212BR03PT</v>
      </c>
      <c r="F96" s="2">
        <f>VLOOKUP(B96,Course!$A$2:$R$329,2,FALSE)</f>
        <v>0</v>
      </c>
      <c r="G96" s="2">
        <f>VLOOKUP(B96, Course!$A$2:$L$950, 8, FALSE)</f>
        <v>12</v>
      </c>
      <c r="H96" s="2">
        <v>3</v>
      </c>
      <c r="I96" s="2">
        <v>2</v>
      </c>
      <c r="K96" s="2" t="s">
        <v>1915</v>
      </c>
      <c r="L96" s="2" t="str">
        <f>VLOOKUP(B96, Course!$A$1:$O$933, 14, FALSE)</f>
        <v>BR</v>
      </c>
      <c r="M96" s="2">
        <v>1</v>
      </c>
    </row>
    <row r="97" spans="1:13" ht="15.75" hidden="1" customHeight="1" x14ac:dyDescent="0.2">
      <c r="A97" s="2">
        <v>96</v>
      </c>
      <c r="B97" s="2">
        <v>9</v>
      </c>
      <c r="C97" s="2">
        <v>13</v>
      </c>
      <c r="D97" s="2" t="s">
        <v>369</v>
      </c>
      <c r="E97" s="2" t="str">
        <f t="shared" si="0"/>
        <v>1213MA03PT</v>
      </c>
      <c r="F97" s="2">
        <f>VLOOKUP(B97,Course!$A$2:$R$329,2,FALSE)</f>
        <v>0</v>
      </c>
      <c r="G97" s="2">
        <f>VLOOKUP(B97, Course!$A$2:$L$950, 8, FALSE)</f>
        <v>12</v>
      </c>
      <c r="H97" s="2">
        <v>3</v>
      </c>
      <c r="I97" s="2">
        <v>2</v>
      </c>
      <c r="K97" s="2" t="s">
        <v>1915</v>
      </c>
      <c r="L97" s="2" t="str">
        <f>VLOOKUP(B97, Course!$A$1:$O$933, 14, FALSE)</f>
        <v>MA</v>
      </c>
      <c r="M97" s="2">
        <v>1</v>
      </c>
    </row>
    <row r="98" spans="1:13" ht="15.75" hidden="1" customHeight="1" x14ac:dyDescent="0.2">
      <c r="A98" s="2">
        <v>97</v>
      </c>
      <c r="B98" s="2">
        <v>9</v>
      </c>
      <c r="C98" s="2">
        <v>14</v>
      </c>
      <c r="D98" s="2" t="s">
        <v>369</v>
      </c>
      <c r="E98" s="2" t="str">
        <f t="shared" si="0"/>
        <v>1214MA03PT</v>
      </c>
      <c r="F98" s="2">
        <f>VLOOKUP(B98,Course!$A$2:$R$329,2,FALSE)</f>
        <v>0</v>
      </c>
      <c r="G98" s="2">
        <f>VLOOKUP(B98, Course!$A$2:$L$950, 8, FALSE)</f>
        <v>12</v>
      </c>
      <c r="H98" s="2">
        <v>3</v>
      </c>
      <c r="I98" s="2">
        <v>1</v>
      </c>
      <c r="K98" s="2" t="s">
        <v>1915</v>
      </c>
      <c r="L98" s="2" t="str">
        <f>VLOOKUP(B98, Course!$A$1:$O$933, 14, FALSE)</f>
        <v>MA</v>
      </c>
      <c r="M98" s="2">
        <v>1</v>
      </c>
    </row>
    <row r="99" spans="1:13" ht="15.75" hidden="1" customHeight="1" x14ac:dyDescent="0.2">
      <c r="A99" s="2">
        <v>98</v>
      </c>
      <c r="B99" s="2">
        <v>9</v>
      </c>
      <c r="C99" s="2">
        <v>15</v>
      </c>
      <c r="D99" s="2" t="s">
        <v>369</v>
      </c>
      <c r="E99" s="2" t="str">
        <f t="shared" si="0"/>
        <v>1215MA03PT</v>
      </c>
      <c r="F99" s="2">
        <f>VLOOKUP(B99,Course!$A$2:$R$329,2,FALSE)</f>
        <v>0</v>
      </c>
      <c r="G99" s="2">
        <f>VLOOKUP(B99, Course!$A$2:$L$950, 8, FALSE)</f>
        <v>12</v>
      </c>
      <c r="H99" s="2">
        <v>3</v>
      </c>
      <c r="I99" s="2">
        <v>1</v>
      </c>
      <c r="K99" s="2" t="s">
        <v>1915</v>
      </c>
      <c r="L99" s="2" t="str">
        <f>VLOOKUP(B99, Course!$A$1:$O$933, 14, FALSE)</f>
        <v>MA</v>
      </c>
      <c r="M99" s="2">
        <v>1</v>
      </c>
    </row>
    <row r="100" spans="1:13" ht="15.75" hidden="1" customHeight="1" x14ac:dyDescent="0.2">
      <c r="A100" s="2">
        <v>99</v>
      </c>
      <c r="B100" s="2">
        <v>9</v>
      </c>
      <c r="C100" s="2">
        <v>16</v>
      </c>
      <c r="D100" s="2" t="s">
        <v>369</v>
      </c>
      <c r="E100" s="2" t="str">
        <f t="shared" si="0"/>
        <v>1216MA03PT</v>
      </c>
      <c r="F100" s="2">
        <f>VLOOKUP(B100,Course!$A$2:$R$329,2,FALSE)</f>
        <v>0</v>
      </c>
      <c r="G100" s="2">
        <f>VLOOKUP(B100, Course!$A$2:$L$950, 8, FALSE)</f>
        <v>12</v>
      </c>
      <c r="H100" s="2">
        <v>3</v>
      </c>
      <c r="I100" s="2">
        <v>1</v>
      </c>
      <c r="K100" s="2" t="s">
        <v>1915</v>
      </c>
      <c r="L100" s="2" t="str">
        <f>VLOOKUP(B100, Course!$A$1:$O$933, 14, FALSE)</f>
        <v>MA</v>
      </c>
      <c r="M100" s="2">
        <v>1</v>
      </c>
    </row>
    <row r="101" spans="1:13" ht="15.75" hidden="1" customHeight="1" x14ac:dyDescent="0.2">
      <c r="A101" s="2">
        <v>100</v>
      </c>
      <c r="B101" s="2">
        <v>9</v>
      </c>
      <c r="C101" s="2">
        <v>17</v>
      </c>
      <c r="D101" s="2" t="s">
        <v>369</v>
      </c>
      <c r="E101" s="2" t="str">
        <f t="shared" si="0"/>
        <v>1217MA03PT</v>
      </c>
      <c r="F101" s="2">
        <f>VLOOKUP(B101,Course!$A$2:$R$329,2,FALSE)</f>
        <v>0</v>
      </c>
      <c r="G101" s="2">
        <f>VLOOKUP(B101, Course!$A$2:$L$950, 8, FALSE)</f>
        <v>12</v>
      </c>
      <c r="H101" s="2">
        <v>3</v>
      </c>
      <c r="I101" s="2">
        <v>1</v>
      </c>
      <c r="K101" s="2" t="s">
        <v>1915</v>
      </c>
      <c r="L101" s="2" t="str">
        <f>VLOOKUP(B101, Course!$A$1:$O$933, 14, FALSE)</f>
        <v>MA</v>
      </c>
      <c r="M101" s="2">
        <v>1</v>
      </c>
    </row>
    <row r="102" spans="1:13" ht="15.75" hidden="1" customHeight="1" x14ac:dyDescent="0.2">
      <c r="A102" s="2">
        <v>101</v>
      </c>
      <c r="B102" s="2">
        <v>9</v>
      </c>
      <c r="C102" s="2">
        <v>18</v>
      </c>
      <c r="D102" s="2" t="s">
        <v>369</v>
      </c>
      <c r="E102" s="2" t="str">
        <f t="shared" si="0"/>
        <v>1218MA03PT</v>
      </c>
      <c r="F102" s="2">
        <f>VLOOKUP(B102,Course!$A$2:$R$329,2,FALSE)</f>
        <v>0</v>
      </c>
      <c r="G102" s="2">
        <f>VLOOKUP(B102, Course!$A$2:$L$950, 8, FALSE)</f>
        <v>12</v>
      </c>
      <c r="H102" s="2">
        <v>3</v>
      </c>
      <c r="I102" s="2">
        <v>1</v>
      </c>
      <c r="K102" s="2" t="s">
        <v>1915</v>
      </c>
      <c r="L102" s="2" t="str">
        <f>VLOOKUP(B102, Course!$A$1:$O$933, 14, FALSE)</f>
        <v>MA</v>
      </c>
      <c r="M102" s="2">
        <v>1</v>
      </c>
    </row>
    <row r="103" spans="1:13" ht="15.75" hidden="1" customHeight="1" x14ac:dyDescent="0.2">
      <c r="A103" s="2">
        <v>102</v>
      </c>
      <c r="B103" s="2">
        <v>9</v>
      </c>
      <c r="C103" s="2">
        <v>19</v>
      </c>
      <c r="D103" s="2" t="s">
        <v>369</v>
      </c>
      <c r="E103" s="2" t="str">
        <f t="shared" si="0"/>
        <v>1219MA03PT</v>
      </c>
      <c r="F103" s="2">
        <f>VLOOKUP(B103,Course!$A$2:$R$329,2,FALSE)</f>
        <v>0</v>
      </c>
      <c r="G103" s="2">
        <f>VLOOKUP(B103, Course!$A$2:$L$950, 8, FALSE)</f>
        <v>12</v>
      </c>
      <c r="H103" s="2">
        <v>3</v>
      </c>
      <c r="I103" s="2">
        <v>1</v>
      </c>
      <c r="K103" s="2" t="s">
        <v>1915</v>
      </c>
      <c r="L103" s="2" t="str">
        <f>VLOOKUP(B103, Course!$A$1:$O$933, 14, FALSE)</f>
        <v>MA</v>
      </c>
      <c r="M103" s="2">
        <v>1</v>
      </c>
    </row>
    <row r="104" spans="1:13" ht="15.75" hidden="1" customHeight="1" x14ac:dyDescent="0.2">
      <c r="A104" s="2">
        <v>103</v>
      </c>
      <c r="B104" s="2">
        <v>9</v>
      </c>
      <c r="C104" s="2">
        <v>20</v>
      </c>
      <c r="D104" s="2" t="s">
        <v>369</v>
      </c>
      <c r="E104" s="2" t="str">
        <f t="shared" si="0"/>
        <v>1220MA03PT</v>
      </c>
      <c r="F104" s="2">
        <f>VLOOKUP(B104,Course!$A$2:$R$329,2,FALSE)</f>
        <v>0</v>
      </c>
      <c r="G104" s="2">
        <f>VLOOKUP(B104, Course!$A$2:$L$950, 8, FALSE)</f>
        <v>12</v>
      </c>
      <c r="H104" s="2">
        <v>3</v>
      </c>
      <c r="I104" s="2">
        <v>1</v>
      </c>
      <c r="K104" s="2" t="s">
        <v>1915</v>
      </c>
      <c r="L104" s="2" t="str">
        <f>VLOOKUP(B104, Course!$A$1:$O$933, 14, FALSE)</f>
        <v>MA</v>
      </c>
      <c r="M104" s="2">
        <v>1</v>
      </c>
    </row>
    <row r="105" spans="1:13" ht="15.75" hidden="1" customHeight="1" x14ac:dyDescent="0.2">
      <c r="A105" s="2">
        <v>104</v>
      </c>
      <c r="B105" s="2">
        <v>9</v>
      </c>
      <c r="C105" s="2">
        <v>21</v>
      </c>
      <c r="D105" s="2" t="s">
        <v>369</v>
      </c>
      <c r="E105" s="2" t="str">
        <f t="shared" si="0"/>
        <v>1221MA03PT</v>
      </c>
      <c r="F105" s="2">
        <f>VLOOKUP(B105,Course!$A$2:$R$329,2,FALSE)</f>
        <v>0</v>
      </c>
      <c r="G105" s="2">
        <f>VLOOKUP(B105, Course!$A$2:$L$950, 8, FALSE)</f>
        <v>12</v>
      </c>
      <c r="H105" s="2">
        <v>3</v>
      </c>
      <c r="I105" s="2">
        <v>1</v>
      </c>
      <c r="K105" s="2" t="s">
        <v>1915</v>
      </c>
      <c r="L105" s="2" t="str">
        <f>VLOOKUP(B105, Course!$A$1:$O$933, 14, FALSE)</f>
        <v>MA</v>
      </c>
      <c r="M105" s="2">
        <v>1</v>
      </c>
    </row>
    <row r="106" spans="1:13" ht="15.75" hidden="1" customHeight="1" x14ac:dyDescent="0.2">
      <c r="A106" s="2">
        <v>105</v>
      </c>
      <c r="B106" s="2">
        <v>9</v>
      </c>
      <c r="C106" s="2">
        <v>22</v>
      </c>
      <c r="D106" s="2" t="s">
        <v>369</v>
      </c>
      <c r="E106" s="2" t="str">
        <f t="shared" si="0"/>
        <v>1222MA03PT</v>
      </c>
      <c r="F106" s="2">
        <f>VLOOKUP(B106,Course!$A$2:$R$329,2,FALSE)</f>
        <v>0</v>
      </c>
      <c r="G106" s="2">
        <f>VLOOKUP(B106, Course!$A$2:$L$950, 8, FALSE)</f>
        <v>12</v>
      </c>
      <c r="H106" s="2">
        <v>3</v>
      </c>
      <c r="I106" s="2">
        <v>1</v>
      </c>
      <c r="K106" s="2" t="s">
        <v>1915</v>
      </c>
      <c r="L106" s="2" t="str">
        <f>VLOOKUP(B106, Course!$A$1:$O$933, 14, FALSE)</f>
        <v>MA</v>
      </c>
      <c r="M106" s="2">
        <v>1</v>
      </c>
    </row>
    <row r="107" spans="1:13" ht="15.75" hidden="1" customHeight="1" x14ac:dyDescent="0.2">
      <c r="A107" s="2">
        <v>106</v>
      </c>
      <c r="B107" s="2">
        <v>9</v>
      </c>
      <c r="C107" s="2">
        <v>23</v>
      </c>
      <c r="D107" s="2" t="s">
        <v>369</v>
      </c>
      <c r="E107" s="2" t="str">
        <f t="shared" si="0"/>
        <v>1223MA03PT</v>
      </c>
      <c r="F107" s="2">
        <f>VLOOKUP(B107,Course!$A$2:$R$329,2,FALSE)</f>
        <v>0</v>
      </c>
      <c r="G107" s="2">
        <f>VLOOKUP(B107, Course!$A$2:$L$950, 8, FALSE)</f>
        <v>12</v>
      </c>
      <c r="H107" s="2">
        <v>3</v>
      </c>
      <c r="I107" s="2">
        <v>1</v>
      </c>
      <c r="K107" s="2" t="s">
        <v>1915</v>
      </c>
      <c r="L107" s="2" t="str">
        <f>VLOOKUP(B107, Course!$A$1:$O$933, 14, FALSE)</f>
        <v>MA</v>
      </c>
      <c r="M107" s="2">
        <v>1</v>
      </c>
    </row>
    <row r="108" spans="1:13" ht="15.75" hidden="1" customHeight="1" x14ac:dyDescent="0.2">
      <c r="A108" s="2">
        <v>107</v>
      </c>
      <c r="B108" s="2">
        <v>9</v>
      </c>
      <c r="C108" s="2">
        <v>24</v>
      </c>
      <c r="D108" s="2" t="s">
        <v>369</v>
      </c>
      <c r="E108" s="2" t="str">
        <f t="shared" si="0"/>
        <v>1224MA03PT</v>
      </c>
      <c r="F108" s="2">
        <f>VLOOKUP(B108,Course!$A$2:$R$329,2,FALSE)</f>
        <v>0</v>
      </c>
      <c r="G108" s="2">
        <f>VLOOKUP(B108, Course!$A$2:$L$950, 8, FALSE)</f>
        <v>12</v>
      </c>
      <c r="H108" s="2">
        <v>3</v>
      </c>
      <c r="I108" s="2">
        <v>1</v>
      </c>
      <c r="K108" s="2" t="s">
        <v>1915</v>
      </c>
      <c r="L108" s="2" t="str">
        <f>VLOOKUP(B108, Course!$A$1:$O$933, 14, FALSE)</f>
        <v>MA</v>
      </c>
      <c r="M108" s="2">
        <v>1</v>
      </c>
    </row>
    <row r="109" spans="1:13" ht="15.75" hidden="1" customHeight="1" x14ac:dyDescent="0.2">
      <c r="A109" s="2">
        <v>108</v>
      </c>
      <c r="B109" s="2">
        <v>10</v>
      </c>
      <c r="C109" s="2">
        <v>13</v>
      </c>
      <c r="D109" s="2" t="s">
        <v>476</v>
      </c>
      <c r="E109" s="2" t="str">
        <f t="shared" si="0"/>
        <v>1213EN03PT</v>
      </c>
      <c r="F109" s="2">
        <f>VLOOKUP(B109,Course!$A$2:$R$329,2,FALSE)</f>
        <v>0</v>
      </c>
      <c r="G109" s="2">
        <f>VLOOKUP(B109, Course!$A$2:$L$950, 8, FALSE)</f>
        <v>12</v>
      </c>
      <c r="H109" s="2">
        <v>3</v>
      </c>
      <c r="I109" s="2">
        <v>1</v>
      </c>
      <c r="K109" s="2" t="s">
        <v>1915</v>
      </c>
      <c r="L109" s="2" t="str">
        <f>VLOOKUP(B109, Course!$A$1:$O$933, 14, FALSE)</f>
        <v>EN</v>
      </c>
      <c r="M109" s="2">
        <v>1</v>
      </c>
    </row>
    <row r="110" spans="1:13" ht="15.75" hidden="1" customHeight="1" x14ac:dyDescent="0.2">
      <c r="A110" s="2">
        <v>109</v>
      </c>
      <c r="B110" s="2">
        <v>10</v>
      </c>
      <c r="C110" s="2">
        <v>14</v>
      </c>
      <c r="D110" s="2" t="s">
        <v>476</v>
      </c>
      <c r="E110" s="2" t="str">
        <f t="shared" si="0"/>
        <v>1214EN03PT</v>
      </c>
      <c r="F110" s="2">
        <f>VLOOKUP(B110,Course!$A$2:$R$329,2,FALSE)</f>
        <v>0</v>
      </c>
      <c r="G110" s="2">
        <f>VLOOKUP(B110, Course!$A$2:$L$950, 8, FALSE)</f>
        <v>12</v>
      </c>
      <c r="H110" s="2">
        <v>3</v>
      </c>
      <c r="I110" s="2">
        <v>1</v>
      </c>
      <c r="K110" s="2" t="s">
        <v>1915</v>
      </c>
      <c r="L110" s="2" t="str">
        <f>VLOOKUP(B110, Course!$A$1:$O$933, 14, FALSE)</f>
        <v>EN</v>
      </c>
      <c r="M110" s="2">
        <v>1</v>
      </c>
    </row>
    <row r="111" spans="1:13" ht="15.75" hidden="1" customHeight="1" x14ac:dyDescent="0.2">
      <c r="A111" s="2">
        <v>110</v>
      </c>
      <c r="B111" s="2">
        <v>10</v>
      </c>
      <c r="C111" s="2">
        <v>15</v>
      </c>
      <c r="D111" s="2" t="s">
        <v>476</v>
      </c>
      <c r="E111" s="2" t="str">
        <f t="shared" si="0"/>
        <v>1215EN03PT</v>
      </c>
      <c r="F111" s="2">
        <f>VLOOKUP(B111,Course!$A$2:$R$329,2,FALSE)</f>
        <v>0</v>
      </c>
      <c r="G111" s="2">
        <f>VLOOKUP(B111, Course!$A$2:$L$950, 8, FALSE)</f>
        <v>12</v>
      </c>
      <c r="H111" s="2">
        <v>3</v>
      </c>
      <c r="I111" s="2">
        <v>1</v>
      </c>
      <c r="K111" s="2" t="s">
        <v>1915</v>
      </c>
      <c r="L111" s="2" t="str">
        <f>VLOOKUP(B111, Course!$A$1:$O$933, 14, FALSE)</f>
        <v>EN</v>
      </c>
      <c r="M111" s="2">
        <v>1</v>
      </c>
    </row>
    <row r="112" spans="1:13" ht="15.75" hidden="1" customHeight="1" x14ac:dyDescent="0.2">
      <c r="A112" s="2">
        <v>111</v>
      </c>
      <c r="B112" s="2">
        <v>10</v>
      </c>
      <c r="C112" s="2">
        <v>16</v>
      </c>
      <c r="D112" s="2" t="s">
        <v>476</v>
      </c>
      <c r="E112" s="2" t="str">
        <f t="shared" si="0"/>
        <v>1216EN03PT</v>
      </c>
      <c r="F112" s="2">
        <f>VLOOKUP(B112,Course!$A$2:$R$329,2,FALSE)</f>
        <v>0</v>
      </c>
      <c r="G112" s="2">
        <f>VLOOKUP(B112, Course!$A$2:$L$950, 8, FALSE)</f>
        <v>12</v>
      </c>
      <c r="H112" s="2">
        <v>3</v>
      </c>
      <c r="I112" s="2">
        <v>1</v>
      </c>
      <c r="K112" s="2" t="s">
        <v>1915</v>
      </c>
      <c r="L112" s="2" t="str">
        <f>VLOOKUP(B112, Course!$A$1:$O$933, 14, FALSE)</f>
        <v>EN</v>
      </c>
      <c r="M112" s="2">
        <v>1</v>
      </c>
    </row>
    <row r="113" spans="1:13" ht="15.75" hidden="1" customHeight="1" x14ac:dyDescent="0.2">
      <c r="A113" s="2">
        <v>112</v>
      </c>
      <c r="B113" s="2">
        <v>10</v>
      </c>
      <c r="C113" s="2">
        <v>17</v>
      </c>
      <c r="D113" s="2" t="s">
        <v>476</v>
      </c>
      <c r="E113" s="2" t="str">
        <f t="shared" si="0"/>
        <v>1217EN03PT</v>
      </c>
      <c r="F113" s="2">
        <f>VLOOKUP(B113,Course!$A$2:$R$329,2,FALSE)</f>
        <v>0</v>
      </c>
      <c r="G113" s="2">
        <f>VLOOKUP(B113, Course!$A$2:$L$950, 8, FALSE)</f>
        <v>12</v>
      </c>
      <c r="H113" s="2">
        <v>3</v>
      </c>
      <c r="I113" s="2">
        <v>1</v>
      </c>
      <c r="K113" s="2" t="s">
        <v>1915</v>
      </c>
      <c r="L113" s="2" t="str">
        <f>VLOOKUP(B113, Course!$A$1:$O$933, 14, FALSE)</f>
        <v>EN</v>
      </c>
      <c r="M113" s="2">
        <v>1</v>
      </c>
    </row>
    <row r="114" spans="1:13" ht="15.75" hidden="1" customHeight="1" x14ac:dyDescent="0.2">
      <c r="A114" s="2">
        <v>113</v>
      </c>
      <c r="B114" s="2">
        <v>10</v>
      </c>
      <c r="C114" s="2">
        <v>18</v>
      </c>
      <c r="D114" s="2" t="s">
        <v>476</v>
      </c>
      <c r="E114" s="2" t="str">
        <f t="shared" si="0"/>
        <v>1218EN03PT</v>
      </c>
      <c r="F114" s="2">
        <f>VLOOKUP(B114,Course!$A$2:$R$329,2,FALSE)</f>
        <v>0</v>
      </c>
      <c r="G114" s="2">
        <f>VLOOKUP(B114, Course!$A$2:$L$950, 8, FALSE)</f>
        <v>12</v>
      </c>
      <c r="H114" s="2">
        <v>3</v>
      </c>
      <c r="I114" s="2">
        <v>1</v>
      </c>
      <c r="K114" s="2" t="s">
        <v>1915</v>
      </c>
      <c r="L114" s="2" t="str">
        <f>VLOOKUP(B114, Course!$A$1:$O$933, 14, FALSE)</f>
        <v>EN</v>
      </c>
      <c r="M114" s="2">
        <v>1</v>
      </c>
    </row>
    <row r="115" spans="1:13" ht="15.75" hidden="1" customHeight="1" x14ac:dyDescent="0.2">
      <c r="A115" s="2">
        <v>114</v>
      </c>
      <c r="B115" s="2">
        <v>10</v>
      </c>
      <c r="C115" s="2">
        <v>19</v>
      </c>
      <c r="D115" s="2" t="s">
        <v>476</v>
      </c>
      <c r="E115" s="2" t="str">
        <f t="shared" si="0"/>
        <v>1219EN03PT</v>
      </c>
      <c r="F115" s="2">
        <f>VLOOKUP(B115,Course!$A$2:$R$329,2,FALSE)</f>
        <v>0</v>
      </c>
      <c r="G115" s="2">
        <f>VLOOKUP(B115, Course!$A$2:$L$950, 8, FALSE)</f>
        <v>12</v>
      </c>
      <c r="H115" s="2">
        <v>3</v>
      </c>
      <c r="I115" s="2">
        <v>1</v>
      </c>
      <c r="K115" s="2" t="s">
        <v>1915</v>
      </c>
      <c r="L115" s="2" t="str">
        <f>VLOOKUP(B115, Course!$A$1:$O$933, 14, FALSE)</f>
        <v>EN</v>
      </c>
      <c r="M115" s="2">
        <v>1</v>
      </c>
    </row>
    <row r="116" spans="1:13" ht="15.75" hidden="1" customHeight="1" x14ac:dyDescent="0.2">
      <c r="A116" s="2">
        <v>115</v>
      </c>
      <c r="B116" s="2">
        <v>10</v>
      </c>
      <c r="C116" s="2">
        <v>20</v>
      </c>
      <c r="D116" s="2" t="s">
        <v>476</v>
      </c>
      <c r="E116" s="2" t="str">
        <f t="shared" si="0"/>
        <v>1220EN03PT</v>
      </c>
      <c r="F116" s="2">
        <f>VLOOKUP(B116,Course!$A$2:$R$329,2,FALSE)</f>
        <v>0</v>
      </c>
      <c r="G116" s="2">
        <f>VLOOKUP(B116, Course!$A$2:$L$950, 8, FALSE)</f>
        <v>12</v>
      </c>
      <c r="H116" s="2">
        <v>3</v>
      </c>
      <c r="I116" s="2">
        <v>1</v>
      </c>
      <c r="K116" s="2" t="s">
        <v>1915</v>
      </c>
      <c r="L116" s="2" t="str">
        <f>VLOOKUP(B116, Course!$A$1:$O$933, 14, FALSE)</f>
        <v>EN</v>
      </c>
      <c r="M116" s="2">
        <v>1</v>
      </c>
    </row>
    <row r="117" spans="1:13" ht="15.75" hidden="1" customHeight="1" x14ac:dyDescent="0.2">
      <c r="A117" s="2">
        <v>116</v>
      </c>
      <c r="B117" s="2">
        <v>10</v>
      </c>
      <c r="C117" s="2">
        <v>21</v>
      </c>
      <c r="D117" s="2" t="s">
        <v>476</v>
      </c>
      <c r="E117" s="2" t="str">
        <f t="shared" si="0"/>
        <v>1221EN03PT</v>
      </c>
      <c r="F117" s="2">
        <f>VLOOKUP(B117,Course!$A$2:$R$329,2,FALSE)</f>
        <v>0</v>
      </c>
      <c r="G117" s="2">
        <f>VLOOKUP(B117, Course!$A$2:$L$950, 8, FALSE)</f>
        <v>12</v>
      </c>
      <c r="H117" s="2">
        <v>3</v>
      </c>
      <c r="I117" s="2">
        <v>1</v>
      </c>
      <c r="K117" s="2" t="s">
        <v>1915</v>
      </c>
      <c r="L117" s="2" t="str">
        <f>VLOOKUP(B117, Course!$A$1:$O$933, 14, FALSE)</f>
        <v>EN</v>
      </c>
      <c r="M117" s="2">
        <v>1</v>
      </c>
    </row>
    <row r="118" spans="1:13" ht="15.75" hidden="1" customHeight="1" x14ac:dyDescent="0.2">
      <c r="A118" s="2">
        <v>117</v>
      </c>
      <c r="B118" s="2">
        <v>10</v>
      </c>
      <c r="C118" s="2">
        <v>22</v>
      </c>
      <c r="D118" s="2" t="s">
        <v>476</v>
      </c>
      <c r="E118" s="2" t="str">
        <f t="shared" si="0"/>
        <v>1222EN03PT</v>
      </c>
      <c r="F118" s="2">
        <f>VLOOKUP(B118,Course!$A$2:$R$329,2,FALSE)</f>
        <v>0</v>
      </c>
      <c r="G118" s="2">
        <f>VLOOKUP(B118, Course!$A$2:$L$950, 8, FALSE)</f>
        <v>12</v>
      </c>
      <c r="H118" s="2">
        <v>3</v>
      </c>
      <c r="I118" s="2">
        <v>1</v>
      </c>
      <c r="K118" s="2" t="s">
        <v>1915</v>
      </c>
      <c r="L118" s="2" t="str">
        <f>VLOOKUP(B118, Course!$A$1:$O$933, 14, FALSE)</f>
        <v>EN</v>
      </c>
      <c r="M118" s="2">
        <v>1</v>
      </c>
    </row>
    <row r="119" spans="1:13" ht="15.75" hidden="1" customHeight="1" x14ac:dyDescent="0.2">
      <c r="A119" s="2">
        <v>118</v>
      </c>
      <c r="B119" s="2">
        <v>10</v>
      </c>
      <c r="C119" s="2">
        <v>23</v>
      </c>
      <c r="D119" s="2" t="s">
        <v>476</v>
      </c>
      <c r="E119" s="2" t="str">
        <f t="shared" si="0"/>
        <v>1223EN03PT</v>
      </c>
      <c r="F119" s="2">
        <f>VLOOKUP(B119,Course!$A$2:$R$329,2,FALSE)</f>
        <v>0</v>
      </c>
      <c r="G119" s="2">
        <f>VLOOKUP(B119, Course!$A$2:$L$950, 8, FALSE)</f>
        <v>12</v>
      </c>
      <c r="H119" s="2">
        <v>3</v>
      </c>
      <c r="I119" s="2">
        <v>1</v>
      </c>
      <c r="K119" s="2" t="s">
        <v>1915</v>
      </c>
      <c r="L119" s="2" t="str">
        <f>VLOOKUP(B119, Course!$A$1:$O$933, 14, FALSE)</f>
        <v>EN</v>
      </c>
      <c r="M119" s="2">
        <v>1</v>
      </c>
    </row>
    <row r="120" spans="1:13" ht="15.75" hidden="1" customHeight="1" x14ac:dyDescent="0.2">
      <c r="A120" s="2">
        <v>119</v>
      </c>
      <c r="B120" s="2">
        <v>10</v>
      </c>
      <c r="C120" s="2">
        <v>24</v>
      </c>
      <c r="D120" s="2" t="s">
        <v>476</v>
      </c>
      <c r="E120" s="2" t="str">
        <f t="shared" si="0"/>
        <v>1224EN03PT</v>
      </c>
      <c r="F120" s="2">
        <f>VLOOKUP(B120,Course!$A$2:$R$329,2,FALSE)</f>
        <v>0</v>
      </c>
      <c r="G120" s="2">
        <f>VLOOKUP(B120, Course!$A$2:$L$950, 8, FALSE)</f>
        <v>12</v>
      </c>
      <c r="H120" s="2">
        <v>3</v>
      </c>
      <c r="I120" s="2">
        <v>1</v>
      </c>
      <c r="K120" s="2" t="s">
        <v>1915</v>
      </c>
      <c r="L120" s="2" t="str">
        <f>VLOOKUP(B120, Course!$A$1:$O$933, 14, FALSE)</f>
        <v>EN</v>
      </c>
      <c r="M120" s="2">
        <v>1</v>
      </c>
    </row>
    <row r="121" spans="1:13" ht="15.75" hidden="1" customHeight="1" x14ac:dyDescent="0.2">
      <c r="A121" s="2">
        <v>120</v>
      </c>
      <c r="B121" s="2">
        <v>11</v>
      </c>
      <c r="C121" s="2">
        <v>13</v>
      </c>
      <c r="D121" s="2" t="s">
        <v>373</v>
      </c>
      <c r="E121" s="2" t="str">
        <f t="shared" si="0"/>
        <v>1213WB03PT</v>
      </c>
      <c r="F121" s="2">
        <f>VLOOKUP(B121,Course!$A$2:$R$329,2,FALSE)</f>
        <v>0</v>
      </c>
      <c r="G121" s="2">
        <f>VLOOKUP(B121, Course!$A$2:$L$950, 8, FALSE)</f>
        <v>12</v>
      </c>
      <c r="H121" s="2">
        <v>3</v>
      </c>
      <c r="I121" s="2">
        <v>1</v>
      </c>
      <c r="K121" s="2" t="s">
        <v>1915</v>
      </c>
      <c r="L121" s="2" t="str">
        <f>VLOOKUP(B121, Course!$A$1:$O$933, 14, FALSE)</f>
        <v>WB</v>
      </c>
      <c r="M121" s="2">
        <v>1</v>
      </c>
    </row>
    <row r="122" spans="1:13" ht="15.75" hidden="1" customHeight="1" x14ac:dyDescent="0.2">
      <c r="A122" s="2">
        <v>121</v>
      </c>
      <c r="B122" s="2">
        <v>11</v>
      </c>
      <c r="C122" s="2">
        <v>14</v>
      </c>
      <c r="D122" s="2" t="s">
        <v>373</v>
      </c>
      <c r="E122" s="2" t="str">
        <f t="shared" si="0"/>
        <v>1214WB03PT</v>
      </c>
      <c r="F122" s="2">
        <f>VLOOKUP(B122,Course!$A$2:$R$329,2,FALSE)</f>
        <v>0</v>
      </c>
      <c r="G122" s="2">
        <f>VLOOKUP(B122, Course!$A$2:$L$950, 8, FALSE)</f>
        <v>12</v>
      </c>
      <c r="H122" s="2">
        <v>3</v>
      </c>
      <c r="I122" s="2">
        <v>1</v>
      </c>
      <c r="K122" s="2" t="s">
        <v>1915</v>
      </c>
      <c r="L122" s="2" t="str">
        <f>VLOOKUP(B122, Course!$A$1:$O$933, 14, FALSE)</f>
        <v>WB</v>
      </c>
      <c r="M122" s="2">
        <v>1</v>
      </c>
    </row>
    <row r="123" spans="1:13" ht="15.75" hidden="1" customHeight="1" x14ac:dyDescent="0.2">
      <c r="A123" s="2">
        <v>122</v>
      </c>
      <c r="B123" s="2">
        <v>11</v>
      </c>
      <c r="C123" s="2">
        <v>15</v>
      </c>
      <c r="D123" s="2" t="s">
        <v>373</v>
      </c>
      <c r="E123" s="2" t="str">
        <f t="shared" si="0"/>
        <v>1215WB03PT</v>
      </c>
      <c r="F123" s="2">
        <f>VLOOKUP(B123,Course!$A$2:$R$329,2,FALSE)</f>
        <v>0</v>
      </c>
      <c r="G123" s="2">
        <f>VLOOKUP(B123, Course!$A$2:$L$950, 8, FALSE)</f>
        <v>12</v>
      </c>
      <c r="H123" s="2">
        <v>3</v>
      </c>
      <c r="I123" s="2">
        <v>1</v>
      </c>
      <c r="K123" s="2" t="s">
        <v>1915</v>
      </c>
      <c r="L123" s="2" t="str">
        <f>VLOOKUP(B123, Course!$A$1:$O$933, 14, FALSE)</f>
        <v>WB</v>
      </c>
      <c r="M123" s="2">
        <v>1</v>
      </c>
    </row>
    <row r="124" spans="1:13" ht="15.75" hidden="1" customHeight="1" x14ac:dyDescent="0.2">
      <c r="A124" s="2">
        <v>123</v>
      </c>
      <c r="B124" s="2">
        <v>11</v>
      </c>
      <c r="C124" s="2">
        <v>16</v>
      </c>
      <c r="D124" s="2" t="s">
        <v>373</v>
      </c>
      <c r="E124" s="2" t="str">
        <f t="shared" si="0"/>
        <v>1216WB03PT</v>
      </c>
      <c r="F124" s="2">
        <f>VLOOKUP(B124,Course!$A$2:$R$329,2,FALSE)</f>
        <v>0</v>
      </c>
      <c r="G124" s="2">
        <f>VLOOKUP(B124, Course!$A$2:$L$950, 8, FALSE)</f>
        <v>12</v>
      </c>
      <c r="H124" s="2">
        <v>3</v>
      </c>
      <c r="I124" s="2">
        <v>1</v>
      </c>
      <c r="K124" s="2" t="s">
        <v>1915</v>
      </c>
      <c r="L124" s="2" t="str">
        <f>VLOOKUP(B124, Course!$A$1:$O$933, 14, FALSE)</f>
        <v>WB</v>
      </c>
      <c r="M124" s="2">
        <v>1</v>
      </c>
    </row>
    <row r="125" spans="1:13" ht="15.75" hidden="1" customHeight="1" x14ac:dyDescent="0.2">
      <c r="A125" s="2">
        <v>124</v>
      </c>
      <c r="B125" s="2">
        <v>11</v>
      </c>
      <c r="C125" s="2">
        <v>17</v>
      </c>
      <c r="D125" s="2" t="s">
        <v>373</v>
      </c>
      <c r="E125" s="2" t="str">
        <f t="shared" si="0"/>
        <v>1217WB03PT</v>
      </c>
      <c r="F125" s="2">
        <f>VLOOKUP(B125,Course!$A$2:$R$329,2,FALSE)</f>
        <v>0</v>
      </c>
      <c r="G125" s="2">
        <f>VLOOKUP(B125, Course!$A$2:$L$950, 8, FALSE)</f>
        <v>12</v>
      </c>
      <c r="H125" s="2">
        <v>3</v>
      </c>
      <c r="I125" s="2">
        <v>1</v>
      </c>
      <c r="K125" s="2" t="s">
        <v>1915</v>
      </c>
      <c r="L125" s="2" t="str">
        <f>VLOOKUP(B125, Course!$A$1:$O$933, 14, FALSE)</f>
        <v>WB</v>
      </c>
      <c r="M125" s="2">
        <v>1</v>
      </c>
    </row>
    <row r="126" spans="1:13" ht="15.75" hidden="1" customHeight="1" x14ac:dyDescent="0.2">
      <c r="A126" s="2">
        <v>125</v>
      </c>
      <c r="B126" s="2">
        <v>11</v>
      </c>
      <c r="C126" s="2">
        <v>18</v>
      </c>
      <c r="D126" s="2" t="s">
        <v>373</v>
      </c>
      <c r="E126" s="2" t="str">
        <f t="shared" si="0"/>
        <v>1218WB03PT</v>
      </c>
      <c r="F126" s="2">
        <f>VLOOKUP(B126,Course!$A$2:$R$329,2,FALSE)</f>
        <v>0</v>
      </c>
      <c r="G126" s="2">
        <f>VLOOKUP(B126, Course!$A$2:$L$950, 8, FALSE)</f>
        <v>12</v>
      </c>
      <c r="H126" s="2">
        <v>3</v>
      </c>
      <c r="I126" s="2">
        <v>1</v>
      </c>
      <c r="K126" s="2" t="s">
        <v>1915</v>
      </c>
      <c r="L126" s="2" t="str">
        <f>VLOOKUP(B126, Course!$A$1:$O$933, 14, FALSE)</f>
        <v>WB</v>
      </c>
      <c r="M126" s="2">
        <v>1</v>
      </c>
    </row>
    <row r="127" spans="1:13" ht="15.75" hidden="1" customHeight="1" x14ac:dyDescent="0.2">
      <c r="A127" s="2">
        <v>126</v>
      </c>
      <c r="B127" s="2">
        <v>11</v>
      </c>
      <c r="C127" s="2">
        <v>19</v>
      </c>
      <c r="D127" s="2" t="s">
        <v>373</v>
      </c>
      <c r="E127" s="2" t="str">
        <f t="shared" si="0"/>
        <v>1219WB03PT</v>
      </c>
      <c r="F127" s="2">
        <f>VLOOKUP(B127,Course!$A$2:$R$329,2,FALSE)</f>
        <v>0</v>
      </c>
      <c r="G127" s="2">
        <f>VLOOKUP(B127, Course!$A$2:$L$950, 8, FALSE)</f>
        <v>12</v>
      </c>
      <c r="H127" s="2">
        <v>3</v>
      </c>
      <c r="I127" s="2">
        <v>1</v>
      </c>
      <c r="K127" s="2" t="s">
        <v>1915</v>
      </c>
      <c r="L127" s="2" t="str">
        <f>VLOOKUP(B127, Course!$A$1:$O$933, 14, FALSE)</f>
        <v>WB</v>
      </c>
      <c r="M127" s="2">
        <v>1</v>
      </c>
    </row>
    <row r="128" spans="1:13" ht="15.75" hidden="1" customHeight="1" x14ac:dyDescent="0.2">
      <c r="A128" s="2">
        <v>127</v>
      </c>
      <c r="B128" s="2">
        <v>11</v>
      </c>
      <c r="C128" s="2">
        <v>20</v>
      </c>
      <c r="D128" s="2" t="s">
        <v>373</v>
      </c>
      <c r="E128" s="2" t="str">
        <f t="shared" si="0"/>
        <v>1220WB03PT</v>
      </c>
      <c r="F128" s="2">
        <f>VLOOKUP(B128,Course!$A$2:$R$329,2,FALSE)</f>
        <v>0</v>
      </c>
      <c r="G128" s="2">
        <f>VLOOKUP(B128, Course!$A$2:$L$950, 8, FALSE)</f>
        <v>12</v>
      </c>
      <c r="H128" s="2">
        <v>3</v>
      </c>
      <c r="I128" s="2">
        <v>1</v>
      </c>
      <c r="K128" s="2" t="s">
        <v>1915</v>
      </c>
      <c r="L128" s="2" t="str">
        <f>VLOOKUP(B128, Course!$A$1:$O$933, 14, FALSE)</f>
        <v>WB</v>
      </c>
      <c r="M128" s="2">
        <v>1</v>
      </c>
    </row>
    <row r="129" spans="1:13" ht="15.75" hidden="1" customHeight="1" x14ac:dyDescent="0.2">
      <c r="A129" s="2">
        <v>128</v>
      </c>
      <c r="B129" s="2">
        <v>11</v>
      </c>
      <c r="C129" s="2">
        <v>21</v>
      </c>
      <c r="D129" s="2" t="s">
        <v>373</v>
      </c>
      <c r="E129" s="2" t="str">
        <f t="shared" si="0"/>
        <v>1221WB03PT</v>
      </c>
      <c r="F129" s="2">
        <f>VLOOKUP(B129,Course!$A$2:$R$329,2,FALSE)</f>
        <v>0</v>
      </c>
      <c r="G129" s="2">
        <f>VLOOKUP(B129, Course!$A$2:$L$950, 8, FALSE)</f>
        <v>12</v>
      </c>
      <c r="H129" s="2">
        <v>3</v>
      </c>
      <c r="I129" s="2">
        <v>1</v>
      </c>
      <c r="K129" s="2" t="s">
        <v>1915</v>
      </c>
      <c r="L129" s="2" t="str">
        <f>VLOOKUP(B129, Course!$A$1:$O$933, 14, FALSE)</f>
        <v>WB</v>
      </c>
      <c r="M129" s="2">
        <v>1</v>
      </c>
    </row>
    <row r="130" spans="1:13" ht="15.75" hidden="1" customHeight="1" x14ac:dyDescent="0.2">
      <c r="A130" s="2">
        <v>129</v>
      </c>
      <c r="B130" s="2">
        <v>11</v>
      </c>
      <c r="C130" s="2">
        <v>22</v>
      </c>
      <c r="D130" s="2" t="s">
        <v>373</v>
      </c>
      <c r="E130" s="2" t="str">
        <f t="shared" si="0"/>
        <v>1222WB03PT</v>
      </c>
      <c r="F130" s="2">
        <f>VLOOKUP(B130,Course!$A$2:$R$329,2,FALSE)</f>
        <v>0</v>
      </c>
      <c r="G130" s="2">
        <f>VLOOKUP(B130, Course!$A$2:$L$950, 8, FALSE)</f>
        <v>12</v>
      </c>
      <c r="H130" s="2">
        <v>3</v>
      </c>
      <c r="I130" s="2">
        <v>1</v>
      </c>
      <c r="K130" s="2" t="s">
        <v>1915</v>
      </c>
      <c r="L130" s="2" t="str">
        <f>VLOOKUP(B130, Course!$A$1:$O$933, 14, FALSE)</f>
        <v>WB</v>
      </c>
      <c r="M130" s="2">
        <v>1</v>
      </c>
    </row>
    <row r="131" spans="1:13" ht="15.75" hidden="1" customHeight="1" x14ac:dyDescent="0.2">
      <c r="A131" s="2">
        <v>130</v>
      </c>
      <c r="B131" s="2">
        <v>11</v>
      </c>
      <c r="C131" s="2">
        <v>23</v>
      </c>
      <c r="D131" s="2" t="s">
        <v>373</v>
      </c>
      <c r="E131" s="2" t="str">
        <f t="shared" si="0"/>
        <v>1223WB03PT</v>
      </c>
      <c r="F131" s="2">
        <f>VLOOKUP(B131,Course!$A$2:$R$329,2,FALSE)</f>
        <v>0</v>
      </c>
      <c r="G131" s="2">
        <f>VLOOKUP(B131, Course!$A$2:$L$950, 8, FALSE)</f>
        <v>12</v>
      </c>
      <c r="H131" s="2">
        <v>3</v>
      </c>
      <c r="I131" s="2">
        <v>1</v>
      </c>
      <c r="K131" s="2" t="s">
        <v>1915</v>
      </c>
      <c r="L131" s="2" t="str">
        <f>VLOOKUP(B131, Course!$A$1:$O$933, 14, FALSE)</f>
        <v>WB</v>
      </c>
      <c r="M131" s="2">
        <v>1</v>
      </c>
    </row>
    <row r="132" spans="1:13" ht="15.75" hidden="1" customHeight="1" x14ac:dyDescent="0.2">
      <c r="A132" s="2">
        <v>131</v>
      </c>
      <c r="B132" s="2">
        <v>11</v>
      </c>
      <c r="C132" s="2">
        <v>24</v>
      </c>
      <c r="D132" s="2" t="s">
        <v>373</v>
      </c>
      <c r="E132" s="2" t="str">
        <f t="shared" si="0"/>
        <v>1224WB03PT</v>
      </c>
      <c r="F132" s="2">
        <f>VLOOKUP(B132,Course!$A$2:$R$329,2,FALSE)</f>
        <v>0</v>
      </c>
      <c r="G132" s="2">
        <f>VLOOKUP(B132, Course!$A$2:$L$950, 8, FALSE)</f>
        <v>12</v>
      </c>
      <c r="H132" s="2">
        <v>3</v>
      </c>
      <c r="I132" s="2">
        <v>1</v>
      </c>
      <c r="K132" s="2" t="s">
        <v>1915</v>
      </c>
      <c r="L132" s="2" t="str">
        <f>VLOOKUP(B132, Course!$A$1:$O$933, 14, FALSE)</f>
        <v>WB</v>
      </c>
      <c r="M132" s="2">
        <v>1</v>
      </c>
    </row>
    <row r="133" spans="1:13" ht="15.75" hidden="1" customHeight="1" x14ac:dyDescent="0.2">
      <c r="A133" s="2">
        <v>132</v>
      </c>
      <c r="B133" s="2">
        <v>12</v>
      </c>
      <c r="C133" s="2">
        <v>13</v>
      </c>
      <c r="D133" s="2" t="s">
        <v>479</v>
      </c>
      <c r="E133" s="2" t="str">
        <f t="shared" si="0"/>
        <v>1213LC03PT</v>
      </c>
      <c r="F133" s="2">
        <f>VLOOKUP(B133,Course!$A$2:$R$329,2,FALSE)</f>
        <v>0</v>
      </c>
      <c r="G133" s="2">
        <f>VLOOKUP(B133, Course!$A$2:$L$950, 8, FALSE)</f>
        <v>12</v>
      </c>
      <c r="H133" s="2">
        <v>3</v>
      </c>
      <c r="I133" s="2">
        <v>1</v>
      </c>
      <c r="K133" s="2" t="s">
        <v>1915</v>
      </c>
      <c r="L133" s="2" t="str">
        <f>VLOOKUP(B133, Course!$A$1:$O$933, 14, FALSE)</f>
        <v>LC</v>
      </c>
      <c r="M133" s="2">
        <v>1</v>
      </c>
    </row>
    <row r="134" spans="1:13" ht="15.75" hidden="1" customHeight="1" x14ac:dyDescent="0.2">
      <c r="A134" s="2">
        <v>133</v>
      </c>
      <c r="B134" s="2">
        <v>12</v>
      </c>
      <c r="C134" s="2">
        <v>14</v>
      </c>
      <c r="D134" s="2" t="s">
        <v>479</v>
      </c>
      <c r="E134" s="2" t="str">
        <f t="shared" si="0"/>
        <v>1214LC03PT</v>
      </c>
      <c r="F134" s="2">
        <f>VLOOKUP(B134,Course!$A$2:$R$329,2,FALSE)</f>
        <v>0</v>
      </c>
      <c r="G134" s="2">
        <f>VLOOKUP(B134, Course!$A$2:$L$950, 8, FALSE)</f>
        <v>12</v>
      </c>
      <c r="H134" s="2">
        <v>3</v>
      </c>
      <c r="I134" s="2">
        <v>1</v>
      </c>
      <c r="K134" s="2" t="s">
        <v>1915</v>
      </c>
      <c r="L134" s="2" t="str">
        <f>VLOOKUP(B134, Course!$A$1:$O$933, 14, FALSE)</f>
        <v>LC</v>
      </c>
      <c r="M134" s="2">
        <v>1</v>
      </c>
    </row>
    <row r="135" spans="1:13" ht="15.75" hidden="1" customHeight="1" x14ac:dyDescent="0.2">
      <c r="A135" s="2">
        <v>134</v>
      </c>
      <c r="B135" s="2">
        <v>12</v>
      </c>
      <c r="C135" s="2">
        <v>15</v>
      </c>
      <c r="D135" s="2" t="s">
        <v>479</v>
      </c>
      <c r="E135" s="2" t="str">
        <f t="shared" si="0"/>
        <v>1215LC03PT</v>
      </c>
      <c r="F135" s="2">
        <f>VLOOKUP(B135,Course!$A$2:$R$329,2,FALSE)</f>
        <v>0</v>
      </c>
      <c r="G135" s="2">
        <f>VLOOKUP(B135, Course!$A$2:$L$950, 8, FALSE)</f>
        <v>12</v>
      </c>
      <c r="H135" s="2">
        <v>3</v>
      </c>
      <c r="I135" s="2">
        <v>1</v>
      </c>
      <c r="K135" s="2" t="s">
        <v>1915</v>
      </c>
      <c r="L135" s="2" t="str">
        <f>VLOOKUP(B135, Course!$A$1:$O$933, 14, FALSE)</f>
        <v>LC</v>
      </c>
      <c r="M135" s="2">
        <v>1</v>
      </c>
    </row>
    <row r="136" spans="1:13" ht="15.75" hidden="1" customHeight="1" x14ac:dyDescent="0.2">
      <c r="A136" s="2">
        <v>135</v>
      </c>
      <c r="B136" s="2">
        <v>12</v>
      </c>
      <c r="C136" s="2">
        <v>16</v>
      </c>
      <c r="D136" s="2" t="s">
        <v>479</v>
      </c>
      <c r="E136" s="2" t="str">
        <f t="shared" si="0"/>
        <v>1216LC03PT</v>
      </c>
      <c r="F136" s="2">
        <f>VLOOKUP(B136,Course!$A$2:$R$329,2,FALSE)</f>
        <v>0</v>
      </c>
      <c r="G136" s="2">
        <f>VLOOKUP(B136, Course!$A$2:$L$950, 8, FALSE)</f>
        <v>12</v>
      </c>
      <c r="H136" s="2">
        <v>3</v>
      </c>
      <c r="I136" s="2">
        <v>1</v>
      </c>
      <c r="K136" s="2" t="s">
        <v>1915</v>
      </c>
      <c r="L136" s="2" t="str">
        <f>VLOOKUP(B136, Course!$A$1:$O$933, 14, FALSE)</f>
        <v>LC</v>
      </c>
      <c r="M136" s="2">
        <v>1</v>
      </c>
    </row>
    <row r="137" spans="1:13" ht="15.75" hidden="1" customHeight="1" x14ac:dyDescent="0.2">
      <c r="A137" s="2">
        <v>136</v>
      </c>
      <c r="B137" s="2">
        <v>12</v>
      </c>
      <c r="C137" s="2">
        <v>17</v>
      </c>
      <c r="D137" s="2" t="s">
        <v>479</v>
      </c>
      <c r="E137" s="2" t="str">
        <f t="shared" si="0"/>
        <v>1217LC03PT</v>
      </c>
      <c r="F137" s="2">
        <f>VLOOKUP(B137,Course!$A$2:$R$329,2,FALSE)</f>
        <v>0</v>
      </c>
      <c r="G137" s="2">
        <f>VLOOKUP(B137, Course!$A$2:$L$950, 8, FALSE)</f>
        <v>12</v>
      </c>
      <c r="H137" s="2">
        <v>3</v>
      </c>
      <c r="I137" s="2">
        <v>1</v>
      </c>
      <c r="K137" s="2" t="s">
        <v>1915</v>
      </c>
      <c r="L137" s="2" t="str">
        <f>VLOOKUP(B137, Course!$A$1:$O$933, 14, FALSE)</f>
        <v>LC</v>
      </c>
      <c r="M137" s="2">
        <v>1</v>
      </c>
    </row>
    <row r="138" spans="1:13" ht="15.75" hidden="1" customHeight="1" x14ac:dyDescent="0.2">
      <c r="A138" s="2">
        <v>137</v>
      </c>
      <c r="B138" s="2">
        <v>12</v>
      </c>
      <c r="C138" s="2">
        <v>18</v>
      </c>
      <c r="D138" s="2" t="s">
        <v>479</v>
      </c>
      <c r="E138" s="2" t="str">
        <f t="shared" si="0"/>
        <v>1218LC03PT</v>
      </c>
      <c r="F138" s="2">
        <f>VLOOKUP(B138,Course!$A$2:$R$329,2,FALSE)</f>
        <v>0</v>
      </c>
      <c r="G138" s="2">
        <f>VLOOKUP(B138, Course!$A$2:$L$950, 8, FALSE)</f>
        <v>12</v>
      </c>
      <c r="H138" s="2">
        <v>3</v>
      </c>
      <c r="I138" s="2">
        <v>1</v>
      </c>
      <c r="K138" s="2" t="s">
        <v>1915</v>
      </c>
      <c r="L138" s="2" t="str">
        <f>VLOOKUP(B138, Course!$A$1:$O$933, 14, FALSE)</f>
        <v>LC</v>
      </c>
      <c r="M138" s="2">
        <v>1</v>
      </c>
    </row>
    <row r="139" spans="1:13" ht="15.75" hidden="1" customHeight="1" x14ac:dyDescent="0.2">
      <c r="A139" s="2">
        <v>138</v>
      </c>
      <c r="B139" s="2">
        <v>12</v>
      </c>
      <c r="C139" s="2">
        <v>19</v>
      </c>
      <c r="D139" s="2" t="s">
        <v>479</v>
      </c>
      <c r="E139" s="2" t="str">
        <f t="shared" si="0"/>
        <v>1219LC03PT</v>
      </c>
      <c r="F139" s="2">
        <f>VLOOKUP(B139,Course!$A$2:$R$329,2,FALSE)</f>
        <v>0</v>
      </c>
      <c r="G139" s="2">
        <f>VLOOKUP(B139, Course!$A$2:$L$950, 8, FALSE)</f>
        <v>12</v>
      </c>
      <c r="H139" s="2">
        <v>3</v>
      </c>
      <c r="I139" s="2">
        <v>1</v>
      </c>
      <c r="K139" s="2" t="s">
        <v>1915</v>
      </c>
      <c r="L139" s="2" t="str">
        <f>VLOOKUP(B139, Course!$A$1:$O$933, 14, FALSE)</f>
        <v>LC</v>
      </c>
      <c r="M139" s="2">
        <v>1</v>
      </c>
    </row>
    <row r="140" spans="1:13" ht="15.75" hidden="1" customHeight="1" x14ac:dyDescent="0.2">
      <c r="A140" s="2">
        <v>139</v>
      </c>
      <c r="B140" s="2">
        <v>12</v>
      </c>
      <c r="C140" s="2">
        <v>20</v>
      </c>
      <c r="D140" s="2" t="s">
        <v>479</v>
      </c>
      <c r="E140" s="2" t="str">
        <f t="shared" si="0"/>
        <v>1220LC03PT</v>
      </c>
      <c r="F140" s="2">
        <f>VLOOKUP(B140,Course!$A$2:$R$329,2,FALSE)</f>
        <v>0</v>
      </c>
      <c r="G140" s="2">
        <f>VLOOKUP(B140, Course!$A$2:$L$950, 8, FALSE)</f>
        <v>12</v>
      </c>
      <c r="H140" s="2">
        <v>3</v>
      </c>
      <c r="I140" s="2">
        <v>1</v>
      </c>
      <c r="K140" s="2" t="s">
        <v>1915</v>
      </c>
      <c r="L140" s="2" t="str">
        <f>VLOOKUP(B140, Course!$A$1:$O$933, 14, FALSE)</f>
        <v>LC</v>
      </c>
      <c r="M140" s="2">
        <v>1</v>
      </c>
    </row>
    <row r="141" spans="1:13" ht="15.75" hidden="1" customHeight="1" x14ac:dyDescent="0.2">
      <c r="A141" s="2">
        <v>140</v>
      </c>
      <c r="B141" s="2">
        <v>12</v>
      </c>
      <c r="C141" s="2">
        <v>21</v>
      </c>
      <c r="D141" s="2" t="s">
        <v>479</v>
      </c>
      <c r="E141" s="2" t="str">
        <f t="shared" si="0"/>
        <v>1221LC03PT</v>
      </c>
      <c r="F141" s="2">
        <f>VLOOKUP(B141,Course!$A$2:$R$329,2,FALSE)</f>
        <v>0</v>
      </c>
      <c r="G141" s="2">
        <f>VLOOKUP(B141, Course!$A$2:$L$950, 8, FALSE)</f>
        <v>12</v>
      </c>
      <c r="H141" s="2">
        <v>3</v>
      </c>
      <c r="I141" s="2">
        <v>1</v>
      </c>
      <c r="K141" s="2" t="s">
        <v>1915</v>
      </c>
      <c r="L141" s="2" t="str">
        <f>VLOOKUP(B141, Course!$A$1:$O$933, 14, FALSE)</f>
        <v>LC</v>
      </c>
      <c r="M141" s="2">
        <v>1</v>
      </c>
    </row>
    <row r="142" spans="1:13" ht="15.75" hidden="1" customHeight="1" x14ac:dyDescent="0.2">
      <c r="A142" s="2">
        <v>141</v>
      </c>
      <c r="B142" s="2">
        <v>12</v>
      </c>
      <c r="C142" s="2">
        <v>22</v>
      </c>
      <c r="D142" s="2" t="s">
        <v>479</v>
      </c>
      <c r="E142" s="2" t="str">
        <f t="shared" si="0"/>
        <v>1222LC03PT</v>
      </c>
      <c r="F142" s="2">
        <f>VLOOKUP(B142,Course!$A$2:$R$329,2,FALSE)</f>
        <v>0</v>
      </c>
      <c r="G142" s="2">
        <f>VLOOKUP(B142, Course!$A$2:$L$950, 8, FALSE)</f>
        <v>12</v>
      </c>
      <c r="H142" s="2">
        <v>3</v>
      </c>
      <c r="I142" s="2">
        <v>1</v>
      </c>
      <c r="K142" s="2" t="s">
        <v>1915</v>
      </c>
      <c r="L142" s="2" t="str">
        <f>VLOOKUP(B142, Course!$A$1:$O$933, 14, FALSE)</f>
        <v>LC</v>
      </c>
      <c r="M142" s="2">
        <v>1</v>
      </c>
    </row>
    <row r="143" spans="1:13" ht="15.75" hidden="1" customHeight="1" x14ac:dyDescent="0.2">
      <c r="A143" s="2">
        <v>142</v>
      </c>
      <c r="B143" s="2">
        <v>12</v>
      </c>
      <c r="C143" s="2">
        <v>23</v>
      </c>
      <c r="D143" s="2" t="s">
        <v>479</v>
      </c>
      <c r="E143" s="2" t="str">
        <f t="shared" si="0"/>
        <v>1223LC03PT</v>
      </c>
      <c r="F143" s="2">
        <f>VLOOKUP(B143,Course!$A$2:$R$329,2,FALSE)</f>
        <v>0</v>
      </c>
      <c r="G143" s="2">
        <f>VLOOKUP(B143, Course!$A$2:$L$950, 8, FALSE)</f>
        <v>12</v>
      </c>
      <c r="H143" s="2">
        <v>3</v>
      </c>
      <c r="I143" s="2">
        <v>1</v>
      </c>
      <c r="K143" s="2" t="s">
        <v>1915</v>
      </c>
      <c r="L143" s="2" t="str">
        <f>VLOOKUP(B143, Course!$A$1:$O$933, 14, FALSE)</f>
        <v>LC</v>
      </c>
      <c r="M143" s="2">
        <v>1</v>
      </c>
    </row>
    <row r="144" spans="1:13" ht="15.75" hidden="1" customHeight="1" x14ac:dyDescent="0.2">
      <c r="A144" s="2">
        <v>143</v>
      </c>
      <c r="B144" s="2">
        <v>12</v>
      </c>
      <c r="C144" s="2">
        <v>24</v>
      </c>
      <c r="D144" s="2" t="s">
        <v>479</v>
      </c>
      <c r="E144" s="2" t="str">
        <f t="shared" si="0"/>
        <v>1224LC03PT</v>
      </c>
      <c r="F144" s="2">
        <f>VLOOKUP(B144,Course!$A$2:$R$329,2,FALSE)</f>
        <v>0</v>
      </c>
      <c r="G144" s="2">
        <f>VLOOKUP(B144, Course!$A$2:$L$950, 8, FALSE)</f>
        <v>12</v>
      </c>
      <c r="H144" s="2">
        <v>3</v>
      </c>
      <c r="I144" s="2">
        <v>1</v>
      </c>
      <c r="K144" s="2" t="s">
        <v>1915</v>
      </c>
      <c r="L144" s="2" t="str">
        <f>VLOOKUP(B144, Course!$A$1:$O$933, 14, FALSE)</f>
        <v>LC</v>
      </c>
      <c r="M144" s="2">
        <v>1</v>
      </c>
    </row>
    <row r="145" spans="1:13" ht="15.75" hidden="1" customHeight="1" x14ac:dyDescent="0.2">
      <c r="A145" s="2">
        <v>144</v>
      </c>
      <c r="B145" s="2">
        <v>13</v>
      </c>
      <c r="C145" s="2">
        <v>13</v>
      </c>
      <c r="D145" s="2" t="s">
        <v>377</v>
      </c>
      <c r="E145" s="2" t="str">
        <f t="shared" si="0"/>
        <v>1213SC03PT</v>
      </c>
      <c r="F145" s="2" t="str">
        <f>VLOOKUP(B145,Course!$A$2:$R$329,2,FALSE)</f>
        <v>Science 2</v>
      </c>
      <c r="G145" s="2">
        <f>VLOOKUP(B145, Course!$A$2:$L$950, 8, FALSE)</f>
        <v>12</v>
      </c>
      <c r="H145" s="2">
        <v>3</v>
      </c>
      <c r="I145" s="2">
        <v>1</v>
      </c>
      <c r="K145" s="2" t="s">
        <v>1915</v>
      </c>
      <c r="L145" s="2" t="str">
        <f>VLOOKUP(B145, Course!$A$1:$O$933, 14, FALSE)</f>
        <v>SC</v>
      </c>
      <c r="M145" s="2">
        <v>1</v>
      </c>
    </row>
    <row r="146" spans="1:13" ht="15.75" hidden="1" customHeight="1" x14ac:dyDescent="0.2">
      <c r="A146" s="2">
        <v>145</v>
      </c>
      <c r="B146" s="2">
        <v>13</v>
      </c>
      <c r="C146" s="2">
        <v>14</v>
      </c>
      <c r="D146" s="2" t="s">
        <v>377</v>
      </c>
      <c r="E146" s="2" t="str">
        <f t="shared" si="0"/>
        <v>1214SC03PT</v>
      </c>
      <c r="F146" s="2" t="str">
        <f>VLOOKUP(B146,Course!$A$2:$R$329,2,FALSE)</f>
        <v>Science 2</v>
      </c>
      <c r="G146" s="2">
        <f>VLOOKUP(B146, Course!$A$2:$L$950, 8, FALSE)</f>
        <v>12</v>
      </c>
      <c r="H146" s="2">
        <v>3</v>
      </c>
      <c r="I146" s="2">
        <v>1</v>
      </c>
      <c r="K146" s="2" t="s">
        <v>1915</v>
      </c>
      <c r="L146" s="2" t="str">
        <f>VLOOKUP(B146, Course!$A$1:$O$933, 14, FALSE)</f>
        <v>SC</v>
      </c>
      <c r="M146" s="2">
        <v>1</v>
      </c>
    </row>
    <row r="147" spans="1:13" ht="15.75" hidden="1" customHeight="1" x14ac:dyDescent="0.2">
      <c r="A147" s="2">
        <v>146</v>
      </c>
      <c r="B147" s="2">
        <v>13</v>
      </c>
      <c r="C147" s="2">
        <v>15</v>
      </c>
      <c r="D147" s="2" t="s">
        <v>377</v>
      </c>
      <c r="E147" s="2" t="str">
        <f t="shared" si="0"/>
        <v>1215SC03PT</v>
      </c>
      <c r="F147" s="2" t="str">
        <f>VLOOKUP(B147,Course!$A$2:$R$329,2,FALSE)</f>
        <v>Science 2</v>
      </c>
      <c r="G147" s="2">
        <f>VLOOKUP(B147, Course!$A$2:$L$950, 8, FALSE)</f>
        <v>12</v>
      </c>
      <c r="H147" s="2">
        <v>3</v>
      </c>
      <c r="I147" s="2">
        <v>1</v>
      </c>
      <c r="K147" s="2" t="s">
        <v>1915</v>
      </c>
      <c r="L147" s="2" t="str">
        <f>VLOOKUP(B147, Course!$A$1:$O$933, 14, FALSE)</f>
        <v>SC</v>
      </c>
      <c r="M147" s="2">
        <v>1</v>
      </c>
    </row>
    <row r="148" spans="1:13" ht="15.75" hidden="1" customHeight="1" x14ac:dyDescent="0.2">
      <c r="A148" s="2">
        <v>147</v>
      </c>
      <c r="B148" s="2">
        <v>13</v>
      </c>
      <c r="C148" s="2">
        <v>16</v>
      </c>
      <c r="D148" s="2" t="s">
        <v>377</v>
      </c>
      <c r="E148" s="2" t="str">
        <f t="shared" si="0"/>
        <v>1216SC03PT</v>
      </c>
      <c r="F148" s="2" t="str">
        <f>VLOOKUP(B148,Course!$A$2:$R$329,2,FALSE)</f>
        <v>Science 2</v>
      </c>
      <c r="G148" s="2">
        <f>VLOOKUP(B148, Course!$A$2:$L$950, 8, FALSE)</f>
        <v>12</v>
      </c>
      <c r="H148" s="2">
        <v>3</v>
      </c>
      <c r="I148" s="2">
        <v>1</v>
      </c>
      <c r="K148" s="2" t="s">
        <v>1915</v>
      </c>
      <c r="L148" s="2" t="str">
        <f>VLOOKUP(B148, Course!$A$1:$O$933, 14, FALSE)</f>
        <v>SC</v>
      </c>
      <c r="M148" s="2">
        <v>1</v>
      </c>
    </row>
    <row r="149" spans="1:13" ht="15.75" hidden="1" customHeight="1" x14ac:dyDescent="0.2">
      <c r="A149" s="2">
        <v>148</v>
      </c>
      <c r="B149" s="2">
        <v>13</v>
      </c>
      <c r="C149" s="2">
        <v>17</v>
      </c>
      <c r="D149" s="2" t="s">
        <v>377</v>
      </c>
      <c r="E149" s="2" t="str">
        <f t="shared" si="0"/>
        <v>1217SC03PT</v>
      </c>
      <c r="F149" s="2" t="str">
        <f>VLOOKUP(B149,Course!$A$2:$R$329,2,FALSE)</f>
        <v>Science 2</v>
      </c>
      <c r="G149" s="2">
        <f>VLOOKUP(B149, Course!$A$2:$L$950, 8, FALSE)</f>
        <v>12</v>
      </c>
      <c r="H149" s="2">
        <v>3</v>
      </c>
      <c r="I149" s="2">
        <v>1</v>
      </c>
      <c r="K149" s="2" t="s">
        <v>1915</v>
      </c>
      <c r="L149" s="2" t="str">
        <f>VLOOKUP(B149, Course!$A$1:$O$933, 14, FALSE)</f>
        <v>SC</v>
      </c>
      <c r="M149" s="2">
        <v>1</v>
      </c>
    </row>
    <row r="150" spans="1:13" ht="15.75" hidden="1" customHeight="1" x14ac:dyDescent="0.2">
      <c r="A150" s="2">
        <v>149</v>
      </c>
      <c r="B150" s="2">
        <v>13</v>
      </c>
      <c r="C150" s="2">
        <v>18</v>
      </c>
      <c r="D150" s="2" t="s">
        <v>377</v>
      </c>
      <c r="E150" s="2" t="str">
        <f t="shared" si="0"/>
        <v>1218SC03PT</v>
      </c>
      <c r="F150" s="2" t="str">
        <f>VLOOKUP(B150,Course!$A$2:$R$329,2,FALSE)</f>
        <v>Science 2</v>
      </c>
      <c r="G150" s="2">
        <f>VLOOKUP(B150, Course!$A$2:$L$950, 8, FALSE)</f>
        <v>12</v>
      </c>
      <c r="H150" s="2">
        <v>3</v>
      </c>
      <c r="I150" s="2">
        <v>1</v>
      </c>
      <c r="K150" s="2" t="s">
        <v>1915</v>
      </c>
      <c r="L150" s="2" t="str">
        <f>VLOOKUP(B150, Course!$A$1:$O$933, 14, FALSE)</f>
        <v>SC</v>
      </c>
      <c r="M150" s="2">
        <v>1</v>
      </c>
    </row>
    <row r="151" spans="1:13" ht="15.75" hidden="1" customHeight="1" x14ac:dyDescent="0.2">
      <c r="A151" s="2">
        <v>150</v>
      </c>
      <c r="B151" s="2">
        <v>13</v>
      </c>
      <c r="C151" s="2">
        <v>19</v>
      </c>
      <c r="D151" s="2" t="s">
        <v>377</v>
      </c>
      <c r="E151" s="2" t="str">
        <f t="shared" si="0"/>
        <v>1219SC03PT</v>
      </c>
      <c r="F151" s="2" t="str">
        <f>VLOOKUP(B151,Course!$A$2:$R$329,2,FALSE)</f>
        <v>Science 2</v>
      </c>
      <c r="G151" s="2">
        <f>VLOOKUP(B151, Course!$A$2:$L$950, 8, FALSE)</f>
        <v>12</v>
      </c>
      <c r="H151" s="2">
        <v>3</v>
      </c>
      <c r="I151" s="2">
        <v>2</v>
      </c>
      <c r="K151" s="2" t="s">
        <v>1915</v>
      </c>
      <c r="L151" s="2" t="str">
        <f>VLOOKUP(B151, Course!$A$1:$O$933, 14, FALSE)</f>
        <v>SC</v>
      </c>
      <c r="M151" s="2">
        <v>1</v>
      </c>
    </row>
    <row r="152" spans="1:13" ht="15.75" hidden="1" customHeight="1" x14ac:dyDescent="0.2">
      <c r="A152" s="2">
        <v>151</v>
      </c>
      <c r="B152" s="2">
        <v>13</v>
      </c>
      <c r="C152" s="2">
        <v>20</v>
      </c>
      <c r="D152" s="2" t="s">
        <v>377</v>
      </c>
      <c r="E152" s="2" t="str">
        <f t="shared" si="0"/>
        <v>1220SC03PT</v>
      </c>
      <c r="F152" s="2" t="str">
        <f>VLOOKUP(B152,Course!$A$2:$R$329,2,FALSE)</f>
        <v>Science 2</v>
      </c>
      <c r="G152" s="2">
        <f>VLOOKUP(B152, Course!$A$2:$L$950, 8, FALSE)</f>
        <v>12</v>
      </c>
      <c r="H152" s="2">
        <v>3</v>
      </c>
      <c r="I152" s="2">
        <v>1</v>
      </c>
      <c r="K152" s="2" t="s">
        <v>1915</v>
      </c>
      <c r="L152" s="2" t="str">
        <f>VLOOKUP(B152, Course!$A$1:$O$933, 14, FALSE)</f>
        <v>SC</v>
      </c>
      <c r="M152" s="2">
        <v>1</v>
      </c>
    </row>
    <row r="153" spans="1:13" ht="15.75" hidden="1" customHeight="1" x14ac:dyDescent="0.2">
      <c r="A153" s="2">
        <v>152</v>
      </c>
      <c r="B153" s="2">
        <v>13</v>
      </c>
      <c r="C153" s="2">
        <v>21</v>
      </c>
      <c r="D153" s="2" t="s">
        <v>377</v>
      </c>
      <c r="E153" s="2" t="str">
        <f t="shared" si="0"/>
        <v>1221SC03PT</v>
      </c>
      <c r="F153" s="2" t="str">
        <f>VLOOKUP(B153,Course!$A$2:$R$329,2,FALSE)</f>
        <v>Science 2</v>
      </c>
      <c r="G153" s="2">
        <f>VLOOKUP(B153, Course!$A$2:$L$950, 8, FALSE)</f>
        <v>12</v>
      </c>
      <c r="H153" s="2">
        <v>3</v>
      </c>
      <c r="I153" s="2">
        <v>1</v>
      </c>
      <c r="K153" s="2" t="s">
        <v>1915</v>
      </c>
      <c r="L153" s="2" t="str">
        <f>VLOOKUP(B153, Course!$A$1:$O$933, 14, FALSE)</f>
        <v>SC</v>
      </c>
      <c r="M153" s="2">
        <v>1</v>
      </c>
    </row>
    <row r="154" spans="1:13" ht="15.75" hidden="1" customHeight="1" x14ac:dyDescent="0.2">
      <c r="A154" s="2">
        <v>153</v>
      </c>
      <c r="B154" s="2">
        <v>13</v>
      </c>
      <c r="C154" s="2">
        <v>22</v>
      </c>
      <c r="D154" s="2" t="s">
        <v>377</v>
      </c>
      <c r="E154" s="2" t="str">
        <f t="shared" si="0"/>
        <v>1222SC03PT</v>
      </c>
      <c r="F154" s="2" t="str">
        <f>VLOOKUP(B154,Course!$A$2:$R$329,2,FALSE)</f>
        <v>Science 2</v>
      </c>
      <c r="G154" s="2">
        <f>VLOOKUP(B154, Course!$A$2:$L$950, 8, FALSE)</f>
        <v>12</v>
      </c>
      <c r="H154" s="2">
        <v>3</v>
      </c>
      <c r="I154" s="2">
        <v>1</v>
      </c>
      <c r="K154" s="2" t="s">
        <v>1915</v>
      </c>
      <c r="L154" s="2" t="str">
        <f>VLOOKUP(B154, Course!$A$1:$O$933, 14, FALSE)</f>
        <v>SC</v>
      </c>
      <c r="M154" s="2">
        <v>1</v>
      </c>
    </row>
    <row r="155" spans="1:13" ht="15.75" hidden="1" customHeight="1" x14ac:dyDescent="0.2">
      <c r="A155" s="2">
        <v>154</v>
      </c>
      <c r="B155" s="2">
        <v>13</v>
      </c>
      <c r="C155" s="2">
        <v>23</v>
      </c>
      <c r="D155" s="2" t="s">
        <v>377</v>
      </c>
      <c r="E155" s="2" t="str">
        <f t="shared" si="0"/>
        <v>1223SC03PT</v>
      </c>
      <c r="F155" s="2" t="str">
        <f>VLOOKUP(B155,Course!$A$2:$R$329,2,FALSE)</f>
        <v>Science 2</v>
      </c>
      <c r="G155" s="2">
        <f>VLOOKUP(B155, Course!$A$2:$L$950, 8, FALSE)</f>
        <v>12</v>
      </c>
      <c r="H155" s="2">
        <v>3</v>
      </c>
      <c r="I155" s="2">
        <v>1</v>
      </c>
      <c r="K155" s="2" t="s">
        <v>1915</v>
      </c>
      <c r="L155" s="2" t="str">
        <f>VLOOKUP(B155, Course!$A$1:$O$933, 14, FALSE)</f>
        <v>SC</v>
      </c>
      <c r="M155" s="2">
        <v>1</v>
      </c>
    </row>
    <row r="156" spans="1:13" ht="15.75" hidden="1" customHeight="1" x14ac:dyDescent="0.2">
      <c r="A156" s="2">
        <v>155</v>
      </c>
      <c r="B156" s="2">
        <v>13</v>
      </c>
      <c r="C156" s="2">
        <v>24</v>
      </c>
      <c r="D156" s="2" t="s">
        <v>377</v>
      </c>
      <c r="E156" s="2" t="str">
        <f t="shared" si="0"/>
        <v>1224SC03PT</v>
      </c>
      <c r="F156" s="2" t="str">
        <f>VLOOKUP(B156,Course!$A$2:$R$329,2,FALSE)</f>
        <v>Science 2</v>
      </c>
      <c r="G156" s="2">
        <f>VLOOKUP(B156, Course!$A$2:$L$950, 8, FALSE)</f>
        <v>12</v>
      </c>
      <c r="H156" s="2">
        <v>3</v>
      </c>
      <c r="I156" s="2">
        <v>1</v>
      </c>
      <c r="K156" s="2" t="s">
        <v>1915</v>
      </c>
      <c r="L156" s="2" t="str">
        <f>VLOOKUP(B156, Course!$A$1:$O$933, 14, FALSE)</f>
        <v>SC</v>
      </c>
      <c r="M156" s="2">
        <v>1</v>
      </c>
    </row>
    <row r="157" spans="1:13" ht="15.75" hidden="1" customHeight="1" x14ac:dyDescent="0.2">
      <c r="A157" s="2">
        <v>156</v>
      </c>
      <c r="B157" s="2">
        <v>14</v>
      </c>
      <c r="C157" s="2">
        <v>13</v>
      </c>
      <c r="D157" s="2" t="s">
        <v>379</v>
      </c>
      <c r="E157" s="2" t="str">
        <f t="shared" si="0"/>
        <v>1213SS03PT</v>
      </c>
      <c r="F157" s="2">
        <f>VLOOKUP(B157,Course!$A$2:$R$329,2,FALSE)</f>
        <v>0</v>
      </c>
      <c r="G157" s="2">
        <f>VLOOKUP(B157, Course!$A$2:$L$950, 8, FALSE)</f>
        <v>12</v>
      </c>
      <c r="H157" s="2">
        <v>3</v>
      </c>
      <c r="I157" s="2">
        <v>1</v>
      </c>
      <c r="K157" s="2" t="s">
        <v>1915</v>
      </c>
      <c r="L157" s="2" t="str">
        <f>VLOOKUP(B157, Course!$A$1:$O$933, 14, FALSE)</f>
        <v>SS</v>
      </c>
      <c r="M157" s="2">
        <v>1</v>
      </c>
    </row>
    <row r="158" spans="1:13" ht="15.75" hidden="1" customHeight="1" x14ac:dyDescent="0.2">
      <c r="A158" s="2">
        <v>157</v>
      </c>
      <c r="B158" s="2">
        <v>14</v>
      </c>
      <c r="C158" s="2">
        <v>14</v>
      </c>
      <c r="D158" s="2" t="s">
        <v>379</v>
      </c>
      <c r="E158" s="2" t="str">
        <f t="shared" si="0"/>
        <v>1214SS03PT</v>
      </c>
      <c r="F158" s="2">
        <f>VLOOKUP(B158,Course!$A$2:$R$329,2,FALSE)</f>
        <v>0</v>
      </c>
      <c r="G158" s="2">
        <f>VLOOKUP(B158, Course!$A$2:$L$950, 8, FALSE)</f>
        <v>12</v>
      </c>
      <c r="H158" s="2">
        <v>3</v>
      </c>
      <c r="I158" s="2">
        <v>1</v>
      </c>
      <c r="K158" s="2" t="s">
        <v>1915</v>
      </c>
      <c r="L158" s="2" t="str">
        <f>VLOOKUP(B158, Course!$A$1:$O$933, 14, FALSE)</f>
        <v>SS</v>
      </c>
      <c r="M158" s="2">
        <v>1</v>
      </c>
    </row>
    <row r="159" spans="1:13" ht="15.75" hidden="1" customHeight="1" x14ac:dyDescent="0.2">
      <c r="A159" s="2">
        <v>158</v>
      </c>
      <c r="B159" s="2">
        <v>14</v>
      </c>
      <c r="C159" s="2">
        <v>15</v>
      </c>
      <c r="D159" s="2" t="s">
        <v>379</v>
      </c>
      <c r="E159" s="2" t="str">
        <f t="shared" si="0"/>
        <v>1215SS03PT</v>
      </c>
      <c r="F159" s="2">
        <f>VLOOKUP(B159,Course!$A$2:$R$329,2,FALSE)</f>
        <v>0</v>
      </c>
      <c r="G159" s="2">
        <f>VLOOKUP(B159, Course!$A$2:$L$950, 8, FALSE)</f>
        <v>12</v>
      </c>
      <c r="H159" s="2">
        <v>3</v>
      </c>
      <c r="I159" s="2">
        <v>1</v>
      </c>
      <c r="K159" s="2" t="s">
        <v>1915</v>
      </c>
      <c r="L159" s="2" t="str">
        <f>VLOOKUP(B159, Course!$A$1:$O$933, 14, FALSE)</f>
        <v>SS</v>
      </c>
      <c r="M159" s="2">
        <v>1</v>
      </c>
    </row>
    <row r="160" spans="1:13" ht="15.75" hidden="1" customHeight="1" x14ac:dyDescent="0.2">
      <c r="A160" s="2">
        <v>159</v>
      </c>
      <c r="B160" s="2">
        <v>14</v>
      </c>
      <c r="C160" s="2">
        <v>16</v>
      </c>
      <c r="D160" s="2" t="s">
        <v>379</v>
      </c>
      <c r="E160" s="2" t="str">
        <f t="shared" si="0"/>
        <v>1216SS03PT</v>
      </c>
      <c r="F160" s="2">
        <f>VLOOKUP(B160,Course!$A$2:$R$329,2,FALSE)</f>
        <v>0</v>
      </c>
      <c r="G160" s="2">
        <f>VLOOKUP(B160, Course!$A$2:$L$950, 8, FALSE)</f>
        <v>12</v>
      </c>
      <c r="H160" s="2">
        <v>3</v>
      </c>
      <c r="I160" s="2">
        <v>1</v>
      </c>
      <c r="K160" s="2" t="s">
        <v>1915</v>
      </c>
      <c r="L160" s="2" t="str">
        <f>VLOOKUP(B160, Course!$A$1:$O$933, 14, FALSE)</f>
        <v>SS</v>
      </c>
      <c r="M160" s="2">
        <v>1</v>
      </c>
    </row>
    <row r="161" spans="1:13" ht="15.75" hidden="1" customHeight="1" x14ac:dyDescent="0.2">
      <c r="A161" s="2">
        <v>160</v>
      </c>
      <c r="B161" s="2">
        <v>14</v>
      </c>
      <c r="C161" s="2">
        <v>17</v>
      </c>
      <c r="D161" s="2" t="s">
        <v>379</v>
      </c>
      <c r="E161" s="2" t="str">
        <f t="shared" si="0"/>
        <v>1217SS03PT</v>
      </c>
      <c r="F161" s="2">
        <f>VLOOKUP(B161,Course!$A$2:$R$329,2,FALSE)</f>
        <v>0</v>
      </c>
      <c r="G161" s="2">
        <f>VLOOKUP(B161, Course!$A$2:$L$950, 8, FALSE)</f>
        <v>12</v>
      </c>
      <c r="H161" s="2">
        <v>3</v>
      </c>
      <c r="I161" s="2">
        <v>1</v>
      </c>
      <c r="K161" s="2" t="s">
        <v>1915</v>
      </c>
      <c r="L161" s="2" t="str">
        <f>VLOOKUP(B161, Course!$A$1:$O$933, 14, FALSE)</f>
        <v>SS</v>
      </c>
      <c r="M161" s="2">
        <v>1</v>
      </c>
    </row>
    <row r="162" spans="1:13" ht="15.75" hidden="1" customHeight="1" x14ac:dyDescent="0.2">
      <c r="A162" s="2">
        <v>161</v>
      </c>
      <c r="B162" s="2">
        <v>14</v>
      </c>
      <c r="C162" s="2">
        <v>18</v>
      </c>
      <c r="D162" s="2" t="s">
        <v>379</v>
      </c>
      <c r="E162" s="2" t="str">
        <f t="shared" si="0"/>
        <v>1218SS03PT</v>
      </c>
      <c r="F162" s="2">
        <f>VLOOKUP(B162,Course!$A$2:$R$329,2,FALSE)</f>
        <v>0</v>
      </c>
      <c r="G162" s="2">
        <f>VLOOKUP(B162, Course!$A$2:$L$950, 8, FALSE)</f>
        <v>12</v>
      </c>
      <c r="H162" s="2">
        <v>3</v>
      </c>
      <c r="I162" s="2">
        <v>1</v>
      </c>
      <c r="K162" s="2" t="s">
        <v>1915</v>
      </c>
      <c r="L162" s="2" t="str">
        <f>VLOOKUP(B162, Course!$A$1:$O$933, 14, FALSE)</f>
        <v>SS</v>
      </c>
      <c r="M162" s="2">
        <v>1</v>
      </c>
    </row>
    <row r="163" spans="1:13" ht="15.75" hidden="1" customHeight="1" x14ac:dyDescent="0.2">
      <c r="A163" s="2">
        <v>162</v>
      </c>
      <c r="B163" s="2">
        <v>14</v>
      </c>
      <c r="C163" s="2">
        <v>19</v>
      </c>
      <c r="D163" s="2" t="s">
        <v>379</v>
      </c>
      <c r="E163" s="2" t="str">
        <f t="shared" si="0"/>
        <v>1219SS03PT</v>
      </c>
      <c r="F163" s="2">
        <f>VLOOKUP(B163,Course!$A$2:$R$329,2,FALSE)</f>
        <v>0</v>
      </c>
      <c r="G163" s="2">
        <f>VLOOKUP(B163, Course!$A$2:$L$950, 8, FALSE)</f>
        <v>12</v>
      </c>
      <c r="H163" s="2">
        <v>3</v>
      </c>
      <c r="I163" s="2">
        <v>2</v>
      </c>
      <c r="K163" s="2" t="s">
        <v>1915</v>
      </c>
      <c r="L163" s="2" t="str">
        <f>VLOOKUP(B163, Course!$A$1:$O$933, 14, FALSE)</f>
        <v>SS</v>
      </c>
      <c r="M163" s="2">
        <v>1</v>
      </c>
    </row>
    <row r="164" spans="1:13" ht="15.75" hidden="1" customHeight="1" x14ac:dyDescent="0.2">
      <c r="A164" s="2">
        <v>163</v>
      </c>
      <c r="B164" s="2">
        <v>14</v>
      </c>
      <c r="C164" s="2">
        <v>20</v>
      </c>
      <c r="D164" s="2" t="s">
        <v>379</v>
      </c>
      <c r="E164" s="2" t="str">
        <f t="shared" si="0"/>
        <v>1220SS03PT</v>
      </c>
      <c r="F164" s="2">
        <f>VLOOKUP(B164,Course!$A$2:$R$329,2,FALSE)</f>
        <v>0</v>
      </c>
      <c r="G164" s="2">
        <f>VLOOKUP(B164, Course!$A$2:$L$950, 8, FALSE)</f>
        <v>12</v>
      </c>
      <c r="H164" s="2">
        <v>3</v>
      </c>
      <c r="I164" s="2">
        <v>1</v>
      </c>
      <c r="K164" s="2" t="s">
        <v>1915</v>
      </c>
      <c r="L164" s="2" t="str">
        <f>VLOOKUP(B164, Course!$A$1:$O$933, 14, FALSE)</f>
        <v>SS</v>
      </c>
      <c r="M164" s="2">
        <v>1</v>
      </c>
    </row>
    <row r="165" spans="1:13" ht="15.75" hidden="1" customHeight="1" x14ac:dyDescent="0.2">
      <c r="A165" s="2">
        <v>164</v>
      </c>
      <c r="B165" s="2">
        <v>14</v>
      </c>
      <c r="C165" s="2">
        <v>21</v>
      </c>
      <c r="D165" s="2" t="s">
        <v>379</v>
      </c>
      <c r="E165" s="2" t="str">
        <f t="shared" si="0"/>
        <v>1221SS03PT</v>
      </c>
      <c r="F165" s="2">
        <f>VLOOKUP(B165,Course!$A$2:$R$329,2,FALSE)</f>
        <v>0</v>
      </c>
      <c r="G165" s="2">
        <f>VLOOKUP(B165, Course!$A$2:$L$950, 8, FALSE)</f>
        <v>12</v>
      </c>
      <c r="H165" s="2">
        <v>3</v>
      </c>
      <c r="I165" s="2">
        <v>1</v>
      </c>
      <c r="K165" s="2" t="s">
        <v>1915</v>
      </c>
      <c r="L165" s="2" t="str">
        <f>VLOOKUP(B165, Course!$A$1:$O$933, 14, FALSE)</f>
        <v>SS</v>
      </c>
      <c r="M165" s="2">
        <v>1</v>
      </c>
    </row>
    <row r="166" spans="1:13" ht="15.75" hidden="1" customHeight="1" x14ac:dyDescent="0.2">
      <c r="A166" s="2">
        <v>165</v>
      </c>
      <c r="B166" s="2">
        <v>14</v>
      </c>
      <c r="C166" s="2">
        <v>22</v>
      </c>
      <c r="D166" s="2" t="s">
        <v>379</v>
      </c>
      <c r="E166" s="2" t="str">
        <f t="shared" si="0"/>
        <v>1222SS03PT</v>
      </c>
      <c r="F166" s="2">
        <f>VLOOKUP(B166,Course!$A$2:$R$329,2,FALSE)</f>
        <v>0</v>
      </c>
      <c r="G166" s="2">
        <f>VLOOKUP(B166, Course!$A$2:$L$950, 8, FALSE)</f>
        <v>12</v>
      </c>
      <c r="H166" s="2">
        <v>3</v>
      </c>
      <c r="I166" s="2">
        <v>1</v>
      </c>
      <c r="K166" s="2" t="s">
        <v>1915</v>
      </c>
      <c r="L166" s="2" t="str">
        <f>VLOOKUP(B166, Course!$A$1:$O$933, 14, FALSE)</f>
        <v>SS</v>
      </c>
      <c r="M166" s="2">
        <v>1</v>
      </c>
    </row>
    <row r="167" spans="1:13" ht="15.75" hidden="1" customHeight="1" x14ac:dyDescent="0.2">
      <c r="A167" s="2">
        <v>166</v>
      </c>
      <c r="B167" s="2">
        <v>14</v>
      </c>
      <c r="C167" s="2">
        <v>23</v>
      </c>
      <c r="D167" s="2" t="s">
        <v>379</v>
      </c>
      <c r="E167" s="2" t="str">
        <f t="shared" si="0"/>
        <v>1223SS03PT</v>
      </c>
      <c r="F167" s="2">
        <f>VLOOKUP(B167,Course!$A$2:$R$329,2,FALSE)</f>
        <v>0</v>
      </c>
      <c r="G167" s="2">
        <f>VLOOKUP(B167, Course!$A$2:$L$950, 8, FALSE)</f>
        <v>12</v>
      </c>
      <c r="H167" s="2">
        <v>3</v>
      </c>
      <c r="I167" s="2">
        <v>1</v>
      </c>
      <c r="K167" s="2" t="s">
        <v>1915</v>
      </c>
      <c r="L167" s="2" t="str">
        <f>VLOOKUP(B167, Course!$A$1:$O$933, 14, FALSE)</f>
        <v>SS</v>
      </c>
      <c r="M167" s="2">
        <v>1</v>
      </c>
    </row>
    <row r="168" spans="1:13" ht="15.75" hidden="1" customHeight="1" x14ac:dyDescent="0.2">
      <c r="A168" s="2">
        <v>167</v>
      </c>
      <c r="B168" s="2">
        <v>14</v>
      </c>
      <c r="C168" s="2">
        <v>24</v>
      </c>
      <c r="D168" s="2" t="s">
        <v>379</v>
      </c>
      <c r="E168" s="2" t="str">
        <f t="shared" si="0"/>
        <v>1224SS03PT</v>
      </c>
      <c r="F168" s="2">
        <f>VLOOKUP(B168,Course!$A$2:$R$329,2,FALSE)</f>
        <v>0</v>
      </c>
      <c r="G168" s="2">
        <f>VLOOKUP(B168, Course!$A$2:$L$950, 8, FALSE)</f>
        <v>12</v>
      </c>
      <c r="H168" s="2">
        <v>3</v>
      </c>
      <c r="I168" s="2">
        <v>1</v>
      </c>
      <c r="K168" s="2" t="s">
        <v>1915</v>
      </c>
      <c r="L168" s="2" t="str">
        <f>VLOOKUP(B168, Course!$A$1:$O$933, 14, FALSE)</f>
        <v>SS</v>
      </c>
      <c r="M168" s="2">
        <v>1</v>
      </c>
    </row>
    <row r="169" spans="1:13" ht="15.75" hidden="1" customHeight="1" x14ac:dyDescent="0.2">
      <c r="A169" s="2">
        <v>168</v>
      </c>
      <c r="B169" s="2">
        <v>15</v>
      </c>
      <c r="C169" s="2">
        <v>13</v>
      </c>
      <c r="D169" s="2" t="s">
        <v>484</v>
      </c>
      <c r="E169" s="2" t="str">
        <f t="shared" si="0"/>
        <v>1213BR03PT</v>
      </c>
      <c r="F169" s="2">
        <f>VLOOKUP(B169,Course!$A$2:$R$329,2,FALSE)</f>
        <v>0</v>
      </c>
      <c r="G169" s="2">
        <f>VLOOKUP(B169, Course!$A$2:$L$950, 8, FALSE)</f>
        <v>12</v>
      </c>
      <c r="H169" s="2">
        <v>3</v>
      </c>
      <c r="I169" s="2">
        <v>1</v>
      </c>
      <c r="K169" s="2" t="s">
        <v>1915</v>
      </c>
      <c r="L169" s="2" t="str">
        <f>VLOOKUP(B169, Course!$A$1:$O$933, 14, FALSE)</f>
        <v>BR</v>
      </c>
      <c r="M169" s="2">
        <v>1</v>
      </c>
    </row>
    <row r="170" spans="1:13" ht="15.75" hidden="1" customHeight="1" x14ac:dyDescent="0.2">
      <c r="A170" s="2">
        <v>169</v>
      </c>
      <c r="B170" s="2">
        <v>15</v>
      </c>
      <c r="C170" s="2">
        <v>14</v>
      </c>
      <c r="D170" s="2" t="s">
        <v>484</v>
      </c>
      <c r="E170" s="2" t="str">
        <f t="shared" si="0"/>
        <v>1214BR03PT</v>
      </c>
      <c r="F170" s="2">
        <f>VLOOKUP(B170,Course!$A$2:$R$329,2,FALSE)</f>
        <v>0</v>
      </c>
      <c r="G170" s="2">
        <f>VLOOKUP(B170, Course!$A$2:$L$950, 8, FALSE)</f>
        <v>12</v>
      </c>
      <c r="H170" s="2">
        <v>3</v>
      </c>
      <c r="I170" s="2">
        <v>1</v>
      </c>
      <c r="K170" s="2" t="s">
        <v>1915</v>
      </c>
      <c r="L170" s="2" t="str">
        <f>VLOOKUP(B170, Course!$A$1:$O$933, 14, FALSE)</f>
        <v>BR</v>
      </c>
      <c r="M170" s="2">
        <v>1</v>
      </c>
    </row>
    <row r="171" spans="1:13" ht="15.75" hidden="1" customHeight="1" x14ac:dyDescent="0.2">
      <c r="A171" s="2">
        <v>170</v>
      </c>
      <c r="B171" s="2">
        <v>15</v>
      </c>
      <c r="C171" s="2">
        <v>15</v>
      </c>
      <c r="D171" s="2" t="s">
        <v>484</v>
      </c>
      <c r="E171" s="2" t="str">
        <f t="shared" si="0"/>
        <v>1215BR03PT</v>
      </c>
      <c r="F171" s="2">
        <f>VLOOKUP(B171,Course!$A$2:$R$329,2,FALSE)</f>
        <v>0</v>
      </c>
      <c r="G171" s="2">
        <f>VLOOKUP(B171, Course!$A$2:$L$950, 8, FALSE)</f>
        <v>12</v>
      </c>
      <c r="H171" s="2">
        <v>3</v>
      </c>
      <c r="I171" s="2">
        <v>1</v>
      </c>
      <c r="K171" s="2" t="s">
        <v>1915</v>
      </c>
      <c r="L171" s="2" t="str">
        <f>VLOOKUP(B171, Course!$A$1:$O$933, 14, FALSE)</f>
        <v>BR</v>
      </c>
      <c r="M171" s="2">
        <v>1</v>
      </c>
    </row>
    <row r="172" spans="1:13" ht="15.75" hidden="1" customHeight="1" x14ac:dyDescent="0.2">
      <c r="A172" s="2">
        <v>171</v>
      </c>
      <c r="B172" s="2">
        <v>15</v>
      </c>
      <c r="C172" s="2">
        <v>16</v>
      </c>
      <c r="D172" s="2" t="s">
        <v>484</v>
      </c>
      <c r="E172" s="2" t="str">
        <f t="shared" si="0"/>
        <v>1216BR03PT</v>
      </c>
      <c r="F172" s="2">
        <f>VLOOKUP(B172,Course!$A$2:$R$329,2,FALSE)</f>
        <v>0</v>
      </c>
      <c r="G172" s="2">
        <f>VLOOKUP(B172, Course!$A$2:$L$950, 8, FALSE)</f>
        <v>12</v>
      </c>
      <c r="H172" s="2">
        <v>3</v>
      </c>
      <c r="I172" s="2">
        <v>1</v>
      </c>
      <c r="K172" s="2" t="s">
        <v>1915</v>
      </c>
      <c r="L172" s="2" t="str">
        <f>VLOOKUP(B172, Course!$A$1:$O$933, 14, FALSE)</f>
        <v>BR</v>
      </c>
      <c r="M172" s="2">
        <v>1</v>
      </c>
    </row>
    <row r="173" spans="1:13" ht="15.75" hidden="1" customHeight="1" x14ac:dyDescent="0.2">
      <c r="A173" s="2">
        <v>172</v>
      </c>
      <c r="B173" s="2">
        <v>15</v>
      </c>
      <c r="C173" s="2">
        <v>17</v>
      </c>
      <c r="D173" s="2" t="s">
        <v>484</v>
      </c>
      <c r="E173" s="2" t="str">
        <f t="shared" si="0"/>
        <v>1217BR03PT</v>
      </c>
      <c r="F173" s="2">
        <f>VLOOKUP(B173,Course!$A$2:$R$329,2,FALSE)</f>
        <v>0</v>
      </c>
      <c r="G173" s="2">
        <f>VLOOKUP(B173, Course!$A$2:$L$950, 8, FALSE)</f>
        <v>12</v>
      </c>
      <c r="H173" s="2">
        <v>3</v>
      </c>
      <c r="I173" s="2">
        <v>1</v>
      </c>
      <c r="K173" s="2" t="s">
        <v>1915</v>
      </c>
      <c r="L173" s="2" t="str">
        <f>VLOOKUP(B173, Course!$A$1:$O$933, 14, FALSE)</f>
        <v>BR</v>
      </c>
      <c r="M173" s="2">
        <v>1</v>
      </c>
    </row>
    <row r="174" spans="1:13" ht="15.75" hidden="1" customHeight="1" x14ac:dyDescent="0.2">
      <c r="A174" s="2">
        <v>173</v>
      </c>
      <c r="B174" s="2">
        <v>15</v>
      </c>
      <c r="C174" s="2">
        <v>18</v>
      </c>
      <c r="D174" s="2" t="s">
        <v>484</v>
      </c>
      <c r="E174" s="2" t="str">
        <f t="shared" si="0"/>
        <v>1218BR03PT</v>
      </c>
      <c r="F174" s="2">
        <f>VLOOKUP(B174,Course!$A$2:$R$329,2,FALSE)</f>
        <v>0</v>
      </c>
      <c r="G174" s="2">
        <f>VLOOKUP(B174, Course!$A$2:$L$950, 8, FALSE)</f>
        <v>12</v>
      </c>
      <c r="H174" s="2">
        <v>3</v>
      </c>
      <c r="I174" s="2">
        <v>1</v>
      </c>
      <c r="K174" s="2" t="s">
        <v>1915</v>
      </c>
      <c r="L174" s="2" t="str">
        <f>VLOOKUP(B174, Course!$A$1:$O$933, 14, FALSE)</f>
        <v>BR</v>
      </c>
      <c r="M174" s="2">
        <v>1</v>
      </c>
    </row>
    <row r="175" spans="1:13" ht="15.75" hidden="1" customHeight="1" x14ac:dyDescent="0.2">
      <c r="A175" s="2">
        <v>174</v>
      </c>
      <c r="B175" s="2">
        <v>15</v>
      </c>
      <c r="C175" s="2">
        <v>19</v>
      </c>
      <c r="D175" s="2" t="s">
        <v>484</v>
      </c>
      <c r="E175" s="2" t="str">
        <f t="shared" si="0"/>
        <v>1219BR03PT</v>
      </c>
      <c r="F175" s="2">
        <f>VLOOKUP(B175,Course!$A$2:$R$329,2,FALSE)</f>
        <v>0</v>
      </c>
      <c r="G175" s="2">
        <f>VLOOKUP(B175, Course!$A$2:$L$950, 8, FALSE)</f>
        <v>12</v>
      </c>
      <c r="H175" s="2">
        <v>3</v>
      </c>
      <c r="I175" s="2">
        <v>1</v>
      </c>
      <c r="K175" s="2" t="s">
        <v>1915</v>
      </c>
      <c r="L175" s="2" t="str">
        <f>VLOOKUP(B175, Course!$A$1:$O$933, 14, FALSE)</f>
        <v>BR</v>
      </c>
      <c r="M175" s="2">
        <v>1</v>
      </c>
    </row>
    <row r="176" spans="1:13" ht="15.75" hidden="1" customHeight="1" x14ac:dyDescent="0.2">
      <c r="A176" s="2">
        <v>175</v>
      </c>
      <c r="B176" s="2">
        <v>15</v>
      </c>
      <c r="C176" s="2">
        <v>20</v>
      </c>
      <c r="D176" s="2" t="s">
        <v>484</v>
      </c>
      <c r="E176" s="2" t="str">
        <f t="shared" si="0"/>
        <v>1220BR03PT</v>
      </c>
      <c r="F176" s="2">
        <f>VLOOKUP(B176,Course!$A$2:$R$329,2,FALSE)</f>
        <v>0</v>
      </c>
      <c r="G176" s="2">
        <f>VLOOKUP(B176, Course!$A$2:$L$950, 8, FALSE)</f>
        <v>12</v>
      </c>
      <c r="H176" s="2">
        <v>3</v>
      </c>
      <c r="I176" s="2">
        <v>1</v>
      </c>
      <c r="K176" s="2" t="s">
        <v>1915</v>
      </c>
      <c r="L176" s="2" t="str">
        <f>VLOOKUP(B176, Course!$A$1:$O$933, 14, FALSE)</f>
        <v>BR</v>
      </c>
      <c r="M176" s="2">
        <v>1</v>
      </c>
    </row>
    <row r="177" spans="1:13" ht="15.75" hidden="1" customHeight="1" x14ac:dyDescent="0.2">
      <c r="A177" s="2">
        <v>176</v>
      </c>
      <c r="B177" s="2">
        <v>15</v>
      </c>
      <c r="C177" s="2">
        <v>21</v>
      </c>
      <c r="D177" s="2" t="s">
        <v>484</v>
      </c>
      <c r="E177" s="2" t="str">
        <f t="shared" si="0"/>
        <v>1221BR03PT</v>
      </c>
      <c r="F177" s="2">
        <f>VLOOKUP(B177,Course!$A$2:$R$329,2,FALSE)</f>
        <v>0</v>
      </c>
      <c r="G177" s="2">
        <f>VLOOKUP(B177, Course!$A$2:$L$950, 8, FALSE)</f>
        <v>12</v>
      </c>
      <c r="H177" s="2">
        <v>3</v>
      </c>
      <c r="I177" s="2">
        <v>1</v>
      </c>
      <c r="K177" s="2" t="s">
        <v>1915</v>
      </c>
      <c r="L177" s="2" t="str">
        <f>VLOOKUP(B177, Course!$A$1:$O$933, 14, FALSE)</f>
        <v>BR</v>
      </c>
      <c r="M177" s="2">
        <v>1</v>
      </c>
    </row>
    <row r="178" spans="1:13" ht="15.75" hidden="1" customHeight="1" x14ac:dyDescent="0.2">
      <c r="A178" s="2">
        <v>177</v>
      </c>
      <c r="B178" s="2">
        <v>15</v>
      </c>
      <c r="C178" s="2">
        <v>22</v>
      </c>
      <c r="D178" s="2" t="s">
        <v>484</v>
      </c>
      <c r="E178" s="2" t="str">
        <f t="shared" si="0"/>
        <v>1222BR03PT</v>
      </c>
      <c r="F178" s="2">
        <f>VLOOKUP(B178,Course!$A$2:$R$329,2,FALSE)</f>
        <v>0</v>
      </c>
      <c r="G178" s="2">
        <f>VLOOKUP(B178, Course!$A$2:$L$950, 8, FALSE)</f>
        <v>12</v>
      </c>
      <c r="H178" s="2">
        <v>3</v>
      </c>
      <c r="I178" s="2">
        <v>1</v>
      </c>
      <c r="K178" s="2" t="s">
        <v>1915</v>
      </c>
      <c r="L178" s="2" t="str">
        <f>VLOOKUP(B178, Course!$A$1:$O$933, 14, FALSE)</f>
        <v>BR</v>
      </c>
      <c r="M178" s="2">
        <v>1</v>
      </c>
    </row>
    <row r="179" spans="1:13" ht="15.75" hidden="1" customHeight="1" x14ac:dyDescent="0.2">
      <c r="A179" s="2">
        <v>178</v>
      </c>
      <c r="B179" s="2">
        <v>15</v>
      </c>
      <c r="C179" s="2">
        <v>23</v>
      </c>
      <c r="D179" s="2" t="s">
        <v>484</v>
      </c>
      <c r="E179" s="2" t="str">
        <f t="shared" si="0"/>
        <v>1223BR03PT</v>
      </c>
      <c r="F179" s="2">
        <f>VLOOKUP(B179,Course!$A$2:$R$329,2,FALSE)</f>
        <v>0</v>
      </c>
      <c r="G179" s="2">
        <f>VLOOKUP(B179, Course!$A$2:$L$950, 8, FALSE)</f>
        <v>12</v>
      </c>
      <c r="H179" s="2">
        <v>3</v>
      </c>
      <c r="I179" s="2">
        <v>1</v>
      </c>
      <c r="K179" s="2" t="s">
        <v>1915</v>
      </c>
      <c r="L179" s="2" t="str">
        <f>VLOOKUP(B179, Course!$A$1:$O$933, 14, FALSE)</f>
        <v>BR</v>
      </c>
      <c r="M179" s="2">
        <v>1</v>
      </c>
    </row>
    <row r="180" spans="1:13" ht="15.75" hidden="1" customHeight="1" x14ac:dyDescent="0.2">
      <c r="A180" s="2">
        <v>179</v>
      </c>
      <c r="B180" s="2">
        <v>15</v>
      </c>
      <c r="C180" s="2">
        <v>24</v>
      </c>
      <c r="D180" s="2" t="s">
        <v>484</v>
      </c>
      <c r="E180" s="2" t="str">
        <f t="shared" si="0"/>
        <v>1224BR03PT</v>
      </c>
      <c r="F180" s="2">
        <f>VLOOKUP(B180,Course!$A$2:$R$329,2,FALSE)</f>
        <v>0</v>
      </c>
      <c r="G180" s="2">
        <f>VLOOKUP(B180, Course!$A$2:$L$950, 8, FALSE)</f>
        <v>12</v>
      </c>
      <c r="H180" s="2">
        <v>3</v>
      </c>
      <c r="I180" s="2">
        <v>1</v>
      </c>
      <c r="K180" s="2" t="s">
        <v>1915</v>
      </c>
      <c r="L180" s="2" t="str">
        <f>VLOOKUP(B180, Course!$A$1:$O$933, 14, FALSE)</f>
        <v>BR</v>
      </c>
      <c r="M180" s="2">
        <v>1</v>
      </c>
    </row>
    <row r="181" spans="1:13" ht="15.75" hidden="1" customHeight="1" x14ac:dyDescent="0.2">
      <c r="A181" s="2">
        <v>180</v>
      </c>
      <c r="B181" s="2">
        <v>16</v>
      </c>
      <c r="C181" s="2">
        <v>25</v>
      </c>
      <c r="D181" s="2" t="s">
        <v>369</v>
      </c>
      <c r="E181" s="2" t="str">
        <f t="shared" si="0"/>
        <v>1225MA03PT</v>
      </c>
      <c r="F181" s="2">
        <f>VLOOKUP(B181,Course!$A$2:$R$329,2,FALSE)</f>
        <v>0</v>
      </c>
      <c r="G181" s="2">
        <f>VLOOKUP(B181, Course!$A$2:$L$950, 8, FALSE)</f>
        <v>12</v>
      </c>
      <c r="H181" s="2">
        <v>3</v>
      </c>
      <c r="I181" s="2">
        <v>1</v>
      </c>
      <c r="K181" s="2" t="s">
        <v>1915</v>
      </c>
      <c r="L181" s="2" t="str">
        <f>VLOOKUP(B181, Course!$A$1:$O$933, 14, FALSE)</f>
        <v>MA</v>
      </c>
      <c r="M181" s="2">
        <v>1</v>
      </c>
    </row>
    <row r="182" spans="1:13" ht="15.75" hidden="1" customHeight="1" x14ac:dyDescent="0.2">
      <c r="A182" s="2">
        <v>181</v>
      </c>
      <c r="B182" s="2">
        <v>16</v>
      </c>
      <c r="C182" s="2">
        <v>26</v>
      </c>
      <c r="D182" s="2" t="s">
        <v>369</v>
      </c>
      <c r="E182" s="2" t="str">
        <f t="shared" si="0"/>
        <v>1226MA03PT</v>
      </c>
      <c r="F182" s="2">
        <f>VLOOKUP(B182,Course!$A$2:$R$329,2,FALSE)</f>
        <v>0</v>
      </c>
      <c r="G182" s="2">
        <f>VLOOKUP(B182, Course!$A$2:$L$950, 8, FALSE)</f>
        <v>12</v>
      </c>
      <c r="H182" s="2">
        <v>3</v>
      </c>
      <c r="I182" s="2">
        <v>1</v>
      </c>
      <c r="K182" s="2" t="s">
        <v>1915</v>
      </c>
      <c r="L182" s="2" t="str">
        <f>VLOOKUP(B182, Course!$A$1:$O$933, 14, FALSE)</f>
        <v>MA</v>
      </c>
      <c r="M182" s="2">
        <v>1</v>
      </c>
    </row>
    <row r="183" spans="1:13" ht="15.75" hidden="1" customHeight="1" x14ac:dyDescent="0.2">
      <c r="A183" s="2">
        <v>182</v>
      </c>
      <c r="B183" s="2">
        <v>16</v>
      </c>
      <c r="C183" s="2">
        <v>27</v>
      </c>
      <c r="D183" s="2" t="s">
        <v>369</v>
      </c>
      <c r="E183" s="2" t="str">
        <f t="shared" si="0"/>
        <v>1227MA03PT</v>
      </c>
      <c r="F183" s="2">
        <f>VLOOKUP(B183,Course!$A$2:$R$329,2,FALSE)</f>
        <v>0</v>
      </c>
      <c r="G183" s="2">
        <f>VLOOKUP(B183, Course!$A$2:$L$950, 8, FALSE)</f>
        <v>12</v>
      </c>
      <c r="H183" s="2">
        <v>3</v>
      </c>
      <c r="I183" s="2">
        <v>1</v>
      </c>
      <c r="K183" s="2" t="s">
        <v>1915</v>
      </c>
      <c r="L183" s="2" t="str">
        <f>VLOOKUP(B183, Course!$A$1:$O$933, 14, FALSE)</f>
        <v>MA</v>
      </c>
      <c r="M183" s="2">
        <v>1</v>
      </c>
    </row>
    <row r="184" spans="1:13" ht="15.75" hidden="1" customHeight="1" x14ac:dyDescent="0.2">
      <c r="A184" s="2">
        <v>183</v>
      </c>
      <c r="B184" s="2">
        <v>16</v>
      </c>
      <c r="C184" s="2">
        <v>28</v>
      </c>
      <c r="D184" s="2" t="s">
        <v>369</v>
      </c>
      <c r="E184" s="2" t="str">
        <f t="shared" si="0"/>
        <v>1228MA03PT</v>
      </c>
      <c r="F184" s="2">
        <f>VLOOKUP(B184,Course!$A$2:$R$329,2,FALSE)</f>
        <v>0</v>
      </c>
      <c r="G184" s="2">
        <f>VLOOKUP(B184, Course!$A$2:$L$950, 8, FALSE)</f>
        <v>12</v>
      </c>
      <c r="H184" s="2">
        <v>3</v>
      </c>
      <c r="I184" s="2">
        <v>1</v>
      </c>
      <c r="K184" s="2" t="s">
        <v>1915</v>
      </c>
      <c r="L184" s="2" t="str">
        <f>VLOOKUP(B184, Course!$A$1:$O$933, 14, FALSE)</f>
        <v>MA</v>
      </c>
      <c r="M184" s="2">
        <v>1</v>
      </c>
    </row>
    <row r="185" spans="1:13" ht="15.75" hidden="1" customHeight="1" x14ac:dyDescent="0.2">
      <c r="A185" s="2">
        <v>184</v>
      </c>
      <c r="B185" s="2">
        <v>16</v>
      </c>
      <c r="C185" s="2">
        <v>29</v>
      </c>
      <c r="D185" s="2" t="s">
        <v>369</v>
      </c>
      <c r="E185" s="2" t="str">
        <f t="shared" si="0"/>
        <v>1229MA03PT</v>
      </c>
      <c r="F185" s="2">
        <f>VLOOKUP(B185,Course!$A$2:$R$329,2,FALSE)</f>
        <v>0</v>
      </c>
      <c r="G185" s="2">
        <f>VLOOKUP(B185, Course!$A$2:$L$950, 8, FALSE)</f>
        <v>12</v>
      </c>
      <c r="H185" s="2">
        <v>3</v>
      </c>
      <c r="I185" s="2">
        <v>1</v>
      </c>
      <c r="K185" s="2" t="s">
        <v>1915</v>
      </c>
      <c r="L185" s="2" t="str">
        <f>VLOOKUP(B185, Course!$A$1:$O$933, 14, FALSE)</f>
        <v>MA</v>
      </c>
      <c r="M185" s="2">
        <v>1</v>
      </c>
    </row>
    <row r="186" spans="1:13" ht="15.75" hidden="1" customHeight="1" x14ac:dyDescent="0.2">
      <c r="A186" s="2">
        <v>185</v>
      </c>
      <c r="B186" s="2">
        <v>16</v>
      </c>
      <c r="C186" s="2">
        <v>30</v>
      </c>
      <c r="D186" s="2" t="s">
        <v>369</v>
      </c>
      <c r="E186" s="2" t="str">
        <f t="shared" si="0"/>
        <v>1230MA03PT</v>
      </c>
      <c r="F186" s="2">
        <f>VLOOKUP(B186,Course!$A$2:$R$329,2,FALSE)</f>
        <v>0</v>
      </c>
      <c r="G186" s="2">
        <f>VLOOKUP(B186, Course!$A$2:$L$950, 8, FALSE)</f>
        <v>12</v>
      </c>
      <c r="H186" s="2">
        <v>3</v>
      </c>
      <c r="I186" s="2">
        <v>1</v>
      </c>
      <c r="K186" s="2" t="s">
        <v>1915</v>
      </c>
      <c r="L186" s="2" t="str">
        <f>VLOOKUP(B186, Course!$A$1:$O$933, 14, FALSE)</f>
        <v>MA</v>
      </c>
      <c r="M186" s="2">
        <v>1</v>
      </c>
    </row>
    <row r="187" spans="1:13" ht="15.75" hidden="1" customHeight="1" x14ac:dyDescent="0.2">
      <c r="A187" s="2">
        <v>186</v>
      </c>
      <c r="B187" s="2">
        <v>16</v>
      </c>
      <c r="C187" s="2">
        <v>31</v>
      </c>
      <c r="D187" s="2" t="s">
        <v>369</v>
      </c>
      <c r="E187" s="2" t="str">
        <f t="shared" si="0"/>
        <v>1231MA03PT</v>
      </c>
      <c r="F187" s="2">
        <f>VLOOKUP(B187,Course!$A$2:$R$329,2,FALSE)</f>
        <v>0</v>
      </c>
      <c r="G187" s="2">
        <f>VLOOKUP(B187, Course!$A$2:$L$950, 8, FALSE)</f>
        <v>12</v>
      </c>
      <c r="H187" s="2">
        <v>3</v>
      </c>
      <c r="I187" s="2">
        <v>1</v>
      </c>
      <c r="K187" s="2" t="s">
        <v>1915</v>
      </c>
      <c r="L187" s="2" t="str">
        <f>VLOOKUP(B187, Course!$A$1:$O$933, 14, FALSE)</f>
        <v>MA</v>
      </c>
      <c r="M187" s="2">
        <v>1</v>
      </c>
    </row>
    <row r="188" spans="1:13" ht="15.75" hidden="1" customHeight="1" x14ac:dyDescent="0.2">
      <c r="A188" s="2">
        <v>187</v>
      </c>
      <c r="B188" s="2">
        <v>16</v>
      </c>
      <c r="C188" s="2">
        <v>32</v>
      </c>
      <c r="D188" s="2" t="s">
        <v>369</v>
      </c>
      <c r="E188" s="2" t="str">
        <f t="shared" si="0"/>
        <v>1232MA03PT</v>
      </c>
      <c r="F188" s="2">
        <f>VLOOKUP(B188,Course!$A$2:$R$329,2,FALSE)</f>
        <v>0</v>
      </c>
      <c r="G188" s="2">
        <f>VLOOKUP(B188, Course!$A$2:$L$950, 8, FALSE)</f>
        <v>12</v>
      </c>
      <c r="H188" s="2">
        <v>3</v>
      </c>
      <c r="I188" s="2">
        <v>1</v>
      </c>
      <c r="K188" s="2" t="s">
        <v>1915</v>
      </c>
      <c r="L188" s="2" t="str">
        <f>VLOOKUP(B188, Course!$A$1:$O$933, 14, FALSE)</f>
        <v>MA</v>
      </c>
      <c r="M188" s="2">
        <v>1</v>
      </c>
    </row>
    <row r="189" spans="1:13" ht="15.75" hidden="1" customHeight="1" x14ac:dyDescent="0.2">
      <c r="A189" s="2">
        <v>188</v>
      </c>
      <c r="B189" s="2">
        <v>16</v>
      </c>
      <c r="C189" s="2">
        <v>33</v>
      </c>
      <c r="D189" s="2" t="s">
        <v>369</v>
      </c>
      <c r="E189" s="2" t="str">
        <f t="shared" si="0"/>
        <v>1233MA03PT</v>
      </c>
      <c r="F189" s="2">
        <f>VLOOKUP(B189,Course!$A$2:$R$329,2,FALSE)</f>
        <v>0</v>
      </c>
      <c r="G189" s="2">
        <f>VLOOKUP(B189, Course!$A$2:$L$950, 8, FALSE)</f>
        <v>12</v>
      </c>
      <c r="H189" s="2">
        <v>3</v>
      </c>
      <c r="I189" s="2">
        <v>1</v>
      </c>
      <c r="K189" s="2" t="s">
        <v>1915</v>
      </c>
      <c r="L189" s="2" t="str">
        <f>VLOOKUP(B189, Course!$A$1:$O$933, 14, FALSE)</f>
        <v>MA</v>
      </c>
      <c r="M189" s="2">
        <v>1</v>
      </c>
    </row>
    <row r="190" spans="1:13" ht="15.75" hidden="1" customHeight="1" x14ac:dyDescent="0.2">
      <c r="A190" s="2">
        <v>189</v>
      </c>
      <c r="B190" s="2">
        <v>16</v>
      </c>
      <c r="C190" s="2">
        <v>34</v>
      </c>
      <c r="D190" s="2" t="s">
        <v>369</v>
      </c>
      <c r="E190" s="2" t="str">
        <f t="shared" si="0"/>
        <v>1234MA03PT</v>
      </c>
      <c r="F190" s="2">
        <f>VLOOKUP(B190,Course!$A$2:$R$329,2,FALSE)</f>
        <v>0</v>
      </c>
      <c r="G190" s="2">
        <f>VLOOKUP(B190, Course!$A$2:$L$950, 8, FALSE)</f>
        <v>12</v>
      </c>
      <c r="H190" s="2">
        <v>3</v>
      </c>
      <c r="I190" s="2">
        <v>1</v>
      </c>
      <c r="K190" s="2" t="s">
        <v>1915</v>
      </c>
      <c r="L190" s="2" t="str">
        <f>VLOOKUP(B190, Course!$A$1:$O$933, 14, FALSE)</f>
        <v>MA</v>
      </c>
      <c r="M190" s="2">
        <v>1</v>
      </c>
    </row>
    <row r="191" spans="1:13" ht="15.75" hidden="1" customHeight="1" x14ac:dyDescent="0.2">
      <c r="A191" s="2">
        <v>190</v>
      </c>
      <c r="B191" s="2">
        <v>16</v>
      </c>
      <c r="C191" s="2">
        <v>35</v>
      </c>
      <c r="D191" s="2" t="s">
        <v>369</v>
      </c>
      <c r="E191" s="2" t="str">
        <f t="shared" si="0"/>
        <v>1235MA03PT</v>
      </c>
      <c r="F191" s="2">
        <f>VLOOKUP(B191,Course!$A$2:$R$329,2,FALSE)</f>
        <v>0</v>
      </c>
      <c r="G191" s="2">
        <f>VLOOKUP(B191, Course!$A$2:$L$950, 8, FALSE)</f>
        <v>12</v>
      </c>
      <c r="H191" s="2">
        <v>3</v>
      </c>
      <c r="I191" s="2">
        <v>1</v>
      </c>
      <c r="K191" s="2" t="s">
        <v>1915</v>
      </c>
      <c r="L191" s="2" t="str">
        <f>VLOOKUP(B191, Course!$A$1:$O$933, 14, FALSE)</f>
        <v>MA</v>
      </c>
      <c r="M191" s="2">
        <v>1</v>
      </c>
    </row>
    <row r="192" spans="1:13" ht="15.75" hidden="1" customHeight="1" x14ac:dyDescent="0.2">
      <c r="A192" s="2">
        <v>191</v>
      </c>
      <c r="B192" s="2">
        <v>16</v>
      </c>
      <c r="C192" s="2">
        <v>36</v>
      </c>
      <c r="D192" s="2" t="s">
        <v>369</v>
      </c>
      <c r="E192" s="2" t="str">
        <f t="shared" si="0"/>
        <v>1236MA03PT</v>
      </c>
      <c r="F192" s="2">
        <f>VLOOKUP(B192,Course!$A$2:$R$329,2,FALSE)</f>
        <v>0</v>
      </c>
      <c r="G192" s="2">
        <f>VLOOKUP(B192, Course!$A$2:$L$950, 8, FALSE)</f>
        <v>12</v>
      </c>
      <c r="H192" s="2">
        <v>3</v>
      </c>
      <c r="I192" s="2">
        <v>1</v>
      </c>
      <c r="K192" s="2" t="s">
        <v>1915</v>
      </c>
      <c r="L192" s="2" t="str">
        <f>VLOOKUP(B192, Course!$A$1:$O$933, 14, FALSE)</f>
        <v>MA</v>
      </c>
      <c r="M192" s="2">
        <v>1</v>
      </c>
    </row>
    <row r="193" spans="1:13" ht="15.75" hidden="1" customHeight="1" x14ac:dyDescent="0.2">
      <c r="A193" s="2">
        <v>192</v>
      </c>
      <c r="B193" s="2">
        <v>17</v>
      </c>
      <c r="C193" s="2">
        <v>25</v>
      </c>
      <c r="D193" s="2" t="s">
        <v>476</v>
      </c>
      <c r="E193" s="2" t="str">
        <f t="shared" si="0"/>
        <v>1225EN03PT</v>
      </c>
      <c r="F193" s="2">
        <f>VLOOKUP(B193,Course!$A$2:$R$329,2,FALSE)</f>
        <v>0</v>
      </c>
      <c r="G193" s="2">
        <f>VLOOKUP(B193, Course!$A$2:$L$950, 8, FALSE)</f>
        <v>12</v>
      </c>
      <c r="H193" s="2">
        <v>3</v>
      </c>
      <c r="I193" s="2">
        <v>1</v>
      </c>
      <c r="K193" s="2" t="s">
        <v>1915</v>
      </c>
      <c r="L193" s="2" t="str">
        <f>VLOOKUP(B193, Course!$A$1:$O$933, 14, FALSE)</f>
        <v>EN</v>
      </c>
      <c r="M193" s="2">
        <v>1</v>
      </c>
    </row>
    <row r="194" spans="1:13" ht="15.75" hidden="1" customHeight="1" x14ac:dyDescent="0.2">
      <c r="A194" s="2">
        <v>193</v>
      </c>
      <c r="B194" s="2">
        <v>17</v>
      </c>
      <c r="C194" s="2">
        <v>26</v>
      </c>
      <c r="D194" s="2" t="s">
        <v>476</v>
      </c>
      <c r="E194" s="2" t="str">
        <f t="shared" si="0"/>
        <v>1226EN03PT</v>
      </c>
      <c r="F194" s="2">
        <f>VLOOKUP(B194,Course!$A$2:$R$329,2,FALSE)</f>
        <v>0</v>
      </c>
      <c r="G194" s="2">
        <f>VLOOKUP(B194, Course!$A$2:$L$950, 8, FALSE)</f>
        <v>12</v>
      </c>
      <c r="H194" s="2">
        <v>3</v>
      </c>
      <c r="I194" s="2">
        <v>1</v>
      </c>
      <c r="K194" s="2" t="s">
        <v>1915</v>
      </c>
      <c r="L194" s="2" t="str">
        <f>VLOOKUP(B194, Course!$A$1:$O$933, 14, FALSE)</f>
        <v>EN</v>
      </c>
      <c r="M194" s="2">
        <v>1</v>
      </c>
    </row>
    <row r="195" spans="1:13" ht="15.75" hidden="1" customHeight="1" x14ac:dyDescent="0.2">
      <c r="A195" s="2">
        <v>194</v>
      </c>
      <c r="B195" s="2">
        <v>17</v>
      </c>
      <c r="C195" s="2">
        <v>27</v>
      </c>
      <c r="D195" s="2" t="s">
        <v>476</v>
      </c>
      <c r="E195" s="2" t="str">
        <f t="shared" si="0"/>
        <v>1227EN03PT</v>
      </c>
      <c r="F195" s="2">
        <f>VLOOKUP(B195,Course!$A$2:$R$329,2,FALSE)</f>
        <v>0</v>
      </c>
      <c r="G195" s="2">
        <f>VLOOKUP(B195, Course!$A$2:$L$950, 8, FALSE)</f>
        <v>12</v>
      </c>
      <c r="H195" s="2">
        <v>3</v>
      </c>
      <c r="I195" s="2">
        <v>1</v>
      </c>
      <c r="K195" s="2" t="s">
        <v>1915</v>
      </c>
      <c r="L195" s="2" t="str">
        <f>VLOOKUP(B195, Course!$A$1:$O$933, 14, FALSE)</f>
        <v>EN</v>
      </c>
      <c r="M195" s="2">
        <v>1</v>
      </c>
    </row>
    <row r="196" spans="1:13" ht="15.75" hidden="1" customHeight="1" x14ac:dyDescent="0.2">
      <c r="A196" s="2">
        <v>195</v>
      </c>
      <c r="B196" s="2">
        <v>17</v>
      </c>
      <c r="C196" s="2">
        <v>28</v>
      </c>
      <c r="D196" s="2" t="s">
        <v>476</v>
      </c>
      <c r="E196" s="2" t="str">
        <f t="shared" si="0"/>
        <v>1228EN03PT</v>
      </c>
      <c r="F196" s="2">
        <f>VLOOKUP(B196,Course!$A$2:$R$329,2,FALSE)</f>
        <v>0</v>
      </c>
      <c r="G196" s="2">
        <f>VLOOKUP(B196, Course!$A$2:$L$950, 8, FALSE)</f>
        <v>12</v>
      </c>
      <c r="H196" s="2">
        <v>3</v>
      </c>
      <c r="I196" s="2">
        <v>1</v>
      </c>
      <c r="K196" s="2" t="s">
        <v>1915</v>
      </c>
      <c r="L196" s="2" t="str">
        <f>VLOOKUP(B196, Course!$A$1:$O$933, 14, FALSE)</f>
        <v>EN</v>
      </c>
      <c r="M196" s="2">
        <v>1</v>
      </c>
    </row>
    <row r="197" spans="1:13" ht="15.75" hidden="1" customHeight="1" x14ac:dyDescent="0.2">
      <c r="A197" s="2">
        <v>196</v>
      </c>
      <c r="B197" s="2">
        <v>17</v>
      </c>
      <c r="C197" s="2">
        <v>29</v>
      </c>
      <c r="D197" s="2" t="s">
        <v>476</v>
      </c>
      <c r="E197" s="2" t="str">
        <f t="shared" si="0"/>
        <v>1229EN03PT</v>
      </c>
      <c r="F197" s="2">
        <f>VLOOKUP(B197,Course!$A$2:$R$329,2,FALSE)</f>
        <v>0</v>
      </c>
      <c r="G197" s="2">
        <f>VLOOKUP(B197, Course!$A$2:$L$950, 8, FALSE)</f>
        <v>12</v>
      </c>
      <c r="H197" s="2">
        <v>3</v>
      </c>
      <c r="I197" s="2">
        <v>1</v>
      </c>
      <c r="K197" s="2" t="s">
        <v>1915</v>
      </c>
      <c r="L197" s="2" t="str">
        <f>VLOOKUP(B197, Course!$A$1:$O$933, 14, FALSE)</f>
        <v>EN</v>
      </c>
      <c r="M197" s="2">
        <v>1</v>
      </c>
    </row>
    <row r="198" spans="1:13" ht="15.75" hidden="1" customHeight="1" x14ac:dyDescent="0.2">
      <c r="A198" s="2">
        <v>197</v>
      </c>
      <c r="B198" s="2">
        <v>17</v>
      </c>
      <c r="C198" s="2">
        <v>30</v>
      </c>
      <c r="D198" s="2" t="s">
        <v>476</v>
      </c>
      <c r="E198" s="2" t="str">
        <f t="shared" si="0"/>
        <v>1230EN03PT</v>
      </c>
      <c r="F198" s="2">
        <f>VLOOKUP(B198,Course!$A$2:$R$329,2,FALSE)</f>
        <v>0</v>
      </c>
      <c r="G198" s="2">
        <f>VLOOKUP(B198, Course!$A$2:$L$950, 8, FALSE)</f>
        <v>12</v>
      </c>
      <c r="H198" s="2">
        <v>3</v>
      </c>
      <c r="I198" s="2">
        <v>1</v>
      </c>
      <c r="K198" s="2" t="s">
        <v>1915</v>
      </c>
      <c r="L198" s="2" t="str">
        <f>VLOOKUP(B198, Course!$A$1:$O$933, 14, FALSE)</f>
        <v>EN</v>
      </c>
      <c r="M198" s="2">
        <v>1</v>
      </c>
    </row>
    <row r="199" spans="1:13" ht="15.75" hidden="1" customHeight="1" x14ac:dyDescent="0.2">
      <c r="A199" s="2">
        <v>198</v>
      </c>
      <c r="B199" s="2">
        <v>17</v>
      </c>
      <c r="C199" s="2">
        <v>31</v>
      </c>
      <c r="D199" s="2" t="s">
        <v>476</v>
      </c>
      <c r="E199" s="2" t="str">
        <f t="shared" si="0"/>
        <v>1231EN03PT</v>
      </c>
      <c r="F199" s="2">
        <f>VLOOKUP(B199,Course!$A$2:$R$329,2,FALSE)</f>
        <v>0</v>
      </c>
      <c r="G199" s="2">
        <f>VLOOKUP(B199, Course!$A$2:$L$950, 8, FALSE)</f>
        <v>12</v>
      </c>
      <c r="H199" s="2">
        <v>3</v>
      </c>
      <c r="I199" s="2">
        <v>1</v>
      </c>
      <c r="K199" s="2" t="s">
        <v>1915</v>
      </c>
      <c r="L199" s="2" t="str">
        <f>VLOOKUP(B199, Course!$A$1:$O$933, 14, FALSE)</f>
        <v>EN</v>
      </c>
      <c r="M199" s="2">
        <v>1</v>
      </c>
    </row>
    <row r="200" spans="1:13" ht="15.75" hidden="1" customHeight="1" x14ac:dyDescent="0.2">
      <c r="A200" s="2">
        <v>199</v>
      </c>
      <c r="B200" s="2">
        <v>17</v>
      </c>
      <c r="C200" s="2">
        <v>32</v>
      </c>
      <c r="D200" s="2" t="s">
        <v>476</v>
      </c>
      <c r="E200" s="2" t="str">
        <f t="shared" si="0"/>
        <v>1232EN03PT</v>
      </c>
      <c r="F200" s="2">
        <f>VLOOKUP(B200,Course!$A$2:$R$329,2,FALSE)</f>
        <v>0</v>
      </c>
      <c r="G200" s="2">
        <f>VLOOKUP(B200, Course!$A$2:$L$950, 8, FALSE)</f>
        <v>12</v>
      </c>
      <c r="H200" s="2">
        <v>3</v>
      </c>
      <c r="I200" s="2">
        <v>1</v>
      </c>
      <c r="K200" s="2" t="s">
        <v>1915</v>
      </c>
      <c r="L200" s="2" t="str">
        <f>VLOOKUP(B200, Course!$A$1:$O$933, 14, FALSE)</f>
        <v>EN</v>
      </c>
      <c r="M200" s="2">
        <v>1</v>
      </c>
    </row>
    <row r="201" spans="1:13" ht="15.75" hidden="1" customHeight="1" x14ac:dyDescent="0.2">
      <c r="A201" s="2">
        <v>200</v>
      </c>
      <c r="B201" s="2">
        <v>17</v>
      </c>
      <c r="C201" s="2">
        <v>33</v>
      </c>
      <c r="D201" s="2" t="s">
        <v>476</v>
      </c>
      <c r="E201" s="2" t="str">
        <f t="shared" si="0"/>
        <v>1233EN03PT</v>
      </c>
      <c r="F201" s="2">
        <f>VLOOKUP(B201,Course!$A$2:$R$329,2,FALSE)</f>
        <v>0</v>
      </c>
      <c r="G201" s="2">
        <f>VLOOKUP(B201, Course!$A$2:$L$950, 8, FALSE)</f>
        <v>12</v>
      </c>
      <c r="H201" s="2">
        <v>3</v>
      </c>
      <c r="I201" s="2">
        <v>1</v>
      </c>
      <c r="K201" s="2" t="s">
        <v>1915</v>
      </c>
      <c r="L201" s="2" t="str">
        <f>VLOOKUP(B201, Course!$A$1:$O$933, 14, FALSE)</f>
        <v>EN</v>
      </c>
      <c r="M201" s="2">
        <v>1</v>
      </c>
    </row>
    <row r="202" spans="1:13" ht="15.75" hidden="1" customHeight="1" x14ac:dyDescent="0.2">
      <c r="A202" s="2">
        <v>201</v>
      </c>
      <c r="B202" s="2">
        <v>17</v>
      </c>
      <c r="C202" s="2">
        <v>34</v>
      </c>
      <c r="D202" s="2" t="s">
        <v>476</v>
      </c>
      <c r="E202" s="2" t="str">
        <f t="shared" si="0"/>
        <v>1234EN03PT</v>
      </c>
      <c r="F202" s="2">
        <f>VLOOKUP(B202,Course!$A$2:$R$329,2,FALSE)</f>
        <v>0</v>
      </c>
      <c r="G202" s="2">
        <f>VLOOKUP(B202, Course!$A$2:$L$950, 8, FALSE)</f>
        <v>12</v>
      </c>
      <c r="H202" s="2">
        <v>3</v>
      </c>
      <c r="I202" s="2">
        <v>1</v>
      </c>
      <c r="K202" s="2" t="s">
        <v>1915</v>
      </c>
      <c r="L202" s="2" t="str">
        <f>VLOOKUP(B202, Course!$A$1:$O$933, 14, FALSE)</f>
        <v>EN</v>
      </c>
      <c r="M202" s="2">
        <v>1</v>
      </c>
    </row>
    <row r="203" spans="1:13" ht="15.75" hidden="1" customHeight="1" x14ac:dyDescent="0.2">
      <c r="A203" s="2">
        <v>202</v>
      </c>
      <c r="B203" s="2">
        <v>17</v>
      </c>
      <c r="C203" s="2">
        <v>35</v>
      </c>
      <c r="D203" s="2" t="s">
        <v>476</v>
      </c>
      <c r="E203" s="2" t="str">
        <f t="shared" si="0"/>
        <v>1235EN03PT</v>
      </c>
      <c r="F203" s="2">
        <f>VLOOKUP(B203,Course!$A$2:$R$329,2,FALSE)</f>
        <v>0</v>
      </c>
      <c r="G203" s="2">
        <f>VLOOKUP(B203, Course!$A$2:$L$950, 8, FALSE)</f>
        <v>12</v>
      </c>
      <c r="H203" s="2">
        <v>3</v>
      </c>
      <c r="I203" s="2">
        <v>1</v>
      </c>
      <c r="K203" s="2" t="s">
        <v>1915</v>
      </c>
      <c r="L203" s="2" t="str">
        <f>VLOOKUP(B203, Course!$A$1:$O$933, 14, FALSE)</f>
        <v>EN</v>
      </c>
      <c r="M203" s="2">
        <v>1</v>
      </c>
    </row>
    <row r="204" spans="1:13" ht="15.75" hidden="1" customHeight="1" x14ac:dyDescent="0.2">
      <c r="A204" s="2">
        <v>203</v>
      </c>
      <c r="B204" s="2">
        <v>17</v>
      </c>
      <c r="C204" s="2">
        <v>36</v>
      </c>
      <c r="D204" s="2" t="s">
        <v>476</v>
      </c>
      <c r="E204" s="2" t="str">
        <f t="shared" si="0"/>
        <v>1236EN03PT</v>
      </c>
      <c r="F204" s="2">
        <f>VLOOKUP(B204,Course!$A$2:$R$329,2,FALSE)</f>
        <v>0</v>
      </c>
      <c r="G204" s="2">
        <f>VLOOKUP(B204, Course!$A$2:$L$950, 8, FALSE)</f>
        <v>12</v>
      </c>
      <c r="H204" s="2">
        <v>3</v>
      </c>
      <c r="I204" s="2">
        <v>1</v>
      </c>
      <c r="K204" s="2" t="s">
        <v>1915</v>
      </c>
      <c r="L204" s="2" t="str">
        <f>VLOOKUP(B204, Course!$A$1:$O$933, 14, FALSE)</f>
        <v>EN</v>
      </c>
      <c r="M204" s="2">
        <v>1</v>
      </c>
    </row>
    <row r="205" spans="1:13" ht="15.75" hidden="1" customHeight="1" x14ac:dyDescent="0.2">
      <c r="A205" s="2">
        <v>204</v>
      </c>
      <c r="B205" s="2">
        <v>18</v>
      </c>
      <c r="C205" s="2">
        <v>25</v>
      </c>
      <c r="D205" s="2" t="s">
        <v>373</v>
      </c>
      <c r="E205" s="2" t="str">
        <f t="shared" si="0"/>
        <v>1225WB03PT</v>
      </c>
      <c r="F205" s="2">
        <f>VLOOKUP(B205,Course!$A$2:$R$329,2,FALSE)</f>
        <v>0</v>
      </c>
      <c r="G205" s="2">
        <f>VLOOKUP(B205, Course!$A$2:$L$950, 8, FALSE)</f>
        <v>12</v>
      </c>
      <c r="H205" s="2">
        <v>3</v>
      </c>
      <c r="I205" s="2">
        <v>1</v>
      </c>
      <c r="K205" s="2" t="s">
        <v>1915</v>
      </c>
      <c r="L205" s="2" t="str">
        <f>VLOOKUP(B205, Course!$A$1:$O$933, 14, FALSE)</f>
        <v>WB</v>
      </c>
      <c r="M205" s="2">
        <v>1</v>
      </c>
    </row>
    <row r="206" spans="1:13" ht="15.75" hidden="1" customHeight="1" x14ac:dyDescent="0.2">
      <c r="A206" s="2">
        <v>205</v>
      </c>
      <c r="B206" s="2">
        <v>18</v>
      </c>
      <c r="C206" s="2">
        <v>26</v>
      </c>
      <c r="D206" s="2" t="s">
        <v>373</v>
      </c>
      <c r="E206" s="2" t="str">
        <f t="shared" si="0"/>
        <v>1226WB03PT</v>
      </c>
      <c r="F206" s="2">
        <f>VLOOKUP(B206,Course!$A$2:$R$329,2,FALSE)</f>
        <v>0</v>
      </c>
      <c r="G206" s="2">
        <f>VLOOKUP(B206, Course!$A$2:$L$950, 8, FALSE)</f>
        <v>12</v>
      </c>
      <c r="H206" s="2">
        <v>3</v>
      </c>
      <c r="I206" s="2">
        <v>1</v>
      </c>
      <c r="K206" s="2" t="s">
        <v>1915</v>
      </c>
      <c r="L206" s="2" t="str">
        <f>VLOOKUP(B206, Course!$A$1:$O$933, 14, FALSE)</f>
        <v>WB</v>
      </c>
      <c r="M206" s="2">
        <v>1</v>
      </c>
    </row>
    <row r="207" spans="1:13" ht="15.75" hidden="1" customHeight="1" x14ac:dyDescent="0.2">
      <c r="A207" s="2">
        <v>206</v>
      </c>
      <c r="B207" s="2">
        <v>18</v>
      </c>
      <c r="C207" s="2">
        <v>27</v>
      </c>
      <c r="D207" s="2" t="s">
        <v>373</v>
      </c>
      <c r="E207" s="2" t="str">
        <f t="shared" si="0"/>
        <v>1227WB03PT</v>
      </c>
      <c r="F207" s="2">
        <f>VLOOKUP(B207,Course!$A$2:$R$329,2,FALSE)</f>
        <v>0</v>
      </c>
      <c r="G207" s="2">
        <f>VLOOKUP(B207, Course!$A$2:$L$950, 8, FALSE)</f>
        <v>12</v>
      </c>
      <c r="H207" s="2">
        <v>3</v>
      </c>
      <c r="I207" s="2">
        <v>1</v>
      </c>
      <c r="K207" s="2" t="s">
        <v>1915</v>
      </c>
      <c r="L207" s="2" t="str">
        <f>VLOOKUP(B207, Course!$A$1:$O$933, 14, FALSE)</f>
        <v>WB</v>
      </c>
      <c r="M207" s="2">
        <v>1</v>
      </c>
    </row>
    <row r="208" spans="1:13" ht="15.75" hidden="1" customHeight="1" x14ac:dyDescent="0.2">
      <c r="A208" s="2">
        <v>207</v>
      </c>
      <c r="B208" s="2">
        <v>18</v>
      </c>
      <c r="C208" s="2">
        <v>28</v>
      </c>
      <c r="D208" s="2" t="s">
        <v>373</v>
      </c>
      <c r="E208" s="2" t="str">
        <f t="shared" si="0"/>
        <v>1228WB03PT</v>
      </c>
      <c r="F208" s="2">
        <f>VLOOKUP(B208,Course!$A$2:$R$329,2,FALSE)</f>
        <v>0</v>
      </c>
      <c r="G208" s="2">
        <f>VLOOKUP(B208, Course!$A$2:$L$950, 8, FALSE)</f>
        <v>12</v>
      </c>
      <c r="H208" s="2">
        <v>3</v>
      </c>
      <c r="I208" s="2">
        <v>1</v>
      </c>
      <c r="K208" s="2" t="s">
        <v>1915</v>
      </c>
      <c r="L208" s="2" t="str">
        <f>VLOOKUP(B208, Course!$A$1:$O$933, 14, FALSE)</f>
        <v>WB</v>
      </c>
      <c r="M208" s="2">
        <v>1</v>
      </c>
    </row>
    <row r="209" spans="1:13" ht="15.75" hidden="1" customHeight="1" x14ac:dyDescent="0.2">
      <c r="A209" s="2">
        <v>208</v>
      </c>
      <c r="B209" s="2">
        <v>18</v>
      </c>
      <c r="C209" s="2">
        <v>29</v>
      </c>
      <c r="D209" s="2" t="s">
        <v>373</v>
      </c>
      <c r="E209" s="2" t="str">
        <f t="shared" si="0"/>
        <v>1229WB03PT</v>
      </c>
      <c r="F209" s="2">
        <f>VLOOKUP(B209,Course!$A$2:$R$329,2,FALSE)</f>
        <v>0</v>
      </c>
      <c r="G209" s="2">
        <f>VLOOKUP(B209, Course!$A$2:$L$950, 8, FALSE)</f>
        <v>12</v>
      </c>
      <c r="H209" s="2">
        <v>3</v>
      </c>
      <c r="I209" s="2">
        <v>1</v>
      </c>
      <c r="K209" s="2" t="s">
        <v>1915</v>
      </c>
      <c r="L209" s="2" t="str">
        <f>VLOOKUP(B209, Course!$A$1:$O$933, 14, FALSE)</f>
        <v>WB</v>
      </c>
      <c r="M209" s="2">
        <v>1</v>
      </c>
    </row>
    <row r="210" spans="1:13" ht="15.75" hidden="1" customHeight="1" x14ac:dyDescent="0.2">
      <c r="A210" s="2">
        <v>209</v>
      </c>
      <c r="B210" s="2">
        <v>18</v>
      </c>
      <c r="C210" s="2">
        <v>30</v>
      </c>
      <c r="D210" s="2" t="s">
        <v>373</v>
      </c>
      <c r="E210" s="2" t="str">
        <f t="shared" si="0"/>
        <v>1230WB03PT</v>
      </c>
      <c r="F210" s="2">
        <f>VLOOKUP(B210,Course!$A$2:$R$329,2,FALSE)</f>
        <v>0</v>
      </c>
      <c r="G210" s="2">
        <f>VLOOKUP(B210, Course!$A$2:$L$950, 8, FALSE)</f>
        <v>12</v>
      </c>
      <c r="H210" s="2">
        <v>3</v>
      </c>
      <c r="I210" s="2">
        <v>1</v>
      </c>
      <c r="K210" s="2" t="s">
        <v>1915</v>
      </c>
      <c r="L210" s="2" t="str">
        <f>VLOOKUP(B210, Course!$A$1:$O$933, 14, FALSE)</f>
        <v>WB</v>
      </c>
      <c r="M210" s="2">
        <v>1</v>
      </c>
    </row>
    <row r="211" spans="1:13" ht="15.75" hidden="1" customHeight="1" x14ac:dyDescent="0.2">
      <c r="A211" s="2">
        <v>210</v>
      </c>
      <c r="B211" s="2">
        <v>18</v>
      </c>
      <c r="C211" s="2">
        <v>31</v>
      </c>
      <c r="D211" s="2" t="s">
        <v>373</v>
      </c>
      <c r="E211" s="2" t="str">
        <f t="shared" si="0"/>
        <v>1231WB03PT</v>
      </c>
      <c r="F211" s="2">
        <f>VLOOKUP(B211,Course!$A$2:$R$329,2,FALSE)</f>
        <v>0</v>
      </c>
      <c r="G211" s="2">
        <f>VLOOKUP(B211, Course!$A$2:$L$950, 8, FALSE)</f>
        <v>12</v>
      </c>
      <c r="H211" s="2">
        <v>3</v>
      </c>
      <c r="I211" s="2">
        <v>1</v>
      </c>
      <c r="K211" s="2" t="s">
        <v>1915</v>
      </c>
      <c r="L211" s="2" t="str">
        <f>VLOOKUP(B211, Course!$A$1:$O$933, 14, FALSE)</f>
        <v>WB</v>
      </c>
      <c r="M211" s="2">
        <v>1</v>
      </c>
    </row>
    <row r="212" spans="1:13" ht="15.75" hidden="1" customHeight="1" x14ac:dyDescent="0.2">
      <c r="A212" s="2">
        <v>211</v>
      </c>
      <c r="B212" s="2">
        <v>18</v>
      </c>
      <c r="C212" s="2">
        <v>32</v>
      </c>
      <c r="D212" s="2" t="s">
        <v>373</v>
      </c>
      <c r="E212" s="2" t="str">
        <f t="shared" si="0"/>
        <v>1232WB03PT</v>
      </c>
      <c r="F212" s="2">
        <f>VLOOKUP(B212,Course!$A$2:$R$329,2,FALSE)</f>
        <v>0</v>
      </c>
      <c r="G212" s="2">
        <f>VLOOKUP(B212, Course!$A$2:$L$950, 8, FALSE)</f>
        <v>12</v>
      </c>
      <c r="H212" s="2">
        <v>3</v>
      </c>
      <c r="I212" s="2">
        <v>1</v>
      </c>
      <c r="K212" s="2" t="s">
        <v>1915</v>
      </c>
      <c r="L212" s="2" t="str">
        <f>VLOOKUP(B212, Course!$A$1:$O$933, 14, FALSE)</f>
        <v>WB</v>
      </c>
      <c r="M212" s="2">
        <v>1</v>
      </c>
    </row>
    <row r="213" spans="1:13" ht="15.75" hidden="1" customHeight="1" x14ac:dyDescent="0.2">
      <c r="A213" s="2">
        <v>212</v>
      </c>
      <c r="B213" s="2">
        <v>18</v>
      </c>
      <c r="C213" s="2">
        <v>33</v>
      </c>
      <c r="D213" s="2" t="s">
        <v>373</v>
      </c>
      <c r="E213" s="2" t="str">
        <f t="shared" si="0"/>
        <v>1233WB03PT</v>
      </c>
      <c r="F213" s="2">
        <f>VLOOKUP(B213,Course!$A$2:$R$329,2,FALSE)</f>
        <v>0</v>
      </c>
      <c r="G213" s="2">
        <f>VLOOKUP(B213, Course!$A$2:$L$950, 8, FALSE)</f>
        <v>12</v>
      </c>
      <c r="H213" s="2">
        <v>3</v>
      </c>
      <c r="I213" s="2">
        <v>1</v>
      </c>
      <c r="K213" s="2" t="s">
        <v>1915</v>
      </c>
      <c r="L213" s="2" t="str">
        <f>VLOOKUP(B213, Course!$A$1:$O$933, 14, FALSE)</f>
        <v>WB</v>
      </c>
      <c r="M213" s="2">
        <v>1</v>
      </c>
    </row>
    <row r="214" spans="1:13" ht="15.75" hidden="1" customHeight="1" x14ac:dyDescent="0.2">
      <c r="A214" s="2">
        <v>213</v>
      </c>
      <c r="B214" s="2">
        <v>18</v>
      </c>
      <c r="C214" s="2">
        <v>34</v>
      </c>
      <c r="D214" s="2" t="s">
        <v>373</v>
      </c>
      <c r="E214" s="2" t="str">
        <f t="shared" si="0"/>
        <v>1234WB03PT</v>
      </c>
      <c r="F214" s="2">
        <f>VLOOKUP(B214,Course!$A$2:$R$329,2,FALSE)</f>
        <v>0</v>
      </c>
      <c r="G214" s="2">
        <f>VLOOKUP(B214, Course!$A$2:$L$950, 8, FALSE)</f>
        <v>12</v>
      </c>
      <c r="H214" s="2">
        <v>3</v>
      </c>
      <c r="I214" s="2">
        <v>1</v>
      </c>
      <c r="K214" s="2" t="s">
        <v>1915</v>
      </c>
      <c r="L214" s="2" t="str">
        <f>VLOOKUP(B214, Course!$A$1:$O$933, 14, FALSE)</f>
        <v>WB</v>
      </c>
      <c r="M214" s="2">
        <v>1</v>
      </c>
    </row>
    <row r="215" spans="1:13" ht="15.75" hidden="1" customHeight="1" x14ac:dyDescent="0.2">
      <c r="A215" s="2">
        <v>214</v>
      </c>
      <c r="B215" s="2">
        <v>18</v>
      </c>
      <c r="C215" s="2">
        <v>35</v>
      </c>
      <c r="D215" s="2" t="s">
        <v>373</v>
      </c>
      <c r="E215" s="2" t="str">
        <f t="shared" si="0"/>
        <v>1235WB03PT</v>
      </c>
      <c r="F215" s="2">
        <f>VLOOKUP(B215,Course!$A$2:$R$329,2,FALSE)</f>
        <v>0</v>
      </c>
      <c r="G215" s="2">
        <f>VLOOKUP(B215, Course!$A$2:$L$950, 8, FALSE)</f>
        <v>12</v>
      </c>
      <c r="H215" s="2">
        <v>3</v>
      </c>
      <c r="I215" s="2">
        <v>1</v>
      </c>
      <c r="K215" s="2" t="s">
        <v>1915</v>
      </c>
      <c r="L215" s="2" t="str">
        <f>VLOOKUP(B215, Course!$A$1:$O$933, 14, FALSE)</f>
        <v>WB</v>
      </c>
      <c r="M215" s="2">
        <v>1</v>
      </c>
    </row>
    <row r="216" spans="1:13" ht="15.75" hidden="1" customHeight="1" x14ac:dyDescent="0.2">
      <c r="A216" s="2">
        <v>215</v>
      </c>
      <c r="B216" s="2">
        <v>18</v>
      </c>
      <c r="C216" s="2">
        <v>36</v>
      </c>
      <c r="D216" s="2" t="s">
        <v>373</v>
      </c>
      <c r="E216" s="2" t="str">
        <f t="shared" si="0"/>
        <v>1236WB03PT</v>
      </c>
      <c r="F216" s="2">
        <f>VLOOKUP(B216,Course!$A$2:$R$329,2,FALSE)</f>
        <v>0</v>
      </c>
      <c r="G216" s="2">
        <f>VLOOKUP(B216, Course!$A$2:$L$950, 8, FALSE)</f>
        <v>12</v>
      </c>
      <c r="H216" s="2">
        <v>3</v>
      </c>
      <c r="I216" s="2">
        <v>1</v>
      </c>
      <c r="K216" s="2" t="s">
        <v>1915</v>
      </c>
      <c r="L216" s="2" t="str">
        <f>VLOOKUP(B216, Course!$A$1:$O$933, 14, FALSE)</f>
        <v>WB</v>
      </c>
      <c r="M216" s="2">
        <v>1</v>
      </c>
    </row>
    <row r="217" spans="1:13" ht="15.75" hidden="1" customHeight="1" x14ac:dyDescent="0.2">
      <c r="A217" s="2">
        <v>216</v>
      </c>
      <c r="B217" s="2">
        <v>19</v>
      </c>
      <c r="C217" s="2">
        <v>25</v>
      </c>
      <c r="D217" s="2" t="s">
        <v>479</v>
      </c>
      <c r="E217" s="2" t="str">
        <f t="shared" si="0"/>
        <v>1225LC03PT</v>
      </c>
      <c r="F217" s="2">
        <f>VLOOKUP(B217,Course!$A$2:$R$329,2,FALSE)</f>
        <v>0</v>
      </c>
      <c r="G217" s="2">
        <f>VLOOKUP(B217, Course!$A$2:$L$950, 8, FALSE)</f>
        <v>12</v>
      </c>
      <c r="H217" s="2">
        <v>3</v>
      </c>
      <c r="I217" s="2">
        <v>1</v>
      </c>
      <c r="K217" s="2" t="s">
        <v>1915</v>
      </c>
      <c r="L217" s="2" t="str">
        <f>VLOOKUP(B217, Course!$A$1:$O$933, 14, FALSE)</f>
        <v>LC</v>
      </c>
      <c r="M217" s="2">
        <v>1</v>
      </c>
    </row>
    <row r="218" spans="1:13" ht="15.75" hidden="1" customHeight="1" x14ac:dyDescent="0.2">
      <c r="A218" s="2">
        <v>217</v>
      </c>
      <c r="B218" s="2">
        <v>19</v>
      </c>
      <c r="C218" s="2">
        <v>26</v>
      </c>
      <c r="D218" s="2" t="s">
        <v>479</v>
      </c>
      <c r="E218" s="2" t="str">
        <f t="shared" si="0"/>
        <v>1226LC03PT</v>
      </c>
      <c r="F218" s="2">
        <f>VLOOKUP(B218,Course!$A$2:$R$329,2,FALSE)</f>
        <v>0</v>
      </c>
      <c r="G218" s="2">
        <f>VLOOKUP(B218, Course!$A$2:$L$950, 8, FALSE)</f>
        <v>12</v>
      </c>
      <c r="H218" s="2">
        <v>3</v>
      </c>
      <c r="I218" s="2">
        <v>1</v>
      </c>
      <c r="K218" s="2" t="s">
        <v>1915</v>
      </c>
      <c r="L218" s="2" t="str">
        <f>VLOOKUP(B218, Course!$A$1:$O$933, 14, FALSE)</f>
        <v>LC</v>
      </c>
      <c r="M218" s="2">
        <v>1</v>
      </c>
    </row>
    <row r="219" spans="1:13" ht="15.75" hidden="1" customHeight="1" x14ac:dyDescent="0.2">
      <c r="A219" s="2">
        <v>218</v>
      </c>
      <c r="B219" s="2">
        <v>19</v>
      </c>
      <c r="C219" s="2">
        <v>27</v>
      </c>
      <c r="D219" s="2" t="s">
        <v>479</v>
      </c>
      <c r="E219" s="2" t="str">
        <f t="shared" si="0"/>
        <v>1227LC03PT</v>
      </c>
      <c r="F219" s="2">
        <f>VLOOKUP(B219,Course!$A$2:$R$329,2,FALSE)</f>
        <v>0</v>
      </c>
      <c r="G219" s="2">
        <f>VLOOKUP(B219, Course!$A$2:$L$950, 8, FALSE)</f>
        <v>12</v>
      </c>
      <c r="H219" s="2">
        <v>3</v>
      </c>
      <c r="I219" s="2">
        <v>1</v>
      </c>
      <c r="K219" s="2" t="s">
        <v>1915</v>
      </c>
      <c r="L219" s="2" t="str">
        <f>VLOOKUP(B219, Course!$A$1:$O$933, 14, FALSE)</f>
        <v>LC</v>
      </c>
      <c r="M219" s="2">
        <v>1</v>
      </c>
    </row>
    <row r="220" spans="1:13" ht="15.75" hidden="1" customHeight="1" x14ac:dyDescent="0.2">
      <c r="A220" s="2">
        <v>219</v>
      </c>
      <c r="B220" s="2">
        <v>19</v>
      </c>
      <c r="C220" s="2">
        <v>28</v>
      </c>
      <c r="D220" s="2" t="s">
        <v>479</v>
      </c>
      <c r="E220" s="2" t="str">
        <f t="shared" si="0"/>
        <v>1228LC03PT</v>
      </c>
      <c r="F220" s="2">
        <f>VLOOKUP(B220,Course!$A$2:$R$329,2,FALSE)</f>
        <v>0</v>
      </c>
      <c r="G220" s="2">
        <f>VLOOKUP(B220, Course!$A$2:$L$950, 8, FALSE)</f>
        <v>12</v>
      </c>
      <c r="H220" s="2">
        <v>3</v>
      </c>
      <c r="I220" s="2">
        <v>1</v>
      </c>
      <c r="K220" s="2" t="s">
        <v>1915</v>
      </c>
      <c r="L220" s="2" t="str">
        <f>VLOOKUP(B220, Course!$A$1:$O$933, 14, FALSE)</f>
        <v>LC</v>
      </c>
      <c r="M220" s="2">
        <v>1</v>
      </c>
    </row>
    <row r="221" spans="1:13" ht="15.75" hidden="1" customHeight="1" x14ac:dyDescent="0.2">
      <c r="A221" s="2">
        <v>220</v>
      </c>
      <c r="B221" s="2">
        <v>19</v>
      </c>
      <c r="C221" s="2">
        <v>29</v>
      </c>
      <c r="D221" s="2" t="s">
        <v>479</v>
      </c>
      <c r="E221" s="2" t="str">
        <f t="shared" si="0"/>
        <v>1229LC03PT</v>
      </c>
      <c r="F221" s="2">
        <f>VLOOKUP(B221,Course!$A$2:$R$329,2,FALSE)</f>
        <v>0</v>
      </c>
      <c r="G221" s="2">
        <f>VLOOKUP(B221, Course!$A$2:$L$950, 8, FALSE)</f>
        <v>12</v>
      </c>
      <c r="H221" s="2">
        <v>3</v>
      </c>
      <c r="I221" s="2">
        <v>1</v>
      </c>
      <c r="K221" s="2" t="s">
        <v>1915</v>
      </c>
      <c r="L221" s="2" t="str">
        <f>VLOOKUP(B221, Course!$A$1:$O$933, 14, FALSE)</f>
        <v>LC</v>
      </c>
      <c r="M221" s="2">
        <v>1</v>
      </c>
    </row>
    <row r="222" spans="1:13" ht="15.75" hidden="1" customHeight="1" x14ac:dyDescent="0.2">
      <c r="A222" s="2">
        <v>221</v>
      </c>
      <c r="B222" s="2">
        <v>19</v>
      </c>
      <c r="C222" s="2">
        <v>30</v>
      </c>
      <c r="D222" s="2" t="s">
        <v>479</v>
      </c>
      <c r="E222" s="2" t="str">
        <f t="shared" si="0"/>
        <v>1230LC03PT</v>
      </c>
      <c r="F222" s="2">
        <f>VLOOKUP(B222,Course!$A$2:$R$329,2,FALSE)</f>
        <v>0</v>
      </c>
      <c r="G222" s="2">
        <f>VLOOKUP(B222, Course!$A$2:$L$950, 8, FALSE)</f>
        <v>12</v>
      </c>
      <c r="H222" s="2">
        <v>3</v>
      </c>
      <c r="I222" s="2">
        <v>1</v>
      </c>
      <c r="K222" s="2" t="s">
        <v>1915</v>
      </c>
      <c r="L222" s="2" t="str">
        <f>VLOOKUP(B222, Course!$A$1:$O$933, 14, FALSE)</f>
        <v>LC</v>
      </c>
      <c r="M222" s="2">
        <v>1</v>
      </c>
    </row>
    <row r="223" spans="1:13" ht="15.75" hidden="1" customHeight="1" x14ac:dyDescent="0.2">
      <c r="A223" s="2">
        <v>222</v>
      </c>
      <c r="B223" s="2">
        <v>19</v>
      </c>
      <c r="C223" s="2">
        <v>31</v>
      </c>
      <c r="D223" s="2" t="s">
        <v>479</v>
      </c>
      <c r="E223" s="2" t="str">
        <f t="shared" si="0"/>
        <v>1231LC03PT</v>
      </c>
      <c r="F223" s="2">
        <f>VLOOKUP(B223,Course!$A$2:$R$329,2,FALSE)</f>
        <v>0</v>
      </c>
      <c r="G223" s="2">
        <f>VLOOKUP(B223, Course!$A$2:$L$950, 8, FALSE)</f>
        <v>12</v>
      </c>
      <c r="H223" s="2">
        <v>3</v>
      </c>
      <c r="I223" s="2">
        <v>1</v>
      </c>
      <c r="K223" s="2" t="s">
        <v>1915</v>
      </c>
      <c r="L223" s="2" t="str">
        <f>VLOOKUP(B223, Course!$A$1:$O$933, 14, FALSE)</f>
        <v>LC</v>
      </c>
      <c r="M223" s="2">
        <v>1</v>
      </c>
    </row>
    <row r="224" spans="1:13" ht="15.75" hidden="1" customHeight="1" x14ac:dyDescent="0.2">
      <c r="A224" s="2">
        <v>223</v>
      </c>
      <c r="B224" s="2">
        <v>19</v>
      </c>
      <c r="C224" s="2">
        <v>32</v>
      </c>
      <c r="D224" s="2" t="s">
        <v>479</v>
      </c>
      <c r="E224" s="2" t="str">
        <f t="shared" si="0"/>
        <v>1232LC03PT</v>
      </c>
      <c r="F224" s="2">
        <f>VLOOKUP(B224,Course!$A$2:$R$329,2,FALSE)</f>
        <v>0</v>
      </c>
      <c r="G224" s="2">
        <f>VLOOKUP(B224, Course!$A$2:$L$950, 8, FALSE)</f>
        <v>12</v>
      </c>
      <c r="H224" s="2">
        <v>3</v>
      </c>
      <c r="I224" s="2">
        <v>2</v>
      </c>
      <c r="K224" s="2" t="s">
        <v>1915</v>
      </c>
      <c r="L224" s="2" t="str">
        <f>VLOOKUP(B224, Course!$A$1:$O$933, 14, FALSE)</f>
        <v>LC</v>
      </c>
      <c r="M224" s="2">
        <v>1</v>
      </c>
    </row>
    <row r="225" spans="1:13" ht="15.75" hidden="1" customHeight="1" x14ac:dyDescent="0.2">
      <c r="A225" s="2">
        <v>224</v>
      </c>
      <c r="B225" s="2">
        <v>19</v>
      </c>
      <c r="C225" s="2">
        <v>33</v>
      </c>
      <c r="D225" s="2" t="s">
        <v>479</v>
      </c>
      <c r="E225" s="2" t="str">
        <f t="shared" si="0"/>
        <v>1233LC03PT</v>
      </c>
      <c r="F225" s="2">
        <f>VLOOKUP(B225,Course!$A$2:$R$329,2,FALSE)</f>
        <v>0</v>
      </c>
      <c r="G225" s="2">
        <f>VLOOKUP(B225, Course!$A$2:$L$950, 8, FALSE)</f>
        <v>12</v>
      </c>
      <c r="H225" s="2">
        <v>3</v>
      </c>
      <c r="I225" s="2">
        <v>1</v>
      </c>
      <c r="K225" s="2" t="s">
        <v>1915</v>
      </c>
      <c r="L225" s="2" t="str">
        <f>VLOOKUP(B225, Course!$A$1:$O$933, 14, FALSE)</f>
        <v>LC</v>
      </c>
      <c r="M225" s="2">
        <v>1</v>
      </c>
    </row>
    <row r="226" spans="1:13" ht="15.75" hidden="1" customHeight="1" x14ac:dyDescent="0.2">
      <c r="A226" s="2">
        <v>225</v>
      </c>
      <c r="B226" s="2">
        <v>19</v>
      </c>
      <c r="C226" s="2">
        <v>34</v>
      </c>
      <c r="D226" s="2" t="s">
        <v>479</v>
      </c>
      <c r="E226" s="2" t="str">
        <f t="shared" si="0"/>
        <v>1234LC03PT</v>
      </c>
      <c r="F226" s="2">
        <f>VLOOKUP(B226,Course!$A$2:$R$329,2,FALSE)</f>
        <v>0</v>
      </c>
      <c r="G226" s="2">
        <f>VLOOKUP(B226, Course!$A$2:$L$950, 8, FALSE)</f>
        <v>12</v>
      </c>
      <c r="H226" s="2">
        <v>3</v>
      </c>
      <c r="I226" s="2">
        <v>1</v>
      </c>
      <c r="K226" s="2" t="s">
        <v>1915</v>
      </c>
      <c r="L226" s="2" t="str">
        <f>VLOOKUP(B226, Course!$A$1:$O$933, 14, FALSE)</f>
        <v>LC</v>
      </c>
      <c r="M226" s="2">
        <v>1</v>
      </c>
    </row>
    <row r="227" spans="1:13" ht="15.75" hidden="1" customHeight="1" x14ac:dyDescent="0.2">
      <c r="A227" s="2">
        <v>226</v>
      </c>
      <c r="B227" s="2">
        <v>19</v>
      </c>
      <c r="C227" s="2">
        <v>35</v>
      </c>
      <c r="D227" s="2" t="s">
        <v>479</v>
      </c>
      <c r="E227" s="2" t="str">
        <f t="shared" si="0"/>
        <v>1235LC03PT</v>
      </c>
      <c r="F227" s="2">
        <f>VLOOKUP(B227,Course!$A$2:$R$329,2,FALSE)</f>
        <v>0</v>
      </c>
      <c r="G227" s="2">
        <f>VLOOKUP(B227, Course!$A$2:$L$950, 8, FALSE)</f>
        <v>12</v>
      </c>
      <c r="H227" s="2">
        <v>3</v>
      </c>
      <c r="I227" s="2">
        <v>1</v>
      </c>
      <c r="K227" s="2" t="s">
        <v>1915</v>
      </c>
      <c r="L227" s="2" t="str">
        <f>VLOOKUP(B227, Course!$A$1:$O$933, 14, FALSE)</f>
        <v>LC</v>
      </c>
      <c r="M227" s="2">
        <v>1</v>
      </c>
    </row>
    <row r="228" spans="1:13" ht="15.75" hidden="1" customHeight="1" x14ac:dyDescent="0.2">
      <c r="A228" s="2">
        <v>227</v>
      </c>
      <c r="B228" s="2">
        <v>19</v>
      </c>
      <c r="C228" s="2">
        <v>36</v>
      </c>
      <c r="D228" s="2" t="s">
        <v>479</v>
      </c>
      <c r="E228" s="2" t="str">
        <f t="shared" si="0"/>
        <v>1236LC03PT</v>
      </c>
      <c r="F228" s="2">
        <f>VLOOKUP(B228,Course!$A$2:$R$329,2,FALSE)</f>
        <v>0</v>
      </c>
      <c r="G228" s="2">
        <f>VLOOKUP(B228, Course!$A$2:$L$950, 8, FALSE)</f>
        <v>12</v>
      </c>
      <c r="H228" s="2">
        <v>3</v>
      </c>
      <c r="I228" s="2">
        <v>1</v>
      </c>
      <c r="K228" s="2" t="s">
        <v>1915</v>
      </c>
      <c r="L228" s="2" t="str">
        <f>VLOOKUP(B228, Course!$A$1:$O$933, 14, FALSE)</f>
        <v>LC</v>
      </c>
      <c r="M228" s="2">
        <v>1</v>
      </c>
    </row>
    <row r="229" spans="1:13" ht="15.75" hidden="1" customHeight="1" x14ac:dyDescent="0.2">
      <c r="A229" s="2">
        <v>228</v>
      </c>
      <c r="B229" s="2">
        <v>20</v>
      </c>
      <c r="C229" s="2">
        <v>25</v>
      </c>
      <c r="D229" s="2" t="s">
        <v>377</v>
      </c>
      <c r="E229" s="2" t="str">
        <f t="shared" si="0"/>
        <v>1225SC03PT</v>
      </c>
      <c r="F229" s="2" t="str">
        <f>VLOOKUP(B229,Course!$A$2:$R$329,2,FALSE)</f>
        <v>Science 3</v>
      </c>
      <c r="G229" s="2">
        <f>VLOOKUP(B229, Course!$A$2:$L$950, 8, FALSE)</f>
        <v>12</v>
      </c>
      <c r="H229" s="2">
        <v>3</v>
      </c>
      <c r="I229" s="2">
        <v>1</v>
      </c>
      <c r="K229" s="2" t="s">
        <v>1915</v>
      </c>
      <c r="L229" s="2" t="str">
        <f>VLOOKUP(B229, Course!$A$1:$O$933, 14, FALSE)</f>
        <v>SC</v>
      </c>
      <c r="M229" s="2">
        <v>1</v>
      </c>
    </row>
    <row r="230" spans="1:13" ht="15.75" hidden="1" customHeight="1" x14ac:dyDescent="0.2">
      <c r="A230" s="2">
        <v>229</v>
      </c>
      <c r="B230" s="2">
        <v>20</v>
      </c>
      <c r="C230" s="2">
        <v>26</v>
      </c>
      <c r="D230" s="2" t="s">
        <v>377</v>
      </c>
      <c r="E230" s="2" t="str">
        <f t="shared" si="0"/>
        <v>1226SC03PT</v>
      </c>
      <c r="F230" s="2" t="str">
        <f>VLOOKUP(B230,Course!$A$2:$R$329,2,FALSE)</f>
        <v>Science 3</v>
      </c>
      <c r="G230" s="2">
        <f>VLOOKUP(B230, Course!$A$2:$L$950, 8, FALSE)</f>
        <v>12</v>
      </c>
      <c r="H230" s="2">
        <v>3</v>
      </c>
      <c r="I230" s="2">
        <v>1</v>
      </c>
      <c r="K230" s="2" t="s">
        <v>1915</v>
      </c>
      <c r="L230" s="2" t="str">
        <f>VLOOKUP(B230, Course!$A$1:$O$933, 14, FALSE)</f>
        <v>SC</v>
      </c>
      <c r="M230" s="2">
        <v>1</v>
      </c>
    </row>
    <row r="231" spans="1:13" ht="15.75" hidden="1" customHeight="1" x14ac:dyDescent="0.2">
      <c r="A231" s="2">
        <v>230</v>
      </c>
      <c r="B231" s="2">
        <v>20</v>
      </c>
      <c r="C231" s="2">
        <v>27</v>
      </c>
      <c r="D231" s="2" t="s">
        <v>377</v>
      </c>
      <c r="E231" s="2" t="str">
        <f t="shared" si="0"/>
        <v>1227SC03PT</v>
      </c>
      <c r="F231" s="2" t="str">
        <f>VLOOKUP(B231,Course!$A$2:$R$329,2,FALSE)</f>
        <v>Science 3</v>
      </c>
      <c r="G231" s="2">
        <f>VLOOKUP(B231, Course!$A$2:$L$950, 8, FALSE)</f>
        <v>12</v>
      </c>
      <c r="H231" s="2">
        <v>3</v>
      </c>
      <c r="I231" s="2">
        <v>1</v>
      </c>
      <c r="K231" s="2" t="s">
        <v>1915</v>
      </c>
      <c r="L231" s="2" t="str">
        <f>VLOOKUP(B231, Course!$A$1:$O$933, 14, FALSE)</f>
        <v>SC</v>
      </c>
      <c r="M231" s="2">
        <v>1</v>
      </c>
    </row>
    <row r="232" spans="1:13" ht="15.75" hidden="1" customHeight="1" x14ac:dyDescent="0.2">
      <c r="A232" s="2">
        <v>231</v>
      </c>
      <c r="B232" s="2">
        <v>20</v>
      </c>
      <c r="C232" s="2">
        <v>28</v>
      </c>
      <c r="D232" s="2" t="s">
        <v>377</v>
      </c>
      <c r="E232" s="2" t="str">
        <f t="shared" si="0"/>
        <v>1228SC03PT</v>
      </c>
      <c r="F232" s="2" t="str">
        <f>VLOOKUP(B232,Course!$A$2:$R$329,2,FALSE)</f>
        <v>Science 3</v>
      </c>
      <c r="G232" s="2">
        <f>VLOOKUP(B232, Course!$A$2:$L$950, 8, FALSE)</f>
        <v>12</v>
      </c>
      <c r="H232" s="2">
        <v>3</v>
      </c>
      <c r="I232" s="2">
        <v>1</v>
      </c>
      <c r="K232" s="2" t="s">
        <v>1915</v>
      </c>
      <c r="L232" s="2" t="str">
        <f>VLOOKUP(B232, Course!$A$1:$O$933, 14, FALSE)</f>
        <v>SC</v>
      </c>
      <c r="M232" s="2">
        <v>1</v>
      </c>
    </row>
    <row r="233" spans="1:13" ht="15.75" hidden="1" customHeight="1" x14ac:dyDescent="0.2">
      <c r="A233" s="2">
        <v>232</v>
      </c>
      <c r="B233" s="2">
        <v>20</v>
      </c>
      <c r="C233" s="2">
        <v>29</v>
      </c>
      <c r="D233" s="2" t="s">
        <v>377</v>
      </c>
      <c r="E233" s="2" t="str">
        <f t="shared" si="0"/>
        <v>1229SC03PT</v>
      </c>
      <c r="F233" s="2" t="str">
        <f>VLOOKUP(B233,Course!$A$2:$R$329,2,FALSE)</f>
        <v>Science 3</v>
      </c>
      <c r="G233" s="2">
        <f>VLOOKUP(B233, Course!$A$2:$L$950, 8, FALSE)</f>
        <v>12</v>
      </c>
      <c r="H233" s="2">
        <v>3</v>
      </c>
      <c r="I233" s="2">
        <v>1</v>
      </c>
      <c r="K233" s="2" t="s">
        <v>1915</v>
      </c>
      <c r="L233" s="2" t="str">
        <f>VLOOKUP(B233, Course!$A$1:$O$933, 14, FALSE)</f>
        <v>SC</v>
      </c>
      <c r="M233" s="2">
        <v>1</v>
      </c>
    </row>
    <row r="234" spans="1:13" ht="15.75" hidden="1" customHeight="1" x14ac:dyDescent="0.2">
      <c r="A234" s="2">
        <v>233</v>
      </c>
      <c r="B234" s="2">
        <v>20</v>
      </c>
      <c r="C234" s="2">
        <v>30</v>
      </c>
      <c r="D234" s="2" t="s">
        <v>377</v>
      </c>
      <c r="E234" s="2" t="str">
        <f t="shared" si="0"/>
        <v>1230SC03PT</v>
      </c>
      <c r="F234" s="2" t="str">
        <f>VLOOKUP(B234,Course!$A$2:$R$329,2,FALSE)</f>
        <v>Science 3</v>
      </c>
      <c r="G234" s="2">
        <f>VLOOKUP(B234, Course!$A$2:$L$950, 8, FALSE)</f>
        <v>12</v>
      </c>
      <c r="H234" s="2">
        <v>3</v>
      </c>
      <c r="I234" s="2">
        <v>1</v>
      </c>
      <c r="K234" s="2" t="s">
        <v>1915</v>
      </c>
      <c r="L234" s="2" t="str">
        <f>VLOOKUP(B234, Course!$A$1:$O$933, 14, FALSE)</f>
        <v>SC</v>
      </c>
      <c r="M234" s="2">
        <v>1</v>
      </c>
    </row>
    <row r="235" spans="1:13" ht="15.75" hidden="1" customHeight="1" x14ac:dyDescent="0.2">
      <c r="A235" s="2">
        <v>234</v>
      </c>
      <c r="B235" s="2">
        <v>20</v>
      </c>
      <c r="C235" s="2">
        <v>31</v>
      </c>
      <c r="D235" s="2" t="s">
        <v>377</v>
      </c>
      <c r="E235" s="2" t="str">
        <f t="shared" si="0"/>
        <v>1231SC03PT</v>
      </c>
      <c r="F235" s="2" t="str">
        <f>VLOOKUP(B235,Course!$A$2:$R$329,2,FALSE)</f>
        <v>Science 3</v>
      </c>
      <c r="G235" s="2">
        <f>VLOOKUP(B235, Course!$A$2:$L$950, 8, FALSE)</f>
        <v>12</v>
      </c>
      <c r="H235" s="2">
        <v>3</v>
      </c>
      <c r="I235" s="2">
        <v>1</v>
      </c>
      <c r="K235" s="2" t="s">
        <v>1915</v>
      </c>
      <c r="L235" s="2" t="str">
        <f>VLOOKUP(B235, Course!$A$1:$O$933, 14, FALSE)</f>
        <v>SC</v>
      </c>
      <c r="M235" s="2">
        <v>1</v>
      </c>
    </row>
    <row r="236" spans="1:13" ht="15.75" hidden="1" customHeight="1" x14ac:dyDescent="0.2">
      <c r="A236" s="2">
        <v>235</v>
      </c>
      <c r="B236" s="2">
        <v>20</v>
      </c>
      <c r="C236" s="2">
        <v>32</v>
      </c>
      <c r="D236" s="2" t="s">
        <v>377</v>
      </c>
      <c r="E236" s="2" t="str">
        <f t="shared" si="0"/>
        <v>1232SC03PT</v>
      </c>
      <c r="F236" s="2" t="str">
        <f>VLOOKUP(B236,Course!$A$2:$R$329,2,FALSE)</f>
        <v>Science 3</v>
      </c>
      <c r="G236" s="2">
        <f>VLOOKUP(B236, Course!$A$2:$L$950, 8, FALSE)</f>
        <v>12</v>
      </c>
      <c r="H236" s="2">
        <v>3</v>
      </c>
      <c r="I236" s="2">
        <v>1</v>
      </c>
      <c r="K236" s="2" t="s">
        <v>1915</v>
      </c>
      <c r="L236" s="2" t="str">
        <f>VLOOKUP(B236, Course!$A$1:$O$933, 14, FALSE)</f>
        <v>SC</v>
      </c>
      <c r="M236" s="2">
        <v>1</v>
      </c>
    </row>
    <row r="237" spans="1:13" ht="15.75" hidden="1" customHeight="1" x14ac:dyDescent="0.2">
      <c r="A237" s="2">
        <v>236</v>
      </c>
      <c r="B237" s="2">
        <v>20</v>
      </c>
      <c r="C237" s="2">
        <v>33</v>
      </c>
      <c r="D237" s="2" t="s">
        <v>377</v>
      </c>
      <c r="E237" s="2" t="str">
        <f t="shared" si="0"/>
        <v>1233SC03PT</v>
      </c>
      <c r="F237" s="2" t="str">
        <f>VLOOKUP(B237,Course!$A$2:$R$329,2,FALSE)</f>
        <v>Science 3</v>
      </c>
      <c r="G237" s="2">
        <f>VLOOKUP(B237, Course!$A$2:$L$950, 8, FALSE)</f>
        <v>12</v>
      </c>
      <c r="H237" s="2">
        <v>3</v>
      </c>
      <c r="I237" s="2">
        <v>1</v>
      </c>
      <c r="K237" s="2" t="s">
        <v>1915</v>
      </c>
      <c r="L237" s="2" t="str">
        <f>VLOOKUP(B237, Course!$A$1:$O$933, 14, FALSE)</f>
        <v>SC</v>
      </c>
      <c r="M237" s="2">
        <v>1</v>
      </c>
    </row>
    <row r="238" spans="1:13" ht="15.75" hidden="1" customHeight="1" x14ac:dyDescent="0.2">
      <c r="A238" s="2">
        <v>237</v>
      </c>
      <c r="B238" s="2">
        <v>20</v>
      </c>
      <c r="C238" s="2">
        <v>34</v>
      </c>
      <c r="D238" s="2" t="s">
        <v>377</v>
      </c>
      <c r="E238" s="2" t="str">
        <f t="shared" si="0"/>
        <v>1234SC03PT</v>
      </c>
      <c r="F238" s="2" t="str">
        <f>VLOOKUP(B238,Course!$A$2:$R$329,2,FALSE)</f>
        <v>Science 3</v>
      </c>
      <c r="G238" s="2">
        <f>VLOOKUP(B238, Course!$A$2:$L$950, 8, FALSE)</f>
        <v>12</v>
      </c>
      <c r="H238" s="2">
        <v>3</v>
      </c>
      <c r="I238" s="2">
        <v>1</v>
      </c>
      <c r="K238" s="2" t="s">
        <v>1915</v>
      </c>
      <c r="L238" s="2" t="str">
        <f>VLOOKUP(B238, Course!$A$1:$O$933, 14, FALSE)</f>
        <v>SC</v>
      </c>
      <c r="M238" s="2">
        <v>1</v>
      </c>
    </row>
    <row r="239" spans="1:13" ht="15.75" hidden="1" customHeight="1" x14ac:dyDescent="0.2">
      <c r="A239" s="2">
        <v>238</v>
      </c>
      <c r="B239" s="2">
        <v>20</v>
      </c>
      <c r="C239" s="2">
        <v>35</v>
      </c>
      <c r="D239" s="2" t="s">
        <v>377</v>
      </c>
      <c r="E239" s="2" t="str">
        <f t="shared" si="0"/>
        <v>1235SC03PT</v>
      </c>
      <c r="F239" s="2" t="str">
        <f>VLOOKUP(B239,Course!$A$2:$R$329,2,FALSE)</f>
        <v>Science 3</v>
      </c>
      <c r="G239" s="2">
        <f>VLOOKUP(B239, Course!$A$2:$L$950, 8, FALSE)</f>
        <v>12</v>
      </c>
      <c r="H239" s="2">
        <v>3</v>
      </c>
      <c r="I239" s="2">
        <v>1</v>
      </c>
      <c r="K239" s="2" t="s">
        <v>1915</v>
      </c>
      <c r="L239" s="2" t="str">
        <f>VLOOKUP(B239, Course!$A$1:$O$933, 14, FALSE)</f>
        <v>SC</v>
      </c>
      <c r="M239" s="2">
        <v>1</v>
      </c>
    </row>
    <row r="240" spans="1:13" ht="15.75" hidden="1" customHeight="1" x14ac:dyDescent="0.2">
      <c r="A240" s="2">
        <v>239</v>
      </c>
      <c r="B240" s="2">
        <v>20</v>
      </c>
      <c r="C240" s="2">
        <v>36</v>
      </c>
      <c r="D240" s="2" t="s">
        <v>377</v>
      </c>
      <c r="E240" s="2" t="str">
        <f t="shared" si="0"/>
        <v>1236SC03PT</v>
      </c>
      <c r="F240" s="2" t="str">
        <f>VLOOKUP(B240,Course!$A$2:$R$329,2,FALSE)</f>
        <v>Science 3</v>
      </c>
      <c r="G240" s="2">
        <f>VLOOKUP(B240, Course!$A$2:$L$950, 8, FALSE)</f>
        <v>12</v>
      </c>
      <c r="H240" s="2">
        <v>3</v>
      </c>
      <c r="I240" s="2">
        <v>1</v>
      </c>
      <c r="K240" s="2" t="s">
        <v>1915</v>
      </c>
      <c r="L240" s="2" t="str">
        <f>VLOOKUP(B240, Course!$A$1:$O$933, 14, FALSE)</f>
        <v>SC</v>
      </c>
      <c r="M240" s="2">
        <v>1</v>
      </c>
    </row>
    <row r="241" spans="1:13" ht="15.75" hidden="1" customHeight="1" x14ac:dyDescent="0.2">
      <c r="A241" s="2">
        <v>240</v>
      </c>
      <c r="B241" s="2">
        <v>21</v>
      </c>
      <c r="C241" s="2">
        <v>25</v>
      </c>
      <c r="D241" s="2" t="s">
        <v>379</v>
      </c>
      <c r="E241" s="2" t="str">
        <f t="shared" si="0"/>
        <v>1225SS03PT</v>
      </c>
      <c r="F241" s="2">
        <f>VLOOKUP(B241,Course!$A$2:$R$329,2,FALSE)</f>
        <v>0</v>
      </c>
      <c r="G241" s="2">
        <f>VLOOKUP(B241, Course!$A$2:$L$950, 8, FALSE)</f>
        <v>12</v>
      </c>
      <c r="H241" s="2">
        <v>3</v>
      </c>
      <c r="I241" s="2">
        <v>1</v>
      </c>
      <c r="K241" s="2" t="s">
        <v>1915</v>
      </c>
      <c r="L241" s="2" t="str">
        <f>VLOOKUP(B241, Course!$A$1:$O$933, 14, FALSE)</f>
        <v>SS</v>
      </c>
      <c r="M241" s="2">
        <v>1</v>
      </c>
    </row>
    <row r="242" spans="1:13" ht="15.75" hidden="1" customHeight="1" x14ac:dyDescent="0.2">
      <c r="A242" s="2">
        <v>241</v>
      </c>
      <c r="B242" s="2">
        <v>21</v>
      </c>
      <c r="C242" s="2">
        <v>26</v>
      </c>
      <c r="D242" s="2" t="s">
        <v>379</v>
      </c>
      <c r="E242" s="2" t="str">
        <f t="shared" si="0"/>
        <v>1226SS03PT</v>
      </c>
      <c r="F242" s="2">
        <f>VLOOKUP(B242,Course!$A$2:$R$329,2,FALSE)</f>
        <v>0</v>
      </c>
      <c r="G242" s="2">
        <f>VLOOKUP(B242, Course!$A$2:$L$950, 8, FALSE)</f>
        <v>12</v>
      </c>
      <c r="H242" s="2">
        <v>3</v>
      </c>
      <c r="I242" s="2">
        <v>1</v>
      </c>
      <c r="K242" s="2" t="s">
        <v>1915</v>
      </c>
      <c r="L242" s="2" t="str">
        <f>VLOOKUP(B242, Course!$A$1:$O$933, 14, FALSE)</f>
        <v>SS</v>
      </c>
      <c r="M242" s="2">
        <v>1</v>
      </c>
    </row>
    <row r="243" spans="1:13" ht="15.75" hidden="1" customHeight="1" x14ac:dyDescent="0.2">
      <c r="A243" s="2">
        <v>242</v>
      </c>
      <c r="B243" s="2">
        <v>21</v>
      </c>
      <c r="C243" s="2">
        <v>27</v>
      </c>
      <c r="D243" s="2" t="s">
        <v>379</v>
      </c>
      <c r="E243" s="2" t="str">
        <f t="shared" si="0"/>
        <v>1227SS03PT</v>
      </c>
      <c r="F243" s="2">
        <f>VLOOKUP(B243,Course!$A$2:$R$329,2,FALSE)</f>
        <v>0</v>
      </c>
      <c r="G243" s="2">
        <f>VLOOKUP(B243, Course!$A$2:$L$950, 8, FALSE)</f>
        <v>12</v>
      </c>
      <c r="H243" s="2">
        <v>3</v>
      </c>
      <c r="I243" s="2">
        <v>1</v>
      </c>
      <c r="K243" s="2" t="s">
        <v>1915</v>
      </c>
      <c r="L243" s="2" t="str">
        <f>VLOOKUP(B243, Course!$A$1:$O$933, 14, FALSE)</f>
        <v>SS</v>
      </c>
      <c r="M243" s="2">
        <v>1</v>
      </c>
    </row>
    <row r="244" spans="1:13" ht="15.75" hidden="1" customHeight="1" x14ac:dyDescent="0.2">
      <c r="A244" s="2">
        <v>243</v>
      </c>
      <c r="B244" s="2">
        <v>21</v>
      </c>
      <c r="C244" s="2">
        <v>28</v>
      </c>
      <c r="D244" s="2" t="s">
        <v>379</v>
      </c>
      <c r="E244" s="2" t="str">
        <f t="shared" si="0"/>
        <v>1228SS03PT</v>
      </c>
      <c r="F244" s="2">
        <f>VLOOKUP(B244,Course!$A$2:$R$329,2,FALSE)</f>
        <v>0</v>
      </c>
      <c r="G244" s="2">
        <f>VLOOKUP(B244, Course!$A$2:$L$950, 8, FALSE)</f>
        <v>12</v>
      </c>
      <c r="H244" s="2">
        <v>3</v>
      </c>
      <c r="I244" s="2">
        <v>1</v>
      </c>
      <c r="K244" s="2" t="s">
        <v>1915</v>
      </c>
      <c r="L244" s="2" t="str">
        <f>VLOOKUP(B244, Course!$A$1:$O$933, 14, FALSE)</f>
        <v>SS</v>
      </c>
      <c r="M244" s="2">
        <v>1</v>
      </c>
    </row>
    <row r="245" spans="1:13" ht="15.75" hidden="1" customHeight="1" x14ac:dyDescent="0.2">
      <c r="A245" s="2">
        <v>244</v>
      </c>
      <c r="B245" s="2">
        <v>21</v>
      </c>
      <c r="C245" s="2">
        <v>29</v>
      </c>
      <c r="D245" s="2" t="s">
        <v>379</v>
      </c>
      <c r="E245" s="2" t="str">
        <f t="shared" si="0"/>
        <v>1229SS03PT</v>
      </c>
      <c r="F245" s="2">
        <f>VLOOKUP(B245,Course!$A$2:$R$329,2,FALSE)</f>
        <v>0</v>
      </c>
      <c r="G245" s="2">
        <f>VLOOKUP(B245, Course!$A$2:$L$950, 8, FALSE)</f>
        <v>12</v>
      </c>
      <c r="H245" s="2">
        <v>3</v>
      </c>
      <c r="I245" s="2">
        <v>1</v>
      </c>
      <c r="K245" s="2" t="s">
        <v>1915</v>
      </c>
      <c r="L245" s="2" t="str">
        <f>VLOOKUP(B245, Course!$A$1:$O$933, 14, FALSE)</f>
        <v>SS</v>
      </c>
      <c r="M245" s="2">
        <v>1</v>
      </c>
    </row>
    <row r="246" spans="1:13" ht="15.75" hidden="1" customHeight="1" x14ac:dyDescent="0.2">
      <c r="A246" s="2">
        <v>245</v>
      </c>
      <c r="B246" s="2">
        <v>21</v>
      </c>
      <c r="C246" s="2">
        <v>30</v>
      </c>
      <c r="D246" s="2" t="s">
        <v>379</v>
      </c>
      <c r="E246" s="2" t="str">
        <f t="shared" si="0"/>
        <v>1230SS03PT</v>
      </c>
      <c r="F246" s="2">
        <f>VLOOKUP(B246,Course!$A$2:$R$329,2,FALSE)</f>
        <v>0</v>
      </c>
      <c r="G246" s="2">
        <f>VLOOKUP(B246, Course!$A$2:$L$950, 8, FALSE)</f>
        <v>12</v>
      </c>
      <c r="H246" s="2">
        <v>3</v>
      </c>
      <c r="I246" s="2">
        <v>1</v>
      </c>
      <c r="K246" s="2" t="s">
        <v>1915</v>
      </c>
      <c r="L246" s="2" t="str">
        <f>VLOOKUP(B246, Course!$A$1:$O$933, 14, FALSE)</f>
        <v>SS</v>
      </c>
      <c r="M246" s="2">
        <v>1</v>
      </c>
    </row>
    <row r="247" spans="1:13" ht="15.75" hidden="1" customHeight="1" x14ac:dyDescent="0.2">
      <c r="A247" s="2">
        <v>246</v>
      </c>
      <c r="B247" s="2">
        <v>21</v>
      </c>
      <c r="C247" s="2">
        <v>31</v>
      </c>
      <c r="D247" s="2" t="s">
        <v>379</v>
      </c>
      <c r="E247" s="2" t="str">
        <f t="shared" si="0"/>
        <v>1231SS03PT</v>
      </c>
      <c r="F247" s="2">
        <f>VLOOKUP(B247,Course!$A$2:$R$329,2,FALSE)</f>
        <v>0</v>
      </c>
      <c r="G247" s="2">
        <f>VLOOKUP(B247, Course!$A$2:$L$950, 8, FALSE)</f>
        <v>12</v>
      </c>
      <c r="H247" s="2">
        <v>3</v>
      </c>
      <c r="I247" s="2">
        <v>1</v>
      </c>
      <c r="K247" s="2" t="s">
        <v>1915</v>
      </c>
      <c r="L247" s="2" t="str">
        <f>VLOOKUP(B247, Course!$A$1:$O$933, 14, FALSE)</f>
        <v>SS</v>
      </c>
      <c r="M247" s="2">
        <v>1</v>
      </c>
    </row>
    <row r="248" spans="1:13" ht="15.75" hidden="1" customHeight="1" x14ac:dyDescent="0.2">
      <c r="A248" s="2">
        <v>247</v>
      </c>
      <c r="B248" s="2">
        <v>21</v>
      </c>
      <c r="C248" s="2">
        <v>32</v>
      </c>
      <c r="D248" s="2" t="s">
        <v>379</v>
      </c>
      <c r="E248" s="2" t="str">
        <f t="shared" si="0"/>
        <v>1232SS03PT</v>
      </c>
      <c r="F248" s="2">
        <f>VLOOKUP(B248,Course!$A$2:$R$329,2,FALSE)</f>
        <v>0</v>
      </c>
      <c r="G248" s="2">
        <f>VLOOKUP(B248, Course!$A$2:$L$950, 8, FALSE)</f>
        <v>12</v>
      </c>
      <c r="H248" s="2">
        <v>3</v>
      </c>
      <c r="I248" s="2">
        <v>1</v>
      </c>
      <c r="K248" s="2" t="s">
        <v>1915</v>
      </c>
      <c r="L248" s="2" t="str">
        <f>VLOOKUP(B248, Course!$A$1:$O$933, 14, FALSE)</f>
        <v>SS</v>
      </c>
      <c r="M248" s="2">
        <v>1</v>
      </c>
    </row>
    <row r="249" spans="1:13" ht="15.75" hidden="1" customHeight="1" x14ac:dyDescent="0.2">
      <c r="A249" s="2">
        <v>248</v>
      </c>
      <c r="B249" s="2">
        <v>21</v>
      </c>
      <c r="C249" s="2">
        <v>33</v>
      </c>
      <c r="D249" s="2" t="s">
        <v>379</v>
      </c>
      <c r="E249" s="2" t="str">
        <f t="shared" si="0"/>
        <v>1233SS03PT</v>
      </c>
      <c r="F249" s="2">
        <f>VLOOKUP(B249,Course!$A$2:$R$329,2,FALSE)</f>
        <v>0</v>
      </c>
      <c r="G249" s="2">
        <f>VLOOKUP(B249, Course!$A$2:$L$950, 8, FALSE)</f>
        <v>12</v>
      </c>
      <c r="H249" s="2">
        <v>3</v>
      </c>
      <c r="I249" s="2">
        <v>1</v>
      </c>
      <c r="K249" s="2" t="s">
        <v>1915</v>
      </c>
      <c r="L249" s="2" t="str">
        <f>VLOOKUP(B249, Course!$A$1:$O$933, 14, FALSE)</f>
        <v>SS</v>
      </c>
      <c r="M249" s="2">
        <v>1</v>
      </c>
    </row>
    <row r="250" spans="1:13" ht="15.75" hidden="1" customHeight="1" x14ac:dyDescent="0.2">
      <c r="A250" s="2">
        <v>249</v>
      </c>
      <c r="B250" s="2">
        <v>21</v>
      </c>
      <c r="C250" s="2">
        <v>34</v>
      </c>
      <c r="D250" s="2" t="s">
        <v>379</v>
      </c>
      <c r="E250" s="2" t="str">
        <f t="shared" si="0"/>
        <v>1234SS03PT</v>
      </c>
      <c r="F250" s="2">
        <f>VLOOKUP(B250,Course!$A$2:$R$329,2,FALSE)</f>
        <v>0</v>
      </c>
      <c r="G250" s="2">
        <f>VLOOKUP(B250, Course!$A$2:$L$950, 8, FALSE)</f>
        <v>12</v>
      </c>
      <c r="H250" s="2">
        <v>3</v>
      </c>
      <c r="I250" s="2">
        <v>1</v>
      </c>
      <c r="K250" s="2" t="s">
        <v>1915</v>
      </c>
      <c r="L250" s="2" t="str">
        <f>VLOOKUP(B250, Course!$A$1:$O$933, 14, FALSE)</f>
        <v>SS</v>
      </c>
      <c r="M250" s="2">
        <v>1</v>
      </c>
    </row>
    <row r="251" spans="1:13" ht="15.75" hidden="1" customHeight="1" x14ac:dyDescent="0.2">
      <c r="A251" s="2">
        <v>250</v>
      </c>
      <c r="B251" s="2">
        <v>21</v>
      </c>
      <c r="C251" s="2">
        <v>35</v>
      </c>
      <c r="D251" s="2" t="s">
        <v>379</v>
      </c>
      <c r="E251" s="2" t="str">
        <f t="shared" si="0"/>
        <v>1235SS03PT</v>
      </c>
      <c r="F251" s="2">
        <f>VLOOKUP(B251,Course!$A$2:$R$329,2,FALSE)</f>
        <v>0</v>
      </c>
      <c r="G251" s="2">
        <f>VLOOKUP(B251, Course!$A$2:$L$950, 8, FALSE)</f>
        <v>12</v>
      </c>
      <c r="H251" s="2">
        <v>3</v>
      </c>
      <c r="I251" s="2">
        <v>1</v>
      </c>
      <c r="K251" s="2" t="s">
        <v>1915</v>
      </c>
      <c r="L251" s="2" t="str">
        <f>VLOOKUP(B251, Course!$A$1:$O$933, 14, FALSE)</f>
        <v>SS</v>
      </c>
      <c r="M251" s="2">
        <v>1</v>
      </c>
    </row>
    <row r="252" spans="1:13" ht="15.75" hidden="1" customHeight="1" x14ac:dyDescent="0.2">
      <c r="A252" s="2">
        <v>251</v>
      </c>
      <c r="B252" s="2">
        <v>21</v>
      </c>
      <c r="C252" s="2">
        <v>36</v>
      </c>
      <c r="D252" s="2" t="s">
        <v>379</v>
      </c>
      <c r="E252" s="2" t="str">
        <f t="shared" si="0"/>
        <v>1236SS03PT</v>
      </c>
      <c r="F252" s="2">
        <f>VLOOKUP(B252,Course!$A$2:$R$329,2,FALSE)</f>
        <v>0</v>
      </c>
      <c r="G252" s="2">
        <f>VLOOKUP(B252, Course!$A$2:$L$950, 8, FALSE)</f>
        <v>12</v>
      </c>
      <c r="H252" s="2">
        <v>3</v>
      </c>
      <c r="I252" s="2">
        <v>1</v>
      </c>
      <c r="K252" s="2" t="s">
        <v>1915</v>
      </c>
      <c r="L252" s="2" t="str">
        <f>VLOOKUP(B252, Course!$A$1:$O$933, 14, FALSE)</f>
        <v>SS</v>
      </c>
      <c r="M252" s="2">
        <v>1</v>
      </c>
    </row>
    <row r="253" spans="1:13" ht="15.75" hidden="1" customHeight="1" x14ac:dyDescent="0.2">
      <c r="A253" s="2">
        <v>252</v>
      </c>
      <c r="B253" s="2">
        <v>22</v>
      </c>
      <c r="C253" s="2">
        <v>25</v>
      </c>
      <c r="D253" s="2" t="s">
        <v>484</v>
      </c>
      <c r="E253" s="2" t="str">
        <f t="shared" si="0"/>
        <v>1225BR03PT</v>
      </c>
      <c r="F253" s="2">
        <f>VLOOKUP(B253,Course!$A$2:$R$329,2,FALSE)</f>
        <v>0</v>
      </c>
      <c r="G253" s="2">
        <f>VLOOKUP(B253, Course!$A$2:$L$950, 8, FALSE)</f>
        <v>12</v>
      </c>
      <c r="H253" s="2">
        <v>3</v>
      </c>
      <c r="I253" s="2">
        <v>1</v>
      </c>
      <c r="K253" s="2" t="s">
        <v>1915</v>
      </c>
      <c r="L253" s="2" t="str">
        <f>VLOOKUP(B253, Course!$A$1:$O$933, 14, FALSE)</f>
        <v>BR</v>
      </c>
      <c r="M253" s="2">
        <v>1</v>
      </c>
    </row>
    <row r="254" spans="1:13" ht="15.75" hidden="1" customHeight="1" x14ac:dyDescent="0.2">
      <c r="A254" s="2">
        <v>253</v>
      </c>
      <c r="B254" s="2">
        <v>22</v>
      </c>
      <c r="C254" s="2">
        <v>26</v>
      </c>
      <c r="D254" s="2" t="s">
        <v>484</v>
      </c>
      <c r="E254" s="2" t="str">
        <f t="shared" si="0"/>
        <v>1226BR03PT</v>
      </c>
      <c r="F254" s="2">
        <f>VLOOKUP(B254,Course!$A$2:$R$329,2,FALSE)</f>
        <v>0</v>
      </c>
      <c r="G254" s="2">
        <f>VLOOKUP(B254, Course!$A$2:$L$950, 8, FALSE)</f>
        <v>12</v>
      </c>
      <c r="H254" s="2">
        <v>3</v>
      </c>
      <c r="I254" s="2">
        <v>1</v>
      </c>
      <c r="K254" s="2" t="s">
        <v>1915</v>
      </c>
      <c r="L254" s="2" t="str">
        <f>VLOOKUP(B254, Course!$A$1:$O$933, 14, FALSE)</f>
        <v>BR</v>
      </c>
      <c r="M254" s="2">
        <v>1</v>
      </c>
    </row>
    <row r="255" spans="1:13" ht="15.75" hidden="1" customHeight="1" x14ac:dyDescent="0.2">
      <c r="A255" s="2">
        <v>254</v>
      </c>
      <c r="B255" s="2">
        <v>22</v>
      </c>
      <c r="C255" s="2">
        <v>27</v>
      </c>
      <c r="D255" s="2" t="s">
        <v>484</v>
      </c>
      <c r="E255" s="2" t="str">
        <f t="shared" si="0"/>
        <v>1227BR03PT</v>
      </c>
      <c r="F255" s="2">
        <f>VLOOKUP(B255,Course!$A$2:$R$329,2,FALSE)</f>
        <v>0</v>
      </c>
      <c r="G255" s="2">
        <f>VLOOKUP(B255, Course!$A$2:$L$950, 8, FALSE)</f>
        <v>12</v>
      </c>
      <c r="H255" s="2">
        <v>3</v>
      </c>
      <c r="I255" s="2">
        <v>1</v>
      </c>
      <c r="K255" s="2" t="s">
        <v>1915</v>
      </c>
      <c r="L255" s="2" t="str">
        <f>VLOOKUP(B255, Course!$A$1:$O$933, 14, FALSE)</f>
        <v>BR</v>
      </c>
      <c r="M255" s="2">
        <v>1</v>
      </c>
    </row>
    <row r="256" spans="1:13" ht="15.75" hidden="1" customHeight="1" x14ac:dyDescent="0.2">
      <c r="A256" s="2">
        <v>255</v>
      </c>
      <c r="B256" s="2">
        <v>22</v>
      </c>
      <c r="C256" s="2">
        <v>28</v>
      </c>
      <c r="D256" s="2" t="s">
        <v>484</v>
      </c>
      <c r="E256" s="2" t="str">
        <f t="shared" si="0"/>
        <v>1228BR03PT</v>
      </c>
      <c r="F256" s="2">
        <f>VLOOKUP(B256,Course!$A$2:$R$329,2,FALSE)</f>
        <v>0</v>
      </c>
      <c r="G256" s="2">
        <f>VLOOKUP(B256, Course!$A$2:$L$950, 8, FALSE)</f>
        <v>12</v>
      </c>
      <c r="H256" s="2">
        <v>3</v>
      </c>
      <c r="I256" s="2">
        <v>1</v>
      </c>
      <c r="K256" s="2" t="s">
        <v>1915</v>
      </c>
      <c r="L256" s="2" t="str">
        <f>VLOOKUP(B256, Course!$A$1:$O$933, 14, FALSE)</f>
        <v>BR</v>
      </c>
      <c r="M256" s="2">
        <v>1</v>
      </c>
    </row>
    <row r="257" spans="1:13" ht="15.75" hidden="1" customHeight="1" x14ac:dyDescent="0.2">
      <c r="A257" s="2">
        <v>256</v>
      </c>
      <c r="B257" s="2">
        <v>22</v>
      </c>
      <c r="C257" s="2">
        <v>29</v>
      </c>
      <c r="D257" s="2" t="s">
        <v>484</v>
      </c>
      <c r="E257" s="2" t="str">
        <f t="shared" si="0"/>
        <v>1229BR03PT</v>
      </c>
      <c r="F257" s="2">
        <f>VLOOKUP(B257,Course!$A$2:$R$329,2,FALSE)</f>
        <v>0</v>
      </c>
      <c r="G257" s="2">
        <f>VLOOKUP(B257, Course!$A$2:$L$950, 8, FALSE)</f>
        <v>12</v>
      </c>
      <c r="H257" s="2">
        <v>3</v>
      </c>
      <c r="I257" s="2">
        <v>1</v>
      </c>
      <c r="K257" s="2" t="s">
        <v>1915</v>
      </c>
      <c r="L257" s="2" t="str">
        <f>VLOOKUP(B257, Course!$A$1:$O$933, 14, FALSE)</f>
        <v>BR</v>
      </c>
      <c r="M257" s="2">
        <v>1</v>
      </c>
    </row>
    <row r="258" spans="1:13" ht="15.75" hidden="1" customHeight="1" x14ac:dyDescent="0.2">
      <c r="A258" s="2">
        <v>257</v>
      </c>
      <c r="B258" s="2">
        <v>22</v>
      </c>
      <c r="C258" s="2">
        <v>30</v>
      </c>
      <c r="D258" s="2" t="s">
        <v>484</v>
      </c>
      <c r="E258" s="2" t="str">
        <f t="shared" ref="E258:E512" si="1">UPPER(LEFT(G258,2)) &amp; RIGHT("0" &amp; C258, 2) &amp; D258 &amp; RIGHT("0" &amp; H258, 2) &amp; K258</f>
        <v>1230BR03PT</v>
      </c>
      <c r="F258" s="2">
        <f>VLOOKUP(B258,Course!$A$2:$R$329,2,FALSE)</f>
        <v>0</v>
      </c>
      <c r="G258" s="2">
        <f>VLOOKUP(B258, Course!$A$2:$L$950, 8, FALSE)</f>
        <v>12</v>
      </c>
      <c r="H258" s="2">
        <v>3</v>
      </c>
      <c r="I258" s="2">
        <v>1</v>
      </c>
      <c r="K258" s="2" t="s">
        <v>1915</v>
      </c>
      <c r="L258" s="2" t="str">
        <f>VLOOKUP(B258, Course!$A$1:$O$933, 14, FALSE)</f>
        <v>BR</v>
      </c>
      <c r="M258" s="2">
        <v>1</v>
      </c>
    </row>
    <row r="259" spans="1:13" ht="15.75" hidden="1" customHeight="1" x14ac:dyDescent="0.2">
      <c r="A259" s="2">
        <v>258</v>
      </c>
      <c r="B259" s="2">
        <v>22</v>
      </c>
      <c r="C259" s="2">
        <v>31</v>
      </c>
      <c r="D259" s="2" t="s">
        <v>484</v>
      </c>
      <c r="E259" s="2" t="str">
        <f t="shared" si="1"/>
        <v>1231BR03PT</v>
      </c>
      <c r="F259" s="2">
        <f>VLOOKUP(B259,Course!$A$2:$R$329,2,FALSE)</f>
        <v>0</v>
      </c>
      <c r="G259" s="2">
        <f>VLOOKUP(B259, Course!$A$2:$L$950, 8, FALSE)</f>
        <v>12</v>
      </c>
      <c r="H259" s="2">
        <v>3</v>
      </c>
      <c r="I259" s="2">
        <v>1</v>
      </c>
      <c r="K259" s="2" t="s">
        <v>1915</v>
      </c>
      <c r="L259" s="2" t="str">
        <f>VLOOKUP(B259, Course!$A$1:$O$933, 14, FALSE)</f>
        <v>BR</v>
      </c>
      <c r="M259" s="2">
        <v>1</v>
      </c>
    </row>
    <row r="260" spans="1:13" ht="15.75" hidden="1" customHeight="1" x14ac:dyDescent="0.2">
      <c r="A260" s="2">
        <v>259</v>
      </c>
      <c r="B260" s="2">
        <v>22</v>
      </c>
      <c r="C260" s="2">
        <v>32</v>
      </c>
      <c r="D260" s="2" t="s">
        <v>484</v>
      </c>
      <c r="E260" s="2" t="str">
        <f t="shared" si="1"/>
        <v>1232BR03PT</v>
      </c>
      <c r="F260" s="2">
        <f>VLOOKUP(B260,Course!$A$2:$R$329,2,FALSE)</f>
        <v>0</v>
      </c>
      <c r="G260" s="2">
        <f>VLOOKUP(B260, Course!$A$2:$L$950, 8, FALSE)</f>
        <v>12</v>
      </c>
      <c r="H260" s="2">
        <v>3</v>
      </c>
      <c r="I260" s="2">
        <v>1</v>
      </c>
      <c r="K260" s="2" t="s">
        <v>1915</v>
      </c>
      <c r="L260" s="2" t="str">
        <f>VLOOKUP(B260, Course!$A$1:$O$933, 14, FALSE)</f>
        <v>BR</v>
      </c>
      <c r="M260" s="2">
        <v>1</v>
      </c>
    </row>
    <row r="261" spans="1:13" ht="15.75" hidden="1" customHeight="1" x14ac:dyDescent="0.2">
      <c r="A261" s="2">
        <v>260</v>
      </c>
      <c r="B261" s="2">
        <v>22</v>
      </c>
      <c r="C261" s="2">
        <v>33</v>
      </c>
      <c r="D261" s="2" t="s">
        <v>484</v>
      </c>
      <c r="E261" s="2" t="str">
        <f t="shared" si="1"/>
        <v>1233BR03PT</v>
      </c>
      <c r="F261" s="2">
        <f>VLOOKUP(B261,Course!$A$2:$R$329,2,FALSE)</f>
        <v>0</v>
      </c>
      <c r="G261" s="2">
        <f>VLOOKUP(B261, Course!$A$2:$L$950, 8, FALSE)</f>
        <v>12</v>
      </c>
      <c r="H261" s="2">
        <v>3</v>
      </c>
      <c r="I261" s="2">
        <v>1</v>
      </c>
      <c r="K261" s="2" t="s">
        <v>1915</v>
      </c>
      <c r="L261" s="2" t="str">
        <f>VLOOKUP(B261, Course!$A$1:$O$933, 14, FALSE)</f>
        <v>BR</v>
      </c>
      <c r="M261" s="2">
        <v>1</v>
      </c>
    </row>
    <row r="262" spans="1:13" ht="15.75" hidden="1" customHeight="1" x14ac:dyDescent="0.2">
      <c r="A262" s="2">
        <v>261</v>
      </c>
      <c r="B262" s="2">
        <v>22</v>
      </c>
      <c r="C262" s="2">
        <v>34</v>
      </c>
      <c r="D262" s="2" t="s">
        <v>484</v>
      </c>
      <c r="E262" s="2" t="str">
        <f t="shared" si="1"/>
        <v>1234BR03PT</v>
      </c>
      <c r="F262" s="2">
        <f>VLOOKUP(B262,Course!$A$2:$R$329,2,FALSE)</f>
        <v>0</v>
      </c>
      <c r="G262" s="2">
        <f>VLOOKUP(B262, Course!$A$2:$L$950, 8, FALSE)</f>
        <v>12</v>
      </c>
      <c r="H262" s="2">
        <v>3</v>
      </c>
      <c r="I262" s="2">
        <v>1</v>
      </c>
      <c r="K262" s="2" t="s">
        <v>1915</v>
      </c>
      <c r="L262" s="2" t="str">
        <f>VLOOKUP(B262, Course!$A$1:$O$933, 14, FALSE)</f>
        <v>BR</v>
      </c>
      <c r="M262" s="2">
        <v>1</v>
      </c>
    </row>
    <row r="263" spans="1:13" ht="15.75" hidden="1" customHeight="1" x14ac:dyDescent="0.2">
      <c r="A263" s="2">
        <v>262</v>
      </c>
      <c r="B263" s="2">
        <v>22</v>
      </c>
      <c r="C263" s="2">
        <v>35</v>
      </c>
      <c r="D263" s="2" t="s">
        <v>484</v>
      </c>
      <c r="E263" s="2" t="str">
        <f t="shared" si="1"/>
        <v>1235BR03PT</v>
      </c>
      <c r="F263" s="2">
        <f>VLOOKUP(B263,Course!$A$2:$R$329,2,FALSE)</f>
        <v>0</v>
      </c>
      <c r="G263" s="2">
        <f>VLOOKUP(B263, Course!$A$2:$L$950, 8, FALSE)</f>
        <v>12</v>
      </c>
      <c r="H263" s="2">
        <v>3</v>
      </c>
      <c r="I263" s="2">
        <v>1</v>
      </c>
      <c r="K263" s="2" t="s">
        <v>1915</v>
      </c>
      <c r="L263" s="2" t="str">
        <f>VLOOKUP(B263, Course!$A$1:$O$933, 14, FALSE)</f>
        <v>BR</v>
      </c>
      <c r="M263" s="2">
        <v>1</v>
      </c>
    </row>
    <row r="264" spans="1:13" ht="15.75" hidden="1" customHeight="1" x14ac:dyDescent="0.2">
      <c r="A264" s="2">
        <v>263</v>
      </c>
      <c r="B264" s="2">
        <v>22</v>
      </c>
      <c r="C264" s="2">
        <v>36</v>
      </c>
      <c r="D264" s="2" t="s">
        <v>484</v>
      </c>
      <c r="E264" s="2" t="str">
        <f t="shared" si="1"/>
        <v>1236BR03PT</v>
      </c>
      <c r="F264" s="2">
        <f>VLOOKUP(B264,Course!$A$2:$R$329,2,FALSE)</f>
        <v>0</v>
      </c>
      <c r="G264" s="2">
        <f>VLOOKUP(B264, Course!$A$2:$L$950, 8, FALSE)</f>
        <v>12</v>
      </c>
      <c r="H264" s="2">
        <v>3</v>
      </c>
      <c r="I264" s="2">
        <v>1</v>
      </c>
      <c r="K264" s="2" t="s">
        <v>1915</v>
      </c>
      <c r="L264" s="2" t="str">
        <f>VLOOKUP(B264, Course!$A$1:$O$933, 14, FALSE)</f>
        <v>BR</v>
      </c>
      <c r="M264" s="2">
        <v>1</v>
      </c>
    </row>
    <row r="265" spans="1:13" ht="15.75" hidden="1" customHeight="1" x14ac:dyDescent="0.2">
      <c r="A265" s="2">
        <v>264</v>
      </c>
      <c r="B265" s="2">
        <v>23</v>
      </c>
      <c r="C265" s="2">
        <v>37</v>
      </c>
      <c r="D265" s="2" t="s">
        <v>369</v>
      </c>
      <c r="E265" s="2" t="str">
        <f t="shared" si="1"/>
        <v>1237MA03PT</v>
      </c>
      <c r="F265" s="2">
        <f>VLOOKUP(B265,Course!$A$2:$R$329,2,FALSE)</f>
        <v>0</v>
      </c>
      <c r="G265" s="2">
        <f>VLOOKUP(B265, Course!$A$2:$L$950, 8, FALSE)</f>
        <v>12</v>
      </c>
      <c r="H265" s="2">
        <v>3</v>
      </c>
      <c r="I265" s="2">
        <v>1</v>
      </c>
      <c r="K265" s="2" t="s">
        <v>1915</v>
      </c>
      <c r="L265" s="2" t="str">
        <f>VLOOKUP(B265, Course!$A$1:$O$933, 14, FALSE)</f>
        <v>MA</v>
      </c>
      <c r="M265" s="2">
        <v>1</v>
      </c>
    </row>
    <row r="266" spans="1:13" ht="15.75" hidden="1" customHeight="1" x14ac:dyDescent="0.2">
      <c r="A266" s="2">
        <v>265</v>
      </c>
      <c r="B266" s="2">
        <v>23</v>
      </c>
      <c r="C266" s="2">
        <v>38</v>
      </c>
      <c r="D266" s="2" t="s">
        <v>369</v>
      </c>
      <c r="E266" s="2" t="str">
        <f t="shared" si="1"/>
        <v>1238MA03PT</v>
      </c>
      <c r="F266" s="2">
        <f>VLOOKUP(B266,Course!$A$2:$R$329,2,FALSE)</f>
        <v>0</v>
      </c>
      <c r="G266" s="2">
        <f>VLOOKUP(B266, Course!$A$2:$L$950, 8, FALSE)</f>
        <v>12</v>
      </c>
      <c r="H266" s="2">
        <v>3</v>
      </c>
      <c r="I266" s="2">
        <v>1</v>
      </c>
      <c r="K266" s="2" t="s">
        <v>1915</v>
      </c>
      <c r="L266" s="2" t="str">
        <f>VLOOKUP(B266, Course!$A$1:$O$933, 14, FALSE)</f>
        <v>MA</v>
      </c>
      <c r="M266" s="2">
        <v>1</v>
      </c>
    </row>
    <row r="267" spans="1:13" ht="15.75" hidden="1" customHeight="1" x14ac:dyDescent="0.2">
      <c r="A267" s="2">
        <v>266</v>
      </c>
      <c r="B267" s="2">
        <v>23</v>
      </c>
      <c r="C267" s="2">
        <v>39</v>
      </c>
      <c r="D267" s="2" t="s">
        <v>369</v>
      </c>
      <c r="E267" s="2" t="str">
        <f t="shared" si="1"/>
        <v>1239MA03PT</v>
      </c>
      <c r="F267" s="2">
        <f>VLOOKUP(B267,Course!$A$2:$R$329,2,FALSE)</f>
        <v>0</v>
      </c>
      <c r="G267" s="2">
        <f>VLOOKUP(B267, Course!$A$2:$L$950, 8, FALSE)</f>
        <v>12</v>
      </c>
      <c r="H267" s="2">
        <v>3</v>
      </c>
      <c r="I267" s="2">
        <v>1</v>
      </c>
      <c r="K267" s="2" t="s">
        <v>1915</v>
      </c>
      <c r="L267" s="2" t="str">
        <f>VLOOKUP(B267, Course!$A$1:$O$933, 14, FALSE)</f>
        <v>MA</v>
      </c>
      <c r="M267" s="2">
        <v>1</v>
      </c>
    </row>
    <row r="268" spans="1:13" ht="15.75" hidden="1" customHeight="1" x14ac:dyDescent="0.2">
      <c r="A268" s="2">
        <v>267</v>
      </c>
      <c r="B268" s="2">
        <v>23</v>
      </c>
      <c r="C268" s="2">
        <v>40</v>
      </c>
      <c r="D268" s="2" t="s">
        <v>369</v>
      </c>
      <c r="E268" s="2" t="str">
        <f t="shared" si="1"/>
        <v>1240MA03PT</v>
      </c>
      <c r="F268" s="2">
        <f>VLOOKUP(B268,Course!$A$2:$R$329,2,FALSE)</f>
        <v>0</v>
      </c>
      <c r="G268" s="2">
        <f>VLOOKUP(B268, Course!$A$2:$L$950, 8, FALSE)</f>
        <v>12</v>
      </c>
      <c r="H268" s="2">
        <v>3</v>
      </c>
      <c r="I268" s="2">
        <v>1</v>
      </c>
      <c r="K268" s="2" t="s">
        <v>1915</v>
      </c>
      <c r="L268" s="2" t="str">
        <f>VLOOKUP(B268, Course!$A$1:$O$933, 14, FALSE)</f>
        <v>MA</v>
      </c>
      <c r="M268" s="2">
        <v>1</v>
      </c>
    </row>
    <row r="269" spans="1:13" ht="15.75" hidden="1" customHeight="1" x14ac:dyDescent="0.2">
      <c r="A269" s="2">
        <v>268</v>
      </c>
      <c r="B269" s="2">
        <v>23</v>
      </c>
      <c r="C269" s="2">
        <v>41</v>
      </c>
      <c r="D269" s="2" t="s">
        <v>369</v>
      </c>
      <c r="E269" s="2" t="str">
        <f t="shared" si="1"/>
        <v>1241MA03PT</v>
      </c>
      <c r="F269" s="2">
        <f>VLOOKUP(B269,Course!$A$2:$R$329,2,FALSE)</f>
        <v>0</v>
      </c>
      <c r="G269" s="2">
        <f>VLOOKUP(B269, Course!$A$2:$L$950, 8, FALSE)</f>
        <v>12</v>
      </c>
      <c r="H269" s="2">
        <v>3</v>
      </c>
      <c r="I269" s="2">
        <v>1</v>
      </c>
      <c r="K269" s="2" t="s">
        <v>1915</v>
      </c>
      <c r="L269" s="2" t="str">
        <f>VLOOKUP(B269, Course!$A$1:$O$933, 14, FALSE)</f>
        <v>MA</v>
      </c>
      <c r="M269" s="2">
        <v>1</v>
      </c>
    </row>
    <row r="270" spans="1:13" ht="15.75" hidden="1" customHeight="1" x14ac:dyDescent="0.2">
      <c r="A270" s="2">
        <v>269</v>
      </c>
      <c r="B270" s="2">
        <v>23</v>
      </c>
      <c r="C270" s="2">
        <v>42</v>
      </c>
      <c r="D270" s="2" t="s">
        <v>369</v>
      </c>
      <c r="E270" s="2" t="str">
        <f t="shared" si="1"/>
        <v>1242MA03PT</v>
      </c>
      <c r="F270" s="2">
        <f>VLOOKUP(B270,Course!$A$2:$R$329,2,FALSE)</f>
        <v>0</v>
      </c>
      <c r="G270" s="2">
        <f>VLOOKUP(B270, Course!$A$2:$L$950, 8, FALSE)</f>
        <v>12</v>
      </c>
      <c r="H270" s="2">
        <v>3</v>
      </c>
      <c r="I270" s="2">
        <v>1</v>
      </c>
      <c r="K270" s="2" t="s">
        <v>1915</v>
      </c>
      <c r="L270" s="2" t="str">
        <f>VLOOKUP(B270, Course!$A$1:$O$933, 14, FALSE)</f>
        <v>MA</v>
      </c>
      <c r="M270" s="2">
        <v>1</v>
      </c>
    </row>
    <row r="271" spans="1:13" ht="15.75" hidden="1" customHeight="1" x14ac:dyDescent="0.2">
      <c r="A271" s="2">
        <v>270</v>
      </c>
      <c r="B271" s="2">
        <v>23</v>
      </c>
      <c r="C271" s="2">
        <v>43</v>
      </c>
      <c r="D271" s="2" t="s">
        <v>369</v>
      </c>
      <c r="E271" s="2" t="str">
        <f t="shared" si="1"/>
        <v>1243MA03PT</v>
      </c>
      <c r="F271" s="2">
        <f>VLOOKUP(B271,Course!$A$2:$R$329,2,FALSE)</f>
        <v>0</v>
      </c>
      <c r="G271" s="2">
        <f>VLOOKUP(B271, Course!$A$2:$L$950, 8, FALSE)</f>
        <v>12</v>
      </c>
      <c r="H271" s="2">
        <v>3</v>
      </c>
      <c r="I271" s="2">
        <v>1</v>
      </c>
      <c r="K271" s="2" t="s">
        <v>1915</v>
      </c>
      <c r="L271" s="2" t="str">
        <f>VLOOKUP(B271, Course!$A$1:$O$933, 14, FALSE)</f>
        <v>MA</v>
      </c>
      <c r="M271" s="2">
        <v>1</v>
      </c>
    </row>
    <row r="272" spans="1:13" ht="15.75" hidden="1" customHeight="1" x14ac:dyDescent="0.2">
      <c r="A272" s="2">
        <v>271</v>
      </c>
      <c r="B272" s="2">
        <v>23</v>
      </c>
      <c r="C272" s="2">
        <v>44</v>
      </c>
      <c r="D272" s="2" t="s">
        <v>369</v>
      </c>
      <c r="E272" s="2" t="str">
        <f t="shared" si="1"/>
        <v>1244MA03PT</v>
      </c>
      <c r="F272" s="2">
        <f>VLOOKUP(B272,Course!$A$2:$R$329,2,FALSE)</f>
        <v>0</v>
      </c>
      <c r="G272" s="2">
        <f>VLOOKUP(B272, Course!$A$2:$L$950, 8, FALSE)</f>
        <v>12</v>
      </c>
      <c r="H272" s="2">
        <v>3</v>
      </c>
      <c r="I272" s="2">
        <v>1</v>
      </c>
      <c r="K272" s="2" t="s">
        <v>1915</v>
      </c>
      <c r="L272" s="2" t="str">
        <f>VLOOKUP(B272, Course!$A$1:$O$933, 14, FALSE)</f>
        <v>MA</v>
      </c>
      <c r="M272" s="2">
        <v>1</v>
      </c>
    </row>
    <row r="273" spans="1:13" ht="15.75" hidden="1" customHeight="1" x14ac:dyDescent="0.2">
      <c r="A273" s="2">
        <v>272</v>
      </c>
      <c r="B273" s="2">
        <v>23</v>
      </c>
      <c r="C273" s="2">
        <v>45</v>
      </c>
      <c r="D273" s="2" t="s">
        <v>369</v>
      </c>
      <c r="E273" s="2" t="str">
        <f t="shared" si="1"/>
        <v>1245MA03PT</v>
      </c>
      <c r="F273" s="2">
        <f>VLOOKUP(B273,Course!$A$2:$R$329,2,FALSE)</f>
        <v>0</v>
      </c>
      <c r="G273" s="2">
        <f>VLOOKUP(B273, Course!$A$2:$L$950, 8, FALSE)</f>
        <v>12</v>
      </c>
      <c r="H273" s="2">
        <v>3</v>
      </c>
      <c r="I273" s="2">
        <v>1</v>
      </c>
      <c r="K273" s="2" t="s">
        <v>1915</v>
      </c>
      <c r="L273" s="2" t="str">
        <f>VLOOKUP(B273, Course!$A$1:$O$933, 14, FALSE)</f>
        <v>MA</v>
      </c>
      <c r="M273" s="2">
        <v>1</v>
      </c>
    </row>
    <row r="274" spans="1:13" ht="15.75" hidden="1" customHeight="1" x14ac:dyDescent="0.2">
      <c r="A274" s="2">
        <v>273</v>
      </c>
      <c r="B274" s="2">
        <v>23</v>
      </c>
      <c r="C274" s="2">
        <v>46</v>
      </c>
      <c r="D274" s="2" t="s">
        <v>369</v>
      </c>
      <c r="E274" s="2" t="str">
        <f t="shared" si="1"/>
        <v>1246MA03PT</v>
      </c>
      <c r="F274" s="2">
        <f>VLOOKUP(B274,Course!$A$2:$R$329,2,FALSE)</f>
        <v>0</v>
      </c>
      <c r="G274" s="2">
        <f>VLOOKUP(B274, Course!$A$2:$L$950, 8, FALSE)</f>
        <v>12</v>
      </c>
      <c r="H274" s="2">
        <v>3</v>
      </c>
      <c r="I274" s="2">
        <v>1</v>
      </c>
      <c r="K274" s="2" t="s">
        <v>1915</v>
      </c>
      <c r="L274" s="2" t="str">
        <f>VLOOKUP(B274, Course!$A$1:$O$933, 14, FALSE)</f>
        <v>MA</v>
      </c>
      <c r="M274" s="2">
        <v>1</v>
      </c>
    </row>
    <row r="275" spans="1:13" ht="15.75" hidden="1" customHeight="1" x14ac:dyDescent="0.2">
      <c r="A275" s="2">
        <v>274</v>
      </c>
      <c r="B275" s="2">
        <v>23</v>
      </c>
      <c r="C275" s="2">
        <v>47</v>
      </c>
      <c r="D275" s="2" t="s">
        <v>369</v>
      </c>
      <c r="E275" s="2" t="str">
        <f t="shared" si="1"/>
        <v>1247MA03PT</v>
      </c>
      <c r="F275" s="2">
        <f>VLOOKUP(B275,Course!$A$2:$R$329,2,FALSE)</f>
        <v>0</v>
      </c>
      <c r="G275" s="2">
        <f>VLOOKUP(B275, Course!$A$2:$L$950, 8, FALSE)</f>
        <v>12</v>
      </c>
      <c r="H275" s="2">
        <v>3</v>
      </c>
      <c r="I275" s="2">
        <v>1</v>
      </c>
      <c r="K275" s="2" t="s">
        <v>1915</v>
      </c>
      <c r="L275" s="2" t="str">
        <f>VLOOKUP(B275, Course!$A$1:$O$933, 14, FALSE)</f>
        <v>MA</v>
      </c>
      <c r="M275" s="2">
        <v>1</v>
      </c>
    </row>
    <row r="276" spans="1:13" ht="15.75" hidden="1" customHeight="1" x14ac:dyDescent="0.2">
      <c r="A276" s="2">
        <v>275</v>
      </c>
      <c r="B276" s="2">
        <v>23</v>
      </c>
      <c r="C276" s="2">
        <v>48</v>
      </c>
      <c r="D276" s="2" t="s">
        <v>369</v>
      </c>
      <c r="E276" s="2" t="str">
        <f t="shared" si="1"/>
        <v>1248MA03PT</v>
      </c>
      <c r="F276" s="2">
        <f>VLOOKUP(B276,Course!$A$2:$R$329,2,FALSE)</f>
        <v>0</v>
      </c>
      <c r="G276" s="2">
        <f>VLOOKUP(B276, Course!$A$2:$L$950, 8, FALSE)</f>
        <v>12</v>
      </c>
      <c r="H276" s="2">
        <v>3</v>
      </c>
      <c r="I276" s="2">
        <v>1</v>
      </c>
      <c r="K276" s="2" t="s">
        <v>1915</v>
      </c>
      <c r="L276" s="2" t="str">
        <f>VLOOKUP(B276, Course!$A$1:$O$933, 14, FALSE)</f>
        <v>MA</v>
      </c>
      <c r="M276" s="2">
        <v>1</v>
      </c>
    </row>
    <row r="277" spans="1:13" ht="15.75" hidden="1" customHeight="1" x14ac:dyDescent="0.2">
      <c r="A277" s="2">
        <v>276</v>
      </c>
      <c r="B277" s="2">
        <v>24</v>
      </c>
      <c r="C277" s="2">
        <v>37</v>
      </c>
      <c r="D277" s="2" t="s">
        <v>476</v>
      </c>
      <c r="E277" s="2" t="str">
        <f t="shared" si="1"/>
        <v>1237EN03PT</v>
      </c>
      <c r="F277" s="2">
        <f>VLOOKUP(B277,Course!$A$2:$R$329,2,FALSE)</f>
        <v>0</v>
      </c>
      <c r="G277" s="2">
        <f>VLOOKUP(B277, Course!$A$2:$L$950, 8, FALSE)</f>
        <v>12</v>
      </c>
      <c r="H277" s="2">
        <v>3</v>
      </c>
      <c r="I277" s="2">
        <v>1</v>
      </c>
      <c r="K277" s="2" t="s">
        <v>1915</v>
      </c>
      <c r="L277" s="2" t="str">
        <f>VLOOKUP(B277, Course!$A$1:$O$933, 14, FALSE)</f>
        <v>EN</v>
      </c>
      <c r="M277" s="2">
        <v>1</v>
      </c>
    </row>
    <row r="278" spans="1:13" ht="15.75" hidden="1" customHeight="1" x14ac:dyDescent="0.2">
      <c r="A278" s="2">
        <v>277</v>
      </c>
      <c r="B278" s="2">
        <v>24</v>
      </c>
      <c r="C278" s="2">
        <v>38</v>
      </c>
      <c r="D278" s="2" t="s">
        <v>476</v>
      </c>
      <c r="E278" s="2" t="str">
        <f t="shared" si="1"/>
        <v>1238EN03PT</v>
      </c>
      <c r="F278" s="2">
        <f>VLOOKUP(B278,Course!$A$2:$R$329,2,FALSE)</f>
        <v>0</v>
      </c>
      <c r="G278" s="2">
        <f>VLOOKUP(B278, Course!$A$2:$L$950, 8, FALSE)</f>
        <v>12</v>
      </c>
      <c r="H278" s="2">
        <v>3</v>
      </c>
      <c r="I278" s="2">
        <v>1</v>
      </c>
      <c r="K278" s="2" t="s">
        <v>1915</v>
      </c>
      <c r="L278" s="2" t="str">
        <f>VLOOKUP(B278, Course!$A$1:$O$933, 14, FALSE)</f>
        <v>EN</v>
      </c>
      <c r="M278" s="2">
        <v>1</v>
      </c>
    </row>
    <row r="279" spans="1:13" ht="15.75" hidden="1" customHeight="1" x14ac:dyDescent="0.2">
      <c r="A279" s="2">
        <v>278</v>
      </c>
      <c r="B279" s="2">
        <v>24</v>
      </c>
      <c r="C279" s="2">
        <v>39</v>
      </c>
      <c r="D279" s="2" t="s">
        <v>476</v>
      </c>
      <c r="E279" s="2" t="str">
        <f t="shared" si="1"/>
        <v>1239EN03PT</v>
      </c>
      <c r="F279" s="2">
        <f>VLOOKUP(B279,Course!$A$2:$R$329,2,FALSE)</f>
        <v>0</v>
      </c>
      <c r="G279" s="2">
        <f>VLOOKUP(B279, Course!$A$2:$L$950, 8, FALSE)</f>
        <v>12</v>
      </c>
      <c r="H279" s="2">
        <v>3</v>
      </c>
      <c r="I279" s="2">
        <v>1</v>
      </c>
      <c r="K279" s="2" t="s">
        <v>1915</v>
      </c>
      <c r="L279" s="2" t="str">
        <f>VLOOKUP(B279, Course!$A$1:$O$933, 14, FALSE)</f>
        <v>EN</v>
      </c>
      <c r="M279" s="2">
        <v>1</v>
      </c>
    </row>
    <row r="280" spans="1:13" ht="15.75" hidden="1" customHeight="1" x14ac:dyDescent="0.2">
      <c r="A280" s="2">
        <v>279</v>
      </c>
      <c r="B280" s="2">
        <v>24</v>
      </c>
      <c r="C280" s="2">
        <v>40</v>
      </c>
      <c r="D280" s="2" t="s">
        <v>476</v>
      </c>
      <c r="E280" s="2" t="str">
        <f t="shared" si="1"/>
        <v>1240EN03PT</v>
      </c>
      <c r="F280" s="2">
        <f>VLOOKUP(B280,Course!$A$2:$R$329,2,FALSE)</f>
        <v>0</v>
      </c>
      <c r="G280" s="2">
        <f>VLOOKUP(B280, Course!$A$2:$L$950, 8, FALSE)</f>
        <v>12</v>
      </c>
      <c r="H280" s="2">
        <v>3</v>
      </c>
      <c r="I280" s="2">
        <v>1</v>
      </c>
      <c r="K280" s="2" t="s">
        <v>1915</v>
      </c>
      <c r="L280" s="2" t="str">
        <f>VLOOKUP(B280, Course!$A$1:$O$933, 14, FALSE)</f>
        <v>EN</v>
      </c>
      <c r="M280" s="2">
        <v>1</v>
      </c>
    </row>
    <row r="281" spans="1:13" ht="15.75" hidden="1" customHeight="1" x14ac:dyDescent="0.2">
      <c r="A281" s="2">
        <v>280</v>
      </c>
      <c r="B281" s="2">
        <v>24</v>
      </c>
      <c r="C281" s="2">
        <v>41</v>
      </c>
      <c r="D281" s="2" t="s">
        <v>476</v>
      </c>
      <c r="E281" s="2" t="str">
        <f t="shared" si="1"/>
        <v>1241EN03PT</v>
      </c>
      <c r="F281" s="2">
        <f>VLOOKUP(B281,Course!$A$2:$R$329,2,FALSE)</f>
        <v>0</v>
      </c>
      <c r="G281" s="2">
        <f>VLOOKUP(B281, Course!$A$2:$L$950, 8, FALSE)</f>
        <v>12</v>
      </c>
      <c r="H281" s="2">
        <v>3</v>
      </c>
      <c r="I281" s="2">
        <v>1</v>
      </c>
      <c r="K281" s="2" t="s">
        <v>1915</v>
      </c>
      <c r="L281" s="2" t="str">
        <f>VLOOKUP(B281, Course!$A$1:$O$933, 14, FALSE)</f>
        <v>EN</v>
      </c>
      <c r="M281" s="2">
        <v>1</v>
      </c>
    </row>
    <row r="282" spans="1:13" ht="15.75" hidden="1" customHeight="1" x14ac:dyDescent="0.2">
      <c r="A282" s="2">
        <v>281</v>
      </c>
      <c r="B282" s="2">
        <v>24</v>
      </c>
      <c r="C282" s="2">
        <v>42</v>
      </c>
      <c r="D282" s="2" t="s">
        <v>476</v>
      </c>
      <c r="E282" s="2" t="str">
        <f t="shared" si="1"/>
        <v>1242EN03PT</v>
      </c>
      <c r="F282" s="2">
        <f>VLOOKUP(B282,Course!$A$2:$R$329,2,FALSE)</f>
        <v>0</v>
      </c>
      <c r="G282" s="2">
        <f>VLOOKUP(B282, Course!$A$2:$L$950, 8, FALSE)</f>
        <v>12</v>
      </c>
      <c r="H282" s="2">
        <v>3</v>
      </c>
      <c r="I282" s="2">
        <v>1</v>
      </c>
      <c r="K282" s="2" t="s">
        <v>1915</v>
      </c>
      <c r="L282" s="2" t="str">
        <f>VLOOKUP(B282, Course!$A$1:$O$933, 14, FALSE)</f>
        <v>EN</v>
      </c>
      <c r="M282" s="2">
        <v>1</v>
      </c>
    </row>
    <row r="283" spans="1:13" ht="15.75" hidden="1" customHeight="1" x14ac:dyDescent="0.2">
      <c r="A283" s="2">
        <v>282</v>
      </c>
      <c r="B283" s="2">
        <v>24</v>
      </c>
      <c r="C283" s="2">
        <v>43</v>
      </c>
      <c r="D283" s="2" t="s">
        <v>476</v>
      </c>
      <c r="E283" s="2" t="str">
        <f t="shared" si="1"/>
        <v>1243EN03PT</v>
      </c>
      <c r="F283" s="2">
        <f>VLOOKUP(B283,Course!$A$2:$R$329,2,FALSE)</f>
        <v>0</v>
      </c>
      <c r="G283" s="2">
        <f>VLOOKUP(B283, Course!$A$2:$L$950, 8, FALSE)</f>
        <v>12</v>
      </c>
      <c r="H283" s="2">
        <v>3</v>
      </c>
      <c r="I283" s="2">
        <v>1</v>
      </c>
      <c r="K283" s="2" t="s">
        <v>1915</v>
      </c>
      <c r="L283" s="2" t="str">
        <f>VLOOKUP(B283, Course!$A$1:$O$933, 14, FALSE)</f>
        <v>EN</v>
      </c>
      <c r="M283" s="2">
        <v>1</v>
      </c>
    </row>
    <row r="284" spans="1:13" ht="15.75" hidden="1" customHeight="1" x14ac:dyDescent="0.2">
      <c r="A284" s="2">
        <v>283</v>
      </c>
      <c r="B284" s="2">
        <v>24</v>
      </c>
      <c r="C284" s="2">
        <v>44</v>
      </c>
      <c r="D284" s="2" t="s">
        <v>476</v>
      </c>
      <c r="E284" s="2" t="str">
        <f t="shared" si="1"/>
        <v>1244EN03PT</v>
      </c>
      <c r="F284" s="2">
        <f>VLOOKUP(B284,Course!$A$2:$R$329,2,FALSE)</f>
        <v>0</v>
      </c>
      <c r="G284" s="2">
        <f>VLOOKUP(B284, Course!$A$2:$L$950, 8, FALSE)</f>
        <v>12</v>
      </c>
      <c r="H284" s="2">
        <v>3</v>
      </c>
      <c r="I284" s="2">
        <v>1</v>
      </c>
      <c r="K284" s="2" t="s">
        <v>1915</v>
      </c>
      <c r="L284" s="2" t="str">
        <f>VLOOKUP(B284, Course!$A$1:$O$933, 14, FALSE)</f>
        <v>EN</v>
      </c>
      <c r="M284" s="2">
        <v>1</v>
      </c>
    </row>
    <row r="285" spans="1:13" ht="15.75" hidden="1" customHeight="1" x14ac:dyDescent="0.2">
      <c r="A285" s="2">
        <v>284</v>
      </c>
      <c r="B285" s="2">
        <v>24</v>
      </c>
      <c r="C285" s="2">
        <v>45</v>
      </c>
      <c r="D285" s="2" t="s">
        <v>476</v>
      </c>
      <c r="E285" s="2" t="str">
        <f t="shared" si="1"/>
        <v>1245EN03PT</v>
      </c>
      <c r="F285" s="2">
        <f>VLOOKUP(B285,Course!$A$2:$R$329,2,FALSE)</f>
        <v>0</v>
      </c>
      <c r="G285" s="2">
        <f>VLOOKUP(B285, Course!$A$2:$L$950, 8, FALSE)</f>
        <v>12</v>
      </c>
      <c r="H285" s="2">
        <v>3</v>
      </c>
      <c r="I285" s="2">
        <v>1</v>
      </c>
      <c r="K285" s="2" t="s">
        <v>1915</v>
      </c>
      <c r="L285" s="2" t="str">
        <f>VLOOKUP(B285, Course!$A$1:$O$933, 14, FALSE)</f>
        <v>EN</v>
      </c>
      <c r="M285" s="2">
        <v>1</v>
      </c>
    </row>
    <row r="286" spans="1:13" ht="15.75" hidden="1" customHeight="1" x14ac:dyDescent="0.2">
      <c r="A286" s="2">
        <v>285</v>
      </c>
      <c r="B286" s="2">
        <v>24</v>
      </c>
      <c r="C286" s="2">
        <v>46</v>
      </c>
      <c r="D286" s="2" t="s">
        <v>476</v>
      </c>
      <c r="E286" s="2" t="str">
        <f t="shared" si="1"/>
        <v>1246EN03PT</v>
      </c>
      <c r="F286" s="2">
        <f>VLOOKUP(B286,Course!$A$2:$R$329,2,FALSE)</f>
        <v>0</v>
      </c>
      <c r="G286" s="2">
        <f>VLOOKUP(B286, Course!$A$2:$L$950, 8, FALSE)</f>
        <v>12</v>
      </c>
      <c r="H286" s="2">
        <v>3</v>
      </c>
      <c r="I286" s="2">
        <v>1</v>
      </c>
      <c r="K286" s="2" t="s">
        <v>1915</v>
      </c>
      <c r="L286" s="2" t="str">
        <f>VLOOKUP(B286, Course!$A$1:$O$933, 14, FALSE)</f>
        <v>EN</v>
      </c>
      <c r="M286" s="2">
        <v>1</v>
      </c>
    </row>
    <row r="287" spans="1:13" ht="15.75" hidden="1" customHeight="1" x14ac:dyDescent="0.2">
      <c r="A287" s="2">
        <v>286</v>
      </c>
      <c r="B287" s="2">
        <v>24</v>
      </c>
      <c r="C287" s="2">
        <v>47</v>
      </c>
      <c r="D287" s="2" t="s">
        <v>476</v>
      </c>
      <c r="E287" s="2" t="str">
        <f t="shared" si="1"/>
        <v>1247EN03PT</v>
      </c>
      <c r="F287" s="2">
        <f>VLOOKUP(B287,Course!$A$2:$R$329,2,FALSE)</f>
        <v>0</v>
      </c>
      <c r="G287" s="2">
        <f>VLOOKUP(B287, Course!$A$2:$L$950, 8, FALSE)</f>
        <v>12</v>
      </c>
      <c r="H287" s="2">
        <v>3</v>
      </c>
      <c r="I287" s="2">
        <v>1</v>
      </c>
      <c r="K287" s="2" t="s">
        <v>1915</v>
      </c>
      <c r="L287" s="2" t="str">
        <f>VLOOKUP(B287, Course!$A$1:$O$933, 14, FALSE)</f>
        <v>EN</v>
      </c>
      <c r="M287" s="2">
        <v>1</v>
      </c>
    </row>
    <row r="288" spans="1:13" ht="15.75" hidden="1" customHeight="1" x14ac:dyDescent="0.2">
      <c r="A288" s="2">
        <v>287</v>
      </c>
      <c r="B288" s="2">
        <v>24</v>
      </c>
      <c r="C288" s="2">
        <v>48</v>
      </c>
      <c r="D288" s="2" t="s">
        <v>476</v>
      </c>
      <c r="E288" s="2" t="str">
        <f t="shared" si="1"/>
        <v>1248EN03PT</v>
      </c>
      <c r="F288" s="2">
        <f>VLOOKUP(B288,Course!$A$2:$R$329,2,FALSE)</f>
        <v>0</v>
      </c>
      <c r="G288" s="2">
        <f>VLOOKUP(B288, Course!$A$2:$L$950, 8, FALSE)</f>
        <v>12</v>
      </c>
      <c r="H288" s="2">
        <v>3</v>
      </c>
      <c r="I288" s="2">
        <v>1</v>
      </c>
      <c r="K288" s="2" t="s">
        <v>1915</v>
      </c>
      <c r="L288" s="2" t="str">
        <f>VLOOKUP(B288, Course!$A$1:$O$933, 14, FALSE)</f>
        <v>EN</v>
      </c>
      <c r="M288" s="2">
        <v>1</v>
      </c>
    </row>
    <row r="289" spans="1:13" ht="15.75" hidden="1" customHeight="1" x14ac:dyDescent="0.2">
      <c r="A289" s="2">
        <v>288</v>
      </c>
      <c r="B289" s="2">
        <v>25</v>
      </c>
      <c r="C289" s="2">
        <v>37</v>
      </c>
      <c r="D289" s="2" t="s">
        <v>373</v>
      </c>
      <c r="E289" s="2" t="str">
        <f t="shared" si="1"/>
        <v>1237WB03PT</v>
      </c>
      <c r="F289" s="2">
        <f>VLOOKUP(B289,Course!$A$2:$R$329,2,FALSE)</f>
        <v>0</v>
      </c>
      <c r="G289" s="2">
        <f>VLOOKUP(B289, Course!$A$2:$L$950, 8, FALSE)</f>
        <v>12</v>
      </c>
      <c r="H289" s="2">
        <v>3</v>
      </c>
      <c r="I289" s="2">
        <v>1</v>
      </c>
      <c r="K289" s="2" t="s">
        <v>1915</v>
      </c>
      <c r="L289" s="2" t="str">
        <f>VLOOKUP(B289, Course!$A$1:$O$933, 14, FALSE)</f>
        <v>WB</v>
      </c>
      <c r="M289" s="2">
        <v>1</v>
      </c>
    </row>
    <row r="290" spans="1:13" ht="15.75" hidden="1" customHeight="1" x14ac:dyDescent="0.2">
      <c r="A290" s="2">
        <v>289</v>
      </c>
      <c r="B290" s="2">
        <v>25</v>
      </c>
      <c r="C290" s="2">
        <v>38</v>
      </c>
      <c r="D290" s="2" t="s">
        <v>373</v>
      </c>
      <c r="E290" s="2" t="str">
        <f t="shared" si="1"/>
        <v>1238WB03PT</v>
      </c>
      <c r="F290" s="2">
        <f>VLOOKUP(B290,Course!$A$2:$R$329,2,FALSE)</f>
        <v>0</v>
      </c>
      <c r="G290" s="2">
        <f>VLOOKUP(B290, Course!$A$2:$L$950, 8, FALSE)</f>
        <v>12</v>
      </c>
      <c r="H290" s="2">
        <v>3</v>
      </c>
      <c r="I290" s="2">
        <v>1</v>
      </c>
      <c r="K290" s="2" t="s">
        <v>1915</v>
      </c>
      <c r="L290" s="2" t="str">
        <f>VLOOKUP(B290, Course!$A$1:$O$933, 14, FALSE)</f>
        <v>WB</v>
      </c>
      <c r="M290" s="2">
        <v>1</v>
      </c>
    </row>
    <row r="291" spans="1:13" ht="15.75" hidden="1" customHeight="1" x14ac:dyDescent="0.2">
      <c r="A291" s="2">
        <v>290</v>
      </c>
      <c r="B291" s="2">
        <v>25</v>
      </c>
      <c r="C291" s="2">
        <v>39</v>
      </c>
      <c r="D291" s="2" t="s">
        <v>373</v>
      </c>
      <c r="E291" s="2" t="str">
        <f t="shared" si="1"/>
        <v>1239WB03PT</v>
      </c>
      <c r="F291" s="2">
        <f>VLOOKUP(B291,Course!$A$2:$R$329,2,FALSE)</f>
        <v>0</v>
      </c>
      <c r="G291" s="2">
        <f>VLOOKUP(B291, Course!$A$2:$L$950, 8, FALSE)</f>
        <v>12</v>
      </c>
      <c r="H291" s="2">
        <v>3</v>
      </c>
      <c r="I291" s="2">
        <v>1</v>
      </c>
      <c r="K291" s="2" t="s">
        <v>1915</v>
      </c>
      <c r="L291" s="2" t="str">
        <f>VLOOKUP(B291, Course!$A$1:$O$933, 14, FALSE)</f>
        <v>WB</v>
      </c>
      <c r="M291" s="2">
        <v>1</v>
      </c>
    </row>
    <row r="292" spans="1:13" ht="15.75" hidden="1" customHeight="1" x14ac:dyDescent="0.2">
      <c r="A292" s="2">
        <v>291</v>
      </c>
      <c r="B292" s="2">
        <v>25</v>
      </c>
      <c r="C292" s="2">
        <v>40</v>
      </c>
      <c r="D292" s="2" t="s">
        <v>373</v>
      </c>
      <c r="E292" s="2" t="str">
        <f t="shared" si="1"/>
        <v>1240WB03PT</v>
      </c>
      <c r="F292" s="2">
        <f>VLOOKUP(B292,Course!$A$2:$R$329,2,FALSE)</f>
        <v>0</v>
      </c>
      <c r="G292" s="2">
        <f>VLOOKUP(B292, Course!$A$2:$L$950, 8, FALSE)</f>
        <v>12</v>
      </c>
      <c r="H292" s="2">
        <v>3</v>
      </c>
      <c r="I292" s="2">
        <v>1</v>
      </c>
      <c r="K292" s="2" t="s">
        <v>1915</v>
      </c>
      <c r="L292" s="2" t="str">
        <f>VLOOKUP(B292, Course!$A$1:$O$933, 14, FALSE)</f>
        <v>WB</v>
      </c>
      <c r="M292" s="2">
        <v>1</v>
      </c>
    </row>
    <row r="293" spans="1:13" ht="15.75" hidden="1" customHeight="1" x14ac:dyDescent="0.2">
      <c r="A293" s="2">
        <v>292</v>
      </c>
      <c r="B293" s="2">
        <v>25</v>
      </c>
      <c r="C293" s="2">
        <v>41</v>
      </c>
      <c r="D293" s="2" t="s">
        <v>373</v>
      </c>
      <c r="E293" s="2" t="str">
        <f t="shared" si="1"/>
        <v>1241WB03PT</v>
      </c>
      <c r="F293" s="2">
        <f>VLOOKUP(B293,Course!$A$2:$R$329,2,FALSE)</f>
        <v>0</v>
      </c>
      <c r="G293" s="2">
        <f>VLOOKUP(B293, Course!$A$2:$L$950, 8, FALSE)</f>
        <v>12</v>
      </c>
      <c r="H293" s="2">
        <v>3</v>
      </c>
      <c r="I293" s="2">
        <v>1</v>
      </c>
      <c r="K293" s="2" t="s">
        <v>1915</v>
      </c>
      <c r="L293" s="2" t="str">
        <f>VLOOKUP(B293, Course!$A$1:$O$933, 14, FALSE)</f>
        <v>WB</v>
      </c>
      <c r="M293" s="2">
        <v>1</v>
      </c>
    </row>
    <row r="294" spans="1:13" ht="15.75" hidden="1" customHeight="1" x14ac:dyDescent="0.2">
      <c r="A294" s="2">
        <v>293</v>
      </c>
      <c r="B294" s="2">
        <v>25</v>
      </c>
      <c r="C294" s="2">
        <v>42</v>
      </c>
      <c r="D294" s="2" t="s">
        <v>373</v>
      </c>
      <c r="E294" s="2" t="str">
        <f t="shared" si="1"/>
        <v>1242WB03PT</v>
      </c>
      <c r="F294" s="2">
        <f>VLOOKUP(B294,Course!$A$2:$R$329,2,FALSE)</f>
        <v>0</v>
      </c>
      <c r="G294" s="2">
        <f>VLOOKUP(B294, Course!$A$2:$L$950, 8, FALSE)</f>
        <v>12</v>
      </c>
      <c r="H294" s="2">
        <v>3</v>
      </c>
      <c r="I294" s="2">
        <v>1</v>
      </c>
      <c r="K294" s="2" t="s">
        <v>1915</v>
      </c>
      <c r="L294" s="2" t="str">
        <f>VLOOKUP(B294, Course!$A$1:$O$933, 14, FALSE)</f>
        <v>WB</v>
      </c>
      <c r="M294" s="2">
        <v>1</v>
      </c>
    </row>
    <row r="295" spans="1:13" ht="15.75" hidden="1" customHeight="1" x14ac:dyDescent="0.2">
      <c r="A295" s="2">
        <v>294</v>
      </c>
      <c r="B295" s="2">
        <v>25</v>
      </c>
      <c r="C295" s="2">
        <v>43</v>
      </c>
      <c r="D295" s="2" t="s">
        <v>373</v>
      </c>
      <c r="E295" s="2" t="str">
        <f t="shared" si="1"/>
        <v>1243WB03PT</v>
      </c>
      <c r="F295" s="2">
        <f>VLOOKUP(B295,Course!$A$2:$R$329,2,FALSE)</f>
        <v>0</v>
      </c>
      <c r="G295" s="2">
        <f>VLOOKUP(B295, Course!$A$2:$L$950, 8, FALSE)</f>
        <v>12</v>
      </c>
      <c r="H295" s="2">
        <v>3</v>
      </c>
      <c r="I295" s="2">
        <v>1</v>
      </c>
      <c r="K295" s="2" t="s">
        <v>1915</v>
      </c>
      <c r="L295" s="2" t="str">
        <f>VLOOKUP(B295, Course!$A$1:$O$933, 14, FALSE)</f>
        <v>WB</v>
      </c>
      <c r="M295" s="2">
        <v>1</v>
      </c>
    </row>
    <row r="296" spans="1:13" ht="15.75" hidden="1" customHeight="1" x14ac:dyDescent="0.2">
      <c r="A296" s="2">
        <v>295</v>
      </c>
      <c r="B296" s="2">
        <v>25</v>
      </c>
      <c r="C296" s="2">
        <v>44</v>
      </c>
      <c r="D296" s="2" t="s">
        <v>373</v>
      </c>
      <c r="E296" s="2" t="str">
        <f t="shared" si="1"/>
        <v>1244WB03PT</v>
      </c>
      <c r="F296" s="2">
        <f>VLOOKUP(B296,Course!$A$2:$R$329,2,FALSE)</f>
        <v>0</v>
      </c>
      <c r="G296" s="2">
        <f>VLOOKUP(B296, Course!$A$2:$L$950, 8, FALSE)</f>
        <v>12</v>
      </c>
      <c r="H296" s="2">
        <v>3</v>
      </c>
      <c r="I296" s="2">
        <v>1</v>
      </c>
      <c r="K296" s="2" t="s">
        <v>1915</v>
      </c>
      <c r="L296" s="2" t="str">
        <f>VLOOKUP(B296, Course!$A$1:$O$933, 14, FALSE)</f>
        <v>WB</v>
      </c>
      <c r="M296" s="2">
        <v>1</v>
      </c>
    </row>
    <row r="297" spans="1:13" ht="15.75" hidden="1" customHeight="1" x14ac:dyDescent="0.2">
      <c r="A297" s="2">
        <v>296</v>
      </c>
      <c r="B297" s="2">
        <v>25</v>
      </c>
      <c r="C297" s="2">
        <v>45</v>
      </c>
      <c r="D297" s="2" t="s">
        <v>373</v>
      </c>
      <c r="E297" s="2" t="str">
        <f t="shared" si="1"/>
        <v>1245WB03PT</v>
      </c>
      <c r="F297" s="2">
        <f>VLOOKUP(B297,Course!$A$2:$R$329,2,FALSE)</f>
        <v>0</v>
      </c>
      <c r="G297" s="2">
        <f>VLOOKUP(B297, Course!$A$2:$L$950, 8, FALSE)</f>
        <v>12</v>
      </c>
      <c r="H297" s="2">
        <v>3</v>
      </c>
      <c r="I297" s="2">
        <v>1</v>
      </c>
      <c r="K297" s="2" t="s">
        <v>1915</v>
      </c>
      <c r="L297" s="2" t="str">
        <f>VLOOKUP(B297, Course!$A$1:$O$933, 14, FALSE)</f>
        <v>WB</v>
      </c>
      <c r="M297" s="2">
        <v>1</v>
      </c>
    </row>
    <row r="298" spans="1:13" ht="15.75" hidden="1" customHeight="1" x14ac:dyDescent="0.2">
      <c r="A298" s="2">
        <v>297</v>
      </c>
      <c r="B298" s="2">
        <v>25</v>
      </c>
      <c r="C298" s="2">
        <v>46</v>
      </c>
      <c r="D298" s="2" t="s">
        <v>373</v>
      </c>
      <c r="E298" s="2" t="str">
        <f t="shared" si="1"/>
        <v>1246WB03PT</v>
      </c>
      <c r="F298" s="2">
        <f>VLOOKUP(B298,Course!$A$2:$R$329,2,FALSE)</f>
        <v>0</v>
      </c>
      <c r="G298" s="2">
        <f>VLOOKUP(B298, Course!$A$2:$L$950, 8, FALSE)</f>
        <v>12</v>
      </c>
      <c r="H298" s="2">
        <v>3</v>
      </c>
      <c r="I298" s="2">
        <v>1</v>
      </c>
      <c r="K298" s="2" t="s">
        <v>1915</v>
      </c>
      <c r="L298" s="2" t="str">
        <f>VLOOKUP(B298, Course!$A$1:$O$933, 14, FALSE)</f>
        <v>WB</v>
      </c>
      <c r="M298" s="2">
        <v>1</v>
      </c>
    </row>
    <row r="299" spans="1:13" ht="15.75" hidden="1" customHeight="1" x14ac:dyDescent="0.2">
      <c r="A299" s="2">
        <v>298</v>
      </c>
      <c r="B299" s="2">
        <v>25</v>
      </c>
      <c r="C299" s="2">
        <v>47</v>
      </c>
      <c r="D299" s="2" t="s">
        <v>373</v>
      </c>
      <c r="E299" s="2" t="str">
        <f t="shared" si="1"/>
        <v>1247WB03PT</v>
      </c>
      <c r="F299" s="2">
        <f>VLOOKUP(B299,Course!$A$2:$R$329,2,FALSE)</f>
        <v>0</v>
      </c>
      <c r="G299" s="2">
        <f>VLOOKUP(B299, Course!$A$2:$L$950, 8, FALSE)</f>
        <v>12</v>
      </c>
      <c r="H299" s="2">
        <v>3</v>
      </c>
      <c r="I299" s="2">
        <v>1</v>
      </c>
      <c r="K299" s="2" t="s">
        <v>1915</v>
      </c>
      <c r="L299" s="2" t="str">
        <f>VLOOKUP(B299, Course!$A$1:$O$933, 14, FALSE)</f>
        <v>WB</v>
      </c>
      <c r="M299" s="2">
        <v>1</v>
      </c>
    </row>
    <row r="300" spans="1:13" ht="15.75" hidden="1" customHeight="1" x14ac:dyDescent="0.2">
      <c r="A300" s="2">
        <v>299</v>
      </c>
      <c r="B300" s="2">
        <v>25</v>
      </c>
      <c r="C300" s="2">
        <v>48</v>
      </c>
      <c r="D300" s="2" t="s">
        <v>373</v>
      </c>
      <c r="E300" s="2" t="str">
        <f t="shared" si="1"/>
        <v>1248WB03PT</v>
      </c>
      <c r="F300" s="2">
        <f>VLOOKUP(B300,Course!$A$2:$R$329,2,FALSE)</f>
        <v>0</v>
      </c>
      <c r="G300" s="2">
        <f>VLOOKUP(B300, Course!$A$2:$L$950, 8, FALSE)</f>
        <v>12</v>
      </c>
      <c r="H300" s="2">
        <v>3</v>
      </c>
      <c r="I300" s="2">
        <v>1</v>
      </c>
      <c r="K300" s="2" t="s">
        <v>1915</v>
      </c>
      <c r="L300" s="2" t="str">
        <f>VLOOKUP(B300, Course!$A$1:$O$933, 14, FALSE)</f>
        <v>WB</v>
      </c>
      <c r="M300" s="2">
        <v>1</v>
      </c>
    </row>
    <row r="301" spans="1:13" ht="15.75" hidden="1" customHeight="1" x14ac:dyDescent="0.2">
      <c r="A301" s="2">
        <v>300</v>
      </c>
      <c r="B301" s="2">
        <v>26</v>
      </c>
      <c r="C301" s="2">
        <v>37</v>
      </c>
      <c r="D301" s="2" t="s">
        <v>479</v>
      </c>
      <c r="E301" s="2" t="str">
        <f t="shared" si="1"/>
        <v>1237LC03PT</v>
      </c>
      <c r="F301" s="2">
        <f>VLOOKUP(B301,Course!$A$2:$R$329,2,FALSE)</f>
        <v>0</v>
      </c>
      <c r="G301" s="2">
        <f>VLOOKUP(B301, Course!$A$2:$L$950, 8, FALSE)</f>
        <v>12</v>
      </c>
      <c r="H301" s="2">
        <v>3</v>
      </c>
      <c r="I301" s="2">
        <v>1</v>
      </c>
      <c r="K301" s="2" t="s">
        <v>1915</v>
      </c>
      <c r="L301" s="2" t="str">
        <f>VLOOKUP(B301, Course!$A$1:$O$933, 14, FALSE)</f>
        <v>LC</v>
      </c>
      <c r="M301" s="2">
        <v>1</v>
      </c>
    </row>
    <row r="302" spans="1:13" ht="15.75" hidden="1" customHeight="1" x14ac:dyDescent="0.2">
      <c r="A302" s="2">
        <v>301</v>
      </c>
      <c r="B302" s="2">
        <v>26</v>
      </c>
      <c r="C302" s="2">
        <v>38</v>
      </c>
      <c r="D302" s="2" t="s">
        <v>479</v>
      </c>
      <c r="E302" s="2" t="str">
        <f t="shared" si="1"/>
        <v>1238LC03PT</v>
      </c>
      <c r="F302" s="2">
        <f>VLOOKUP(B302,Course!$A$2:$R$329,2,FALSE)</f>
        <v>0</v>
      </c>
      <c r="G302" s="2">
        <f>VLOOKUP(B302, Course!$A$2:$L$950, 8, FALSE)</f>
        <v>12</v>
      </c>
      <c r="H302" s="2">
        <v>3</v>
      </c>
      <c r="I302" s="2">
        <v>1</v>
      </c>
      <c r="K302" s="2" t="s">
        <v>1915</v>
      </c>
      <c r="L302" s="2" t="str">
        <f>VLOOKUP(B302, Course!$A$1:$O$933, 14, FALSE)</f>
        <v>LC</v>
      </c>
      <c r="M302" s="2">
        <v>1</v>
      </c>
    </row>
    <row r="303" spans="1:13" ht="15.75" hidden="1" customHeight="1" x14ac:dyDescent="0.2">
      <c r="A303" s="2">
        <v>302</v>
      </c>
      <c r="B303" s="2">
        <v>26</v>
      </c>
      <c r="C303" s="2">
        <v>39</v>
      </c>
      <c r="D303" s="2" t="s">
        <v>479</v>
      </c>
      <c r="E303" s="2" t="str">
        <f t="shared" si="1"/>
        <v>1239LC03PT</v>
      </c>
      <c r="F303" s="2">
        <f>VLOOKUP(B303,Course!$A$2:$R$329,2,FALSE)</f>
        <v>0</v>
      </c>
      <c r="G303" s="2">
        <f>VLOOKUP(B303, Course!$A$2:$L$950, 8, FALSE)</f>
        <v>12</v>
      </c>
      <c r="H303" s="2">
        <v>3</v>
      </c>
      <c r="I303" s="2">
        <v>1</v>
      </c>
      <c r="K303" s="2" t="s">
        <v>1915</v>
      </c>
      <c r="L303" s="2" t="str">
        <f>VLOOKUP(B303, Course!$A$1:$O$933, 14, FALSE)</f>
        <v>LC</v>
      </c>
      <c r="M303" s="2">
        <v>1</v>
      </c>
    </row>
    <row r="304" spans="1:13" ht="15.75" hidden="1" customHeight="1" x14ac:dyDescent="0.2">
      <c r="A304" s="2">
        <v>303</v>
      </c>
      <c r="B304" s="2">
        <v>26</v>
      </c>
      <c r="C304" s="2">
        <v>40</v>
      </c>
      <c r="D304" s="2" t="s">
        <v>479</v>
      </c>
      <c r="E304" s="2" t="str">
        <f t="shared" si="1"/>
        <v>1240LC03PT</v>
      </c>
      <c r="F304" s="2">
        <f>VLOOKUP(B304,Course!$A$2:$R$329,2,FALSE)</f>
        <v>0</v>
      </c>
      <c r="G304" s="2">
        <f>VLOOKUP(B304, Course!$A$2:$L$950, 8, FALSE)</f>
        <v>12</v>
      </c>
      <c r="H304" s="2">
        <v>3</v>
      </c>
      <c r="I304" s="2">
        <v>1</v>
      </c>
      <c r="K304" s="2" t="s">
        <v>1915</v>
      </c>
      <c r="L304" s="2" t="str">
        <f>VLOOKUP(B304, Course!$A$1:$O$933, 14, FALSE)</f>
        <v>LC</v>
      </c>
      <c r="M304" s="2">
        <v>1</v>
      </c>
    </row>
    <row r="305" spans="1:13" ht="15.75" hidden="1" customHeight="1" x14ac:dyDescent="0.2">
      <c r="A305" s="2">
        <v>304</v>
      </c>
      <c r="B305" s="2">
        <v>26</v>
      </c>
      <c r="C305" s="2">
        <v>41</v>
      </c>
      <c r="D305" s="2" t="s">
        <v>479</v>
      </c>
      <c r="E305" s="2" t="str">
        <f t="shared" si="1"/>
        <v>1241LC03PT</v>
      </c>
      <c r="F305" s="2">
        <f>VLOOKUP(B305,Course!$A$2:$R$329,2,FALSE)</f>
        <v>0</v>
      </c>
      <c r="G305" s="2">
        <f>VLOOKUP(B305, Course!$A$2:$L$950, 8, FALSE)</f>
        <v>12</v>
      </c>
      <c r="H305" s="2">
        <v>3</v>
      </c>
      <c r="I305" s="2">
        <v>1</v>
      </c>
      <c r="K305" s="2" t="s">
        <v>1915</v>
      </c>
      <c r="L305" s="2" t="str">
        <f>VLOOKUP(B305, Course!$A$1:$O$933, 14, FALSE)</f>
        <v>LC</v>
      </c>
      <c r="M305" s="2">
        <v>1</v>
      </c>
    </row>
    <row r="306" spans="1:13" ht="15.75" hidden="1" customHeight="1" x14ac:dyDescent="0.2">
      <c r="A306" s="2">
        <v>305</v>
      </c>
      <c r="B306" s="2">
        <v>26</v>
      </c>
      <c r="C306" s="2">
        <v>42</v>
      </c>
      <c r="D306" s="2" t="s">
        <v>479</v>
      </c>
      <c r="E306" s="2" t="str">
        <f t="shared" si="1"/>
        <v>1242LC03PT</v>
      </c>
      <c r="F306" s="2">
        <f>VLOOKUP(B306,Course!$A$2:$R$329,2,FALSE)</f>
        <v>0</v>
      </c>
      <c r="G306" s="2">
        <f>VLOOKUP(B306, Course!$A$2:$L$950, 8, FALSE)</f>
        <v>12</v>
      </c>
      <c r="H306" s="2">
        <v>3</v>
      </c>
      <c r="I306" s="2">
        <v>1</v>
      </c>
      <c r="K306" s="2" t="s">
        <v>1915</v>
      </c>
      <c r="L306" s="2" t="str">
        <f>VLOOKUP(B306, Course!$A$1:$O$933, 14, FALSE)</f>
        <v>LC</v>
      </c>
      <c r="M306" s="2">
        <v>1</v>
      </c>
    </row>
    <row r="307" spans="1:13" ht="15.75" hidden="1" customHeight="1" x14ac:dyDescent="0.2">
      <c r="A307" s="2">
        <v>306</v>
      </c>
      <c r="B307" s="2">
        <v>26</v>
      </c>
      <c r="C307" s="2">
        <v>43</v>
      </c>
      <c r="D307" s="2" t="s">
        <v>479</v>
      </c>
      <c r="E307" s="2" t="str">
        <f t="shared" si="1"/>
        <v>1243LC03PT</v>
      </c>
      <c r="F307" s="2">
        <f>VLOOKUP(B307,Course!$A$2:$R$329,2,FALSE)</f>
        <v>0</v>
      </c>
      <c r="G307" s="2">
        <f>VLOOKUP(B307, Course!$A$2:$L$950, 8, FALSE)</f>
        <v>12</v>
      </c>
      <c r="H307" s="2">
        <v>3</v>
      </c>
      <c r="I307" s="2">
        <v>1</v>
      </c>
      <c r="K307" s="2" t="s">
        <v>1915</v>
      </c>
      <c r="L307" s="2" t="str">
        <f>VLOOKUP(B307, Course!$A$1:$O$933, 14, FALSE)</f>
        <v>LC</v>
      </c>
      <c r="M307" s="2">
        <v>1</v>
      </c>
    </row>
    <row r="308" spans="1:13" ht="15.75" hidden="1" customHeight="1" x14ac:dyDescent="0.2">
      <c r="A308" s="2">
        <v>307</v>
      </c>
      <c r="B308" s="2">
        <v>26</v>
      </c>
      <c r="C308" s="2">
        <v>44</v>
      </c>
      <c r="D308" s="2" t="s">
        <v>479</v>
      </c>
      <c r="E308" s="2" t="str">
        <f t="shared" si="1"/>
        <v>1244LC03PT</v>
      </c>
      <c r="F308" s="2">
        <f>VLOOKUP(B308,Course!$A$2:$R$329,2,FALSE)</f>
        <v>0</v>
      </c>
      <c r="G308" s="2">
        <f>VLOOKUP(B308, Course!$A$2:$L$950, 8, FALSE)</f>
        <v>12</v>
      </c>
      <c r="H308" s="2">
        <v>3</v>
      </c>
      <c r="I308" s="2">
        <v>1</v>
      </c>
      <c r="K308" s="2" t="s">
        <v>1915</v>
      </c>
      <c r="L308" s="2" t="str">
        <f>VLOOKUP(B308, Course!$A$1:$O$933, 14, FALSE)</f>
        <v>LC</v>
      </c>
      <c r="M308" s="2">
        <v>1</v>
      </c>
    </row>
    <row r="309" spans="1:13" ht="15.75" hidden="1" customHeight="1" x14ac:dyDescent="0.2">
      <c r="A309" s="2">
        <v>308</v>
      </c>
      <c r="B309" s="2">
        <v>26</v>
      </c>
      <c r="C309" s="2">
        <v>45</v>
      </c>
      <c r="D309" s="2" t="s">
        <v>479</v>
      </c>
      <c r="E309" s="2" t="str">
        <f t="shared" si="1"/>
        <v>1245LC03PT</v>
      </c>
      <c r="F309" s="2">
        <f>VLOOKUP(B309,Course!$A$2:$R$329,2,FALSE)</f>
        <v>0</v>
      </c>
      <c r="G309" s="2">
        <f>VLOOKUP(B309, Course!$A$2:$L$950, 8, FALSE)</f>
        <v>12</v>
      </c>
      <c r="H309" s="2">
        <v>3</v>
      </c>
      <c r="I309" s="2">
        <v>1</v>
      </c>
      <c r="K309" s="2" t="s">
        <v>1915</v>
      </c>
      <c r="L309" s="2" t="str">
        <f>VLOOKUP(B309, Course!$A$1:$O$933, 14, FALSE)</f>
        <v>LC</v>
      </c>
      <c r="M309" s="2">
        <v>1</v>
      </c>
    </row>
    <row r="310" spans="1:13" ht="15.75" hidden="1" customHeight="1" x14ac:dyDescent="0.2">
      <c r="A310" s="2">
        <v>309</v>
      </c>
      <c r="B310" s="2">
        <v>26</v>
      </c>
      <c r="C310" s="2">
        <v>46</v>
      </c>
      <c r="D310" s="2" t="s">
        <v>479</v>
      </c>
      <c r="E310" s="2" t="str">
        <f t="shared" si="1"/>
        <v>1246LC03PT</v>
      </c>
      <c r="F310" s="2">
        <f>VLOOKUP(B310,Course!$A$2:$R$329,2,FALSE)</f>
        <v>0</v>
      </c>
      <c r="G310" s="2">
        <f>VLOOKUP(B310, Course!$A$2:$L$950, 8, FALSE)</f>
        <v>12</v>
      </c>
      <c r="H310" s="2">
        <v>3</v>
      </c>
      <c r="I310" s="2">
        <v>1</v>
      </c>
      <c r="K310" s="2" t="s">
        <v>1915</v>
      </c>
      <c r="L310" s="2" t="str">
        <f>VLOOKUP(B310, Course!$A$1:$O$933, 14, FALSE)</f>
        <v>LC</v>
      </c>
      <c r="M310" s="2">
        <v>1</v>
      </c>
    </row>
    <row r="311" spans="1:13" ht="15.75" hidden="1" customHeight="1" x14ac:dyDescent="0.2">
      <c r="A311" s="2">
        <v>310</v>
      </c>
      <c r="B311" s="2">
        <v>26</v>
      </c>
      <c r="C311" s="2">
        <v>47</v>
      </c>
      <c r="D311" s="2" t="s">
        <v>479</v>
      </c>
      <c r="E311" s="2" t="str">
        <f t="shared" si="1"/>
        <v>1247LC03PT</v>
      </c>
      <c r="F311" s="2">
        <f>VLOOKUP(B311,Course!$A$2:$R$329,2,FALSE)</f>
        <v>0</v>
      </c>
      <c r="G311" s="2">
        <f>VLOOKUP(B311, Course!$A$2:$L$950, 8, FALSE)</f>
        <v>12</v>
      </c>
      <c r="H311" s="2">
        <v>3</v>
      </c>
      <c r="I311" s="2">
        <v>1</v>
      </c>
      <c r="K311" s="2" t="s">
        <v>1915</v>
      </c>
      <c r="L311" s="2" t="str">
        <f>VLOOKUP(B311, Course!$A$1:$O$933, 14, FALSE)</f>
        <v>LC</v>
      </c>
      <c r="M311" s="2">
        <v>1</v>
      </c>
    </row>
    <row r="312" spans="1:13" ht="15.75" hidden="1" customHeight="1" x14ac:dyDescent="0.2">
      <c r="A312" s="2">
        <v>311</v>
      </c>
      <c r="B312" s="2">
        <v>26</v>
      </c>
      <c r="C312" s="2">
        <v>48</v>
      </c>
      <c r="D312" s="2" t="s">
        <v>479</v>
      </c>
      <c r="E312" s="2" t="str">
        <f t="shared" si="1"/>
        <v>1248LC03PT</v>
      </c>
      <c r="F312" s="2">
        <f>VLOOKUP(B312,Course!$A$2:$R$329,2,FALSE)</f>
        <v>0</v>
      </c>
      <c r="G312" s="2">
        <f>VLOOKUP(B312, Course!$A$2:$L$950, 8, FALSE)</f>
        <v>12</v>
      </c>
      <c r="H312" s="2">
        <v>3</v>
      </c>
      <c r="I312" s="2">
        <v>1</v>
      </c>
      <c r="K312" s="2" t="s">
        <v>1915</v>
      </c>
      <c r="L312" s="2" t="str">
        <f>VLOOKUP(B312, Course!$A$1:$O$933, 14, FALSE)</f>
        <v>LC</v>
      </c>
      <c r="M312" s="2">
        <v>1</v>
      </c>
    </row>
    <row r="313" spans="1:13" ht="15.75" hidden="1" customHeight="1" x14ac:dyDescent="0.2">
      <c r="A313" s="2">
        <v>312</v>
      </c>
      <c r="B313" s="2">
        <v>27</v>
      </c>
      <c r="C313" s="2">
        <v>37</v>
      </c>
      <c r="D313" s="2" t="s">
        <v>377</v>
      </c>
      <c r="E313" s="2" t="str">
        <f t="shared" si="1"/>
        <v>1237SC03PT</v>
      </c>
      <c r="F313" s="2" t="str">
        <f>VLOOKUP(B313,Course!$A$2:$R$329,2,FALSE)</f>
        <v>Science 4</v>
      </c>
      <c r="G313" s="2">
        <f>VLOOKUP(B313, Course!$A$2:$L$950, 8, FALSE)</f>
        <v>12</v>
      </c>
      <c r="H313" s="2">
        <v>3</v>
      </c>
      <c r="I313" s="2">
        <v>1</v>
      </c>
      <c r="K313" s="2" t="s">
        <v>1915</v>
      </c>
      <c r="L313" s="2" t="str">
        <f>VLOOKUP(B313, Course!$A$1:$O$933, 14, FALSE)</f>
        <v>SC</v>
      </c>
      <c r="M313" s="2">
        <v>1</v>
      </c>
    </row>
    <row r="314" spans="1:13" ht="15.75" hidden="1" customHeight="1" x14ac:dyDescent="0.2">
      <c r="A314" s="2">
        <v>313</v>
      </c>
      <c r="B314" s="2">
        <v>27</v>
      </c>
      <c r="C314" s="2">
        <v>38</v>
      </c>
      <c r="D314" s="2" t="s">
        <v>377</v>
      </c>
      <c r="E314" s="2" t="str">
        <f t="shared" si="1"/>
        <v>1238SC03PT</v>
      </c>
      <c r="F314" s="2" t="str">
        <f>VLOOKUP(B314,Course!$A$2:$R$329,2,FALSE)</f>
        <v>Science 4</v>
      </c>
      <c r="G314" s="2">
        <f>VLOOKUP(B314, Course!$A$2:$L$950, 8, FALSE)</f>
        <v>12</v>
      </c>
      <c r="H314" s="2">
        <v>3</v>
      </c>
      <c r="I314" s="2">
        <v>1</v>
      </c>
      <c r="K314" s="2" t="s">
        <v>1915</v>
      </c>
      <c r="L314" s="2" t="str">
        <f>VLOOKUP(B314, Course!$A$1:$O$933, 14, FALSE)</f>
        <v>SC</v>
      </c>
      <c r="M314" s="2">
        <v>1</v>
      </c>
    </row>
    <row r="315" spans="1:13" ht="15.75" hidden="1" customHeight="1" x14ac:dyDescent="0.2">
      <c r="A315" s="2">
        <v>314</v>
      </c>
      <c r="B315" s="2">
        <v>27</v>
      </c>
      <c r="C315" s="2">
        <v>39</v>
      </c>
      <c r="D315" s="2" t="s">
        <v>377</v>
      </c>
      <c r="E315" s="2" t="str">
        <f t="shared" si="1"/>
        <v>1239SC03PT</v>
      </c>
      <c r="F315" s="2" t="str">
        <f>VLOOKUP(B315,Course!$A$2:$R$329,2,FALSE)</f>
        <v>Science 4</v>
      </c>
      <c r="G315" s="2">
        <f>VLOOKUP(B315, Course!$A$2:$L$950, 8, FALSE)</f>
        <v>12</v>
      </c>
      <c r="H315" s="2">
        <v>3</v>
      </c>
      <c r="I315" s="2">
        <v>1</v>
      </c>
      <c r="K315" s="2" t="s">
        <v>1915</v>
      </c>
      <c r="L315" s="2" t="str">
        <f>VLOOKUP(B315, Course!$A$1:$O$933, 14, FALSE)</f>
        <v>SC</v>
      </c>
      <c r="M315" s="2">
        <v>1</v>
      </c>
    </row>
    <row r="316" spans="1:13" ht="15.75" hidden="1" customHeight="1" x14ac:dyDescent="0.2">
      <c r="A316" s="2">
        <v>315</v>
      </c>
      <c r="B316" s="2">
        <v>27</v>
      </c>
      <c r="C316" s="2">
        <v>40</v>
      </c>
      <c r="D316" s="2" t="s">
        <v>377</v>
      </c>
      <c r="E316" s="2" t="str">
        <f t="shared" si="1"/>
        <v>1240SC03PT</v>
      </c>
      <c r="F316" s="2" t="str">
        <f>VLOOKUP(B316,Course!$A$2:$R$329,2,FALSE)</f>
        <v>Science 4</v>
      </c>
      <c r="G316" s="2">
        <f>VLOOKUP(B316, Course!$A$2:$L$950, 8, FALSE)</f>
        <v>12</v>
      </c>
      <c r="H316" s="2">
        <v>3</v>
      </c>
      <c r="I316" s="2">
        <v>1</v>
      </c>
      <c r="K316" s="2" t="s">
        <v>1915</v>
      </c>
      <c r="L316" s="2" t="str">
        <f>VLOOKUP(B316, Course!$A$1:$O$933, 14, FALSE)</f>
        <v>SC</v>
      </c>
      <c r="M316" s="2">
        <v>1</v>
      </c>
    </row>
    <row r="317" spans="1:13" ht="15.75" hidden="1" customHeight="1" x14ac:dyDescent="0.2">
      <c r="A317" s="2">
        <v>316</v>
      </c>
      <c r="B317" s="2">
        <v>27</v>
      </c>
      <c r="C317" s="2">
        <v>41</v>
      </c>
      <c r="D317" s="2" t="s">
        <v>377</v>
      </c>
      <c r="E317" s="2" t="str">
        <f t="shared" si="1"/>
        <v>1241SC03PT</v>
      </c>
      <c r="F317" s="2" t="str">
        <f>VLOOKUP(B317,Course!$A$2:$R$329,2,FALSE)</f>
        <v>Science 4</v>
      </c>
      <c r="G317" s="2">
        <f>VLOOKUP(B317, Course!$A$2:$L$950, 8, FALSE)</f>
        <v>12</v>
      </c>
      <c r="H317" s="2">
        <v>3</v>
      </c>
      <c r="I317" s="2">
        <v>1</v>
      </c>
      <c r="K317" s="2" t="s">
        <v>1915</v>
      </c>
      <c r="L317" s="2" t="str">
        <f>VLOOKUP(B317, Course!$A$1:$O$933, 14, FALSE)</f>
        <v>SC</v>
      </c>
      <c r="M317" s="2">
        <v>1</v>
      </c>
    </row>
    <row r="318" spans="1:13" ht="15.75" hidden="1" customHeight="1" x14ac:dyDescent="0.2">
      <c r="A318" s="2">
        <v>317</v>
      </c>
      <c r="B318" s="2">
        <v>27</v>
      </c>
      <c r="C318" s="2">
        <v>42</v>
      </c>
      <c r="D318" s="2" t="s">
        <v>377</v>
      </c>
      <c r="E318" s="2" t="str">
        <f t="shared" si="1"/>
        <v>1242SC03PT</v>
      </c>
      <c r="F318" s="2" t="str">
        <f>VLOOKUP(B318,Course!$A$2:$R$329,2,FALSE)</f>
        <v>Science 4</v>
      </c>
      <c r="G318" s="2">
        <f>VLOOKUP(B318, Course!$A$2:$L$950, 8, FALSE)</f>
        <v>12</v>
      </c>
      <c r="H318" s="2">
        <v>3</v>
      </c>
      <c r="I318" s="2">
        <v>1</v>
      </c>
      <c r="K318" s="2" t="s">
        <v>1915</v>
      </c>
      <c r="L318" s="2" t="str">
        <f>VLOOKUP(B318, Course!$A$1:$O$933, 14, FALSE)</f>
        <v>SC</v>
      </c>
      <c r="M318" s="2">
        <v>1</v>
      </c>
    </row>
    <row r="319" spans="1:13" ht="15.75" hidden="1" customHeight="1" x14ac:dyDescent="0.2">
      <c r="A319" s="2">
        <v>318</v>
      </c>
      <c r="B319" s="2">
        <v>27</v>
      </c>
      <c r="C319" s="2">
        <v>43</v>
      </c>
      <c r="D319" s="2" t="s">
        <v>377</v>
      </c>
      <c r="E319" s="2" t="str">
        <f t="shared" si="1"/>
        <v>1243SC03PT</v>
      </c>
      <c r="F319" s="2" t="str">
        <f>VLOOKUP(B319,Course!$A$2:$R$329,2,FALSE)</f>
        <v>Science 4</v>
      </c>
      <c r="G319" s="2">
        <f>VLOOKUP(B319, Course!$A$2:$L$950, 8, FALSE)</f>
        <v>12</v>
      </c>
      <c r="H319" s="2">
        <v>3</v>
      </c>
      <c r="I319" s="2">
        <v>1</v>
      </c>
      <c r="K319" s="2" t="s">
        <v>1915</v>
      </c>
      <c r="L319" s="2" t="str">
        <f>VLOOKUP(B319, Course!$A$1:$O$933, 14, FALSE)</f>
        <v>SC</v>
      </c>
      <c r="M319" s="2">
        <v>1</v>
      </c>
    </row>
    <row r="320" spans="1:13" ht="15.75" hidden="1" customHeight="1" x14ac:dyDescent="0.2">
      <c r="A320" s="2">
        <v>319</v>
      </c>
      <c r="B320" s="2">
        <v>27</v>
      </c>
      <c r="C320" s="2">
        <v>44</v>
      </c>
      <c r="D320" s="2" t="s">
        <v>377</v>
      </c>
      <c r="E320" s="2" t="str">
        <f t="shared" si="1"/>
        <v>1244SC03PT</v>
      </c>
      <c r="F320" s="2" t="str">
        <f>VLOOKUP(B320,Course!$A$2:$R$329,2,FALSE)</f>
        <v>Science 4</v>
      </c>
      <c r="G320" s="2">
        <f>VLOOKUP(B320, Course!$A$2:$L$950, 8, FALSE)</f>
        <v>12</v>
      </c>
      <c r="H320" s="2">
        <v>3</v>
      </c>
      <c r="I320" s="2">
        <v>1</v>
      </c>
      <c r="K320" s="2" t="s">
        <v>1915</v>
      </c>
      <c r="L320" s="2" t="str">
        <f>VLOOKUP(B320, Course!$A$1:$O$933, 14, FALSE)</f>
        <v>SC</v>
      </c>
      <c r="M320" s="2">
        <v>1</v>
      </c>
    </row>
    <row r="321" spans="1:13" ht="15.75" hidden="1" customHeight="1" x14ac:dyDescent="0.2">
      <c r="A321" s="2">
        <v>320</v>
      </c>
      <c r="B321" s="2">
        <v>27</v>
      </c>
      <c r="C321" s="2">
        <v>45</v>
      </c>
      <c r="D321" s="2" t="s">
        <v>377</v>
      </c>
      <c r="E321" s="2" t="str">
        <f t="shared" si="1"/>
        <v>1245SC03PT</v>
      </c>
      <c r="F321" s="2" t="str">
        <f>VLOOKUP(B321,Course!$A$2:$R$329,2,FALSE)</f>
        <v>Science 4</v>
      </c>
      <c r="G321" s="2">
        <f>VLOOKUP(B321, Course!$A$2:$L$950, 8, FALSE)</f>
        <v>12</v>
      </c>
      <c r="H321" s="2">
        <v>3</v>
      </c>
      <c r="I321" s="2">
        <v>1</v>
      </c>
      <c r="K321" s="2" t="s">
        <v>1915</v>
      </c>
      <c r="L321" s="2" t="str">
        <f>VLOOKUP(B321, Course!$A$1:$O$933, 14, FALSE)</f>
        <v>SC</v>
      </c>
      <c r="M321" s="2">
        <v>1</v>
      </c>
    </row>
    <row r="322" spans="1:13" ht="15.75" hidden="1" customHeight="1" x14ac:dyDescent="0.2">
      <c r="A322" s="2">
        <v>321</v>
      </c>
      <c r="B322" s="2">
        <v>27</v>
      </c>
      <c r="C322" s="2">
        <v>46</v>
      </c>
      <c r="D322" s="2" t="s">
        <v>377</v>
      </c>
      <c r="E322" s="2" t="str">
        <f t="shared" si="1"/>
        <v>1246SC03PT</v>
      </c>
      <c r="F322" s="2" t="str">
        <f>VLOOKUP(B322,Course!$A$2:$R$329,2,FALSE)</f>
        <v>Science 4</v>
      </c>
      <c r="G322" s="2">
        <f>VLOOKUP(B322, Course!$A$2:$L$950, 8, FALSE)</f>
        <v>12</v>
      </c>
      <c r="H322" s="2">
        <v>3</v>
      </c>
      <c r="I322" s="2">
        <v>1</v>
      </c>
      <c r="K322" s="2" t="s">
        <v>1915</v>
      </c>
      <c r="L322" s="2" t="str">
        <f>VLOOKUP(B322, Course!$A$1:$O$933, 14, FALSE)</f>
        <v>SC</v>
      </c>
      <c r="M322" s="2">
        <v>1</v>
      </c>
    </row>
    <row r="323" spans="1:13" ht="15.75" hidden="1" customHeight="1" x14ac:dyDescent="0.2">
      <c r="A323" s="2">
        <v>322</v>
      </c>
      <c r="B323" s="2">
        <v>27</v>
      </c>
      <c r="C323" s="2">
        <v>47</v>
      </c>
      <c r="D323" s="2" t="s">
        <v>377</v>
      </c>
      <c r="E323" s="2" t="str">
        <f t="shared" si="1"/>
        <v>1247SC03PT</v>
      </c>
      <c r="F323" s="2" t="str">
        <f>VLOOKUP(B323,Course!$A$2:$R$329,2,FALSE)</f>
        <v>Science 4</v>
      </c>
      <c r="G323" s="2">
        <f>VLOOKUP(B323, Course!$A$2:$L$950, 8, FALSE)</f>
        <v>12</v>
      </c>
      <c r="H323" s="2">
        <v>3</v>
      </c>
      <c r="I323" s="2">
        <v>1</v>
      </c>
      <c r="K323" s="2" t="s">
        <v>1915</v>
      </c>
      <c r="L323" s="2" t="str">
        <f>VLOOKUP(B323, Course!$A$1:$O$933, 14, FALSE)</f>
        <v>SC</v>
      </c>
      <c r="M323" s="2">
        <v>1</v>
      </c>
    </row>
    <row r="324" spans="1:13" ht="15.75" hidden="1" customHeight="1" x14ac:dyDescent="0.2">
      <c r="A324" s="2">
        <v>323</v>
      </c>
      <c r="B324" s="2">
        <v>27</v>
      </c>
      <c r="C324" s="2">
        <v>48</v>
      </c>
      <c r="D324" s="2" t="s">
        <v>377</v>
      </c>
      <c r="E324" s="2" t="str">
        <f t="shared" si="1"/>
        <v>1248SC03PT</v>
      </c>
      <c r="F324" s="2" t="str">
        <f>VLOOKUP(B324,Course!$A$2:$R$329,2,FALSE)</f>
        <v>Science 4</v>
      </c>
      <c r="G324" s="2">
        <f>VLOOKUP(B324, Course!$A$2:$L$950, 8, FALSE)</f>
        <v>12</v>
      </c>
      <c r="H324" s="2">
        <v>3</v>
      </c>
      <c r="I324" s="2">
        <v>1</v>
      </c>
      <c r="K324" s="2" t="s">
        <v>1915</v>
      </c>
      <c r="L324" s="2" t="str">
        <f>VLOOKUP(B324, Course!$A$1:$O$933, 14, FALSE)</f>
        <v>SC</v>
      </c>
      <c r="M324" s="2">
        <v>1</v>
      </c>
    </row>
    <row r="325" spans="1:13" ht="15.75" hidden="1" customHeight="1" x14ac:dyDescent="0.2">
      <c r="A325" s="2">
        <v>324</v>
      </c>
      <c r="B325" s="2">
        <v>28</v>
      </c>
      <c r="C325" s="2">
        <v>37</v>
      </c>
      <c r="D325" s="2" t="s">
        <v>379</v>
      </c>
      <c r="E325" s="2" t="str">
        <f t="shared" si="1"/>
        <v>1237SS03PT</v>
      </c>
      <c r="F325" s="2">
        <f>VLOOKUP(B325,Course!$A$2:$R$329,2,FALSE)</f>
        <v>0</v>
      </c>
      <c r="G325" s="2">
        <f>VLOOKUP(B325, Course!$A$2:$L$950, 8, FALSE)</f>
        <v>12</v>
      </c>
      <c r="H325" s="2">
        <v>3</v>
      </c>
      <c r="I325" s="2">
        <v>1</v>
      </c>
      <c r="K325" s="2" t="s">
        <v>1915</v>
      </c>
      <c r="L325" s="2" t="str">
        <f>VLOOKUP(B325, Course!$A$1:$O$933, 14, FALSE)</f>
        <v>SS</v>
      </c>
      <c r="M325" s="2">
        <v>1</v>
      </c>
    </row>
    <row r="326" spans="1:13" ht="15.75" hidden="1" customHeight="1" x14ac:dyDescent="0.2">
      <c r="A326" s="2">
        <v>325</v>
      </c>
      <c r="B326" s="2">
        <v>28</v>
      </c>
      <c r="C326" s="2">
        <v>38</v>
      </c>
      <c r="D326" s="2" t="s">
        <v>379</v>
      </c>
      <c r="E326" s="2" t="str">
        <f t="shared" si="1"/>
        <v>1238SS03PT</v>
      </c>
      <c r="F326" s="2">
        <f>VLOOKUP(B326,Course!$A$2:$R$329,2,FALSE)</f>
        <v>0</v>
      </c>
      <c r="G326" s="2">
        <f>VLOOKUP(B326, Course!$A$2:$L$950, 8, FALSE)</f>
        <v>12</v>
      </c>
      <c r="H326" s="2">
        <v>3</v>
      </c>
      <c r="I326" s="2">
        <v>1</v>
      </c>
      <c r="K326" s="2" t="s">
        <v>1915</v>
      </c>
      <c r="L326" s="2" t="str">
        <f>VLOOKUP(B326, Course!$A$1:$O$933, 14, FALSE)</f>
        <v>SS</v>
      </c>
      <c r="M326" s="2">
        <v>1</v>
      </c>
    </row>
    <row r="327" spans="1:13" ht="15.75" hidden="1" customHeight="1" x14ac:dyDescent="0.2">
      <c r="A327" s="2">
        <v>326</v>
      </c>
      <c r="B327" s="2">
        <v>28</v>
      </c>
      <c r="C327" s="2">
        <v>39</v>
      </c>
      <c r="D327" s="2" t="s">
        <v>379</v>
      </c>
      <c r="E327" s="2" t="str">
        <f t="shared" si="1"/>
        <v>1239SS03PT</v>
      </c>
      <c r="F327" s="2">
        <f>VLOOKUP(B327,Course!$A$2:$R$329,2,FALSE)</f>
        <v>0</v>
      </c>
      <c r="G327" s="2">
        <f>VLOOKUP(B327, Course!$A$2:$L$950, 8, FALSE)</f>
        <v>12</v>
      </c>
      <c r="H327" s="2">
        <v>3</v>
      </c>
      <c r="I327" s="2">
        <v>1</v>
      </c>
      <c r="K327" s="2" t="s">
        <v>1915</v>
      </c>
      <c r="L327" s="2" t="str">
        <f>VLOOKUP(B327, Course!$A$1:$O$933, 14, FALSE)</f>
        <v>SS</v>
      </c>
      <c r="M327" s="2">
        <v>1</v>
      </c>
    </row>
    <row r="328" spans="1:13" ht="15.75" hidden="1" customHeight="1" x14ac:dyDescent="0.2">
      <c r="A328" s="2">
        <v>327</v>
      </c>
      <c r="B328" s="2">
        <v>28</v>
      </c>
      <c r="C328" s="2">
        <v>40</v>
      </c>
      <c r="D328" s="2" t="s">
        <v>379</v>
      </c>
      <c r="E328" s="2" t="str">
        <f t="shared" si="1"/>
        <v>1240SS03PT</v>
      </c>
      <c r="F328" s="2">
        <f>VLOOKUP(B328,Course!$A$2:$R$329,2,FALSE)</f>
        <v>0</v>
      </c>
      <c r="G328" s="2">
        <f>VLOOKUP(B328, Course!$A$2:$L$950, 8, FALSE)</f>
        <v>12</v>
      </c>
      <c r="H328" s="2">
        <v>3</v>
      </c>
      <c r="I328" s="2">
        <v>1</v>
      </c>
      <c r="K328" s="2" t="s">
        <v>1915</v>
      </c>
      <c r="L328" s="2" t="str">
        <f>VLOOKUP(B328, Course!$A$1:$O$933, 14, FALSE)</f>
        <v>SS</v>
      </c>
      <c r="M328" s="2">
        <v>1</v>
      </c>
    </row>
    <row r="329" spans="1:13" ht="15.75" hidden="1" customHeight="1" x14ac:dyDescent="0.2">
      <c r="A329" s="2">
        <v>328</v>
      </c>
      <c r="B329" s="2">
        <v>28</v>
      </c>
      <c r="C329" s="2">
        <v>41</v>
      </c>
      <c r="D329" s="2" t="s">
        <v>379</v>
      </c>
      <c r="E329" s="2" t="str">
        <f t="shared" si="1"/>
        <v>1241SS03PT</v>
      </c>
      <c r="F329" s="2">
        <f>VLOOKUP(B329,Course!$A$2:$R$329,2,FALSE)</f>
        <v>0</v>
      </c>
      <c r="G329" s="2">
        <f>VLOOKUP(B329, Course!$A$2:$L$950, 8, FALSE)</f>
        <v>12</v>
      </c>
      <c r="H329" s="2">
        <v>3</v>
      </c>
      <c r="I329" s="2">
        <v>1</v>
      </c>
      <c r="K329" s="2" t="s">
        <v>1915</v>
      </c>
      <c r="L329" s="2" t="str">
        <f>VLOOKUP(B329, Course!$A$1:$O$933, 14, FALSE)</f>
        <v>SS</v>
      </c>
      <c r="M329" s="2">
        <v>1</v>
      </c>
    </row>
    <row r="330" spans="1:13" ht="15.75" hidden="1" customHeight="1" x14ac:dyDescent="0.2">
      <c r="A330" s="2">
        <v>329</v>
      </c>
      <c r="B330" s="2">
        <v>28</v>
      </c>
      <c r="C330" s="2">
        <v>42</v>
      </c>
      <c r="D330" s="2" t="s">
        <v>379</v>
      </c>
      <c r="E330" s="2" t="str">
        <f t="shared" si="1"/>
        <v>1242SS03PT</v>
      </c>
      <c r="F330" s="2">
        <f>VLOOKUP(B330,Course!$A$2:$R$329,2,FALSE)</f>
        <v>0</v>
      </c>
      <c r="G330" s="2">
        <f>VLOOKUP(B330, Course!$A$2:$L$950, 8, FALSE)</f>
        <v>12</v>
      </c>
      <c r="H330" s="2">
        <v>3</v>
      </c>
      <c r="I330" s="2">
        <v>1</v>
      </c>
      <c r="K330" s="2" t="s">
        <v>1915</v>
      </c>
      <c r="L330" s="2" t="str">
        <f>VLOOKUP(B330, Course!$A$1:$O$933, 14, FALSE)</f>
        <v>SS</v>
      </c>
      <c r="M330" s="2">
        <v>1</v>
      </c>
    </row>
    <row r="331" spans="1:13" ht="15.75" hidden="1" customHeight="1" x14ac:dyDescent="0.2">
      <c r="A331" s="2">
        <v>330</v>
      </c>
      <c r="B331" s="2">
        <v>28</v>
      </c>
      <c r="C331" s="2">
        <v>43</v>
      </c>
      <c r="D331" s="2" t="s">
        <v>379</v>
      </c>
      <c r="E331" s="2" t="str">
        <f t="shared" si="1"/>
        <v>1243SS03PT</v>
      </c>
      <c r="F331" s="2">
        <f>VLOOKUP(B331,Course!$A$2:$R$329,2,FALSE)</f>
        <v>0</v>
      </c>
      <c r="G331" s="2">
        <f>VLOOKUP(B331, Course!$A$2:$L$950, 8, FALSE)</f>
        <v>12</v>
      </c>
      <c r="H331" s="2">
        <v>3</v>
      </c>
      <c r="I331" s="2">
        <v>1</v>
      </c>
      <c r="K331" s="2" t="s">
        <v>1915</v>
      </c>
      <c r="L331" s="2" t="str">
        <f>VLOOKUP(B331, Course!$A$1:$O$933, 14, FALSE)</f>
        <v>SS</v>
      </c>
      <c r="M331" s="2">
        <v>1</v>
      </c>
    </row>
    <row r="332" spans="1:13" ht="15.75" hidden="1" customHeight="1" x14ac:dyDescent="0.2">
      <c r="A332" s="2">
        <v>331</v>
      </c>
      <c r="B332" s="2">
        <v>28</v>
      </c>
      <c r="C332" s="2">
        <v>44</v>
      </c>
      <c r="D332" s="2" t="s">
        <v>379</v>
      </c>
      <c r="E332" s="2" t="str">
        <f t="shared" si="1"/>
        <v>1244SS03PT</v>
      </c>
      <c r="F332" s="2">
        <f>VLOOKUP(B332,Course!$A$2:$R$329,2,FALSE)</f>
        <v>0</v>
      </c>
      <c r="G332" s="2">
        <f>VLOOKUP(B332, Course!$A$2:$L$950, 8, FALSE)</f>
        <v>12</v>
      </c>
      <c r="H332" s="2">
        <v>3</v>
      </c>
      <c r="I332" s="2">
        <v>1</v>
      </c>
      <c r="K332" s="2" t="s">
        <v>1915</v>
      </c>
      <c r="L332" s="2" t="str">
        <f>VLOOKUP(B332, Course!$A$1:$O$933, 14, FALSE)</f>
        <v>SS</v>
      </c>
      <c r="M332" s="2">
        <v>1</v>
      </c>
    </row>
    <row r="333" spans="1:13" ht="15.75" hidden="1" customHeight="1" x14ac:dyDescent="0.2">
      <c r="A333" s="2">
        <v>332</v>
      </c>
      <c r="B333" s="2">
        <v>28</v>
      </c>
      <c r="C333" s="2">
        <v>45</v>
      </c>
      <c r="D333" s="2" t="s">
        <v>379</v>
      </c>
      <c r="E333" s="2" t="str">
        <f t="shared" si="1"/>
        <v>1245SS03PT</v>
      </c>
      <c r="F333" s="2">
        <f>VLOOKUP(B333,Course!$A$2:$R$329,2,FALSE)</f>
        <v>0</v>
      </c>
      <c r="G333" s="2">
        <f>VLOOKUP(B333, Course!$A$2:$L$950, 8, FALSE)</f>
        <v>12</v>
      </c>
      <c r="H333" s="2">
        <v>3</v>
      </c>
      <c r="I333" s="2">
        <v>1</v>
      </c>
      <c r="K333" s="2" t="s">
        <v>1915</v>
      </c>
      <c r="L333" s="2" t="str">
        <f>VLOOKUP(B333, Course!$A$1:$O$933, 14, FALSE)</f>
        <v>SS</v>
      </c>
      <c r="M333" s="2">
        <v>1</v>
      </c>
    </row>
    <row r="334" spans="1:13" ht="15.75" hidden="1" customHeight="1" x14ac:dyDescent="0.2">
      <c r="A334" s="2">
        <v>333</v>
      </c>
      <c r="B334" s="2">
        <v>28</v>
      </c>
      <c r="C334" s="2">
        <v>46</v>
      </c>
      <c r="D334" s="2" t="s">
        <v>379</v>
      </c>
      <c r="E334" s="2" t="str">
        <f t="shared" si="1"/>
        <v>1246SS03PT</v>
      </c>
      <c r="F334" s="2">
        <f>VLOOKUP(B334,Course!$A$2:$R$329,2,FALSE)</f>
        <v>0</v>
      </c>
      <c r="G334" s="2">
        <f>VLOOKUP(B334, Course!$A$2:$L$950, 8, FALSE)</f>
        <v>12</v>
      </c>
      <c r="H334" s="2">
        <v>3</v>
      </c>
      <c r="I334" s="2">
        <v>1</v>
      </c>
      <c r="K334" s="2" t="s">
        <v>1915</v>
      </c>
      <c r="L334" s="2" t="str">
        <f>VLOOKUP(B334, Course!$A$1:$O$933, 14, FALSE)</f>
        <v>SS</v>
      </c>
      <c r="M334" s="2">
        <v>1</v>
      </c>
    </row>
    <row r="335" spans="1:13" ht="15.75" hidden="1" customHeight="1" x14ac:dyDescent="0.2">
      <c r="A335" s="2">
        <v>334</v>
      </c>
      <c r="B335" s="2">
        <v>28</v>
      </c>
      <c r="C335" s="2">
        <v>47</v>
      </c>
      <c r="D335" s="2" t="s">
        <v>379</v>
      </c>
      <c r="E335" s="2" t="str">
        <f t="shared" si="1"/>
        <v>1247SS03PT</v>
      </c>
      <c r="F335" s="2">
        <f>VLOOKUP(B335,Course!$A$2:$R$329,2,FALSE)</f>
        <v>0</v>
      </c>
      <c r="G335" s="2">
        <f>VLOOKUP(B335, Course!$A$2:$L$950, 8, FALSE)</f>
        <v>12</v>
      </c>
      <c r="H335" s="2">
        <v>3</v>
      </c>
      <c r="I335" s="2">
        <v>1</v>
      </c>
      <c r="K335" s="2" t="s">
        <v>1915</v>
      </c>
      <c r="L335" s="2" t="str">
        <f>VLOOKUP(B335, Course!$A$1:$O$933, 14, FALSE)</f>
        <v>SS</v>
      </c>
      <c r="M335" s="2">
        <v>1</v>
      </c>
    </row>
    <row r="336" spans="1:13" ht="15.75" hidden="1" customHeight="1" x14ac:dyDescent="0.2">
      <c r="A336" s="2">
        <v>335</v>
      </c>
      <c r="B336" s="2">
        <v>28</v>
      </c>
      <c r="C336" s="2">
        <v>48</v>
      </c>
      <c r="D336" s="2" t="s">
        <v>379</v>
      </c>
      <c r="E336" s="2" t="str">
        <f t="shared" si="1"/>
        <v>1248SS03PT</v>
      </c>
      <c r="F336" s="2">
        <f>VLOOKUP(B336,Course!$A$2:$R$329,2,FALSE)</f>
        <v>0</v>
      </c>
      <c r="G336" s="2">
        <f>VLOOKUP(B336, Course!$A$2:$L$950, 8, FALSE)</f>
        <v>12</v>
      </c>
      <c r="H336" s="2">
        <v>3</v>
      </c>
      <c r="I336" s="2">
        <v>1</v>
      </c>
      <c r="K336" s="2" t="s">
        <v>1915</v>
      </c>
      <c r="L336" s="2" t="str">
        <f>VLOOKUP(B336, Course!$A$1:$O$933, 14, FALSE)</f>
        <v>SS</v>
      </c>
      <c r="M336" s="2">
        <v>1</v>
      </c>
    </row>
    <row r="337" spans="1:13" ht="15.75" hidden="1" customHeight="1" x14ac:dyDescent="0.2">
      <c r="A337" s="2">
        <v>336</v>
      </c>
      <c r="B337" s="2">
        <v>29</v>
      </c>
      <c r="C337" s="2">
        <v>37</v>
      </c>
      <c r="D337" s="2" t="s">
        <v>484</v>
      </c>
      <c r="E337" s="2" t="str">
        <f t="shared" si="1"/>
        <v>1237BR03PT</v>
      </c>
      <c r="F337" s="2">
        <f>VLOOKUP(B337,Course!$A$2:$R$329,2,FALSE)</f>
        <v>0</v>
      </c>
      <c r="G337" s="2">
        <f>VLOOKUP(B337, Course!$A$2:$L$950, 8, FALSE)</f>
        <v>12</v>
      </c>
      <c r="H337" s="2">
        <v>3</v>
      </c>
      <c r="I337" s="2">
        <v>1</v>
      </c>
      <c r="K337" s="2" t="s">
        <v>1915</v>
      </c>
      <c r="L337" s="2" t="str">
        <f>VLOOKUP(B337, Course!$A$1:$O$933, 14, FALSE)</f>
        <v>BR</v>
      </c>
      <c r="M337" s="2">
        <v>1</v>
      </c>
    </row>
    <row r="338" spans="1:13" ht="15.75" hidden="1" customHeight="1" x14ac:dyDescent="0.2">
      <c r="A338" s="2">
        <v>337</v>
      </c>
      <c r="B338" s="2">
        <v>29</v>
      </c>
      <c r="C338" s="2">
        <v>38</v>
      </c>
      <c r="D338" s="2" t="s">
        <v>484</v>
      </c>
      <c r="E338" s="2" t="str">
        <f t="shared" si="1"/>
        <v>1238BR03PT</v>
      </c>
      <c r="F338" s="2">
        <f>VLOOKUP(B338,Course!$A$2:$R$329,2,FALSE)</f>
        <v>0</v>
      </c>
      <c r="G338" s="2">
        <f>VLOOKUP(B338, Course!$A$2:$L$950, 8, FALSE)</f>
        <v>12</v>
      </c>
      <c r="H338" s="2">
        <v>3</v>
      </c>
      <c r="I338" s="2">
        <v>1</v>
      </c>
      <c r="K338" s="2" t="s">
        <v>1915</v>
      </c>
      <c r="L338" s="2" t="str">
        <f>VLOOKUP(B338, Course!$A$1:$O$933, 14, FALSE)</f>
        <v>BR</v>
      </c>
      <c r="M338" s="2">
        <v>1</v>
      </c>
    </row>
    <row r="339" spans="1:13" ht="15.75" hidden="1" customHeight="1" x14ac:dyDescent="0.2">
      <c r="A339" s="2">
        <v>338</v>
      </c>
      <c r="B339" s="2">
        <v>29</v>
      </c>
      <c r="C339" s="2">
        <v>39</v>
      </c>
      <c r="D339" s="2" t="s">
        <v>484</v>
      </c>
      <c r="E339" s="2" t="str">
        <f t="shared" si="1"/>
        <v>1239BR03PT</v>
      </c>
      <c r="F339" s="2">
        <f>VLOOKUP(B339,Course!$A$2:$R$329,2,FALSE)</f>
        <v>0</v>
      </c>
      <c r="G339" s="2">
        <f>VLOOKUP(B339, Course!$A$2:$L$950, 8, FALSE)</f>
        <v>12</v>
      </c>
      <c r="H339" s="2">
        <v>3</v>
      </c>
      <c r="I339" s="2">
        <v>1</v>
      </c>
      <c r="K339" s="2" t="s">
        <v>1915</v>
      </c>
      <c r="L339" s="2" t="str">
        <f>VLOOKUP(B339, Course!$A$1:$O$933, 14, FALSE)</f>
        <v>BR</v>
      </c>
      <c r="M339" s="2">
        <v>1</v>
      </c>
    </row>
    <row r="340" spans="1:13" ht="15.75" hidden="1" customHeight="1" x14ac:dyDescent="0.2">
      <c r="A340" s="2">
        <v>339</v>
      </c>
      <c r="B340" s="2">
        <v>29</v>
      </c>
      <c r="C340" s="2">
        <v>40</v>
      </c>
      <c r="D340" s="2" t="s">
        <v>484</v>
      </c>
      <c r="E340" s="2" t="str">
        <f t="shared" si="1"/>
        <v>1240BR03PT</v>
      </c>
      <c r="F340" s="2">
        <f>VLOOKUP(B340,Course!$A$2:$R$329,2,FALSE)</f>
        <v>0</v>
      </c>
      <c r="G340" s="2">
        <f>VLOOKUP(B340, Course!$A$2:$L$950, 8, FALSE)</f>
        <v>12</v>
      </c>
      <c r="H340" s="2">
        <v>3</v>
      </c>
      <c r="I340" s="2">
        <v>1</v>
      </c>
      <c r="K340" s="2" t="s">
        <v>1915</v>
      </c>
      <c r="L340" s="2" t="str">
        <f>VLOOKUP(B340, Course!$A$1:$O$933, 14, FALSE)</f>
        <v>BR</v>
      </c>
      <c r="M340" s="2">
        <v>1</v>
      </c>
    </row>
    <row r="341" spans="1:13" ht="15.75" hidden="1" customHeight="1" x14ac:dyDescent="0.2">
      <c r="A341" s="2">
        <v>340</v>
      </c>
      <c r="B341" s="2">
        <v>29</v>
      </c>
      <c r="C341" s="2">
        <v>41</v>
      </c>
      <c r="D341" s="2" t="s">
        <v>484</v>
      </c>
      <c r="E341" s="2" t="str">
        <f t="shared" si="1"/>
        <v>1241BR03PT</v>
      </c>
      <c r="F341" s="2">
        <f>VLOOKUP(B341,Course!$A$2:$R$329,2,FALSE)</f>
        <v>0</v>
      </c>
      <c r="G341" s="2">
        <f>VLOOKUP(B341, Course!$A$2:$L$950, 8, FALSE)</f>
        <v>12</v>
      </c>
      <c r="H341" s="2">
        <v>3</v>
      </c>
      <c r="I341" s="2">
        <v>1</v>
      </c>
      <c r="K341" s="2" t="s">
        <v>1915</v>
      </c>
      <c r="L341" s="2" t="str">
        <f>VLOOKUP(B341, Course!$A$1:$O$933, 14, FALSE)</f>
        <v>BR</v>
      </c>
      <c r="M341" s="2">
        <v>1</v>
      </c>
    </row>
    <row r="342" spans="1:13" ht="15.75" hidden="1" customHeight="1" x14ac:dyDescent="0.2">
      <c r="A342" s="2">
        <v>341</v>
      </c>
      <c r="B342" s="2">
        <v>29</v>
      </c>
      <c r="C342" s="2">
        <v>42</v>
      </c>
      <c r="D342" s="2" t="s">
        <v>484</v>
      </c>
      <c r="E342" s="2" t="str">
        <f t="shared" si="1"/>
        <v>1242BR03PT</v>
      </c>
      <c r="F342" s="2">
        <f>VLOOKUP(B342,Course!$A$2:$R$329,2,FALSE)</f>
        <v>0</v>
      </c>
      <c r="G342" s="2">
        <f>VLOOKUP(B342, Course!$A$2:$L$950, 8, FALSE)</f>
        <v>12</v>
      </c>
      <c r="H342" s="2">
        <v>3</v>
      </c>
      <c r="I342" s="2">
        <v>1</v>
      </c>
      <c r="K342" s="2" t="s">
        <v>1915</v>
      </c>
      <c r="L342" s="2" t="str">
        <f>VLOOKUP(B342, Course!$A$1:$O$933, 14, FALSE)</f>
        <v>BR</v>
      </c>
      <c r="M342" s="2">
        <v>1</v>
      </c>
    </row>
    <row r="343" spans="1:13" ht="15.75" hidden="1" customHeight="1" x14ac:dyDescent="0.2">
      <c r="A343" s="2">
        <v>342</v>
      </c>
      <c r="B343" s="2">
        <v>29</v>
      </c>
      <c r="C343" s="2">
        <v>43</v>
      </c>
      <c r="D343" s="2" t="s">
        <v>484</v>
      </c>
      <c r="E343" s="2" t="str">
        <f t="shared" si="1"/>
        <v>1243BR03PT</v>
      </c>
      <c r="F343" s="2">
        <f>VLOOKUP(B343,Course!$A$2:$R$329,2,FALSE)</f>
        <v>0</v>
      </c>
      <c r="G343" s="2">
        <f>VLOOKUP(B343, Course!$A$2:$L$950, 8, FALSE)</f>
        <v>12</v>
      </c>
      <c r="H343" s="2">
        <v>3</v>
      </c>
      <c r="I343" s="2">
        <v>1</v>
      </c>
      <c r="K343" s="2" t="s">
        <v>1915</v>
      </c>
      <c r="L343" s="2" t="str">
        <f>VLOOKUP(B343, Course!$A$1:$O$933, 14, FALSE)</f>
        <v>BR</v>
      </c>
      <c r="M343" s="2">
        <v>1</v>
      </c>
    </row>
    <row r="344" spans="1:13" ht="15.75" hidden="1" customHeight="1" x14ac:dyDescent="0.2">
      <c r="A344" s="2">
        <v>343</v>
      </c>
      <c r="B344" s="2">
        <v>29</v>
      </c>
      <c r="C344" s="2">
        <v>44</v>
      </c>
      <c r="D344" s="2" t="s">
        <v>484</v>
      </c>
      <c r="E344" s="2" t="str">
        <f t="shared" si="1"/>
        <v>1244BR03PT</v>
      </c>
      <c r="F344" s="2">
        <f>VLOOKUP(B344,Course!$A$2:$R$329,2,FALSE)</f>
        <v>0</v>
      </c>
      <c r="G344" s="2">
        <f>VLOOKUP(B344, Course!$A$2:$L$950, 8, FALSE)</f>
        <v>12</v>
      </c>
      <c r="H344" s="2">
        <v>3</v>
      </c>
      <c r="I344" s="2">
        <v>1</v>
      </c>
      <c r="K344" s="2" t="s">
        <v>1915</v>
      </c>
      <c r="L344" s="2" t="str">
        <f>VLOOKUP(B344, Course!$A$1:$O$933, 14, FALSE)</f>
        <v>BR</v>
      </c>
      <c r="M344" s="2">
        <v>1</v>
      </c>
    </row>
    <row r="345" spans="1:13" ht="15.75" hidden="1" customHeight="1" x14ac:dyDescent="0.2">
      <c r="A345" s="2">
        <v>344</v>
      </c>
      <c r="B345" s="2">
        <v>29</v>
      </c>
      <c r="C345" s="2">
        <v>45</v>
      </c>
      <c r="D345" s="2" t="s">
        <v>484</v>
      </c>
      <c r="E345" s="2" t="str">
        <f t="shared" si="1"/>
        <v>1245BR03PT</v>
      </c>
      <c r="F345" s="2">
        <f>VLOOKUP(B345,Course!$A$2:$R$329,2,FALSE)</f>
        <v>0</v>
      </c>
      <c r="G345" s="2">
        <f>VLOOKUP(B345, Course!$A$2:$L$950, 8, FALSE)</f>
        <v>12</v>
      </c>
      <c r="H345" s="2">
        <v>3</v>
      </c>
      <c r="I345" s="2">
        <v>1</v>
      </c>
      <c r="K345" s="2" t="s">
        <v>1915</v>
      </c>
      <c r="L345" s="2" t="str">
        <f>VLOOKUP(B345, Course!$A$1:$O$933, 14, FALSE)</f>
        <v>BR</v>
      </c>
      <c r="M345" s="2">
        <v>1</v>
      </c>
    </row>
    <row r="346" spans="1:13" ht="15.75" hidden="1" customHeight="1" x14ac:dyDescent="0.2">
      <c r="A346" s="2">
        <v>345</v>
      </c>
      <c r="B346" s="2">
        <v>29</v>
      </c>
      <c r="C346" s="2">
        <v>46</v>
      </c>
      <c r="D346" s="2" t="s">
        <v>484</v>
      </c>
      <c r="E346" s="2" t="str">
        <f t="shared" si="1"/>
        <v>1246BR03PT</v>
      </c>
      <c r="F346" s="2">
        <f>VLOOKUP(B346,Course!$A$2:$R$329,2,FALSE)</f>
        <v>0</v>
      </c>
      <c r="G346" s="2">
        <f>VLOOKUP(B346, Course!$A$2:$L$950, 8, FALSE)</f>
        <v>12</v>
      </c>
      <c r="H346" s="2">
        <v>3</v>
      </c>
      <c r="I346" s="2">
        <v>1</v>
      </c>
      <c r="K346" s="2" t="s">
        <v>1915</v>
      </c>
      <c r="L346" s="2" t="str">
        <f>VLOOKUP(B346, Course!$A$1:$O$933, 14, FALSE)</f>
        <v>BR</v>
      </c>
      <c r="M346" s="2">
        <v>1</v>
      </c>
    </row>
    <row r="347" spans="1:13" ht="15.75" hidden="1" customHeight="1" x14ac:dyDescent="0.2">
      <c r="A347" s="2">
        <v>346</v>
      </c>
      <c r="B347" s="2">
        <v>29</v>
      </c>
      <c r="C347" s="2">
        <v>47</v>
      </c>
      <c r="D347" s="2" t="s">
        <v>484</v>
      </c>
      <c r="E347" s="2" t="str">
        <f t="shared" si="1"/>
        <v>1247BR03PT</v>
      </c>
      <c r="F347" s="2">
        <f>VLOOKUP(B347,Course!$A$2:$R$329,2,FALSE)</f>
        <v>0</v>
      </c>
      <c r="G347" s="2">
        <f>VLOOKUP(B347, Course!$A$2:$L$950, 8, FALSE)</f>
        <v>12</v>
      </c>
      <c r="H347" s="2">
        <v>3</v>
      </c>
      <c r="I347" s="2">
        <v>1</v>
      </c>
      <c r="K347" s="2" t="s">
        <v>1915</v>
      </c>
      <c r="L347" s="2" t="str">
        <f>VLOOKUP(B347, Course!$A$1:$O$933, 14, FALSE)</f>
        <v>BR</v>
      </c>
      <c r="M347" s="2">
        <v>1</v>
      </c>
    </row>
    <row r="348" spans="1:13" ht="15.75" hidden="1" customHeight="1" x14ac:dyDescent="0.2">
      <c r="A348" s="2">
        <v>347</v>
      </c>
      <c r="B348" s="2">
        <v>29</v>
      </c>
      <c r="C348" s="2">
        <v>48</v>
      </c>
      <c r="D348" s="2" t="s">
        <v>484</v>
      </c>
      <c r="E348" s="2" t="str">
        <f t="shared" si="1"/>
        <v>1248BR03PT</v>
      </c>
      <c r="F348" s="2">
        <f>VLOOKUP(B348,Course!$A$2:$R$329,2,FALSE)</f>
        <v>0</v>
      </c>
      <c r="G348" s="2">
        <f>VLOOKUP(B348, Course!$A$2:$L$950, 8, FALSE)</f>
        <v>12</v>
      </c>
      <c r="H348" s="2">
        <v>3</v>
      </c>
      <c r="I348" s="2">
        <v>1</v>
      </c>
      <c r="K348" s="2" t="s">
        <v>1915</v>
      </c>
      <c r="L348" s="2" t="str">
        <f>VLOOKUP(B348, Course!$A$1:$O$933, 14, FALSE)</f>
        <v>BR</v>
      </c>
      <c r="M348" s="2">
        <v>1</v>
      </c>
    </row>
    <row r="349" spans="1:13" ht="15.75" hidden="1" customHeight="1" x14ac:dyDescent="0.2">
      <c r="A349" s="2">
        <v>348</v>
      </c>
      <c r="B349" s="2">
        <v>30</v>
      </c>
      <c r="C349" s="2">
        <v>49</v>
      </c>
      <c r="D349" s="2" t="s">
        <v>369</v>
      </c>
      <c r="E349" s="2" t="str">
        <f t="shared" si="1"/>
        <v>1249MA03PT</v>
      </c>
      <c r="F349" s="2">
        <f>VLOOKUP(B349,Course!$A$2:$R$329,2,FALSE)</f>
        <v>0</v>
      </c>
      <c r="G349" s="2">
        <f>VLOOKUP(B349, Course!$A$2:$L$950, 8, FALSE)</f>
        <v>12</v>
      </c>
      <c r="H349" s="2">
        <v>3</v>
      </c>
      <c r="I349" s="2">
        <v>1</v>
      </c>
      <c r="K349" s="2" t="s">
        <v>1915</v>
      </c>
      <c r="L349" s="2" t="str">
        <f>VLOOKUP(B349, Course!$A$1:$O$933, 14, FALSE)</f>
        <v>MA</v>
      </c>
      <c r="M349" s="2">
        <v>1</v>
      </c>
    </row>
    <row r="350" spans="1:13" ht="15.75" hidden="1" customHeight="1" x14ac:dyDescent="0.2">
      <c r="A350" s="2">
        <v>349</v>
      </c>
      <c r="B350" s="2">
        <v>30</v>
      </c>
      <c r="C350" s="2">
        <v>50</v>
      </c>
      <c r="D350" s="2" t="s">
        <v>369</v>
      </c>
      <c r="E350" s="2" t="str">
        <f t="shared" si="1"/>
        <v>1250MA03PT</v>
      </c>
      <c r="F350" s="2">
        <f>VLOOKUP(B350,Course!$A$2:$R$329,2,FALSE)</f>
        <v>0</v>
      </c>
      <c r="G350" s="2">
        <f>VLOOKUP(B350, Course!$A$2:$L$950, 8, FALSE)</f>
        <v>12</v>
      </c>
      <c r="H350" s="2">
        <v>3</v>
      </c>
      <c r="I350" s="2">
        <v>1</v>
      </c>
      <c r="K350" s="2" t="s">
        <v>1915</v>
      </c>
      <c r="L350" s="2" t="str">
        <f>VLOOKUP(B350, Course!$A$1:$O$933, 14, FALSE)</f>
        <v>MA</v>
      </c>
      <c r="M350" s="2">
        <v>1</v>
      </c>
    </row>
    <row r="351" spans="1:13" ht="15.75" hidden="1" customHeight="1" x14ac:dyDescent="0.2">
      <c r="A351" s="2">
        <v>350</v>
      </c>
      <c r="B351" s="2">
        <v>30</v>
      </c>
      <c r="C351" s="2">
        <v>51</v>
      </c>
      <c r="D351" s="2" t="s">
        <v>369</v>
      </c>
      <c r="E351" s="2" t="str">
        <f t="shared" si="1"/>
        <v>1251MA03PT</v>
      </c>
      <c r="F351" s="2">
        <f>VLOOKUP(B351,Course!$A$2:$R$329,2,FALSE)</f>
        <v>0</v>
      </c>
      <c r="G351" s="2">
        <f>VLOOKUP(B351, Course!$A$2:$L$950, 8, FALSE)</f>
        <v>12</v>
      </c>
      <c r="H351" s="2">
        <v>3</v>
      </c>
      <c r="I351" s="2">
        <v>1</v>
      </c>
      <c r="K351" s="2" t="s">
        <v>1915</v>
      </c>
      <c r="L351" s="2" t="str">
        <f>VLOOKUP(B351, Course!$A$1:$O$933, 14, FALSE)</f>
        <v>MA</v>
      </c>
      <c r="M351" s="2">
        <v>1</v>
      </c>
    </row>
    <row r="352" spans="1:13" ht="15.75" hidden="1" customHeight="1" x14ac:dyDescent="0.2">
      <c r="A352" s="2">
        <v>351</v>
      </c>
      <c r="B352" s="2">
        <v>30</v>
      </c>
      <c r="C352" s="2">
        <v>52</v>
      </c>
      <c r="D352" s="2" t="s">
        <v>369</v>
      </c>
      <c r="E352" s="2" t="str">
        <f t="shared" si="1"/>
        <v>1252MA03PT</v>
      </c>
      <c r="F352" s="2">
        <f>VLOOKUP(B352,Course!$A$2:$R$329,2,FALSE)</f>
        <v>0</v>
      </c>
      <c r="G352" s="2">
        <f>VLOOKUP(B352, Course!$A$2:$L$950, 8, FALSE)</f>
        <v>12</v>
      </c>
      <c r="H352" s="2">
        <v>3</v>
      </c>
      <c r="I352" s="2">
        <v>1</v>
      </c>
      <c r="K352" s="2" t="s">
        <v>1915</v>
      </c>
      <c r="L352" s="2" t="str">
        <f>VLOOKUP(B352, Course!$A$1:$O$933, 14, FALSE)</f>
        <v>MA</v>
      </c>
      <c r="M352" s="2">
        <v>1</v>
      </c>
    </row>
    <row r="353" spans="1:13" ht="15.75" hidden="1" customHeight="1" x14ac:dyDescent="0.2">
      <c r="A353" s="2">
        <v>352</v>
      </c>
      <c r="B353" s="2">
        <v>30</v>
      </c>
      <c r="C353" s="2">
        <v>53</v>
      </c>
      <c r="D353" s="2" t="s">
        <v>369</v>
      </c>
      <c r="E353" s="2" t="str">
        <f t="shared" si="1"/>
        <v>1253MA03PT</v>
      </c>
      <c r="F353" s="2">
        <f>VLOOKUP(B353,Course!$A$2:$R$329,2,FALSE)</f>
        <v>0</v>
      </c>
      <c r="G353" s="2">
        <f>VLOOKUP(B353, Course!$A$2:$L$950, 8, FALSE)</f>
        <v>12</v>
      </c>
      <c r="H353" s="2">
        <v>3</v>
      </c>
      <c r="I353" s="2">
        <v>1</v>
      </c>
      <c r="K353" s="2" t="s">
        <v>1915</v>
      </c>
      <c r="L353" s="2" t="str">
        <f>VLOOKUP(B353, Course!$A$1:$O$933, 14, FALSE)</f>
        <v>MA</v>
      </c>
      <c r="M353" s="2">
        <v>1</v>
      </c>
    </row>
    <row r="354" spans="1:13" ht="15.75" hidden="1" customHeight="1" x14ac:dyDescent="0.2">
      <c r="A354" s="2">
        <v>353</v>
      </c>
      <c r="B354" s="2">
        <v>30</v>
      </c>
      <c r="C354" s="2">
        <v>54</v>
      </c>
      <c r="D354" s="2" t="s">
        <v>369</v>
      </c>
      <c r="E354" s="2" t="str">
        <f t="shared" si="1"/>
        <v>1254MA03PT</v>
      </c>
      <c r="F354" s="2">
        <f>VLOOKUP(B354,Course!$A$2:$R$329,2,FALSE)</f>
        <v>0</v>
      </c>
      <c r="G354" s="2">
        <f>VLOOKUP(B354, Course!$A$2:$L$950, 8, FALSE)</f>
        <v>12</v>
      </c>
      <c r="H354" s="2">
        <v>3</v>
      </c>
      <c r="I354" s="2">
        <v>1</v>
      </c>
      <c r="K354" s="2" t="s">
        <v>1915</v>
      </c>
      <c r="L354" s="2" t="str">
        <f>VLOOKUP(B354, Course!$A$1:$O$933, 14, FALSE)</f>
        <v>MA</v>
      </c>
      <c r="M354" s="2">
        <v>1</v>
      </c>
    </row>
    <row r="355" spans="1:13" ht="15.75" hidden="1" customHeight="1" x14ac:dyDescent="0.2">
      <c r="A355" s="2">
        <v>354</v>
      </c>
      <c r="B355" s="2">
        <v>30</v>
      </c>
      <c r="C355" s="2">
        <v>55</v>
      </c>
      <c r="D355" s="2" t="s">
        <v>369</v>
      </c>
      <c r="E355" s="2" t="str">
        <f t="shared" si="1"/>
        <v>1255MA03PT</v>
      </c>
      <c r="F355" s="2">
        <f>VLOOKUP(B355,Course!$A$2:$R$329,2,FALSE)</f>
        <v>0</v>
      </c>
      <c r="G355" s="2">
        <f>VLOOKUP(B355, Course!$A$2:$L$950, 8, FALSE)</f>
        <v>12</v>
      </c>
      <c r="H355" s="2">
        <v>3</v>
      </c>
      <c r="I355" s="2">
        <v>1</v>
      </c>
      <c r="K355" s="2" t="s">
        <v>1915</v>
      </c>
      <c r="L355" s="2" t="str">
        <f>VLOOKUP(B355, Course!$A$1:$O$933, 14, FALSE)</f>
        <v>MA</v>
      </c>
      <c r="M355" s="2">
        <v>1</v>
      </c>
    </row>
    <row r="356" spans="1:13" ht="15.75" hidden="1" customHeight="1" x14ac:dyDescent="0.2">
      <c r="A356" s="2">
        <v>355</v>
      </c>
      <c r="B356" s="2">
        <v>30</v>
      </c>
      <c r="C356" s="2">
        <v>56</v>
      </c>
      <c r="D356" s="2" t="s">
        <v>369</v>
      </c>
      <c r="E356" s="2" t="str">
        <f t="shared" si="1"/>
        <v>1256MA03PT</v>
      </c>
      <c r="F356" s="2">
        <f>VLOOKUP(B356,Course!$A$2:$R$329,2,FALSE)</f>
        <v>0</v>
      </c>
      <c r="G356" s="2">
        <f>VLOOKUP(B356, Course!$A$2:$L$950, 8, FALSE)</f>
        <v>12</v>
      </c>
      <c r="H356" s="2">
        <v>3</v>
      </c>
      <c r="I356" s="2">
        <v>1</v>
      </c>
      <c r="K356" s="2" t="s">
        <v>1915</v>
      </c>
      <c r="L356" s="2" t="str">
        <f>VLOOKUP(B356, Course!$A$1:$O$933, 14, FALSE)</f>
        <v>MA</v>
      </c>
      <c r="M356" s="2">
        <v>1</v>
      </c>
    </row>
    <row r="357" spans="1:13" ht="15.75" hidden="1" customHeight="1" x14ac:dyDescent="0.2">
      <c r="A357" s="2">
        <v>356</v>
      </c>
      <c r="B357" s="2">
        <v>30</v>
      </c>
      <c r="C357" s="2">
        <v>57</v>
      </c>
      <c r="D357" s="2" t="s">
        <v>369</v>
      </c>
      <c r="E357" s="2" t="str">
        <f t="shared" si="1"/>
        <v>1257MA03PT</v>
      </c>
      <c r="F357" s="2">
        <f>VLOOKUP(B357,Course!$A$2:$R$329,2,FALSE)</f>
        <v>0</v>
      </c>
      <c r="G357" s="2">
        <f>VLOOKUP(B357, Course!$A$2:$L$950, 8, FALSE)</f>
        <v>12</v>
      </c>
      <c r="H357" s="2">
        <v>3</v>
      </c>
      <c r="I357" s="2">
        <v>1</v>
      </c>
      <c r="K357" s="2" t="s">
        <v>1915</v>
      </c>
      <c r="L357" s="2" t="str">
        <f>VLOOKUP(B357, Course!$A$1:$O$933, 14, FALSE)</f>
        <v>MA</v>
      </c>
      <c r="M357" s="2">
        <v>1</v>
      </c>
    </row>
    <row r="358" spans="1:13" ht="15.75" hidden="1" customHeight="1" x14ac:dyDescent="0.2">
      <c r="A358" s="2">
        <v>357</v>
      </c>
      <c r="B358" s="2">
        <v>30</v>
      </c>
      <c r="C358" s="2">
        <v>58</v>
      </c>
      <c r="D358" s="2" t="s">
        <v>369</v>
      </c>
      <c r="E358" s="2" t="str">
        <f t="shared" si="1"/>
        <v>1258MA03PT</v>
      </c>
      <c r="F358" s="2">
        <f>VLOOKUP(B358,Course!$A$2:$R$329,2,FALSE)</f>
        <v>0</v>
      </c>
      <c r="G358" s="2">
        <f>VLOOKUP(B358, Course!$A$2:$L$950, 8, FALSE)</f>
        <v>12</v>
      </c>
      <c r="H358" s="2">
        <v>3</v>
      </c>
      <c r="I358" s="2">
        <v>1</v>
      </c>
      <c r="K358" s="2" t="s">
        <v>1915</v>
      </c>
      <c r="L358" s="2" t="str">
        <f>VLOOKUP(B358, Course!$A$1:$O$933, 14, FALSE)</f>
        <v>MA</v>
      </c>
      <c r="M358" s="2">
        <v>1</v>
      </c>
    </row>
    <row r="359" spans="1:13" ht="15.75" hidden="1" customHeight="1" x14ac:dyDescent="0.2">
      <c r="A359" s="2">
        <v>358</v>
      </c>
      <c r="B359" s="2">
        <v>30</v>
      </c>
      <c r="C359" s="2">
        <v>59</v>
      </c>
      <c r="D359" s="2" t="s">
        <v>369</v>
      </c>
      <c r="E359" s="2" t="str">
        <f t="shared" si="1"/>
        <v>1259MA03PT</v>
      </c>
      <c r="F359" s="2">
        <f>VLOOKUP(B359,Course!$A$2:$R$329,2,FALSE)</f>
        <v>0</v>
      </c>
      <c r="G359" s="2">
        <f>VLOOKUP(B359, Course!$A$2:$L$950, 8, FALSE)</f>
        <v>12</v>
      </c>
      <c r="H359" s="2">
        <v>3</v>
      </c>
      <c r="I359" s="2">
        <v>1</v>
      </c>
      <c r="K359" s="2" t="s">
        <v>1915</v>
      </c>
      <c r="L359" s="2" t="str">
        <f>VLOOKUP(B359, Course!$A$1:$O$933, 14, FALSE)</f>
        <v>MA</v>
      </c>
      <c r="M359" s="2">
        <v>1</v>
      </c>
    </row>
    <row r="360" spans="1:13" ht="15.75" hidden="1" customHeight="1" x14ac:dyDescent="0.2">
      <c r="A360" s="2">
        <v>359</v>
      </c>
      <c r="B360" s="2">
        <v>30</v>
      </c>
      <c r="C360" s="2">
        <v>60</v>
      </c>
      <c r="D360" s="2" t="s">
        <v>369</v>
      </c>
      <c r="E360" s="2" t="str">
        <f t="shared" si="1"/>
        <v>1260MA03PT</v>
      </c>
      <c r="F360" s="2">
        <f>VLOOKUP(B360,Course!$A$2:$R$329,2,FALSE)</f>
        <v>0</v>
      </c>
      <c r="G360" s="2">
        <f>VLOOKUP(B360, Course!$A$2:$L$950, 8, FALSE)</f>
        <v>12</v>
      </c>
      <c r="H360" s="2">
        <v>3</v>
      </c>
      <c r="I360" s="2">
        <v>1</v>
      </c>
      <c r="K360" s="2" t="s">
        <v>1915</v>
      </c>
      <c r="L360" s="2" t="str">
        <f>VLOOKUP(B360, Course!$A$1:$O$933, 14, FALSE)</f>
        <v>MA</v>
      </c>
      <c r="M360" s="2">
        <v>1</v>
      </c>
    </row>
    <row r="361" spans="1:13" ht="15.75" hidden="1" customHeight="1" x14ac:dyDescent="0.2">
      <c r="A361" s="2">
        <v>360</v>
      </c>
      <c r="B361" s="2">
        <v>31</v>
      </c>
      <c r="C361" s="2">
        <v>49</v>
      </c>
      <c r="D361" s="2" t="s">
        <v>476</v>
      </c>
      <c r="E361" s="2" t="str">
        <f t="shared" si="1"/>
        <v>1249EN03PT</v>
      </c>
      <c r="F361" s="2">
        <f>VLOOKUP(B361,Course!$A$2:$R$329,2,FALSE)</f>
        <v>0</v>
      </c>
      <c r="G361" s="2">
        <f>VLOOKUP(B361, Course!$A$2:$L$950, 8, FALSE)</f>
        <v>12</v>
      </c>
      <c r="H361" s="2">
        <v>3</v>
      </c>
      <c r="I361" s="2">
        <v>1</v>
      </c>
      <c r="K361" s="2" t="s">
        <v>1915</v>
      </c>
      <c r="L361" s="2" t="str">
        <f>VLOOKUP(B361, Course!$A$1:$O$933, 14, FALSE)</f>
        <v>EN</v>
      </c>
      <c r="M361" s="2">
        <v>1</v>
      </c>
    </row>
    <row r="362" spans="1:13" ht="15.75" hidden="1" customHeight="1" x14ac:dyDescent="0.2">
      <c r="A362" s="2">
        <v>361</v>
      </c>
      <c r="B362" s="2">
        <v>31</v>
      </c>
      <c r="C362" s="2">
        <v>50</v>
      </c>
      <c r="D362" s="2" t="s">
        <v>476</v>
      </c>
      <c r="E362" s="2" t="str">
        <f t="shared" si="1"/>
        <v>1250EN03PT</v>
      </c>
      <c r="F362" s="2">
        <f>VLOOKUP(B362,Course!$A$2:$R$329,2,FALSE)</f>
        <v>0</v>
      </c>
      <c r="G362" s="2">
        <f>VLOOKUP(B362, Course!$A$2:$L$950, 8, FALSE)</f>
        <v>12</v>
      </c>
      <c r="H362" s="2">
        <v>3</v>
      </c>
      <c r="I362" s="2">
        <v>1</v>
      </c>
      <c r="K362" s="2" t="s">
        <v>1915</v>
      </c>
      <c r="L362" s="2" t="str">
        <f>VLOOKUP(B362, Course!$A$1:$O$933, 14, FALSE)</f>
        <v>EN</v>
      </c>
      <c r="M362" s="2">
        <v>1</v>
      </c>
    </row>
    <row r="363" spans="1:13" ht="15.75" hidden="1" customHeight="1" x14ac:dyDescent="0.2">
      <c r="A363" s="2">
        <v>362</v>
      </c>
      <c r="B363" s="2">
        <v>31</v>
      </c>
      <c r="C363" s="2">
        <v>51</v>
      </c>
      <c r="D363" s="2" t="s">
        <v>476</v>
      </c>
      <c r="E363" s="2" t="str">
        <f t="shared" si="1"/>
        <v>1251EN03PT</v>
      </c>
      <c r="F363" s="2">
        <f>VLOOKUP(B363,Course!$A$2:$R$329,2,FALSE)</f>
        <v>0</v>
      </c>
      <c r="G363" s="2">
        <f>VLOOKUP(B363, Course!$A$2:$L$950, 8, FALSE)</f>
        <v>12</v>
      </c>
      <c r="H363" s="2">
        <v>3</v>
      </c>
      <c r="I363" s="2">
        <v>1</v>
      </c>
      <c r="K363" s="2" t="s">
        <v>1915</v>
      </c>
      <c r="L363" s="2" t="str">
        <f>VLOOKUP(B363, Course!$A$1:$O$933, 14, FALSE)</f>
        <v>EN</v>
      </c>
      <c r="M363" s="2">
        <v>1</v>
      </c>
    </row>
    <row r="364" spans="1:13" ht="15.75" hidden="1" customHeight="1" x14ac:dyDescent="0.2">
      <c r="A364" s="2">
        <v>363</v>
      </c>
      <c r="B364" s="2">
        <v>31</v>
      </c>
      <c r="C364" s="2">
        <v>52</v>
      </c>
      <c r="D364" s="2" t="s">
        <v>476</v>
      </c>
      <c r="E364" s="2" t="str">
        <f t="shared" si="1"/>
        <v>1252EN03PT</v>
      </c>
      <c r="F364" s="2">
        <f>VLOOKUP(B364,Course!$A$2:$R$329,2,FALSE)</f>
        <v>0</v>
      </c>
      <c r="G364" s="2">
        <f>VLOOKUP(B364, Course!$A$2:$L$950, 8, FALSE)</f>
        <v>12</v>
      </c>
      <c r="H364" s="2">
        <v>3</v>
      </c>
      <c r="I364" s="2">
        <v>1</v>
      </c>
      <c r="K364" s="2" t="s">
        <v>1915</v>
      </c>
      <c r="L364" s="2" t="str">
        <f>VLOOKUP(B364, Course!$A$1:$O$933, 14, FALSE)</f>
        <v>EN</v>
      </c>
      <c r="M364" s="2">
        <v>1</v>
      </c>
    </row>
    <row r="365" spans="1:13" ht="15.75" hidden="1" customHeight="1" x14ac:dyDescent="0.2">
      <c r="A365" s="2">
        <v>364</v>
      </c>
      <c r="B365" s="2">
        <v>31</v>
      </c>
      <c r="C365" s="2">
        <v>53</v>
      </c>
      <c r="D365" s="2" t="s">
        <v>476</v>
      </c>
      <c r="E365" s="2" t="str">
        <f t="shared" si="1"/>
        <v>1253EN03PT</v>
      </c>
      <c r="F365" s="2">
        <f>VLOOKUP(B365,Course!$A$2:$R$329,2,FALSE)</f>
        <v>0</v>
      </c>
      <c r="G365" s="2">
        <f>VLOOKUP(B365, Course!$A$2:$L$950, 8, FALSE)</f>
        <v>12</v>
      </c>
      <c r="H365" s="2">
        <v>3</v>
      </c>
      <c r="I365" s="2">
        <v>1</v>
      </c>
      <c r="K365" s="2" t="s">
        <v>1915</v>
      </c>
      <c r="L365" s="2" t="str">
        <f>VLOOKUP(B365, Course!$A$1:$O$933, 14, FALSE)</f>
        <v>EN</v>
      </c>
      <c r="M365" s="2">
        <v>1</v>
      </c>
    </row>
    <row r="366" spans="1:13" ht="15.75" hidden="1" customHeight="1" x14ac:dyDescent="0.2">
      <c r="A366" s="2">
        <v>365</v>
      </c>
      <c r="B366" s="2">
        <v>31</v>
      </c>
      <c r="C366" s="2">
        <v>54</v>
      </c>
      <c r="D366" s="2" t="s">
        <v>476</v>
      </c>
      <c r="E366" s="2" t="str">
        <f t="shared" si="1"/>
        <v>1254EN03PT</v>
      </c>
      <c r="F366" s="2">
        <f>VLOOKUP(B366,Course!$A$2:$R$329,2,FALSE)</f>
        <v>0</v>
      </c>
      <c r="G366" s="2">
        <f>VLOOKUP(B366, Course!$A$2:$L$950, 8, FALSE)</f>
        <v>12</v>
      </c>
      <c r="H366" s="2">
        <v>3</v>
      </c>
      <c r="I366" s="2">
        <v>1</v>
      </c>
      <c r="K366" s="2" t="s">
        <v>1915</v>
      </c>
      <c r="L366" s="2" t="str">
        <f>VLOOKUP(B366, Course!$A$1:$O$933, 14, FALSE)</f>
        <v>EN</v>
      </c>
      <c r="M366" s="2">
        <v>1</v>
      </c>
    </row>
    <row r="367" spans="1:13" ht="15.75" hidden="1" customHeight="1" x14ac:dyDescent="0.2">
      <c r="A367" s="2">
        <v>366</v>
      </c>
      <c r="B367" s="2">
        <v>31</v>
      </c>
      <c r="C367" s="2">
        <v>55</v>
      </c>
      <c r="D367" s="2" t="s">
        <v>476</v>
      </c>
      <c r="E367" s="2" t="str">
        <f t="shared" si="1"/>
        <v>1255EN03PT</v>
      </c>
      <c r="F367" s="2">
        <f>VLOOKUP(B367,Course!$A$2:$R$329,2,FALSE)</f>
        <v>0</v>
      </c>
      <c r="G367" s="2">
        <f>VLOOKUP(B367, Course!$A$2:$L$950, 8, FALSE)</f>
        <v>12</v>
      </c>
      <c r="H367" s="2">
        <v>3</v>
      </c>
      <c r="I367" s="2">
        <v>1</v>
      </c>
      <c r="K367" s="2" t="s">
        <v>1915</v>
      </c>
      <c r="L367" s="2" t="str">
        <f>VLOOKUP(B367, Course!$A$1:$O$933, 14, FALSE)</f>
        <v>EN</v>
      </c>
      <c r="M367" s="2">
        <v>1</v>
      </c>
    </row>
    <row r="368" spans="1:13" ht="15.75" hidden="1" customHeight="1" x14ac:dyDescent="0.2">
      <c r="A368" s="2">
        <v>367</v>
      </c>
      <c r="B368" s="2">
        <v>31</v>
      </c>
      <c r="C368" s="2">
        <v>56</v>
      </c>
      <c r="D368" s="2" t="s">
        <v>476</v>
      </c>
      <c r="E368" s="2" t="str">
        <f t="shared" si="1"/>
        <v>1256EN03PT</v>
      </c>
      <c r="F368" s="2">
        <f>VLOOKUP(B368,Course!$A$2:$R$329,2,FALSE)</f>
        <v>0</v>
      </c>
      <c r="G368" s="2">
        <f>VLOOKUP(B368, Course!$A$2:$L$950, 8, FALSE)</f>
        <v>12</v>
      </c>
      <c r="H368" s="2">
        <v>3</v>
      </c>
      <c r="I368" s="2">
        <v>1</v>
      </c>
      <c r="K368" s="2" t="s">
        <v>1915</v>
      </c>
      <c r="L368" s="2" t="str">
        <f>VLOOKUP(B368, Course!$A$1:$O$933, 14, FALSE)</f>
        <v>EN</v>
      </c>
      <c r="M368" s="2">
        <v>1</v>
      </c>
    </row>
    <row r="369" spans="1:13" ht="15.75" hidden="1" customHeight="1" x14ac:dyDescent="0.2">
      <c r="A369" s="2">
        <v>368</v>
      </c>
      <c r="B369" s="2">
        <v>31</v>
      </c>
      <c r="C369" s="2">
        <v>57</v>
      </c>
      <c r="D369" s="2" t="s">
        <v>476</v>
      </c>
      <c r="E369" s="2" t="str">
        <f t="shared" si="1"/>
        <v>1257EN03PT</v>
      </c>
      <c r="F369" s="2">
        <f>VLOOKUP(B369,Course!$A$2:$R$329,2,FALSE)</f>
        <v>0</v>
      </c>
      <c r="G369" s="2">
        <f>VLOOKUP(B369, Course!$A$2:$L$950, 8, FALSE)</f>
        <v>12</v>
      </c>
      <c r="H369" s="2">
        <v>3</v>
      </c>
      <c r="I369" s="2">
        <v>1</v>
      </c>
      <c r="K369" s="2" t="s">
        <v>1915</v>
      </c>
      <c r="L369" s="2" t="str">
        <f>VLOOKUP(B369, Course!$A$1:$O$933, 14, FALSE)</f>
        <v>EN</v>
      </c>
      <c r="M369" s="2">
        <v>1</v>
      </c>
    </row>
    <row r="370" spans="1:13" ht="15.75" hidden="1" customHeight="1" x14ac:dyDescent="0.2">
      <c r="A370" s="2">
        <v>369</v>
      </c>
      <c r="B370" s="2">
        <v>31</v>
      </c>
      <c r="C370" s="2">
        <v>58</v>
      </c>
      <c r="D370" s="2" t="s">
        <v>476</v>
      </c>
      <c r="E370" s="2" t="str">
        <f t="shared" si="1"/>
        <v>1258EN03PT</v>
      </c>
      <c r="F370" s="2">
        <f>VLOOKUP(B370,Course!$A$2:$R$329,2,FALSE)</f>
        <v>0</v>
      </c>
      <c r="G370" s="2">
        <f>VLOOKUP(B370, Course!$A$2:$L$950, 8, FALSE)</f>
        <v>12</v>
      </c>
      <c r="H370" s="2">
        <v>3</v>
      </c>
      <c r="I370" s="2">
        <v>1</v>
      </c>
      <c r="K370" s="2" t="s">
        <v>1915</v>
      </c>
      <c r="L370" s="2" t="str">
        <f>VLOOKUP(B370, Course!$A$1:$O$933, 14, FALSE)</f>
        <v>EN</v>
      </c>
      <c r="M370" s="2">
        <v>1</v>
      </c>
    </row>
    <row r="371" spans="1:13" ht="15.75" hidden="1" customHeight="1" x14ac:dyDescent="0.2">
      <c r="A371" s="2">
        <v>370</v>
      </c>
      <c r="B371" s="2">
        <v>31</v>
      </c>
      <c r="C371" s="2">
        <v>59</v>
      </c>
      <c r="D371" s="2" t="s">
        <v>476</v>
      </c>
      <c r="E371" s="2" t="str">
        <f t="shared" si="1"/>
        <v>1259EN03PT</v>
      </c>
      <c r="F371" s="2">
        <f>VLOOKUP(B371,Course!$A$2:$R$329,2,FALSE)</f>
        <v>0</v>
      </c>
      <c r="G371" s="2">
        <f>VLOOKUP(B371, Course!$A$2:$L$950, 8, FALSE)</f>
        <v>12</v>
      </c>
      <c r="H371" s="2">
        <v>3</v>
      </c>
      <c r="I371" s="2">
        <v>1</v>
      </c>
      <c r="K371" s="2" t="s">
        <v>1915</v>
      </c>
      <c r="L371" s="2" t="str">
        <f>VLOOKUP(B371, Course!$A$1:$O$933, 14, FALSE)</f>
        <v>EN</v>
      </c>
      <c r="M371" s="2">
        <v>1</v>
      </c>
    </row>
    <row r="372" spans="1:13" ht="15.75" hidden="1" customHeight="1" x14ac:dyDescent="0.2">
      <c r="A372" s="2">
        <v>371</v>
      </c>
      <c r="B372" s="2">
        <v>31</v>
      </c>
      <c r="C372" s="2">
        <v>60</v>
      </c>
      <c r="D372" s="2" t="s">
        <v>476</v>
      </c>
      <c r="E372" s="2" t="str">
        <f t="shared" si="1"/>
        <v>1260EN03PT</v>
      </c>
      <c r="F372" s="2">
        <f>VLOOKUP(B372,Course!$A$2:$R$329,2,FALSE)</f>
        <v>0</v>
      </c>
      <c r="G372" s="2">
        <f>VLOOKUP(B372, Course!$A$2:$L$950, 8, FALSE)</f>
        <v>12</v>
      </c>
      <c r="H372" s="2">
        <v>3</v>
      </c>
      <c r="I372" s="2">
        <v>1</v>
      </c>
      <c r="K372" s="2" t="s">
        <v>1915</v>
      </c>
      <c r="L372" s="2" t="str">
        <f>VLOOKUP(B372, Course!$A$1:$O$933, 14, FALSE)</f>
        <v>EN</v>
      </c>
      <c r="M372" s="2">
        <v>1</v>
      </c>
    </row>
    <row r="373" spans="1:13" ht="15.75" hidden="1" customHeight="1" x14ac:dyDescent="0.2">
      <c r="A373" s="2">
        <v>372</v>
      </c>
      <c r="B373" s="2">
        <v>32</v>
      </c>
      <c r="C373" s="2">
        <v>49</v>
      </c>
      <c r="D373" s="2" t="s">
        <v>373</v>
      </c>
      <c r="E373" s="2" t="str">
        <f t="shared" si="1"/>
        <v>1249WB03PT</v>
      </c>
      <c r="F373" s="2">
        <f>VLOOKUP(B373,Course!$A$2:$R$329,2,FALSE)</f>
        <v>0</v>
      </c>
      <c r="G373" s="2">
        <f>VLOOKUP(B373, Course!$A$2:$L$950, 8, FALSE)</f>
        <v>12</v>
      </c>
      <c r="H373" s="2">
        <v>3</v>
      </c>
      <c r="I373" s="2">
        <v>1</v>
      </c>
      <c r="K373" s="2" t="s">
        <v>1915</v>
      </c>
      <c r="L373" s="2" t="str">
        <f>VLOOKUP(B373, Course!$A$1:$O$933, 14, FALSE)</f>
        <v>WB</v>
      </c>
      <c r="M373" s="2">
        <v>1</v>
      </c>
    </row>
    <row r="374" spans="1:13" ht="15.75" hidden="1" customHeight="1" x14ac:dyDescent="0.2">
      <c r="A374" s="2">
        <v>373</v>
      </c>
      <c r="B374" s="2">
        <v>32</v>
      </c>
      <c r="C374" s="2">
        <v>50</v>
      </c>
      <c r="D374" s="2" t="s">
        <v>373</v>
      </c>
      <c r="E374" s="2" t="str">
        <f t="shared" si="1"/>
        <v>1250WB03PT</v>
      </c>
      <c r="F374" s="2">
        <f>VLOOKUP(B374,Course!$A$2:$R$329,2,FALSE)</f>
        <v>0</v>
      </c>
      <c r="G374" s="2">
        <f>VLOOKUP(B374, Course!$A$2:$L$950, 8, FALSE)</f>
        <v>12</v>
      </c>
      <c r="H374" s="2">
        <v>3</v>
      </c>
      <c r="I374" s="2">
        <v>1</v>
      </c>
      <c r="K374" s="2" t="s">
        <v>1915</v>
      </c>
      <c r="L374" s="2" t="str">
        <f>VLOOKUP(B374, Course!$A$1:$O$933, 14, FALSE)</f>
        <v>WB</v>
      </c>
      <c r="M374" s="2">
        <v>1</v>
      </c>
    </row>
    <row r="375" spans="1:13" ht="15.75" hidden="1" customHeight="1" x14ac:dyDescent="0.2">
      <c r="A375" s="2">
        <v>374</v>
      </c>
      <c r="B375" s="2">
        <v>32</v>
      </c>
      <c r="C375" s="2">
        <v>51</v>
      </c>
      <c r="D375" s="2" t="s">
        <v>373</v>
      </c>
      <c r="E375" s="2" t="str">
        <f t="shared" si="1"/>
        <v>1251WB03PT</v>
      </c>
      <c r="F375" s="2">
        <f>VLOOKUP(B375,Course!$A$2:$R$329,2,FALSE)</f>
        <v>0</v>
      </c>
      <c r="G375" s="2">
        <f>VLOOKUP(B375, Course!$A$2:$L$950, 8, FALSE)</f>
        <v>12</v>
      </c>
      <c r="H375" s="2">
        <v>3</v>
      </c>
      <c r="I375" s="2">
        <v>1</v>
      </c>
      <c r="K375" s="2" t="s">
        <v>1915</v>
      </c>
      <c r="L375" s="2" t="str">
        <f>VLOOKUP(B375, Course!$A$1:$O$933, 14, FALSE)</f>
        <v>WB</v>
      </c>
      <c r="M375" s="2">
        <v>1</v>
      </c>
    </row>
    <row r="376" spans="1:13" ht="15.75" hidden="1" customHeight="1" x14ac:dyDescent="0.2">
      <c r="A376" s="2">
        <v>375</v>
      </c>
      <c r="B376" s="2">
        <v>32</v>
      </c>
      <c r="C376" s="2">
        <v>52</v>
      </c>
      <c r="D376" s="2" t="s">
        <v>373</v>
      </c>
      <c r="E376" s="2" t="str">
        <f t="shared" si="1"/>
        <v>1252WB03PT</v>
      </c>
      <c r="F376" s="2">
        <f>VLOOKUP(B376,Course!$A$2:$R$329,2,FALSE)</f>
        <v>0</v>
      </c>
      <c r="G376" s="2">
        <f>VLOOKUP(B376, Course!$A$2:$L$950, 8, FALSE)</f>
        <v>12</v>
      </c>
      <c r="H376" s="2">
        <v>3</v>
      </c>
      <c r="I376" s="2">
        <v>1</v>
      </c>
      <c r="K376" s="2" t="s">
        <v>1915</v>
      </c>
      <c r="L376" s="2" t="str">
        <f>VLOOKUP(B376, Course!$A$1:$O$933, 14, FALSE)</f>
        <v>WB</v>
      </c>
      <c r="M376" s="2">
        <v>1</v>
      </c>
    </row>
    <row r="377" spans="1:13" ht="15.75" hidden="1" customHeight="1" x14ac:dyDescent="0.2">
      <c r="A377" s="2">
        <v>376</v>
      </c>
      <c r="B377" s="2">
        <v>32</v>
      </c>
      <c r="C377" s="2">
        <v>53</v>
      </c>
      <c r="D377" s="2" t="s">
        <v>373</v>
      </c>
      <c r="E377" s="2" t="str">
        <f t="shared" si="1"/>
        <v>1253WB03PT</v>
      </c>
      <c r="F377" s="2">
        <f>VLOOKUP(B377,Course!$A$2:$R$329,2,FALSE)</f>
        <v>0</v>
      </c>
      <c r="G377" s="2">
        <f>VLOOKUP(B377, Course!$A$2:$L$950, 8, FALSE)</f>
        <v>12</v>
      </c>
      <c r="H377" s="2">
        <v>3</v>
      </c>
      <c r="I377" s="2">
        <v>1</v>
      </c>
      <c r="K377" s="2" t="s">
        <v>1915</v>
      </c>
      <c r="L377" s="2" t="str">
        <f>VLOOKUP(B377, Course!$A$1:$O$933, 14, FALSE)</f>
        <v>WB</v>
      </c>
      <c r="M377" s="2">
        <v>1</v>
      </c>
    </row>
    <row r="378" spans="1:13" ht="15.75" hidden="1" customHeight="1" x14ac:dyDescent="0.2">
      <c r="A378" s="2">
        <v>377</v>
      </c>
      <c r="B378" s="2">
        <v>32</v>
      </c>
      <c r="C378" s="2">
        <v>54</v>
      </c>
      <c r="D378" s="2" t="s">
        <v>373</v>
      </c>
      <c r="E378" s="2" t="str">
        <f t="shared" si="1"/>
        <v>1254WB03PT</v>
      </c>
      <c r="F378" s="2">
        <f>VLOOKUP(B378,Course!$A$2:$R$329,2,FALSE)</f>
        <v>0</v>
      </c>
      <c r="G378" s="2">
        <f>VLOOKUP(B378, Course!$A$2:$L$950, 8, FALSE)</f>
        <v>12</v>
      </c>
      <c r="H378" s="2">
        <v>3</v>
      </c>
      <c r="I378" s="2">
        <v>1</v>
      </c>
      <c r="K378" s="2" t="s">
        <v>1915</v>
      </c>
      <c r="L378" s="2" t="str">
        <f>VLOOKUP(B378, Course!$A$1:$O$933, 14, FALSE)</f>
        <v>WB</v>
      </c>
      <c r="M378" s="2">
        <v>1</v>
      </c>
    </row>
    <row r="379" spans="1:13" ht="15.75" hidden="1" customHeight="1" x14ac:dyDescent="0.2">
      <c r="A379" s="2">
        <v>378</v>
      </c>
      <c r="B379" s="2">
        <v>32</v>
      </c>
      <c r="C379" s="2">
        <v>55</v>
      </c>
      <c r="D379" s="2" t="s">
        <v>373</v>
      </c>
      <c r="E379" s="2" t="str">
        <f t="shared" si="1"/>
        <v>1255WB03PT</v>
      </c>
      <c r="F379" s="2">
        <f>VLOOKUP(B379,Course!$A$2:$R$329,2,FALSE)</f>
        <v>0</v>
      </c>
      <c r="G379" s="2">
        <f>VLOOKUP(B379, Course!$A$2:$L$950, 8, FALSE)</f>
        <v>12</v>
      </c>
      <c r="H379" s="2">
        <v>3</v>
      </c>
      <c r="I379" s="2">
        <v>1</v>
      </c>
      <c r="K379" s="2" t="s">
        <v>1915</v>
      </c>
      <c r="L379" s="2" t="str">
        <f>VLOOKUP(B379, Course!$A$1:$O$933, 14, FALSE)</f>
        <v>WB</v>
      </c>
      <c r="M379" s="2">
        <v>1</v>
      </c>
    </row>
    <row r="380" spans="1:13" ht="15.75" hidden="1" customHeight="1" x14ac:dyDescent="0.2">
      <c r="A380" s="2">
        <v>379</v>
      </c>
      <c r="B380" s="2">
        <v>32</v>
      </c>
      <c r="C380" s="2">
        <v>56</v>
      </c>
      <c r="D380" s="2" t="s">
        <v>373</v>
      </c>
      <c r="E380" s="2" t="str">
        <f t="shared" si="1"/>
        <v>1256WB03PT</v>
      </c>
      <c r="F380" s="2">
        <f>VLOOKUP(B380,Course!$A$2:$R$329,2,FALSE)</f>
        <v>0</v>
      </c>
      <c r="G380" s="2">
        <f>VLOOKUP(B380, Course!$A$2:$L$950, 8, FALSE)</f>
        <v>12</v>
      </c>
      <c r="H380" s="2">
        <v>3</v>
      </c>
      <c r="I380" s="2">
        <v>1</v>
      </c>
      <c r="K380" s="2" t="s">
        <v>1915</v>
      </c>
      <c r="L380" s="2" t="str">
        <f>VLOOKUP(B380, Course!$A$1:$O$933, 14, FALSE)</f>
        <v>WB</v>
      </c>
      <c r="M380" s="2">
        <v>1</v>
      </c>
    </row>
    <row r="381" spans="1:13" ht="15.75" hidden="1" customHeight="1" x14ac:dyDescent="0.2">
      <c r="A381" s="2">
        <v>380</v>
      </c>
      <c r="B381" s="2">
        <v>32</v>
      </c>
      <c r="C381" s="2">
        <v>57</v>
      </c>
      <c r="D381" s="2" t="s">
        <v>373</v>
      </c>
      <c r="E381" s="2" t="str">
        <f t="shared" si="1"/>
        <v>1257WB03PT</v>
      </c>
      <c r="F381" s="2">
        <f>VLOOKUP(B381,Course!$A$2:$R$329,2,FALSE)</f>
        <v>0</v>
      </c>
      <c r="G381" s="2">
        <f>VLOOKUP(B381, Course!$A$2:$L$950, 8, FALSE)</f>
        <v>12</v>
      </c>
      <c r="H381" s="2">
        <v>3</v>
      </c>
      <c r="I381" s="2">
        <v>1</v>
      </c>
      <c r="K381" s="2" t="s">
        <v>1915</v>
      </c>
      <c r="L381" s="2" t="str">
        <f>VLOOKUP(B381, Course!$A$1:$O$933, 14, FALSE)</f>
        <v>WB</v>
      </c>
      <c r="M381" s="2">
        <v>1</v>
      </c>
    </row>
    <row r="382" spans="1:13" ht="15.75" hidden="1" customHeight="1" x14ac:dyDescent="0.2">
      <c r="A382" s="2">
        <v>381</v>
      </c>
      <c r="B382" s="2">
        <v>32</v>
      </c>
      <c r="C382" s="2">
        <v>58</v>
      </c>
      <c r="D382" s="2" t="s">
        <v>373</v>
      </c>
      <c r="E382" s="2" t="str">
        <f t="shared" si="1"/>
        <v>1258WB03PT</v>
      </c>
      <c r="F382" s="2">
        <f>VLOOKUP(B382,Course!$A$2:$R$329,2,FALSE)</f>
        <v>0</v>
      </c>
      <c r="G382" s="2">
        <f>VLOOKUP(B382, Course!$A$2:$L$950, 8, FALSE)</f>
        <v>12</v>
      </c>
      <c r="H382" s="2">
        <v>3</v>
      </c>
      <c r="I382" s="2">
        <v>1</v>
      </c>
      <c r="K382" s="2" t="s">
        <v>1915</v>
      </c>
      <c r="L382" s="2" t="str">
        <f>VLOOKUP(B382, Course!$A$1:$O$933, 14, FALSE)</f>
        <v>WB</v>
      </c>
      <c r="M382" s="2">
        <v>1</v>
      </c>
    </row>
    <row r="383" spans="1:13" ht="15.75" hidden="1" customHeight="1" x14ac:dyDescent="0.2">
      <c r="A383" s="2">
        <v>382</v>
      </c>
      <c r="B383" s="2">
        <v>32</v>
      </c>
      <c r="C383" s="2">
        <v>59</v>
      </c>
      <c r="D383" s="2" t="s">
        <v>373</v>
      </c>
      <c r="E383" s="2" t="str">
        <f t="shared" si="1"/>
        <v>1259WB03PT</v>
      </c>
      <c r="F383" s="2">
        <f>VLOOKUP(B383,Course!$A$2:$R$329,2,FALSE)</f>
        <v>0</v>
      </c>
      <c r="G383" s="2">
        <f>VLOOKUP(B383, Course!$A$2:$L$950, 8, FALSE)</f>
        <v>12</v>
      </c>
      <c r="H383" s="2">
        <v>3</v>
      </c>
      <c r="I383" s="2">
        <v>1</v>
      </c>
      <c r="K383" s="2" t="s">
        <v>1915</v>
      </c>
      <c r="L383" s="2" t="str">
        <f>VLOOKUP(B383, Course!$A$1:$O$933, 14, FALSE)</f>
        <v>WB</v>
      </c>
      <c r="M383" s="2">
        <v>1</v>
      </c>
    </row>
    <row r="384" spans="1:13" ht="15.75" hidden="1" customHeight="1" x14ac:dyDescent="0.2">
      <c r="A384" s="2">
        <v>383</v>
      </c>
      <c r="B384" s="2">
        <v>32</v>
      </c>
      <c r="C384" s="2">
        <v>60</v>
      </c>
      <c r="D384" s="2" t="s">
        <v>373</v>
      </c>
      <c r="E384" s="2" t="str">
        <f t="shared" si="1"/>
        <v>1260WB03PT</v>
      </c>
      <c r="F384" s="2">
        <f>VLOOKUP(B384,Course!$A$2:$R$329,2,FALSE)</f>
        <v>0</v>
      </c>
      <c r="G384" s="2">
        <f>VLOOKUP(B384, Course!$A$2:$L$950, 8, FALSE)</f>
        <v>12</v>
      </c>
      <c r="H384" s="2">
        <v>3</v>
      </c>
      <c r="I384" s="2">
        <v>1</v>
      </c>
      <c r="K384" s="2" t="s">
        <v>1915</v>
      </c>
      <c r="L384" s="2" t="str">
        <f>VLOOKUP(B384, Course!$A$1:$O$933, 14, FALSE)</f>
        <v>WB</v>
      </c>
      <c r="M384" s="2">
        <v>1</v>
      </c>
    </row>
    <row r="385" spans="1:13" ht="15.75" hidden="1" customHeight="1" x14ac:dyDescent="0.2">
      <c r="A385" s="2">
        <v>384</v>
      </c>
      <c r="B385" s="2">
        <v>33</v>
      </c>
      <c r="C385" s="2">
        <v>49</v>
      </c>
      <c r="D385" s="2" t="s">
        <v>479</v>
      </c>
      <c r="E385" s="2" t="str">
        <f t="shared" si="1"/>
        <v>1249LC03PT</v>
      </c>
      <c r="F385" s="2">
        <f>VLOOKUP(B385,Course!$A$2:$R$329,2,FALSE)</f>
        <v>0</v>
      </c>
      <c r="G385" s="2">
        <f>VLOOKUP(B385, Course!$A$2:$L$950, 8, FALSE)</f>
        <v>12</v>
      </c>
      <c r="H385" s="2">
        <v>3</v>
      </c>
      <c r="I385" s="2">
        <v>1</v>
      </c>
      <c r="K385" s="2" t="s">
        <v>1915</v>
      </c>
      <c r="L385" s="2" t="str">
        <f>VLOOKUP(B385, Course!$A$1:$O$933, 14, FALSE)</f>
        <v>LC</v>
      </c>
      <c r="M385" s="2">
        <v>1</v>
      </c>
    </row>
    <row r="386" spans="1:13" ht="15.75" hidden="1" customHeight="1" x14ac:dyDescent="0.2">
      <c r="A386" s="2">
        <v>385</v>
      </c>
      <c r="B386" s="2">
        <v>33</v>
      </c>
      <c r="C386" s="2">
        <v>50</v>
      </c>
      <c r="D386" s="2" t="s">
        <v>479</v>
      </c>
      <c r="E386" s="2" t="str">
        <f t="shared" si="1"/>
        <v>1250LC03PT</v>
      </c>
      <c r="F386" s="2">
        <f>VLOOKUP(B386,Course!$A$2:$R$329,2,FALSE)</f>
        <v>0</v>
      </c>
      <c r="G386" s="2">
        <f>VLOOKUP(B386, Course!$A$2:$L$950, 8, FALSE)</f>
        <v>12</v>
      </c>
      <c r="H386" s="2">
        <v>3</v>
      </c>
      <c r="I386" s="2">
        <v>1</v>
      </c>
      <c r="K386" s="2" t="s">
        <v>1915</v>
      </c>
      <c r="L386" s="2" t="str">
        <f>VLOOKUP(B386, Course!$A$1:$O$933, 14, FALSE)</f>
        <v>LC</v>
      </c>
      <c r="M386" s="2">
        <v>1</v>
      </c>
    </row>
    <row r="387" spans="1:13" ht="15.75" hidden="1" customHeight="1" x14ac:dyDescent="0.2">
      <c r="A387" s="2">
        <v>386</v>
      </c>
      <c r="B387" s="2">
        <v>33</v>
      </c>
      <c r="C387" s="2">
        <v>51</v>
      </c>
      <c r="D387" s="2" t="s">
        <v>479</v>
      </c>
      <c r="E387" s="2" t="str">
        <f t="shared" si="1"/>
        <v>1251LC03PT</v>
      </c>
      <c r="F387" s="2">
        <f>VLOOKUP(B387,Course!$A$2:$R$329,2,FALSE)</f>
        <v>0</v>
      </c>
      <c r="G387" s="2">
        <f>VLOOKUP(B387, Course!$A$2:$L$950, 8, FALSE)</f>
        <v>12</v>
      </c>
      <c r="H387" s="2">
        <v>3</v>
      </c>
      <c r="I387" s="2">
        <v>1</v>
      </c>
      <c r="K387" s="2" t="s">
        <v>1915</v>
      </c>
      <c r="L387" s="2" t="str">
        <f>VLOOKUP(B387, Course!$A$1:$O$933, 14, FALSE)</f>
        <v>LC</v>
      </c>
      <c r="M387" s="2">
        <v>1</v>
      </c>
    </row>
    <row r="388" spans="1:13" ht="15.75" hidden="1" customHeight="1" x14ac:dyDescent="0.2">
      <c r="A388" s="2">
        <v>387</v>
      </c>
      <c r="B388" s="2">
        <v>33</v>
      </c>
      <c r="C388" s="2">
        <v>52</v>
      </c>
      <c r="D388" s="2" t="s">
        <v>479</v>
      </c>
      <c r="E388" s="2" t="str">
        <f t="shared" si="1"/>
        <v>1252LC03PT</v>
      </c>
      <c r="F388" s="2">
        <f>VLOOKUP(B388,Course!$A$2:$R$329,2,FALSE)</f>
        <v>0</v>
      </c>
      <c r="G388" s="2">
        <f>VLOOKUP(B388, Course!$A$2:$L$950, 8, FALSE)</f>
        <v>12</v>
      </c>
      <c r="H388" s="2">
        <v>3</v>
      </c>
      <c r="I388" s="2">
        <v>1</v>
      </c>
      <c r="K388" s="2" t="s">
        <v>1915</v>
      </c>
      <c r="L388" s="2" t="str">
        <f>VLOOKUP(B388, Course!$A$1:$O$933, 14, FALSE)</f>
        <v>LC</v>
      </c>
      <c r="M388" s="2">
        <v>1</v>
      </c>
    </row>
    <row r="389" spans="1:13" ht="15.75" hidden="1" customHeight="1" x14ac:dyDescent="0.2">
      <c r="A389" s="2">
        <v>388</v>
      </c>
      <c r="B389" s="2">
        <v>33</v>
      </c>
      <c r="C389" s="2">
        <v>53</v>
      </c>
      <c r="D389" s="2" t="s">
        <v>479</v>
      </c>
      <c r="E389" s="2" t="str">
        <f t="shared" si="1"/>
        <v>1253LC03PT</v>
      </c>
      <c r="F389" s="2">
        <f>VLOOKUP(B389,Course!$A$2:$R$329,2,FALSE)</f>
        <v>0</v>
      </c>
      <c r="G389" s="2">
        <f>VLOOKUP(B389, Course!$A$2:$L$950, 8, FALSE)</f>
        <v>12</v>
      </c>
      <c r="H389" s="2">
        <v>3</v>
      </c>
      <c r="I389" s="2">
        <v>1</v>
      </c>
      <c r="K389" s="2" t="s">
        <v>1915</v>
      </c>
      <c r="L389" s="2" t="str">
        <f>VLOOKUP(B389, Course!$A$1:$O$933, 14, FALSE)</f>
        <v>LC</v>
      </c>
      <c r="M389" s="2">
        <v>1</v>
      </c>
    </row>
    <row r="390" spans="1:13" ht="15.75" hidden="1" customHeight="1" x14ac:dyDescent="0.2">
      <c r="A390" s="2">
        <v>389</v>
      </c>
      <c r="B390" s="2">
        <v>33</v>
      </c>
      <c r="C390" s="2">
        <v>54</v>
      </c>
      <c r="D390" s="2" t="s">
        <v>479</v>
      </c>
      <c r="E390" s="2" t="str">
        <f t="shared" si="1"/>
        <v>1254LC03PT</v>
      </c>
      <c r="F390" s="2">
        <f>VLOOKUP(B390,Course!$A$2:$R$329,2,FALSE)</f>
        <v>0</v>
      </c>
      <c r="G390" s="2">
        <f>VLOOKUP(B390, Course!$A$2:$L$950, 8, FALSE)</f>
        <v>12</v>
      </c>
      <c r="H390" s="2">
        <v>3</v>
      </c>
      <c r="I390" s="2">
        <v>1</v>
      </c>
      <c r="K390" s="2" t="s">
        <v>1915</v>
      </c>
      <c r="L390" s="2" t="str">
        <f>VLOOKUP(B390, Course!$A$1:$O$933, 14, FALSE)</f>
        <v>LC</v>
      </c>
      <c r="M390" s="2">
        <v>1</v>
      </c>
    </row>
    <row r="391" spans="1:13" ht="15.75" hidden="1" customHeight="1" x14ac:dyDescent="0.2">
      <c r="A391" s="2">
        <v>390</v>
      </c>
      <c r="B391" s="2">
        <v>33</v>
      </c>
      <c r="C391" s="2">
        <v>55</v>
      </c>
      <c r="D391" s="2" t="s">
        <v>479</v>
      </c>
      <c r="E391" s="2" t="str">
        <f t="shared" si="1"/>
        <v>1255LC03PT</v>
      </c>
      <c r="F391" s="2">
        <f>VLOOKUP(B391,Course!$A$2:$R$329,2,FALSE)</f>
        <v>0</v>
      </c>
      <c r="G391" s="2">
        <f>VLOOKUP(B391, Course!$A$2:$L$950, 8, FALSE)</f>
        <v>12</v>
      </c>
      <c r="H391" s="2">
        <v>3</v>
      </c>
      <c r="I391" s="2">
        <v>1</v>
      </c>
      <c r="K391" s="2" t="s">
        <v>1915</v>
      </c>
      <c r="L391" s="2" t="str">
        <f>VLOOKUP(B391, Course!$A$1:$O$933, 14, FALSE)</f>
        <v>LC</v>
      </c>
      <c r="M391" s="2">
        <v>1</v>
      </c>
    </row>
    <row r="392" spans="1:13" ht="15.75" hidden="1" customHeight="1" x14ac:dyDescent="0.2">
      <c r="A392" s="2">
        <v>391</v>
      </c>
      <c r="B392" s="2">
        <v>33</v>
      </c>
      <c r="C392" s="2">
        <v>56</v>
      </c>
      <c r="D392" s="2" t="s">
        <v>479</v>
      </c>
      <c r="E392" s="2" t="str">
        <f t="shared" si="1"/>
        <v>1256LC03PT</v>
      </c>
      <c r="F392" s="2">
        <f>VLOOKUP(B392,Course!$A$2:$R$329,2,FALSE)</f>
        <v>0</v>
      </c>
      <c r="G392" s="2">
        <f>VLOOKUP(B392, Course!$A$2:$L$950, 8, FALSE)</f>
        <v>12</v>
      </c>
      <c r="H392" s="2">
        <v>3</v>
      </c>
      <c r="I392" s="2">
        <v>1</v>
      </c>
      <c r="K392" s="2" t="s">
        <v>1915</v>
      </c>
      <c r="L392" s="2" t="str">
        <f>VLOOKUP(B392, Course!$A$1:$O$933, 14, FALSE)</f>
        <v>LC</v>
      </c>
      <c r="M392" s="2">
        <v>1</v>
      </c>
    </row>
    <row r="393" spans="1:13" ht="15.75" hidden="1" customHeight="1" x14ac:dyDescent="0.2">
      <c r="A393" s="2">
        <v>392</v>
      </c>
      <c r="B393" s="2">
        <v>33</v>
      </c>
      <c r="C393" s="2">
        <v>57</v>
      </c>
      <c r="D393" s="2" t="s">
        <v>479</v>
      </c>
      <c r="E393" s="2" t="str">
        <f t="shared" si="1"/>
        <v>1257LC03PT</v>
      </c>
      <c r="F393" s="2">
        <f>VLOOKUP(B393,Course!$A$2:$R$329,2,FALSE)</f>
        <v>0</v>
      </c>
      <c r="G393" s="2">
        <f>VLOOKUP(B393, Course!$A$2:$L$950, 8, FALSE)</f>
        <v>12</v>
      </c>
      <c r="H393" s="2">
        <v>3</v>
      </c>
      <c r="I393" s="2">
        <v>1</v>
      </c>
      <c r="K393" s="2" t="s">
        <v>1915</v>
      </c>
      <c r="L393" s="2" t="str">
        <f>VLOOKUP(B393, Course!$A$1:$O$933, 14, FALSE)</f>
        <v>LC</v>
      </c>
      <c r="M393" s="2">
        <v>1</v>
      </c>
    </row>
    <row r="394" spans="1:13" ht="15.75" hidden="1" customHeight="1" x14ac:dyDescent="0.2">
      <c r="A394" s="2">
        <v>393</v>
      </c>
      <c r="B394" s="2">
        <v>33</v>
      </c>
      <c r="C394" s="2">
        <v>58</v>
      </c>
      <c r="D394" s="2" t="s">
        <v>479</v>
      </c>
      <c r="E394" s="2" t="str">
        <f t="shared" si="1"/>
        <v>1258LC03PT</v>
      </c>
      <c r="F394" s="2">
        <f>VLOOKUP(B394,Course!$A$2:$R$329,2,FALSE)</f>
        <v>0</v>
      </c>
      <c r="G394" s="2">
        <f>VLOOKUP(B394, Course!$A$2:$L$950, 8, FALSE)</f>
        <v>12</v>
      </c>
      <c r="H394" s="2">
        <v>3</v>
      </c>
      <c r="I394" s="2">
        <v>1</v>
      </c>
      <c r="K394" s="2" t="s">
        <v>1915</v>
      </c>
      <c r="L394" s="2" t="str">
        <f>VLOOKUP(B394, Course!$A$1:$O$933, 14, FALSE)</f>
        <v>LC</v>
      </c>
      <c r="M394" s="2">
        <v>1</v>
      </c>
    </row>
    <row r="395" spans="1:13" ht="15.75" hidden="1" customHeight="1" x14ac:dyDescent="0.2">
      <c r="A395" s="2">
        <v>394</v>
      </c>
      <c r="B395" s="2">
        <v>33</v>
      </c>
      <c r="C395" s="2">
        <v>59</v>
      </c>
      <c r="D395" s="2" t="s">
        <v>479</v>
      </c>
      <c r="E395" s="2" t="str">
        <f t="shared" si="1"/>
        <v>1259LC03PT</v>
      </c>
      <c r="F395" s="2">
        <f>VLOOKUP(B395,Course!$A$2:$R$329,2,FALSE)</f>
        <v>0</v>
      </c>
      <c r="G395" s="2">
        <f>VLOOKUP(B395, Course!$A$2:$L$950, 8, FALSE)</f>
        <v>12</v>
      </c>
      <c r="H395" s="2">
        <v>3</v>
      </c>
      <c r="I395" s="2">
        <v>1</v>
      </c>
      <c r="K395" s="2" t="s">
        <v>1915</v>
      </c>
      <c r="L395" s="2" t="str">
        <f>VLOOKUP(B395, Course!$A$1:$O$933, 14, FALSE)</f>
        <v>LC</v>
      </c>
      <c r="M395" s="2">
        <v>1</v>
      </c>
    </row>
    <row r="396" spans="1:13" ht="15.75" hidden="1" customHeight="1" x14ac:dyDescent="0.2">
      <c r="A396" s="2">
        <v>395</v>
      </c>
      <c r="B396" s="2">
        <v>33</v>
      </c>
      <c r="C396" s="2">
        <v>60</v>
      </c>
      <c r="D396" s="2" t="s">
        <v>479</v>
      </c>
      <c r="E396" s="2" t="str">
        <f t="shared" si="1"/>
        <v>1260LC03PT</v>
      </c>
      <c r="F396" s="2">
        <f>VLOOKUP(B396,Course!$A$2:$R$329,2,FALSE)</f>
        <v>0</v>
      </c>
      <c r="G396" s="2">
        <f>VLOOKUP(B396, Course!$A$2:$L$950, 8, FALSE)</f>
        <v>12</v>
      </c>
      <c r="H396" s="2">
        <v>3</v>
      </c>
      <c r="I396" s="2">
        <v>1</v>
      </c>
      <c r="K396" s="2" t="s">
        <v>1915</v>
      </c>
      <c r="L396" s="2" t="str">
        <f>VLOOKUP(B396, Course!$A$1:$O$933, 14, FALSE)</f>
        <v>LC</v>
      </c>
      <c r="M396" s="2">
        <v>1</v>
      </c>
    </row>
    <row r="397" spans="1:13" ht="15.75" hidden="1" customHeight="1" x14ac:dyDescent="0.2">
      <c r="A397" s="2">
        <v>396</v>
      </c>
      <c r="B397" s="2">
        <v>34</v>
      </c>
      <c r="C397" s="2">
        <v>49</v>
      </c>
      <c r="D397" s="2" t="s">
        <v>377</v>
      </c>
      <c r="E397" s="2" t="str">
        <f t="shared" si="1"/>
        <v>1249SC03PT</v>
      </c>
      <c r="F397" s="2" t="str">
        <f>VLOOKUP(B397,Course!$A$2:$R$329,2,FALSE)</f>
        <v>Science 5</v>
      </c>
      <c r="G397" s="2">
        <f>VLOOKUP(B397, Course!$A$2:$L$950, 8, FALSE)</f>
        <v>12</v>
      </c>
      <c r="H397" s="2">
        <v>3</v>
      </c>
      <c r="I397" s="2">
        <v>1</v>
      </c>
      <c r="K397" s="2" t="s">
        <v>1915</v>
      </c>
      <c r="L397" s="2" t="str">
        <f>VLOOKUP(B397, Course!$A$1:$O$933, 14, FALSE)</f>
        <v>SC</v>
      </c>
      <c r="M397" s="2">
        <v>1</v>
      </c>
    </row>
    <row r="398" spans="1:13" ht="15.75" hidden="1" customHeight="1" x14ac:dyDescent="0.2">
      <c r="A398" s="2">
        <v>397</v>
      </c>
      <c r="B398" s="2">
        <v>34</v>
      </c>
      <c r="C398" s="2">
        <v>50</v>
      </c>
      <c r="D398" s="2" t="s">
        <v>377</v>
      </c>
      <c r="E398" s="2" t="str">
        <f t="shared" si="1"/>
        <v>1250SC03PT</v>
      </c>
      <c r="F398" s="2" t="str">
        <f>VLOOKUP(B398,Course!$A$2:$R$329,2,FALSE)</f>
        <v>Science 5</v>
      </c>
      <c r="G398" s="2">
        <f>VLOOKUP(B398, Course!$A$2:$L$950, 8, FALSE)</f>
        <v>12</v>
      </c>
      <c r="H398" s="2">
        <v>3</v>
      </c>
      <c r="I398" s="2">
        <v>1</v>
      </c>
      <c r="K398" s="2" t="s">
        <v>1915</v>
      </c>
      <c r="L398" s="2" t="str">
        <f>VLOOKUP(B398, Course!$A$1:$O$933, 14, FALSE)</f>
        <v>SC</v>
      </c>
      <c r="M398" s="2">
        <v>1</v>
      </c>
    </row>
    <row r="399" spans="1:13" ht="15.75" hidden="1" customHeight="1" x14ac:dyDescent="0.2">
      <c r="A399" s="2">
        <v>398</v>
      </c>
      <c r="B399" s="2">
        <v>34</v>
      </c>
      <c r="C399" s="2">
        <v>51</v>
      </c>
      <c r="D399" s="2" t="s">
        <v>377</v>
      </c>
      <c r="E399" s="2" t="str">
        <f t="shared" si="1"/>
        <v>1251SC03PT</v>
      </c>
      <c r="F399" s="2" t="str">
        <f>VLOOKUP(B399,Course!$A$2:$R$329,2,FALSE)</f>
        <v>Science 5</v>
      </c>
      <c r="G399" s="2">
        <f>VLOOKUP(B399, Course!$A$2:$L$950, 8, FALSE)</f>
        <v>12</v>
      </c>
      <c r="H399" s="2">
        <v>3</v>
      </c>
      <c r="I399" s="2">
        <v>1</v>
      </c>
      <c r="K399" s="2" t="s">
        <v>1915</v>
      </c>
      <c r="L399" s="2" t="str">
        <f>VLOOKUP(B399, Course!$A$1:$O$933, 14, FALSE)</f>
        <v>SC</v>
      </c>
      <c r="M399" s="2">
        <v>1</v>
      </c>
    </row>
    <row r="400" spans="1:13" ht="15.75" hidden="1" customHeight="1" x14ac:dyDescent="0.2">
      <c r="A400" s="2">
        <v>399</v>
      </c>
      <c r="B400" s="2">
        <v>34</v>
      </c>
      <c r="C400" s="2">
        <v>52</v>
      </c>
      <c r="D400" s="2" t="s">
        <v>377</v>
      </c>
      <c r="E400" s="2" t="str">
        <f t="shared" si="1"/>
        <v>1252SC03PT</v>
      </c>
      <c r="F400" s="2" t="str">
        <f>VLOOKUP(B400,Course!$A$2:$R$329,2,FALSE)</f>
        <v>Science 5</v>
      </c>
      <c r="G400" s="2">
        <f>VLOOKUP(B400, Course!$A$2:$L$950, 8, FALSE)</f>
        <v>12</v>
      </c>
      <c r="H400" s="2">
        <v>3</v>
      </c>
      <c r="I400" s="2">
        <v>1</v>
      </c>
      <c r="K400" s="2" t="s">
        <v>1915</v>
      </c>
      <c r="L400" s="2" t="str">
        <f>VLOOKUP(B400, Course!$A$1:$O$933, 14, FALSE)</f>
        <v>SC</v>
      </c>
      <c r="M400" s="2">
        <v>1</v>
      </c>
    </row>
    <row r="401" spans="1:13" ht="15.75" hidden="1" customHeight="1" x14ac:dyDescent="0.2">
      <c r="A401" s="2">
        <v>400</v>
      </c>
      <c r="B401" s="2">
        <v>34</v>
      </c>
      <c r="C401" s="2">
        <v>53</v>
      </c>
      <c r="D401" s="2" t="s">
        <v>377</v>
      </c>
      <c r="E401" s="2" t="str">
        <f t="shared" si="1"/>
        <v>1253SC03PT</v>
      </c>
      <c r="F401" s="2" t="str">
        <f>VLOOKUP(B401,Course!$A$2:$R$329,2,FALSE)</f>
        <v>Science 5</v>
      </c>
      <c r="G401" s="2">
        <f>VLOOKUP(B401, Course!$A$2:$L$950, 8, FALSE)</f>
        <v>12</v>
      </c>
      <c r="H401" s="2">
        <v>3</v>
      </c>
      <c r="I401" s="2">
        <v>1</v>
      </c>
      <c r="K401" s="2" t="s">
        <v>1915</v>
      </c>
      <c r="L401" s="2" t="str">
        <f>VLOOKUP(B401, Course!$A$1:$O$933, 14, FALSE)</f>
        <v>SC</v>
      </c>
      <c r="M401" s="2">
        <v>1</v>
      </c>
    </row>
    <row r="402" spans="1:13" ht="15.75" hidden="1" customHeight="1" x14ac:dyDescent="0.2">
      <c r="A402" s="2">
        <v>401</v>
      </c>
      <c r="B402" s="2">
        <v>34</v>
      </c>
      <c r="C402" s="2">
        <v>54</v>
      </c>
      <c r="D402" s="2" t="s">
        <v>377</v>
      </c>
      <c r="E402" s="2" t="str">
        <f t="shared" si="1"/>
        <v>1254SC03PT</v>
      </c>
      <c r="F402" s="2" t="str">
        <f>VLOOKUP(B402,Course!$A$2:$R$329,2,FALSE)</f>
        <v>Science 5</v>
      </c>
      <c r="G402" s="2">
        <f>VLOOKUP(B402, Course!$A$2:$L$950, 8, FALSE)</f>
        <v>12</v>
      </c>
      <c r="H402" s="2">
        <v>3</v>
      </c>
      <c r="I402" s="2">
        <v>1</v>
      </c>
      <c r="K402" s="2" t="s">
        <v>1915</v>
      </c>
      <c r="L402" s="2" t="str">
        <f>VLOOKUP(B402, Course!$A$1:$O$933, 14, FALSE)</f>
        <v>SC</v>
      </c>
      <c r="M402" s="2">
        <v>1</v>
      </c>
    </row>
    <row r="403" spans="1:13" ht="15.75" hidden="1" customHeight="1" x14ac:dyDescent="0.2">
      <c r="A403" s="2">
        <v>402</v>
      </c>
      <c r="B403" s="2">
        <v>34</v>
      </c>
      <c r="C403" s="2">
        <v>55</v>
      </c>
      <c r="D403" s="2" t="s">
        <v>377</v>
      </c>
      <c r="E403" s="2" t="str">
        <f t="shared" si="1"/>
        <v>1255SC03PT</v>
      </c>
      <c r="F403" s="2" t="str">
        <f>VLOOKUP(B403,Course!$A$2:$R$329,2,FALSE)</f>
        <v>Science 5</v>
      </c>
      <c r="G403" s="2">
        <f>VLOOKUP(B403, Course!$A$2:$L$950, 8, FALSE)</f>
        <v>12</v>
      </c>
      <c r="H403" s="2">
        <v>3</v>
      </c>
      <c r="I403" s="2">
        <v>1</v>
      </c>
      <c r="K403" s="2" t="s">
        <v>1915</v>
      </c>
      <c r="L403" s="2" t="str">
        <f>VLOOKUP(B403, Course!$A$1:$O$933, 14, FALSE)</f>
        <v>SC</v>
      </c>
      <c r="M403" s="2">
        <v>1</v>
      </c>
    </row>
    <row r="404" spans="1:13" ht="15.75" hidden="1" customHeight="1" x14ac:dyDescent="0.2">
      <c r="A404" s="2">
        <v>403</v>
      </c>
      <c r="B404" s="2">
        <v>34</v>
      </c>
      <c r="C404" s="2">
        <v>56</v>
      </c>
      <c r="D404" s="2" t="s">
        <v>377</v>
      </c>
      <c r="E404" s="2" t="str">
        <f t="shared" si="1"/>
        <v>1256SC03PT</v>
      </c>
      <c r="F404" s="2" t="str">
        <f>VLOOKUP(B404,Course!$A$2:$R$329,2,FALSE)</f>
        <v>Science 5</v>
      </c>
      <c r="G404" s="2">
        <f>VLOOKUP(B404, Course!$A$2:$L$950, 8, FALSE)</f>
        <v>12</v>
      </c>
      <c r="H404" s="2">
        <v>3</v>
      </c>
      <c r="I404" s="2">
        <v>1</v>
      </c>
      <c r="K404" s="2" t="s">
        <v>1915</v>
      </c>
      <c r="L404" s="2" t="str">
        <f>VLOOKUP(B404, Course!$A$1:$O$933, 14, FALSE)</f>
        <v>SC</v>
      </c>
      <c r="M404" s="2">
        <v>1</v>
      </c>
    </row>
    <row r="405" spans="1:13" ht="15.75" hidden="1" customHeight="1" x14ac:dyDescent="0.2">
      <c r="A405" s="2">
        <v>404</v>
      </c>
      <c r="B405" s="2">
        <v>34</v>
      </c>
      <c r="C405" s="2">
        <v>57</v>
      </c>
      <c r="D405" s="2" t="s">
        <v>377</v>
      </c>
      <c r="E405" s="2" t="str">
        <f t="shared" si="1"/>
        <v>1257SC03PT</v>
      </c>
      <c r="F405" s="2" t="str">
        <f>VLOOKUP(B405,Course!$A$2:$R$329,2,FALSE)</f>
        <v>Science 5</v>
      </c>
      <c r="G405" s="2">
        <f>VLOOKUP(B405, Course!$A$2:$L$950, 8, FALSE)</f>
        <v>12</v>
      </c>
      <c r="H405" s="2">
        <v>3</v>
      </c>
      <c r="I405" s="2">
        <v>1</v>
      </c>
      <c r="K405" s="2" t="s">
        <v>1915</v>
      </c>
      <c r="L405" s="2" t="str">
        <f>VLOOKUP(B405, Course!$A$1:$O$933, 14, FALSE)</f>
        <v>SC</v>
      </c>
      <c r="M405" s="2">
        <v>1</v>
      </c>
    </row>
    <row r="406" spans="1:13" ht="15.75" hidden="1" customHeight="1" x14ac:dyDescent="0.2">
      <c r="A406" s="2">
        <v>405</v>
      </c>
      <c r="B406" s="2">
        <v>34</v>
      </c>
      <c r="C406" s="2">
        <v>58</v>
      </c>
      <c r="D406" s="2" t="s">
        <v>377</v>
      </c>
      <c r="E406" s="2" t="str">
        <f t="shared" si="1"/>
        <v>1258SC03PT</v>
      </c>
      <c r="F406" s="2" t="str">
        <f>VLOOKUP(B406,Course!$A$2:$R$329,2,FALSE)</f>
        <v>Science 5</v>
      </c>
      <c r="G406" s="2">
        <f>VLOOKUP(B406, Course!$A$2:$L$950, 8, FALSE)</f>
        <v>12</v>
      </c>
      <c r="H406" s="2">
        <v>3</v>
      </c>
      <c r="I406" s="2">
        <v>1</v>
      </c>
      <c r="K406" s="2" t="s">
        <v>1915</v>
      </c>
      <c r="L406" s="2" t="str">
        <f>VLOOKUP(B406, Course!$A$1:$O$933, 14, FALSE)</f>
        <v>SC</v>
      </c>
      <c r="M406" s="2">
        <v>1</v>
      </c>
    </row>
    <row r="407" spans="1:13" ht="15.75" hidden="1" customHeight="1" x14ac:dyDescent="0.2">
      <c r="A407" s="2">
        <v>406</v>
      </c>
      <c r="B407" s="2">
        <v>34</v>
      </c>
      <c r="C407" s="2">
        <v>59</v>
      </c>
      <c r="D407" s="2" t="s">
        <v>377</v>
      </c>
      <c r="E407" s="2" t="str">
        <f t="shared" si="1"/>
        <v>1259SC03PT</v>
      </c>
      <c r="F407" s="2" t="str">
        <f>VLOOKUP(B407,Course!$A$2:$R$329,2,FALSE)</f>
        <v>Science 5</v>
      </c>
      <c r="G407" s="2">
        <f>VLOOKUP(B407, Course!$A$2:$L$950, 8, FALSE)</f>
        <v>12</v>
      </c>
      <c r="H407" s="2">
        <v>3</v>
      </c>
      <c r="I407" s="2">
        <v>1</v>
      </c>
      <c r="K407" s="2" t="s">
        <v>1915</v>
      </c>
      <c r="L407" s="2" t="str">
        <f>VLOOKUP(B407, Course!$A$1:$O$933, 14, FALSE)</f>
        <v>SC</v>
      </c>
      <c r="M407" s="2">
        <v>1</v>
      </c>
    </row>
    <row r="408" spans="1:13" ht="15.75" hidden="1" customHeight="1" x14ac:dyDescent="0.2">
      <c r="A408" s="2">
        <v>407</v>
      </c>
      <c r="B408" s="2">
        <v>34</v>
      </c>
      <c r="C408" s="2">
        <v>60</v>
      </c>
      <c r="D408" s="2" t="s">
        <v>377</v>
      </c>
      <c r="E408" s="2" t="str">
        <f t="shared" si="1"/>
        <v>1260SC03PT</v>
      </c>
      <c r="F408" s="2" t="str">
        <f>VLOOKUP(B408,Course!$A$2:$R$329,2,FALSE)</f>
        <v>Science 5</v>
      </c>
      <c r="G408" s="2">
        <f>VLOOKUP(B408, Course!$A$2:$L$950, 8, FALSE)</f>
        <v>12</v>
      </c>
      <c r="H408" s="2">
        <v>3</v>
      </c>
      <c r="I408" s="2">
        <v>1</v>
      </c>
      <c r="K408" s="2" t="s">
        <v>1915</v>
      </c>
      <c r="L408" s="2" t="str">
        <f>VLOOKUP(B408, Course!$A$1:$O$933, 14, FALSE)</f>
        <v>SC</v>
      </c>
      <c r="M408" s="2">
        <v>1</v>
      </c>
    </row>
    <row r="409" spans="1:13" ht="15.75" hidden="1" customHeight="1" x14ac:dyDescent="0.2">
      <c r="A409" s="2">
        <v>408</v>
      </c>
      <c r="B409" s="2">
        <v>35</v>
      </c>
      <c r="C409" s="2">
        <v>49</v>
      </c>
      <c r="D409" s="2" t="s">
        <v>379</v>
      </c>
      <c r="E409" s="2" t="str">
        <f t="shared" si="1"/>
        <v>1249SS03PT</v>
      </c>
      <c r="F409" s="2">
        <f>VLOOKUP(B409,Course!$A$2:$R$329,2,FALSE)</f>
        <v>0</v>
      </c>
      <c r="G409" s="2">
        <f>VLOOKUP(B409, Course!$A$2:$L$950, 8, FALSE)</f>
        <v>12</v>
      </c>
      <c r="H409" s="2">
        <v>3</v>
      </c>
      <c r="I409" s="2">
        <v>1</v>
      </c>
      <c r="K409" s="2" t="s">
        <v>1915</v>
      </c>
      <c r="L409" s="2" t="str">
        <f>VLOOKUP(B409, Course!$A$1:$O$933, 14, FALSE)</f>
        <v>SS</v>
      </c>
      <c r="M409" s="2">
        <v>1</v>
      </c>
    </row>
    <row r="410" spans="1:13" ht="15.75" hidden="1" customHeight="1" x14ac:dyDescent="0.2">
      <c r="A410" s="2">
        <v>409</v>
      </c>
      <c r="B410" s="2">
        <v>35</v>
      </c>
      <c r="C410" s="2">
        <v>50</v>
      </c>
      <c r="D410" s="2" t="s">
        <v>379</v>
      </c>
      <c r="E410" s="2" t="str">
        <f t="shared" si="1"/>
        <v>1250SS03PT</v>
      </c>
      <c r="F410" s="2">
        <f>VLOOKUP(B410,Course!$A$2:$R$329,2,FALSE)</f>
        <v>0</v>
      </c>
      <c r="G410" s="2">
        <f>VLOOKUP(B410, Course!$A$2:$L$950, 8, FALSE)</f>
        <v>12</v>
      </c>
      <c r="H410" s="2">
        <v>3</v>
      </c>
      <c r="I410" s="2">
        <v>1</v>
      </c>
      <c r="K410" s="2" t="s">
        <v>1915</v>
      </c>
      <c r="L410" s="2" t="str">
        <f>VLOOKUP(B410, Course!$A$1:$O$933, 14, FALSE)</f>
        <v>SS</v>
      </c>
      <c r="M410" s="2">
        <v>1</v>
      </c>
    </row>
    <row r="411" spans="1:13" ht="15.75" hidden="1" customHeight="1" x14ac:dyDescent="0.2">
      <c r="A411" s="2">
        <v>410</v>
      </c>
      <c r="B411" s="2">
        <v>35</v>
      </c>
      <c r="C411" s="2">
        <v>51</v>
      </c>
      <c r="D411" s="2" t="s">
        <v>379</v>
      </c>
      <c r="E411" s="2" t="str">
        <f t="shared" si="1"/>
        <v>1251SS03PT</v>
      </c>
      <c r="F411" s="2">
        <f>VLOOKUP(B411,Course!$A$2:$R$329,2,FALSE)</f>
        <v>0</v>
      </c>
      <c r="G411" s="2">
        <f>VLOOKUP(B411, Course!$A$2:$L$950, 8, FALSE)</f>
        <v>12</v>
      </c>
      <c r="H411" s="2">
        <v>3</v>
      </c>
      <c r="I411" s="2">
        <v>1</v>
      </c>
      <c r="K411" s="2" t="s">
        <v>1915</v>
      </c>
      <c r="L411" s="2" t="str">
        <f>VLOOKUP(B411, Course!$A$1:$O$933, 14, FALSE)</f>
        <v>SS</v>
      </c>
      <c r="M411" s="2">
        <v>1</v>
      </c>
    </row>
    <row r="412" spans="1:13" ht="15.75" hidden="1" customHeight="1" x14ac:dyDescent="0.2">
      <c r="A412" s="2">
        <v>411</v>
      </c>
      <c r="B412" s="2">
        <v>35</v>
      </c>
      <c r="C412" s="2">
        <v>52</v>
      </c>
      <c r="D412" s="2" t="s">
        <v>379</v>
      </c>
      <c r="E412" s="2" t="str">
        <f t="shared" si="1"/>
        <v>1252SS03PT</v>
      </c>
      <c r="F412" s="2">
        <f>VLOOKUP(B412,Course!$A$2:$R$329,2,FALSE)</f>
        <v>0</v>
      </c>
      <c r="G412" s="2">
        <f>VLOOKUP(B412, Course!$A$2:$L$950, 8, FALSE)</f>
        <v>12</v>
      </c>
      <c r="H412" s="2">
        <v>3</v>
      </c>
      <c r="I412" s="2">
        <v>1</v>
      </c>
      <c r="K412" s="2" t="s">
        <v>1915</v>
      </c>
      <c r="L412" s="2" t="str">
        <f>VLOOKUP(B412, Course!$A$1:$O$933, 14, FALSE)</f>
        <v>SS</v>
      </c>
      <c r="M412" s="2">
        <v>1</v>
      </c>
    </row>
    <row r="413" spans="1:13" ht="15.75" hidden="1" customHeight="1" x14ac:dyDescent="0.2">
      <c r="A413" s="2">
        <v>412</v>
      </c>
      <c r="B413" s="2">
        <v>35</v>
      </c>
      <c r="C413" s="2">
        <v>53</v>
      </c>
      <c r="D413" s="2" t="s">
        <v>379</v>
      </c>
      <c r="E413" s="2" t="str">
        <f t="shared" si="1"/>
        <v>1253SS03PT</v>
      </c>
      <c r="F413" s="2">
        <f>VLOOKUP(B413,Course!$A$2:$R$329,2,FALSE)</f>
        <v>0</v>
      </c>
      <c r="G413" s="2">
        <f>VLOOKUP(B413, Course!$A$2:$L$950, 8, FALSE)</f>
        <v>12</v>
      </c>
      <c r="H413" s="2">
        <v>3</v>
      </c>
      <c r="I413" s="2">
        <v>1</v>
      </c>
      <c r="K413" s="2" t="s">
        <v>1915</v>
      </c>
      <c r="L413" s="2" t="str">
        <f>VLOOKUP(B413, Course!$A$1:$O$933, 14, FALSE)</f>
        <v>SS</v>
      </c>
      <c r="M413" s="2">
        <v>1</v>
      </c>
    </row>
    <row r="414" spans="1:13" ht="15.75" hidden="1" customHeight="1" x14ac:dyDescent="0.2">
      <c r="A414" s="2">
        <v>413</v>
      </c>
      <c r="B414" s="2">
        <v>35</v>
      </c>
      <c r="C414" s="2">
        <v>54</v>
      </c>
      <c r="D414" s="2" t="s">
        <v>379</v>
      </c>
      <c r="E414" s="2" t="str">
        <f t="shared" si="1"/>
        <v>1254SS03PT</v>
      </c>
      <c r="F414" s="2">
        <f>VLOOKUP(B414,Course!$A$2:$R$329,2,FALSE)</f>
        <v>0</v>
      </c>
      <c r="G414" s="2">
        <f>VLOOKUP(B414, Course!$A$2:$L$950, 8, FALSE)</f>
        <v>12</v>
      </c>
      <c r="H414" s="2">
        <v>3</v>
      </c>
      <c r="I414" s="2">
        <v>1</v>
      </c>
      <c r="K414" s="2" t="s">
        <v>1915</v>
      </c>
      <c r="L414" s="2" t="str">
        <f>VLOOKUP(B414, Course!$A$1:$O$933, 14, FALSE)</f>
        <v>SS</v>
      </c>
      <c r="M414" s="2">
        <v>1</v>
      </c>
    </row>
    <row r="415" spans="1:13" ht="15.75" hidden="1" customHeight="1" x14ac:dyDescent="0.2">
      <c r="A415" s="2">
        <v>414</v>
      </c>
      <c r="B415" s="2">
        <v>35</v>
      </c>
      <c r="C415" s="2">
        <v>55</v>
      </c>
      <c r="D415" s="2" t="s">
        <v>379</v>
      </c>
      <c r="E415" s="2" t="str">
        <f t="shared" si="1"/>
        <v>1255SS03PT</v>
      </c>
      <c r="F415" s="2">
        <f>VLOOKUP(B415,Course!$A$2:$R$329,2,FALSE)</f>
        <v>0</v>
      </c>
      <c r="G415" s="2">
        <f>VLOOKUP(B415, Course!$A$2:$L$950, 8, FALSE)</f>
        <v>12</v>
      </c>
      <c r="H415" s="2">
        <v>3</v>
      </c>
      <c r="I415" s="2">
        <v>1</v>
      </c>
      <c r="K415" s="2" t="s">
        <v>1915</v>
      </c>
      <c r="L415" s="2" t="str">
        <f>VLOOKUP(B415, Course!$A$1:$O$933, 14, FALSE)</f>
        <v>SS</v>
      </c>
      <c r="M415" s="2">
        <v>1</v>
      </c>
    </row>
    <row r="416" spans="1:13" ht="15.75" hidden="1" customHeight="1" x14ac:dyDescent="0.2">
      <c r="A416" s="2">
        <v>415</v>
      </c>
      <c r="B416" s="2">
        <v>35</v>
      </c>
      <c r="C416" s="2">
        <v>56</v>
      </c>
      <c r="D416" s="2" t="s">
        <v>379</v>
      </c>
      <c r="E416" s="2" t="str">
        <f t="shared" si="1"/>
        <v>1256SS03PT</v>
      </c>
      <c r="F416" s="2">
        <f>VLOOKUP(B416,Course!$A$2:$R$329,2,FALSE)</f>
        <v>0</v>
      </c>
      <c r="G416" s="2">
        <f>VLOOKUP(B416, Course!$A$2:$L$950, 8, FALSE)</f>
        <v>12</v>
      </c>
      <c r="H416" s="2">
        <v>3</v>
      </c>
      <c r="I416" s="2">
        <v>1</v>
      </c>
      <c r="K416" s="2" t="s">
        <v>1915</v>
      </c>
      <c r="L416" s="2" t="str">
        <f>VLOOKUP(B416, Course!$A$1:$O$933, 14, FALSE)</f>
        <v>SS</v>
      </c>
      <c r="M416" s="2">
        <v>1</v>
      </c>
    </row>
    <row r="417" spans="1:13" ht="15.75" hidden="1" customHeight="1" x14ac:dyDescent="0.2">
      <c r="A417" s="2">
        <v>416</v>
      </c>
      <c r="B417" s="2">
        <v>35</v>
      </c>
      <c r="C417" s="2">
        <v>57</v>
      </c>
      <c r="D417" s="2" t="s">
        <v>379</v>
      </c>
      <c r="E417" s="2" t="str">
        <f t="shared" si="1"/>
        <v>1257SS03PT</v>
      </c>
      <c r="F417" s="2">
        <f>VLOOKUP(B417,Course!$A$2:$R$329,2,FALSE)</f>
        <v>0</v>
      </c>
      <c r="G417" s="2">
        <f>VLOOKUP(B417, Course!$A$2:$L$950, 8, FALSE)</f>
        <v>12</v>
      </c>
      <c r="H417" s="2">
        <v>3</v>
      </c>
      <c r="I417" s="2">
        <v>1</v>
      </c>
      <c r="K417" s="2" t="s">
        <v>1915</v>
      </c>
      <c r="L417" s="2" t="str">
        <f>VLOOKUP(B417, Course!$A$1:$O$933, 14, FALSE)</f>
        <v>SS</v>
      </c>
      <c r="M417" s="2">
        <v>1</v>
      </c>
    </row>
    <row r="418" spans="1:13" ht="15.75" hidden="1" customHeight="1" x14ac:dyDescent="0.2">
      <c r="A418" s="2">
        <v>417</v>
      </c>
      <c r="B418" s="2">
        <v>35</v>
      </c>
      <c r="C418" s="2">
        <v>58</v>
      </c>
      <c r="D418" s="2" t="s">
        <v>379</v>
      </c>
      <c r="E418" s="2" t="str">
        <f t="shared" si="1"/>
        <v>1258SS03PT</v>
      </c>
      <c r="F418" s="2">
        <f>VLOOKUP(B418,Course!$A$2:$R$329,2,FALSE)</f>
        <v>0</v>
      </c>
      <c r="G418" s="2">
        <f>VLOOKUP(B418, Course!$A$2:$L$950, 8, FALSE)</f>
        <v>12</v>
      </c>
      <c r="H418" s="2">
        <v>3</v>
      </c>
      <c r="I418" s="2">
        <v>1</v>
      </c>
      <c r="K418" s="2" t="s">
        <v>1915</v>
      </c>
      <c r="L418" s="2" t="str">
        <f>VLOOKUP(B418, Course!$A$1:$O$933, 14, FALSE)</f>
        <v>SS</v>
      </c>
      <c r="M418" s="2">
        <v>1</v>
      </c>
    </row>
    <row r="419" spans="1:13" ht="15.75" hidden="1" customHeight="1" x14ac:dyDescent="0.2">
      <c r="A419" s="2">
        <v>418</v>
      </c>
      <c r="B419" s="2">
        <v>35</v>
      </c>
      <c r="C419" s="2">
        <v>59</v>
      </c>
      <c r="D419" s="2" t="s">
        <v>379</v>
      </c>
      <c r="E419" s="2" t="str">
        <f t="shared" si="1"/>
        <v>1259SS03PT</v>
      </c>
      <c r="F419" s="2">
        <f>VLOOKUP(B419,Course!$A$2:$R$329,2,FALSE)</f>
        <v>0</v>
      </c>
      <c r="G419" s="2">
        <f>VLOOKUP(B419, Course!$A$2:$L$950, 8, FALSE)</f>
        <v>12</v>
      </c>
      <c r="H419" s="2">
        <v>3</v>
      </c>
      <c r="I419" s="2">
        <v>1</v>
      </c>
      <c r="K419" s="2" t="s">
        <v>1915</v>
      </c>
      <c r="L419" s="2" t="str">
        <f>VLOOKUP(B419, Course!$A$1:$O$933, 14, FALSE)</f>
        <v>SS</v>
      </c>
      <c r="M419" s="2">
        <v>1</v>
      </c>
    </row>
    <row r="420" spans="1:13" ht="15.75" hidden="1" customHeight="1" x14ac:dyDescent="0.2">
      <c r="A420" s="2">
        <v>419</v>
      </c>
      <c r="B420" s="2">
        <v>35</v>
      </c>
      <c r="C420" s="2">
        <v>60</v>
      </c>
      <c r="D420" s="2" t="s">
        <v>379</v>
      </c>
      <c r="E420" s="2" t="str">
        <f t="shared" si="1"/>
        <v>1260SS03PT</v>
      </c>
      <c r="F420" s="2">
        <f>VLOOKUP(B420,Course!$A$2:$R$329,2,FALSE)</f>
        <v>0</v>
      </c>
      <c r="G420" s="2">
        <f>VLOOKUP(B420, Course!$A$2:$L$950, 8, FALSE)</f>
        <v>12</v>
      </c>
      <c r="H420" s="2">
        <v>3</v>
      </c>
      <c r="I420" s="2">
        <v>1</v>
      </c>
      <c r="K420" s="2" t="s">
        <v>1915</v>
      </c>
      <c r="L420" s="2" t="str">
        <f>VLOOKUP(B420, Course!$A$1:$O$933, 14, FALSE)</f>
        <v>SS</v>
      </c>
      <c r="M420" s="2">
        <v>1</v>
      </c>
    </row>
    <row r="421" spans="1:13" ht="15.75" hidden="1" customHeight="1" x14ac:dyDescent="0.2">
      <c r="A421" s="2">
        <v>420</v>
      </c>
      <c r="B421" s="2">
        <v>36</v>
      </c>
      <c r="C421" s="2">
        <v>49</v>
      </c>
      <c r="D421" s="2" t="s">
        <v>484</v>
      </c>
      <c r="E421" s="2" t="str">
        <f t="shared" si="1"/>
        <v>1249BR03PT</v>
      </c>
      <c r="F421" s="2">
        <f>VLOOKUP(B421,Course!$A$2:$R$329,2,FALSE)</f>
        <v>0</v>
      </c>
      <c r="G421" s="2">
        <f>VLOOKUP(B421, Course!$A$2:$L$950, 8, FALSE)</f>
        <v>12</v>
      </c>
      <c r="H421" s="2">
        <v>3</v>
      </c>
      <c r="I421" s="2">
        <v>1</v>
      </c>
      <c r="K421" s="2" t="s">
        <v>1915</v>
      </c>
      <c r="L421" s="2" t="str">
        <f>VLOOKUP(B421, Course!$A$1:$O$933, 14, FALSE)</f>
        <v>BR</v>
      </c>
      <c r="M421" s="2">
        <v>1</v>
      </c>
    </row>
    <row r="422" spans="1:13" ht="15.75" hidden="1" customHeight="1" x14ac:dyDescent="0.2">
      <c r="A422" s="2">
        <v>421</v>
      </c>
      <c r="B422" s="2">
        <v>36</v>
      </c>
      <c r="C422" s="2">
        <v>50</v>
      </c>
      <c r="D422" s="2" t="s">
        <v>484</v>
      </c>
      <c r="E422" s="2" t="str">
        <f t="shared" si="1"/>
        <v>1250BR03PT</v>
      </c>
      <c r="F422" s="2">
        <f>VLOOKUP(B422,Course!$A$2:$R$329,2,FALSE)</f>
        <v>0</v>
      </c>
      <c r="G422" s="2">
        <f>VLOOKUP(B422, Course!$A$2:$L$950, 8, FALSE)</f>
        <v>12</v>
      </c>
      <c r="H422" s="2">
        <v>3</v>
      </c>
      <c r="I422" s="2">
        <v>1</v>
      </c>
      <c r="K422" s="2" t="s">
        <v>1915</v>
      </c>
      <c r="L422" s="2" t="str">
        <f>VLOOKUP(B422, Course!$A$1:$O$933, 14, FALSE)</f>
        <v>BR</v>
      </c>
      <c r="M422" s="2">
        <v>1</v>
      </c>
    </row>
    <row r="423" spans="1:13" ht="15.75" hidden="1" customHeight="1" x14ac:dyDescent="0.2">
      <c r="A423" s="2">
        <v>422</v>
      </c>
      <c r="B423" s="2">
        <v>36</v>
      </c>
      <c r="C423" s="2">
        <v>51</v>
      </c>
      <c r="D423" s="2" t="s">
        <v>484</v>
      </c>
      <c r="E423" s="2" t="str">
        <f t="shared" si="1"/>
        <v>1251BR03PT</v>
      </c>
      <c r="F423" s="2">
        <f>VLOOKUP(B423,Course!$A$2:$R$329,2,FALSE)</f>
        <v>0</v>
      </c>
      <c r="G423" s="2">
        <f>VLOOKUP(B423, Course!$A$2:$L$950, 8, FALSE)</f>
        <v>12</v>
      </c>
      <c r="H423" s="2">
        <v>3</v>
      </c>
      <c r="I423" s="2">
        <v>1</v>
      </c>
      <c r="K423" s="2" t="s">
        <v>1915</v>
      </c>
      <c r="L423" s="2" t="str">
        <f>VLOOKUP(B423, Course!$A$1:$O$933, 14, FALSE)</f>
        <v>BR</v>
      </c>
      <c r="M423" s="2">
        <v>1</v>
      </c>
    </row>
    <row r="424" spans="1:13" ht="15.75" hidden="1" customHeight="1" x14ac:dyDescent="0.2">
      <c r="A424" s="2">
        <v>423</v>
      </c>
      <c r="B424" s="2">
        <v>36</v>
      </c>
      <c r="C424" s="2">
        <v>52</v>
      </c>
      <c r="D424" s="2" t="s">
        <v>484</v>
      </c>
      <c r="E424" s="2" t="str">
        <f t="shared" si="1"/>
        <v>1252BR03PT</v>
      </c>
      <c r="F424" s="2">
        <f>VLOOKUP(B424,Course!$A$2:$R$329,2,FALSE)</f>
        <v>0</v>
      </c>
      <c r="G424" s="2">
        <f>VLOOKUP(B424, Course!$A$2:$L$950, 8, FALSE)</f>
        <v>12</v>
      </c>
      <c r="H424" s="2">
        <v>3</v>
      </c>
      <c r="I424" s="2">
        <v>1</v>
      </c>
      <c r="K424" s="2" t="s">
        <v>1915</v>
      </c>
      <c r="L424" s="2" t="str">
        <f>VLOOKUP(B424, Course!$A$1:$O$933, 14, FALSE)</f>
        <v>BR</v>
      </c>
      <c r="M424" s="2">
        <v>1</v>
      </c>
    </row>
    <row r="425" spans="1:13" ht="15.75" hidden="1" customHeight="1" x14ac:dyDescent="0.2">
      <c r="A425" s="2">
        <v>424</v>
      </c>
      <c r="B425" s="2">
        <v>36</v>
      </c>
      <c r="C425" s="2">
        <v>53</v>
      </c>
      <c r="D425" s="2" t="s">
        <v>484</v>
      </c>
      <c r="E425" s="2" t="str">
        <f t="shared" si="1"/>
        <v>1253BR03PT</v>
      </c>
      <c r="F425" s="2">
        <f>VLOOKUP(B425,Course!$A$2:$R$329,2,FALSE)</f>
        <v>0</v>
      </c>
      <c r="G425" s="2">
        <f>VLOOKUP(B425, Course!$A$2:$L$950, 8, FALSE)</f>
        <v>12</v>
      </c>
      <c r="H425" s="2">
        <v>3</v>
      </c>
      <c r="I425" s="2">
        <v>1</v>
      </c>
      <c r="K425" s="2" t="s">
        <v>1915</v>
      </c>
      <c r="L425" s="2" t="str">
        <f>VLOOKUP(B425, Course!$A$1:$O$933, 14, FALSE)</f>
        <v>BR</v>
      </c>
      <c r="M425" s="2">
        <v>1</v>
      </c>
    </row>
    <row r="426" spans="1:13" ht="15.75" hidden="1" customHeight="1" x14ac:dyDescent="0.2">
      <c r="A426" s="2">
        <v>425</v>
      </c>
      <c r="B426" s="2">
        <v>36</v>
      </c>
      <c r="C426" s="2">
        <v>54</v>
      </c>
      <c r="D426" s="2" t="s">
        <v>484</v>
      </c>
      <c r="E426" s="2" t="str">
        <f t="shared" si="1"/>
        <v>1254BR03PT</v>
      </c>
      <c r="F426" s="2">
        <f>VLOOKUP(B426,Course!$A$2:$R$329,2,FALSE)</f>
        <v>0</v>
      </c>
      <c r="G426" s="2">
        <f>VLOOKUP(B426, Course!$A$2:$L$950, 8, FALSE)</f>
        <v>12</v>
      </c>
      <c r="H426" s="2">
        <v>3</v>
      </c>
      <c r="I426" s="2">
        <v>1</v>
      </c>
      <c r="K426" s="2" t="s">
        <v>1915</v>
      </c>
      <c r="L426" s="2" t="str">
        <f>VLOOKUP(B426, Course!$A$1:$O$933, 14, FALSE)</f>
        <v>BR</v>
      </c>
      <c r="M426" s="2">
        <v>1</v>
      </c>
    </row>
    <row r="427" spans="1:13" ht="15.75" hidden="1" customHeight="1" x14ac:dyDescent="0.2">
      <c r="A427" s="2">
        <v>426</v>
      </c>
      <c r="B427" s="2">
        <v>36</v>
      </c>
      <c r="C427" s="2">
        <v>55</v>
      </c>
      <c r="D427" s="2" t="s">
        <v>484</v>
      </c>
      <c r="E427" s="2" t="str">
        <f t="shared" si="1"/>
        <v>1255BR03PT</v>
      </c>
      <c r="F427" s="2">
        <f>VLOOKUP(B427,Course!$A$2:$R$329,2,FALSE)</f>
        <v>0</v>
      </c>
      <c r="G427" s="2">
        <f>VLOOKUP(B427, Course!$A$2:$L$950, 8, FALSE)</f>
        <v>12</v>
      </c>
      <c r="H427" s="2">
        <v>3</v>
      </c>
      <c r="I427" s="2">
        <v>1</v>
      </c>
      <c r="K427" s="2" t="s">
        <v>1915</v>
      </c>
      <c r="L427" s="2" t="str">
        <f>VLOOKUP(B427, Course!$A$1:$O$933, 14, FALSE)</f>
        <v>BR</v>
      </c>
      <c r="M427" s="2">
        <v>1</v>
      </c>
    </row>
    <row r="428" spans="1:13" ht="15.75" hidden="1" customHeight="1" x14ac:dyDescent="0.2">
      <c r="A428" s="2">
        <v>427</v>
      </c>
      <c r="B428" s="2">
        <v>36</v>
      </c>
      <c r="C428" s="2">
        <v>56</v>
      </c>
      <c r="D428" s="2" t="s">
        <v>484</v>
      </c>
      <c r="E428" s="2" t="str">
        <f t="shared" si="1"/>
        <v>1256BR03PT</v>
      </c>
      <c r="F428" s="2">
        <f>VLOOKUP(B428,Course!$A$2:$R$329,2,FALSE)</f>
        <v>0</v>
      </c>
      <c r="G428" s="2">
        <f>VLOOKUP(B428, Course!$A$2:$L$950, 8, FALSE)</f>
        <v>12</v>
      </c>
      <c r="H428" s="2">
        <v>3</v>
      </c>
      <c r="I428" s="2">
        <v>1</v>
      </c>
      <c r="K428" s="2" t="s">
        <v>1915</v>
      </c>
      <c r="L428" s="2" t="str">
        <f>VLOOKUP(B428, Course!$A$1:$O$933, 14, FALSE)</f>
        <v>BR</v>
      </c>
      <c r="M428" s="2">
        <v>1</v>
      </c>
    </row>
    <row r="429" spans="1:13" ht="15.75" hidden="1" customHeight="1" x14ac:dyDescent="0.2">
      <c r="A429" s="2">
        <v>428</v>
      </c>
      <c r="B429" s="2">
        <v>36</v>
      </c>
      <c r="C429" s="2">
        <v>57</v>
      </c>
      <c r="D429" s="2" t="s">
        <v>484</v>
      </c>
      <c r="E429" s="2" t="str">
        <f t="shared" si="1"/>
        <v>1257BR03PT</v>
      </c>
      <c r="F429" s="2">
        <f>VLOOKUP(B429,Course!$A$2:$R$329,2,FALSE)</f>
        <v>0</v>
      </c>
      <c r="G429" s="2">
        <f>VLOOKUP(B429, Course!$A$2:$L$950, 8, FALSE)</f>
        <v>12</v>
      </c>
      <c r="H429" s="2">
        <v>3</v>
      </c>
      <c r="I429" s="2">
        <v>1</v>
      </c>
      <c r="K429" s="2" t="s">
        <v>1915</v>
      </c>
      <c r="L429" s="2" t="str">
        <f>VLOOKUP(B429, Course!$A$1:$O$933, 14, FALSE)</f>
        <v>BR</v>
      </c>
      <c r="M429" s="2">
        <v>1</v>
      </c>
    </row>
    <row r="430" spans="1:13" ht="15.75" hidden="1" customHeight="1" x14ac:dyDescent="0.2">
      <c r="A430" s="2">
        <v>429</v>
      </c>
      <c r="B430" s="2">
        <v>36</v>
      </c>
      <c r="C430" s="2">
        <v>58</v>
      </c>
      <c r="D430" s="2" t="s">
        <v>484</v>
      </c>
      <c r="E430" s="2" t="str">
        <f t="shared" si="1"/>
        <v>1258BR03PT</v>
      </c>
      <c r="F430" s="2">
        <f>VLOOKUP(B430,Course!$A$2:$R$329,2,FALSE)</f>
        <v>0</v>
      </c>
      <c r="G430" s="2">
        <f>VLOOKUP(B430, Course!$A$2:$L$950, 8, FALSE)</f>
        <v>12</v>
      </c>
      <c r="H430" s="2">
        <v>3</v>
      </c>
      <c r="I430" s="2">
        <v>1</v>
      </c>
      <c r="K430" s="2" t="s">
        <v>1915</v>
      </c>
      <c r="L430" s="2" t="str">
        <f>VLOOKUP(B430, Course!$A$1:$O$933, 14, FALSE)</f>
        <v>BR</v>
      </c>
      <c r="M430" s="2">
        <v>1</v>
      </c>
    </row>
    <row r="431" spans="1:13" ht="15.75" hidden="1" customHeight="1" x14ac:dyDescent="0.2">
      <c r="A431" s="2">
        <v>430</v>
      </c>
      <c r="B431" s="2">
        <v>36</v>
      </c>
      <c r="C431" s="2">
        <v>59</v>
      </c>
      <c r="D431" s="2" t="s">
        <v>484</v>
      </c>
      <c r="E431" s="2" t="str">
        <f t="shared" si="1"/>
        <v>1259BR03PT</v>
      </c>
      <c r="F431" s="2">
        <f>VLOOKUP(B431,Course!$A$2:$R$329,2,FALSE)</f>
        <v>0</v>
      </c>
      <c r="G431" s="2">
        <f>VLOOKUP(B431, Course!$A$2:$L$950, 8, FALSE)</f>
        <v>12</v>
      </c>
      <c r="H431" s="2">
        <v>3</v>
      </c>
      <c r="I431" s="2">
        <v>1</v>
      </c>
      <c r="K431" s="2" t="s">
        <v>1915</v>
      </c>
      <c r="L431" s="2" t="str">
        <f>VLOOKUP(B431, Course!$A$1:$O$933, 14, FALSE)</f>
        <v>BR</v>
      </c>
      <c r="M431" s="2">
        <v>1</v>
      </c>
    </row>
    <row r="432" spans="1:13" ht="15.75" hidden="1" customHeight="1" x14ac:dyDescent="0.2">
      <c r="A432" s="2">
        <v>431</v>
      </c>
      <c r="B432" s="2">
        <v>36</v>
      </c>
      <c r="C432" s="2">
        <v>60</v>
      </c>
      <c r="D432" s="2" t="s">
        <v>484</v>
      </c>
      <c r="E432" s="2" t="str">
        <f t="shared" si="1"/>
        <v>1260BR03PT</v>
      </c>
      <c r="F432" s="2">
        <f>VLOOKUP(B432,Course!$A$2:$R$329,2,FALSE)</f>
        <v>0</v>
      </c>
      <c r="G432" s="2">
        <f>VLOOKUP(B432, Course!$A$2:$L$950, 8, FALSE)</f>
        <v>12</v>
      </c>
      <c r="H432" s="2">
        <v>3</v>
      </c>
      <c r="I432" s="2">
        <v>1</v>
      </c>
      <c r="K432" s="2" t="s">
        <v>1915</v>
      </c>
      <c r="L432" s="2" t="str">
        <f>VLOOKUP(B432, Course!$A$1:$O$933, 14, FALSE)</f>
        <v>BR</v>
      </c>
      <c r="M432" s="2">
        <v>1</v>
      </c>
    </row>
    <row r="433" spans="1:13" ht="15.75" hidden="1" customHeight="1" x14ac:dyDescent="0.2">
      <c r="A433" s="2">
        <v>432</v>
      </c>
      <c r="B433" s="2">
        <v>37</v>
      </c>
      <c r="C433" s="2">
        <v>61</v>
      </c>
      <c r="D433" s="2" t="s">
        <v>369</v>
      </c>
      <c r="E433" s="2" t="str">
        <f t="shared" si="1"/>
        <v>1261MA03PT</v>
      </c>
      <c r="F433" s="2">
        <f>VLOOKUP(B433,Course!$A$2:$R$329,2,FALSE)</f>
        <v>0</v>
      </c>
      <c r="G433" s="2">
        <f>VLOOKUP(B433, Course!$A$2:$L$950, 8, FALSE)</f>
        <v>12</v>
      </c>
      <c r="H433" s="2">
        <v>3</v>
      </c>
      <c r="I433" s="2">
        <v>1</v>
      </c>
      <c r="K433" s="2" t="s">
        <v>1915</v>
      </c>
      <c r="L433" s="2" t="str">
        <f>VLOOKUP(B433, Course!$A$1:$O$933, 14, FALSE)</f>
        <v>MA</v>
      </c>
      <c r="M433" s="2">
        <v>1</v>
      </c>
    </row>
    <row r="434" spans="1:13" ht="15.75" hidden="1" customHeight="1" x14ac:dyDescent="0.2">
      <c r="A434" s="2">
        <v>433</v>
      </c>
      <c r="B434" s="2">
        <v>37</v>
      </c>
      <c r="C434" s="2">
        <v>62</v>
      </c>
      <c r="D434" s="2" t="s">
        <v>369</v>
      </c>
      <c r="E434" s="2" t="str">
        <f t="shared" si="1"/>
        <v>1262MA03PT</v>
      </c>
      <c r="F434" s="2">
        <f>VLOOKUP(B434,Course!$A$2:$R$329,2,FALSE)</f>
        <v>0</v>
      </c>
      <c r="G434" s="2">
        <f>VLOOKUP(B434, Course!$A$2:$L$950, 8, FALSE)</f>
        <v>12</v>
      </c>
      <c r="H434" s="2">
        <v>3</v>
      </c>
      <c r="I434" s="2">
        <v>1</v>
      </c>
      <c r="K434" s="2" t="s">
        <v>1915</v>
      </c>
      <c r="L434" s="2" t="str">
        <f>VLOOKUP(B434, Course!$A$1:$O$933, 14, FALSE)</f>
        <v>MA</v>
      </c>
      <c r="M434" s="2">
        <v>1</v>
      </c>
    </row>
    <row r="435" spans="1:13" ht="15.75" hidden="1" customHeight="1" x14ac:dyDescent="0.2">
      <c r="A435" s="2">
        <v>434</v>
      </c>
      <c r="B435" s="2">
        <v>37</v>
      </c>
      <c r="C435" s="2">
        <v>63</v>
      </c>
      <c r="D435" s="2" t="s">
        <v>369</v>
      </c>
      <c r="E435" s="2" t="str">
        <f t="shared" si="1"/>
        <v>1263MA03PT</v>
      </c>
      <c r="F435" s="2">
        <f>VLOOKUP(B435,Course!$A$2:$R$329,2,FALSE)</f>
        <v>0</v>
      </c>
      <c r="G435" s="2">
        <f>VLOOKUP(B435, Course!$A$2:$L$950, 8, FALSE)</f>
        <v>12</v>
      </c>
      <c r="H435" s="2">
        <v>3</v>
      </c>
      <c r="I435" s="2">
        <v>1</v>
      </c>
      <c r="K435" s="2" t="s">
        <v>1915</v>
      </c>
      <c r="L435" s="2" t="str">
        <f>VLOOKUP(B435, Course!$A$1:$O$933, 14, FALSE)</f>
        <v>MA</v>
      </c>
      <c r="M435" s="2">
        <v>1</v>
      </c>
    </row>
    <row r="436" spans="1:13" ht="15.75" hidden="1" customHeight="1" x14ac:dyDescent="0.2">
      <c r="A436" s="2">
        <v>435</v>
      </c>
      <c r="B436" s="2">
        <v>37</v>
      </c>
      <c r="C436" s="2">
        <v>64</v>
      </c>
      <c r="D436" s="2" t="s">
        <v>369</v>
      </c>
      <c r="E436" s="2" t="str">
        <f t="shared" si="1"/>
        <v>1264MA03PT</v>
      </c>
      <c r="F436" s="2">
        <f>VLOOKUP(B436,Course!$A$2:$R$329,2,FALSE)</f>
        <v>0</v>
      </c>
      <c r="G436" s="2">
        <f>VLOOKUP(B436, Course!$A$2:$L$950, 8, FALSE)</f>
        <v>12</v>
      </c>
      <c r="H436" s="2">
        <v>3</v>
      </c>
      <c r="I436" s="2">
        <v>1</v>
      </c>
      <c r="K436" s="2" t="s">
        <v>1915</v>
      </c>
      <c r="L436" s="2" t="str">
        <f>VLOOKUP(B436, Course!$A$1:$O$933, 14, FALSE)</f>
        <v>MA</v>
      </c>
      <c r="M436" s="2">
        <v>1</v>
      </c>
    </row>
    <row r="437" spans="1:13" ht="15.75" hidden="1" customHeight="1" x14ac:dyDescent="0.2">
      <c r="A437" s="2">
        <v>436</v>
      </c>
      <c r="B437" s="2">
        <v>37</v>
      </c>
      <c r="C437" s="2">
        <v>65</v>
      </c>
      <c r="D437" s="2" t="s">
        <v>369</v>
      </c>
      <c r="E437" s="2" t="str">
        <f t="shared" si="1"/>
        <v>1265MA03PT</v>
      </c>
      <c r="F437" s="2">
        <f>VLOOKUP(B437,Course!$A$2:$R$329,2,FALSE)</f>
        <v>0</v>
      </c>
      <c r="G437" s="2">
        <f>VLOOKUP(B437, Course!$A$2:$L$950, 8, FALSE)</f>
        <v>12</v>
      </c>
      <c r="H437" s="2">
        <v>3</v>
      </c>
      <c r="I437" s="2">
        <v>1</v>
      </c>
      <c r="K437" s="2" t="s">
        <v>1915</v>
      </c>
      <c r="L437" s="2" t="str">
        <f>VLOOKUP(B437, Course!$A$1:$O$933, 14, FALSE)</f>
        <v>MA</v>
      </c>
      <c r="M437" s="2">
        <v>1</v>
      </c>
    </row>
    <row r="438" spans="1:13" ht="15.75" hidden="1" customHeight="1" x14ac:dyDescent="0.2">
      <c r="A438" s="2">
        <v>437</v>
      </c>
      <c r="B438" s="2">
        <v>37</v>
      </c>
      <c r="C438" s="2">
        <v>66</v>
      </c>
      <c r="D438" s="2" t="s">
        <v>369</v>
      </c>
      <c r="E438" s="2" t="str">
        <f t="shared" si="1"/>
        <v>1266MA03PT</v>
      </c>
      <c r="F438" s="2">
        <f>VLOOKUP(B438,Course!$A$2:$R$329,2,FALSE)</f>
        <v>0</v>
      </c>
      <c r="G438" s="2">
        <f>VLOOKUP(B438, Course!$A$2:$L$950, 8, FALSE)</f>
        <v>12</v>
      </c>
      <c r="H438" s="2">
        <v>3</v>
      </c>
      <c r="I438" s="2">
        <v>1</v>
      </c>
      <c r="K438" s="2" t="s">
        <v>1915</v>
      </c>
      <c r="L438" s="2" t="str">
        <f>VLOOKUP(B438, Course!$A$1:$O$933, 14, FALSE)</f>
        <v>MA</v>
      </c>
      <c r="M438" s="2">
        <v>1</v>
      </c>
    </row>
    <row r="439" spans="1:13" ht="15.75" hidden="1" customHeight="1" x14ac:dyDescent="0.2">
      <c r="A439" s="2">
        <v>438</v>
      </c>
      <c r="B439" s="2">
        <v>37</v>
      </c>
      <c r="C439" s="2">
        <v>67</v>
      </c>
      <c r="D439" s="2" t="s">
        <v>369</v>
      </c>
      <c r="E439" s="2" t="str">
        <f t="shared" si="1"/>
        <v>1267MA03PT</v>
      </c>
      <c r="F439" s="2">
        <f>VLOOKUP(B439,Course!$A$2:$R$329,2,FALSE)</f>
        <v>0</v>
      </c>
      <c r="G439" s="2">
        <f>VLOOKUP(B439, Course!$A$2:$L$950, 8, FALSE)</f>
        <v>12</v>
      </c>
      <c r="H439" s="2">
        <v>3</v>
      </c>
      <c r="I439" s="2">
        <v>1</v>
      </c>
      <c r="K439" s="2" t="s">
        <v>1915</v>
      </c>
      <c r="L439" s="2" t="str">
        <f>VLOOKUP(B439, Course!$A$1:$O$933, 14, FALSE)</f>
        <v>MA</v>
      </c>
      <c r="M439" s="2">
        <v>1</v>
      </c>
    </row>
    <row r="440" spans="1:13" ht="15.75" hidden="1" customHeight="1" x14ac:dyDescent="0.2">
      <c r="A440" s="2">
        <v>439</v>
      </c>
      <c r="B440" s="2">
        <v>37</v>
      </c>
      <c r="C440" s="2">
        <v>68</v>
      </c>
      <c r="D440" s="2" t="s">
        <v>369</v>
      </c>
      <c r="E440" s="2" t="str">
        <f t="shared" si="1"/>
        <v>1268MA03PT</v>
      </c>
      <c r="F440" s="2">
        <f>VLOOKUP(B440,Course!$A$2:$R$329,2,FALSE)</f>
        <v>0</v>
      </c>
      <c r="G440" s="2">
        <f>VLOOKUP(B440, Course!$A$2:$L$950, 8, FALSE)</f>
        <v>12</v>
      </c>
      <c r="H440" s="2">
        <v>3</v>
      </c>
      <c r="I440" s="2">
        <v>1</v>
      </c>
      <c r="K440" s="2" t="s">
        <v>1915</v>
      </c>
      <c r="L440" s="2" t="str">
        <f>VLOOKUP(B440, Course!$A$1:$O$933, 14, FALSE)</f>
        <v>MA</v>
      </c>
      <c r="M440" s="2">
        <v>1</v>
      </c>
    </row>
    <row r="441" spans="1:13" ht="15.75" hidden="1" customHeight="1" x14ac:dyDescent="0.2">
      <c r="A441" s="2">
        <v>440</v>
      </c>
      <c r="B441" s="2">
        <v>37</v>
      </c>
      <c r="C441" s="2">
        <v>69</v>
      </c>
      <c r="D441" s="2" t="s">
        <v>369</v>
      </c>
      <c r="E441" s="2" t="str">
        <f t="shared" si="1"/>
        <v>1269MA03PT</v>
      </c>
      <c r="F441" s="2">
        <f>VLOOKUP(B441,Course!$A$2:$R$329,2,FALSE)</f>
        <v>0</v>
      </c>
      <c r="G441" s="2">
        <f>VLOOKUP(B441, Course!$A$2:$L$950, 8, FALSE)</f>
        <v>12</v>
      </c>
      <c r="H441" s="2">
        <v>3</v>
      </c>
      <c r="I441" s="2">
        <v>1</v>
      </c>
      <c r="K441" s="2" t="s">
        <v>1915</v>
      </c>
      <c r="L441" s="2" t="str">
        <f>VLOOKUP(B441, Course!$A$1:$O$933, 14, FALSE)</f>
        <v>MA</v>
      </c>
      <c r="M441" s="2">
        <v>1</v>
      </c>
    </row>
    <row r="442" spans="1:13" ht="15.75" hidden="1" customHeight="1" x14ac:dyDescent="0.2">
      <c r="A442" s="2">
        <v>441</v>
      </c>
      <c r="B442" s="2">
        <v>37</v>
      </c>
      <c r="C442" s="2">
        <v>70</v>
      </c>
      <c r="D442" s="2" t="s">
        <v>369</v>
      </c>
      <c r="E442" s="2" t="str">
        <f t="shared" si="1"/>
        <v>1270MA03PT</v>
      </c>
      <c r="F442" s="2">
        <f>VLOOKUP(B442,Course!$A$2:$R$329,2,FALSE)</f>
        <v>0</v>
      </c>
      <c r="G442" s="2">
        <f>VLOOKUP(B442, Course!$A$2:$L$950, 8, FALSE)</f>
        <v>12</v>
      </c>
      <c r="H442" s="2">
        <v>3</v>
      </c>
      <c r="I442" s="2">
        <v>1</v>
      </c>
      <c r="K442" s="2" t="s">
        <v>1915</v>
      </c>
      <c r="L442" s="2" t="str">
        <f>VLOOKUP(B442, Course!$A$1:$O$933, 14, FALSE)</f>
        <v>MA</v>
      </c>
      <c r="M442" s="2">
        <v>1</v>
      </c>
    </row>
    <row r="443" spans="1:13" ht="15.75" hidden="1" customHeight="1" x14ac:dyDescent="0.2">
      <c r="A443" s="2">
        <v>442</v>
      </c>
      <c r="B443" s="2">
        <v>37</v>
      </c>
      <c r="C443" s="2">
        <v>71</v>
      </c>
      <c r="D443" s="2" t="s">
        <v>369</v>
      </c>
      <c r="E443" s="2" t="str">
        <f t="shared" si="1"/>
        <v>1271MA03PT</v>
      </c>
      <c r="F443" s="2">
        <f>VLOOKUP(B443,Course!$A$2:$R$329,2,FALSE)</f>
        <v>0</v>
      </c>
      <c r="G443" s="2">
        <f>VLOOKUP(B443, Course!$A$2:$L$950, 8, FALSE)</f>
        <v>12</v>
      </c>
      <c r="H443" s="2">
        <v>3</v>
      </c>
      <c r="I443" s="2">
        <v>1</v>
      </c>
      <c r="K443" s="2" t="s">
        <v>1915</v>
      </c>
      <c r="L443" s="2" t="str">
        <f>VLOOKUP(B443, Course!$A$1:$O$933, 14, FALSE)</f>
        <v>MA</v>
      </c>
      <c r="M443" s="2">
        <v>1</v>
      </c>
    </row>
    <row r="444" spans="1:13" ht="15.75" hidden="1" customHeight="1" x14ac:dyDescent="0.2">
      <c r="A444" s="2">
        <v>443</v>
      </c>
      <c r="B444" s="2">
        <v>37</v>
      </c>
      <c r="C444" s="2">
        <v>72</v>
      </c>
      <c r="D444" s="2" t="s">
        <v>369</v>
      </c>
      <c r="E444" s="2" t="str">
        <f t="shared" si="1"/>
        <v>1272MA03PT</v>
      </c>
      <c r="F444" s="2">
        <f>VLOOKUP(B444,Course!$A$2:$R$329,2,FALSE)</f>
        <v>0</v>
      </c>
      <c r="G444" s="2">
        <f>VLOOKUP(B444, Course!$A$2:$L$950, 8, FALSE)</f>
        <v>12</v>
      </c>
      <c r="H444" s="2">
        <v>3</v>
      </c>
      <c r="I444" s="2">
        <v>1</v>
      </c>
      <c r="K444" s="2" t="s">
        <v>1915</v>
      </c>
      <c r="L444" s="2" t="str">
        <f>VLOOKUP(B444, Course!$A$1:$O$933, 14, FALSE)</f>
        <v>MA</v>
      </c>
      <c r="M444" s="2">
        <v>1</v>
      </c>
    </row>
    <row r="445" spans="1:13" ht="15.75" hidden="1" customHeight="1" x14ac:dyDescent="0.2">
      <c r="A445" s="2">
        <v>444</v>
      </c>
      <c r="B445" s="2">
        <v>38</v>
      </c>
      <c r="C445" s="2">
        <v>61</v>
      </c>
      <c r="D445" s="2" t="s">
        <v>476</v>
      </c>
      <c r="E445" s="2" t="str">
        <f t="shared" si="1"/>
        <v>1261EN03PT</v>
      </c>
      <c r="F445" s="2">
        <f>VLOOKUP(B445,Course!$A$2:$R$329,2,FALSE)</f>
        <v>0</v>
      </c>
      <c r="G445" s="2">
        <f>VLOOKUP(B445, Course!$A$2:$L$950, 8, FALSE)</f>
        <v>12</v>
      </c>
      <c r="H445" s="2">
        <v>3</v>
      </c>
      <c r="I445" s="2">
        <v>1</v>
      </c>
      <c r="K445" s="2" t="s">
        <v>1915</v>
      </c>
      <c r="L445" s="2" t="str">
        <f>VLOOKUP(B445, Course!$A$1:$O$933, 14, FALSE)</f>
        <v>EN</v>
      </c>
      <c r="M445" s="2">
        <v>1</v>
      </c>
    </row>
    <row r="446" spans="1:13" ht="15.75" hidden="1" customHeight="1" x14ac:dyDescent="0.2">
      <c r="A446" s="2">
        <v>445</v>
      </c>
      <c r="B446" s="2">
        <v>38</v>
      </c>
      <c r="C446" s="2">
        <v>62</v>
      </c>
      <c r="D446" s="2" t="s">
        <v>476</v>
      </c>
      <c r="E446" s="2" t="str">
        <f t="shared" si="1"/>
        <v>1262EN03PT</v>
      </c>
      <c r="F446" s="2">
        <f>VLOOKUP(B446,Course!$A$2:$R$329,2,FALSE)</f>
        <v>0</v>
      </c>
      <c r="G446" s="2">
        <f>VLOOKUP(B446, Course!$A$2:$L$950, 8, FALSE)</f>
        <v>12</v>
      </c>
      <c r="H446" s="2">
        <v>3</v>
      </c>
      <c r="I446" s="2">
        <v>1</v>
      </c>
      <c r="K446" s="2" t="s">
        <v>1915</v>
      </c>
      <c r="L446" s="2" t="str">
        <f>VLOOKUP(B446, Course!$A$1:$O$933, 14, FALSE)</f>
        <v>EN</v>
      </c>
      <c r="M446" s="2">
        <v>1</v>
      </c>
    </row>
    <row r="447" spans="1:13" ht="15.75" hidden="1" customHeight="1" x14ac:dyDescent="0.2">
      <c r="A447" s="2">
        <v>446</v>
      </c>
      <c r="B447" s="2">
        <v>38</v>
      </c>
      <c r="C447" s="2">
        <v>63</v>
      </c>
      <c r="D447" s="2" t="s">
        <v>476</v>
      </c>
      <c r="E447" s="2" t="str">
        <f t="shared" si="1"/>
        <v>1263EN03PT</v>
      </c>
      <c r="F447" s="2">
        <f>VLOOKUP(B447,Course!$A$2:$R$329,2,FALSE)</f>
        <v>0</v>
      </c>
      <c r="G447" s="2">
        <f>VLOOKUP(B447, Course!$A$2:$L$950, 8, FALSE)</f>
        <v>12</v>
      </c>
      <c r="H447" s="2">
        <v>3</v>
      </c>
      <c r="I447" s="2">
        <v>1</v>
      </c>
      <c r="K447" s="2" t="s">
        <v>1915</v>
      </c>
      <c r="L447" s="2" t="str">
        <f>VLOOKUP(B447, Course!$A$1:$O$933, 14, FALSE)</f>
        <v>EN</v>
      </c>
      <c r="M447" s="2">
        <v>1</v>
      </c>
    </row>
    <row r="448" spans="1:13" ht="15.75" hidden="1" customHeight="1" x14ac:dyDescent="0.2">
      <c r="A448" s="2">
        <v>447</v>
      </c>
      <c r="B448" s="2">
        <v>38</v>
      </c>
      <c r="C448" s="2">
        <v>64</v>
      </c>
      <c r="D448" s="2" t="s">
        <v>476</v>
      </c>
      <c r="E448" s="2" t="str">
        <f t="shared" si="1"/>
        <v>1264EN03PT</v>
      </c>
      <c r="F448" s="2">
        <f>VLOOKUP(B448,Course!$A$2:$R$329,2,FALSE)</f>
        <v>0</v>
      </c>
      <c r="G448" s="2">
        <f>VLOOKUP(B448, Course!$A$2:$L$950, 8, FALSE)</f>
        <v>12</v>
      </c>
      <c r="H448" s="2">
        <v>3</v>
      </c>
      <c r="I448" s="2">
        <v>1</v>
      </c>
      <c r="K448" s="2" t="s">
        <v>1915</v>
      </c>
      <c r="L448" s="2" t="str">
        <f>VLOOKUP(B448, Course!$A$1:$O$933, 14, FALSE)</f>
        <v>EN</v>
      </c>
      <c r="M448" s="2">
        <v>1</v>
      </c>
    </row>
    <row r="449" spans="1:13" ht="15.75" hidden="1" customHeight="1" x14ac:dyDescent="0.2">
      <c r="A449" s="2">
        <v>448</v>
      </c>
      <c r="B449" s="2">
        <v>38</v>
      </c>
      <c r="C449" s="2">
        <v>65</v>
      </c>
      <c r="D449" s="2" t="s">
        <v>476</v>
      </c>
      <c r="E449" s="2" t="str">
        <f t="shared" si="1"/>
        <v>1265EN03PT</v>
      </c>
      <c r="F449" s="2">
        <f>VLOOKUP(B449,Course!$A$2:$R$329,2,FALSE)</f>
        <v>0</v>
      </c>
      <c r="G449" s="2">
        <f>VLOOKUP(B449, Course!$A$2:$L$950, 8, FALSE)</f>
        <v>12</v>
      </c>
      <c r="H449" s="2">
        <v>3</v>
      </c>
      <c r="I449" s="2">
        <v>1</v>
      </c>
      <c r="K449" s="2" t="s">
        <v>1915</v>
      </c>
      <c r="L449" s="2" t="str">
        <f>VLOOKUP(B449, Course!$A$1:$O$933, 14, FALSE)</f>
        <v>EN</v>
      </c>
      <c r="M449" s="2">
        <v>1</v>
      </c>
    </row>
    <row r="450" spans="1:13" ht="15.75" hidden="1" customHeight="1" x14ac:dyDescent="0.2">
      <c r="A450" s="2">
        <v>449</v>
      </c>
      <c r="B450" s="2">
        <v>38</v>
      </c>
      <c r="C450" s="2">
        <v>66</v>
      </c>
      <c r="D450" s="2" t="s">
        <v>476</v>
      </c>
      <c r="E450" s="2" t="str">
        <f t="shared" si="1"/>
        <v>1266EN03PT</v>
      </c>
      <c r="F450" s="2">
        <f>VLOOKUP(B450,Course!$A$2:$R$329,2,FALSE)</f>
        <v>0</v>
      </c>
      <c r="G450" s="2">
        <f>VLOOKUP(B450, Course!$A$2:$L$950, 8, FALSE)</f>
        <v>12</v>
      </c>
      <c r="H450" s="2">
        <v>3</v>
      </c>
      <c r="I450" s="2">
        <v>1</v>
      </c>
      <c r="K450" s="2" t="s">
        <v>1915</v>
      </c>
      <c r="L450" s="2" t="str">
        <f>VLOOKUP(B450, Course!$A$1:$O$933, 14, FALSE)</f>
        <v>EN</v>
      </c>
      <c r="M450" s="2">
        <v>1</v>
      </c>
    </row>
    <row r="451" spans="1:13" ht="15.75" hidden="1" customHeight="1" x14ac:dyDescent="0.2">
      <c r="A451" s="2">
        <v>450</v>
      </c>
      <c r="B451" s="2">
        <v>38</v>
      </c>
      <c r="C451" s="2">
        <v>67</v>
      </c>
      <c r="D451" s="2" t="s">
        <v>476</v>
      </c>
      <c r="E451" s="2" t="str">
        <f t="shared" si="1"/>
        <v>1267EN03PT</v>
      </c>
      <c r="F451" s="2">
        <f>VLOOKUP(B451,Course!$A$2:$R$329,2,FALSE)</f>
        <v>0</v>
      </c>
      <c r="G451" s="2">
        <f>VLOOKUP(B451, Course!$A$2:$L$950, 8, FALSE)</f>
        <v>12</v>
      </c>
      <c r="H451" s="2">
        <v>3</v>
      </c>
      <c r="I451" s="2">
        <v>1</v>
      </c>
      <c r="K451" s="2" t="s">
        <v>1915</v>
      </c>
      <c r="L451" s="2" t="str">
        <f>VLOOKUP(B451, Course!$A$1:$O$933, 14, FALSE)</f>
        <v>EN</v>
      </c>
      <c r="M451" s="2">
        <v>1</v>
      </c>
    </row>
    <row r="452" spans="1:13" ht="15.75" hidden="1" customHeight="1" x14ac:dyDescent="0.2">
      <c r="A452" s="2">
        <v>451</v>
      </c>
      <c r="B452" s="2">
        <v>38</v>
      </c>
      <c r="C452" s="2">
        <v>68</v>
      </c>
      <c r="D452" s="2" t="s">
        <v>476</v>
      </c>
      <c r="E452" s="2" t="str">
        <f t="shared" si="1"/>
        <v>1268EN03PT</v>
      </c>
      <c r="F452" s="2">
        <f>VLOOKUP(B452,Course!$A$2:$R$329,2,FALSE)</f>
        <v>0</v>
      </c>
      <c r="G452" s="2">
        <f>VLOOKUP(B452, Course!$A$2:$L$950, 8, FALSE)</f>
        <v>12</v>
      </c>
      <c r="H452" s="2">
        <v>3</v>
      </c>
      <c r="I452" s="2">
        <v>1</v>
      </c>
      <c r="K452" s="2" t="s">
        <v>1915</v>
      </c>
      <c r="L452" s="2" t="str">
        <f>VLOOKUP(B452, Course!$A$1:$O$933, 14, FALSE)</f>
        <v>EN</v>
      </c>
      <c r="M452" s="2">
        <v>1</v>
      </c>
    </row>
    <row r="453" spans="1:13" ht="15.75" hidden="1" customHeight="1" x14ac:dyDescent="0.2">
      <c r="A453" s="2">
        <v>452</v>
      </c>
      <c r="B453" s="2">
        <v>38</v>
      </c>
      <c r="C453" s="2">
        <v>69</v>
      </c>
      <c r="D453" s="2" t="s">
        <v>476</v>
      </c>
      <c r="E453" s="2" t="str">
        <f t="shared" si="1"/>
        <v>1269EN03PT</v>
      </c>
      <c r="F453" s="2">
        <f>VLOOKUP(B453,Course!$A$2:$R$329,2,FALSE)</f>
        <v>0</v>
      </c>
      <c r="G453" s="2">
        <f>VLOOKUP(B453, Course!$A$2:$L$950, 8, FALSE)</f>
        <v>12</v>
      </c>
      <c r="H453" s="2">
        <v>3</v>
      </c>
      <c r="I453" s="2">
        <v>1</v>
      </c>
      <c r="K453" s="2" t="s">
        <v>1915</v>
      </c>
      <c r="L453" s="2" t="str">
        <f>VLOOKUP(B453, Course!$A$1:$O$933, 14, FALSE)</f>
        <v>EN</v>
      </c>
      <c r="M453" s="2">
        <v>1</v>
      </c>
    </row>
    <row r="454" spans="1:13" ht="15.75" hidden="1" customHeight="1" x14ac:dyDescent="0.2">
      <c r="A454" s="2">
        <v>453</v>
      </c>
      <c r="B454" s="2">
        <v>38</v>
      </c>
      <c r="C454" s="2">
        <v>70</v>
      </c>
      <c r="D454" s="2" t="s">
        <v>476</v>
      </c>
      <c r="E454" s="2" t="str">
        <f t="shared" si="1"/>
        <v>1270EN03PT</v>
      </c>
      <c r="F454" s="2">
        <f>VLOOKUP(B454,Course!$A$2:$R$329,2,FALSE)</f>
        <v>0</v>
      </c>
      <c r="G454" s="2">
        <f>VLOOKUP(B454, Course!$A$2:$L$950, 8, FALSE)</f>
        <v>12</v>
      </c>
      <c r="H454" s="2">
        <v>3</v>
      </c>
      <c r="I454" s="2">
        <v>1</v>
      </c>
      <c r="K454" s="2" t="s">
        <v>1915</v>
      </c>
      <c r="L454" s="2" t="str">
        <f>VLOOKUP(B454, Course!$A$1:$O$933, 14, FALSE)</f>
        <v>EN</v>
      </c>
      <c r="M454" s="2">
        <v>1</v>
      </c>
    </row>
    <row r="455" spans="1:13" ht="15.75" hidden="1" customHeight="1" x14ac:dyDescent="0.2">
      <c r="A455" s="2">
        <v>454</v>
      </c>
      <c r="B455" s="2">
        <v>38</v>
      </c>
      <c r="C455" s="2">
        <v>71</v>
      </c>
      <c r="D455" s="2" t="s">
        <v>476</v>
      </c>
      <c r="E455" s="2" t="str">
        <f t="shared" si="1"/>
        <v>1271EN03PT</v>
      </c>
      <c r="F455" s="2">
        <f>VLOOKUP(B455,Course!$A$2:$R$329,2,FALSE)</f>
        <v>0</v>
      </c>
      <c r="G455" s="2">
        <f>VLOOKUP(B455, Course!$A$2:$L$950, 8, FALSE)</f>
        <v>12</v>
      </c>
      <c r="H455" s="2">
        <v>3</v>
      </c>
      <c r="I455" s="2">
        <v>1</v>
      </c>
      <c r="K455" s="2" t="s">
        <v>1915</v>
      </c>
      <c r="L455" s="2" t="str">
        <f>VLOOKUP(B455, Course!$A$1:$O$933, 14, FALSE)</f>
        <v>EN</v>
      </c>
      <c r="M455" s="2">
        <v>1</v>
      </c>
    </row>
    <row r="456" spans="1:13" ht="15.75" hidden="1" customHeight="1" x14ac:dyDescent="0.2">
      <c r="A456" s="2">
        <v>455</v>
      </c>
      <c r="B456" s="2">
        <v>38</v>
      </c>
      <c r="C456" s="2">
        <v>72</v>
      </c>
      <c r="D456" s="2" t="s">
        <v>476</v>
      </c>
      <c r="E456" s="2" t="str">
        <f t="shared" si="1"/>
        <v>1272EN03PT</v>
      </c>
      <c r="F456" s="2">
        <f>VLOOKUP(B456,Course!$A$2:$R$329,2,FALSE)</f>
        <v>0</v>
      </c>
      <c r="G456" s="2">
        <f>VLOOKUP(B456, Course!$A$2:$L$950, 8, FALSE)</f>
        <v>12</v>
      </c>
      <c r="H456" s="2">
        <v>3</v>
      </c>
      <c r="I456" s="2">
        <v>1</v>
      </c>
      <c r="K456" s="2" t="s">
        <v>1915</v>
      </c>
      <c r="L456" s="2" t="str">
        <f>VLOOKUP(B456, Course!$A$1:$O$933, 14, FALSE)</f>
        <v>EN</v>
      </c>
      <c r="M456" s="2">
        <v>1</v>
      </c>
    </row>
    <row r="457" spans="1:13" ht="15.75" hidden="1" customHeight="1" x14ac:dyDescent="0.2">
      <c r="A457" s="2">
        <v>456</v>
      </c>
      <c r="B457" s="2">
        <v>39</v>
      </c>
      <c r="C457" s="2">
        <v>61</v>
      </c>
      <c r="D457" s="2" t="s">
        <v>373</v>
      </c>
      <c r="E457" s="2" t="str">
        <f t="shared" si="1"/>
        <v>1261WB03PT</v>
      </c>
      <c r="F457" s="2">
        <f>VLOOKUP(B457,Course!$A$2:$R$329,2,FALSE)</f>
        <v>0</v>
      </c>
      <c r="G457" s="2">
        <f>VLOOKUP(B457, Course!$A$2:$L$950, 8, FALSE)</f>
        <v>12</v>
      </c>
      <c r="H457" s="2">
        <v>3</v>
      </c>
      <c r="I457" s="2">
        <v>1</v>
      </c>
      <c r="K457" s="2" t="s">
        <v>1915</v>
      </c>
      <c r="L457" s="2" t="str">
        <f>VLOOKUP(B457, Course!$A$1:$O$933, 14, FALSE)</f>
        <v>WB</v>
      </c>
      <c r="M457" s="2">
        <v>1</v>
      </c>
    </row>
    <row r="458" spans="1:13" ht="15.75" hidden="1" customHeight="1" x14ac:dyDescent="0.2">
      <c r="A458" s="2">
        <v>457</v>
      </c>
      <c r="B458" s="2">
        <v>39</v>
      </c>
      <c r="C458" s="2">
        <v>62</v>
      </c>
      <c r="D458" s="2" t="s">
        <v>373</v>
      </c>
      <c r="E458" s="2" t="str">
        <f t="shared" si="1"/>
        <v>1262WB03PT</v>
      </c>
      <c r="F458" s="2">
        <f>VLOOKUP(B458,Course!$A$2:$R$329,2,FALSE)</f>
        <v>0</v>
      </c>
      <c r="G458" s="2">
        <f>VLOOKUP(B458, Course!$A$2:$L$950, 8, FALSE)</f>
        <v>12</v>
      </c>
      <c r="H458" s="2">
        <v>3</v>
      </c>
      <c r="I458" s="2">
        <v>1</v>
      </c>
      <c r="K458" s="2" t="s">
        <v>1915</v>
      </c>
      <c r="L458" s="2" t="str">
        <f>VLOOKUP(B458, Course!$A$1:$O$933, 14, FALSE)</f>
        <v>WB</v>
      </c>
      <c r="M458" s="2">
        <v>1</v>
      </c>
    </row>
    <row r="459" spans="1:13" ht="15.75" hidden="1" customHeight="1" x14ac:dyDescent="0.2">
      <c r="A459" s="2">
        <v>458</v>
      </c>
      <c r="B459" s="2">
        <v>39</v>
      </c>
      <c r="C459" s="2">
        <v>63</v>
      </c>
      <c r="D459" s="2" t="s">
        <v>373</v>
      </c>
      <c r="E459" s="2" t="str">
        <f t="shared" si="1"/>
        <v>1263WB03PT</v>
      </c>
      <c r="F459" s="2">
        <f>VLOOKUP(B459,Course!$A$2:$R$329,2,FALSE)</f>
        <v>0</v>
      </c>
      <c r="G459" s="2">
        <f>VLOOKUP(B459, Course!$A$2:$L$950, 8, FALSE)</f>
        <v>12</v>
      </c>
      <c r="H459" s="2">
        <v>3</v>
      </c>
      <c r="I459" s="2">
        <v>1</v>
      </c>
      <c r="K459" s="2" t="s">
        <v>1915</v>
      </c>
      <c r="L459" s="2" t="str">
        <f>VLOOKUP(B459, Course!$A$1:$O$933, 14, FALSE)</f>
        <v>WB</v>
      </c>
      <c r="M459" s="2">
        <v>1</v>
      </c>
    </row>
    <row r="460" spans="1:13" ht="15.75" hidden="1" customHeight="1" x14ac:dyDescent="0.2">
      <c r="A460" s="2">
        <v>459</v>
      </c>
      <c r="B460" s="2">
        <v>39</v>
      </c>
      <c r="C460" s="2">
        <v>64</v>
      </c>
      <c r="D460" s="2" t="s">
        <v>373</v>
      </c>
      <c r="E460" s="2" t="str">
        <f t="shared" si="1"/>
        <v>1264WB03PT</v>
      </c>
      <c r="F460" s="2">
        <f>VLOOKUP(B460,Course!$A$2:$R$329,2,FALSE)</f>
        <v>0</v>
      </c>
      <c r="G460" s="2">
        <f>VLOOKUP(B460, Course!$A$2:$L$950, 8, FALSE)</f>
        <v>12</v>
      </c>
      <c r="H460" s="2">
        <v>3</v>
      </c>
      <c r="I460" s="2">
        <v>1</v>
      </c>
      <c r="K460" s="2" t="s">
        <v>1915</v>
      </c>
      <c r="L460" s="2" t="str">
        <f>VLOOKUP(B460, Course!$A$1:$O$933, 14, FALSE)</f>
        <v>WB</v>
      </c>
      <c r="M460" s="2">
        <v>1</v>
      </c>
    </row>
    <row r="461" spans="1:13" ht="15.75" hidden="1" customHeight="1" x14ac:dyDescent="0.2">
      <c r="A461" s="2">
        <v>460</v>
      </c>
      <c r="B461" s="2">
        <v>39</v>
      </c>
      <c r="C461" s="2">
        <v>65</v>
      </c>
      <c r="D461" s="2" t="s">
        <v>373</v>
      </c>
      <c r="E461" s="2" t="str">
        <f t="shared" si="1"/>
        <v>1265WB03PT</v>
      </c>
      <c r="F461" s="2">
        <f>VLOOKUP(B461,Course!$A$2:$R$329,2,FALSE)</f>
        <v>0</v>
      </c>
      <c r="G461" s="2">
        <f>VLOOKUP(B461, Course!$A$2:$L$950, 8, FALSE)</f>
        <v>12</v>
      </c>
      <c r="H461" s="2">
        <v>3</v>
      </c>
      <c r="I461" s="2">
        <v>1</v>
      </c>
      <c r="K461" s="2" t="s">
        <v>1915</v>
      </c>
      <c r="L461" s="2" t="str">
        <f>VLOOKUP(B461, Course!$A$1:$O$933, 14, FALSE)</f>
        <v>WB</v>
      </c>
      <c r="M461" s="2">
        <v>1</v>
      </c>
    </row>
    <row r="462" spans="1:13" ht="15.75" hidden="1" customHeight="1" x14ac:dyDescent="0.2">
      <c r="A462" s="2">
        <v>461</v>
      </c>
      <c r="B462" s="2">
        <v>39</v>
      </c>
      <c r="C462" s="2">
        <v>66</v>
      </c>
      <c r="D462" s="2" t="s">
        <v>373</v>
      </c>
      <c r="E462" s="2" t="str">
        <f t="shared" si="1"/>
        <v>1266WB03PT</v>
      </c>
      <c r="F462" s="2">
        <f>VLOOKUP(B462,Course!$A$2:$R$329,2,FALSE)</f>
        <v>0</v>
      </c>
      <c r="G462" s="2">
        <f>VLOOKUP(B462, Course!$A$2:$L$950, 8, FALSE)</f>
        <v>12</v>
      </c>
      <c r="H462" s="2">
        <v>3</v>
      </c>
      <c r="I462" s="2">
        <v>1</v>
      </c>
      <c r="K462" s="2" t="s">
        <v>1915</v>
      </c>
      <c r="L462" s="2" t="str">
        <f>VLOOKUP(B462, Course!$A$1:$O$933, 14, FALSE)</f>
        <v>WB</v>
      </c>
      <c r="M462" s="2">
        <v>1</v>
      </c>
    </row>
    <row r="463" spans="1:13" ht="15.75" hidden="1" customHeight="1" x14ac:dyDescent="0.2">
      <c r="A463" s="2">
        <v>462</v>
      </c>
      <c r="B463" s="2">
        <v>39</v>
      </c>
      <c r="C463" s="2">
        <v>67</v>
      </c>
      <c r="D463" s="2" t="s">
        <v>373</v>
      </c>
      <c r="E463" s="2" t="str">
        <f t="shared" si="1"/>
        <v>1267WB03PT</v>
      </c>
      <c r="F463" s="2">
        <f>VLOOKUP(B463,Course!$A$2:$R$329,2,FALSE)</f>
        <v>0</v>
      </c>
      <c r="G463" s="2">
        <f>VLOOKUP(B463, Course!$A$2:$L$950, 8, FALSE)</f>
        <v>12</v>
      </c>
      <c r="H463" s="2">
        <v>3</v>
      </c>
      <c r="I463" s="2">
        <v>1</v>
      </c>
      <c r="K463" s="2" t="s">
        <v>1915</v>
      </c>
      <c r="L463" s="2" t="str">
        <f>VLOOKUP(B463, Course!$A$1:$O$933, 14, FALSE)</f>
        <v>WB</v>
      </c>
      <c r="M463" s="2">
        <v>1</v>
      </c>
    </row>
    <row r="464" spans="1:13" ht="15.75" hidden="1" customHeight="1" x14ac:dyDescent="0.2">
      <c r="A464" s="2">
        <v>463</v>
      </c>
      <c r="B464" s="2">
        <v>39</v>
      </c>
      <c r="C464" s="2">
        <v>68</v>
      </c>
      <c r="D464" s="2" t="s">
        <v>373</v>
      </c>
      <c r="E464" s="2" t="str">
        <f t="shared" si="1"/>
        <v>1268WB03PT</v>
      </c>
      <c r="F464" s="2">
        <f>VLOOKUP(B464,Course!$A$2:$R$329,2,FALSE)</f>
        <v>0</v>
      </c>
      <c r="G464" s="2">
        <f>VLOOKUP(B464, Course!$A$2:$L$950, 8, FALSE)</f>
        <v>12</v>
      </c>
      <c r="H464" s="2">
        <v>3</v>
      </c>
      <c r="I464" s="2">
        <v>1</v>
      </c>
      <c r="K464" s="2" t="s">
        <v>1915</v>
      </c>
      <c r="L464" s="2" t="str">
        <f>VLOOKUP(B464, Course!$A$1:$O$933, 14, FALSE)</f>
        <v>WB</v>
      </c>
      <c r="M464" s="2">
        <v>1</v>
      </c>
    </row>
    <row r="465" spans="1:13" ht="15.75" hidden="1" customHeight="1" x14ac:dyDescent="0.2">
      <c r="A465" s="2">
        <v>464</v>
      </c>
      <c r="B465" s="2">
        <v>39</v>
      </c>
      <c r="C465" s="2">
        <v>69</v>
      </c>
      <c r="D465" s="2" t="s">
        <v>373</v>
      </c>
      <c r="E465" s="2" t="str">
        <f t="shared" si="1"/>
        <v>1269WB03PT</v>
      </c>
      <c r="F465" s="2">
        <f>VLOOKUP(B465,Course!$A$2:$R$329,2,FALSE)</f>
        <v>0</v>
      </c>
      <c r="G465" s="2">
        <f>VLOOKUP(B465, Course!$A$2:$L$950, 8, FALSE)</f>
        <v>12</v>
      </c>
      <c r="H465" s="2">
        <v>3</v>
      </c>
      <c r="I465" s="2">
        <v>1</v>
      </c>
      <c r="K465" s="2" t="s">
        <v>1915</v>
      </c>
      <c r="L465" s="2" t="str">
        <f>VLOOKUP(B465, Course!$A$1:$O$933, 14, FALSE)</f>
        <v>WB</v>
      </c>
      <c r="M465" s="2">
        <v>1</v>
      </c>
    </row>
    <row r="466" spans="1:13" ht="15.75" hidden="1" customHeight="1" x14ac:dyDescent="0.2">
      <c r="A466" s="2">
        <v>465</v>
      </c>
      <c r="B466" s="2">
        <v>39</v>
      </c>
      <c r="C466" s="2">
        <v>70</v>
      </c>
      <c r="D466" s="2" t="s">
        <v>373</v>
      </c>
      <c r="E466" s="2" t="str">
        <f t="shared" si="1"/>
        <v>1270WB03PT</v>
      </c>
      <c r="F466" s="2">
        <f>VLOOKUP(B466,Course!$A$2:$R$329,2,FALSE)</f>
        <v>0</v>
      </c>
      <c r="G466" s="2">
        <f>VLOOKUP(B466, Course!$A$2:$L$950, 8, FALSE)</f>
        <v>12</v>
      </c>
      <c r="H466" s="2">
        <v>3</v>
      </c>
      <c r="I466" s="2">
        <v>1</v>
      </c>
      <c r="K466" s="2" t="s">
        <v>1915</v>
      </c>
      <c r="L466" s="2" t="str">
        <f>VLOOKUP(B466, Course!$A$1:$O$933, 14, FALSE)</f>
        <v>WB</v>
      </c>
      <c r="M466" s="2">
        <v>1</v>
      </c>
    </row>
    <row r="467" spans="1:13" ht="15.75" hidden="1" customHeight="1" x14ac:dyDescent="0.2">
      <c r="A467" s="2">
        <v>466</v>
      </c>
      <c r="B467" s="2">
        <v>39</v>
      </c>
      <c r="C467" s="2">
        <v>71</v>
      </c>
      <c r="D467" s="2" t="s">
        <v>373</v>
      </c>
      <c r="E467" s="2" t="str">
        <f t="shared" si="1"/>
        <v>1271WB03PT</v>
      </c>
      <c r="F467" s="2">
        <f>VLOOKUP(B467,Course!$A$2:$R$329,2,FALSE)</f>
        <v>0</v>
      </c>
      <c r="G467" s="2">
        <f>VLOOKUP(B467, Course!$A$2:$L$950, 8, FALSE)</f>
        <v>12</v>
      </c>
      <c r="H467" s="2">
        <v>3</v>
      </c>
      <c r="I467" s="2">
        <v>1</v>
      </c>
      <c r="K467" s="2" t="s">
        <v>1915</v>
      </c>
      <c r="L467" s="2" t="str">
        <f>VLOOKUP(B467, Course!$A$1:$O$933, 14, FALSE)</f>
        <v>WB</v>
      </c>
      <c r="M467" s="2">
        <v>1</v>
      </c>
    </row>
    <row r="468" spans="1:13" ht="15.75" hidden="1" customHeight="1" x14ac:dyDescent="0.2">
      <c r="A468" s="2">
        <v>467</v>
      </c>
      <c r="B468" s="2">
        <v>39</v>
      </c>
      <c r="C468" s="2">
        <v>72</v>
      </c>
      <c r="D468" s="2" t="s">
        <v>373</v>
      </c>
      <c r="E468" s="2" t="str">
        <f t="shared" si="1"/>
        <v>1272WB03PT</v>
      </c>
      <c r="F468" s="2">
        <f>VLOOKUP(B468,Course!$A$2:$R$329,2,FALSE)</f>
        <v>0</v>
      </c>
      <c r="G468" s="2">
        <f>VLOOKUP(B468, Course!$A$2:$L$950, 8, FALSE)</f>
        <v>12</v>
      </c>
      <c r="H468" s="2">
        <v>3</v>
      </c>
      <c r="I468" s="2">
        <v>1</v>
      </c>
      <c r="K468" s="2" t="s">
        <v>1915</v>
      </c>
      <c r="L468" s="2" t="str">
        <f>VLOOKUP(B468, Course!$A$1:$O$933, 14, FALSE)</f>
        <v>WB</v>
      </c>
      <c r="M468" s="2">
        <v>1</v>
      </c>
    </row>
    <row r="469" spans="1:13" ht="15.75" hidden="1" customHeight="1" x14ac:dyDescent="0.2">
      <c r="A469" s="2">
        <v>468</v>
      </c>
      <c r="B469" s="2">
        <v>40</v>
      </c>
      <c r="C469" s="2">
        <v>61</v>
      </c>
      <c r="D469" s="2" t="s">
        <v>479</v>
      </c>
      <c r="E469" s="2" t="str">
        <f t="shared" si="1"/>
        <v>1261LC03PT</v>
      </c>
      <c r="F469" s="2">
        <f>VLOOKUP(B469,Course!$A$2:$R$329,2,FALSE)</f>
        <v>0</v>
      </c>
      <c r="G469" s="2">
        <f>VLOOKUP(B469, Course!$A$2:$L$950, 8, FALSE)</f>
        <v>12</v>
      </c>
      <c r="H469" s="2">
        <v>3</v>
      </c>
      <c r="I469" s="2">
        <v>1</v>
      </c>
      <c r="K469" s="2" t="s">
        <v>1915</v>
      </c>
      <c r="L469" s="2" t="str">
        <f>VLOOKUP(B469, Course!$A$1:$O$933, 14, FALSE)</f>
        <v>LC</v>
      </c>
      <c r="M469" s="2">
        <v>1</v>
      </c>
    </row>
    <row r="470" spans="1:13" ht="15.75" hidden="1" customHeight="1" x14ac:dyDescent="0.2">
      <c r="A470" s="2">
        <v>469</v>
      </c>
      <c r="B470" s="2">
        <v>40</v>
      </c>
      <c r="C470" s="2">
        <v>62</v>
      </c>
      <c r="D470" s="2" t="s">
        <v>479</v>
      </c>
      <c r="E470" s="2" t="str">
        <f t="shared" si="1"/>
        <v>1262LC03PT</v>
      </c>
      <c r="F470" s="2">
        <f>VLOOKUP(B470,Course!$A$2:$R$329,2,FALSE)</f>
        <v>0</v>
      </c>
      <c r="G470" s="2">
        <f>VLOOKUP(B470, Course!$A$2:$L$950, 8, FALSE)</f>
        <v>12</v>
      </c>
      <c r="H470" s="2">
        <v>3</v>
      </c>
      <c r="I470" s="2">
        <v>1</v>
      </c>
      <c r="K470" s="2" t="s">
        <v>1915</v>
      </c>
      <c r="L470" s="2" t="str">
        <f>VLOOKUP(B470, Course!$A$1:$O$933, 14, FALSE)</f>
        <v>LC</v>
      </c>
      <c r="M470" s="2">
        <v>1</v>
      </c>
    </row>
    <row r="471" spans="1:13" ht="15.75" hidden="1" customHeight="1" x14ac:dyDescent="0.2">
      <c r="A471" s="2">
        <v>470</v>
      </c>
      <c r="B471" s="2">
        <v>40</v>
      </c>
      <c r="C471" s="2">
        <v>63</v>
      </c>
      <c r="D471" s="2" t="s">
        <v>479</v>
      </c>
      <c r="E471" s="2" t="str">
        <f t="shared" si="1"/>
        <v>1263LC03PT</v>
      </c>
      <c r="F471" s="2">
        <f>VLOOKUP(B471,Course!$A$2:$R$329,2,FALSE)</f>
        <v>0</v>
      </c>
      <c r="G471" s="2">
        <f>VLOOKUP(B471, Course!$A$2:$L$950, 8, FALSE)</f>
        <v>12</v>
      </c>
      <c r="H471" s="2">
        <v>3</v>
      </c>
      <c r="I471" s="2">
        <v>1</v>
      </c>
      <c r="K471" s="2" t="s">
        <v>1915</v>
      </c>
      <c r="L471" s="2" t="str">
        <f>VLOOKUP(B471, Course!$A$1:$O$933, 14, FALSE)</f>
        <v>LC</v>
      </c>
      <c r="M471" s="2">
        <v>1</v>
      </c>
    </row>
    <row r="472" spans="1:13" ht="15.75" hidden="1" customHeight="1" x14ac:dyDescent="0.2">
      <c r="A472" s="2">
        <v>471</v>
      </c>
      <c r="B472" s="2">
        <v>40</v>
      </c>
      <c r="C472" s="2">
        <v>64</v>
      </c>
      <c r="D472" s="2" t="s">
        <v>479</v>
      </c>
      <c r="E472" s="2" t="str">
        <f t="shared" si="1"/>
        <v>1264LC03PT</v>
      </c>
      <c r="F472" s="2">
        <f>VLOOKUP(B472,Course!$A$2:$R$329,2,FALSE)</f>
        <v>0</v>
      </c>
      <c r="G472" s="2">
        <f>VLOOKUP(B472, Course!$A$2:$L$950, 8, FALSE)</f>
        <v>12</v>
      </c>
      <c r="H472" s="2">
        <v>3</v>
      </c>
      <c r="I472" s="2">
        <v>1</v>
      </c>
      <c r="K472" s="2" t="s">
        <v>1915</v>
      </c>
      <c r="L472" s="2" t="str">
        <f>VLOOKUP(B472, Course!$A$1:$O$933, 14, FALSE)</f>
        <v>LC</v>
      </c>
      <c r="M472" s="2">
        <v>1</v>
      </c>
    </row>
    <row r="473" spans="1:13" ht="15.75" hidden="1" customHeight="1" x14ac:dyDescent="0.2">
      <c r="A473" s="2">
        <v>472</v>
      </c>
      <c r="B473" s="2">
        <v>40</v>
      </c>
      <c r="C473" s="2">
        <v>65</v>
      </c>
      <c r="D473" s="2" t="s">
        <v>479</v>
      </c>
      <c r="E473" s="2" t="str">
        <f t="shared" si="1"/>
        <v>1265LC03PT</v>
      </c>
      <c r="F473" s="2">
        <f>VLOOKUP(B473,Course!$A$2:$R$329,2,FALSE)</f>
        <v>0</v>
      </c>
      <c r="G473" s="2">
        <f>VLOOKUP(B473, Course!$A$2:$L$950, 8, FALSE)</f>
        <v>12</v>
      </c>
      <c r="H473" s="2">
        <v>3</v>
      </c>
      <c r="I473" s="2">
        <v>1</v>
      </c>
      <c r="K473" s="2" t="s">
        <v>1915</v>
      </c>
      <c r="L473" s="2" t="str">
        <f>VLOOKUP(B473, Course!$A$1:$O$933, 14, FALSE)</f>
        <v>LC</v>
      </c>
      <c r="M473" s="2">
        <v>1</v>
      </c>
    </row>
    <row r="474" spans="1:13" ht="15.75" hidden="1" customHeight="1" x14ac:dyDescent="0.2">
      <c r="A474" s="2">
        <v>473</v>
      </c>
      <c r="B474" s="2">
        <v>40</v>
      </c>
      <c r="C474" s="2">
        <v>66</v>
      </c>
      <c r="D474" s="2" t="s">
        <v>479</v>
      </c>
      <c r="E474" s="2" t="str">
        <f t="shared" si="1"/>
        <v>1266LC03PT</v>
      </c>
      <c r="F474" s="2">
        <f>VLOOKUP(B474,Course!$A$2:$R$329,2,FALSE)</f>
        <v>0</v>
      </c>
      <c r="G474" s="2">
        <f>VLOOKUP(B474, Course!$A$2:$L$950, 8, FALSE)</f>
        <v>12</v>
      </c>
      <c r="H474" s="2">
        <v>3</v>
      </c>
      <c r="I474" s="2">
        <v>1</v>
      </c>
      <c r="K474" s="2" t="s">
        <v>1915</v>
      </c>
      <c r="L474" s="2" t="str">
        <f>VLOOKUP(B474, Course!$A$1:$O$933, 14, FALSE)</f>
        <v>LC</v>
      </c>
      <c r="M474" s="2">
        <v>1</v>
      </c>
    </row>
    <row r="475" spans="1:13" ht="15.75" hidden="1" customHeight="1" x14ac:dyDescent="0.2">
      <c r="A475" s="2">
        <v>474</v>
      </c>
      <c r="B475" s="2">
        <v>40</v>
      </c>
      <c r="C475" s="2">
        <v>67</v>
      </c>
      <c r="D475" s="2" t="s">
        <v>479</v>
      </c>
      <c r="E475" s="2" t="str">
        <f t="shared" si="1"/>
        <v>1267LC03PT</v>
      </c>
      <c r="F475" s="2">
        <f>VLOOKUP(B475,Course!$A$2:$R$329,2,FALSE)</f>
        <v>0</v>
      </c>
      <c r="G475" s="2">
        <f>VLOOKUP(B475, Course!$A$2:$L$950, 8, FALSE)</f>
        <v>12</v>
      </c>
      <c r="H475" s="2">
        <v>3</v>
      </c>
      <c r="I475" s="2">
        <v>1</v>
      </c>
      <c r="K475" s="2" t="s">
        <v>1915</v>
      </c>
      <c r="L475" s="2" t="str">
        <f>VLOOKUP(B475, Course!$A$1:$O$933, 14, FALSE)</f>
        <v>LC</v>
      </c>
      <c r="M475" s="2">
        <v>1</v>
      </c>
    </row>
    <row r="476" spans="1:13" ht="15.75" hidden="1" customHeight="1" x14ac:dyDescent="0.2">
      <c r="A476" s="2">
        <v>475</v>
      </c>
      <c r="B476" s="2">
        <v>40</v>
      </c>
      <c r="C476" s="2">
        <v>68</v>
      </c>
      <c r="D476" s="2" t="s">
        <v>479</v>
      </c>
      <c r="E476" s="2" t="str">
        <f t="shared" si="1"/>
        <v>1268LC03PT</v>
      </c>
      <c r="F476" s="2">
        <f>VLOOKUP(B476,Course!$A$2:$R$329,2,FALSE)</f>
        <v>0</v>
      </c>
      <c r="G476" s="2">
        <f>VLOOKUP(B476, Course!$A$2:$L$950, 8, FALSE)</f>
        <v>12</v>
      </c>
      <c r="H476" s="2">
        <v>3</v>
      </c>
      <c r="I476" s="2">
        <v>1</v>
      </c>
      <c r="K476" s="2" t="s">
        <v>1915</v>
      </c>
      <c r="L476" s="2" t="str">
        <f>VLOOKUP(B476, Course!$A$1:$O$933, 14, FALSE)</f>
        <v>LC</v>
      </c>
      <c r="M476" s="2">
        <v>1</v>
      </c>
    </row>
    <row r="477" spans="1:13" ht="15.75" hidden="1" customHeight="1" x14ac:dyDescent="0.2">
      <c r="A477" s="2">
        <v>476</v>
      </c>
      <c r="B477" s="2">
        <v>40</v>
      </c>
      <c r="C477" s="2">
        <v>69</v>
      </c>
      <c r="D477" s="2" t="s">
        <v>479</v>
      </c>
      <c r="E477" s="2" t="str">
        <f t="shared" si="1"/>
        <v>1269LC03PT</v>
      </c>
      <c r="F477" s="2">
        <f>VLOOKUP(B477,Course!$A$2:$R$329,2,FALSE)</f>
        <v>0</v>
      </c>
      <c r="G477" s="2">
        <f>VLOOKUP(B477, Course!$A$2:$L$950, 8, FALSE)</f>
        <v>12</v>
      </c>
      <c r="H477" s="2">
        <v>3</v>
      </c>
      <c r="I477" s="2">
        <v>1</v>
      </c>
      <c r="K477" s="2" t="s">
        <v>1915</v>
      </c>
      <c r="L477" s="2" t="str">
        <f>VLOOKUP(B477, Course!$A$1:$O$933, 14, FALSE)</f>
        <v>LC</v>
      </c>
      <c r="M477" s="2">
        <v>1</v>
      </c>
    </row>
    <row r="478" spans="1:13" ht="15.75" hidden="1" customHeight="1" x14ac:dyDescent="0.2">
      <c r="A478" s="2">
        <v>477</v>
      </c>
      <c r="B478" s="2">
        <v>40</v>
      </c>
      <c r="C478" s="2">
        <v>70</v>
      </c>
      <c r="D478" s="2" t="s">
        <v>479</v>
      </c>
      <c r="E478" s="2" t="str">
        <f t="shared" si="1"/>
        <v>1270LC03PT</v>
      </c>
      <c r="F478" s="2">
        <f>VLOOKUP(B478,Course!$A$2:$R$329,2,FALSE)</f>
        <v>0</v>
      </c>
      <c r="G478" s="2">
        <f>VLOOKUP(B478, Course!$A$2:$L$950, 8, FALSE)</f>
        <v>12</v>
      </c>
      <c r="H478" s="2">
        <v>3</v>
      </c>
      <c r="I478" s="2">
        <v>1</v>
      </c>
      <c r="K478" s="2" t="s">
        <v>1915</v>
      </c>
      <c r="L478" s="2" t="str">
        <f>VLOOKUP(B478, Course!$A$1:$O$933, 14, FALSE)</f>
        <v>LC</v>
      </c>
      <c r="M478" s="2">
        <v>1</v>
      </c>
    </row>
    <row r="479" spans="1:13" ht="15.75" hidden="1" customHeight="1" x14ac:dyDescent="0.2">
      <c r="A479" s="2">
        <v>478</v>
      </c>
      <c r="B479" s="2">
        <v>40</v>
      </c>
      <c r="C479" s="2">
        <v>71</v>
      </c>
      <c r="D479" s="2" t="s">
        <v>479</v>
      </c>
      <c r="E479" s="2" t="str">
        <f t="shared" si="1"/>
        <v>1271LC03PT</v>
      </c>
      <c r="F479" s="2">
        <f>VLOOKUP(B479,Course!$A$2:$R$329,2,FALSE)</f>
        <v>0</v>
      </c>
      <c r="G479" s="2">
        <f>VLOOKUP(B479, Course!$A$2:$L$950, 8, FALSE)</f>
        <v>12</v>
      </c>
      <c r="H479" s="2">
        <v>3</v>
      </c>
      <c r="I479" s="2">
        <v>1</v>
      </c>
      <c r="K479" s="2" t="s">
        <v>1915</v>
      </c>
      <c r="L479" s="2" t="str">
        <f>VLOOKUP(B479, Course!$A$1:$O$933, 14, FALSE)</f>
        <v>LC</v>
      </c>
      <c r="M479" s="2">
        <v>1</v>
      </c>
    </row>
    <row r="480" spans="1:13" ht="15.75" hidden="1" customHeight="1" x14ac:dyDescent="0.2">
      <c r="A480" s="2">
        <v>479</v>
      </c>
      <c r="B480" s="2">
        <v>40</v>
      </c>
      <c r="C480" s="2">
        <v>72</v>
      </c>
      <c r="D480" s="2" t="s">
        <v>479</v>
      </c>
      <c r="E480" s="2" t="str">
        <f t="shared" si="1"/>
        <v>1272LC03PT</v>
      </c>
      <c r="F480" s="2">
        <f>VLOOKUP(B480,Course!$A$2:$R$329,2,FALSE)</f>
        <v>0</v>
      </c>
      <c r="G480" s="2">
        <f>VLOOKUP(B480, Course!$A$2:$L$950, 8, FALSE)</f>
        <v>12</v>
      </c>
      <c r="H480" s="2">
        <v>3</v>
      </c>
      <c r="I480" s="2">
        <v>1</v>
      </c>
      <c r="K480" s="2" t="s">
        <v>1915</v>
      </c>
      <c r="L480" s="2" t="str">
        <f>VLOOKUP(B480, Course!$A$1:$O$933, 14, FALSE)</f>
        <v>LC</v>
      </c>
      <c r="M480" s="2">
        <v>1</v>
      </c>
    </row>
    <row r="481" spans="1:13" ht="15.75" hidden="1" customHeight="1" x14ac:dyDescent="0.2">
      <c r="A481" s="2">
        <v>480</v>
      </c>
      <c r="B481" s="2">
        <v>41</v>
      </c>
      <c r="C481" s="2">
        <v>61</v>
      </c>
      <c r="D481" s="2" t="s">
        <v>377</v>
      </c>
      <c r="E481" s="2" t="str">
        <f t="shared" si="1"/>
        <v>1261SC03PT</v>
      </c>
      <c r="F481" s="2" t="str">
        <f>VLOOKUP(B481,Course!$A$2:$R$329,2,FALSE)</f>
        <v>Science 6</v>
      </c>
      <c r="G481" s="2">
        <f>VLOOKUP(B481, Course!$A$2:$L$950, 8, FALSE)</f>
        <v>12</v>
      </c>
      <c r="H481" s="2">
        <v>3</v>
      </c>
      <c r="I481" s="2">
        <v>1</v>
      </c>
      <c r="K481" s="2" t="s">
        <v>1915</v>
      </c>
      <c r="L481" s="2" t="str">
        <f>VLOOKUP(B481, Course!$A$1:$O$933, 14, FALSE)</f>
        <v>SC</v>
      </c>
      <c r="M481" s="2">
        <v>1</v>
      </c>
    </row>
    <row r="482" spans="1:13" ht="15.75" hidden="1" customHeight="1" x14ac:dyDescent="0.2">
      <c r="A482" s="2">
        <v>481</v>
      </c>
      <c r="B482" s="2">
        <v>41</v>
      </c>
      <c r="C482" s="2">
        <v>62</v>
      </c>
      <c r="D482" s="2" t="s">
        <v>377</v>
      </c>
      <c r="E482" s="2" t="str">
        <f t="shared" si="1"/>
        <v>1262SC03PT</v>
      </c>
      <c r="F482" s="2" t="str">
        <f>VLOOKUP(B482,Course!$A$2:$R$329,2,FALSE)</f>
        <v>Science 6</v>
      </c>
      <c r="G482" s="2">
        <f>VLOOKUP(B482, Course!$A$2:$L$950, 8, FALSE)</f>
        <v>12</v>
      </c>
      <c r="H482" s="2">
        <v>3</v>
      </c>
      <c r="I482" s="2">
        <v>1</v>
      </c>
      <c r="K482" s="2" t="s">
        <v>1915</v>
      </c>
      <c r="L482" s="2" t="str">
        <f>VLOOKUP(B482, Course!$A$1:$O$933, 14, FALSE)</f>
        <v>SC</v>
      </c>
      <c r="M482" s="2">
        <v>1</v>
      </c>
    </row>
    <row r="483" spans="1:13" ht="15.75" hidden="1" customHeight="1" x14ac:dyDescent="0.2">
      <c r="A483" s="2">
        <v>482</v>
      </c>
      <c r="B483" s="2">
        <v>41</v>
      </c>
      <c r="C483" s="2">
        <v>63</v>
      </c>
      <c r="D483" s="2" t="s">
        <v>377</v>
      </c>
      <c r="E483" s="2" t="str">
        <f t="shared" si="1"/>
        <v>1263SC03PT</v>
      </c>
      <c r="F483" s="2" t="str">
        <f>VLOOKUP(B483,Course!$A$2:$R$329,2,FALSE)</f>
        <v>Science 6</v>
      </c>
      <c r="G483" s="2">
        <f>VLOOKUP(B483, Course!$A$2:$L$950, 8, FALSE)</f>
        <v>12</v>
      </c>
      <c r="H483" s="2">
        <v>3</v>
      </c>
      <c r="I483" s="2">
        <v>1</v>
      </c>
      <c r="K483" s="2" t="s">
        <v>1915</v>
      </c>
      <c r="L483" s="2" t="str">
        <f>VLOOKUP(B483, Course!$A$1:$O$933, 14, FALSE)</f>
        <v>SC</v>
      </c>
      <c r="M483" s="2">
        <v>1</v>
      </c>
    </row>
    <row r="484" spans="1:13" ht="15.75" hidden="1" customHeight="1" x14ac:dyDescent="0.2">
      <c r="A484" s="2">
        <v>483</v>
      </c>
      <c r="B484" s="2">
        <v>41</v>
      </c>
      <c r="C484" s="2">
        <v>64</v>
      </c>
      <c r="D484" s="2" t="s">
        <v>377</v>
      </c>
      <c r="E484" s="2" t="str">
        <f t="shared" si="1"/>
        <v>1264SC03PT</v>
      </c>
      <c r="F484" s="2" t="str">
        <f>VLOOKUP(B484,Course!$A$2:$R$329,2,FALSE)</f>
        <v>Science 6</v>
      </c>
      <c r="G484" s="2">
        <f>VLOOKUP(B484, Course!$A$2:$L$950, 8, FALSE)</f>
        <v>12</v>
      </c>
      <c r="H484" s="2">
        <v>3</v>
      </c>
      <c r="I484" s="2">
        <v>1</v>
      </c>
      <c r="K484" s="2" t="s">
        <v>1915</v>
      </c>
      <c r="L484" s="2" t="str">
        <f>VLOOKUP(B484, Course!$A$1:$O$933, 14, FALSE)</f>
        <v>SC</v>
      </c>
      <c r="M484" s="2">
        <v>1</v>
      </c>
    </row>
    <row r="485" spans="1:13" ht="15.75" hidden="1" customHeight="1" x14ac:dyDescent="0.2">
      <c r="A485" s="2">
        <v>484</v>
      </c>
      <c r="B485" s="2">
        <v>41</v>
      </c>
      <c r="C485" s="2">
        <v>65</v>
      </c>
      <c r="D485" s="2" t="s">
        <v>377</v>
      </c>
      <c r="E485" s="2" t="str">
        <f t="shared" si="1"/>
        <v>1265SC03PT</v>
      </c>
      <c r="F485" s="2" t="str">
        <f>VLOOKUP(B485,Course!$A$2:$R$329,2,FALSE)</f>
        <v>Science 6</v>
      </c>
      <c r="G485" s="2">
        <f>VLOOKUP(B485, Course!$A$2:$L$950, 8, FALSE)</f>
        <v>12</v>
      </c>
      <c r="H485" s="2">
        <v>3</v>
      </c>
      <c r="I485" s="2">
        <v>1</v>
      </c>
      <c r="K485" s="2" t="s">
        <v>1915</v>
      </c>
      <c r="L485" s="2" t="str">
        <f>VLOOKUP(B485, Course!$A$1:$O$933, 14, FALSE)</f>
        <v>SC</v>
      </c>
      <c r="M485" s="2">
        <v>1</v>
      </c>
    </row>
    <row r="486" spans="1:13" ht="15.75" hidden="1" customHeight="1" x14ac:dyDescent="0.2">
      <c r="A486" s="2">
        <v>485</v>
      </c>
      <c r="B486" s="2">
        <v>41</v>
      </c>
      <c r="C486" s="2">
        <v>66</v>
      </c>
      <c r="D486" s="2" t="s">
        <v>377</v>
      </c>
      <c r="E486" s="2" t="str">
        <f t="shared" si="1"/>
        <v>1266SC03PT</v>
      </c>
      <c r="F486" s="2" t="str">
        <f>VLOOKUP(B486,Course!$A$2:$R$329,2,FALSE)</f>
        <v>Science 6</v>
      </c>
      <c r="G486" s="2">
        <f>VLOOKUP(B486, Course!$A$2:$L$950, 8, FALSE)</f>
        <v>12</v>
      </c>
      <c r="H486" s="2">
        <v>3</v>
      </c>
      <c r="I486" s="2">
        <v>1</v>
      </c>
      <c r="K486" s="2" t="s">
        <v>1915</v>
      </c>
      <c r="L486" s="2" t="str">
        <f>VLOOKUP(B486, Course!$A$1:$O$933, 14, FALSE)</f>
        <v>SC</v>
      </c>
      <c r="M486" s="2">
        <v>1</v>
      </c>
    </row>
    <row r="487" spans="1:13" ht="15.75" hidden="1" customHeight="1" x14ac:dyDescent="0.2">
      <c r="A487" s="2">
        <v>486</v>
      </c>
      <c r="B487" s="2">
        <v>41</v>
      </c>
      <c r="C487" s="2">
        <v>67</v>
      </c>
      <c r="D487" s="2" t="s">
        <v>377</v>
      </c>
      <c r="E487" s="2" t="str">
        <f t="shared" si="1"/>
        <v>1267SC03PT</v>
      </c>
      <c r="F487" s="2" t="str">
        <f>VLOOKUP(B487,Course!$A$2:$R$329,2,FALSE)</f>
        <v>Science 6</v>
      </c>
      <c r="G487" s="2">
        <f>VLOOKUP(B487, Course!$A$2:$L$950, 8, FALSE)</f>
        <v>12</v>
      </c>
      <c r="H487" s="2">
        <v>3</v>
      </c>
      <c r="I487" s="2">
        <v>1</v>
      </c>
      <c r="K487" s="2" t="s">
        <v>1915</v>
      </c>
      <c r="L487" s="2" t="str">
        <f>VLOOKUP(B487, Course!$A$1:$O$933, 14, FALSE)</f>
        <v>SC</v>
      </c>
      <c r="M487" s="2">
        <v>1</v>
      </c>
    </row>
    <row r="488" spans="1:13" ht="15.75" hidden="1" customHeight="1" x14ac:dyDescent="0.2">
      <c r="A488" s="2">
        <v>487</v>
      </c>
      <c r="B488" s="2">
        <v>41</v>
      </c>
      <c r="C488" s="2">
        <v>68</v>
      </c>
      <c r="D488" s="2" t="s">
        <v>377</v>
      </c>
      <c r="E488" s="2" t="str">
        <f t="shared" si="1"/>
        <v>1268SC03PT</v>
      </c>
      <c r="F488" s="2" t="str">
        <f>VLOOKUP(B488,Course!$A$2:$R$329,2,FALSE)</f>
        <v>Science 6</v>
      </c>
      <c r="G488" s="2">
        <f>VLOOKUP(B488, Course!$A$2:$L$950, 8, FALSE)</f>
        <v>12</v>
      </c>
      <c r="H488" s="2">
        <v>3</v>
      </c>
      <c r="I488" s="2">
        <v>1</v>
      </c>
      <c r="K488" s="2" t="s">
        <v>1915</v>
      </c>
      <c r="L488" s="2" t="str">
        <f>VLOOKUP(B488, Course!$A$1:$O$933, 14, FALSE)</f>
        <v>SC</v>
      </c>
      <c r="M488" s="2">
        <v>1</v>
      </c>
    </row>
    <row r="489" spans="1:13" ht="15.75" hidden="1" customHeight="1" x14ac:dyDescent="0.2">
      <c r="A489" s="2">
        <v>488</v>
      </c>
      <c r="B489" s="2">
        <v>41</v>
      </c>
      <c r="C489" s="2">
        <v>69</v>
      </c>
      <c r="D489" s="2" t="s">
        <v>377</v>
      </c>
      <c r="E489" s="2" t="str">
        <f t="shared" si="1"/>
        <v>1269SC03PT</v>
      </c>
      <c r="F489" s="2" t="str">
        <f>VLOOKUP(B489,Course!$A$2:$R$329,2,FALSE)</f>
        <v>Science 6</v>
      </c>
      <c r="G489" s="2">
        <f>VLOOKUP(B489, Course!$A$2:$L$950, 8, FALSE)</f>
        <v>12</v>
      </c>
      <c r="H489" s="2">
        <v>3</v>
      </c>
      <c r="I489" s="2">
        <v>1</v>
      </c>
      <c r="K489" s="2" t="s">
        <v>1915</v>
      </c>
      <c r="L489" s="2" t="str">
        <f>VLOOKUP(B489, Course!$A$1:$O$933, 14, FALSE)</f>
        <v>SC</v>
      </c>
      <c r="M489" s="2">
        <v>1</v>
      </c>
    </row>
    <row r="490" spans="1:13" ht="15.75" hidden="1" customHeight="1" x14ac:dyDescent="0.2">
      <c r="A490" s="2">
        <v>489</v>
      </c>
      <c r="B490" s="2">
        <v>41</v>
      </c>
      <c r="C490" s="2">
        <v>70</v>
      </c>
      <c r="D490" s="2" t="s">
        <v>377</v>
      </c>
      <c r="E490" s="2" t="str">
        <f t="shared" si="1"/>
        <v>1270SC03PT</v>
      </c>
      <c r="F490" s="2" t="str">
        <f>VLOOKUP(B490,Course!$A$2:$R$329,2,FALSE)</f>
        <v>Science 6</v>
      </c>
      <c r="G490" s="2">
        <f>VLOOKUP(B490, Course!$A$2:$L$950, 8, FALSE)</f>
        <v>12</v>
      </c>
      <c r="H490" s="2">
        <v>3</v>
      </c>
      <c r="I490" s="2">
        <v>1</v>
      </c>
      <c r="K490" s="2" t="s">
        <v>1915</v>
      </c>
      <c r="L490" s="2" t="str">
        <f>VLOOKUP(B490, Course!$A$1:$O$933, 14, FALSE)</f>
        <v>SC</v>
      </c>
      <c r="M490" s="2">
        <v>1</v>
      </c>
    </row>
    <row r="491" spans="1:13" ht="15.75" hidden="1" customHeight="1" x14ac:dyDescent="0.2">
      <c r="A491" s="2">
        <v>490</v>
      </c>
      <c r="B491" s="2">
        <v>41</v>
      </c>
      <c r="C491" s="2">
        <v>71</v>
      </c>
      <c r="D491" s="2" t="s">
        <v>377</v>
      </c>
      <c r="E491" s="2" t="str">
        <f t="shared" si="1"/>
        <v>1271SC03PT</v>
      </c>
      <c r="F491" s="2" t="str">
        <f>VLOOKUP(B491,Course!$A$2:$R$329,2,FALSE)</f>
        <v>Science 6</v>
      </c>
      <c r="G491" s="2">
        <f>VLOOKUP(B491, Course!$A$2:$L$950, 8, FALSE)</f>
        <v>12</v>
      </c>
      <c r="H491" s="2">
        <v>3</v>
      </c>
      <c r="I491" s="2">
        <v>1</v>
      </c>
      <c r="K491" s="2" t="s">
        <v>1915</v>
      </c>
      <c r="L491" s="2" t="str">
        <f>VLOOKUP(B491, Course!$A$1:$O$933, 14, FALSE)</f>
        <v>SC</v>
      </c>
      <c r="M491" s="2">
        <v>1</v>
      </c>
    </row>
    <row r="492" spans="1:13" ht="15.75" hidden="1" customHeight="1" x14ac:dyDescent="0.2">
      <c r="A492" s="2">
        <v>491</v>
      </c>
      <c r="B492" s="2">
        <v>41</v>
      </c>
      <c r="C492" s="2">
        <v>72</v>
      </c>
      <c r="D492" s="2" t="s">
        <v>377</v>
      </c>
      <c r="E492" s="2" t="str">
        <f t="shared" si="1"/>
        <v>1272SC03PT</v>
      </c>
      <c r="F492" s="2" t="str">
        <f>VLOOKUP(B492,Course!$A$2:$R$329,2,FALSE)</f>
        <v>Science 6</v>
      </c>
      <c r="G492" s="2">
        <f>VLOOKUP(B492, Course!$A$2:$L$950, 8, FALSE)</f>
        <v>12</v>
      </c>
      <c r="H492" s="2">
        <v>3</v>
      </c>
      <c r="I492" s="2">
        <v>1</v>
      </c>
      <c r="K492" s="2" t="s">
        <v>1915</v>
      </c>
      <c r="L492" s="2" t="str">
        <f>VLOOKUP(B492, Course!$A$1:$O$933, 14, FALSE)</f>
        <v>SC</v>
      </c>
      <c r="M492" s="2">
        <v>1</v>
      </c>
    </row>
    <row r="493" spans="1:13" ht="15.75" hidden="1" customHeight="1" x14ac:dyDescent="0.2">
      <c r="A493" s="2">
        <v>492</v>
      </c>
      <c r="B493" s="2">
        <v>42</v>
      </c>
      <c r="C493" s="2">
        <v>61</v>
      </c>
      <c r="D493" s="2" t="s">
        <v>379</v>
      </c>
      <c r="E493" s="2" t="str">
        <f t="shared" si="1"/>
        <v>1261SS03PT</v>
      </c>
      <c r="F493" s="2">
        <f>VLOOKUP(B493,Course!$A$2:$R$329,2,FALSE)</f>
        <v>0</v>
      </c>
      <c r="G493" s="2">
        <f>VLOOKUP(B493, Course!$A$2:$L$950, 8, FALSE)</f>
        <v>12</v>
      </c>
      <c r="H493" s="2">
        <v>3</v>
      </c>
      <c r="I493" s="2">
        <v>1</v>
      </c>
      <c r="K493" s="2" t="s">
        <v>1915</v>
      </c>
      <c r="L493" s="2" t="str">
        <f>VLOOKUP(B493, Course!$A$1:$O$933, 14, FALSE)</f>
        <v>SS</v>
      </c>
      <c r="M493" s="2">
        <v>1</v>
      </c>
    </row>
    <row r="494" spans="1:13" ht="15.75" hidden="1" customHeight="1" x14ac:dyDescent="0.2">
      <c r="A494" s="2">
        <v>493</v>
      </c>
      <c r="B494" s="2">
        <v>42</v>
      </c>
      <c r="C494" s="2">
        <v>62</v>
      </c>
      <c r="D494" s="2" t="s">
        <v>379</v>
      </c>
      <c r="E494" s="2" t="str">
        <f t="shared" si="1"/>
        <v>1262SS03PT</v>
      </c>
      <c r="F494" s="2">
        <f>VLOOKUP(B494,Course!$A$2:$R$329,2,FALSE)</f>
        <v>0</v>
      </c>
      <c r="G494" s="2">
        <f>VLOOKUP(B494, Course!$A$2:$L$950, 8, FALSE)</f>
        <v>12</v>
      </c>
      <c r="H494" s="2">
        <v>3</v>
      </c>
      <c r="I494" s="2">
        <v>1</v>
      </c>
      <c r="K494" s="2" t="s">
        <v>1915</v>
      </c>
      <c r="L494" s="2" t="str">
        <f>VLOOKUP(B494, Course!$A$1:$O$933, 14, FALSE)</f>
        <v>SS</v>
      </c>
      <c r="M494" s="2">
        <v>1</v>
      </c>
    </row>
    <row r="495" spans="1:13" ht="15.75" hidden="1" customHeight="1" x14ac:dyDescent="0.2">
      <c r="A495" s="2">
        <v>494</v>
      </c>
      <c r="B495" s="2">
        <v>42</v>
      </c>
      <c r="C495" s="2">
        <v>63</v>
      </c>
      <c r="D495" s="2" t="s">
        <v>379</v>
      </c>
      <c r="E495" s="2" t="str">
        <f t="shared" si="1"/>
        <v>1263SS03PT</v>
      </c>
      <c r="F495" s="2">
        <f>VLOOKUP(B495,Course!$A$2:$R$329,2,FALSE)</f>
        <v>0</v>
      </c>
      <c r="G495" s="2">
        <f>VLOOKUP(B495, Course!$A$2:$L$950, 8, FALSE)</f>
        <v>12</v>
      </c>
      <c r="H495" s="2">
        <v>3</v>
      </c>
      <c r="I495" s="2">
        <v>1</v>
      </c>
      <c r="K495" s="2" t="s">
        <v>1915</v>
      </c>
      <c r="L495" s="2" t="str">
        <f>VLOOKUP(B495, Course!$A$1:$O$933, 14, FALSE)</f>
        <v>SS</v>
      </c>
      <c r="M495" s="2">
        <v>1</v>
      </c>
    </row>
    <row r="496" spans="1:13" ht="15.75" hidden="1" customHeight="1" x14ac:dyDescent="0.2">
      <c r="A496" s="2">
        <v>495</v>
      </c>
      <c r="B496" s="2">
        <v>42</v>
      </c>
      <c r="C496" s="2">
        <v>64</v>
      </c>
      <c r="D496" s="2" t="s">
        <v>379</v>
      </c>
      <c r="E496" s="2" t="str">
        <f t="shared" si="1"/>
        <v>1264SS03PT</v>
      </c>
      <c r="F496" s="2">
        <f>VLOOKUP(B496,Course!$A$2:$R$329,2,FALSE)</f>
        <v>0</v>
      </c>
      <c r="G496" s="2">
        <f>VLOOKUP(B496, Course!$A$2:$L$950, 8, FALSE)</f>
        <v>12</v>
      </c>
      <c r="H496" s="2">
        <v>3</v>
      </c>
      <c r="I496" s="2">
        <v>1</v>
      </c>
      <c r="K496" s="2" t="s">
        <v>1915</v>
      </c>
      <c r="L496" s="2" t="str">
        <f>VLOOKUP(B496, Course!$A$1:$O$933, 14, FALSE)</f>
        <v>SS</v>
      </c>
      <c r="M496" s="2">
        <v>1</v>
      </c>
    </row>
    <row r="497" spans="1:13" ht="15.75" hidden="1" customHeight="1" x14ac:dyDescent="0.2">
      <c r="A497" s="2">
        <v>496</v>
      </c>
      <c r="B497" s="2">
        <v>42</v>
      </c>
      <c r="C497" s="2">
        <v>65</v>
      </c>
      <c r="D497" s="2" t="s">
        <v>379</v>
      </c>
      <c r="E497" s="2" t="str">
        <f t="shared" si="1"/>
        <v>1265SS03PT</v>
      </c>
      <c r="F497" s="2">
        <f>VLOOKUP(B497,Course!$A$2:$R$329,2,FALSE)</f>
        <v>0</v>
      </c>
      <c r="G497" s="2">
        <f>VLOOKUP(B497, Course!$A$2:$L$950, 8, FALSE)</f>
        <v>12</v>
      </c>
      <c r="H497" s="2">
        <v>3</v>
      </c>
      <c r="I497" s="2">
        <v>1</v>
      </c>
      <c r="K497" s="2" t="s">
        <v>1915</v>
      </c>
      <c r="L497" s="2" t="str">
        <f>VLOOKUP(B497, Course!$A$1:$O$933, 14, FALSE)</f>
        <v>SS</v>
      </c>
      <c r="M497" s="2">
        <v>1</v>
      </c>
    </row>
    <row r="498" spans="1:13" ht="15.75" hidden="1" customHeight="1" x14ac:dyDescent="0.2">
      <c r="A498" s="2">
        <v>497</v>
      </c>
      <c r="B498" s="2">
        <v>42</v>
      </c>
      <c r="C498" s="2">
        <v>66</v>
      </c>
      <c r="D498" s="2" t="s">
        <v>379</v>
      </c>
      <c r="E498" s="2" t="str">
        <f t="shared" si="1"/>
        <v>1266SS03PT</v>
      </c>
      <c r="F498" s="2">
        <f>VLOOKUP(B498,Course!$A$2:$R$329,2,FALSE)</f>
        <v>0</v>
      </c>
      <c r="G498" s="2">
        <f>VLOOKUP(B498, Course!$A$2:$L$950, 8, FALSE)</f>
        <v>12</v>
      </c>
      <c r="H498" s="2">
        <v>3</v>
      </c>
      <c r="I498" s="2">
        <v>1</v>
      </c>
      <c r="K498" s="2" t="s">
        <v>1915</v>
      </c>
      <c r="L498" s="2" t="str">
        <f>VLOOKUP(B498, Course!$A$1:$O$933, 14, FALSE)</f>
        <v>SS</v>
      </c>
      <c r="M498" s="2">
        <v>1</v>
      </c>
    </row>
    <row r="499" spans="1:13" ht="15.75" hidden="1" customHeight="1" x14ac:dyDescent="0.2">
      <c r="A499" s="2">
        <v>498</v>
      </c>
      <c r="B499" s="2">
        <v>42</v>
      </c>
      <c r="C499" s="2">
        <v>67</v>
      </c>
      <c r="D499" s="2" t="s">
        <v>379</v>
      </c>
      <c r="E499" s="2" t="str">
        <f t="shared" si="1"/>
        <v>1267SS03PT</v>
      </c>
      <c r="F499" s="2">
        <f>VLOOKUP(B499,Course!$A$2:$R$329,2,FALSE)</f>
        <v>0</v>
      </c>
      <c r="G499" s="2">
        <f>VLOOKUP(B499, Course!$A$2:$L$950, 8, FALSE)</f>
        <v>12</v>
      </c>
      <c r="H499" s="2">
        <v>3</v>
      </c>
      <c r="I499" s="2">
        <v>1</v>
      </c>
      <c r="K499" s="2" t="s">
        <v>1915</v>
      </c>
      <c r="L499" s="2" t="str">
        <f>VLOOKUP(B499, Course!$A$1:$O$933, 14, FALSE)</f>
        <v>SS</v>
      </c>
      <c r="M499" s="2">
        <v>1</v>
      </c>
    </row>
    <row r="500" spans="1:13" ht="15.75" hidden="1" customHeight="1" x14ac:dyDescent="0.2">
      <c r="A500" s="2">
        <v>499</v>
      </c>
      <c r="B500" s="2">
        <v>42</v>
      </c>
      <c r="C500" s="2">
        <v>68</v>
      </c>
      <c r="D500" s="2" t="s">
        <v>379</v>
      </c>
      <c r="E500" s="2" t="str">
        <f t="shared" si="1"/>
        <v>1268SS03PT</v>
      </c>
      <c r="F500" s="2">
        <f>VLOOKUP(B500,Course!$A$2:$R$329,2,FALSE)</f>
        <v>0</v>
      </c>
      <c r="G500" s="2">
        <f>VLOOKUP(B500, Course!$A$2:$L$950, 8, FALSE)</f>
        <v>12</v>
      </c>
      <c r="H500" s="2">
        <v>3</v>
      </c>
      <c r="I500" s="2">
        <v>1</v>
      </c>
      <c r="K500" s="2" t="s">
        <v>1915</v>
      </c>
      <c r="L500" s="2" t="str">
        <f>VLOOKUP(B500, Course!$A$1:$O$933, 14, FALSE)</f>
        <v>SS</v>
      </c>
      <c r="M500" s="2">
        <v>1</v>
      </c>
    </row>
    <row r="501" spans="1:13" ht="15.75" hidden="1" customHeight="1" x14ac:dyDescent="0.2">
      <c r="A501" s="2">
        <v>500</v>
      </c>
      <c r="B501" s="2">
        <v>42</v>
      </c>
      <c r="C501" s="2">
        <v>69</v>
      </c>
      <c r="D501" s="2" t="s">
        <v>379</v>
      </c>
      <c r="E501" s="2" t="str">
        <f t="shared" si="1"/>
        <v>1269SS03PT</v>
      </c>
      <c r="F501" s="2">
        <f>VLOOKUP(B501,Course!$A$2:$R$329,2,FALSE)</f>
        <v>0</v>
      </c>
      <c r="G501" s="2">
        <f>VLOOKUP(B501, Course!$A$2:$L$950, 8, FALSE)</f>
        <v>12</v>
      </c>
      <c r="H501" s="2">
        <v>3</v>
      </c>
      <c r="I501" s="2">
        <v>1</v>
      </c>
      <c r="K501" s="2" t="s">
        <v>1915</v>
      </c>
      <c r="L501" s="2" t="str">
        <f>VLOOKUP(B501, Course!$A$1:$O$933, 14, FALSE)</f>
        <v>SS</v>
      </c>
      <c r="M501" s="2">
        <v>1</v>
      </c>
    </row>
    <row r="502" spans="1:13" ht="15.75" hidden="1" customHeight="1" x14ac:dyDescent="0.2">
      <c r="A502" s="2">
        <v>501</v>
      </c>
      <c r="B502" s="2">
        <v>42</v>
      </c>
      <c r="C502" s="2">
        <v>70</v>
      </c>
      <c r="D502" s="2" t="s">
        <v>379</v>
      </c>
      <c r="E502" s="2" t="str">
        <f t="shared" si="1"/>
        <v>1270SS03PT</v>
      </c>
      <c r="F502" s="2">
        <f>VLOOKUP(B502,Course!$A$2:$R$329,2,FALSE)</f>
        <v>0</v>
      </c>
      <c r="G502" s="2">
        <f>VLOOKUP(B502, Course!$A$2:$L$950, 8, FALSE)</f>
        <v>12</v>
      </c>
      <c r="H502" s="2">
        <v>3</v>
      </c>
      <c r="I502" s="2">
        <v>1</v>
      </c>
      <c r="K502" s="2" t="s">
        <v>1915</v>
      </c>
      <c r="L502" s="2" t="str">
        <f>VLOOKUP(B502, Course!$A$1:$O$933, 14, FALSE)</f>
        <v>SS</v>
      </c>
      <c r="M502" s="2">
        <v>1</v>
      </c>
    </row>
    <row r="503" spans="1:13" ht="15.75" hidden="1" customHeight="1" x14ac:dyDescent="0.2">
      <c r="A503" s="2">
        <v>502</v>
      </c>
      <c r="B503" s="2">
        <v>42</v>
      </c>
      <c r="C503" s="2">
        <v>71</v>
      </c>
      <c r="D503" s="2" t="s">
        <v>379</v>
      </c>
      <c r="E503" s="2" t="str">
        <f t="shared" si="1"/>
        <v>1271SS03PT</v>
      </c>
      <c r="F503" s="2">
        <f>VLOOKUP(B503,Course!$A$2:$R$329,2,FALSE)</f>
        <v>0</v>
      </c>
      <c r="G503" s="2">
        <f>VLOOKUP(B503, Course!$A$2:$L$950, 8, FALSE)</f>
        <v>12</v>
      </c>
      <c r="H503" s="2">
        <v>3</v>
      </c>
      <c r="I503" s="2">
        <v>1</v>
      </c>
      <c r="K503" s="2" t="s">
        <v>1915</v>
      </c>
      <c r="L503" s="2" t="str">
        <f>VLOOKUP(B503, Course!$A$1:$O$933, 14, FALSE)</f>
        <v>SS</v>
      </c>
      <c r="M503" s="2">
        <v>1</v>
      </c>
    </row>
    <row r="504" spans="1:13" ht="15.75" hidden="1" customHeight="1" x14ac:dyDescent="0.2">
      <c r="A504" s="2">
        <v>503</v>
      </c>
      <c r="B504" s="2">
        <v>42</v>
      </c>
      <c r="C504" s="2">
        <v>72</v>
      </c>
      <c r="D504" s="2" t="s">
        <v>379</v>
      </c>
      <c r="E504" s="2" t="str">
        <f t="shared" si="1"/>
        <v>1272SS03PT</v>
      </c>
      <c r="F504" s="2">
        <f>VLOOKUP(B504,Course!$A$2:$R$329,2,FALSE)</f>
        <v>0</v>
      </c>
      <c r="G504" s="2">
        <f>VLOOKUP(B504, Course!$A$2:$L$950, 8, FALSE)</f>
        <v>12</v>
      </c>
      <c r="H504" s="2">
        <v>3</v>
      </c>
      <c r="I504" s="2">
        <v>1</v>
      </c>
      <c r="K504" s="2" t="s">
        <v>1915</v>
      </c>
      <c r="L504" s="2" t="str">
        <f>VLOOKUP(B504, Course!$A$1:$O$933, 14, FALSE)</f>
        <v>SS</v>
      </c>
      <c r="M504" s="2">
        <v>1</v>
      </c>
    </row>
    <row r="505" spans="1:13" ht="15.75" hidden="1" customHeight="1" x14ac:dyDescent="0.2">
      <c r="A505" s="2">
        <v>504</v>
      </c>
      <c r="B505" s="2">
        <v>43</v>
      </c>
      <c r="C505" s="2">
        <v>61</v>
      </c>
      <c r="D505" s="2" t="s">
        <v>484</v>
      </c>
      <c r="E505" s="2" t="str">
        <f t="shared" si="1"/>
        <v>1261BR03PT</v>
      </c>
      <c r="F505" s="2">
        <f>VLOOKUP(B505,Course!$A$2:$R$329,2,FALSE)</f>
        <v>0</v>
      </c>
      <c r="G505" s="2">
        <f>VLOOKUP(B505, Course!$A$2:$L$950, 8, FALSE)</f>
        <v>12</v>
      </c>
      <c r="H505" s="2">
        <v>3</v>
      </c>
      <c r="I505" s="2">
        <v>1</v>
      </c>
      <c r="K505" s="2" t="s">
        <v>1915</v>
      </c>
      <c r="L505" s="2" t="str">
        <f>VLOOKUP(B505, Course!$A$1:$O$933, 14, FALSE)</f>
        <v>BR</v>
      </c>
      <c r="M505" s="2">
        <v>1</v>
      </c>
    </row>
    <row r="506" spans="1:13" ht="15.75" hidden="1" customHeight="1" x14ac:dyDescent="0.2">
      <c r="A506" s="2">
        <v>505</v>
      </c>
      <c r="B506" s="2">
        <v>43</v>
      </c>
      <c r="C506" s="2">
        <v>62</v>
      </c>
      <c r="D506" s="2" t="s">
        <v>484</v>
      </c>
      <c r="E506" s="2" t="str">
        <f t="shared" si="1"/>
        <v>1262BR03PT</v>
      </c>
      <c r="F506" s="2">
        <f>VLOOKUP(B506,Course!$A$2:$R$329,2,FALSE)</f>
        <v>0</v>
      </c>
      <c r="G506" s="2">
        <f>VLOOKUP(B506, Course!$A$2:$L$950, 8, FALSE)</f>
        <v>12</v>
      </c>
      <c r="H506" s="2">
        <v>3</v>
      </c>
      <c r="I506" s="2">
        <v>1</v>
      </c>
      <c r="K506" s="2" t="s">
        <v>1915</v>
      </c>
      <c r="L506" s="2" t="str">
        <f>VLOOKUP(B506, Course!$A$1:$O$933, 14, FALSE)</f>
        <v>BR</v>
      </c>
      <c r="M506" s="2">
        <v>1</v>
      </c>
    </row>
    <row r="507" spans="1:13" ht="15.75" hidden="1" customHeight="1" x14ac:dyDescent="0.2">
      <c r="A507" s="2">
        <v>506</v>
      </c>
      <c r="B507" s="2">
        <v>43</v>
      </c>
      <c r="C507" s="2">
        <v>63</v>
      </c>
      <c r="D507" s="2" t="s">
        <v>484</v>
      </c>
      <c r="E507" s="2" t="str">
        <f t="shared" si="1"/>
        <v>1263BR03PT</v>
      </c>
      <c r="F507" s="2">
        <f>VLOOKUP(B507,Course!$A$2:$R$329,2,FALSE)</f>
        <v>0</v>
      </c>
      <c r="G507" s="2">
        <f>VLOOKUP(B507, Course!$A$2:$L$950, 8, FALSE)</f>
        <v>12</v>
      </c>
      <c r="H507" s="2">
        <v>3</v>
      </c>
      <c r="I507" s="2">
        <v>1</v>
      </c>
      <c r="K507" s="2" t="s">
        <v>1915</v>
      </c>
      <c r="L507" s="2" t="str">
        <f>VLOOKUP(B507, Course!$A$1:$O$933, 14, FALSE)</f>
        <v>BR</v>
      </c>
      <c r="M507" s="2">
        <v>1</v>
      </c>
    </row>
    <row r="508" spans="1:13" ht="15.75" hidden="1" customHeight="1" x14ac:dyDescent="0.2">
      <c r="A508" s="2">
        <v>507</v>
      </c>
      <c r="B508" s="2">
        <v>43</v>
      </c>
      <c r="C508" s="2">
        <v>64</v>
      </c>
      <c r="D508" s="2" t="s">
        <v>484</v>
      </c>
      <c r="E508" s="2" t="str">
        <f t="shared" si="1"/>
        <v>1264BR03PT</v>
      </c>
      <c r="F508" s="2">
        <f>VLOOKUP(B508,Course!$A$2:$R$329,2,FALSE)</f>
        <v>0</v>
      </c>
      <c r="G508" s="2">
        <f>VLOOKUP(B508, Course!$A$2:$L$950, 8, FALSE)</f>
        <v>12</v>
      </c>
      <c r="H508" s="2">
        <v>3</v>
      </c>
      <c r="I508" s="2">
        <v>1</v>
      </c>
      <c r="K508" s="2" t="s">
        <v>1915</v>
      </c>
      <c r="L508" s="2" t="str">
        <f>VLOOKUP(B508, Course!$A$1:$O$933, 14, FALSE)</f>
        <v>BR</v>
      </c>
      <c r="M508" s="2">
        <v>1</v>
      </c>
    </row>
    <row r="509" spans="1:13" ht="15.75" hidden="1" customHeight="1" x14ac:dyDescent="0.2">
      <c r="A509" s="2">
        <v>508</v>
      </c>
      <c r="B509" s="2">
        <v>43</v>
      </c>
      <c r="C509" s="2">
        <v>65</v>
      </c>
      <c r="D509" s="2" t="s">
        <v>484</v>
      </c>
      <c r="E509" s="2" t="str">
        <f t="shared" si="1"/>
        <v>1265BR03PT</v>
      </c>
      <c r="F509" s="2">
        <f>VLOOKUP(B509,Course!$A$2:$R$329,2,FALSE)</f>
        <v>0</v>
      </c>
      <c r="G509" s="2">
        <f>VLOOKUP(B509, Course!$A$2:$L$950, 8, FALSE)</f>
        <v>12</v>
      </c>
      <c r="H509" s="2">
        <v>3</v>
      </c>
      <c r="I509" s="2">
        <v>1</v>
      </c>
      <c r="K509" s="2" t="s">
        <v>1915</v>
      </c>
      <c r="L509" s="2" t="str">
        <f>VLOOKUP(B509, Course!$A$1:$O$933, 14, FALSE)</f>
        <v>BR</v>
      </c>
      <c r="M509" s="2">
        <v>1</v>
      </c>
    </row>
    <row r="510" spans="1:13" ht="15.75" hidden="1" customHeight="1" x14ac:dyDescent="0.2">
      <c r="A510" s="2">
        <v>509</v>
      </c>
      <c r="B510" s="2">
        <v>43</v>
      </c>
      <c r="C510" s="2">
        <v>66</v>
      </c>
      <c r="D510" s="2" t="s">
        <v>484</v>
      </c>
      <c r="E510" s="2" t="str">
        <f t="shared" si="1"/>
        <v>1266BR03PT</v>
      </c>
      <c r="F510" s="2">
        <f>VLOOKUP(B510,Course!$A$2:$R$329,2,FALSE)</f>
        <v>0</v>
      </c>
      <c r="G510" s="2">
        <f>VLOOKUP(B510, Course!$A$2:$L$950, 8, FALSE)</f>
        <v>12</v>
      </c>
      <c r="H510" s="2">
        <v>3</v>
      </c>
      <c r="I510" s="2">
        <v>1</v>
      </c>
      <c r="K510" s="2" t="s">
        <v>1915</v>
      </c>
      <c r="L510" s="2" t="str">
        <f>VLOOKUP(B510, Course!$A$1:$O$933, 14, FALSE)</f>
        <v>BR</v>
      </c>
      <c r="M510" s="2">
        <v>1</v>
      </c>
    </row>
    <row r="511" spans="1:13" ht="15.75" hidden="1" customHeight="1" x14ac:dyDescent="0.2">
      <c r="A511" s="2">
        <v>510</v>
      </c>
      <c r="B511" s="2">
        <v>43</v>
      </c>
      <c r="C511" s="2">
        <v>67</v>
      </c>
      <c r="D511" s="2" t="s">
        <v>484</v>
      </c>
      <c r="E511" s="2" t="str">
        <f t="shared" si="1"/>
        <v>1267BR03PT</v>
      </c>
      <c r="F511" s="2">
        <f>VLOOKUP(B511,Course!$A$2:$R$329,2,FALSE)</f>
        <v>0</v>
      </c>
      <c r="G511" s="2">
        <f>VLOOKUP(B511, Course!$A$2:$L$950, 8, FALSE)</f>
        <v>12</v>
      </c>
      <c r="H511" s="2">
        <v>3</v>
      </c>
      <c r="I511" s="2">
        <v>1</v>
      </c>
      <c r="K511" s="2" t="s">
        <v>1915</v>
      </c>
      <c r="L511" s="2" t="str">
        <f>VLOOKUP(B511, Course!$A$1:$O$933, 14, FALSE)</f>
        <v>BR</v>
      </c>
      <c r="M511" s="2">
        <v>1</v>
      </c>
    </row>
    <row r="512" spans="1:13" ht="15.75" hidden="1" customHeight="1" x14ac:dyDescent="0.2">
      <c r="A512" s="2">
        <v>511</v>
      </c>
      <c r="B512" s="2">
        <v>43</v>
      </c>
      <c r="C512" s="2">
        <v>68</v>
      </c>
      <c r="D512" s="2" t="s">
        <v>484</v>
      </c>
      <c r="E512" s="2" t="str">
        <f t="shared" si="1"/>
        <v>1268BR03PT</v>
      </c>
      <c r="F512" s="2">
        <f>VLOOKUP(B512,Course!$A$2:$R$329,2,FALSE)</f>
        <v>0</v>
      </c>
      <c r="G512" s="2">
        <f>VLOOKUP(B512, Course!$A$2:$L$950, 8, FALSE)</f>
        <v>12</v>
      </c>
      <c r="H512" s="2">
        <v>3</v>
      </c>
      <c r="I512" s="2">
        <v>1</v>
      </c>
      <c r="K512" s="2" t="s">
        <v>1915</v>
      </c>
      <c r="L512" s="2" t="str">
        <f>VLOOKUP(B512, Course!$A$1:$O$933, 14, FALSE)</f>
        <v>BR</v>
      </c>
      <c r="M512" s="2">
        <v>1</v>
      </c>
    </row>
    <row r="513" spans="1:13" ht="15.75" hidden="1" customHeight="1" x14ac:dyDescent="0.2">
      <c r="A513" s="2">
        <v>512</v>
      </c>
      <c r="B513" s="2">
        <v>43</v>
      </c>
      <c r="C513" s="2">
        <v>69</v>
      </c>
      <c r="D513" s="2" t="s">
        <v>484</v>
      </c>
      <c r="E513" s="2" t="str">
        <f t="shared" ref="E513:E767" si="2">UPPER(LEFT(G513,2)) &amp; RIGHT("0" &amp; C513, 2) &amp; D513 &amp; RIGHT("0" &amp; H513, 2) &amp; K513</f>
        <v>1269BR03PT</v>
      </c>
      <c r="F513" s="2">
        <f>VLOOKUP(B513,Course!$A$2:$R$329,2,FALSE)</f>
        <v>0</v>
      </c>
      <c r="G513" s="2">
        <f>VLOOKUP(B513, Course!$A$2:$L$950, 8, FALSE)</f>
        <v>12</v>
      </c>
      <c r="H513" s="2">
        <v>3</v>
      </c>
      <c r="I513" s="2">
        <v>1</v>
      </c>
      <c r="K513" s="2" t="s">
        <v>1915</v>
      </c>
      <c r="L513" s="2" t="str">
        <f>VLOOKUP(B513, Course!$A$1:$O$933, 14, FALSE)</f>
        <v>BR</v>
      </c>
      <c r="M513" s="2">
        <v>1</v>
      </c>
    </row>
    <row r="514" spans="1:13" ht="15.75" hidden="1" customHeight="1" x14ac:dyDescent="0.2">
      <c r="A514" s="2">
        <v>513</v>
      </c>
      <c r="B514" s="2">
        <v>43</v>
      </c>
      <c r="C514" s="2">
        <v>70</v>
      </c>
      <c r="D514" s="2" t="s">
        <v>484</v>
      </c>
      <c r="E514" s="2" t="str">
        <f t="shared" si="2"/>
        <v>1270BR03PT</v>
      </c>
      <c r="F514" s="2">
        <f>VLOOKUP(B514,Course!$A$2:$R$329,2,FALSE)</f>
        <v>0</v>
      </c>
      <c r="G514" s="2">
        <f>VLOOKUP(B514, Course!$A$2:$L$950, 8, FALSE)</f>
        <v>12</v>
      </c>
      <c r="H514" s="2">
        <v>3</v>
      </c>
      <c r="I514" s="2">
        <v>1</v>
      </c>
      <c r="K514" s="2" t="s">
        <v>1915</v>
      </c>
      <c r="L514" s="2" t="str">
        <f>VLOOKUP(B514, Course!$A$1:$O$933, 14, FALSE)</f>
        <v>BR</v>
      </c>
      <c r="M514" s="2">
        <v>1</v>
      </c>
    </row>
    <row r="515" spans="1:13" ht="15.75" hidden="1" customHeight="1" x14ac:dyDescent="0.2">
      <c r="A515" s="2">
        <v>514</v>
      </c>
      <c r="B515" s="2">
        <v>43</v>
      </c>
      <c r="C515" s="2">
        <v>71</v>
      </c>
      <c r="D515" s="2" t="s">
        <v>484</v>
      </c>
      <c r="E515" s="2" t="str">
        <f t="shared" si="2"/>
        <v>1271BR03PT</v>
      </c>
      <c r="F515" s="2">
        <f>VLOOKUP(B515,Course!$A$2:$R$329,2,FALSE)</f>
        <v>0</v>
      </c>
      <c r="G515" s="2">
        <f>VLOOKUP(B515, Course!$A$2:$L$950, 8, FALSE)</f>
        <v>12</v>
      </c>
      <c r="H515" s="2">
        <v>3</v>
      </c>
      <c r="I515" s="2">
        <v>1</v>
      </c>
      <c r="K515" s="2" t="s">
        <v>1915</v>
      </c>
      <c r="L515" s="2" t="str">
        <f>VLOOKUP(B515, Course!$A$1:$O$933, 14, FALSE)</f>
        <v>BR</v>
      </c>
      <c r="M515" s="2">
        <v>1</v>
      </c>
    </row>
    <row r="516" spans="1:13" ht="15.75" hidden="1" customHeight="1" x14ac:dyDescent="0.2">
      <c r="A516" s="2">
        <v>515</v>
      </c>
      <c r="B516" s="2">
        <v>43</v>
      </c>
      <c r="C516" s="2">
        <v>72</v>
      </c>
      <c r="D516" s="2" t="s">
        <v>484</v>
      </c>
      <c r="E516" s="2" t="str">
        <f t="shared" si="2"/>
        <v>1272BR03PT</v>
      </c>
      <c r="F516" s="2">
        <f>VLOOKUP(B516,Course!$A$2:$R$329,2,FALSE)</f>
        <v>0</v>
      </c>
      <c r="G516" s="2">
        <f>VLOOKUP(B516, Course!$A$2:$L$950, 8, FALSE)</f>
        <v>12</v>
      </c>
      <c r="H516" s="2">
        <v>3</v>
      </c>
      <c r="I516" s="2">
        <v>1</v>
      </c>
      <c r="K516" s="2" t="s">
        <v>1915</v>
      </c>
      <c r="L516" s="2" t="str">
        <f>VLOOKUP(B516, Course!$A$1:$O$933, 14, FALSE)</f>
        <v>BR</v>
      </c>
      <c r="M516" s="2">
        <v>1</v>
      </c>
    </row>
    <row r="517" spans="1:13" ht="15.75" hidden="1" customHeight="1" x14ac:dyDescent="0.2">
      <c r="A517" s="2">
        <v>516</v>
      </c>
      <c r="B517" s="2">
        <v>44</v>
      </c>
      <c r="C517" s="2">
        <v>73</v>
      </c>
      <c r="D517" s="2" t="s">
        <v>369</v>
      </c>
      <c r="E517" s="2" t="str">
        <f t="shared" si="2"/>
        <v>1273MA03PT</v>
      </c>
      <c r="F517" s="2">
        <f>VLOOKUP(B517,Course!$A$2:$R$329,2,FALSE)</f>
        <v>0</v>
      </c>
      <c r="G517" s="2">
        <f>VLOOKUP(B517, Course!$A$2:$L$950, 8, FALSE)</f>
        <v>12</v>
      </c>
      <c r="H517" s="2">
        <v>3</v>
      </c>
      <c r="I517" s="2">
        <v>1</v>
      </c>
      <c r="K517" s="2" t="s">
        <v>1915</v>
      </c>
      <c r="L517" s="2" t="str">
        <f>VLOOKUP(B517, Course!$A$1:$O$933, 14, FALSE)</f>
        <v>MA</v>
      </c>
      <c r="M517" s="2">
        <v>1</v>
      </c>
    </row>
    <row r="518" spans="1:13" ht="15.75" hidden="1" customHeight="1" x14ac:dyDescent="0.2">
      <c r="A518" s="2">
        <v>517</v>
      </c>
      <c r="B518" s="2">
        <v>44</v>
      </c>
      <c r="C518" s="2">
        <v>74</v>
      </c>
      <c r="D518" s="2" t="s">
        <v>369</v>
      </c>
      <c r="E518" s="2" t="str">
        <f t="shared" si="2"/>
        <v>1274MA03PT</v>
      </c>
      <c r="F518" s="2">
        <f>VLOOKUP(B518,Course!$A$2:$R$329,2,FALSE)</f>
        <v>0</v>
      </c>
      <c r="G518" s="2">
        <f>VLOOKUP(B518, Course!$A$2:$L$950, 8, FALSE)</f>
        <v>12</v>
      </c>
      <c r="H518" s="2">
        <v>3</v>
      </c>
      <c r="I518" s="2">
        <v>1</v>
      </c>
      <c r="K518" s="2" t="s">
        <v>1915</v>
      </c>
      <c r="L518" s="2" t="str">
        <f>VLOOKUP(B518, Course!$A$1:$O$933, 14, FALSE)</f>
        <v>MA</v>
      </c>
      <c r="M518" s="2">
        <v>1</v>
      </c>
    </row>
    <row r="519" spans="1:13" ht="15.75" hidden="1" customHeight="1" x14ac:dyDescent="0.2">
      <c r="A519" s="2">
        <v>518</v>
      </c>
      <c r="B519" s="2">
        <v>44</v>
      </c>
      <c r="C519" s="2">
        <v>75</v>
      </c>
      <c r="D519" s="2" t="s">
        <v>369</v>
      </c>
      <c r="E519" s="2" t="str">
        <f t="shared" si="2"/>
        <v>1275MA03PT</v>
      </c>
      <c r="F519" s="2">
        <f>VLOOKUP(B519,Course!$A$2:$R$329,2,FALSE)</f>
        <v>0</v>
      </c>
      <c r="G519" s="2">
        <f>VLOOKUP(B519, Course!$A$2:$L$950, 8, FALSE)</f>
        <v>12</v>
      </c>
      <c r="H519" s="2">
        <v>3</v>
      </c>
      <c r="I519" s="2">
        <v>1</v>
      </c>
      <c r="K519" s="2" t="s">
        <v>1915</v>
      </c>
      <c r="L519" s="2" t="str">
        <f>VLOOKUP(B519, Course!$A$1:$O$933, 14, FALSE)</f>
        <v>MA</v>
      </c>
      <c r="M519" s="2">
        <v>1</v>
      </c>
    </row>
    <row r="520" spans="1:13" ht="15.75" hidden="1" customHeight="1" x14ac:dyDescent="0.2">
      <c r="A520" s="2">
        <v>519</v>
      </c>
      <c r="B520" s="2">
        <v>44</v>
      </c>
      <c r="C520" s="2">
        <v>76</v>
      </c>
      <c r="D520" s="2" t="s">
        <v>369</v>
      </c>
      <c r="E520" s="2" t="str">
        <f t="shared" si="2"/>
        <v>1276MA03PT</v>
      </c>
      <c r="F520" s="2">
        <f>VLOOKUP(B520,Course!$A$2:$R$329,2,FALSE)</f>
        <v>0</v>
      </c>
      <c r="G520" s="2">
        <f>VLOOKUP(B520, Course!$A$2:$L$950, 8, FALSE)</f>
        <v>12</v>
      </c>
      <c r="H520" s="2">
        <v>3</v>
      </c>
      <c r="I520" s="2">
        <v>1</v>
      </c>
      <c r="K520" s="2" t="s">
        <v>1915</v>
      </c>
      <c r="L520" s="2" t="str">
        <f>VLOOKUP(B520, Course!$A$1:$O$933, 14, FALSE)</f>
        <v>MA</v>
      </c>
      <c r="M520" s="2">
        <v>1</v>
      </c>
    </row>
    <row r="521" spans="1:13" ht="15.75" hidden="1" customHeight="1" x14ac:dyDescent="0.2">
      <c r="A521" s="2">
        <v>520</v>
      </c>
      <c r="B521" s="2">
        <v>44</v>
      </c>
      <c r="C521" s="2">
        <v>77</v>
      </c>
      <c r="D521" s="2" t="s">
        <v>369</v>
      </c>
      <c r="E521" s="2" t="str">
        <f t="shared" si="2"/>
        <v>1277MA03PT</v>
      </c>
      <c r="F521" s="2">
        <f>VLOOKUP(B521,Course!$A$2:$R$329,2,FALSE)</f>
        <v>0</v>
      </c>
      <c r="G521" s="2">
        <f>VLOOKUP(B521, Course!$A$2:$L$950, 8, FALSE)</f>
        <v>12</v>
      </c>
      <c r="H521" s="2">
        <v>3</v>
      </c>
      <c r="I521" s="2">
        <v>1</v>
      </c>
      <c r="K521" s="2" t="s">
        <v>1915</v>
      </c>
      <c r="L521" s="2" t="str">
        <f>VLOOKUP(B521, Course!$A$1:$O$933, 14, FALSE)</f>
        <v>MA</v>
      </c>
      <c r="M521" s="2">
        <v>1</v>
      </c>
    </row>
    <row r="522" spans="1:13" ht="15.75" hidden="1" customHeight="1" x14ac:dyDescent="0.2">
      <c r="A522" s="2">
        <v>521</v>
      </c>
      <c r="B522" s="2">
        <v>44</v>
      </c>
      <c r="C522" s="2">
        <v>78</v>
      </c>
      <c r="D522" s="2" t="s">
        <v>369</v>
      </c>
      <c r="E522" s="2" t="str">
        <f t="shared" si="2"/>
        <v>1278MA03PT</v>
      </c>
      <c r="F522" s="2">
        <f>VLOOKUP(B522,Course!$A$2:$R$329,2,FALSE)</f>
        <v>0</v>
      </c>
      <c r="G522" s="2">
        <f>VLOOKUP(B522, Course!$A$2:$L$950, 8, FALSE)</f>
        <v>12</v>
      </c>
      <c r="H522" s="2">
        <v>3</v>
      </c>
      <c r="I522" s="2">
        <v>1</v>
      </c>
      <c r="K522" s="2" t="s">
        <v>1915</v>
      </c>
      <c r="L522" s="2" t="str">
        <f>VLOOKUP(B522, Course!$A$1:$O$933, 14, FALSE)</f>
        <v>MA</v>
      </c>
      <c r="M522" s="2">
        <v>1</v>
      </c>
    </row>
    <row r="523" spans="1:13" ht="15.75" hidden="1" customHeight="1" x14ac:dyDescent="0.2">
      <c r="A523" s="2">
        <v>522</v>
      </c>
      <c r="B523" s="2">
        <v>44</v>
      </c>
      <c r="C523" s="2">
        <v>79</v>
      </c>
      <c r="D523" s="2" t="s">
        <v>369</v>
      </c>
      <c r="E523" s="2" t="str">
        <f t="shared" si="2"/>
        <v>1279MA03PT</v>
      </c>
      <c r="F523" s="2">
        <f>VLOOKUP(B523,Course!$A$2:$R$329,2,FALSE)</f>
        <v>0</v>
      </c>
      <c r="G523" s="2">
        <f>VLOOKUP(B523, Course!$A$2:$L$950, 8, FALSE)</f>
        <v>12</v>
      </c>
      <c r="H523" s="2">
        <v>3</v>
      </c>
      <c r="I523" s="2">
        <v>1</v>
      </c>
      <c r="K523" s="2" t="s">
        <v>1915</v>
      </c>
      <c r="L523" s="2" t="str">
        <f>VLOOKUP(B523, Course!$A$1:$O$933, 14, FALSE)</f>
        <v>MA</v>
      </c>
      <c r="M523" s="2">
        <v>1</v>
      </c>
    </row>
    <row r="524" spans="1:13" ht="15.75" hidden="1" customHeight="1" x14ac:dyDescent="0.2">
      <c r="A524" s="2">
        <v>523</v>
      </c>
      <c r="B524" s="2">
        <v>44</v>
      </c>
      <c r="C524" s="2">
        <v>80</v>
      </c>
      <c r="D524" s="2" t="s">
        <v>369</v>
      </c>
      <c r="E524" s="2" t="str">
        <f t="shared" si="2"/>
        <v>1280MA03PT</v>
      </c>
      <c r="F524" s="2">
        <f>VLOOKUP(B524,Course!$A$2:$R$329,2,FALSE)</f>
        <v>0</v>
      </c>
      <c r="G524" s="2">
        <f>VLOOKUP(B524, Course!$A$2:$L$950, 8, FALSE)</f>
        <v>12</v>
      </c>
      <c r="H524" s="2">
        <v>3</v>
      </c>
      <c r="I524" s="2">
        <v>1</v>
      </c>
      <c r="K524" s="2" t="s">
        <v>1915</v>
      </c>
      <c r="L524" s="2" t="str">
        <f>VLOOKUP(B524, Course!$A$1:$O$933, 14, FALSE)</f>
        <v>MA</v>
      </c>
      <c r="M524" s="2">
        <v>1</v>
      </c>
    </row>
    <row r="525" spans="1:13" ht="15.75" hidden="1" customHeight="1" x14ac:dyDescent="0.2">
      <c r="A525" s="2">
        <v>524</v>
      </c>
      <c r="B525" s="2">
        <v>44</v>
      </c>
      <c r="C525" s="2">
        <v>81</v>
      </c>
      <c r="D525" s="2" t="s">
        <v>369</v>
      </c>
      <c r="E525" s="2" t="str">
        <f t="shared" si="2"/>
        <v>1281MA03PT</v>
      </c>
      <c r="F525" s="2">
        <f>VLOOKUP(B525,Course!$A$2:$R$329,2,FALSE)</f>
        <v>0</v>
      </c>
      <c r="G525" s="2">
        <f>VLOOKUP(B525, Course!$A$2:$L$950, 8, FALSE)</f>
        <v>12</v>
      </c>
      <c r="H525" s="2">
        <v>3</v>
      </c>
      <c r="I525" s="2">
        <v>1</v>
      </c>
      <c r="K525" s="2" t="s">
        <v>1915</v>
      </c>
      <c r="L525" s="2" t="str">
        <f>VLOOKUP(B525, Course!$A$1:$O$933, 14, FALSE)</f>
        <v>MA</v>
      </c>
      <c r="M525" s="2">
        <v>1</v>
      </c>
    </row>
    <row r="526" spans="1:13" ht="15.75" hidden="1" customHeight="1" x14ac:dyDescent="0.2">
      <c r="A526" s="2">
        <v>525</v>
      </c>
      <c r="B526" s="2">
        <v>44</v>
      </c>
      <c r="C526" s="2">
        <v>82</v>
      </c>
      <c r="D526" s="2" t="s">
        <v>369</v>
      </c>
      <c r="E526" s="2" t="str">
        <f t="shared" si="2"/>
        <v>1282MA03PT</v>
      </c>
      <c r="F526" s="2">
        <f>VLOOKUP(B526,Course!$A$2:$R$329,2,FALSE)</f>
        <v>0</v>
      </c>
      <c r="G526" s="2">
        <f>VLOOKUP(B526, Course!$A$2:$L$950, 8, FALSE)</f>
        <v>12</v>
      </c>
      <c r="H526" s="2">
        <v>3</v>
      </c>
      <c r="I526" s="2">
        <v>1</v>
      </c>
      <c r="K526" s="2" t="s">
        <v>1915</v>
      </c>
      <c r="L526" s="2" t="str">
        <f>VLOOKUP(B526, Course!$A$1:$O$933, 14, FALSE)</f>
        <v>MA</v>
      </c>
      <c r="M526" s="2">
        <v>1</v>
      </c>
    </row>
    <row r="527" spans="1:13" ht="15.75" hidden="1" customHeight="1" x14ac:dyDescent="0.2">
      <c r="A527" s="2">
        <v>526</v>
      </c>
      <c r="B527" s="2">
        <v>44</v>
      </c>
      <c r="C527" s="2">
        <v>83</v>
      </c>
      <c r="D527" s="2" t="s">
        <v>369</v>
      </c>
      <c r="E527" s="2" t="str">
        <f t="shared" si="2"/>
        <v>1283MA03PT</v>
      </c>
      <c r="F527" s="2">
        <f>VLOOKUP(B527,Course!$A$2:$R$329,2,FALSE)</f>
        <v>0</v>
      </c>
      <c r="G527" s="2">
        <f>VLOOKUP(B527, Course!$A$2:$L$950, 8, FALSE)</f>
        <v>12</v>
      </c>
      <c r="H527" s="2">
        <v>3</v>
      </c>
      <c r="I527" s="2">
        <v>1</v>
      </c>
      <c r="K527" s="2" t="s">
        <v>1915</v>
      </c>
      <c r="L527" s="2" t="str">
        <f>VLOOKUP(B527, Course!$A$1:$O$933, 14, FALSE)</f>
        <v>MA</v>
      </c>
      <c r="M527" s="2">
        <v>1</v>
      </c>
    </row>
    <row r="528" spans="1:13" ht="15.75" hidden="1" customHeight="1" x14ac:dyDescent="0.2">
      <c r="A528" s="2">
        <v>527</v>
      </c>
      <c r="B528" s="2">
        <v>44</v>
      </c>
      <c r="C528" s="2">
        <v>84</v>
      </c>
      <c r="D528" s="2" t="s">
        <v>369</v>
      </c>
      <c r="E528" s="2" t="str">
        <f t="shared" si="2"/>
        <v>1284MA03PT</v>
      </c>
      <c r="F528" s="2">
        <f>VLOOKUP(B528,Course!$A$2:$R$329,2,FALSE)</f>
        <v>0</v>
      </c>
      <c r="G528" s="2">
        <f>VLOOKUP(B528, Course!$A$2:$L$950, 8, FALSE)</f>
        <v>12</v>
      </c>
      <c r="H528" s="2">
        <v>3</v>
      </c>
      <c r="I528" s="2">
        <v>1</v>
      </c>
      <c r="K528" s="2" t="s">
        <v>1915</v>
      </c>
      <c r="L528" s="2" t="str">
        <f>VLOOKUP(B528, Course!$A$1:$O$933, 14, FALSE)</f>
        <v>MA</v>
      </c>
      <c r="M528" s="2">
        <v>1</v>
      </c>
    </row>
    <row r="529" spans="1:13" ht="15.75" hidden="1" customHeight="1" x14ac:dyDescent="0.2">
      <c r="A529" s="2">
        <v>528</v>
      </c>
      <c r="B529" s="2">
        <v>45</v>
      </c>
      <c r="C529" s="2">
        <v>73</v>
      </c>
      <c r="D529" s="2" t="s">
        <v>476</v>
      </c>
      <c r="E529" s="2" t="str">
        <f t="shared" si="2"/>
        <v>1273EN03PT</v>
      </c>
      <c r="F529" s="2">
        <f>VLOOKUP(B529,Course!$A$2:$R$329,2,FALSE)</f>
        <v>0</v>
      </c>
      <c r="G529" s="2">
        <f>VLOOKUP(B529, Course!$A$2:$L$950, 8, FALSE)</f>
        <v>12</v>
      </c>
      <c r="H529" s="2">
        <v>3</v>
      </c>
      <c r="I529" s="2">
        <v>1</v>
      </c>
      <c r="K529" s="2" t="s">
        <v>1915</v>
      </c>
      <c r="L529" s="2" t="str">
        <f>VLOOKUP(B529, Course!$A$1:$O$933, 14, FALSE)</f>
        <v>EN</v>
      </c>
      <c r="M529" s="2">
        <v>1</v>
      </c>
    </row>
    <row r="530" spans="1:13" ht="15.75" hidden="1" customHeight="1" x14ac:dyDescent="0.2">
      <c r="A530" s="2">
        <v>529</v>
      </c>
      <c r="B530" s="2">
        <v>45</v>
      </c>
      <c r="C530" s="2">
        <v>74</v>
      </c>
      <c r="D530" s="2" t="s">
        <v>476</v>
      </c>
      <c r="E530" s="2" t="str">
        <f t="shared" si="2"/>
        <v>1274EN03PT</v>
      </c>
      <c r="F530" s="2">
        <f>VLOOKUP(B530,Course!$A$2:$R$329,2,FALSE)</f>
        <v>0</v>
      </c>
      <c r="G530" s="2">
        <f>VLOOKUP(B530, Course!$A$2:$L$950, 8, FALSE)</f>
        <v>12</v>
      </c>
      <c r="H530" s="2">
        <v>3</v>
      </c>
      <c r="I530" s="2">
        <v>1</v>
      </c>
      <c r="K530" s="2" t="s">
        <v>1915</v>
      </c>
      <c r="L530" s="2" t="str">
        <f>VLOOKUP(B530, Course!$A$1:$O$933, 14, FALSE)</f>
        <v>EN</v>
      </c>
      <c r="M530" s="2">
        <v>1</v>
      </c>
    </row>
    <row r="531" spans="1:13" ht="15.75" hidden="1" customHeight="1" x14ac:dyDescent="0.2">
      <c r="A531" s="2">
        <v>530</v>
      </c>
      <c r="B531" s="2">
        <v>45</v>
      </c>
      <c r="C531" s="2">
        <v>75</v>
      </c>
      <c r="D531" s="2" t="s">
        <v>476</v>
      </c>
      <c r="E531" s="2" t="str">
        <f t="shared" si="2"/>
        <v>1275EN03PT</v>
      </c>
      <c r="F531" s="2">
        <f>VLOOKUP(B531,Course!$A$2:$R$329,2,FALSE)</f>
        <v>0</v>
      </c>
      <c r="G531" s="2">
        <f>VLOOKUP(B531, Course!$A$2:$L$950, 8, FALSE)</f>
        <v>12</v>
      </c>
      <c r="H531" s="2">
        <v>3</v>
      </c>
      <c r="I531" s="2">
        <v>1</v>
      </c>
      <c r="K531" s="2" t="s">
        <v>1915</v>
      </c>
      <c r="L531" s="2" t="str">
        <f>VLOOKUP(B531, Course!$A$1:$O$933, 14, FALSE)</f>
        <v>EN</v>
      </c>
      <c r="M531" s="2">
        <v>1</v>
      </c>
    </row>
    <row r="532" spans="1:13" ht="15.75" hidden="1" customHeight="1" x14ac:dyDescent="0.2">
      <c r="A532" s="2">
        <v>531</v>
      </c>
      <c r="B532" s="2">
        <v>45</v>
      </c>
      <c r="C532" s="2">
        <v>76</v>
      </c>
      <c r="D532" s="2" t="s">
        <v>476</v>
      </c>
      <c r="E532" s="2" t="str">
        <f t="shared" si="2"/>
        <v>1276EN03PT</v>
      </c>
      <c r="F532" s="2">
        <f>VLOOKUP(B532,Course!$A$2:$R$329,2,FALSE)</f>
        <v>0</v>
      </c>
      <c r="G532" s="2">
        <f>VLOOKUP(B532, Course!$A$2:$L$950, 8, FALSE)</f>
        <v>12</v>
      </c>
      <c r="H532" s="2">
        <v>3</v>
      </c>
      <c r="I532" s="2">
        <v>1</v>
      </c>
      <c r="K532" s="2" t="s">
        <v>1915</v>
      </c>
      <c r="L532" s="2" t="str">
        <f>VLOOKUP(B532, Course!$A$1:$O$933, 14, FALSE)</f>
        <v>EN</v>
      </c>
      <c r="M532" s="2">
        <v>1</v>
      </c>
    </row>
    <row r="533" spans="1:13" ht="15.75" hidden="1" customHeight="1" x14ac:dyDescent="0.2">
      <c r="A533" s="2">
        <v>532</v>
      </c>
      <c r="B533" s="2">
        <v>45</v>
      </c>
      <c r="C533" s="2">
        <v>77</v>
      </c>
      <c r="D533" s="2" t="s">
        <v>476</v>
      </c>
      <c r="E533" s="2" t="str">
        <f t="shared" si="2"/>
        <v>1277EN03PT</v>
      </c>
      <c r="F533" s="2">
        <f>VLOOKUP(B533,Course!$A$2:$R$329,2,FALSE)</f>
        <v>0</v>
      </c>
      <c r="G533" s="2">
        <f>VLOOKUP(B533, Course!$A$2:$L$950, 8, FALSE)</f>
        <v>12</v>
      </c>
      <c r="H533" s="2">
        <v>3</v>
      </c>
      <c r="I533" s="2">
        <v>1</v>
      </c>
      <c r="K533" s="2" t="s">
        <v>1915</v>
      </c>
      <c r="L533" s="2" t="str">
        <f>VLOOKUP(B533, Course!$A$1:$O$933, 14, FALSE)</f>
        <v>EN</v>
      </c>
      <c r="M533" s="2">
        <v>1</v>
      </c>
    </row>
    <row r="534" spans="1:13" ht="15.75" hidden="1" customHeight="1" x14ac:dyDescent="0.2">
      <c r="A534" s="2">
        <v>533</v>
      </c>
      <c r="B534" s="2">
        <v>45</v>
      </c>
      <c r="C534" s="2">
        <v>78</v>
      </c>
      <c r="D534" s="2" t="s">
        <v>476</v>
      </c>
      <c r="E534" s="2" t="str">
        <f t="shared" si="2"/>
        <v>1278EN03PT</v>
      </c>
      <c r="F534" s="2">
        <f>VLOOKUP(B534,Course!$A$2:$R$329,2,FALSE)</f>
        <v>0</v>
      </c>
      <c r="G534" s="2">
        <f>VLOOKUP(B534, Course!$A$2:$L$950, 8, FALSE)</f>
        <v>12</v>
      </c>
      <c r="H534" s="2">
        <v>3</v>
      </c>
      <c r="I534" s="2">
        <v>1</v>
      </c>
      <c r="K534" s="2" t="s">
        <v>1915</v>
      </c>
      <c r="L534" s="2" t="str">
        <f>VLOOKUP(B534, Course!$A$1:$O$933, 14, FALSE)</f>
        <v>EN</v>
      </c>
      <c r="M534" s="2">
        <v>1</v>
      </c>
    </row>
    <row r="535" spans="1:13" ht="15.75" hidden="1" customHeight="1" x14ac:dyDescent="0.2">
      <c r="A535" s="2">
        <v>534</v>
      </c>
      <c r="B535" s="2">
        <v>45</v>
      </c>
      <c r="C535" s="2">
        <v>79</v>
      </c>
      <c r="D535" s="2" t="s">
        <v>476</v>
      </c>
      <c r="E535" s="2" t="str">
        <f t="shared" si="2"/>
        <v>1279EN03PT</v>
      </c>
      <c r="F535" s="2">
        <f>VLOOKUP(B535,Course!$A$2:$R$329,2,FALSE)</f>
        <v>0</v>
      </c>
      <c r="G535" s="2">
        <f>VLOOKUP(B535, Course!$A$2:$L$950, 8, FALSE)</f>
        <v>12</v>
      </c>
      <c r="H535" s="2">
        <v>3</v>
      </c>
      <c r="I535" s="2">
        <v>1</v>
      </c>
      <c r="K535" s="2" t="s">
        <v>1915</v>
      </c>
      <c r="L535" s="2" t="str">
        <f>VLOOKUP(B535, Course!$A$1:$O$933, 14, FALSE)</f>
        <v>EN</v>
      </c>
      <c r="M535" s="2">
        <v>1</v>
      </c>
    </row>
    <row r="536" spans="1:13" ht="15.75" hidden="1" customHeight="1" x14ac:dyDescent="0.2">
      <c r="A536" s="2">
        <v>535</v>
      </c>
      <c r="B536" s="2">
        <v>45</v>
      </c>
      <c r="C536" s="2">
        <v>80</v>
      </c>
      <c r="D536" s="2" t="s">
        <v>476</v>
      </c>
      <c r="E536" s="2" t="str">
        <f t="shared" si="2"/>
        <v>1280EN03PT</v>
      </c>
      <c r="F536" s="2">
        <f>VLOOKUP(B536,Course!$A$2:$R$329,2,FALSE)</f>
        <v>0</v>
      </c>
      <c r="G536" s="2">
        <f>VLOOKUP(B536, Course!$A$2:$L$950, 8, FALSE)</f>
        <v>12</v>
      </c>
      <c r="H536" s="2">
        <v>3</v>
      </c>
      <c r="I536" s="2">
        <v>1</v>
      </c>
      <c r="K536" s="2" t="s">
        <v>1915</v>
      </c>
      <c r="L536" s="2" t="str">
        <f>VLOOKUP(B536, Course!$A$1:$O$933, 14, FALSE)</f>
        <v>EN</v>
      </c>
      <c r="M536" s="2">
        <v>1</v>
      </c>
    </row>
    <row r="537" spans="1:13" ht="15.75" hidden="1" customHeight="1" x14ac:dyDescent="0.2">
      <c r="A537" s="2">
        <v>536</v>
      </c>
      <c r="B537" s="2">
        <v>45</v>
      </c>
      <c r="C537" s="2">
        <v>81</v>
      </c>
      <c r="D537" s="2" t="s">
        <v>476</v>
      </c>
      <c r="E537" s="2" t="str">
        <f t="shared" si="2"/>
        <v>1281EN03PT</v>
      </c>
      <c r="F537" s="2">
        <f>VLOOKUP(B537,Course!$A$2:$R$329,2,FALSE)</f>
        <v>0</v>
      </c>
      <c r="G537" s="2">
        <f>VLOOKUP(B537, Course!$A$2:$L$950, 8, FALSE)</f>
        <v>12</v>
      </c>
      <c r="H537" s="2">
        <v>3</v>
      </c>
      <c r="I537" s="2">
        <v>1</v>
      </c>
      <c r="K537" s="2" t="s">
        <v>1915</v>
      </c>
      <c r="L537" s="2" t="str">
        <f>VLOOKUP(B537, Course!$A$1:$O$933, 14, FALSE)</f>
        <v>EN</v>
      </c>
      <c r="M537" s="2">
        <v>1</v>
      </c>
    </row>
    <row r="538" spans="1:13" ht="15.75" hidden="1" customHeight="1" x14ac:dyDescent="0.2">
      <c r="A538" s="2">
        <v>537</v>
      </c>
      <c r="B538" s="2">
        <v>45</v>
      </c>
      <c r="C538" s="2">
        <v>82</v>
      </c>
      <c r="D538" s="2" t="s">
        <v>476</v>
      </c>
      <c r="E538" s="2" t="str">
        <f t="shared" si="2"/>
        <v>1282EN03PT</v>
      </c>
      <c r="F538" s="2">
        <f>VLOOKUP(B538,Course!$A$2:$R$329,2,FALSE)</f>
        <v>0</v>
      </c>
      <c r="G538" s="2">
        <f>VLOOKUP(B538, Course!$A$2:$L$950, 8, FALSE)</f>
        <v>12</v>
      </c>
      <c r="H538" s="2">
        <v>3</v>
      </c>
      <c r="I538" s="2">
        <v>1</v>
      </c>
      <c r="K538" s="2" t="s">
        <v>1915</v>
      </c>
      <c r="L538" s="2" t="str">
        <f>VLOOKUP(B538, Course!$A$1:$O$933, 14, FALSE)</f>
        <v>EN</v>
      </c>
      <c r="M538" s="2">
        <v>1</v>
      </c>
    </row>
    <row r="539" spans="1:13" ht="15.75" hidden="1" customHeight="1" x14ac:dyDescent="0.2">
      <c r="A539" s="2">
        <v>538</v>
      </c>
      <c r="B539" s="2">
        <v>45</v>
      </c>
      <c r="C539" s="2">
        <v>83</v>
      </c>
      <c r="D539" s="2" t="s">
        <v>476</v>
      </c>
      <c r="E539" s="2" t="str">
        <f t="shared" si="2"/>
        <v>1283EN03PT</v>
      </c>
      <c r="F539" s="2">
        <f>VLOOKUP(B539,Course!$A$2:$R$329,2,FALSE)</f>
        <v>0</v>
      </c>
      <c r="G539" s="2">
        <f>VLOOKUP(B539, Course!$A$2:$L$950, 8, FALSE)</f>
        <v>12</v>
      </c>
      <c r="H539" s="2">
        <v>3</v>
      </c>
      <c r="I539" s="2">
        <v>1</v>
      </c>
      <c r="K539" s="2" t="s">
        <v>1915</v>
      </c>
      <c r="L539" s="2" t="str">
        <f>VLOOKUP(B539, Course!$A$1:$O$933, 14, FALSE)</f>
        <v>EN</v>
      </c>
      <c r="M539" s="2">
        <v>1</v>
      </c>
    </row>
    <row r="540" spans="1:13" ht="15.75" hidden="1" customHeight="1" x14ac:dyDescent="0.2">
      <c r="A540" s="2">
        <v>539</v>
      </c>
      <c r="B540" s="2">
        <v>45</v>
      </c>
      <c r="C540" s="2">
        <v>84</v>
      </c>
      <c r="D540" s="2" t="s">
        <v>476</v>
      </c>
      <c r="E540" s="2" t="str">
        <f t="shared" si="2"/>
        <v>1284EN03PT</v>
      </c>
      <c r="F540" s="2">
        <f>VLOOKUP(B540,Course!$A$2:$R$329,2,FALSE)</f>
        <v>0</v>
      </c>
      <c r="G540" s="2">
        <f>VLOOKUP(B540, Course!$A$2:$L$950, 8, FALSE)</f>
        <v>12</v>
      </c>
      <c r="H540" s="2">
        <v>3</v>
      </c>
      <c r="I540" s="2">
        <v>1</v>
      </c>
      <c r="K540" s="2" t="s">
        <v>1915</v>
      </c>
      <c r="L540" s="2" t="str">
        <f>VLOOKUP(B540, Course!$A$1:$O$933, 14, FALSE)</f>
        <v>EN</v>
      </c>
      <c r="M540" s="2">
        <v>1</v>
      </c>
    </row>
    <row r="541" spans="1:13" ht="15.75" hidden="1" customHeight="1" x14ac:dyDescent="0.2">
      <c r="A541" s="2">
        <v>540</v>
      </c>
      <c r="B541" s="2">
        <v>46</v>
      </c>
      <c r="C541" s="2">
        <v>73</v>
      </c>
      <c r="D541" s="2" t="s">
        <v>523</v>
      </c>
      <c r="E541" s="2" t="str">
        <f t="shared" si="2"/>
        <v>1273BA03PT</v>
      </c>
      <c r="F541" s="2">
        <f>VLOOKUP(B541,Course!$A$2:$R$329,2,FALSE)</f>
        <v>0</v>
      </c>
      <c r="G541" s="2">
        <f>VLOOKUP(B541, Course!$A$2:$L$950, 8, FALSE)</f>
        <v>12</v>
      </c>
      <c r="H541" s="2">
        <v>3</v>
      </c>
      <c r="I541" s="2">
        <v>1</v>
      </c>
      <c r="K541" s="2" t="s">
        <v>1915</v>
      </c>
      <c r="L541" s="2" t="str">
        <f>VLOOKUP(B541, Course!$A$1:$O$933, 14, FALSE)</f>
        <v>BA</v>
      </c>
      <c r="M541" s="2">
        <v>1</v>
      </c>
    </row>
    <row r="542" spans="1:13" ht="15.75" hidden="1" customHeight="1" x14ac:dyDescent="0.2">
      <c r="A542" s="2">
        <v>541</v>
      </c>
      <c r="B542" s="2">
        <v>46</v>
      </c>
      <c r="C542" s="2">
        <v>74</v>
      </c>
      <c r="D542" s="2" t="s">
        <v>523</v>
      </c>
      <c r="E542" s="2" t="str">
        <f t="shared" si="2"/>
        <v>1274BA03PT</v>
      </c>
      <c r="F542" s="2">
        <f>VLOOKUP(B542,Course!$A$2:$R$329,2,FALSE)</f>
        <v>0</v>
      </c>
      <c r="G542" s="2">
        <f>VLOOKUP(B542, Course!$A$2:$L$950, 8, FALSE)</f>
        <v>12</v>
      </c>
      <c r="H542" s="2">
        <v>3</v>
      </c>
      <c r="I542" s="2">
        <v>1</v>
      </c>
      <c r="K542" s="2" t="s">
        <v>1915</v>
      </c>
      <c r="L542" s="2" t="str">
        <f>VLOOKUP(B542, Course!$A$1:$O$933, 14, FALSE)</f>
        <v>BA</v>
      </c>
      <c r="M542" s="2">
        <v>1</v>
      </c>
    </row>
    <row r="543" spans="1:13" ht="15.75" hidden="1" customHeight="1" x14ac:dyDescent="0.2">
      <c r="A543" s="2">
        <v>542</v>
      </c>
      <c r="B543" s="2">
        <v>46</v>
      </c>
      <c r="C543" s="2">
        <v>75</v>
      </c>
      <c r="D543" s="2" t="s">
        <v>523</v>
      </c>
      <c r="E543" s="2" t="str">
        <f t="shared" si="2"/>
        <v>1275BA03PT</v>
      </c>
      <c r="F543" s="2">
        <f>VLOOKUP(B543,Course!$A$2:$R$329,2,FALSE)</f>
        <v>0</v>
      </c>
      <c r="G543" s="2">
        <f>VLOOKUP(B543, Course!$A$2:$L$950, 8, FALSE)</f>
        <v>12</v>
      </c>
      <c r="H543" s="2">
        <v>3</v>
      </c>
      <c r="I543" s="2">
        <v>1</v>
      </c>
      <c r="K543" s="2" t="s">
        <v>1915</v>
      </c>
      <c r="L543" s="2" t="str">
        <f>VLOOKUP(B543, Course!$A$1:$O$933, 14, FALSE)</f>
        <v>BA</v>
      </c>
      <c r="M543" s="2">
        <v>1</v>
      </c>
    </row>
    <row r="544" spans="1:13" ht="15.75" hidden="1" customHeight="1" x14ac:dyDescent="0.2">
      <c r="A544" s="2">
        <v>543</v>
      </c>
      <c r="B544" s="2">
        <v>46</v>
      </c>
      <c r="C544" s="2">
        <v>76</v>
      </c>
      <c r="D544" s="2" t="s">
        <v>523</v>
      </c>
      <c r="E544" s="2" t="str">
        <f t="shared" si="2"/>
        <v>1276BA03PT</v>
      </c>
      <c r="F544" s="2">
        <f>VLOOKUP(B544,Course!$A$2:$R$329,2,FALSE)</f>
        <v>0</v>
      </c>
      <c r="G544" s="2">
        <f>VLOOKUP(B544, Course!$A$2:$L$950, 8, FALSE)</f>
        <v>12</v>
      </c>
      <c r="H544" s="2">
        <v>3</v>
      </c>
      <c r="I544" s="2">
        <v>1</v>
      </c>
      <c r="K544" s="2" t="s">
        <v>1915</v>
      </c>
      <c r="L544" s="2" t="str">
        <f>VLOOKUP(B544, Course!$A$1:$O$933, 14, FALSE)</f>
        <v>BA</v>
      </c>
      <c r="M544" s="2">
        <v>1</v>
      </c>
    </row>
    <row r="545" spans="1:13" ht="15.75" hidden="1" customHeight="1" x14ac:dyDescent="0.2">
      <c r="A545" s="2">
        <v>544</v>
      </c>
      <c r="B545" s="2">
        <v>46</v>
      </c>
      <c r="C545" s="2">
        <v>77</v>
      </c>
      <c r="D545" s="2" t="s">
        <v>523</v>
      </c>
      <c r="E545" s="2" t="str">
        <f t="shared" si="2"/>
        <v>1277BA03PT</v>
      </c>
      <c r="F545" s="2">
        <f>VLOOKUP(B545,Course!$A$2:$R$329,2,FALSE)</f>
        <v>0</v>
      </c>
      <c r="G545" s="2">
        <f>VLOOKUP(B545, Course!$A$2:$L$950, 8, FALSE)</f>
        <v>12</v>
      </c>
      <c r="H545" s="2">
        <v>3</v>
      </c>
      <c r="I545" s="2">
        <v>1</v>
      </c>
      <c r="K545" s="2" t="s">
        <v>1915</v>
      </c>
      <c r="L545" s="2" t="str">
        <f>VLOOKUP(B545, Course!$A$1:$O$933, 14, FALSE)</f>
        <v>BA</v>
      </c>
      <c r="M545" s="2">
        <v>1</v>
      </c>
    </row>
    <row r="546" spans="1:13" ht="15.75" hidden="1" customHeight="1" x14ac:dyDescent="0.2">
      <c r="A546" s="2">
        <v>545</v>
      </c>
      <c r="B546" s="2">
        <v>46</v>
      </c>
      <c r="C546" s="2">
        <v>78</v>
      </c>
      <c r="D546" s="2" t="s">
        <v>523</v>
      </c>
      <c r="E546" s="2" t="str">
        <f t="shared" si="2"/>
        <v>1278BA03PT</v>
      </c>
      <c r="F546" s="2">
        <f>VLOOKUP(B546,Course!$A$2:$R$329,2,FALSE)</f>
        <v>0</v>
      </c>
      <c r="G546" s="2">
        <f>VLOOKUP(B546, Course!$A$2:$L$950, 8, FALSE)</f>
        <v>12</v>
      </c>
      <c r="H546" s="2">
        <v>3</v>
      </c>
      <c r="I546" s="2">
        <v>1</v>
      </c>
      <c r="K546" s="2" t="s">
        <v>1915</v>
      </c>
      <c r="L546" s="2" t="str">
        <f>VLOOKUP(B546, Course!$A$1:$O$933, 14, FALSE)</f>
        <v>BA</v>
      </c>
      <c r="M546" s="2">
        <v>1</v>
      </c>
    </row>
    <row r="547" spans="1:13" ht="15.75" hidden="1" customHeight="1" x14ac:dyDescent="0.2">
      <c r="A547" s="2">
        <v>546</v>
      </c>
      <c r="B547" s="2">
        <v>46</v>
      </c>
      <c r="C547" s="2">
        <v>79</v>
      </c>
      <c r="D547" s="2" t="s">
        <v>523</v>
      </c>
      <c r="E547" s="2" t="str">
        <f t="shared" si="2"/>
        <v>1279BA03PT</v>
      </c>
      <c r="F547" s="2">
        <f>VLOOKUP(B547,Course!$A$2:$R$329,2,FALSE)</f>
        <v>0</v>
      </c>
      <c r="G547" s="2">
        <f>VLOOKUP(B547, Course!$A$2:$L$950, 8, FALSE)</f>
        <v>12</v>
      </c>
      <c r="H547" s="2">
        <v>3</v>
      </c>
      <c r="I547" s="2">
        <v>1</v>
      </c>
      <c r="K547" s="2" t="s">
        <v>1915</v>
      </c>
      <c r="L547" s="2" t="str">
        <f>VLOOKUP(B547, Course!$A$1:$O$933, 14, FALSE)</f>
        <v>BA</v>
      </c>
      <c r="M547" s="2">
        <v>1</v>
      </c>
    </row>
    <row r="548" spans="1:13" ht="15.75" hidden="1" customHeight="1" x14ac:dyDescent="0.2">
      <c r="A548" s="2">
        <v>547</v>
      </c>
      <c r="B548" s="2">
        <v>46</v>
      </c>
      <c r="C548" s="2">
        <v>80</v>
      </c>
      <c r="D548" s="2" t="s">
        <v>523</v>
      </c>
      <c r="E548" s="2" t="str">
        <f t="shared" si="2"/>
        <v>1280BA03PT</v>
      </c>
      <c r="F548" s="2">
        <f>VLOOKUP(B548,Course!$A$2:$R$329,2,FALSE)</f>
        <v>0</v>
      </c>
      <c r="G548" s="2">
        <f>VLOOKUP(B548, Course!$A$2:$L$950, 8, FALSE)</f>
        <v>12</v>
      </c>
      <c r="H548" s="2">
        <v>3</v>
      </c>
      <c r="I548" s="2">
        <v>1</v>
      </c>
      <c r="K548" s="2" t="s">
        <v>1915</v>
      </c>
      <c r="L548" s="2" t="str">
        <f>VLOOKUP(B548, Course!$A$1:$O$933, 14, FALSE)</f>
        <v>BA</v>
      </c>
      <c r="M548" s="2">
        <v>1</v>
      </c>
    </row>
    <row r="549" spans="1:13" ht="15.75" hidden="1" customHeight="1" x14ac:dyDescent="0.2">
      <c r="A549" s="2">
        <v>548</v>
      </c>
      <c r="B549" s="2">
        <v>46</v>
      </c>
      <c r="C549" s="2">
        <v>81</v>
      </c>
      <c r="D549" s="2" t="s">
        <v>523</v>
      </c>
      <c r="E549" s="2" t="str">
        <f t="shared" si="2"/>
        <v>1281BA03PT</v>
      </c>
      <c r="F549" s="2">
        <f>VLOOKUP(B549,Course!$A$2:$R$329,2,FALSE)</f>
        <v>0</v>
      </c>
      <c r="G549" s="2">
        <f>VLOOKUP(B549, Course!$A$2:$L$950, 8, FALSE)</f>
        <v>12</v>
      </c>
      <c r="H549" s="2">
        <v>3</v>
      </c>
      <c r="I549" s="2">
        <v>1</v>
      </c>
      <c r="K549" s="2" t="s">
        <v>1915</v>
      </c>
      <c r="L549" s="2" t="str">
        <f>VLOOKUP(B549, Course!$A$1:$O$933, 14, FALSE)</f>
        <v>BA</v>
      </c>
      <c r="M549" s="2">
        <v>1</v>
      </c>
    </row>
    <row r="550" spans="1:13" ht="15.75" hidden="1" customHeight="1" x14ac:dyDescent="0.2">
      <c r="A550" s="2">
        <v>549</v>
      </c>
      <c r="B550" s="2">
        <v>46</v>
      </c>
      <c r="C550" s="2">
        <v>82</v>
      </c>
      <c r="D550" s="2" t="s">
        <v>523</v>
      </c>
      <c r="E550" s="2" t="str">
        <f t="shared" si="2"/>
        <v>1282BA03PT</v>
      </c>
      <c r="F550" s="2">
        <f>VLOOKUP(B550,Course!$A$2:$R$329,2,FALSE)</f>
        <v>0</v>
      </c>
      <c r="G550" s="2">
        <f>VLOOKUP(B550, Course!$A$2:$L$950, 8, FALSE)</f>
        <v>12</v>
      </c>
      <c r="H550" s="2">
        <v>3</v>
      </c>
      <c r="I550" s="2">
        <v>1</v>
      </c>
      <c r="K550" s="2" t="s">
        <v>1915</v>
      </c>
      <c r="L550" s="2" t="str">
        <f>VLOOKUP(B550, Course!$A$1:$O$933, 14, FALSE)</f>
        <v>BA</v>
      </c>
      <c r="M550" s="2">
        <v>1</v>
      </c>
    </row>
    <row r="551" spans="1:13" ht="15.75" hidden="1" customHeight="1" x14ac:dyDescent="0.2">
      <c r="A551" s="2">
        <v>550</v>
      </c>
      <c r="B551" s="2">
        <v>46</v>
      </c>
      <c r="C551" s="2">
        <v>83</v>
      </c>
      <c r="D551" s="2" t="s">
        <v>523</v>
      </c>
      <c r="E551" s="2" t="str">
        <f t="shared" si="2"/>
        <v>1283BA03PT</v>
      </c>
      <c r="F551" s="2">
        <f>VLOOKUP(B551,Course!$A$2:$R$329,2,FALSE)</f>
        <v>0</v>
      </c>
      <c r="G551" s="2">
        <f>VLOOKUP(B551, Course!$A$2:$L$950, 8, FALSE)</f>
        <v>12</v>
      </c>
      <c r="H551" s="2">
        <v>3</v>
      </c>
      <c r="I551" s="2">
        <v>1</v>
      </c>
      <c r="K551" s="2" t="s">
        <v>1915</v>
      </c>
      <c r="L551" s="2" t="str">
        <f>VLOOKUP(B551, Course!$A$1:$O$933, 14, FALSE)</f>
        <v>BA</v>
      </c>
      <c r="M551" s="2">
        <v>1</v>
      </c>
    </row>
    <row r="552" spans="1:13" ht="15.75" hidden="1" customHeight="1" x14ac:dyDescent="0.2">
      <c r="A552" s="2">
        <v>551</v>
      </c>
      <c r="B552" s="2">
        <v>46</v>
      </c>
      <c r="C552" s="2">
        <v>84</v>
      </c>
      <c r="D552" s="2" t="s">
        <v>523</v>
      </c>
      <c r="E552" s="2" t="str">
        <f t="shared" si="2"/>
        <v>1284BA03PT</v>
      </c>
      <c r="F552" s="2">
        <f>VLOOKUP(B552,Course!$A$2:$R$329,2,FALSE)</f>
        <v>0</v>
      </c>
      <c r="G552" s="2">
        <f>VLOOKUP(B552, Course!$A$2:$L$950, 8, FALSE)</f>
        <v>12</v>
      </c>
      <c r="H552" s="2">
        <v>3</v>
      </c>
      <c r="I552" s="2">
        <v>1</v>
      </c>
      <c r="K552" s="2" t="s">
        <v>1915</v>
      </c>
      <c r="L552" s="2" t="str">
        <f>VLOOKUP(B552, Course!$A$1:$O$933, 14, FALSE)</f>
        <v>BA</v>
      </c>
      <c r="M552" s="2">
        <v>1</v>
      </c>
    </row>
    <row r="553" spans="1:13" ht="15.75" hidden="1" customHeight="1" x14ac:dyDescent="0.2">
      <c r="A553" s="2">
        <v>552</v>
      </c>
      <c r="B553" s="2">
        <v>47</v>
      </c>
      <c r="C553" s="2">
        <v>73</v>
      </c>
      <c r="D553" s="2" t="s">
        <v>373</v>
      </c>
      <c r="E553" s="2" t="str">
        <f t="shared" si="2"/>
        <v>1273WB03PT</v>
      </c>
      <c r="F553" s="2">
        <f>VLOOKUP(B553,Course!$A$2:$R$329,2,FALSE)</f>
        <v>0</v>
      </c>
      <c r="G553" s="2">
        <f>VLOOKUP(B553, Course!$A$2:$L$950, 8, FALSE)</f>
        <v>12</v>
      </c>
      <c r="H553" s="2">
        <v>3</v>
      </c>
      <c r="I553" s="2">
        <v>1</v>
      </c>
      <c r="K553" s="2" t="s">
        <v>1915</v>
      </c>
      <c r="L553" s="2" t="str">
        <f>VLOOKUP(B553, Course!$A$1:$O$933, 14, FALSE)</f>
        <v>WB</v>
      </c>
      <c r="M553" s="2">
        <v>1</v>
      </c>
    </row>
    <row r="554" spans="1:13" ht="15.75" hidden="1" customHeight="1" x14ac:dyDescent="0.2">
      <c r="A554" s="2">
        <v>553</v>
      </c>
      <c r="B554" s="2">
        <v>47</v>
      </c>
      <c r="C554" s="2">
        <v>74</v>
      </c>
      <c r="D554" s="2" t="s">
        <v>373</v>
      </c>
      <c r="E554" s="2" t="str">
        <f t="shared" si="2"/>
        <v>1274WB03PT</v>
      </c>
      <c r="F554" s="2">
        <f>VLOOKUP(B554,Course!$A$2:$R$329,2,FALSE)</f>
        <v>0</v>
      </c>
      <c r="G554" s="2">
        <f>VLOOKUP(B554, Course!$A$2:$L$950, 8, FALSE)</f>
        <v>12</v>
      </c>
      <c r="H554" s="2">
        <v>3</v>
      </c>
      <c r="I554" s="2">
        <v>1</v>
      </c>
      <c r="K554" s="2" t="s">
        <v>1915</v>
      </c>
      <c r="L554" s="2" t="str">
        <f>VLOOKUP(B554, Course!$A$1:$O$933, 14, FALSE)</f>
        <v>WB</v>
      </c>
      <c r="M554" s="2">
        <v>1</v>
      </c>
    </row>
    <row r="555" spans="1:13" ht="15.75" hidden="1" customHeight="1" x14ac:dyDescent="0.2">
      <c r="A555" s="2">
        <v>554</v>
      </c>
      <c r="B555" s="2">
        <v>47</v>
      </c>
      <c r="C555" s="2">
        <v>75</v>
      </c>
      <c r="D555" s="2" t="s">
        <v>373</v>
      </c>
      <c r="E555" s="2" t="str">
        <f t="shared" si="2"/>
        <v>1275WB03PT</v>
      </c>
      <c r="F555" s="2">
        <f>VLOOKUP(B555,Course!$A$2:$R$329,2,FALSE)</f>
        <v>0</v>
      </c>
      <c r="G555" s="2">
        <f>VLOOKUP(B555, Course!$A$2:$L$950, 8, FALSE)</f>
        <v>12</v>
      </c>
      <c r="H555" s="2">
        <v>3</v>
      </c>
      <c r="I555" s="2">
        <v>1</v>
      </c>
      <c r="K555" s="2" t="s">
        <v>1915</v>
      </c>
      <c r="L555" s="2" t="str">
        <f>VLOOKUP(B555, Course!$A$1:$O$933, 14, FALSE)</f>
        <v>WB</v>
      </c>
      <c r="M555" s="2">
        <v>1</v>
      </c>
    </row>
    <row r="556" spans="1:13" ht="15.75" hidden="1" customHeight="1" x14ac:dyDescent="0.2">
      <c r="A556" s="2">
        <v>555</v>
      </c>
      <c r="B556" s="2">
        <v>47</v>
      </c>
      <c r="C556" s="2">
        <v>76</v>
      </c>
      <c r="D556" s="2" t="s">
        <v>373</v>
      </c>
      <c r="E556" s="2" t="str">
        <f t="shared" si="2"/>
        <v>1276WB03PT</v>
      </c>
      <c r="F556" s="2">
        <f>VLOOKUP(B556,Course!$A$2:$R$329,2,FALSE)</f>
        <v>0</v>
      </c>
      <c r="G556" s="2">
        <f>VLOOKUP(B556, Course!$A$2:$L$950, 8, FALSE)</f>
        <v>12</v>
      </c>
      <c r="H556" s="2">
        <v>3</v>
      </c>
      <c r="I556" s="2">
        <v>1</v>
      </c>
      <c r="K556" s="2" t="s">
        <v>1915</v>
      </c>
      <c r="L556" s="2" t="str">
        <f>VLOOKUP(B556, Course!$A$1:$O$933, 14, FALSE)</f>
        <v>WB</v>
      </c>
      <c r="M556" s="2">
        <v>1</v>
      </c>
    </row>
    <row r="557" spans="1:13" ht="15.75" hidden="1" customHeight="1" x14ac:dyDescent="0.2">
      <c r="A557" s="2">
        <v>556</v>
      </c>
      <c r="B557" s="2">
        <v>47</v>
      </c>
      <c r="C557" s="2">
        <v>77</v>
      </c>
      <c r="D557" s="2" t="s">
        <v>373</v>
      </c>
      <c r="E557" s="2" t="str">
        <f t="shared" si="2"/>
        <v>1277WB03PT</v>
      </c>
      <c r="F557" s="2">
        <f>VLOOKUP(B557,Course!$A$2:$R$329,2,FALSE)</f>
        <v>0</v>
      </c>
      <c r="G557" s="2">
        <f>VLOOKUP(B557, Course!$A$2:$L$950, 8, FALSE)</f>
        <v>12</v>
      </c>
      <c r="H557" s="2">
        <v>3</v>
      </c>
      <c r="I557" s="2">
        <v>1</v>
      </c>
      <c r="K557" s="2" t="s">
        <v>1915</v>
      </c>
      <c r="L557" s="2" t="str">
        <f>VLOOKUP(B557, Course!$A$1:$O$933, 14, FALSE)</f>
        <v>WB</v>
      </c>
      <c r="M557" s="2">
        <v>1</v>
      </c>
    </row>
    <row r="558" spans="1:13" ht="15.75" hidden="1" customHeight="1" x14ac:dyDescent="0.2">
      <c r="A558" s="2">
        <v>557</v>
      </c>
      <c r="B558" s="2">
        <v>47</v>
      </c>
      <c r="C558" s="2">
        <v>78</v>
      </c>
      <c r="D558" s="2" t="s">
        <v>373</v>
      </c>
      <c r="E558" s="2" t="str">
        <f t="shared" si="2"/>
        <v>1278WB03PT</v>
      </c>
      <c r="F558" s="2">
        <f>VLOOKUP(B558,Course!$A$2:$R$329,2,FALSE)</f>
        <v>0</v>
      </c>
      <c r="G558" s="2">
        <f>VLOOKUP(B558, Course!$A$2:$L$950, 8, FALSE)</f>
        <v>12</v>
      </c>
      <c r="H558" s="2">
        <v>3</v>
      </c>
      <c r="I558" s="2">
        <v>1</v>
      </c>
      <c r="K558" s="2" t="s">
        <v>1915</v>
      </c>
      <c r="L558" s="2" t="str">
        <f>VLOOKUP(B558, Course!$A$1:$O$933, 14, FALSE)</f>
        <v>WB</v>
      </c>
      <c r="M558" s="2">
        <v>1</v>
      </c>
    </row>
    <row r="559" spans="1:13" ht="15.75" hidden="1" customHeight="1" x14ac:dyDescent="0.2">
      <c r="A559" s="2">
        <v>558</v>
      </c>
      <c r="B559" s="2">
        <v>47</v>
      </c>
      <c r="C559" s="2">
        <v>79</v>
      </c>
      <c r="D559" s="2" t="s">
        <v>373</v>
      </c>
      <c r="E559" s="2" t="str">
        <f t="shared" si="2"/>
        <v>1279WB03PT</v>
      </c>
      <c r="F559" s="2">
        <f>VLOOKUP(B559,Course!$A$2:$R$329,2,FALSE)</f>
        <v>0</v>
      </c>
      <c r="G559" s="2">
        <f>VLOOKUP(B559, Course!$A$2:$L$950, 8, FALSE)</f>
        <v>12</v>
      </c>
      <c r="H559" s="2">
        <v>3</v>
      </c>
      <c r="I559" s="2">
        <v>1</v>
      </c>
      <c r="K559" s="2" t="s">
        <v>1915</v>
      </c>
      <c r="L559" s="2" t="str">
        <f>VLOOKUP(B559, Course!$A$1:$O$933, 14, FALSE)</f>
        <v>WB</v>
      </c>
      <c r="M559" s="2">
        <v>1</v>
      </c>
    </row>
    <row r="560" spans="1:13" ht="15.75" hidden="1" customHeight="1" x14ac:dyDescent="0.2">
      <c r="A560" s="2">
        <v>559</v>
      </c>
      <c r="B560" s="2">
        <v>47</v>
      </c>
      <c r="C560" s="2">
        <v>80</v>
      </c>
      <c r="D560" s="2" t="s">
        <v>373</v>
      </c>
      <c r="E560" s="2" t="str">
        <f t="shared" si="2"/>
        <v>1280WB03PT</v>
      </c>
      <c r="F560" s="2">
        <f>VLOOKUP(B560,Course!$A$2:$R$329,2,FALSE)</f>
        <v>0</v>
      </c>
      <c r="G560" s="2">
        <f>VLOOKUP(B560, Course!$A$2:$L$950, 8, FALSE)</f>
        <v>12</v>
      </c>
      <c r="H560" s="2">
        <v>3</v>
      </c>
      <c r="I560" s="2">
        <v>1</v>
      </c>
      <c r="K560" s="2" t="s">
        <v>1915</v>
      </c>
      <c r="L560" s="2" t="str">
        <f>VLOOKUP(B560, Course!$A$1:$O$933, 14, FALSE)</f>
        <v>WB</v>
      </c>
      <c r="M560" s="2">
        <v>1</v>
      </c>
    </row>
    <row r="561" spans="1:13" ht="15.75" hidden="1" customHeight="1" x14ac:dyDescent="0.2">
      <c r="A561" s="2">
        <v>560</v>
      </c>
      <c r="B561" s="2">
        <v>47</v>
      </c>
      <c r="C561" s="2">
        <v>81</v>
      </c>
      <c r="D561" s="2" t="s">
        <v>373</v>
      </c>
      <c r="E561" s="2" t="str">
        <f t="shared" si="2"/>
        <v>1281WB03PT</v>
      </c>
      <c r="F561" s="2">
        <f>VLOOKUP(B561,Course!$A$2:$R$329,2,FALSE)</f>
        <v>0</v>
      </c>
      <c r="G561" s="2">
        <f>VLOOKUP(B561, Course!$A$2:$L$950, 8, FALSE)</f>
        <v>12</v>
      </c>
      <c r="H561" s="2">
        <v>3</v>
      </c>
      <c r="I561" s="2">
        <v>1</v>
      </c>
      <c r="K561" s="2" t="s">
        <v>1915</v>
      </c>
      <c r="L561" s="2" t="str">
        <f>VLOOKUP(B561, Course!$A$1:$O$933, 14, FALSE)</f>
        <v>WB</v>
      </c>
      <c r="M561" s="2">
        <v>1</v>
      </c>
    </row>
    <row r="562" spans="1:13" ht="15.75" hidden="1" customHeight="1" x14ac:dyDescent="0.2">
      <c r="A562" s="2">
        <v>561</v>
      </c>
      <c r="B562" s="2">
        <v>47</v>
      </c>
      <c r="C562" s="2">
        <v>82</v>
      </c>
      <c r="D562" s="2" t="s">
        <v>373</v>
      </c>
      <c r="E562" s="2" t="str">
        <f t="shared" si="2"/>
        <v>1282WB03PT</v>
      </c>
      <c r="F562" s="2">
        <f>VLOOKUP(B562,Course!$A$2:$R$329,2,FALSE)</f>
        <v>0</v>
      </c>
      <c r="G562" s="2">
        <f>VLOOKUP(B562, Course!$A$2:$L$950, 8, FALSE)</f>
        <v>12</v>
      </c>
      <c r="H562" s="2">
        <v>3</v>
      </c>
      <c r="I562" s="2">
        <v>1</v>
      </c>
      <c r="K562" s="2" t="s">
        <v>1915</v>
      </c>
      <c r="L562" s="2" t="str">
        <f>VLOOKUP(B562, Course!$A$1:$O$933, 14, FALSE)</f>
        <v>WB</v>
      </c>
      <c r="M562" s="2">
        <v>1</v>
      </c>
    </row>
    <row r="563" spans="1:13" ht="15.75" hidden="1" customHeight="1" x14ac:dyDescent="0.2">
      <c r="A563" s="2">
        <v>562</v>
      </c>
      <c r="B563" s="2">
        <v>47</v>
      </c>
      <c r="C563" s="2">
        <v>83</v>
      </c>
      <c r="D563" s="2" t="s">
        <v>373</v>
      </c>
      <c r="E563" s="2" t="str">
        <f t="shared" si="2"/>
        <v>1283WB03PT</v>
      </c>
      <c r="F563" s="2">
        <f>VLOOKUP(B563,Course!$A$2:$R$329,2,FALSE)</f>
        <v>0</v>
      </c>
      <c r="G563" s="2">
        <f>VLOOKUP(B563, Course!$A$2:$L$950, 8, FALSE)</f>
        <v>12</v>
      </c>
      <c r="H563" s="2">
        <v>3</v>
      </c>
      <c r="I563" s="2">
        <v>1</v>
      </c>
      <c r="K563" s="2" t="s">
        <v>1915</v>
      </c>
      <c r="L563" s="2" t="str">
        <f>VLOOKUP(B563, Course!$A$1:$O$933, 14, FALSE)</f>
        <v>WB</v>
      </c>
      <c r="M563" s="2">
        <v>1</v>
      </c>
    </row>
    <row r="564" spans="1:13" ht="15.75" hidden="1" customHeight="1" x14ac:dyDescent="0.2">
      <c r="A564" s="2">
        <v>563</v>
      </c>
      <c r="B564" s="2">
        <v>47</v>
      </c>
      <c r="C564" s="2">
        <v>84</v>
      </c>
      <c r="D564" s="2" t="s">
        <v>373</v>
      </c>
      <c r="E564" s="2" t="str">
        <f t="shared" si="2"/>
        <v>1284WB03PT</v>
      </c>
      <c r="F564" s="2">
        <f>VLOOKUP(B564,Course!$A$2:$R$329,2,FALSE)</f>
        <v>0</v>
      </c>
      <c r="G564" s="2">
        <f>VLOOKUP(B564, Course!$A$2:$L$950, 8, FALSE)</f>
        <v>12</v>
      </c>
      <c r="H564" s="2">
        <v>3</v>
      </c>
      <c r="I564" s="2">
        <v>1</v>
      </c>
      <c r="K564" s="2" t="s">
        <v>1915</v>
      </c>
      <c r="L564" s="2" t="str">
        <f>VLOOKUP(B564, Course!$A$1:$O$933, 14, FALSE)</f>
        <v>WB</v>
      </c>
      <c r="M564" s="2">
        <v>1</v>
      </c>
    </row>
    <row r="565" spans="1:13" ht="15.75" hidden="1" customHeight="1" x14ac:dyDescent="0.2">
      <c r="A565" s="2">
        <v>564</v>
      </c>
      <c r="B565" s="2">
        <v>48</v>
      </c>
      <c r="C565" s="2">
        <v>74</v>
      </c>
      <c r="D565" s="2" t="s">
        <v>479</v>
      </c>
      <c r="E565" s="2" t="str">
        <f t="shared" si="2"/>
        <v>1274LC03PT</v>
      </c>
      <c r="F565" s="2">
        <f>VLOOKUP(B565,Course!$A$2:$R$329,2,FALSE)</f>
        <v>0</v>
      </c>
      <c r="G565" s="2">
        <f>VLOOKUP(B565, Course!$A$2:$L$950, 8, FALSE)</f>
        <v>12</v>
      </c>
      <c r="H565" s="2">
        <v>3</v>
      </c>
      <c r="I565" s="2">
        <v>1</v>
      </c>
      <c r="K565" s="2" t="s">
        <v>1915</v>
      </c>
      <c r="L565" s="2" t="str">
        <f>VLOOKUP(B565, Course!$A$1:$O$933, 14, FALSE)</f>
        <v>LC</v>
      </c>
      <c r="M565" s="2">
        <v>1</v>
      </c>
    </row>
    <row r="566" spans="1:13" ht="15.75" hidden="1" customHeight="1" x14ac:dyDescent="0.2">
      <c r="A566" s="2">
        <v>565</v>
      </c>
      <c r="B566" s="2">
        <v>48</v>
      </c>
      <c r="C566" s="2">
        <v>75</v>
      </c>
      <c r="D566" s="2" t="s">
        <v>479</v>
      </c>
      <c r="E566" s="2" t="str">
        <f t="shared" si="2"/>
        <v>1275LC03PT</v>
      </c>
      <c r="F566" s="2">
        <f>VLOOKUP(B566,Course!$A$2:$R$329,2,FALSE)</f>
        <v>0</v>
      </c>
      <c r="G566" s="2">
        <f>VLOOKUP(B566, Course!$A$2:$L$950, 8, FALSE)</f>
        <v>12</v>
      </c>
      <c r="H566" s="2">
        <v>3</v>
      </c>
      <c r="I566" s="2">
        <v>1</v>
      </c>
      <c r="K566" s="2" t="s">
        <v>1915</v>
      </c>
      <c r="L566" s="2" t="str">
        <f>VLOOKUP(B566, Course!$A$1:$O$933, 14, FALSE)</f>
        <v>LC</v>
      </c>
      <c r="M566" s="2">
        <v>1</v>
      </c>
    </row>
    <row r="567" spans="1:13" ht="15.75" hidden="1" customHeight="1" x14ac:dyDescent="0.2">
      <c r="A567" s="2">
        <v>566</v>
      </c>
      <c r="B567" s="2">
        <v>48</v>
      </c>
      <c r="C567" s="2">
        <v>76</v>
      </c>
      <c r="D567" s="2" t="s">
        <v>479</v>
      </c>
      <c r="E567" s="2" t="str">
        <f t="shared" si="2"/>
        <v>1276LC03PT</v>
      </c>
      <c r="F567" s="2">
        <f>VLOOKUP(B567,Course!$A$2:$R$329,2,FALSE)</f>
        <v>0</v>
      </c>
      <c r="G567" s="2">
        <f>VLOOKUP(B567, Course!$A$2:$L$950, 8, FALSE)</f>
        <v>12</v>
      </c>
      <c r="H567" s="2">
        <v>3</v>
      </c>
      <c r="I567" s="2">
        <v>1</v>
      </c>
      <c r="K567" s="2" t="s">
        <v>1915</v>
      </c>
      <c r="L567" s="2" t="str">
        <f>VLOOKUP(B567, Course!$A$1:$O$933, 14, FALSE)</f>
        <v>LC</v>
      </c>
      <c r="M567" s="2">
        <v>1</v>
      </c>
    </row>
    <row r="568" spans="1:13" ht="15.75" hidden="1" customHeight="1" x14ac:dyDescent="0.2">
      <c r="A568" s="2">
        <v>567</v>
      </c>
      <c r="B568" s="2">
        <v>48</v>
      </c>
      <c r="C568" s="2">
        <v>77</v>
      </c>
      <c r="D568" s="2" t="s">
        <v>479</v>
      </c>
      <c r="E568" s="2" t="str">
        <f t="shared" si="2"/>
        <v>1277LC03PT</v>
      </c>
      <c r="F568" s="2">
        <f>VLOOKUP(B568,Course!$A$2:$R$329,2,FALSE)</f>
        <v>0</v>
      </c>
      <c r="G568" s="2">
        <f>VLOOKUP(B568, Course!$A$2:$L$950, 8, FALSE)</f>
        <v>12</v>
      </c>
      <c r="H568" s="2">
        <v>3</v>
      </c>
      <c r="I568" s="2">
        <v>1</v>
      </c>
      <c r="K568" s="2" t="s">
        <v>1915</v>
      </c>
      <c r="L568" s="2" t="str">
        <f>VLOOKUP(B568, Course!$A$1:$O$933, 14, FALSE)</f>
        <v>LC</v>
      </c>
      <c r="M568" s="2">
        <v>1</v>
      </c>
    </row>
    <row r="569" spans="1:13" ht="15.75" hidden="1" customHeight="1" x14ac:dyDescent="0.2">
      <c r="A569" s="2">
        <v>568</v>
      </c>
      <c r="B569" s="2">
        <v>48</v>
      </c>
      <c r="C569" s="2">
        <v>78</v>
      </c>
      <c r="D569" s="2" t="s">
        <v>479</v>
      </c>
      <c r="E569" s="2" t="str">
        <f t="shared" si="2"/>
        <v>1278LC03PT</v>
      </c>
      <c r="F569" s="2">
        <f>VLOOKUP(B569,Course!$A$2:$R$329,2,FALSE)</f>
        <v>0</v>
      </c>
      <c r="G569" s="2">
        <f>VLOOKUP(B569, Course!$A$2:$L$950, 8, FALSE)</f>
        <v>12</v>
      </c>
      <c r="H569" s="2">
        <v>3</v>
      </c>
      <c r="I569" s="2">
        <v>1</v>
      </c>
      <c r="K569" s="2" t="s">
        <v>1915</v>
      </c>
      <c r="L569" s="2" t="str">
        <f>VLOOKUP(B569, Course!$A$1:$O$933, 14, FALSE)</f>
        <v>LC</v>
      </c>
      <c r="M569" s="2">
        <v>1</v>
      </c>
    </row>
    <row r="570" spans="1:13" ht="15.75" hidden="1" customHeight="1" x14ac:dyDescent="0.2">
      <c r="A570" s="2">
        <v>569</v>
      </c>
      <c r="B570" s="2">
        <v>48</v>
      </c>
      <c r="C570" s="2">
        <v>79</v>
      </c>
      <c r="D570" s="2" t="s">
        <v>479</v>
      </c>
      <c r="E570" s="2" t="str">
        <f t="shared" si="2"/>
        <v>1279LC03PT</v>
      </c>
      <c r="F570" s="2">
        <f>VLOOKUP(B570,Course!$A$2:$R$329,2,FALSE)</f>
        <v>0</v>
      </c>
      <c r="G570" s="2">
        <f>VLOOKUP(B570, Course!$A$2:$L$950, 8, FALSE)</f>
        <v>12</v>
      </c>
      <c r="H570" s="2">
        <v>3</v>
      </c>
      <c r="I570" s="2">
        <v>1</v>
      </c>
      <c r="K570" s="2" t="s">
        <v>1915</v>
      </c>
      <c r="L570" s="2" t="str">
        <f>VLOOKUP(B570, Course!$A$1:$O$933, 14, FALSE)</f>
        <v>LC</v>
      </c>
      <c r="M570" s="2">
        <v>1</v>
      </c>
    </row>
    <row r="571" spans="1:13" ht="15.75" hidden="1" customHeight="1" x14ac:dyDescent="0.2">
      <c r="A571" s="2">
        <v>570</v>
      </c>
      <c r="B571" s="2">
        <v>48</v>
      </c>
      <c r="C571" s="2">
        <v>80</v>
      </c>
      <c r="D571" s="2" t="s">
        <v>479</v>
      </c>
      <c r="E571" s="2" t="str">
        <f t="shared" si="2"/>
        <v>1280LC03PT</v>
      </c>
      <c r="F571" s="2">
        <f>VLOOKUP(B571,Course!$A$2:$R$329,2,FALSE)</f>
        <v>0</v>
      </c>
      <c r="G571" s="2">
        <f>VLOOKUP(B571, Course!$A$2:$L$950, 8, FALSE)</f>
        <v>12</v>
      </c>
      <c r="H571" s="2">
        <v>3</v>
      </c>
      <c r="I571" s="2">
        <v>1</v>
      </c>
      <c r="K571" s="2" t="s">
        <v>1915</v>
      </c>
      <c r="L571" s="2" t="str">
        <f>VLOOKUP(B571, Course!$A$1:$O$933, 14, FALSE)</f>
        <v>LC</v>
      </c>
      <c r="M571" s="2">
        <v>1</v>
      </c>
    </row>
    <row r="572" spans="1:13" ht="15.75" hidden="1" customHeight="1" x14ac:dyDescent="0.2">
      <c r="A572" s="2">
        <v>571</v>
      </c>
      <c r="B572" s="2">
        <v>48</v>
      </c>
      <c r="C572" s="2">
        <v>81</v>
      </c>
      <c r="D572" s="2" t="s">
        <v>479</v>
      </c>
      <c r="E572" s="2" t="str">
        <f t="shared" si="2"/>
        <v>1281LC03PT</v>
      </c>
      <c r="F572" s="2">
        <f>VLOOKUP(B572,Course!$A$2:$R$329,2,FALSE)</f>
        <v>0</v>
      </c>
      <c r="G572" s="2">
        <f>VLOOKUP(B572, Course!$A$2:$L$950, 8, FALSE)</f>
        <v>12</v>
      </c>
      <c r="H572" s="2">
        <v>3</v>
      </c>
      <c r="I572" s="2">
        <v>1</v>
      </c>
      <c r="K572" s="2" t="s">
        <v>1915</v>
      </c>
      <c r="L572" s="2" t="str">
        <f>VLOOKUP(B572, Course!$A$1:$O$933, 14, FALSE)</f>
        <v>LC</v>
      </c>
      <c r="M572" s="2">
        <v>1</v>
      </c>
    </row>
    <row r="573" spans="1:13" ht="15.75" hidden="1" customHeight="1" x14ac:dyDescent="0.2">
      <c r="A573" s="2">
        <v>572</v>
      </c>
      <c r="B573" s="2">
        <v>48</v>
      </c>
      <c r="C573" s="2">
        <v>82</v>
      </c>
      <c r="D573" s="2" t="s">
        <v>479</v>
      </c>
      <c r="E573" s="2" t="str">
        <f t="shared" si="2"/>
        <v>1282LC03PT</v>
      </c>
      <c r="F573" s="2">
        <f>VLOOKUP(B573,Course!$A$2:$R$329,2,FALSE)</f>
        <v>0</v>
      </c>
      <c r="G573" s="2">
        <f>VLOOKUP(B573, Course!$A$2:$L$950, 8, FALSE)</f>
        <v>12</v>
      </c>
      <c r="H573" s="2">
        <v>3</v>
      </c>
      <c r="I573" s="2">
        <v>1</v>
      </c>
      <c r="K573" s="2" t="s">
        <v>1915</v>
      </c>
      <c r="L573" s="2" t="str">
        <f>VLOOKUP(B573, Course!$A$1:$O$933, 14, FALSE)</f>
        <v>LC</v>
      </c>
      <c r="M573" s="2">
        <v>1</v>
      </c>
    </row>
    <row r="574" spans="1:13" ht="15.75" hidden="1" customHeight="1" x14ac:dyDescent="0.2">
      <c r="A574" s="2">
        <v>573</v>
      </c>
      <c r="B574" s="2">
        <v>48</v>
      </c>
      <c r="C574" s="2">
        <v>83</v>
      </c>
      <c r="D574" s="2" t="s">
        <v>479</v>
      </c>
      <c r="E574" s="2" t="str">
        <f t="shared" si="2"/>
        <v>1283LC03PT</v>
      </c>
      <c r="F574" s="2">
        <f>VLOOKUP(B574,Course!$A$2:$R$329,2,FALSE)</f>
        <v>0</v>
      </c>
      <c r="G574" s="2">
        <f>VLOOKUP(B574, Course!$A$2:$L$950, 8, FALSE)</f>
        <v>12</v>
      </c>
      <c r="H574" s="2">
        <v>3</v>
      </c>
      <c r="I574" s="2">
        <v>1</v>
      </c>
      <c r="K574" s="2" t="s">
        <v>1915</v>
      </c>
      <c r="L574" s="2" t="str">
        <f>VLOOKUP(B574, Course!$A$1:$O$933, 14, FALSE)</f>
        <v>LC</v>
      </c>
      <c r="M574" s="2">
        <v>1</v>
      </c>
    </row>
    <row r="575" spans="1:13" ht="15.75" hidden="1" customHeight="1" x14ac:dyDescent="0.2">
      <c r="A575" s="2">
        <v>574</v>
      </c>
      <c r="B575" s="2">
        <v>48</v>
      </c>
      <c r="C575" s="2">
        <v>84</v>
      </c>
      <c r="D575" s="2" t="s">
        <v>479</v>
      </c>
      <c r="E575" s="2" t="str">
        <f t="shared" si="2"/>
        <v>1284LC03PT</v>
      </c>
      <c r="F575" s="2">
        <f>VLOOKUP(B575,Course!$A$2:$R$329,2,FALSE)</f>
        <v>0</v>
      </c>
      <c r="G575" s="2">
        <f>VLOOKUP(B575, Course!$A$2:$L$950, 8, FALSE)</f>
        <v>12</v>
      </c>
      <c r="H575" s="2">
        <v>3</v>
      </c>
      <c r="I575" s="2">
        <v>1</v>
      </c>
      <c r="K575" s="2" t="s">
        <v>1915</v>
      </c>
      <c r="L575" s="2" t="str">
        <f>VLOOKUP(B575, Course!$A$1:$O$933, 14, FALSE)</f>
        <v>LC</v>
      </c>
      <c r="M575" s="2">
        <v>1</v>
      </c>
    </row>
    <row r="576" spans="1:13" ht="15.75" hidden="1" customHeight="1" x14ac:dyDescent="0.2">
      <c r="A576" s="2">
        <v>575</v>
      </c>
      <c r="B576" s="2">
        <v>49</v>
      </c>
      <c r="C576" s="2">
        <v>73</v>
      </c>
      <c r="D576" s="2" t="s">
        <v>377</v>
      </c>
      <c r="E576" s="2" t="str">
        <f t="shared" si="2"/>
        <v>1273SC03PT</v>
      </c>
      <c r="F576" s="2" t="str">
        <f>VLOOKUP(B576,Course!$A$2:$R$329,2,FALSE)</f>
        <v>Science 7</v>
      </c>
      <c r="G576" s="2">
        <f>VLOOKUP(B576, Course!$A$2:$L$950, 8, FALSE)</f>
        <v>12</v>
      </c>
      <c r="H576" s="2">
        <v>3</v>
      </c>
      <c r="I576" s="2">
        <v>1</v>
      </c>
      <c r="K576" s="2" t="s">
        <v>1915</v>
      </c>
      <c r="L576" s="2" t="str">
        <f>VLOOKUP(B576, Course!$A$1:$O$933, 14, FALSE)</f>
        <v>SC</v>
      </c>
      <c r="M576" s="2">
        <v>1</v>
      </c>
    </row>
    <row r="577" spans="1:13" ht="15.75" hidden="1" customHeight="1" x14ac:dyDescent="0.2">
      <c r="A577" s="2">
        <v>576</v>
      </c>
      <c r="B577" s="2">
        <v>49</v>
      </c>
      <c r="C577" s="2">
        <v>74</v>
      </c>
      <c r="D577" s="2" t="s">
        <v>377</v>
      </c>
      <c r="E577" s="2" t="str">
        <f t="shared" si="2"/>
        <v>1274SC03PT</v>
      </c>
      <c r="F577" s="2" t="str">
        <f>VLOOKUP(B577,Course!$A$2:$R$329,2,FALSE)</f>
        <v>Science 7</v>
      </c>
      <c r="G577" s="2">
        <f>VLOOKUP(B577, Course!$A$2:$L$950, 8, FALSE)</f>
        <v>12</v>
      </c>
      <c r="H577" s="2">
        <v>3</v>
      </c>
      <c r="I577" s="2">
        <v>1</v>
      </c>
      <c r="K577" s="2" t="s">
        <v>1915</v>
      </c>
      <c r="L577" s="2" t="str">
        <f>VLOOKUP(B577, Course!$A$1:$O$933, 14, FALSE)</f>
        <v>SC</v>
      </c>
      <c r="M577" s="2">
        <v>1</v>
      </c>
    </row>
    <row r="578" spans="1:13" ht="15.75" hidden="1" customHeight="1" x14ac:dyDescent="0.2">
      <c r="A578" s="2">
        <v>577</v>
      </c>
      <c r="B578" s="2">
        <v>49</v>
      </c>
      <c r="C578" s="2">
        <v>75</v>
      </c>
      <c r="D578" s="2" t="s">
        <v>377</v>
      </c>
      <c r="E578" s="2" t="str">
        <f t="shared" si="2"/>
        <v>1275SC03PT</v>
      </c>
      <c r="F578" s="2" t="str">
        <f>VLOOKUP(B578,Course!$A$2:$R$329,2,FALSE)</f>
        <v>Science 7</v>
      </c>
      <c r="G578" s="2">
        <f>VLOOKUP(B578, Course!$A$2:$L$950, 8, FALSE)</f>
        <v>12</v>
      </c>
      <c r="H578" s="2">
        <v>3</v>
      </c>
      <c r="I578" s="2">
        <v>1</v>
      </c>
      <c r="K578" s="2" t="s">
        <v>1915</v>
      </c>
      <c r="L578" s="2" t="str">
        <f>VLOOKUP(B578, Course!$A$1:$O$933, 14, FALSE)</f>
        <v>SC</v>
      </c>
      <c r="M578" s="2">
        <v>1</v>
      </c>
    </row>
    <row r="579" spans="1:13" ht="15.75" hidden="1" customHeight="1" x14ac:dyDescent="0.2">
      <c r="A579" s="2">
        <v>578</v>
      </c>
      <c r="B579" s="2">
        <v>49</v>
      </c>
      <c r="C579" s="2">
        <v>76</v>
      </c>
      <c r="D579" s="2" t="s">
        <v>377</v>
      </c>
      <c r="E579" s="2" t="str">
        <f t="shared" si="2"/>
        <v>1276SC03PT</v>
      </c>
      <c r="F579" s="2" t="str">
        <f>VLOOKUP(B579,Course!$A$2:$R$329,2,FALSE)</f>
        <v>Science 7</v>
      </c>
      <c r="G579" s="2">
        <f>VLOOKUP(B579, Course!$A$2:$L$950, 8, FALSE)</f>
        <v>12</v>
      </c>
      <c r="H579" s="2">
        <v>3</v>
      </c>
      <c r="I579" s="2">
        <v>1</v>
      </c>
      <c r="K579" s="2" t="s">
        <v>1915</v>
      </c>
      <c r="L579" s="2" t="str">
        <f>VLOOKUP(B579, Course!$A$1:$O$933, 14, FALSE)</f>
        <v>SC</v>
      </c>
      <c r="M579" s="2">
        <v>1</v>
      </c>
    </row>
    <row r="580" spans="1:13" ht="15.75" hidden="1" customHeight="1" x14ac:dyDescent="0.2">
      <c r="A580" s="2">
        <v>579</v>
      </c>
      <c r="B580" s="2">
        <v>49</v>
      </c>
      <c r="C580" s="2">
        <v>77</v>
      </c>
      <c r="D580" s="2" t="s">
        <v>377</v>
      </c>
      <c r="E580" s="2" t="str">
        <f t="shared" si="2"/>
        <v>1277SC03PT</v>
      </c>
      <c r="F580" s="2" t="str">
        <f>VLOOKUP(B580,Course!$A$2:$R$329,2,FALSE)</f>
        <v>Science 7</v>
      </c>
      <c r="G580" s="2">
        <f>VLOOKUP(B580, Course!$A$2:$L$950, 8, FALSE)</f>
        <v>12</v>
      </c>
      <c r="H580" s="2">
        <v>3</v>
      </c>
      <c r="I580" s="2">
        <v>1</v>
      </c>
      <c r="K580" s="2" t="s">
        <v>1915</v>
      </c>
      <c r="L580" s="2" t="str">
        <f>VLOOKUP(B580, Course!$A$1:$O$933, 14, FALSE)</f>
        <v>SC</v>
      </c>
      <c r="M580" s="2">
        <v>1</v>
      </c>
    </row>
    <row r="581" spans="1:13" ht="15.75" hidden="1" customHeight="1" x14ac:dyDescent="0.2">
      <c r="A581" s="2">
        <v>580</v>
      </c>
      <c r="B581" s="2">
        <v>49</v>
      </c>
      <c r="C581" s="2">
        <v>78</v>
      </c>
      <c r="D581" s="2" t="s">
        <v>377</v>
      </c>
      <c r="E581" s="2" t="str">
        <f t="shared" si="2"/>
        <v>1278SC03PT</v>
      </c>
      <c r="F581" s="2" t="str">
        <f>VLOOKUP(B581,Course!$A$2:$R$329,2,FALSE)</f>
        <v>Science 7</v>
      </c>
      <c r="G581" s="2">
        <f>VLOOKUP(B581, Course!$A$2:$L$950, 8, FALSE)</f>
        <v>12</v>
      </c>
      <c r="H581" s="2">
        <v>3</v>
      </c>
      <c r="I581" s="2">
        <v>1</v>
      </c>
      <c r="K581" s="2" t="s">
        <v>1915</v>
      </c>
      <c r="L581" s="2" t="str">
        <f>VLOOKUP(B581, Course!$A$1:$O$933, 14, FALSE)</f>
        <v>SC</v>
      </c>
      <c r="M581" s="2">
        <v>1</v>
      </c>
    </row>
    <row r="582" spans="1:13" ht="15.75" hidden="1" customHeight="1" x14ac:dyDescent="0.2">
      <c r="A582" s="2">
        <v>581</v>
      </c>
      <c r="B582" s="2">
        <v>49</v>
      </c>
      <c r="C582" s="2">
        <v>79</v>
      </c>
      <c r="D582" s="2" t="s">
        <v>377</v>
      </c>
      <c r="E582" s="2" t="str">
        <f t="shared" si="2"/>
        <v>1279SC03PT</v>
      </c>
      <c r="F582" s="2" t="str">
        <f>VLOOKUP(B582,Course!$A$2:$R$329,2,FALSE)</f>
        <v>Science 7</v>
      </c>
      <c r="G582" s="2">
        <f>VLOOKUP(B582, Course!$A$2:$L$950, 8, FALSE)</f>
        <v>12</v>
      </c>
      <c r="H582" s="2">
        <v>3</v>
      </c>
      <c r="I582" s="2">
        <v>1</v>
      </c>
      <c r="K582" s="2" t="s">
        <v>1915</v>
      </c>
      <c r="L582" s="2" t="str">
        <f>VLOOKUP(B582, Course!$A$1:$O$933, 14, FALSE)</f>
        <v>SC</v>
      </c>
      <c r="M582" s="2">
        <v>1</v>
      </c>
    </row>
    <row r="583" spans="1:13" ht="15.75" hidden="1" customHeight="1" x14ac:dyDescent="0.2">
      <c r="A583" s="2">
        <v>582</v>
      </c>
      <c r="B583" s="2">
        <v>49</v>
      </c>
      <c r="C583" s="2">
        <v>80</v>
      </c>
      <c r="D583" s="2" t="s">
        <v>377</v>
      </c>
      <c r="E583" s="2" t="str">
        <f t="shared" si="2"/>
        <v>1280SC03PT</v>
      </c>
      <c r="F583" s="2" t="str">
        <f>VLOOKUP(B583,Course!$A$2:$R$329,2,FALSE)</f>
        <v>Science 7</v>
      </c>
      <c r="G583" s="2">
        <f>VLOOKUP(B583, Course!$A$2:$L$950, 8, FALSE)</f>
        <v>12</v>
      </c>
      <c r="H583" s="2">
        <v>3</v>
      </c>
      <c r="I583" s="2">
        <v>1</v>
      </c>
      <c r="K583" s="2" t="s">
        <v>1915</v>
      </c>
      <c r="L583" s="2" t="str">
        <f>VLOOKUP(B583, Course!$A$1:$O$933, 14, FALSE)</f>
        <v>SC</v>
      </c>
      <c r="M583" s="2">
        <v>1</v>
      </c>
    </row>
    <row r="584" spans="1:13" ht="15.75" hidden="1" customHeight="1" x14ac:dyDescent="0.2">
      <c r="A584" s="2">
        <v>583</v>
      </c>
      <c r="B584" s="2">
        <v>49</v>
      </c>
      <c r="C584" s="2">
        <v>81</v>
      </c>
      <c r="D584" s="2" t="s">
        <v>377</v>
      </c>
      <c r="E584" s="2" t="str">
        <f t="shared" si="2"/>
        <v>1281SC03PT</v>
      </c>
      <c r="F584" s="2" t="str">
        <f>VLOOKUP(B584,Course!$A$2:$R$329,2,FALSE)</f>
        <v>Science 7</v>
      </c>
      <c r="G584" s="2">
        <f>VLOOKUP(B584, Course!$A$2:$L$950, 8, FALSE)</f>
        <v>12</v>
      </c>
      <c r="H584" s="2">
        <v>3</v>
      </c>
      <c r="I584" s="2">
        <v>1</v>
      </c>
      <c r="K584" s="2" t="s">
        <v>1915</v>
      </c>
      <c r="L584" s="2" t="str">
        <f>VLOOKUP(B584, Course!$A$1:$O$933, 14, FALSE)</f>
        <v>SC</v>
      </c>
      <c r="M584" s="2">
        <v>1</v>
      </c>
    </row>
    <row r="585" spans="1:13" ht="15.75" hidden="1" customHeight="1" x14ac:dyDescent="0.2">
      <c r="A585" s="2">
        <v>584</v>
      </c>
      <c r="B585" s="2">
        <v>49</v>
      </c>
      <c r="C585" s="2">
        <v>82</v>
      </c>
      <c r="D585" s="2" t="s">
        <v>377</v>
      </c>
      <c r="E585" s="2" t="str">
        <f t="shared" si="2"/>
        <v>1282SC03PT</v>
      </c>
      <c r="F585" s="2" t="str">
        <f>VLOOKUP(B585,Course!$A$2:$R$329,2,FALSE)</f>
        <v>Science 7</v>
      </c>
      <c r="G585" s="2">
        <f>VLOOKUP(B585, Course!$A$2:$L$950, 8, FALSE)</f>
        <v>12</v>
      </c>
      <c r="H585" s="2">
        <v>3</v>
      </c>
      <c r="I585" s="2">
        <v>1</v>
      </c>
      <c r="K585" s="2" t="s">
        <v>1915</v>
      </c>
      <c r="L585" s="2" t="str">
        <f>VLOOKUP(B585, Course!$A$1:$O$933, 14, FALSE)</f>
        <v>SC</v>
      </c>
      <c r="M585" s="2">
        <v>1</v>
      </c>
    </row>
    <row r="586" spans="1:13" ht="15.75" hidden="1" customHeight="1" x14ac:dyDescent="0.2">
      <c r="A586" s="2">
        <v>585</v>
      </c>
      <c r="B586" s="2">
        <v>49</v>
      </c>
      <c r="C586" s="2">
        <v>83</v>
      </c>
      <c r="D586" s="2" t="s">
        <v>377</v>
      </c>
      <c r="E586" s="2" t="str">
        <f t="shared" si="2"/>
        <v>1283SC03PT</v>
      </c>
      <c r="F586" s="2" t="str">
        <f>VLOOKUP(B586,Course!$A$2:$R$329,2,FALSE)</f>
        <v>Science 7</v>
      </c>
      <c r="G586" s="2">
        <f>VLOOKUP(B586, Course!$A$2:$L$950, 8, FALSE)</f>
        <v>12</v>
      </c>
      <c r="H586" s="2">
        <v>3</v>
      </c>
      <c r="I586" s="2">
        <v>1</v>
      </c>
      <c r="K586" s="2" t="s">
        <v>1915</v>
      </c>
      <c r="L586" s="2" t="str">
        <f>VLOOKUP(B586, Course!$A$1:$O$933, 14, FALSE)</f>
        <v>SC</v>
      </c>
      <c r="M586" s="2">
        <v>1</v>
      </c>
    </row>
    <row r="587" spans="1:13" ht="15.75" hidden="1" customHeight="1" x14ac:dyDescent="0.2">
      <c r="A587" s="2">
        <v>586</v>
      </c>
      <c r="B587" s="2">
        <v>49</v>
      </c>
      <c r="C587" s="2">
        <v>84</v>
      </c>
      <c r="D587" s="2" t="s">
        <v>377</v>
      </c>
      <c r="E587" s="2" t="str">
        <f t="shared" si="2"/>
        <v>1284SC03PT</v>
      </c>
      <c r="F587" s="2" t="str">
        <f>VLOOKUP(B587,Course!$A$2:$R$329,2,FALSE)</f>
        <v>Science 7</v>
      </c>
      <c r="G587" s="2">
        <f>VLOOKUP(B587, Course!$A$2:$L$950, 8, FALSE)</f>
        <v>12</v>
      </c>
      <c r="H587" s="2">
        <v>3</v>
      </c>
      <c r="I587" s="2">
        <v>1</v>
      </c>
      <c r="K587" s="2" t="s">
        <v>1915</v>
      </c>
      <c r="L587" s="2" t="str">
        <f>VLOOKUP(B587, Course!$A$1:$O$933, 14, FALSE)</f>
        <v>SC</v>
      </c>
      <c r="M587" s="2">
        <v>1</v>
      </c>
    </row>
    <row r="588" spans="1:13" ht="15.75" hidden="1" customHeight="1" x14ac:dyDescent="0.2">
      <c r="A588" s="2">
        <v>587</v>
      </c>
      <c r="B588" s="2">
        <v>50</v>
      </c>
      <c r="C588" s="2">
        <v>73</v>
      </c>
      <c r="D588" s="2" t="s">
        <v>379</v>
      </c>
      <c r="E588" s="2" t="str">
        <f t="shared" si="2"/>
        <v>673SS03PT</v>
      </c>
      <c r="F588" s="2">
        <f>VLOOKUP(B588,Course!$A$2:$R$329,2,FALSE)</f>
        <v>0</v>
      </c>
      <c r="G588" s="2">
        <f>VLOOKUP(B588, Course!$A$2:$L$950, 8, FALSE)</f>
        <v>6</v>
      </c>
      <c r="H588" s="2">
        <v>3</v>
      </c>
      <c r="I588" s="2">
        <v>1</v>
      </c>
      <c r="K588" s="2" t="s">
        <v>1915</v>
      </c>
      <c r="L588" s="2" t="str">
        <f>VLOOKUP(B588, Course!$A$1:$O$933, 14, FALSE)</f>
        <v>SS</v>
      </c>
      <c r="M588" s="2">
        <v>1</v>
      </c>
    </row>
    <row r="589" spans="1:13" ht="15.75" hidden="1" customHeight="1" x14ac:dyDescent="0.2">
      <c r="A589" s="2">
        <v>588</v>
      </c>
      <c r="B589" s="2">
        <v>50</v>
      </c>
      <c r="C589" s="2">
        <v>74</v>
      </c>
      <c r="D589" s="2" t="s">
        <v>379</v>
      </c>
      <c r="E589" s="2" t="str">
        <f t="shared" si="2"/>
        <v>674SS03PT</v>
      </c>
      <c r="F589" s="2">
        <f>VLOOKUP(B589,Course!$A$2:$R$329,2,FALSE)</f>
        <v>0</v>
      </c>
      <c r="G589" s="2">
        <f>VLOOKUP(B589, Course!$A$2:$L$950, 8, FALSE)</f>
        <v>6</v>
      </c>
      <c r="H589" s="2">
        <v>3</v>
      </c>
      <c r="I589" s="2">
        <v>1</v>
      </c>
      <c r="K589" s="2" t="s">
        <v>1915</v>
      </c>
      <c r="L589" s="2" t="str">
        <f>VLOOKUP(B589, Course!$A$1:$O$933, 14, FALSE)</f>
        <v>SS</v>
      </c>
      <c r="M589" s="2">
        <v>1</v>
      </c>
    </row>
    <row r="590" spans="1:13" ht="15.75" hidden="1" customHeight="1" x14ac:dyDescent="0.2">
      <c r="A590" s="2">
        <v>589</v>
      </c>
      <c r="B590" s="2">
        <v>50</v>
      </c>
      <c r="C590" s="2">
        <v>75</v>
      </c>
      <c r="D590" s="2" t="s">
        <v>379</v>
      </c>
      <c r="E590" s="2" t="str">
        <f t="shared" si="2"/>
        <v>675SS03PT</v>
      </c>
      <c r="F590" s="2">
        <f>VLOOKUP(B590,Course!$A$2:$R$329,2,FALSE)</f>
        <v>0</v>
      </c>
      <c r="G590" s="2">
        <f>VLOOKUP(B590, Course!$A$2:$L$950, 8, FALSE)</f>
        <v>6</v>
      </c>
      <c r="H590" s="2">
        <v>3</v>
      </c>
      <c r="I590" s="2">
        <v>1</v>
      </c>
      <c r="K590" s="2" t="s">
        <v>1915</v>
      </c>
      <c r="L590" s="2" t="str">
        <f>VLOOKUP(B590, Course!$A$1:$O$933, 14, FALSE)</f>
        <v>SS</v>
      </c>
      <c r="M590" s="2">
        <v>1</v>
      </c>
    </row>
    <row r="591" spans="1:13" ht="15.75" hidden="1" customHeight="1" x14ac:dyDescent="0.2">
      <c r="A591" s="2">
        <v>590</v>
      </c>
      <c r="B591" s="2">
        <v>50</v>
      </c>
      <c r="C591" s="2">
        <v>76</v>
      </c>
      <c r="D591" s="2" t="s">
        <v>379</v>
      </c>
      <c r="E591" s="2" t="str">
        <f t="shared" si="2"/>
        <v>676SS03PT</v>
      </c>
      <c r="F591" s="2">
        <f>VLOOKUP(B591,Course!$A$2:$R$329,2,FALSE)</f>
        <v>0</v>
      </c>
      <c r="G591" s="2">
        <f>VLOOKUP(B591, Course!$A$2:$L$950, 8, FALSE)</f>
        <v>6</v>
      </c>
      <c r="H591" s="2">
        <v>3</v>
      </c>
      <c r="I591" s="2">
        <v>1</v>
      </c>
      <c r="K591" s="2" t="s">
        <v>1915</v>
      </c>
      <c r="L591" s="2" t="str">
        <f>VLOOKUP(B591, Course!$A$1:$O$933, 14, FALSE)</f>
        <v>SS</v>
      </c>
      <c r="M591" s="2">
        <v>1</v>
      </c>
    </row>
    <row r="592" spans="1:13" ht="15.75" hidden="1" customHeight="1" x14ac:dyDescent="0.2">
      <c r="A592" s="2">
        <v>591</v>
      </c>
      <c r="B592" s="2">
        <v>50</v>
      </c>
      <c r="C592" s="2">
        <v>77</v>
      </c>
      <c r="D592" s="2" t="s">
        <v>379</v>
      </c>
      <c r="E592" s="2" t="str">
        <f t="shared" si="2"/>
        <v>677SS03PT</v>
      </c>
      <c r="F592" s="2">
        <f>VLOOKUP(B592,Course!$A$2:$R$329,2,FALSE)</f>
        <v>0</v>
      </c>
      <c r="G592" s="2">
        <f>VLOOKUP(B592, Course!$A$2:$L$950, 8, FALSE)</f>
        <v>6</v>
      </c>
      <c r="H592" s="2">
        <v>3</v>
      </c>
      <c r="I592" s="2">
        <v>1</v>
      </c>
      <c r="K592" s="2" t="s">
        <v>1915</v>
      </c>
      <c r="L592" s="2" t="str">
        <f>VLOOKUP(B592, Course!$A$1:$O$933, 14, FALSE)</f>
        <v>SS</v>
      </c>
      <c r="M592" s="2">
        <v>1</v>
      </c>
    </row>
    <row r="593" spans="1:13" ht="15.75" hidden="1" customHeight="1" x14ac:dyDescent="0.2">
      <c r="A593" s="2">
        <v>592</v>
      </c>
      <c r="B593" s="2">
        <v>50</v>
      </c>
      <c r="C593" s="2">
        <v>78</v>
      </c>
      <c r="D593" s="2" t="s">
        <v>379</v>
      </c>
      <c r="E593" s="2" t="str">
        <f t="shared" si="2"/>
        <v>678SS03PT</v>
      </c>
      <c r="F593" s="2">
        <f>VLOOKUP(B593,Course!$A$2:$R$329,2,FALSE)</f>
        <v>0</v>
      </c>
      <c r="G593" s="2">
        <f>VLOOKUP(B593, Course!$A$2:$L$950, 8, FALSE)</f>
        <v>6</v>
      </c>
      <c r="H593" s="2">
        <v>3</v>
      </c>
      <c r="I593" s="2">
        <v>1</v>
      </c>
      <c r="K593" s="2" t="s">
        <v>1915</v>
      </c>
      <c r="L593" s="2" t="str">
        <f>VLOOKUP(B593, Course!$A$1:$O$933, 14, FALSE)</f>
        <v>SS</v>
      </c>
      <c r="M593" s="2">
        <v>1</v>
      </c>
    </row>
    <row r="594" spans="1:13" ht="15.75" hidden="1" customHeight="1" x14ac:dyDescent="0.2">
      <c r="A594" s="2">
        <v>593</v>
      </c>
      <c r="B594" s="2">
        <v>51</v>
      </c>
      <c r="C594" s="2">
        <v>1</v>
      </c>
      <c r="D594" s="2" t="s">
        <v>528</v>
      </c>
      <c r="E594" s="2" t="str">
        <f t="shared" si="2"/>
        <v>301SI03PT</v>
      </c>
      <c r="F594" s="2">
        <f>VLOOKUP(B594,Course!$A$2:$R$329,2,FALSE)</f>
        <v>0</v>
      </c>
      <c r="G594" s="2">
        <f>VLOOKUP(B594, Course!$A$2:$L$950, 8, FALSE)</f>
        <v>3</v>
      </c>
      <c r="H594" s="2">
        <v>3</v>
      </c>
      <c r="I594" s="2">
        <v>1</v>
      </c>
      <c r="K594" s="2" t="s">
        <v>1915</v>
      </c>
      <c r="L594" s="2" t="str">
        <f>VLOOKUP(B594, Course!$A$1:$O$933, 14, FALSE)</f>
        <v>SI</v>
      </c>
      <c r="M594" s="2">
        <v>1</v>
      </c>
    </row>
    <row r="595" spans="1:13" ht="15.75" hidden="1" customHeight="1" x14ac:dyDescent="0.2">
      <c r="A595" s="2">
        <v>594</v>
      </c>
      <c r="B595" s="2">
        <v>51</v>
      </c>
      <c r="C595" s="2">
        <v>2</v>
      </c>
      <c r="D595" s="2" t="s">
        <v>528</v>
      </c>
      <c r="E595" s="2" t="str">
        <f t="shared" si="2"/>
        <v>302SI03PT</v>
      </c>
      <c r="F595" s="2">
        <f>VLOOKUP(B595,Course!$A$2:$R$329,2,FALSE)</f>
        <v>0</v>
      </c>
      <c r="G595" s="2">
        <f>VLOOKUP(B595, Course!$A$2:$L$950, 8, FALSE)</f>
        <v>3</v>
      </c>
      <c r="H595" s="2">
        <v>3</v>
      </c>
      <c r="I595" s="2">
        <v>1</v>
      </c>
      <c r="K595" s="2" t="s">
        <v>1915</v>
      </c>
      <c r="L595" s="2" t="str">
        <f>VLOOKUP(B595, Course!$A$1:$O$933, 14, FALSE)</f>
        <v>SI</v>
      </c>
      <c r="M595" s="2">
        <v>1</v>
      </c>
    </row>
    <row r="596" spans="1:13" ht="15.75" hidden="1" customHeight="1" x14ac:dyDescent="0.2">
      <c r="A596" s="2">
        <v>595</v>
      </c>
      <c r="B596" s="2">
        <v>51</v>
      </c>
      <c r="C596" s="2">
        <v>3</v>
      </c>
      <c r="D596" s="2" t="s">
        <v>528</v>
      </c>
      <c r="E596" s="2" t="str">
        <f t="shared" si="2"/>
        <v>303SI03PT</v>
      </c>
      <c r="F596" s="2">
        <f>VLOOKUP(B596,Course!$A$2:$R$329,2,FALSE)</f>
        <v>0</v>
      </c>
      <c r="G596" s="2">
        <f>VLOOKUP(B596, Course!$A$2:$L$950, 8, FALSE)</f>
        <v>3</v>
      </c>
      <c r="H596" s="2">
        <v>3</v>
      </c>
      <c r="I596" s="2">
        <v>1</v>
      </c>
      <c r="K596" s="2" t="s">
        <v>1915</v>
      </c>
      <c r="L596" s="2" t="str">
        <f>VLOOKUP(B596, Course!$A$1:$O$933, 14, FALSE)</f>
        <v>SI</v>
      </c>
      <c r="M596" s="2">
        <v>1</v>
      </c>
    </row>
    <row r="597" spans="1:13" ht="15.75" hidden="1" customHeight="1" x14ac:dyDescent="0.2">
      <c r="A597" s="2">
        <v>596</v>
      </c>
      <c r="B597" s="2">
        <v>52</v>
      </c>
      <c r="C597" s="2">
        <v>73</v>
      </c>
      <c r="D597" s="2" t="s">
        <v>484</v>
      </c>
      <c r="E597" s="2" t="str">
        <f t="shared" si="2"/>
        <v>1273BR03PT</v>
      </c>
      <c r="F597" s="2">
        <f>VLOOKUP(B597,Course!$A$2:$R$329,2,FALSE)</f>
        <v>0</v>
      </c>
      <c r="G597" s="2">
        <f>VLOOKUP(B597, Course!$A$2:$L$950, 8, FALSE)</f>
        <v>12</v>
      </c>
      <c r="H597" s="2">
        <v>3</v>
      </c>
      <c r="I597" s="2">
        <v>1</v>
      </c>
      <c r="K597" s="2" t="s">
        <v>1915</v>
      </c>
      <c r="L597" s="2" t="str">
        <f>VLOOKUP(B597, Course!$A$1:$O$933, 14, FALSE)</f>
        <v>BR</v>
      </c>
      <c r="M597" s="2">
        <v>1</v>
      </c>
    </row>
    <row r="598" spans="1:13" ht="15.75" hidden="1" customHeight="1" x14ac:dyDescent="0.2">
      <c r="A598" s="2">
        <v>597</v>
      </c>
      <c r="B598" s="2">
        <v>52</v>
      </c>
      <c r="C598" s="2">
        <v>74</v>
      </c>
      <c r="D598" s="2" t="s">
        <v>484</v>
      </c>
      <c r="E598" s="2" t="str">
        <f t="shared" si="2"/>
        <v>1274BR03PT</v>
      </c>
      <c r="F598" s="2">
        <f>VLOOKUP(B598,Course!$A$2:$R$329,2,FALSE)</f>
        <v>0</v>
      </c>
      <c r="G598" s="2">
        <f>VLOOKUP(B598, Course!$A$2:$L$950, 8, FALSE)</f>
        <v>12</v>
      </c>
      <c r="H598" s="2">
        <v>3</v>
      </c>
      <c r="I598" s="2">
        <v>1</v>
      </c>
      <c r="K598" s="2" t="s">
        <v>1915</v>
      </c>
      <c r="L598" s="2" t="str">
        <f>VLOOKUP(B598, Course!$A$1:$O$933, 14, FALSE)</f>
        <v>BR</v>
      </c>
      <c r="M598" s="2">
        <v>1</v>
      </c>
    </row>
    <row r="599" spans="1:13" ht="15.75" hidden="1" customHeight="1" x14ac:dyDescent="0.2">
      <c r="A599" s="2">
        <v>598</v>
      </c>
      <c r="B599" s="2">
        <v>52</v>
      </c>
      <c r="C599" s="2">
        <v>75</v>
      </c>
      <c r="D599" s="2" t="s">
        <v>484</v>
      </c>
      <c r="E599" s="2" t="str">
        <f t="shared" si="2"/>
        <v>1275BR03PT</v>
      </c>
      <c r="F599" s="2">
        <f>VLOOKUP(B599,Course!$A$2:$R$329,2,FALSE)</f>
        <v>0</v>
      </c>
      <c r="G599" s="2">
        <f>VLOOKUP(B599, Course!$A$2:$L$950, 8, FALSE)</f>
        <v>12</v>
      </c>
      <c r="H599" s="2">
        <v>3</v>
      </c>
      <c r="I599" s="2">
        <v>1</v>
      </c>
      <c r="K599" s="2" t="s">
        <v>1915</v>
      </c>
      <c r="L599" s="2" t="str">
        <f>VLOOKUP(B599, Course!$A$1:$O$933, 14, FALSE)</f>
        <v>BR</v>
      </c>
      <c r="M599" s="2">
        <v>1</v>
      </c>
    </row>
    <row r="600" spans="1:13" ht="15.75" hidden="1" customHeight="1" x14ac:dyDescent="0.2">
      <c r="A600" s="2">
        <v>599</v>
      </c>
      <c r="B600" s="2">
        <v>52</v>
      </c>
      <c r="C600" s="2">
        <v>76</v>
      </c>
      <c r="D600" s="2" t="s">
        <v>484</v>
      </c>
      <c r="E600" s="2" t="str">
        <f t="shared" si="2"/>
        <v>1276BR03PT</v>
      </c>
      <c r="F600" s="2">
        <f>VLOOKUP(B600,Course!$A$2:$R$329,2,FALSE)</f>
        <v>0</v>
      </c>
      <c r="G600" s="2">
        <f>VLOOKUP(B600, Course!$A$2:$L$950, 8, FALSE)</f>
        <v>12</v>
      </c>
      <c r="H600" s="2">
        <v>3</v>
      </c>
      <c r="I600" s="2">
        <v>1</v>
      </c>
      <c r="K600" s="2" t="s">
        <v>1915</v>
      </c>
      <c r="L600" s="2" t="str">
        <f>VLOOKUP(B600, Course!$A$1:$O$933, 14, FALSE)</f>
        <v>BR</v>
      </c>
      <c r="M600" s="2">
        <v>1</v>
      </c>
    </row>
    <row r="601" spans="1:13" ht="15.75" hidden="1" customHeight="1" x14ac:dyDescent="0.2">
      <c r="A601" s="2">
        <v>600</v>
      </c>
      <c r="B601" s="2">
        <v>52</v>
      </c>
      <c r="C601" s="2">
        <v>77</v>
      </c>
      <c r="D601" s="2" t="s">
        <v>484</v>
      </c>
      <c r="E601" s="2" t="str">
        <f t="shared" si="2"/>
        <v>1277BR03PT</v>
      </c>
      <c r="F601" s="2">
        <f>VLOOKUP(B601,Course!$A$2:$R$329,2,FALSE)</f>
        <v>0</v>
      </c>
      <c r="G601" s="2">
        <f>VLOOKUP(B601, Course!$A$2:$L$950, 8, FALSE)</f>
        <v>12</v>
      </c>
      <c r="H601" s="2">
        <v>3</v>
      </c>
      <c r="I601" s="2">
        <v>1</v>
      </c>
      <c r="K601" s="2" t="s">
        <v>1915</v>
      </c>
      <c r="L601" s="2" t="str">
        <f>VLOOKUP(B601, Course!$A$1:$O$933, 14, FALSE)</f>
        <v>BR</v>
      </c>
      <c r="M601" s="2">
        <v>1</v>
      </c>
    </row>
    <row r="602" spans="1:13" ht="15.75" hidden="1" customHeight="1" x14ac:dyDescent="0.2">
      <c r="A602" s="2">
        <v>601</v>
      </c>
      <c r="B602" s="2">
        <v>52</v>
      </c>
      <c r="C602" s="2">
        <v>78</v>
      </c>
      <c r="D602" s="2" t="s">
        <v>484</v>
      </c>
      <c r="E602" s="2" t="str">
        <f t="shared" si="2"/>
        <v>1278BR03PT</v>
      </c>
      <c r="F602" s="2">
        <f>VLOOKUP(B602,Course!$A$2:$R$329,2,FALSE)</f>
        <v>0</v>
      </c>
      <c r="G602" s="2">
        <f>VLOOKUP(B602, Course!$A$2:$L$950, 8, FALSE)</f>
        <v>12</v>
      </c>
      <c r="H602" s="2">
        <v>3</v>
      </c>
      <c r="I602" s="2">
        <v>1</v>
      </c>
      <c r="K602" s="2" t="s">
        <v>1915</v>
      </c>
      <c r="L602" s="2" t="str">
        <f>VLOOKUP(B602, Course!$A$1:$O$933, 14, FALSE)</f>
        <v>BR</v>
      </c>
      <c r="M602" s="2">
        <v>1</v>
      </c>
    </row>
    <row r="603" spans="1:13" ht="15.75" hidden="1" customHeight="1" x14ac:dyDescent="0.2">
      <c r="A603" s="2">
        <v>602</v>
      </c>
      <c r="B603" s="2">
        <v>52</v>
      </c>
      <c r="C603" s="2">
        <v>79</v>
      </c>
      <c r="D603" s="2" t="s">
        <v>484</v>
      </c>
      <c r="E603" s="2" t="str">
        <f t="shared" si="2"/>
        <v>1279BR03PT</v>
      </c>
      <c r="F603" s="2">
        <f>VLOOKUP(B603,Course!$A$2:$R$329,2,FALSE)</f>
        <v>0</v>
      </c>
      <c r="G603" s="2">
        <f>VLOOKUP(B603, Course!$A$2:$L$950, 8, FALSE)</f>
        <v>12</v>
      </c>
      <c r="H603" s="2">
        <v>3</v>
      </c>
      <c r="I603" s="2">
        <v>1</v>
      </c>
      <c r="K603" s="2" t="s">
        <v>1915</v>
      </c>
      <c r="L603" s="2" t="str">
        <f>VLOOKUP(B603, Course!$A$1:$O$933, 14, FALSE)</f>
        <v>BR</v>
      </c>
      <c r="M603" s="2">
        <v>1</v>
      </c>
    </row>
    <row r="604" spans="1:13" ht="15.75" hidden="1" customHeight="1" x14ac:dyDescent="0.2">
      <c r="A604" s="2">
        <v>603</v>
      </c>
      <c r="B604" s="2">
        <v>52</v>
      </c>
      <c r="C604" s="2">
        <v>80</v>
      </c>
      <c r="D604" s="2" t="s">
        <v>484</v>
      </c>
      <c r="E604" s="2" t="str">
        <f t="shared" si="2"/>
        <v>1280BR03PT</v>
      </c>
      <c r="F604" s="2">
        <f>VLOOKUP(B604,Course!$A$2:$R$329,2,FALSE)</f>
        <v>0</v>
      </c>
      <c r="G604" s="2">
        <f>VLOOKUP(B604, Course!$A$2:$L$950, 8, FALSE)</f>
        <v>12</v>
      </c>
      <c r="H604" s="2">
        <v>3</v>
      </c>
      <c r="I604" s="2">
        <v>1</v>
      </c>
      <c r="K604" s="2" t="s">
        <v>1915</v>
      </c>
      <c r="L604" s="2" t="str">
        <f>VLOOKUP(B604, Course!$A$1:$O$933, 14, FALSE)</f>
        <v>BR</v>
      </c>
      <c r="M604" s="2">
        <v>1</v>
      </c>
    </row>
    <row r="605" spans="1:13" ht="15.75" hidden="1" customHeight="1" x14ac:dyDescent="0.2">
      <c r="A605" s="2">
        <v>604</v>
      </c>
      <c r="B605" s="2">
        <v>52</v>
      </c>
      <c r="C605" s="2">
        <v>81</v>
      </c>
      <c r="D605" s="2" t="s">
        <v>484</v>
      </c>
      <c r="E605" s="2" t="str">
        <f t="shared" si="2"/>
        <v>1281BR03PT</v>
      </c>
      <c r="F605" s="2">
        <f>VLOOKUP(B605,Course!$A$2:$R$329,2,FALSE)</f>
        <v>0</v>
      </c>
      <c r="G605" s="2">
        <f>VLOOKUP(B605, Course!$A$2:$L$950, 8, FALSE)</f>
        <v>12</v>
      </c>
      <c r="H605" s="2">
        <v>3</v>
      </c>
      <c r="I605" s="2">
        <v>1</v>
      </c>
      <c r="K605" s="2" t="s">
        <v>1915</v>
      </c>
      <c r="L605" s="2" t="str">
        <f>VLOOKUP(B605, Course!$A$1:$O$933, 14, FALSE)</f>
        <v>BR</v>
      </c>
      <c r="M605" s="2">
        <v>1</v>
      </c>
    </row>
    <row r="606" spans="1:13" ht="15.75" hidden="1" customHeight="1" x14ac:dyDescent="0.2">
      <c r="A606" s="2">
        <v>605</v>
      </c>
      <c r="B606" s="2">
        <v>52</v>
      </c>
      <c r="C606" s="2">
        <v>82</v>
      </c>
      <c r="D606" s="2" t="s">
        <v>484</v>
      </c>
      <c r="E606" s="2" t="str">
        <f t="shared" si="2"/>
        <v>1282BR03PT</v>
      </c>
      <c r="F606" s="2">
        <f>VLOOKUP(B606,Course!$A$2:$R$329,2,FALSE)</f>
        <v>0</v>
      </c>
      <c r="G606" s="2">
        <f>VLOOKUP(B606, Course!$A$2:$L$950, 8, FALSE)</f>
        <v>12</v>
      </c>
      <c r="H606" s="2">
        <v>3</v>
      </c>
      <c r="I606" s="2">
        <v>1</v>
      </c>
      <c r="K606" s="2" t="s">
        <v>1915</v>
      </c>
      <c r="L606" s="2" t="str">
        <f>VLOOKUP(B606, Course!$A$1:$O$933, 14, FALSE)</f>
        <v>BR</v>
      </c>
      <c r="M606" s="2">
        <v>1</v>
      </c>
    </row>
    <row r="607" spans="1:13" ht="15.75" hidden="1" customHeight="1" x14ac:dyDescent="0.2">
      <c r="A607" s="2">
        <v>606</v>
      </c>
      <c r="B607" s="2">
        <v>52</v>
      </c>
      <c r="C607" s="2">
        <v>83</v>
      </c>
      <c r="D607" s="2" t="s">
        <v>484</v>
      </c>
      <c r="E607" s="2" t="str">
        <f t="shared" si="2"/>
        <v>1283BR03PT</v>
      </c>
      <c r="F607" s="2">
        <f>VLOOKUP(B607,Course!$A$2:$R$329,2,FALSE)</f>
        <v>0</v>
      </c>
      <c r="G607" s="2">
        <f>VLOOKUP(B607, Course!$A$2:$L$950, 8, FALSE)</f>
        <v>12</v>
      </c>
      <c r="H607" s="2">
        <v>3</v>
      </c>
      <c r="I607" s="2">
        <v>1</v>
      </c>
      <c r="K607" s="2" t="s">
        <v>1915</v>
      </c>
      <c r="L607" s="2" t="str">
        <f>VLOOKUP(B607, Course!$A$1:$O$933, 14, FALSE)</f>
        <v>BR</v>
      </c>
      <c r="M607" s="2">
        <v>1</v>
      </c>
    </row>
    <row r="608" spans="1:13" ht="15.75" hidden="1" customHeight="1" x14ac:dyDescent="0.2">
      <c r="A608" s="2">
        <v>607</v>
      </c>
      <c r="B608" s="2">
        <v>52</v>
      </c>
      <c r="C608" s="2">
        <v>84</v>
      </c>
      <c r="D608" s="2" t="s">
        <v>484</v>
      </c>
      <c r="E608" s="2" t="str">
        <f t="shared" si="2"/>
        <v>1284BR03PT</v>
      </c>
      <c r="F608" s="2">
        <f>VLOOKUP(B608,Course!$A$2:$R$329,2,FALSE)</f>
        <v>0</v>
      </c>
      <c r="G608" s="2">
        <f>VLOOKUP(B608, Course!$A$2:$L$950, 8, FALSE)</f>
        <v>12</v>
      </c>
      <c r="H608" s="2">
        <v>3</v>
      </c>
      <c r="I608" s="2">
        <v>1</v>
      </c>
      <c r="K608" s="2" t="s">
        <v>1915</v>
      </c>
      <c r="L608" s="2" t="str">
        <f>VLOOKUP(B608, Course!$A$1:$O$933, 14, FALSE)</f>
        <v>BR</v>
      </c>
      <c r="M608" s="2">
        <v>1</v>
      </c>
    </row>
    <row r="609" spans="1:13" ht="15.75" hidden="1" customHeight="1" x14ac:dyDescent="0.2">
      <c r="A609" s="2">
        <v>608</v>
      </c>
      <c r="B609" s="2">
        <v>53</v>
      </c>
      <c r="C609" s="2">
        <v>85</v>
      </c>
      <c r="D609" s="2" t="s">
        <v>531</v>
      </c>
      <c r="E609" s="2" t="str">
        <f t="shared" si="2"/>
        <v>1285GM03PT</v>
      </c>
      <c r="F609" s="2">
        <f>VLOOKUP(B609,Course!$A$2:$R$329,2,FALSE)</f>
        <v>0</v>
      </c>
      <c r="G609" s="2">
        <f>VLOOKUP(B609, Course!$A$2:$L$950, 8, FALSE)</f>
        <v>12</v>
      </c>
      <c r="H609" s="2">
        <v>3</v>
      </c>
      <c r="I609" s="2">
        <v>1</v>
      </c>
      <c r="K609" s="2" t="s">
        <v>1915</v>
      </c>
      <c r="L609" s="2" t="str">
        <f>VLOOKUP(B609, Course!$A$1:$O$933, 14, FALSE)</f>
        <v>GM</v>
      </c>
      <c r="M609" s="2">
        <v>1</v>
      </c>
    </row>
    <row r="610" spans="1:13" ht="15.75" hidden="1" customHeight="1" x14ac:dyDescent="0.2">
      <c r="A610" s="2">
        <v>609</v>
      </c>
      <c r="B610" s="2">
        <v>53</v>
      </c>
      <c r="C610" s="2">
        <v>86</v>
      </c>
      <c r="D610" s="2" t="s">
        <v>531</v>
      </c>
      <c r="E610" s="2" t="str">
        <f t="shared" si="2"/>
        <v>1286GM03PT</v>
      </c>
      <c r="F610" s="2">
        <f>VLOOKUP(B610,Course!$A$2:$R$329,2,FALSE)</f>
        <v>0</v>
      </c>
      <c r="G610" s="2">
        <f>VLOOKUP(B610, Course!$A$2:$L$950, 8, FALSE)</f>
        <v>12</v>
      </c>
      <c r="H610" s="2">
        <v>3</v>
      </c>
      <c r="I610" s="2">
        <v>1</v>
      </c>
      <c r="K610" s="2" t="s">
        <v>1915</v>
      </c>
      <c r="L610" s="2" t="str">
        <f>VLOOKUP(B610, Course!$A$1:$O$933, 14, FALSE)</f>
        <v>GM</v>
      </c>
      <c r="M610" s="2">
        <v>1</v>
      </c>
    </row>
    <row r="611" spans="1:13" ht="15.75" hidden="1" customHeight="1" x14ac:dyDescent="0.2">
      <c r="A611" s="2">
        <v>610</v>
      </c>
      <c r="B611" s="2">
        <v>53</v>
      </c>
      <c r="C611" s="2">
        <v>87</v>
      </c>
      <c r="D611" s="2" t="s">
        <v>531</v>
      </c>
      <c r="E611" s="2" t="str">
        <f t="shared" si="2"/>
        <v>1287GM03PT</v>
      </c>
      <c r="F611" s="2">
        <f>VLOOKUP(B611,Course!$A$2:$R$329,2,FALSE)</f>
        <v>0</v>
      </c>
      <c r="G611" s="2">
        <f>VLOOKUP(B611, Course!$A$2:$L$950, 8, FALSE)</f>
        <v>12</v>
      </c>
      <c r="H611" s="2">
        <v>3</v>
      </c>
      <c r="I611" s="2">
        <v>1</v>
      </c>
      <c r="K611" s="2" t="s">
        <v>1915</v>
      </c>
      <c r="L611" s="2" t="str">
        <f>VLOOKUP(B611, Course!$A$1:$O$933, 14, FALSE)</f>
        <v>GM</v>
      </c>
      <c r="M611" s="2">
        <v>1</v>
      </c>
    </row>
    <row r="612" spans="1:13" ht="15.75" hidden="1" customHeight="1" x14ac:dyDescent="0.2">
      <c r="A612" s="2">
        <v>611</v>
      </c>
      <c r="B612" s="2">
        <v>53</v>
      </c>
      <c r="C612" s="2">
        <v>88</v>
      </c>
      <c r="D612" s="2" t="s">
        <v>531</v>
      </c>
      <c r="E612" s="2" t="str">
        <f t="shared" si="2"/>
        <v>1288GM03PT</v>
      </c>
      <c r="F612" s="2">
        <f>VLOOKUP(B612,Course!$A$2:$R$329,2,FALSE)</f>
        <v>0</v>
      </c>
      <c r="G612" s="2">
        <f>VLOOKUP(B612, Course!$A$2:$L$950, 8, FALSE)</f>
        <v>12</v>
      </c>
      <c r="H612" s="2">
        <v>3</v>
      </c>
      <c r="I612" s="2">
        <v>1</v>
      </c>
      <c r="K612" s="2" t="s">
        <v>1915</v>
      </c>
      <c r="L612" s="2" t="str">
        <f>VLOOKUP(B612, Course!$A$1:$O$933, 14, FALSE)</f>
        <v>GM</v>
      </c>
      <c r="M612" s="2">
        <v>1</v>
      </c>
    </row>
    <row r="613" spans="1:13" ht="15.75" hidden="1" customHeight="1" x14ac:dyDescent="0.2">
      <c r="A613" s="2">
        <v>612</v>
      </c>
      <c r="B613" s="2">
        <v>53</v>
      </c>
      <c r="C613" s="2">
        <v>89</v>
      </c>
      <c r="D613" s="2" t="s">
        <v>531</v>
      </c>
      <c r="E613" s="2" t="str">
        <f t="shared" si="2"/>
        <v>1289GM03PT</v>
      </c>
      <c r="F613" s="2">
        <f>VLOOKUP(B613,Course!$A$2:$R$329,2,FALSE)</f>
        <v>0</v>
      </c>
      <c r="G613" s="2">
        <f>VLOOKUP(B613, Course!$A$2:$L$950, 8, FALSE)</f>
        <v>12</v>
      </c>
      <c r="H613" s="2">
        <v>3</v>
      </c>
      <c r="I613" s="2">
        <v>1</v>
      </c>
      <c r="K613" s="2" t="s">
        <v>1915</v>
      </c>
      <c r="L613" s="2" t="str">
        <f>VLOOKUP(B613, Course!$A$1:$O$933, 14, FALSE)</f>
        <v>GM</v>
      </c>
      <c r="M613" s="2">
        <v>1</v>
      </c>
    </row>
    <row r="614" spans="1:13" ht="15.75" hidden="1" customHeight="1" x14ac:dyDescent="0.2">
      <c r="A614" s="2">
        <v>613</v>
      </c>
      <c r="B614" s="2">
        <v>53</v>
      </c>
      <c r="C614" s="2">
        <v>90</v>
      </c>
      <c r="D614" s="2" t="s">
        <v>531</v>
      </c>
      <c r="E614" s="2" t="str">
        <f t="shared" si="2"/>
        <v>1290GM03PT</v>
      </c>
      <c r="F614" s="2">
        <f>VLOOKUP(B614,Course!$A$2:$R$329,2,FALSE)</f>
        <v>0</v>
      </c>
      <c r="G614" s="2">
        <f>VLOOKUP(B614, Course!$A$2:$L$950, 8, FALSE)</f>
        <v>12</v>
      </c>
      <c r="H614" s="2">
        <v>3</v>
      </c>
      <c r="I614" s="2">
        <v>1</v>
      </c>
      <c r="K614" s="2" t="s">
        <v>1915</v>
      </c>
      <c r="L614" s="2" t="str">
        <f>VLOOKUP(B614, Course!$A$1:$O$933, 14, FALSE)</f>
        <v>GM</v>
      </c>
      <c r="M614" s="2">
        <v>1</v>
      </c>
    </row>
    <row r="615" spans="1:13" ht="15.75" hidden="1" customHeight="1" x14ac:dyDescent="0.2">
      <c r="A615" s="2">
        <v>614</v>
      </c>
      <c r="B615" s="2">
        <v>53</v>
      </c>
      <c r="C615" s="2">
        <v>91</v>
      </c>
      <c r="D615" s="2" t="s">
        <v>531</v>
      </c>
      <c r="E615" s="2" t="str">
        <f t="shared" si="2"/>
        <v>1291GM03PT</v>
      </c>
      <c r="F615" s="2">
        <f>VLOOKUP(B615,Course!$A$2:$R$329,2,FALSE)</f>
        <v>0</v>
      </c>
      <c r="G615" s="2">
        <f>VLOOKUP(B615, Course!$A$2:$L$950, 8, FALSE)</f>
        <v>12</v>
      </c>
      <c r="H615" s="2">
        <v>3</v>
      </c>
      <c r="I615" s="2">
        <v>1</v>
      </c>
      <c r="K615" s="2" t="s">
        <v>1915</v>
      </c>
      <c r="L615" s="2" t="str">
        <f>VLOOKUP(B615, Course!$A$1:$O$933, 14, FALSE)</f>
        <v>GM</v>
      </c>
      <c r="M615" s="2">
        <v>1</v>
      </c>
    </row>
    <row r="616" spans="1:13" ht="15.75" hidden="1" customHeight="1" x14ac:dyDescent="0.2">
      <c r="A616" s="2">
        <v>615</v>
      </c>
      <c r="B616" s="2">
        <v>53</v>
      </c>
      <c r="C616" s="2">
        <v>92</v>
      </c>
      <c r="D616" s="2" t="s">
        <v>531</v>
      </c>
      <c r="E616" s="2" t="str">
        <f t="shared" si="2"/>
        <v>1292GM03PT</v>
      </c>
      <c r="F616" s="2">
        <f>VLOOKUP(B616,Course!$A$2:$R$329,2,FALSE)</f>
        <v>0</v>
      </c>
      <c r="G616" s="2">
        <f>VLOOKUP(B616, Course!$A$2:$L$950, 8, FALSE)</f>
        <v>12</v>
      </c>
      <c r="H616" s="2">
        <v>3</v>
      </c>
      <c r="I616" s="2">
        <v>1</v>
      </c>
      <c r="K616" s="2" t="s">
        <v>1915</v>
      </c>
      <c r="L616" s="2" t="str">
        <f>VLOOKUP(B616, Course!$A$1:$O$933, 14, FALSE)</f>
        <v>GM</v>
      </c>
      <c r="M616" s="2">
        <v>1</v>
      </c>
    </row>
    <row r="617" spans="1:13" ht="15.75" hidden="1" customHeight="1" x14ac:dyDescent="0.2">
      <c r="A617" s="2">
        <v>616</v>
      </c>
      <c r="B617" s="2">
        <v>53</v>
      </c>
      <c r="C617" s="2">
        <v>93</v>
      </c>
      <c r="D617" s="2" t="s">
        <v>531</v>
      </c>
      <c r="E617" s="2" t="str">
        <f t="shared" si="2"/>
        <v>1293GM03PT</v>
      </c>
      <c r="F617" s="2">
        <f>VLOOKUP(B617,Course!$A$2:$R$329,2,FALSE)</f>
        <v>0</v>
      </c>
      <c r="G617" s="2">
        <f>VLOOKUP(B617, Course!$A$2:$L$950, 8, FALSE)</f>
        <v>12</v>
      </c>
      <c r="H617" s="2">
        <v>3</v>
      </c>
      <c r="I617" s="2">
        <v>1</v>
      </c>
      <c r="K617" s="2" t="s">
        <v>1915</v>
      </c>
      <c r="L617" s="2" t="str">
        <f>VLOOKUP(B617, Course!$A$1:$O$933, 14, FALSE)</f>
        <v>GM</v>
      </c>
      <c r="M617" s="2">
        <v>1</v>
      </c>
    </row>
    <row r="618" spans="1:13" ht="15.75" hidden="1" customHeight="1" x14ac:dyDescent="0.2">
      <c r="A618" s="2">
        <v>617</v>
      </c>
      <c r="B618" s="2">
        <v>53</v>
      </c>
      <c r="C618" s="2">
        <v>94</v>
      </c>
      <c r="D618" s="2" t="s">
        <v>531</v>
      </c>
      <c r="E618" s="2" t="str">
        <f t="shared" si="2"/>
        <v>1294GM03PT</v>
      </c>
      <c r="F618" s="2">
        <f>VLOOKUP(B618,Course!$A$2:$R$329,2,FALSE)</f>
        <v>0</v>
      </c>
      <c r="G618" s="2">
        <f>VLOOKUP(B618, Course!$A$2:$L$950, 8, FALSE)</f>
        <v>12</v>
      </c>
      <c r="H618" s="2">
        <v>3</v>
      </c>
      <c r="I618" s="2">
        <v>1</v>
      </c>
      <c r="K618" s="2" t="s">
        <v>1915</v>
      </c>
      <c r="L618" s="2" t="str">
        <f>VLOOKUP(B618, Course!$A$1:$O$933, 14, FALSE)</f>
        <v>GM</v>
      </c>
      <c r="M618" s="2">
        <v>1</v>
      </c>
    </row>
    <row r="619" spans="1:13" ht="15.75" hidden="1" customHeight="1" x14ac:dyDescent="0.2">
      <c r="A619" s="2">
        <v>618</v>
      </c>
      <c r="B619" s="2">
        <v>53</v>
      </c>
      <c r="C619" s="2">
        <v>95</v>
      </c>
      <c r="D619" s="2" t="s">
        <v>531</v>
      </c>
      <c r="E619" s="2" t="str">
        <f t="shared" si="2"/>
        <v>1295GM03PT</v>
      </c>
      <c r="F619" s="2">
        <f>VLOOKUP(B619,Course!$A$2:$R$329,2,FALSE)</f>
        <v>0</v>
      </c>
      <c r="G619" s="2">
        <f>VLOOKUP(B619, Course!$A$2:$L$950, 8, FALSE)</f>
        <v>12</v>
      </c>
      <c r="H619" s="2">
        <v>3</v>
      </c>
      <c r="I619" s="2">
        <v>1</v>
      </c>
      <c r="K619" s="2" t="s">
        <v>1915</v>
      </c>
      <c r="L619" s="2" t="str">
        <f>VLOOKUP(B619, Course!$A$1:$O$933, 14, FALSE)</f>
        <v>GM</v>
      </c>
      <c r="M619" s="2">
        <v>1</v>
      </c>
    </row>
    <row r="620" spans="1:13" ht="15.75" hidden="1" customHeight="1" x14ac:dyDescent="0.2">
      <c r="A620" s="2">
        <v>619</v>
      </c>
      <c r="B620" s="2">
        <v>53</v>
      </c>
      <c r="C620" s="2">
        <v>96</v>
      </c>
      <c r="D620" s="2" t="s">
        <v>531</v>
      </c>
      <c r="E620" s="2" t="str">
        <f t="shared" si="2"/>
        <v>1296GM03PT</v>
      </c>
      <c r="F620" s="2">
        <f>VLOOKUP(B620,Course!$A$2:$R$329,2,FALSE)</f>
        <v>0</v>
      </c>
      <c r="G620" s="2">
        <f>VLOOKUP(B620, Course!$A$2:$L$950, 8, FALSE)</f>
        <v>12</v>
      </c>
      <c r="H620" s="2">
        <v>3</v>
      </c>
      <c r="I620" s="2">
        <v>1</v>
      </c>
      <c r="K620" s="2" t="s">
        <v>1915</v>
      </c>
      <c r="L620" s="2" t="str">
        <f>VLOOKUP(B620, Course!$A$1:$O$933, 14, FALSE)</f>
        <v>GM</v>
      </c>
      <c r="M620" s="2">
        <v>1</v>
      </c>
    </row>
    <row r="621" spans="1:13" ht="15.75" hidden="1" customHeight="1" x14ac:dyDescent="0.2">
      <c r="A621" s="2">
        <v>620</v>
      </c>
      <c r="B621" s="2">
        <v>54</v>
      </c>
      <c r="C621" s="2">
        <v>85</v>
      </c>
      <c r="D621" s="2" t="s">
        <v>476</v>
      </c>
      <c r="E621" s="2" t="str">
        <f t="shared" si="2"/>
        <v>1285EN03PT</v>
      </c>
      <c r="F621" s="2">
        <f>VLOOKUP(B621,Course!$A$2:$R$329,2,FALSE)</f>
        <v>0</v>
      </c>
      <c r="G621" s="2">
        <f>VLOOKUP(B621, Course!$A$2:$L$950, 8, FALSE)</f>
        <v>12</v>
      </c>
      <c r="H621" s="2">
        <v>3</v>
      </c>
      <c r="I621" s="2">
        <v>1</v>
      </c>
      <c r="K621" s="2" t="s">
        <v>1915</v>
      </c>
      <c r="L621" s="2" t="str">
        <f>VLOOKUP(B621, Course!$A$1:$O$933, 14, FALSE)</f>
        <v>EN</v>
      </c>
      <c r="M621" s="2">
        <v>1</v>
      </c>
    </row>
    <row r="622" spans="1:13" ht="15.75" hidden="1" customHeight="1" x14ac:dyDescent="0.2">
      <c r="A622" s="2">
        <v>621</v>
      </c>
      <c r="B622" s="2">
        <v>54</v>
      </c>
      <c r="C622" s="2">
        <v>86</v>
      </c>
      <c r="D622" s="2" t="s">
        <v>476</v>
      </c>
      <c r="E622" s="2" t="str">
        <f t="shared" si="2"/>
        <v>1286EN03PT</v>
      </c>
      <c r="F622" s="2">
        <f>VLOOKUP(B622,Course!$A$2:$R$329,2,FALSE)</f>
        <v>0</v>
      </c>
      <c r="G622" s="2">
        <f>VLOOKUP(B622, Course!$A$2:$L$950, 8, FALSE)</f>
        <v>12</v>
      </c>
      <c r="H622" s="2">
        <v>3</v>
      </c>
      <c r="I622" s="2">
        <v>1</v>
      </c>
      <c r="K622" s="2" t="s">
        <v>1915</v>
      </c>
      <c r="L622" s="2" t="str">
        <f>VLOOKUP(B622, Course!$A$1:$O$933, 14, FALSE)</f>
        <v>EN</v>
      </c>
      <c r="M622" s="2">
        <v>1</v>
      </c>
    </row>
    <row r="623" spans="1:13" ht="15.75" hidden="1" customHeight="1" x14ac:dyDescent="0.2">
      <c r="A623" s="2">
        <v>622</v>
      </c>
      <c r="B623" s="2">
        <v>54</v>
      </c>
      <c r="C623" s="2">
        <v>87</v>
      </c>
      <c r="D623" s="2" t="s">
        <v>476</v>
      </c>
      <c r="E623" s="2" t="str">
        <f t="shared" si="2"/>
        <v>1287EN03PT</v>
      </c>
      <c r="F623" s="2">
        <f>VLOOKUP(B623,Course!$A$2:$R$329,2,FALSE)</f>
        <v>0</v>
      </c>
      <c r="G623" s="2">
        <f>VLOOKUP(B623, Course!$A$2:$L$950, 8, FALSE)</f>
        <v>12</v>
      </c>
      <c r="H623" s="2">
        <v>3</v>
      </c>
      <c r="I623" s="2">
        <v>1</v>
      </c>
      <c r="K623" s="2" t="s">
        <v>1915</v>
      </c>
      <c r="L623" s="2" t="str">
        <f>VLOOKUP(B623, Course!$A$1:$O$933, 14, FALSE)</f>
        <v>EN</v>
      </c>
      <c r="M623" s="2">
        <v>1</v>
      </c>
    </row>
    <row r="624" spans="1:13" ht="15.75" hidden="1" customHeight="1" x14ac:dyDescent="0.2">
      <c r="A624" s="2">
        <v>623</v>
      </c>
      <c r="B624" s="2">
        <v>54</v>
      </c>
      <c r="C624" s="2">
        <v>88</v>
      </c>
      <c r="D624" s="2" t="s">
        <v>476</v>
      </c>
      <c r="E624" s="2" t="str">
        <f t="shared" si="2"/>
        <v>1288EN03PT</v>
      </c>
      <c r="F624" s="2">
        <f>VLOOKUP(B624,Course!$A$2:$R$329,2,FALSE)</f>
        <v>0</v>
      </c>
      <c r="G624" s="2">
        <f>VLOOKUP(B624, Course!$A$2:$L$950, 8, FALSE)</f>
        <v>12</v>
      </c>
      <c r="H624" s="2">
        <v>3</v>
      </c>
      <c r="I624" s="2">
        <v>1</v>
      </c>
      <c r="K624" s="2" t="s">
        <v>1915</v>
      </c>
      <c r="L624" s="2" t="str">
        <f>VLOOKUP(B624, Course!$A$1:$O$933, 14, FALSE)</f>
        <v>EN</v>
      </c>
      <c r="M624" s="2">
        <v>1</v>
      </c>
    </row>
    <row r="625" spans="1:13" ht="15.75" hidden="1" customHeight="1" x14ac:dyDescent="0.2">
      <c r="A625" s="2">
        <v>624</v>
      </c>
      <c r="B625" s="2">
        <v>54</v>
      </c>
      <c r="C625" s="2">
        <v>89</v>
      </c>
      <c r="D625" s="2" t="s">
        <v>476</v>
      </c>
      <c r="E625" s="2" t="str">
        <f t="shared" si="2"/>
        <v>1289EN03PT</v>
      </c>
      <c r="F625" s="2">
        <f>VLOOKUP(B625,Course!$A$2:$R$329,2,FALSE)</f>
        <v>0</v>
      </c>
      <c r="G625" s="2">
        <f>VLOOKUP(B625, Course!$A$2:$L$950, 8, FALSE)</f>
        <v>12</v>
      </c>
      <c r="H625" s="2">
        <v>3</v>
      </c>
      <c r="I625" s="2">
        <v>1</v>
      </c>
      <c r="K625" s="2" t="s">
        <v>1915</v>
      </c>
      <c r="L625" s="2" t="str">
        <f>VLOOKUP(B625, Course!$A$1:$O$933, 14, FALSE)</f>
        <v>EN</v>
      </c>
      <c r="M625" s="2">
        <v>1</v>
      </c>
    </row>
    <row r="626" spans="1:13" ht="15.75" hidden="1" customHeight="1" x14ac:dyDescent="0.2">
      <c r="A626" s="2">
        <v>625</v>
      </c>
      <c r="B626" s="2">
        <v>54</v>
      </c>
      <c r="C626" s="2">
        <v>90</v>
      </c>
      <c r="D626" s="2" t="s">
        <v>476</v>
      </c>
      <c r="E626" s="2" t="str">
        <f t="shared" si="2"/>
        <v>1290EN03PT</v>
      </c>
      <c r="F626" s="2">
        <f>VLOOKUP(B626,Course!$A$2:$R$329,2,FALSE)</f>
        <v>0</v>
      </c>
      <c r="G626" s="2">
        <f>VLOOKUP(B626, Course!$A$2:$L$950, 8, FALSE)</f>
        <v>12</v>
      </c>
      <c r="H626" s="2">
        <v>3</v>
      </c>
      <c r="I626" s="2">
        <v>1</v>
      </c>
      <c r="K626" s="2" t="s">
        <v>1915</v>
      </c>
      <c r="L626" s="2" t="str">
        <f>VLOOKUP(B626, Course!$A$1:$O$933, 14, FALSE)</f>
        <v>EN</v>
      </c>
      <c r="M626" s="2">
        <v>1</v>
      </c>
    </row>
    <row r="627" spans="1:13" ht="15.75" hidden="1" customHeight="1" x14ac:dyDescent="0.2">
      <c r="A627" s="2">
        <v>626</v>
      </c>
      <c r="B627" s="2">
        <v>54</v>
      </c>
      <c r="C627" s="2">
        <v>91</v>
      </c>
      <c r="D627" s="2" t="s">
        <v>476</v>
      </c>
      <c r="E627" s="2" t="str">
        <f t="shared" si="2"/>
        <v>1291EN03PT</v>
      </c>
      <c r="F627" s="2">
        <f>VLOOKUP(B627,Course!$A$2:$R$329,2,FALSE)</f>
        <v>0</v>
      </c>
      <c r="G627" s="2">
        <f>VLOOKUP(B627, Course!$A$2:$L$950, 8, FALSE)</f>
        <v>12</v>
      </c>
      <c r="H627" s="2">
        <v>3</v>
      </c>
      <c r="I627" s="2">
        <v>1</v>
      </c>
      <c r="K627" s="2" t="s">
        <v>1915</v>
      </c>
      <c r="L627" s="2" t="str">
        <f>VLOOKUP(B627, Course!$A$1:$O$933, 14, FALSE)</f>
        <v>EN</v>
      </c>
      <c r="M627" s="2">
        <v>1</v>
      </c>
    </row>
    <row r="628" spans="1:13" ht="15.75" hidden="1" customHeight="1" x14ac:dyDescent="0.2">
      <c r="A628" s="2">
        <v>627</v>
      </c>
      <c r="B628" s="2">
        <v>54</v>
      </c>
      <c r="C628" s="2">
        <v>92</v>
      </c>
      <c r="D628" s="2" t="s">
        <v>476</v>
      </c>
      <c r="E628" s="2" t="str">
        <f t="shared" si="2"/>
        <v>1292EN03PT</v>
      </c>
      <c r="F628" s="2">
        <f>VLOOKUP(B628,Course!$A$2:$R$329,2,FALSE)</f>
        <v>0</v>
      </c>
      <c r="G628" s="2">
        <f>VLOOKUP(B628, Course!$A$2:$L$950, 8, FALSE)</f>
        <v>12</v>
      </c>
      <c r="H628" s="2">
        <v>3</v>
      </c>
      <c r="I628" s="2">
        <v>1</v>
      </c>
      <c r="K628" s="2" t="s">
        <v>1915</v>
      </c>
      <c r="L628" s="2" t="str">
        <f>VLOOKUP(B628, Course!$A$1:$O$933, 14, FALSE)</f>
        <v>EN</v>
      </c>
      <c r="M628" s="2">
        <v>1</v>
      </c>
    </row>
    <row r="629" spans="1:13" ht="15.75" hidden="1" customHeight="1" x14ac:dyDescent="0.2">
      <c r="A629" s="2">
        <v>628</v>
      </c>
      <c r="B629" s="2">
        <v>54</v>
      </c>
      <c r="C629" s="2">
        <v>93</v>
      </c>
      <c r="D629" s="2" t="s">
        <v>476</v>
      </c>
      <c r="E629" s="2" t="str">
        <f t="shared" si="2"/>
        <v>1293EN03PT</v>
      </c>
      <c r="F629" s="2">
        <f>VLOOKUP(B629,Course!$A$2:$R$329,2,FALSE)</f>
        <v>0</v>
      </c>
      <c r="G629" s="2">
        <f>VLOOKUP(B629, Course!$A$2:$L$950, 8, FALSE)</f>
        <v>12</v>
      </c>
      <c r="H629" s="2">
        <v>3</v>
      </c>
      <c r="I629" s="2">
        <v>1</v>
      </c>
      <c r="K629" s="2" t="s">
        <v>1915</v>
      </c>
      <c r="L629" s="2" t="str">
        <f>VLOOKUP(B629, Course!$A$1:$O$933, 14, FALSE)</f>
        <v>EN</v>
      </c>
      <c r="M629" s="2">
        <v>1</v>
      </c>
    </row>
    <row r="630" spans="1:13" ht="15.75" hidden="1" customHeight="1" x14ac:dyDescent="0.2">
      <c r="A630" s="2">
        <v>629</v>
      </c>
      <c r="B630" s="2">
        <v>54</v>
      </c>
      <c r="C630" s="2">
        <v>94</v>
      </c>
      <c r="D630" s="2" t="s">
        <v>476</v>
      </c>
      <c r="E630" s="2" t="str">
        <f t="shared" si="2"/>
        <v>1294EN03PT</v>
      </c>
      <c r="F630" s="2">
        <f>VLOOKUP(B630,Course!$A$2:$R$329,2,FALSE)</f>
        <v>0</v>
      </c>
      <c r="G630" s="2">
        <f>VLOOKUP(B630, Course!$A$2:$L$950, 8, FALSE)</f>
        <v>12</v>
      </c>
      <c r="H630" s="2">
        <v>3</v>
      </c>
      <c r="I630" s="2">
        <v>1</v>
      </c>
      <c r="K630" s="2" t="s">
        <v>1915</v>
      </c>
      <c r="L630" s="2" t="str">
        <f>VLOOKUP(B630, Course!$A$1:$O$933, 14, FALSE)</f>
        <v>EN</v>
      </c>
      <c r="M630" s="2">
        <v>1</v>
      </c>
    </row>
    <row r="631" spans="1:13" ht="15.75" hidden="1" customHeight="1" x14ac:dyDescent="0.2">
      <c r="A631" s="2">
        <v>630</v>
      </c>
      <c r="B631" s="2">
        <v>54</v>
      </c>
      <c r="C631" s="2">
        <v>95</v>
      </c>
      <c r="D631" s="2" t="s">
        <v>476</v>
      </c>
      <c r="E631" s="2" t="str">
        <f t="shared" si="2"/>
        <v>1295EN03PT</v>
      </c>
      <c r="F631" s="2">
        <f>VLOOKUP(B631,Course!$A$2:$R$329,2,FALSE)</f>
        <v>0</v>
      </c>
      <c r="G631" s="2">
        <f>VLOOKUP(B631, Course!$A$2:$L$950, 8, FALSE)</f>
        <v>12</v>
      </c>
      <c r="H631" s="2">
        <v>3</v>
      </c>
      <c r="I631" s="2">
        <v>1</v>
      </c>
      <c r="K631" s="2" t="s">
        <v>1915</v>
      </c>
      <c r="L631" s="2" t="str">
        <f>VLOOKUP(B631, Course!$A$1:$O$933, 14, FALSE)</f>
        <v>EN</v>
      </c>
      <c r="M631" s="2">
        <v>1</v>
      </c>
    </row>
    <row r="632" spans="1:13" ht="15.75" hidden="1" customHeight="1" x14ac:dyDescent="0.2">
      <c r="A632" s="2">
        <v>631</v>
      </c>
      <c r="B632" s="2">
        <v>54</v>
      </c>
      <c r="C632" s="2">
        <v>96</v>
      </c>
      <c r="D632" s="2" t="s">
        <v>476</v>
      </c>
      <c r="E632" s="2" t="str">
        <f t="shared" si="2"/>
        <v>1296EN03PT</v>
      </c>
      <c r="F632" s="2">
        <f>VLOOKUP(B632,Course!$A$2:$R$329,2,FALSE)</f>
        <v>0</v>
      </c>
      <c r="G632" s="2">
        <f>VLOOKUP(B632, Course!$A$2:$L$950, 8, FALSE)</f>
        <v>12</v>
      </c>
      <c r="H632" s="2">
        <v>3</v>
      </c>
      <c r="I632" s="2">
        <v>1</v>
      </c>
      <c r="K632" s="2" t="s">
        <v>1915</v>
      </c>
      <c r="L632" s="2" t="str">
        <f>VLOOKUP(B632, Course!$A$1:$O$933, 14, FALSE)</f>
        <v>EN</v>
      </c>
      <c r="M632" s="2">
        <v>1</v>
      </c>
    </row>
    <row r="633" spans="1:13" ht="15.75" hidden="1" customHeight="1" x14ac:dyDescent="0.2">
      <c r="A633" s="2">
        <v>632</v>
      </c>
      <c r="B633" s="2">
        <v>55</v>
      </c>
      <c r="C633" s="2">
        <v>85</v>
      </c>
      <c r="D633" s="2" t="s">
        <v>373</v>
      </c>
      <c r="E633" s="2" t="str">
        <f t="shared" si="2"/>
        <v>1285WB03PT</v>
      </c>
      <c r="F633" s="2">
        <f>VLOOKUP(B633,Course!$A$2:$R$329,2,FALSE)</f>
        <v>0</v>
      </c>
      <c r="G633" s="2">
        <f>VLOOKUP(B633, Course!$A$2:$L$950, 8, FALSE)</f>
        <v>12</v>
      </c>
      <c r="H633" s="2">
        <v>3</v>
      </c>
      <c r="I633" s="2">
        <v>1</v>
      </c>
      <c r="K633" s="2" t="s">
        <v>1915</v>
      </c>
      <c r="L633" s="2" t="str">
        <f>VLOOKUP(B633, Course!$A$1:$O$933, 14, FALSE)</f>
        <v>WB</v>
      </c>
      <c r="M633" s="2">
        <v>1</v>
      </c>
    </row>
    <row r="634" spans="1:13" ht="15.75" hidden="1" customHeight="1" x14ac:dyDescent="0.2">
      <c r="A634" s="2">
        <v>633</v>
      </c>
      <c r="B634" s="2">
        <v>55</v>
      </c>
      <c r="C634" s="2">
        <v>86</v>
      </c>
      <c r="D634" s="2" t="s">
        <v>373</v>
      </c>
      <c r="E634" s="2" t="str">
        <f t="shared" si="2"/>
        <v>1286WB03PT</v>
      </c>
      <c r="F634" s="2">
        <f>VLOOKUP(B634,Course!$A$2:$R$329,2,FALSE)</f>
        <v>0</v>
      </c>
      <c r="G634" s="2">
        <f>VLOOKUP(B634, Course!$A$2:$L$950, 8, FALSE)</f>
        <v>12</v>
      </c>
      <c r="H634" s="2">
        <v>3</v>
      </c>
      <c r="I634" s="2">
        <v>1</v>
      </c>
      <c r="K634" s="2" t="s">
        <v>1915</v>
      </c>
      <c r="L634" s="2" t="str">
        <f>VLOOKUP(B634, Course!$A$1:$O$933, 14, FALSE)</f>
        <v>WB</v>
      </c>
      <c r="M634" s="2">
        <v>1</v>
      </c>
    </row>
    <row r="635" spans="1:13" ht="15.75" hidden="1" customHeight="1" x14ac:dyDescent="0.2">
      <c r="A635" s="2">
        <v>634</v>
      </c>
      <c r="B635" s="2">
        <v>55</v>
      </c>
      <c r="C635" s="2">
        <v>87</v>
      </c>
      <c r="D635" s="2" t="s">
        <v>373</v>
      </c>
      <c r="E635" s="2" t="str">
        <f t="shared" si="2"/>
        <v>1287WB03PT</v>
      </c>
      <c r="F635" s="2">
        <f>VLOOKUP(B635,Course!$A$2:$R$329,2,FALSE)</f>
        <v>0</v>
      </c>
      <c r="G635" s="2">
        <f>VLOOKUP(B635, Course!$A$2:$L$950, 8, FALSE)</f>
        <v>12</v>
      </c>
      <c r="H635" s="2">
        <v>3</v>
      </c>
      <c r="I635" s="2">
        <v>1</v>
      </c>
      <c r="K635" s="2" t="s">
        <v>1915</v>
      </c>
      <c r="L635" s="2" t="str">
        <f>VLOOKUP(B635, Course!$A$1:$O$933, 14, FALSE)</f>
        <v>WB</v>
      </c>
      <c r="M635" s="2">
        <v>1</v>
      </c>
    </row>
    <row r="636" spans="1:13" ht="15.75" hidden="1" customHeight="1" x14ac:dyDescent="0.2">
      <c r="A636" s="2">
        <v>635</v>
      </c>
      <c r="B636" s="2">
        <v>55</v>
      </c>
      <c r="C636" s="2">
        <v>88</v>
      </c>
      <c r="D636" s="2" t="s">
        <v>373</v>
      </c>
      <c r="E636" s="2" t="str">
        <f t="shared" si="2"/>
        <v>1288WB03PT</v>
      </c>
      <c r="F636" s="2">
        <f>VLOOKUP(B636,Course!$A$2:$R$329,2,FALSE)</f>
        <v>0</v>
      </c>
      <c r="G636" s="2">
        <f>VLOOKUP(B636, Course!$A$2:$L$950, 8, FALSE)</f>
        <v>12</v>
      </c>
      <c r="H636" s="2">
        <v>3</v>
      </c>
      <c r="I636" s="2">
        <v>1</v>
      </c>
      <c r="K636" s="2" t="s">
        <v>1915</v>
      </c>
      <c r="L636" s="2" t="str">
        <f>VLOOKUP(B636, Course!$A$1:$O$933, 14, FALSE)</f>
        <v>WB</v>
      </c>
      <c r="M636" s="2">
        <v>1</v>
      </c>
    </row>
    <row r="637" spans="1:13" ht="15.75" hidden="1" customHeight="1" x14ac:dyDescent="0.2">
      <c r="A637" s="2">
        <v>636</v>
      </c>
      <c r="B637" s="2">
        <v>55</v>
      </c>
      <c r="C637" s="2">
        <v>89</v>
      </c>
      <c r="D637" s="2" t="s">
        <v>373</v>
      </c>
      <c r="E637" s="2" t="str">
        <f t="shared" si="2"/>
        <v>1289WB03PT</v>
      </c>
      <c r="F637" s="2">
        <f>VLOOKUP(B637,Course!$A$2:$R$329,2,FALSE)</f>
        <v>0</v>
      </c>
      <c r="G637" s="2">
        <f>VLOOKUP(B637, Course!$A$2:$L$950, 8, FALSE)</f>
        <v>12</v>
      </c>
      <c r="H637" s="2">
        <v>3</v>
      </c>
      <c r="I637" s="2">
        <v>1</v>
      </c>
      <c r="K637" s="2" t="s">
        <v>1915</v>
      </c>
      <c r="L637" s="2" t="str">
        <f>VLOOKUP(B637, Course!$A$1:$O$933, 14, FALSE)</f>
        <v>WB</v>
      </c>
      <c r="M637" s="2">
        <v>1</v>
      </c>
    </row>
    <row r="638" spans="1:13" ht="15.75" hidden="1" customHeight="1" x14ac:dyDescent="0.2">
      <c r="A638" s="2">
        <v>637</v>
      </c>
      <c r="B638" s="2">
        <v>55</v>
      </c>
      <c r="C638" s="2">
        <v>90</v>
      </c>
      <c r="D638" s="2" t="s">
        <v>373</v>
      </c>
      <c r="E638" s="2" t="str">
        <f t="shared" si="2"/>
        <v>1290WB03PT</v>
      </c>
      <c r="F638" s="2">
        <f>VLOOKUP(B638,Course!$A$2:$R$329,2,FALSE)</f>
        <v>0</v>
      </c>
      <c r="G638" s="2">
        <f>VLOOKUP(B638, Course!$A$2:$L$950, 8, FALSE)</f>
        <v>12</v>
      </c>
      <c r="H638" s="2">
        <v>3</v>
      </c>
      <c r="I638" s="2">
        <v>1</v>
      </c>
      <c r="K638" s="2" t="s">
        <v>1915</v>
      </c>
      <c r="L638" s="2" t="str">
        <f>VLOOKUP(B638, Course!$A$1:$O$933, 14, FALSE)</f>
        <v>WB</v>
      </c>
      <c r="M638" s="2">
        <v>1</v>
      </c>
    </row>
    <row r="639" spans="1:13" ht="15.75" hidden="1" customHeight="1" x14ac:dyDescent="0.2">
      <c r="A639" s="2">
        <v>638</v>
      </c>
      <c r="B639" s="2">
        <v>55</v>
      </c>
      <c r="C639" s="2">
        <v>91</v>
      </c>
      <c r="D639" s="2" t="s">
        <v>373</v>
      </c>
      <c r="E639" s="2" t="str">
        <f t="shared" si="2"/>
        <v>1291WB03PT</v>
      </c>
      <c r="F639" s="2">
        <f>VLOOKUP(B639,Course!$A$2:$R$329,2,FALSE)</f>
        <v>0</v>
      </c>
      <c r="G639" s="2">
        <f>VLOOKUP(B639, Course!$A$2:$L$950, 8, FALSE)</f>
        <v>12</v>
      </c>
      <c r="H639" s="2">
        <v>3</v>
      </c>
      <c r="I639" s="2">
        <v>1</v>
      </c>
      <c r="K639" s="2" t="s">
        <v>1915</v>
      </c>
      <c r="L639" s="2" t="str">
        <f>VLOOKUP(B639, Course!$A$1:$O$933, 14, FALSE)</f>
        <v>WB</v>
      </c>
      <c r="M639" s="2">
        <v>1</v>
      </c>
    </row>
    <row r="640" spans="1:13" ht="15.75" hidden="1" customHeight="1" x14ac:dyDescent="0.2">
      <c r="A640" s="2">
        <v>639</v>
      </c>
      <c r="B640" s="2">
        <v>55</v>
      </c>
      <c r="C640" s="2">
        <v>92</v>
      </c>
      <c r="D640" s="2" t="s">
        <v>373</v>
      </c>
      <c r="E640" s="2" t="str">
        <f t="shared" si="2"/>
        <v>1292WB03PT</v>
      </c>
      <c r="F640" s="2">
        <f>VLOOKUP(B640,Course!$A$2:$R$329,2,FALSE)</f>
        <v>0</v>
      </c>
      <c r="G640" s="2">
        <f>VLOOKUP(B640, Course!$A$2:$L$950, 8, FALSE)</f>
        <v>12</v>
      </c>
      <c r="H640" s="2">
        <v>3</v>
      </c>
      <c r="I640" s="2">
        <v>1</v>
      </c>
      <c r="K640" s="2" t="s">
        <v>1915</v>
      </c>
      <c r="L640" s="2" t="str">
        <f>VLOOKUP(B640, Course!$A$1:$O$933, 14, FALSE)</f>
        <v>WB</v>
      </c>
      <c r="M640" s="2">
        <v>1</v>
      </c>
    </row>
    <row r="641" spans="1:13" ht="15.75" hidden="1" customHeight="1" x14ac:dyDescent="0.2">
      <c r="A641" s="2">
        <v>640</v>
      </c>
      <c r="B641" s="2">
        <v>55</v>
      </c>
      <c r="C641" s="2">
        <v>93</v>
      </c>
      <c r="D641" s="2" t="s">
        <v>373</v>
      </c>
      <c r="E641" s="2" t="str">
        <f t="shared" si="2"/>
        <v>1293WB03PT</v>
      </c>
      <c r="F641" s="2">
        <f>VLOOKUP(B641,Course!$A$2:$R$329,2,FALSE)</f>
        <v>0</v>
      </c>
      <c r="G641" s="2">
        <f>VLOOKUP(B641, Course!$A$2:$L$950, 8, FALSE)</f>
        <v>12</v>
      </c>
      <c r="H641" s="2">
        <v>3</v>
      </c>
      <c r="I641" s="2">
        <v>1</v>
      </c>
      <c r="K641" s="2" t="s">
        <v>1915</v>
      </c>
      <c r="L641" s="2" t="str">
        <f>VLOOKUP(B641, Course!$A$1:$O$933, 14, FALSE)</f>
        <v>WB</v>
      </c>
      <c r="M641" s="2">
        <v>1</v>
      </c>
    </row>
    <row r="642" spans="1:13" ht="15.75" hidden="1" customHeight="1" x14ac:dyDescent="0.2">
      <c r="A642" s="2">
        <v>641</v>
      </c>
      <c r="B642" s="2">
        <v>55</v>
      </c>
      <c r="C642" s="2">
        <v>94</v>
      </c>
      <c r="D642" s="2" t="s">
        <v>373</v>
      </c>
      <c r="E642" s="2" t="str">
        <f t="shared" si="2"/>
        <v>1294WB03PT</v>
      </c>
      <c r="F642" s="2">
        <f>VLOOKUP(B642,Course!$A$2:$R$329,2,FALSE)</f>
        <v>0</v>
      </c>
      <c r="G642" s="2">
        <f>VLOOKUP(B642, Course!$A$2:$L$950, 8, FALSE)</f>
        <v>12</v>
      </c>
      <c r="H642" s="2">
        <v>3</v>
      </c>
      <c r="I642" s="2">
        <v>1</v>
      </c>
      <c r="K642" s="2" t="s">
        <v>1915</v>
      </c>
      <c r="L642" s="2" t="str">
        <f>VLOOKUP(B642, Course!$A$1:$O$933, 14, FALSE)</f>
        <v>WB</v>
      </c>
      <c r="M642" s="2">
        <v>1</v>
      </c>
    </row>
    <row r="643" spans="1:13" ht="15.75" hidden="1" customHeight="1" x14ac:dyDescent="0.2">
      <c r="A643" s="2">
        <v>642</v>
      </c>
      <c r="B643" s="2">
        <v>55</v>
      </c>
      <c r="C643" s="2">
        <v>95</v>
      </c>
      <c r="D643" s="2" t="s">
        <v>373</v>
      </c>
      <c r="E643" s="2" t="str">
        <f t="shared" si="2"/>
        <v>1295WB03PT</v>
      </c>
      <c r="F643" s="2">
        <f>VLOOKUP(B643,Course!$A$2:$R$329,2,FALSE)</f>
        <v>0</v>
      </c>
      <c r="G643" s="2">
        <f>VLOOKUP(B643, Course!$A$2:$L$950, 8, FALSE)</f>
        <v>12</v>
      </c>
      <c r="H643" s="2">
        <v>3</v>
      </c>
      <c r="I643" s="2">
        <v>1</v>
      </c>
      <c r="K643" s="2" t="s">
        <v>1915</v>
      </c>
      <c r="L643" s="2" t="str">
        <f>VLOOKUP(B643, Course!$A$1:$O$933, 14, FALSE)</f>
        <v>WB</v>
      </c>
      <c r="M643" s="2">
        <v>1</v>
      </c>
    </row>
    <row r="644" spans="1:13" ht="15.75" hidden="1" customHeight="1" x14ac:dyDescent="0.2">
      <c r="A644" s="2">
        <v>643</v>
      </c>
      <c r="B644" s="2">
        <v>55</v>
      </c>
      <c r="C644" s="2">
        <v>96</v>
      </c>
      <c r="D644" s="2" t="s">
        <v>373</v>
      </c>
      <c r="E644" s="2" t="str">
        <f t="shared" si="2"/>
        <v>1296WB03PT</v>
      </c>
      <c r="F644" s="2">
        <f>VLOOKUP(B644,Course!$A$2:$R$329,2,FALSE)</f>
        <v>0</v>
      </c>
      <c r="G644" s="2">
        <f>VLOOKUP(B644, Course!$A$2:$L$950, 8, FALSE)</f>
        <v>12</v>
      </c>
      <c r="H644" s="2">
        <v>3</v>
      </c>
      <c r="I644" s="2">
        <v>1</v>
      </c>
      <c r="K644" s="2" t="s">
        <v>1915</v>
      </c>
      <c r="L644" s="2" t="str">
        <f>VLOOKUP(B644, Course!$A$1:$O$933, 14, FALSE)</f>
        <v>WB</v>
      </c>
      <c r="M644" s="2">
        <v>1</v>
      </c>
    </row>
    <row r="645" spans="1:13" ht="15.75" hidden="1" customHeight="1" x14ac:dyDescent="0.2">
      <c r="A645" s="2">
        <v>644</v>
      </c>
      <c r="B645" s="2">
        <v>56</v>
      </c>
      <c r="C645" s="2">
        <v>86</v>
      </c>
      <c r="D645" s="2" t="s">
        <v>479</v>
      </c>
      <c r="E645" s="2" t="str">
        <f t="shared" si="2"/>
        <v>1186LC03PT</v>
      </c>
      <c r="F645" s="2">
        <f>VLOOKUP(B645,Course!$A$2:$R$329,2,FALSE)</f>
        <v>0</v>
      </c>
      <c r="G645" s="2">
        <f>VLOOKUP(B645, Course!$A$2:$L$950, 8, FALSE)</f>
        <v>11</v>
      </c>
      <c r="H645" s="2">
        <v>3</v>
      </c>
      <c r="I645" s="2">
        <v>1</v>
      </c>
      <c r="K645" s="2" t="s">
        <v>1915</v>
      </c>
      <c r="L645" s="2" t="str">
        <f>VLOOKUP(B645, Course!$A$1:$O$933, 14, FALSE)</f>
        <v>LC</v>
      </c>
      <c r="M645" s="2">
        <v>1</v>
      </c>
    </row>
    <row r="646" spans="1:13" ht="15.75" hidden="1" customHeight="1" x14ac:dyDescent="0.2">
      <c r="A646" s="2">
        <v>645</v>
      </c>
      <c r="B646" s="2">
        <v>56</v>
      </c>
      <c r="C646" s="2">
        <v>87</v>
      </c>
      <c r="D646" s="2" t="s">
        <v>479</v>
      </c>
      <c r="E646" s="2" t="str">
        <f t="shared" si="2"/>
        <v>1187LC03PT</v>
      </c>
      <c r="F646" s="2">
        <f>VLOOKUP(B646,Course!$A$2:$R$329,2,FALSE)</f>
        <v>0</v>
      </c>
      <c r="G646" s="2">
        <f>VLOOKUP(B646, Course!$A$2:$L$950, 8, FALSE)</f>
        <v>11</v>
      </c>
      <c r="H646" s="2">
        <v>3</v>
      </c>
      <c r="I646" s="2">
        <v>1</v>
      </c>
      <c r="K646" s="2" t="s">
        <v>1915</v>
      </c>
      <c r="L646" s="2" t="str">
        <f>VLOOKUP(B646, Course!$A$1:$O$933, 14, FALSE)</f>
        <v>LC</v>
      </c>
      <c r="M646" s="2">
        <v>1</v>
      </c>
    </row>
    <row r="647" spans="1:13" ht="15.75" hidden="1" customHeight="1" x14ac:dyDescent="0.2">
      <c r="A647" s="2">
        <v>646</v>
      </c>
      <c r="B647" s="2">
        <v>56</v>
      </c>
      <c r="C647" s="2">
        <v>88</v>
      </c>
      <c r="D647" s="2" t="s">
        <v>479</v>
      </c>
      <c r="E647" s="2" t="str">
        <f t="shared" si="2"/>
        <v>1188LC03PT</v>
      </c>
      <c r="F647" s="2">
        <f>VLOOKUP(B647,Course!$A$2:$R$329,2,FALSE)</f>
        <v>0</v>
      </c>
      <c r="G647" s="2">
        <f>VLOOKUP(B647, Course!$A$2:$L$950, 8, FALSE)</f>
        <v>11</v>
      </c>
      <c r="H647" s="2">
        <v>3</v>
      </c>
      <c r="I647" s="2">
        <v>1</v>
      </c>
      <c r="K647" s="2" t="s">
        <v>1915</v>
      </c>
      <c r="L647" s="2" t="str">
        <f>VLOOKUP(B647, Course!$A$1:$O$933, 14, FALSE)</f>
        <v>LC</v>
      </c>
      <c r="M647" s="2">
        <v>1</v>
      </c>
    </row>
    <row r="648" spans="1:13" ht="15.75" hidden="1" customHeight="1" x14ac:dyDescent="0.2">
      <c r="A648" s="2">
        <v>647</v>
      </c>
      <c r="B648" s="2">
        <v>56</v>
      </c>
      <c r="C648" s="2">
        <v>89</v>
      </c>
      <c r="D648" s="2" t="s">
        <v>479</v>
      </c>
      <c r="E648" s="2" t="str">
        <f t="shared" si="2"/>
        <v>1189LC03PT</v>
      </c>
      <c r="F648" s="2">
        <f>VLOOKUP(B648,Course!$A$2:$R$329,2,FALSE)</f>
        <v>0</v>
      </c>
      <c r="G648" s="2">
        <f>VLOOKUP(B648, Course!$A$2:$L$950, 8, FALSE)</f>
        <v>11</v>
      </c>
      <c r="H648" s="2">
        <v>3</v>
      </c>
      <c r="I648" s="2">
        <v>1</v>
      </c>
      <c r="K648" s="2" t="s">
        <v>1915</v>
      </c>
      <c r="L648" s="2" t="str">
        <f>VLOOKUP(B648, Course!$A$1:$O$933, 14, FALSE)</f>
        <v>LC</v>
      </c>
      <c r="M648" s="2">
        <v>1</v>
      </c>
    </row>
    <row r="649" spans="1:13" ht="15.75" hidden="1" customHeight="1" x14ac:dyDescent="0.2">
      <c r="A649" s="2">
        <v>648</v>
      </c>
      <c r="B649" s="2">
        <v>56</v>
      </c>
      <c r="C649" s="2">
        <v>90</v>
      </c>
      <c r="D649" s="2" t="s">
        <v>479</v>
      </c>
      <c r="E649" s="2" t="str">
        <f t="shared" si="2"/>
        <v>1190LC03PT</v>
      </c>
      <c r="F649" s="2">
        <f>VLOOKUP(B649,Course!$A$2:$R$329,2,FALSE)</f>
        <v>0</v>
      </c>
      <c r="G649" s="2">
        <f>VLOOKUP(B649, Course!$A$2:$L$950, 8, FALSE)</f>
        <v>11</v>
      </c>
      <c r="H649" s="2">
        <v>3</v>
      </c>
      <c r="I649" s="2">
        <v>1</v>
      </c>
      <c r="K649" s="2" t="s">
        <v>1915</v>
      </c>
      <c r="L649" s="2" t="str">
        <f>VLOOKUP(B649, Course!$A$1:$O$933, 14, FALSE)</f>
        <v>LC</v>
      </c>
      <c r="M649" s="2">
        <v>1</v>
      </c>
    </row>
    <row r="650" spans="1:13" ht="15.75" hidden="1" customHeight="1" x14ac:dyDescent="0.2">
      <c r="A650" s="2">
        <v>649</v>
      </c>
      <c r="B650" s="2">
        <v>56</v>
      </c>
      <c r="C650" s="2">
        <v>91</v>
      </c>
      <c r="D650" s="2" t="s">
        <v>479</v>
      </c>
      <c r="E650" s="2" t="str">
        <f t="shared" si="2"/>
        <v>1191LC03PT</v>
      </c>
      <c r="F650" s="2">
        <f>VLOOKUP(B650,Course!$A$2:$R$329,2,FALSE)</f>
        <v>0</v>
      </c>
      <c r="G650" s="2">
        <f>VLOOKUP(B650, Course!$A$2:$L$950, 8, FALSE)</f>
        <v>11</v>
      </c>
      <c r="H650" s="2">
        <v>3</v>
      </c>
      <c r="I650" s="2">
        <v>1</v>
      </c>
      <c r="K650" s="2" t="s">
        <v>1915</v>
      </c>
      <c r="L650" s="2" t="str">
        <f>VLOOKUP(B650, Course!$A$1:$O$933, 14, FALSE)</f>
        <v>LC</v>
      </c>
      <c r="M650" s="2">
        <v>1</v>
      </c>
    </row>
    <row r="651" spans="1:13" ht="15.75" hidden="1" customHeight="1" x14ac:dyDescent="0.2">
      <c r="A651" s="2">
        <v>650</v>
      </c>
      <c r="B651" s="2">
        <v>56</v>
      </c>
      <c r="C651" s="2">
        <v>92</v>
      </c>
      <c r="D651" s="2" t="s">
        <v>479</v>
      </c>
      <c r="E651" s="2" t="str">
        <f t="shared" si="2"/>
        <v>1192LC03PT</v>
      </c>
      <c r="F651" s="2">
        <f>VLOOKUP(B651,Course!$A$2:$R$329,2,FALSE)</f>
        <v>0</v>
      </c>
      <c r="G651" s="2">
        <f>VLOOKUP(B651, Course!$A$2:$L$950, 8, FALSE)</f>
        <v>11</v>
      </c>
      <c r="H651" s="2">
        <v>3</v>
      </c>
      <c r="I651" s="2">
        <v>1</v>
      </c>
      <c r="K651" s="2" t="s">
        <v>1915</v>
      </c>
      <c r="L651" s="2" t="str">
        <f>VLOOKUP(B651, Course!$A$1:$O$933, 14, FALSE)</f>
        <v>LC</v>
      </c>
      <c r="M651" s="2">
        <v>1</v>
      </c>
    </row>
    <row r="652" spans="1:13" ht="15.75" hidden="1" customHeight="1" x14ac:dyDescent="0.2">
      <c r="A652" s="2">
        <v>651</v>
      </c>
      <c r="B652" s="2">
        <v>56</v>
      </c>
      <c r="C652" s="2">
        <v>93</v>
      </c>
      <c r="D652" s="2" t="s">
        <v>479</v>
      </c>
      <c r="E652" s="2" t="str">
        <f t="shared" si="2"/>
        <v>1193LC03PT</v>
      </c>
      <c r="F652" s="2">
        <f>VLOOKUP(B652,Course!$A$2:$R$329,2,FALSE)</f>
        <v>0</v>
      </c>
      <c r="G652" s="2">
        <f>VLOOKUP(B652, Course!$A$2:$L$950, 8, FALSE)</f>
        <v>11</v>
      </c>
      <c r="H652" s="2">
        <v>3</v>
      </c>
      <c r="I652" s="2">
        <v>1</v>
      </c>
      <c r="K652" s="2" t="s">
        <v>1915</v>
      </c>
      <c r="L652" s="2" t="str">
        <f>VLOOKUP(B652, Course!$A$1:$O$933, 14, FALSE)</f>
        <v>LC</v>
      </c>
      <c r="M652" s="2">
        <v>1</v>
      </c>
    </row>
    <row r="653" spans="1:13" ht="15.75" hidden="1" customHeight="1" x14ac:dyDescent="0.2">
      <c r="A653" s="2">
        <v>652</v>
      </c>
      <c r="B653" s="2">
        <v>56</v>
      </c>
      <c r="C653" s="2">
        <v>94</v>
      </c>
      <c r="D653" s="2" t="s">
        <v>479</v>
      </c>
      <c r="E653" s="2" t="str">
        <f t="shared" si="2"/>
        <v>1194LC03PT</v>
      </c>
      <c r="F653" s="2">
        <f>VLOOKUP(B653,Course!$A$2:$R$329,2,FALSE)</f>
        <v>0</v>
      </c>
      <c r="G653" s="2">
        <f>VLOOKUP(B653, Course!$A$2:$L$950, 8, FALSE)</f>
        <v>11</v>
      </c>
      <c r="H653" s="2">
        <v>3</v>
      </c>
      <c r="I653" s="2">
        <v>1</v>
      </c>
      <c r="K653" s="2" t="s">
        <v>1915</v>
      </c>
      <c r="L653" s="2" t="str">
        <f>VLOOKUP(B653, Course!$A$1:$O$933, 14, FALSE)</f>
        <v>LC</v>
      </c>
      <c r="M653" s="2">
        <v>1</v>
      </c>
    </row>
    <row r="654" spans="1:13" ht="15.75" hidden="1" customHeight="1" x14ac:dyDescent="0.2">
      <c r="A654" s="2">
        <v>653</v>
      </c>
      <c r="B654" s="2">
        <v>56</v>
      </c>
      <c r="C654" s="2">
        <v>95</v>
      </c>
      <c r="D654" s="2" t="s">
        <v>479</v>
      </c>
      <c r="E654" s="2" t="str">
        <f t="shared" si="2"/>
        <v>1195LC03PT</v>
      </c>
      <c r="F654" s="2">
        <f>VLOOKUP(B654,Course!$A$2:$R$329,2,FALSE)</f>
        <v>0</v>
      </c>
      <c r="G654" s="2">
        <f>VLOOKUP(B654, Course!$A$2:$L$950, 8, FALSE)</f>
        <v>11</v>
      </c>
      <c r="H654" s="2">
        <v>3</v>
      </c>
      <c r="I654" s="2">
        <v>1</v>
      </c>
      <c r="K654" s="2" t="s">
        <v>1915</v>
      </c>
      <c r="L654" s="2" t="str">
        <f>VLOOKUP(B654, Course!$A$1:$O$933, 14, FALSE)</f>
        <v>LC</v>
      </c>
      <c r="M654" s="2">
        <v>1</v>
      </c>
    </row>
    <row r="655" spans="1:13" ht="15.75" hidden="1" customHeight="1" x14ac:dyDescent="0.2">
      <c r="A655" s="2">
        <v>654</v>
      </c>
      <c r="B655" s="2">
        <v>56</v>
      </c>
      <c r="C655" s="2">
        <v>96</v>
      </c>
      <c r="D655" s="2" t="s">
        <v>479</v>
      </c>
      <c r="E655" s="2" t="str">
        <f t="shared" si="2"/>
        <v>1196LC03PT</v>
      </c>
      <c r="F655" s="2">
        <f>VLOOKUP(B655,Course!$A$2:$R$329,2,FALSE)</f>
        <v>0</v>
      </c>
      <c r="G655" s="2">
        <f>VLOOKUP(B655, Course!$A$2:$L$950, 8, FALSE)</f>
        <v>11</v>
      </c>
      <c r="H655" s="2">
        <v>3</v>
      </c>
      <c r="I655" s="2">
        <v>1</v>
      </c>
      <c r="K655" s="2" t="s">
        <v>1915</v>
      </c>
      <c r="L655" s="2" t="str">
        <f>VLOOKUP(B655, Course!$A$1:$O$933, 14, FALSE)</f>
        <v>LC</v>
      </c>
      <c r="M655" s="2">
        <v>1</v>
      </c>
    </row>
    <row r="656" spans="1:13" ht="15.75" hidden="1" customHeight="1" x14ac:dyDescent="0.2">
      <c r="A656" s="2">
        <v>655</v>
      </c>
      <c r="B656" s="2">
        <v>57</v>
      </c>
      <c r="C656" s="2">
        <v>85</v>
      </c>
      <c r="D656" s="2" t="s">
        <v>533</v>
      </c>
      <c r="E656" s="2" t="str">
        <f t="shared" si="2"/>
        <v>1285ES03PT</v>
      </c>
      <c r="F656" s="2" t="str">
        <f>VLOOKUP(B656,Course!$A$2:$R$329,2,FALSE)</f>
        <v>Science 8</v>
      </c>
      <c r="G656" s="2">
        <f>VLOOKUP(B656, Course!$A$2:$L$950, 8, FALSE)</f>
        <v>12</v>
      </c>
      <c r="H656" s="2">
        <v>3</v>
      </c>
      <c r="I656" s="2">
        <v>1</v>
      </c>
      <c r="K656" s="2" t="s">
        <v>1915</v>
      </c>
      <c r="L656" s="2" t="str">
        <f>VLOOKUP(B656, Course!$A$1:$O$933, 14, FALSE)</f>
        <v>ES</v>
      </c>
      <c r="M656" s="2">
        <v>1</v>
      </c>
    </row>
    <row r="657" spans="1:13" ht="15.75" hidden="1" customHeight="1" x14ac:dyDescent="0.2">
      <c r="A657" s="2">
        <v>656</v>
      </c>
      <c r="B657" s="2">
        <v>57</v>
      </c>
      <c r="C657" s="2">
        <v>86</v>
      </c>
      <c r="D657" s="2" t="s">
        <v>533</v>
      </c>
      <c r="E657" s="2" t="str">
        <f t="shared" si="2"/>
        <v>1286ES03PT</v>
      </c>
      <c r="F657" s="2" t="str">
        <f>VLOOKUP(B657,Course!$A$2:$R$329,2,FALSE)</f>
        <v>Science 8</v>
      </c>
      <c r="G657" s="2">
        <f>VLOOKUP(B657, Course!$A$2:$L$950, 8, FALSE)</f>
        <v>12</v>
      </c>
      <c r="H657" s="2">
        <v>3</v>
      </c>
      <c r="I657" s="2">
        <v>1</v>
      </c>
      <c r="K657" s="2" t="s">
        <v>1915</v>
      </c>
      <c r="L657" s="2" t="str">
        <f>VLOOKUP(B657, Course!$A$1:$O$933, 14, FALSE)</f>
        <v>ES</v>
      </c>
      <c r="M657" s="2">
        <v>1</v>
      </c>
    </row>
    <row r="658" spans="1:13" ht="15.75" hidden="1" customHeight="1" x14ac:dyDescent="0.2">
      <c r="A658" s="2">
        <v>657</v>
      </c>
      <c r="B658" s="2">
        <v>57</v>
      </c>
      <c r="C658" s="2">
        <v>87</v>
      </c>
      <c r="D658" s="2" t="s">
        <v>533</v>
      </c>
      <c r="E658" s="2" t="str">
        <f t="shared" si="2"/>
        <v>1287ES03PT</v>
      </c>
      <c r="F658" s="2" t="str">
        <f>VLOOKUP(B658,Course!$A$2:$R$329,2,FALSE)</f>
        <v>Science 8</v>
      </c>
      <c r="G658" s="2">
        <f>VLOOKUP(B658, Course!$A$2:$L$950, 8, FALSE)</f>
        <v>12</v>
      </c>
      <c r="H658" s="2">
        <v>3</v>
      </c>
      <c r="I658" s="2">
        <v>1</v>
      </c>
      <c r="K658" s="2" t="s">
        <v>1915</v>
      </c>
      <c r="L658" s="2" t="str">
        <f>VLOOKUP(B658, Course!$A$1:$O$933, 14, FALSE)</f>
        <v>ES</v>
      </c>
      <c r="M658" s="2">
        <v>1</v>
      </c>
    </row>
    <row r="659" spans="1:13" ht="15.75" hidden="1" customHeight="1" x14ac:dyDescent="0.2">
      <c r="A659" s="2">
        <v>658</v>
      </c>
      <c r="B659" s="2">
        <v>57</v>
      </c>
      <c r="C659" s="2">
        <v>88</v>
      </c>
      <c r="D659" s="2" t="s">
        <v>533</v>
      </c>
      <c r="E659" s="2" t="str">
        <f t="shared" si="2"/>
        <v>1288ES03PT</v>
      </c>
      <c r="F659" s="2" t="str">
        <f>VLOOKUP(B659,Course!$A$2:$R$329,2,FALSE)</f>
        <v>Science 8</v>
      </c>
      <c r="G659" s="2">
        <f>VLOOKUP(B659, Course!$A$2:$L$950, 8, FALSE)</f>
        <v>12</v>
      </c>
      <c r="H659" s="2">
        <v>3</v>
      </c>
      <c r="I659" s="2">
        <v>1</v>
      </c>
      <c r="K659" s="2" t="s">
        <v>1915</v>
      </c>
      <c r="L659" s="2" t="str">
        <f>VLOOKUP(B659, Course!$A$1:$O$933, 14, FALSE)</f>
        <v>ES</v>
      </c>
      <c r="M659" s="2">
        <v>1</v>
      </c>
    </row>
    <row r="660" spans="1:13" ht="15.75" hidden="1" customHeight="1" x14ac:dyDescent="0.2">
      <c r="A660" s="2">
        <v>659</v>
      </c>
      <c r="B660" s="2">
        <v>57</v>
      </c>
      <c r="C660" s="2">
        <v>89</v>
      </c>
      <c r="D660" s="2" t="s">
        <v>533</v>
      </c>
      <c r="E660" s="2" t="str">
        <f t="shared" si="2"/>
        <v>1289ES03PT</v>
      </c>
      <c r="F660" s="2" t="str">
        <f>VLOOKUP(B660,Course!$A$2:$R$329,2,FALSE)</f>
        <v>Science 8</v>
      </c>
      <c r="G660" s="2">
        <f>VLOOKUP(B660, Course!$A$2:$L$950, 8, FALSE)</f>
        <v>12</v>
      </c>
      <c r="H660" s="2">
        <v>3</v>
      </c>
      <c r="I660" s="2">
        <v>1</v>
      </c>
      <c r="K660" s="2" t="s">
        <v>1915</v>
      </c>
      <c r="L660" s="2" t="str">
        <f>VLOOKUP(B660, Course!$A$1:$O$933, 14, FALSE)</f>
        <v>ES</v>
      </c>
      <c r="M660" s="2">
        <v>1</v>
      </c>
    </row>
    <row r="661" spans="1:13" ht="15.75" hidden="1" customHeight="1" x14ac:dyDescent="0.2">
      <c r="A661" s="2">
        <v>660</v>
      </c>
      <c r="B661" s="2">
        <v>57</v>
      </c>
      <c r="C661" s="2">
        <v>90</v>
      </c>
      <c r="D661" s="2" t="s">
        <v>533</v>
      </c>
      <c r="E661" s="2" t="str">
        <f t="shared" si="2"/>
        <v>1290ES03PT</v>
      </c>
      <c r="F661" s="2" t="str">
        <f>VLOOKUP(B661,Course!$A$2:$R$329,2,FALSE)</f>
        <v>Science 8</v>
      </c>
      <c r="G661" s="2">
        <f>VLOOKUP(B661, Course!$A$2:$L$950, 8, FALSE)</f>
        <v>12</v>
      </c>
      <c r="H661" s="2">
        <v>3</v>
      </c>
      <c r="I661" s="2">
        <v>1</v>
      </c>
      <c r="K661" s="2" t="s">
        <v>1915</v>
      </c>
      <c r="L661" s="2" t="str">
        <f>VLOOKUP(B661, Course!$A$1:$O$933, 14, FALSE)</f>
        <v>ES</v>
      </c>
      <c r="M661" s="2">
        <v>1</v>
      </c>
    </row>
    <row r="662" spans="1:13" ht="15.75" hidden="1" customHeight="1" x14ac:dyDescent="0.2">
      <c r="A662" s="2">
        <v>661</v>
      </c>
      <c r="B662" s="2">
        <v>57</v>
      </c>
      <c r="C662" s="2">
        <v>91</v>
      </c>
      <c r="D662" s="2" t="s">
        <v>533</v>
      </c>
      <c r="E662" s="2" t="str">
        <f t="shared" si="2"/>
        <v>1291ES03PT</v>
      </c>
      <c r="F662" s="2" t="str">
        <f>VLOOKUP(B662,Course!$A$2:$R$329,2,FALSE)</f>
        <v>Science 8</v>
      </c>
      <c r="G662" s="2">
        <f>VLOOKUP(B662, Course!$A$2:$L$950, 8, FALSE)</f>
        <v>12</v>
      </c>
      <c r="H662" s="2">
        <v>3</v>
      </c>
      <c r="I662" s="2">
        <v>1</v>
      </c>
      <c r="K662" s="2" t="s">
        <v>1915</v>
      </c>
      <c r="L662" s="2" t="str">
        <f>VLOOKUP(B662, Course!$A$1:$O$933, 14, FALSE)</f>
        <v>ES</v>
      </c>
      <c r="M662" s="2">
        <v>1</v>
      </c>
    </row>
    <row r="663" spans="1:13" ht="15.75" hidden="1" customHeight="1" x14ac:dyDescent="0.2">
      <c r="A663" s="2">
        <v>662</v>
      </c>
      <c r="B663" s="2">
        <v>57</v>
      </c>
      <c r="C663" s="2">
        <v>92</v>
      </c>
      <c r="D663" s="2" t="s">
        <v>533</v>
      </c>
      <c r="E663" s="2" t="str">
        <f t="shared" si="2"/>
        <v>1292ES03PT</v>
      </c>
      <c r="F663" s="2" t="str">
        <f>VLOOKUP(B663,Course!$A$2:$R$329,2,FALSE)</f>
        <v>Science 8</v>
      </c>
      <c r="G663" s="2">
        <f>VLOOKUP(B663, Course!$A$2:$L$950, 8, FALSE)</f>
        <v>12</v>
      </c>
      <c r="H663" s="2">
        <v>3</v>
      </c>
      <c r="I663" s="2">
        <v>1</v>
      </c>
      <c r="K663" s="2" t="s">
        <v>1915</v>
      </c>
      <c r="L663" s="2" t="str">
        <f>VLOOKUP(B663, Course!$A$1:$O$933, 14, FALSE)</f>
        <v>ES</v>
      </c>
      <c r="M663" s="2">
        <v>1</v>
      </c>
    </row>
    <row r="664" spans="1:13" ht="15.75" hidden="1" customHeight="1" x14ac:dyDescent="0.2">
      <c r="A664" s="2">
        <v>663</v>
      </c>
      <c r="B664" s="2">
        <v>57</v>
      </c>
      <c r="C664" s="2">
        <v>93</v>
      </c>
      <c r="D664" s="2" t="s">
        <v>533</v>
      </c>
      <c r="E664" s="2" t="str">
        <f t="shared" si="2"/>
        <v>1293ES03PT</v>
      </c>
      <c r="F664" s="2" t="str">
        <f>VLOOKUP(B664,Course!$A$2:$R$329,2,FALSE)</f>
        <v>Science 8</v>
      </c>
      <c r="G664" s="2">
        <f>VLOOKUP(B664, Course!$A$2:$L$950, 8, FALSE)</f>
        <v>12</v>
      </c>
      <c r="H664" s="2">
        <v>3</v>
      </c>
      <c r="I664" s="2">
        <v>1</v>
      </c>
      <c r="K664" s="2" t="s">
        <v>1915</v>
      </c>
      <c r="L664" s="2" t="str">
        <f>VLOOKUP(B664, Course!$A$1:$O$933, 14, FALSE)</f>
        <v>ES</v>
      </c>
      <c r="M664" s="2">
        <v>1</v>
      </c>
    </row>
    <row r="665" spans="1:13" ht="15.75" hidden="1" customHeight="1" x14ac:dyDescent="0.2">
      <c r="A665" s="2">
        <v>664</v>
      </c>
      <c r="B665" s="2">
        <v>57</v>
      </c>
      <c r="C665" s="2">
        <v>94</v>
      </c>
      <c r="D665" s="2" t="s">
        <v>533</v>
      </c>
      <c r="E665" s="2" t="str">
        <f t="shared" si="2"/>
        <v>1294ES03PT</v>
      </c>
      <c r="F665" s="2" t="str">
        <f>VLOOKUP(B665,Course!$A$2:$R$329,2,FALSE)</f>
        <v>Science 8</v>
      </c>
      <c r="G665" s="2">
        <f>VLOOKUP(B665, Course!$A$2:$L$950, 8, FALSE)</f>
        <v>12</v>
      </c>
      <c r="H665" s="2">
        <v>3</v>
      </c>
      <c r="I665" s="2">
        <v>1</v>
      </c>
      <c r="K665" s="2" t="s">
        <v>1915</v>
      </c>
      <c r="L665" s="2" t="str">
        <f>VLOOKUP(B665, Course!$A$1:$O$933, 14, FALSE)</f>
        <v>ES</v>
      </c>
      <c r="M665" s="2">
        <v>1</v>
      </c>
    </row>
    <row r="666" spans="1:13" ht="15.75" hidden="1" customHeight="1" x14ac:dyDescent="0.2">
      <c r="A666" s="2">
        <v>665</v>
      </c>
      <c r="B666" s="2">
        <v>57</v>
      </c>
      <c r="C666" s="2">
        <v>95</v>
      </c>
      <c r="D666" s="2" t="s">
        <v>533</v>
      </c>
      <c r="E666" s="2" t="str">
        <f t="shared" si="2"/>
        <v>1295ES03PT</v>
      </c>
      <c r="F666" s="2" t="str">
        <f>VLOOKUP(B666,Course!$A$2:$R$329,2,FALSE)</f>
        <v>Science 8</v>
      </c>
      <c r="G666" s="2">
        <f>VLOOKUP(B666, Course!$A$2:$L$950, 8, FALSE)</f>
        <v>12</v>
      </c>
      <c r="H666" s="2">
        <v>3</v>
      </c>
      <c r="I666" s="2">
        <v>1</v>
      </c>
      <c r="K666" s="2" t="s">
        <v>1915</v>
      </c>
      <c r="L666" s="2" t="str">
        <f>VLOOKUP(B666, Course!$A$1:$O$933, 14, FALSE)</f>
        <v>ES</v>
      </c>
      <c r="M666" s="2">
        <v>1</v>
      </c>
    </row>
    <row r="667" spans="1:13" ht="15.75" hidden="1" customHeight="1" x14ac:dyDescent="0.2">
      <c r="A667" s="2">
        <v>666</v>
      </c>
      <c r="B667" s="2">
        <v>57</v>
      </c>
      <c r="C667" s="2">
        <v>96</v>
      </c>
      <c r="D667" s="2" t="s">
        <v>533</v>
      </c>
      <c r="E667" s="2" t="str">
        <f t="shared" si="2"/>
        <v>1296ES03PT</v>
      </c>
      <c r="F667" s="2" t="str">
        <f>VLOOKUP(B667,Course!$A$2:$R$329,2,FALSE)</f>
        <v>Science 8</v>
      </c>
      <c r="G667" s="2">
        <f>VLOOKUP(B667, Course!$A$2:$L$950, 8, FALSE)</f>
        <v>12</v>
      </c>
      <c r="H667" s="2">
        <v>3</v>
      </c>
      <c r="I667" s="2">
        <v>1</v>
      </c>
      <c r="K667" s="2" t="s">
        <v>1915</v>
      </c>
      <c r="L667" s="2" t="str">
        <f>VLOOKUP(B667, Course!$A$1:$O$933, 14, FALSE)</f>
        <v>ES</v>
      </c>
      <c r="M667" s="2">
        <v>1</v>
      </c>
    </row>
    <row r="668" spans="1:13" ht="15.75" hidden="1" customHeight="1" x14ac:dyDescent="0.2">
      <c r="A668" s="2">
        <v>667</v>
      </c>
      <c r="B668" s="2">
        <v>58</v>
      </c>
      <c r="C668" s="2">
        <v>85</v>
      </c>
      <c r="D668" s="2" t="s">
        <v>538</v>
      </c>
      <c r="E668" s="2" t="str">
        <f t="shared" si="2"/>
        <v>1285UK03PT</v>
      </c>
      <c r="F668" s="2">
        <f>VLOOKUP(B668,Course!$A$2:$R$329,2,FALSE)</f>
        <v>0</v>
      </c>
      <c r="G668" s="2">
        <f>VLOOKUP(B668, Course!$A$2:$L$950, 8, FALSE)</f>
        <v>12</v>
      </c>
      <c r="H668" s="2">
        <v>3</v>
      </c>
      <c r="I668" s="2">
        <v>1</v>
      </c>
      <c r="K668" s="2" t="s">
        <v>1915</v>
      </c>
      <c r="L668" s="2" t="str">
        <f>VLOOKUP(B668, Course!$A$1:$O$933, 14, FALSE)</f>
        <v>UK</v>
      </c>
      <c r="M668" s="2">
        <v>1</v>
      </c>
    </row>
    <row r="669" spans="1:13" ht="15.75" hidden="1" customHeight="1" x14ac:dyDescent="0.2">
      <c r="A669" s="2">
        <v>668</v>
      </c>
      <c r="B669" s="2">
        <v>58</v>
      </c>
      <c r="C669" s="2">
        <v>86</v>
      </c>
      <c r="D669" s="2" t="s">
        <v>538</v>
      </c>
      <c r="E669" s="2" t="str">
        <f t="shared" si="2"/>
        <v>1286UK03PT</v>
      </c>
      <c r="F669" s="2">
        <f>VLOOKUP(B669,Course!$A$2:$R$329,2,FALSE)</f>
        <v>0</v>
      </c>
      <c r="G669" s="2">
        <f>VLOOKUP(B669, Course!$A$2:$L$950, 8, FALSE)</f>
        <v>12</v>
      </c>
      <c r="H669" s="2">
        <v>3</v>
      </c>
      <c r="I669" s="2">
        <v>1</v>
      </c>
      <c r="K669" s="2" t="s">
        <v>1915</v>
      </c>
      <c r="L669" s="2" t="str">
        <f>VLOOKUP(B669, Course!$A$1:$O$933, 14, FALSE)</f>
        <v>UK</v>
      </c>
      <c r="M669" s="2">
        <v>1</v>
      </c>
    </row>
    <row r="670" spans="1:13" ht="15.75" hidden="1" customHeight="1" x14ac:dyDescent="0.2">
      <c r="A670" s="2">
        <v>669</v>
      </c>
      <c r="B670" s="2">
        <v>58</v>
      </c>
      <c r="C670" s="2">
        <v>87</v>
      </c>
      <c r="D670" s="2" t="s">
        <v>538</v>
      </c>
      <c r="E670" s="2" t="str">
        <f t="shared" si="2"/>
        <v>1287UK03PT</v>
      </c>
      <c r="F670" s="2">
        <f>VLOOKUP(B670,Course!$A$2:$R$329,2,FALSE)</f>
        <v>0</v>
      </c>
      <c r="G670" s="2">
        <f>VLOOKUP(B670, Course!$A$2:$L$950, 8, FALSE)</f>
        <v>12</v>
      </c>
      <c r="H670" s="2">
        <v>3</v>
      </c>
      <c r="I670" s="2">
        <v>1</v>
      </c>
      <c r="K670" s="2" t="s">
        <v>1915</v>
      </c>
      <c r="L670" s="2" t="str">
        <f>VLOOKUP(B670, Course!$A$1:$O$933, 14, FALSE)</f>
        <v>UK</v>
      </c>
      <c r="M670" s="2">
        <v>1</v>
      </c>
    </row>
    <row r="671" spans="1:13" ht="15.75" hidden="1" customHeight="1" x14ac:dyDescent="0.2">
      <c r="A671" s="2">
        <v>670</v>
      </c>
      <c r="B671" s="2">
        <v>58</v>
      </c>
      <c r="C671" s="2">
        <v>88</v>
      </c>
      <c r="D671" s="2" t="s">
        <v>538</v>
      </c>
      <c r="E671" s="2" t="str">
        <f t="shared" si="2"/>
        <v>1288UK03PT</v>
      </c>
      <c r="F671" s="2">
        <f>VLOOKUP(B671,Course!$A$2:$R$329,2,FALSE)</f>
        <v>0</v>
      </c>
      <c r="G671" s="2">
        <f>VLOOKUP(B671, Course!$A$2:$L$950, 8, FALSE)</f>
        <v>12</v>
      </c>
      <c r="H671" s="2">
        <v>3</v>
      </c>
      <c r="I671" s="2">
        <v>1</v>
      </c>
      <c r="K671" s="2" t="s">
        <v>1915</v>
      </c>
      <c r="L671" s="2" t="str">
        <f>VLOOKUP(B671, Course!$A$1:$O$933, 14, FALSE)</f>
        <v>UK</v>
      </c>
      <c r="M671" s="2">
        <v>1</v>
      </c>
    </row>
    <row r="672" spans="1:13" ht="15.75" hidden="1" customHeight="1" x14ac:dyDescent="0.2">
      <c r="A672" s="2">
        <v>671</v>
      </c>
      <c r="B672" s="2">
        <v>58</v>
      </c>
      <c r="C672" s="2">
        <v>89</v>
      </c>
      <c r="D672" s="2" t="s">
        <v>538</v>
      </c>
      <c r="E672" s="2" t="str">
        <f t="shared" si="2"/>
        <v>1289UK03PT</v>
      </c>
      <c r="F672" s="2">
        <f>VLOOKUP(B672,Course!$A$2:$R$329,2,FALSE)</f>
        <v>0</v>
      </c>
      <c r="G672" s="2">
        <f>VLOOKUP(B672, Course!$A$2:$L$950, 8, FALSE)</f>
        <v>12</v>
      </c>
      <c r="H672" s="2">
        <v>3</v>
      </c>
      <c r="I672" s="2">
        <v>1</v>
      </c>
      <c r="K672" s="2" t="s">
        <v>1915</v>
      </c>
      <c r="L672" s="2" t="str">
        <f>VLOOKUP(B672, Course!$A$1:$O$933, 14, FALSE)</f>
        <v>UK</v>
      </c>
      <c r="M672" s="2">
        <v>1</v>
      </c>
    </row>
    <row r="673" spans="1:13" ht="15.75" hidden="1" customHeight="1" x14ac:dyDescent="0.2">
      <c r="A673" s="2">
        <v>672</v>
      </c>
      <c r="B673" s="2">
        <v>58</v>
      </c>
      <c r="C673" s="2">
        <v>90</v>
      </c>
      <c r="D673" s="2" t="s">
        <v>538</v>
      </c>
      <c r="E673" s="2" t="str">
        <f t="shared" si="2"/>
        <v>1290UK03PT</v>
      </c>
      <c r="F673" s="2">
        <f>VLOOKUP(B673,Course!$A$2:$R$329,2,FALSE)</f>
        <v>0</v>
      </c>
      <c r="G673" s="2">
        <f>VLOOKUP(B673, Course!$A$2:$L$950, 8, FALSE)</f>
        <v>12</v>
      </c>
      <c r="H673" s="2">
        <v>3</v>
      </c>
      <c r="I673" s="2">
        <v>1</v>
      </c>
      <c r="K673" s="2" t="s">
        <v>1915</v>
      </c>
      <c r="L673" s="2" t="str">
        <f>VLOOKUP(B673, Course!$A$1:$O$933, 14, FALSE)</f>
        <v>UK</v>
      </c>
      <c r="M673" s="2">
        <v>1</v>
      </c>
    </row>
    <row r="674" spans="1:13" ht="15.75" hidden="1" customHeight="1" x14ac:dyDescent="0.2">
      <c r="A674" s="2">
        <v>673</v>
      </c>
      <c r="B674" s="2">
        <v>58</v>
      </c>
      <c r="C674" s="2">
        <v>91</v>
      </c>
      <c r="D674" s="2" t="s">
        <v>538</v>
      </c>
      <c r="E674" s="2" t="str">
        <f t="shared" si="2"/>
        <v>1291UK03PT</v>
      </c>
      <c r="F674" s="2">
        <f>VLOOKUP(B674,Course!$A$2:$R$329,2,FALSE)</f>
        <v>0</v>
      </c>
      <c r="G674" s="2">
        <f>VLOOKUP(B674, Course!$A$2:$L$950, 8, FALSE)</f>
        <v>12</v>
      </c>
      <c r="H674" s="2">
        <v>3</v>
      </c>
      <c r="I674" s="2">
        <v>1</v>
      </c>
      <c r="K674" s="2" t="s">
        <v>1915</v>
      </c>
      <c r="L674" s="2" t="str">
        <f>VLOOKUP(B674, Course!$A$1:$O$933, 14, FALSE)</f>
        <v>UK</v>
      </c>
      <c r="M674" s="2">
        <v>1</v>
      </c>
    </row>
    <row r="675" spans="1:13" ht="15.75" hidden="1" customHeight="1" x14ac:dyDescent="0.2">
      <c r="A675" s="2">
        <v>674</v>
      </c>
      <c r="B675" s="2">
        <v>58</v>
      </c>
      <c r="C675" s="2">
        <v>92</v>
      </c>
      <c r="D675" s="2" t="s">
        <v>538</v>
      </c>
      <c r="E675" s="2" t="str">
        <f t="shared" si="2"/>
        <v>1292UK03PT</v>
      </c>
      <c r="F675" s="2">
        <f>VLOOKUP(B675,Course!$A$2:$R$329,2,FALSE)</f>
        <v>0</v>
      </c>
      <c r="G675" s="2">
        <f>VLOOKUP(B675, Course!$A$2:$L$950, 8, FALSE)</f>
        <v>12</v>
      </c>
      <c r="H675" s="2">
        <v>3</v>
      </c>
      <c r="I675" s="2">
        <v>1</v>
      </c>
      <c r="K675" s="2" t="s">
        <v>1915</v>
      </c>
      <c r="L675" s="2" t="str">
        <f>VLOOKUP(B675, Course!$A$1:$O$933, 14, FALSE)</f>
        <v>UK</v>
      </c>
      <c r="M675" s="2">
        <v>1</v>
      </c>
    </row>
    <row r="676" spans="1:13" ht="15.75" hidden="1" customHeight="1" x14ac:dyDescent="0.2">
      <c r="A676" s="2">
        <v>675</v>
      </c>
      <c r="B676" s="2">
        <v>58</v>
      </c>
      <c r="C676" s="2">
        <v>93</v>
      </c>
      <c r="D676" s="2" t="s">
        <v>538</v>
      </c>
      <c r="E676" s="2" t="str">
        <f t="shared" si="2"/>
        <v>1293UK03PT</v>
      </c>
      <c r="F676" s="2">
        <f>VLOOKUP(B676,Course!$A$2:$R$329,2,FALSE)</f>
        <v>0</v>
      </c>
      <c r="G676" s="2">
        <f>VLOOKUP(B676, Course!$A$2:$L$950, 8, FALSE)</f>
        <v>12</v>
      </c>
      <c r="H676" s="2">
        <v>3</v>
      </c>
      <c r="I676" s="2">
        <v>1</v>
      </c>
      <c r="K676" s="2" t="s">
        <v>1915</v>
      </c>
      <c r="L676" s="2" t="str">
        <f>VLOOKUP(B676, Course!$A$1:$O$933, 14, FALSE)</f>
        <v>UK</v>
      </c>
      <c r="M676" s="2">
        <v>1</v>
      </c>
    </row>
    <row r="677" spans="1:13" ht="15.75" hidden="1" customHeight="1" x14ac:dyDescent="0.2">
      <c r="A677" s="2">
        <v>676</v>
      </c>
      <c r="B677" s="2">
        <v>58</v>
      </c>
      <c r="C677" s="2">
        <v>94</v>
      </c>
      <c r="D677" s="2" t="s">
        <v>538</v>
      </c>
      <c r="E677" s="2" t="str">
        <f t="shared" si="2"/>
        <v>1294UK03PT</v>
      </c>
      <c r="F677" s="2">
        <f>VLOOKUP(B677,Course!$A$2:$R$329,2,FALSE)</f>
        <v>0</v>
      </c>
      <c r="G677" s="2">
        <f>VLOOKUP(B677, Course!$A$2:$L$950, 8, FALSE)</f>
        <v>12</v>
      </c>
      <c r="H677" s="2">
        <v>3</v>
      </c>
      <c r="I677" s="2">
        <v>1</v>
      </c>
      <c r="K677" s="2" t="s">
        <v>1915</v>
      </c>
      <c r="L677" s="2" t="str">
        <f>VLOOKUP(B677, Course!$A$1:$O$933, 14, FALSE)</f>
        <v>UK</v>
      </c>
      <c r="M677" s="2">
        <v>1</v>
      </c>
    </row>
    <row r="678" spans="1:13" ht="15.75" hidden="1" customHeight="1" x14ac:dyDescent="0.2">
      <c r="A678" s="2">
        <v>677</v>
      </c>
      <c r="B678" s="2">
        <v>58</v>
      </c>
      <c r="C678" s="2">
        <v>95</v>
      </c>
      <c r="D678" s="2" t="s">
        <v>538</v>
      </c>
      <c r="E678" s="2" t="str">
        <f t="shared" si="2"/>
        <v>1295UK03PT</v>
      </c>
      <c r="F678" s="2">
        <f>VLOOKUP(B678,Course!$A$2:$R$329,2,FALSE)</f>
        <v>0</v>
      </c>
      <c r="G678" s="2">
        <f>VLOOKUP(B678, Course!$A$2:$L$950, 8, FALSE)</f>
        <v>12</v>
      </c>
      <c r="H678" s="2">
        <v>3</v>
      </c>
      <c r="I678" s="2">
        <v>1</v>
      </c>
      <c r="K678" s="2" t="s">
        <v>1915</v>
      </c>
      <c r="L678" s="2" t="str">
        <f>VLOOKUP(B678, Course!$A$1:$O$933, 14, FALSE)</f>
        <v>UK</v>
      </c>
      <c r="M678" s="2">
        <v>1</v>
      </c>
    </row>
    <row r="679" spans="1:13" ht="15.75" hidden="1" customHeight="1" x14ac:dyDescent="0.2">
      <c r="A679" s="2">
        <v>678</v>
      </c>
      <c r="B679" s="2">
        <v>58</v>
      </c>
      <c r="C679" s="2">
        <v>96</v>
      </c>
      <c r="D679" s="2" t="s">
        <v>538</v>
      </c>
      <c r="E679" s="2" t="str">
        <f t="shared" si="2"/>
        <v>1296UK03PT</v>
      </c>
      <c r="F679" s="2">
        <f>VLOOKUP(B679,Course!$A$2:$R$329,2,FALSE)</f>
        <v>0</v>
      </c>
      <c r="G679" s="2">
        <f>VLOOKUP(B679, Course!$A$2:$L$950, 8, FALSE)</f>
        <v>12</v>
      </c>
      <c r="H679" s="2">
        <v>3</v>
      </c>
      <c r="I679" s="2">
        <v>1</v>
      </c>
      <c r="K679" s="2" t="s">
        <v>1915</v>
      </c>
      <c r="L679" s="2" t="str">
        <f>VLOOKUP(B679, Course!$A$1:$O$933, 14, FALSE)</f>
        <v>UK</v>
      </c>
      <c r="M679" s="2">
        <v>1</v>
      </c>
    </row>
    <row r="680" spans="1:13" ht="15.75" hidden="1" customHeight="1" x14ac:dyDescent="0.2">
      <c r="A680" s="2">
        <v>679</v>
      </c>
      <c r="B680" s="2">
        <v>59</v>
      </c>
      <c r="C680" s="2">
        <v>85</v>
      </c>
      <c r="D680" s="2" t="s">
        <v>542</v>
      </c>
      <c r="E680" s="2" t="str">
        <f t="shared" si="2"/>
        <v>1285WH03PT</v>
      </c>
      <c r="F680" s="2" t="str">
        <f>VLOOKUP(B680,Course!$A$2:$R$329,2,FALSE)</f>
        <v>World History</v>
      </c>
      <c r="G680" s="2">
        <f>VLOOKUP(B680, Course!$A$2:$L$950, 8, FALSE)</f>
        <v>12</v>
      </c>
      <c r="H680" s="2">
        <v>3</v>
      </c>
      <c r="I680" s="2">
        <v>1</v>
      </c>
      <c r="K680" s="2" t="s">
        <v>1915</v>
      </c>
      <c r="L680" s="2" t="str">
        <f>VLOOKUP(B680, Course!$A$1:$O$933, 14, FALSE)</f>
        <v>WH</v>
      </c>
      <c r="M680" s="2">
        <v>1</v>
      </c>
    </row>
    <row r="681" spans="1:13" ht="15.75" hidden="1" customHeight="1" x14ac:dyDescent="0.2">
      <c r="A681" s="2">
        <v>680</v>
      </c>
      <c r="B681" s="2">
        <v>59</v>
      </c>
      <c r="C681" s="2">
        <v>86</v>
      </c>
      <c r="D681" s="2" t="s">
        <v>542</v>
      </c>
      <c r="E681" s="2" t="str">
        <f t="shared" si="2"/>
        <v>1286WH03PT</v>
      </c>
      <c r="F681" s="2" t="str">
        <f>VLOOKUP(B681,Course!$A$2:$R$329,2,FALSE)</f>
        <v>World History</v>
      </c>
      <c r="G681" s="2">
        <f>VLOOKUP(B681, Course!$A$2:$L$950, 8, FALSE)</f>
        <v>12</v>
      </c>
      <c r="H681" s="2">
        <v>3</v>
      </c>
      <c r="I681" s="2">
        <v>1</v>
      </c>
      <c r="K681" s="2" t="s">
        <v>1915</v>
      </c>
      <c r="L681" s="2" t="str">
        <f>VLOOKUP(B681, Course!$A$1:$O$933, 14, FALSE)</f>
        <v>WH</v>
      </c>
      <c r="M681" s="2">
        <v>1</v>
      </c>
    </row>
    <row r="682" spans="1:13" ht="15.75" hidden="1" customHeight="1" x14ac:dyDescent="0.2">
      <c r="A682" s="2">
        <v>681</v>
      </c>
      <c r="B682" s="2">
        <v>59</v>
      </c>
      <c r="C682" s="2">
        <v>87</v>
      </c>
      <c r="D682" s="2" t="s">
        <v>542</v>
      </c>
      <c r="E682" s="2" t="str">
        <f t="shared" si="2"/>
        <v>1287WH03PT</v>
      </c>
      <c r="F682" s="2" t="str">
        <f>VLOOKUP(B682,Course!$A$2:$R$329,2,FALSE)</f>
        <v>World History</v>
      </c>
      <c r="G682" s="2">
        <f>VLOOKUP(B682, Course!$A$2:$L$950, 8, FALSE)</f>
        <v>12</v>
      </c>
      <c r="H682" s="2">
        <v>3</v>
      </c>
      <c r="I682" s="2">
        <v>1</v>
      </c>
      <c r="K682" s="2" t="s">
        <v>1915</v>
      </c>
      <c r="L682" s="2" t="str">
        <f>VLOOKUP(B682, Course!$A$1:$O$933, 14, FALSE)</f>
        <v>WH</v>
      </c>
      <c r="M682" s="2">
        <v>1</v>
      </c>
    </row>
    <row r="683" spans="1:13" ht="15.75" hidden="1" customHeight="1" x14ac:dyDescent="0.2">
      <c r="A683" s="2">
        <v>682</v>
      </c>
      <c r="B683" s="2">
        <v>59</v>
      </c>
      <c r="C683" s="2">
        <v>88</v>
      </c>
      <c r="D683" s="2" t="s">
        <v>542</v>
      </c>
      <c r="E683" s="2" t="str">
        <f t="shared" si="2"/>
        <v>1288WH03PT</v>
      </c>
      <c r="F683" s="2" t="str">
        <f>VLOOKUP(B683,Course!$A$2:$R$329,2,FALSE)</f>
        <v>World History</v>
      </c>
      <c r="G683" s="2">
        <f>VLOOKUP(B683, Course!$A$2:$L$950, 8, FALSE)</f>
        <v>12</v>
      </c>
      <c r="H683" s="2">
        <v>3</v>
      </c>
      <c r="I683" s="2">
        <v>1</v>
      </c>
      <c r="K683" s="2" t="s">
        <v>1915</v>
      </c>
      <c r="L683" s="2" t="str">
        <f>VLOOKUP(B683, Course!$A$1:$O$933, 14, FALSE)</f>
        <v>WH</v>
      </c>
      <c r="M683" s="2">
        <v>1</v>
      </c>
    </row>
    <row r="684" spans="1:13" ht="15.75" hidden="1" customHeight="1" x14ac:dyDescent="0.2">
      <c r="A684" s="2">
        <v>683</v>
      </c>
      <c r="B684" s="2">
        <v>59</v>
      </c>
      <c r="C684" s="2">
        <v>89</v>
      </c>
      <c r="D684" s="2" t="s">
        <v>542</v>
      </c>
      <c r="E684" s="2" t="str">
        <f t="shared" si="2"/>
        <v>1289WH03PT</v>
      </c>
      <c r="F684" s="2" t="str">
        <f>VLOOKUP(B684,Course!$A$2:$R$329,2,FALSE)</f>
        <v>World History</v>
      </c>
      <c r="G684" s="2">
        <f>VLOOKUP(B684, Course!$A$2:$L$950, 8, FALSE)</f>
        <v>12</v>
      </c>
      <c r="H684" s="2">
        <v>3</v>
      </c>
      <c r="I684" s="2">
        <v>1</v>
      </c>
      <c r="K684" s="2" t="s">
        <v>1915</v>
      </c>
      <c r="L684" s="2" t="str">
        <f>VLOOKUP(B684, Course!$A$1:$O$933, 14, FALSE)</f>
        <v>WH</v>
      </c>
      <c r="M684" s="2">
        <v>1</v>
      </c>
    </row>
    <row r="685" spans="1:13" ht="15.75" hidden="1" customHeight="1" x14ac:dyDescent="0.2">
      <c r="A685" s="2">
        <v>684</v>
      </c>
      <c r="B685" s="2">
        <v>59</v>
      </c>
      <c r="C685" s="2">
        <v>90</v>
      </c>
      <c r="D685" s="2" t="s">
        <v>542</v>
      </c>
      <c r="E685" s="2" t="str">
        <f t="shared" si="2"/>
        <v>1290WH03PT</v>
      </c>
      <c r="F685" s="2" t="str">
        <f>VLOOKUP(B685,Course!$A$2:$R$329,2,FALSE)</f>
        <v>World History</v>
      </c>
      <c r="G685" s="2">
        <f>VLOOKUP(B685, Course!$A$2:$L$950, 8, FALSE)</f>
        <v>12</v>
      </c>
      <c r="H685" s="2">
        <v>3</v>
      </c>
      <c r="I685" s="2">
        <v>1</v>
      </c>
      <c r="K685" s="2" t="s">
        <v>1915</v>
      </c>
      <c r="L685" s="2" t="str">
        <f>VLOOKUP(B685, Course!$A$1:$O$933, 14, FALSE)</f>
        <v>WH</v>
      </c>
      <c r="M685" s="2">
        <v>1</v>
      </c>
    </row>
    <row r="686" spans="1:13" ht="15.75" hidden="1" customHeight="1" x14ac:dyDescent="0.2">
      <c r="A686" s="2">
        <v>685</v>
      </c>
      <c r="B686" s="2">
        <v>59</v>
      </c>
      <c r="C686" s="2">
        <v>91</v>
      </c>
      <c r="D686" s="2" t="s">
        <v>542</v>
      </c>
      <c r="E686" s="2" t="str">
        <f t="shared" si="2"/>
        <v>1291WH03PT</v>
      </c>
      <c r="F686" s="2" t="str">
        <f>VLOOKUP(B686,Course!$A$2:$R$329,2,FALSE)</f>
        <v>World History</v>
      </c>
      <c r="G686" s="2">
        <f>VLOOKUP(B686, Course!$A$2:$L$950, 8, FALSE)</f>
        <v>12</v>
      </c>
      <c r="H686" s="2">
        <v>3</v>
      </c>
      <c r="I686" s="2">
        <v>1</v>
      </c>
      <c r="K686" s="2" t="s">
        <v>1915</v>
      </c>
      <c r="L686" s="2" t="str">
        <f>VLOOKUP(B686, Course!$A$1:$O$933, 14, FALSE)</f>
        <v>WH</v>
      </c>
      <c r="M686" s="2">
        <v>1</v>
      </c>
    </row>
    <row r="687" spans="1:13" ht="15.75" hidden="1" customHeight="1" x14ac:dyDescent="0.2">
      <c r="A687" s="2">
        <v>686</v>
      </c>
      <c r="B687" s="2">
        <v>59</v>
      </c>
      <c r="C687" s="2">
        <v>92</v>
      </c>
      <c r="D687" s="2" t="s">
        <v>542</v>
      </c>
      <c r="E687" s="2" t="str">
        <f t="shared" si="2"/>
        <v>1292WH03PT</v>
      </c>
      <c r="F687" s="2" t="str">
        <f>VLOOKUP(B687,Course!$A$2:$R$329,2,FALSE)</f>
        <v>World History</v>
      </c>
      <c r="G687" s="2">
        <f>VLOOKUP(B687, Course!$A$2:$L$950, 8, FALSE)</f>
        <v>12</v>
      </c>
      <c r="H687" s="2">
        <v>3</v>
      </c>
      <c r="I687" s="2">
        <v>1</v>
      </c>
      <c r="K687" s="2" t="s">
        <v>1915</v>
      </c>
      <c r="L687" s="2" t="str">
        <f>VLOOKUP(B687, Course!$A$1:$O$933, 14, FALSE)</f>
        <v>WH</v>
      </c>
      <c r="M687" s="2">
        <v>1</v>
      </c>
    </row>
    <row r="688" spans="1:13" ht="15.75" hidden="1" customHeight="1" x14ac:dyDescent="0.2">
      <c r="A688" s="2">
        <v>687</v>
      </c>
      <c r="B688" s="2">
        <v>59</v>
      </c>
      <c r="C688" s="2">
        <v>93</v>
      </c>
      <c r="D688" s="2" t="s">
        <v>542</v>
      </c>
      <c r="E688" s="2" t="str">
        <f t="shared" si="2"/>
        <v>1293WH03PT</v>
      </c>
      <c r="F688" s="2" t="str">
        <f>VLOOKUP(B688,Course!$A$2:$R$329,2,FALSE)</f>
        <v>World History</v>
      </c>
      <c r="G688" s="2">
        <f>VLOOKUP(B688, Course!$A$2:$L$950, 8, FALSE)</f>
        <v>12</v>
      </c>
      <c r="H688" s="2">
        <v>3</v>
      </c>
      <c r="I688" s="2">
        <v>1</v>
      </c>
      <c r="K688" s="2" t="s">
        <v>1915</v>
      </c>
      <c r="L688" s="2" t="str">
        <f>VLOOKUP(B688, Course!$A$1:$O$933, 14, FALSE)</f>
        <v>WH</v>
      </c>
      <c r="M688" s="2">
        <v>1</v>
      </c>
    </row>
    <row r="689" spans="1:13" ht="15.75" hidden="1" customHeight="1" x14ac:dyDescent="0.2">
      <c r="A689" s="2">
        <v>688</v>
      </c>
      <c r="B689" s="2">
        <v>59</v>
      </c>
      <c r="C689" s="2">
        <v>94</v>
      </c>
      <c r="D689" s="2" t="s">
        <v>542</v>
      </c>
      <c r="E689" s="2" t="str">
        <f t="shared" si="2"/>
        <v>1294WH03PT</v>
      </c>
      <c r="F689" s="2" t="str">
        <f>VLOOKUP(B689,Course!$A$2:$R$329,2,FALSE)</f>
        <v>World History</v>
      </c>
      <c r="G689" s="2">
        <f>VLOOKUP(B689, Course!$A$2:$L$950, 8, FALSE)</f>
        <v>12</v>
      </c>
      <c r="H689" s="2">
        <v>3</v>
      </c>
      <c r="I689" s="2">
        <v>1</v>
      </c>
      <c r="K689" s="2" t="s">
        <v>1915</v>
      </c>
      <c r="L689" s="2" t="str">
        <f>VLOOKUP(B689, Course!$A$1:$O$933, 14, FALSE)</f>
        <v>WH</v>
      </c>
      <c r="M689" s="2">
        <v>1</v>
      </c>
    </row>
    <row r="690" spans="1:13" ht="15.75" hidden="1" customHeight="1" x14ac:dyDescent="0.2">
      <c r="A690" s="2">
        <v>689</v>
      </c>
      <c r="B690" s="2">
        <v>59</v>
      </c>
      <c r="C690" s="2">
        <v>95</v>
      </c>
      <c r="D690" s="2" t="s">
        <v>542</v>
      </c>
      <c r="E690" s="2" t="str">
        <f t="shared" si="2"/>
        <v>1295WH03PT</v>
      </c>
      <c r="F690" s="2" t="str">
        <f>VLOOKUP(B690,Course!$A$2:$R$329,2,FALSE)</f>
        <v>World History</v>
      </c>
      <c r="G690" s="2">
        <f>VLOOKUP(B690, Course!$A$2:$L$950, 8, FALSE)</f>
        <v>12</v>
      </c>
      <c r="H690" s="2">
        <v>3</v>
      </c>
      <c r="I690" s="2">
        <v>1</v>
      </c>
      <c r="K690" s="2" t="s">
        <v>1915</v>
      </c>
      <c r="L690" s="2" t="str">
        <f>VLOOKUP(B690, Course!$A$1:$O$933, 14, FALSE)</f>
        <v>WH</v>
      </c>
      <c r="M690" s="2">
        <v>1</v>
      </c>
    </row>
    <row r="691" spans="1:13" ht="15.75" hidden="1" customHeight="1" x14ac:dyDescent="0.2">
      <c r="A691" s="2">
        <v>690</v>
      </c>
      <c r="B691" s="2">
        <v>59</v>
      </c>
      <c r="C691" s="2">
        <v>96</v>
      </c>
      <c r="D691" s="2" t="s">
        <v>542</v>
      </c>
      <c r="E691" s="2" t="str">
        <f t="shared" si="2"/>
        <v>1296WH03PT</v>
      </c>
      <c r="F691" s="2" t="str">
        <f>VLOOKUP(B691,Course!$A$2:$R$329,2,FALSE)</f>
        <v>World History</v>
      </c>
      <c r="G691" s="2">
        <f>VLOOKUP(B691, Course!$A$2:$L$950, 8, FALSE)</f>
        <v>12</v>
      </c>
      <c r="H691" s="2">
        <v>3</v>
      </c>
      <c r="I691" s="2">
        <v>1</v>
      </c>
      <c r="K691" s="2" t="s">
        <v>1915</v>
      </c>
      <c r="L691" s="2" t="str">
        <f>VLOOKUP(B691, Course!$A$1:$O$933, 14, FALSE)</f>
        <v>WH</v>
      </c>
      <c r="M691" s="2">
        <v>1</v>
      </c>
    </row>
    <row r="692" spans="1:13" ht="15.75" hidden="1" customHeight="1" x14ac:dyDescent="0.2">
      <c r="A692" s="2">
        <v>691</v>
      </c>
      <c r="B692" s="2">
        <v>60</v>
      </c>
      <c r="C692" s="2">
        <v>97</v>
      </c>
      <c r="D692" s="2" t="s">
        <v>546</v>
      </c>
      <c r="E692" s="2" t="str">
        <f t="shared" si="2"/>
        <v>1297NT03PT</v>
      </c>
      <c r="F692" s="2" t="str">
        <f>VLOOKUP(B692,Course!$A$2:$R$329,2,FALSE)</f>
        <v>Biblical Studies I: New Testament Survey</v>
      </c>
      <c r="G692" s="2">
        <f>VLOOKUP(B692, Course!$A$2:$L$950, 8, FALSE)</f>
        <v>12</v>
      </c>
      <c r="H692" s="2">
        <v>3</v>
      </c>
      <c r="I692" s="2">
        <v>1</v>
      </c>
      <c r="K692" s="2" t="s">
        <v>1915</v>
      </c>
      <c r="L692" s="2" t="str">
        <f>VLOOKUP(B692, Course!$A$1:$O$933, 14, FALSE)</f>
        <v>NT</v>
      </c>
      <c r="M692" s="2">
        <v>1</v>
      </c>
    </row>
    <row r="693" spans="1:13" ht="15.75" hidden="1" customHeight="1" x14ac:dyDescent="0.2">
      <c r="A693" s="2">
        <v>692</v>
      </c>
      <c r="B693" s="2">
        <v>60</v>
      </c>
      <c r="C693" s="2">
        <v>98</v>
      </c>
      <c r="D693" s="2" t="s">
        <v>546</v>
      </c>
      <c r="E693" s="2" t="str">
        <f t="shared" si="2"/>
        <v>1298NT03PT</v>
      </c>
      <c r="F693" s="2" t="str">
        <f>VLOOKUP(B693,Course!$A$2:$R$329,2,FALSE)</f>
        <v>Biblical Studies I: New Testament Survey</v>
      </c>
      <c r="G693" s="2">
        <f>VLOOKUP(B693, Course!$A$2:$L$950, 8, FALSE)</f>
        <v>12</v>
      </c>
      <c r="H693" s="2">
        <v>3</v>
      </c>
      <c r="I693" s="2">
        <v>1</v>
      </c>
      <c r="K693" s="2" t="s">
        <v>1915</v>
      </c>
      <c r="L693" s="2" t="str">
        <f>VLOOKUP(B693, Course!$A$1:$O$933, 14, FALSE)</f>
        <v>NT</v>
      </c>
      <c r="M693" s="2">
        <v>1</v>
      </c>
    </row>
    <row r="694" spans="1:13" ht="15.75" hidden="1" customHeight="1" x14ac:dyDescent="0.2">
      <c r="A694" s="2">
        <v>693</v>
      </c>
      <c r="B694" s="2">
        <v>60</v>
      </c>
      <c r="C694" s="2">
        <v>99</v>
      </c>
      <c r="D694" s="2" t="s">
        <v>546</v>
      </c>
      <c r="E694" s="2" t="str">
        <f t="shared" si="2"/>
        <v>1299NT03PT</v>
      </c>
      <c r="F694" s="2" t="str">
        <f>VLOOKUP(B694,Course!$A$2:$R$329,2,FALSE)</f>
        <v>Biblical Studies I: New Testament Survey</v>
      </c>
      <c r="G694" s="2">
        <f>VLOOKUP(B694, Course!$A$2:$L$950, 8, FALSE)</f>
        <v>12</v>
      </c>
      <c r="H694" s="2">
        <v>3</v>
      </c>
      <c r="I694" s="2">
        <v>1</v>
      </c>
      <c r="K694" s="2" t="s">
        <v>1915</v>
      </c>
      <c r="L694" s="2" t="str">
        <f>VLOOKUP(B694, Course!$A$1:$O$933, 14, FALSE)</f>
        <v>NT</v>
      </c>
      <c r="M694" s="2">
        <v>1</v>
      </c>
    </row>
    <row r="695" spans="1:13" ht="15.75" hidden="1" customHeight="1" x14ac:dyDescent="0.2">
      <c r="A695" s="2">
        <v>694</v>
      </c>
      <c r="B695" s="2">
        <v>60</v>
      </c>
      <c r="C695" s="2">
        <v>100</v>
      </c>
      <c r="D695" s="2" t="s">
        <v>546</v>
      </c>
      <c r="E695" s="2" t="str">
        <f t="shared" si="2"/>
        <v>1200NT03PT</v>
      </c>
      <c r="F695" s="2" t="str">
        <f>VLOOKUP(B695,Course!$A$2:$R$329,2,FALSE)</f>
        <v>Biblical Studies I: New Testament Survey</v>
      </c>
      <c r="G695" s="2">
        <f>VLOOKUP(B695, Course!$A$2:$L$950, 8, FALSE)</f>
        <v>12</v>
      </c>
      <c r="H695" s="2">
        <v>3</v>
      </c>
      <c r="I695" s="2">
        <v>1</v>
      </c>
      <c r="K695" s="2" t="s">
        <v>1915</v>
      </c>
      <c r="L695" s="2" t="str">
        <f>VLOOKUP(B695, Course!$A$1:$O$933, 14, FALSE)</f>
        <v>NT</v>
      </c>
      <c r="M695" s="2">
        <v>1</v>
      </c>
    </row>
    <row r="696" spans="1:13" ht="15.75" hidden="1" customHeight="1" x14ac:dyDescent="0.2">
      <c r="A696" s="2">
        <v>695</v>
      </c>
      <c r="B696" s="2">
        <v>60</v>
      </c>
      <c r="C696" s="2">
        <v>101</v>
      </c>
      <c r="D696" s="2" t="s">
        <v>546</v>
      </c>
      <c r="E696" s="2" t="str">
        <f t="shared" si="2"/>
        <v>1201NT03PT</v>
      </c>
      <c r="F696" s="2" t="str">
        <f>VLOOKUP(B696,Course!$A$2:$R$329,2,FALSE)</f>
        <v>Biblical Studies I: New Testament Survey</v>
      </c>
      <c r="G696" s="2">
        <f>VLOOKUP(B696, Course!$A$2:$L$950, 8, FALSE)</f>
        <v>12</v>
      </c>
      <c r="H696" s="2">
        <v>3</v>
      </c>
      <c r="I696" s="2">
        <v>1</v>
      </c>
      <c r="K696" s="2" t="s">
        <v>1915</v>
      </c>
      <c r="L696" s="2" t="str">
        <f>VLOOKUP(B696, Course!$A$1:$O$933, 14, FALSE)</f>
        <v>NT</v>
      </c>
      <c r="M696" s="2">
        <v>1</v>
      </c>
    </row>
    <row r="697" spans="1:13" ht="15.75" hidden="1" customHeight="1" x14ac:dyDescent="0.2">
      <c r="A697" s="2">
        <v>696</v>
      </c>
      <c r="B697" s="2">
        <v>60</v>
      </c>
      <c r="C697" s="2">
        <v>102</v>
      </c>
      <c r="D697" s="2" t="s">
        <v>546</v>
      </c>
      <c r="E697" s="2" t="str">
        <f t="shared" si="2"/>
        <v>1202NT03PT</v>
      </c>
      <c r="F697" s="2" t="str">
        <f>VLOOKUP(B697,Course!$A$2:$R$329,2,FALSE)</f>
        <v>Biblical Studies I: New Testament Survey</v>
      </c>
      <c r="G697" s="2">
        <f>VLOOKUP(B697, Course!$A$2:$L$950, 8, FALSE)</f>
        <v>12</v>
      </c>
      <c r="H697" s="2">
        <v>3</v>
      </c>
      <c r="I697" s="2">
        <v>1</v>
      </c>
      <c r="K697" s="2" t="s">
        <v>1915</v>
      </c>
      <c r="L697" s="2" t="str">
        <f>VLOOKUP(B697, Course!$A$1:$O$933, 14, FALSE)</f>
        <v>NT</v>
      </c>
      <c r="M697" s="2">
        <v>1</v>
      </c>
    </row>
    <row r="698" spans="1:13" ht="15.75" hidden="1" customHeight="1" x14ac:dyDescent="0.2">
      <c r="A698" s="2">
        <v>697</v>
      </c>
      <c r="B698" s="2">
        <v>61</v>
      </c>
      <c r="C698" s="2">
        <v>97</v>
      </c>
      <c r="D698" s="2" t="s">
        <v>548</v>
      </c>
      <c r="E698" s="2" t="str">
        <f t="shared" si="2"/>
        <v>1297AL03PT</v>
      </c>
      <c r="F698" s="2">
        <f>VLOOKUP(B698,Course!$A$2:$R$329,2,FALSE)</f>
        <v>0</v>
      </c>
      <c r="G698" s="2">
        <f>VLOOKUP(B698, Course!$A$2:$L$950, 8, FALSE)</f>
        <v>12</v>
      </c>
      <c r="H698" s="2">
        <v>3</v>
      </c>
      <c r="I698" s="2">
        <v>1</v>
      </c>
      <c r="K698" s="2" t="s">
        <v>1915</v>
      </c>
      <c r="L698" s="2" t="str">
        <f>VLOOKUP(B698, Course!$A$1:$O$933, 14, FALSE)</f>
        <v>AL</v>
      </c>
      <c r="M698" s="2">
        <v>1</v>
      </c>
    </row>
    <row r="699" spans="1:13" ht="15.75" hidden="1" customHeight="1" x14ac:dyDescent="0.2">
      <c r="A699" s="2">
        <v>698</v>
      </c>
      <c r="B699" s="2">
        <v>61</v>
      </c>
      <c r="C699" s="2">
        <v>98</v>
      </c>
      <c r="D699" s="2" t="s">
        <v>548</v>
      </c>
      <c r="E699" s="2" t="str">
        <f t="shared" si="2"/>
        <v>1298AL03PT</v>
      </c>
      <c r="F699" s="2">
        <f>VLOOKUP(B699,Course!$A$2:$R$329,2,FALSE)</f>
        <v>0</v>
      </c>
      <c r="G699" s="2">
        <f>VLOOKUP(B699, Course!$A$2:$L$950, 8, FALSE)</f>
        <v>12</v>
      </c>
      <c r="H699" s="2">
        <v>3</v>
      </c>
      <c r="I699" s="2">
        <v>1</v>
      </c>
      <c r="K699" s="2" t="s">
        <v>1915</v>
      </c>
      <c r="L699" s="2" t="str">
        <f>VLOOKUP(B699, Course!$A$1:$O$933, 14, FALSE)</f>
        <v>AL</v>
      </c>
      <c r="M699" s="2">
        <v>1</v>
      </c>
    </row>
    <row r="700" spans="1:13" ht="15.75" hidden="1" customHeight="1" x14ac:dyDescent="0.2">
      <c r="A700" s="2">
        <v>699</v>
      </c>
      <c r="B700" s="2">
        <v>61</v>
      </c>
      <c r="C700" s="2">
        <v>99</v>
      </c>
      <c r="D700" s="2" t="s">
        <v>548</v>
      </c>
      <c r="E700" s="2" t="str">
        <f t="shared" si="2"/>
        <v>1299AL03PT</v>
      </c>
      <c r="F700" s="2">
        <f>VLOOKUP(B700,Course!$A$2:$R$329,2,FALSE)</f>
        <v>0</v>
      </c>
      <c r="G700" s="2">
        <f>VLOOKUP(B700, Course!$A$2:$L$950, 8, FALSE)</f>
        <v>12</v>
      </c>
      <c r="H700" s="2">
        <v>3</v>
      </c>
      <c r="I700" s="2">
        <v>1</v>
      </c>
      <c r="K700" s="2" t="s">
        <v>1915</v>
      </c>
      <c r="L700" s="2" t="str">
        <f>VLOOKUP(B700, Course!$A$1:$O$933, 14, FALSE)</f>
        <v>AL</v>
      </c>
      <c r="M700" s="2">
        <v>1</v>
      </c>
    </row>
    <row r="701" spans="1:13" ht="15.75" hidden="1" customHeight="1" x14ac:dyDescent="0.2">
      <c r="A701" s="2">
        <v>700</v>
      </c>
      <c r="B701" s="2">
        <v>61</v>
      </c>
      <c r="C701" s="2">
        <v>100</v>
      </c>
      <c r="D701" s="2" t="s">
        <v>548</v>
      </c>
      <c r="E701" s="2" t="str">
        <f t="shared" si="2"/>
        <v>1200AL03PT</v>
      </c>
      <c r="F701" s="2">
        <f>VLOOKUP(B701,Course!$A$2:$R$329,2,FALSE)</f>
        <v>0</v>
      </c>
      <c r="G701" s="2">
        <f>VLOOKUP(B701, Course!$A$2:$L$950, 8, FALSE)</f>
        <v>12</v>
      </c>
      <c r="H701" s="2">
        <v>3</v>
      </c>
      <c r="I701" s="2">
        <v>1</v>
      </c>
      <c r="K701" s="2" t="s">
        <v>1915</v>
      </c>
      <c r="L701" s="2" t="str">
        <f>VLOOKUP(B701, Course!$A$1:$O$933, 14, FALSE)</f>
        <v>AL</v>
      </c>
      <c r="M701" s="2">
        <v>1</v>
      </c>
    </row>
    <row r="702" spans="1:13" ht="15.75" hidden="1" customHeight="1" x14ac:dyDescent="0.2">
      <c r="A702" s="2">
        <v>701</v>
      </c>
      <c r="B702" s="2">
        <v>61</v>
      </c>
      <c r="C702" s="2">
        <v>101</v>
      </c>
      <c r="D702" s="2" t="s">
        <v>548</v>
      </c>
      <c r="E702" s="2" t="str">
        <f t="shared" si="2"/>
        <v>1201AL03PT</v>
      </c>
      <c r="F702" s="2">
        <f>VLOOKUP(B702,Course!$A$2:$R$329,2,FALSE)</f>
        <v>0</v>
      </c>
      <c r="G702" s="2">
        <f>VLOOKUP(B702, Course!$A$2:$L$950, 8, FALSE)</f>
        <v>12</v>
      </c>
      <c r="H702" s="2">
        <v>3</v>
      </c>
      <c r="I702" s="2">
        <v>1</v>
      </c>
      <c r="K702" s="2" t="s">
        <v>1915</v>
      </c>
      <c r="L702" s="2" t="str">
        <f>VLOOKUP(B702, Course!$A$1:$O$933, 14, FALSE)</f>
        <v>AL</v>
      </c>
      <c r="M702" s="2">
        <v>1</v>
      </c>
    </row>
    <row r="703" spans="1:13" ht="15.75" hidden="1" customHeight="1" x14ac:dyDescent="0.2">
      <c r="A703" s="2">
        <v>702</v>
      </c>
      <c r="B703" s="2">
        <v>61</v>
      </c>
      <c r="C703" s="2">
        <v>102</v>
      </c>
      <c r="D703" s="2" t="s">
        <v>548</v>
      </c>
      <c r="E703" s="2" t="str">
        <f t="shared" si="2"/>
        <v>1202AL03PT</v>
      </c>
      <c r="F703" s="2">
        <f>VLOOKUP(B703,Course!$A$2:$R$329,2,FALSE)</f>
        <v>0</v>
      </c>
      <c r="G703" s="2">
        <f>VLOOKUP(B703, Course!$A$2:$L$950, 8, FALSE)</f>
        <v>12</v>
      </c>
      <c r="H703" s="2">
        <v>3</v>
      </c>
      <c r="I703" s="2">
        <v>1</v>
      </c>
      <c r="K703" s="2" t="s">
        <v>1915</v>
      </c>
      <c r="L703" s="2" t="str">
        <f>VLOOKUP(B703, Course!$A$1:$O$933, 14, FALSE)</f>
        <v>AL</v>
      </c>
      <c r="M703" s="2">
        <v>1</v>
      </c>
    </row>
    <row r="704" spans="1:13" ht="15.75" hidden="1" customHeight="1" x14ac:dyDescent="0.2">
      <c r="A704" s="2">
        <v>703</v>
      </c>
      <c r="B704" s="2">
        <v>61</v>
      </c>
      <c r="C704" s="2">
        <v>103</v>
      </c>
      <c r="D704" s="2" t="s">
        <v>548</v>
      </c>
      <c r="E704" s="2" t="str">
        <f t="shared" si="2"/>
        <v>1203AL03PT</v>
      </c>
      <c r="F704" s="2">
        <f>VLOOKUP(B704,Course!$A$2:$R$329,2,FALSE)</f>
        <v>0</v>
      </c>
      <c r="G704" s="2">
        <f>VLOOKUP(B704, Course!$A$2:$L$950, 8, FALSE)</f>
        <v>12</v>
      </c>
      <c r="H704" s="2">
        <v>3</v>
      </c>
      <c r="I704" s="2">
        <v>1</v>
      </c>
      <c r="K704" s="2" t="s">
        <v>1915</v>
      </c>
      <c r="L704" s="2" t="str">
        <f>VLOOKUP(B704, Course!$A$1:$O$933, 14, FALSE)</f>
        <v>AL</v>
      </c>
      <c r="M704" s="2">
        <v>1</v>
      </c>
    </row>
    <row r="705" spans="1:13" ht="15.75" hidden="1" customHeight="1" x14ac:dyDescent="0.2">
      <c r="A705" s="2">
        <v>704</v>
      </c>
      <c r="B705" s="2">
        <v>61</v>
      </c>
      <c r="C705" s="2">
        <v>104</v>
      </c>
      <c r="D705" s="2" t="s">
        <v>548</v>
      </c>
      <c r="E705" s="2" t="str">
        <f t="shared" si="2"/>
        <v>1204AL03PT</v>
      </c>
      <c r="F705" s="2">
        <f>VLOOKUP(B705,Course!$A$2:$R$329,2,FALSE)</f>
        <v>0</v>
      </c>
      <c r="G705" s="2">
        <f>VLOOKUP(B705, Course!$A$2:$L$950, 8, FALSE)</f>
        <v>12</v>
      </c>
      <c r="H705" s="2">
        <v>3</v>
      </c>
      <c r="I705" s="2">
        <v>1</v>
      </c>
      <c r="K705" s="2" t="s">
        <v>1915</v>
      </c>
      <c r="L705" s="2" t="str">
        <f>VLOOKUP(B705, Course!$A$1:$O$933, 14, FALSE)</f>
        <v>AL</v>
      </c>
      <c r="M705" s="2">
        <v>1</v>
      </c>
    </row>
    <row r="706" spans="1:13" ht="15.75" hidden="1" customHeight="1" x14ac:dyDescent="0.2">
      <c r="A706" s="2">
        <v>705</v>
      </c>
      <c r="B706" s="2">
        <v>61</v>
      </c>
      <c r="C706" s="2">
        <v>105</v>
      </c>
      <c r="D706" s="2" t="s">
        <v>548</v>
      </c>
      <c r="E706" s="2" t="str">
        <f t="shared" si="2"/>
        <v>1205AL03PT</v>
      </c>
      <c r="F706" s="2">
        <f>VLOOKUP(B706,Course!$A$2:$R$329,2,FALSE)</f>
        <v>0</v>
      </c>
      <c r="G706" s="2">
        <f>VLOOKUP(B706, Course!$A$2:$L$950, 8, FALSE)</f>
        <v>12</v>
      </c>
      <c r="H706" s="2">
        <v>3</v>
      </c>
      <c r="I706" s="2">
        <v>1</v>
      </c>
      <c r="K706" s="2" t="s">
        <v>1915</v>
      </c>
      <c r="L706" s="2" t="str">
        <f>VLOOKUP(B706, Course!$A$1:$O$933, 14, FALSE)</f>
        <v>AL</v>
      </c>
      <c r="M706" s="2">
        <v>1</v>
      </c>
    </row>
    <row r="707" spans="1:13" ht="15.75" hidden="1" customHeight="1" x14ac:dyDescent="0.2">
      <c r="A707" s="2">
        <v>706</v>
      </c>
      <c r="B707" s="2">
        <v>61</v>
      </c>
      <c r="C707" s="2">
        <v>106</v>
      </c>
      <c r="D707" s="2" t="s">
        <v>548</v>
      </c>
      <c r="E707" s="2" t="str">
        <f t="shared" si="2"/>
        <v>1206AL03PT</v>
      </c>
      <c r="F707" s="2">
        <f>VLOOKUP(B707,Course!$A$2:$R$329,2,FALSE)</f>
        <v>0</v>
      </c>
      <c r="G707" s="2">
        <f>VLOOKUP(B707, Course!$A$2:$L$950, 8, FALSE)</f>
        <v>12</v>
      </c>
      <c r="H707" s="2">
        <v>3</v>
      </c>
      <c r="I707" s="2">
        <v>1</v>
      </c>
      <c r="K707" s="2" t="s">
        <v>1915</v>
      </c>
      <c r="L707" s="2" t="str">
        <f>VLOOKUP(B707, Course!$A$1:$O$933, 14, FALSE)</f>
        <v>AL</v>
      </c>
      <c r="M707" s="2">
        <v>1</v>
      </c>
    </row>
    <row r="708" spans="1:13" ht="15.75" hidden="1" customHeight="1" x14ac:dyDescent="0.2">
      <c r="A708" s="2">
        <v>707</v>
      </c>
      <c r="B708" s="2">
        <v>61</v>
      </c>
      <c r="C708" s="2">
        <v>107</v>
      </c>
      <c r="D708" s="2" t="s">
        <v>548</v>
      </c>
      <c r="E708" s="2" t="str">
        <f t="shared" si="2"/>
        <v>1207AL03PT</v>
      </c>
      <c r="F708" s="2">
        <f>VLOOKUP(B708,Course!$A$2:$R$329,2,FALSE)</f>
        <v>0</v>
      </c>
      <c r="G708" s="2">
        <f>VLOOKUP(B708, Course!$A$2:$L$950, 8, FALSE)</f>
        <v>12</v>
      </c>
      <c r="H708" s="2">
        <v>3</v>
      </c>
      <c r="I708" s="2">
        <v>1</v>
      </c>
      <c r="K708" s="2" t="s">
        <v>1915</v>
      </c>
      <c r="L708" s="2" t="str">
        <f>VLOOKUP(B708, Course!$A$1:$O$933, 14, FALSE)</f>
        <v>AL</v>
      </c>
      <c r="M708" s="2">
        <v>1</v>
      </c>
    </row>
    <row r="709" spans="1:13" ht="15.75" hidden="1" customHeight="1" x14ac:dyDescent="0.2">
      <c r="A709" s="2">
        <v>708</v>
      </c>
      <c r="B709" s="2">
        <v>61</v>
      </c>
      <c r="C709" s="2">
        <v>108</v>
      </c>
      <c r="D709" s="2" t="s">
        <v>548</v>
      </c>
      <c r="E709" s="2" t="str">
        <f t="shared" si="2"/>
        <v>1208AL03PT</v>
      </c>
      <c r="F709" s="2">
        <f>VLOOKUP(B709,Course!$A$2:$R$329,2,FALSE)</f>
        <v>0</v>
      </c>
      <c r="G709" s="2">
        <f>VLOOKUP(B709, Course!$A$2:$L$950, 8, FALSE)</f>
        <v>12</v>
      </c>
      <c r="H709" s="2">
        <v>3</v>
      </c>
      <c r="I709" s="2">
        <v>1</v>
      </c>
      <c r="K709" s="2" t="s">
        <v>1915</v>
      </c>
      <c r="L709" s="2" t="str">
        <f>VLOOKUP(B709, Course!$A$1:$O$933, 14, FALSE)</f>
        <v>AL</v>
      </c>
      <c r="M709" s="2">
        <v>1</v>
      </c>
    </row>
    <row r="710" spans="1:13" ht="15.75" hidden="1" customHeight="1" x14ac:dyDescent="0.2">
      <c r="A710" s="2">
        <v>709</v>
      </c>
      <c r="B710" s="2">
        <v>62</v>
      </c>
      <c r="C710" s="2">
        <v>97</v>
      </c>
      <c r="D710" s="2" t="s">
        <v>476</v>
      </c>
      <c r="E710" s="2" t="str">
        <f t="shared" si="2"/>
        <v>1297EN03PT</v>
      </c>
      <c r="F710" s="2">
        <f>VLOOKUP(B710,Course!$A$2:$R$329,2,FALSE)</f>
        <v>0</v>
      </c>
      <c r="G710" s="2">
        <f>VLOOKUP(B710, Course!$A$2:$L$950, 8, FALSE)</f>
        <v>12</v>
      </c>
      <c r="H710" s="2">
        <v>3</v>
      </c>
      <c r="I710" s="2">
        <v>1</v>
      </c>
      <c r="K710" s="2" t="s">
        <v>1915</v>
      </c>
      <c r="L710" s="2" t="str">
        <f>VLOOKUP(B710, Course!$A$1:$O$933, 14, FALSE)</f>
        <v>EN</v>
      </c>
      <c r="M710" s="2">
        <v>1</v>
      </c>
    </row>
    <row r="711" spans="1:13" ht="15.75" hidden="1" customHeight="1" x14ac:dyDescent="0.2">
      <c r="A711" s="2">
        <v>710</v>
      </c>
      <c r="B711" s="2">
        <v>62</v>
      </c>
      <c r="C711" s="2">
        <v>98</v>
      </c>
      <c r="D711" s="2" t="s">
        <v>476</v>
      </c>
      <c r="E711" s="2" t="str">
        <f t="shared" si="2"/>
        <v>1298EN03PT</v>
      </c>
      <c r="F711" s="2">
        <f>VLOOKUP(B711,Course!$A$2:$R$329,2,FALSE)</f>
        <v>0</v>
      </c>
      <c r="G711" s="2">
        <f>VLOOKUP(B711, Course!$A$2:$L$950, 8, FALSE)</f>
        <v>12</v>
      </c>
      <c r="H711" s="2">
        <v>3</v>
      </c>
      <c r="I711" s="2">
        <v>1</v>
      </c>
      <c r="K711" s="2" t="s">
        <v>1915</v>
      </c>
      <c r="L711" s="2" t="str">
        <f>VLOOKUP(B711, Course!$A$1:$O$933, 14, FALSE)</f>
        <v>EN</v>
      </c>
      <c r="M711" s="2">
        <v>1</v>
      </c>
    </row>
    <row r="712" spans="1:13" ht="15.75" hidden="1" customHeight="1" x14ac:dyDescent="0.2">
      <c r="A712" s="2">
        <v>711</v>
      </c>
      <c r="B712" s="2">
        <v>62</v>
      </c>
      <c r="C712" s="2">
        <v>99</v>
      </c>
      <c r="D712" s="2" t="s">
        <v>476</v>
      </c>
      <c r="E712" s="2" t="str">
        <f t="shared" si="2"/>
        <v>1299EN03PT</v>
      </c>
      <c r="F712" s="2">
        <f>VLOOKUP(B712,Course!$A$2:$R$329,2,FALSE)</f>
        <v>0</v>
      </c>
      <c r="G712" s="2">
        <f>VLOOKUP(B712, Course!$A$2:$L$950, 8, FALSE)</f>
        <v>12</v>
      </c>
      <c r="H712" s="2">
        <v>3</v>
      </c>
      <c r="I712" s="2">
        <v>1</v>
      </c>
      <c r="K712" s="2" t="s">
        <v>1915</v>
      </c>
      <c r="L712" s="2" t="str">
        <f>VLOOKUP(B712, Course!$A$1:$O$933, 14, FALSE)</f>
        <v>EN</v>
      </c>
      <c r="M712" s="2">
        <v>1</v>
      </c>
    </row>
    <row r="713" spans="1:13" ht="15.75" hidden="1" customHeight="1" x14ac:dyDescent="0.2">
      <c r="A713" s="2">
        <v>712</v>
      </c>
      <c r="B713" s="2">
        <v>62</v>
      </c>
      <c r="C713" s="2">
        <v>100</v>
      </c>
      <c r="D713" s="2" t="s">
        <v>476</v>
      </c>
      <c r="E713" s="2" t="str">
        <f t="shared" si="2"/>
        <v>1200EN03PT</v>
      </c>
      <c r="F713" s="2">
        <f>VLOOKUP(B713,Course!$A$2:$R$329,2,FALSE)</f>
        <v>0</v>
      </c>
      <c r="G713" s="2">
        <f>VLOOKUP(B713, Course!$A$2:$L$950, 8, FALSE)</f>
        <v>12</v>
      </c>
      <c r="H713" s="2">
        <v>3</v>
      </c>
      <c r="I713" s="2">
        <v>1</v>
      </c>
      <c r="K713" s="2" t="s">
        <v>1915</v>
      </c>
      <c r="L713" s="2" t="str">
        <f>VLOOKUP(B713, Course!$A$1:$O$933, 14, FALSE)</f>
        <v>EN</v>
      </c>
      <c r="M713" s="2">
        <v>1</v>
      </c>
    </row>
    <row r="714" spans="1:13" ht="15.75" hidden="1" customHeight="1" x14ac:dyDescent="0.2">
      <c r="A714" s="2">
        <v>713</v>
      </c>
      <c r="B714" s="2">
        <v>62</v>
      </c>
      <c r="C714" s="2">
        <v>101</v>
      </c>
      <c r="D714" s="2" t="s">
        <v>476</v>
      </c>
      <c r="E714" s="2" t="str">
        <f t="shared" si="2"/>
        <v>1201EN03PT</v>
      </c>
      <c r="F714" s="2">
        <f>VLOOKUP(B714,Course!$A$2:$R$329,2,FALSE)</f>
        <v>0</v>
      </c>
      <c r="G714" s="2">
        <f>VLOOKUP(B714, Course!$A$2:$L$950, 8, FALSE)</f>
        <v>12</v>
      </c>
      <c r="H714" s="2">
        <v>3</v>
      </c>
      <c r="I714" s="2">
        <v>1</v>
      </c>
      <c r="K714" s="2" t="s">
        <v>1915</v>
      </c>
      <c r="L714" s="2" t="str">
        <f>VLOOKUP(B714, Course!$A$1:$O$933, 14, FALSE)</f>
        <v>EN</v>
      </c>
      <c r="M714" s="2">
        <v>1</v>
      </c>
    </row>
    <row r="715" spans="1:13" ht="15.75" hidden="1" customHeight="1" x14ac:dyDescent="0.2">
      <c r="A715" s="2">
        <v>714</v>
      </c>
      <c r="B715" s="2">
        <v>62</v>
      </c>
      <c r="C715" s="2">
        <v>102</v>
      </c>
      <c r="D715" s="2" t="s">
        <v>476</v>
      </c>
      <c r="E715" s="2" t="str">
        <f t="shared" si="2"/>
        <v>1202EN03PT</v>
      </c>
      <c r="F715" s="2">
        <f>VLOOKUP(B715,Course!$A$2:$R$329,2,FALSE)</f>
        <v>0</v>
      </c>
      <c r="G715" s="2">
        <f>VLOOKUP(B715, Course!$A$2:$L$950, 8, FALSE)</f>
        <v>12</v>
      </c>
      <c r="H715" s="2">
        <v>3</v>
      </c>
      <c r="I715" s="2">
        <v>1</v>
      </c>
      <c r="K715" s="2" t="s">
        <v>1915</v>
      </c>
      <c r="L715" s="2" t="str">
        <f>VLOOKUP(B715, Course!$A$1:$O$933, 14, FALSE)</f>
        <v>EN</v>
      </c>
      <c r="M715" s="2">
        <v>1</v>
      </c>
    </row>
    <row r="716" spans="1:13" ht="15.75" hidden="1" customHeight="1" x14ac:dyDescent="0.2">
      <c r="A716" s="2">
        <v>715</v>
      </c>
      <c r="B716" s="2">
        <v>62</v>
      </c>
      <c r="C716" s="2">
        <v>103</v>
      </c>
      <c r="D716" s="2" t="s">
        <v>476</v>
      </c>
      <c r="E716" s="2" t="str">
        <f t="shared" si="2"/>
        <v>1203EN03PT</v>
      </c>
      <c r="F716" s="2">
        <f>VLOOKUP(B716,Course!$A$2:$R$329,2,FALSE)</f>
        <v>0</v>
      </c>
      <c r="G716" s="2">
        <f>VLOOKUP(B716, Course!$A$2:$L$950, 8, FALSE)</f>
        <v>12</v>
      </c>
      <c r="H716" s="2">
        <v>3</v>
      </c>
      <c r="I716" s="2">
        <v>1</v>
      </c>
      <c r="K716" s="2" t="s">
        <v>1915</v>
      </c>
      <c r="L716" s="2" t="str">
        <f>VLOOKUP(B716, Course!$A$1:$O$933, 14, FALSE)</f>
        <v>EN</v>
      </c>
      <c r="M716" s="2">
        <v>1</v>
      </c>
    </row>
    <row r="717" spans="1:13" ht="15.75" hidden="1" customHeight="1" x14ac:dyDescent="0.2">
      <c r="A717" s="2">
        <v>716</v>
      </c>
      <c r="B717" s="2">
        <v>62</v>
      </c>
      <c r="C717" s="2">
        <v>104</v>
      </c>
      <c r="D717" s="2" t="s">
        <v>476</v>
      </c>
      <c r="E717" s="2" t="str">
        <f t="shared" si="2"/>
        <v>1204EN03PT</v>
      </c>
      <c r="F717" s="2">
        <f>VLOOKUP(B717,Course!$A$2:$R$329,2,FALSE)</f>
        <v>0</v>
      </c>
      <c r="G717" s="2">
        <f>VLOOKUP(B717, Course!$A$2:$L$950, 8, FALSE)</f>
        <v>12</v>
      </c>
      <c r="H717" s="2">
        <v>3</v>
      </c>
      <c r="I717" s="2">
        <v>1</v>
      </c>
      <c r="K717" s="2" t="s">
        <v>1915</v>
      </c>
      <c r="L717" s="2" t="str">
        <f>VLOOKUP(B717, Course!$A$1:$O$933, 14, FALSE)</f>
        <v>EN</v>
      </c>
      <c r="M717" s="2">
        <v>1</v>
      </c>
    </row>
    <row r="718" spans="1:13" ht="15.75" hidden="1" customHeight="1" x14ac:dyDescent="0.2">
      <c r="A718" s="2">
        <v>717</v>
      </c>
      <c r="B718" s="2">
        <v>62</v>
      </c>
      <c r="C718" s="2">
        <v>105</v>
      </c>
      <c r="D718" s="2" t="s">
        <v>476</v>
      </c>
      <c r="E718" s="2" t="str">
        <f t="shared" si="2"/>
        <v>1205EN03PT</v>
      </c>
      <c r="F718" s="2">
        <f>VLOOKUP(B718,Course!$A$2:$R$329,2,FALSE)</f>
        <v>0</v>
      </c>
      <c r="G718" s="2">
        <f>VLOOKUP(B718, Course!$A$2:$L$950, 8, FALSE)</f>
        <v>12</v>
      </c>
      <c r="H718" s="2">
        <v>3</v>
      </c>
      <c r="I718" s="2">
        <v>1</v>
      </c>
      <c r="K718" s="2" t="s">
        <v>1915</v>
      </c>
      <c r="L718" s="2" t="str">
        <f>VLOOKUP(B718, Course!$A$1:$O$933, 14, FALSE)</f>
        <v>EN</v>
      </c>
      <c r="M718" s="2">
        <v>1</v>
      </c>
    </row>
    <row r="719" spans="1:13" ht="15.75" hidden="1" customHeight="1" x14ac:dyDescent="0.2">
      <c r="A719" s="2">
        <v>718</v>
      </c>
      <c r="B719" s="2">
        <v>62</v>
      </c>
      <c r="C719" s="2">
        <v>106</v>
      </c>
      <c r="D719" s="2" t="s">
        <v>476</v>
      </c>
      <c r="E719" s="2" t="str">
        <f t="shared" si="2"/>
        <v>1206EN03PT</v>
      </c>
      <c r="F719" s="2">
        <f>VLOOKUP(B719,Course!$A$2:$R$329,2,FALSE)</f>
        <v>0</v>
      </c>
      <c r="G719" s="2">
        <f>VLOOKUP(B719, Course!$A$2:$L$950, 8, FALSE)</f>
        <v>12</v>
      </c>
      <c r="H719" s="2">
        <v>3</v>
      </c>
      <c r="I719" s="2">
        <v>1</v>
      </c>
      <c r="K719" s="2" t="s">
        <v>1915</v>
      </c>
      <c r="L719" s="2" t="str">
        <f>VLOOKUP(B719, Course!$A$1:$O$933, 14, FALSE)</f>
        <v>EN</v>
      </c>
      <c r="M719" s="2">
        <v>1</v>
      </c>
    </row>
    <row r="720" spans="1:13" ht="15.75" hidden="1" customHeight="1" x14ac:dyDescent="0.2">
      <c r="A720" s="2">
        <v>719</v>
      </c>
      <c r="B720" s="2">
        <v>62</v>
      </c>
      <c r="C720" s="2">
        <v>107</v>
      </c>
      <c r="D720" s="2" t="s">
        <v>476</v>
      </c>
      <c r="E720" s="2" t="str">
        <f t="shared" si="2"/>
        <v>1207EN03PT</v>
      </c>
      <c r="F720" s="2">
        <f>VLOOKUP(B720,Course!$A$2:$R$329,2,FALSE)</f>
        <v>0</v>
      </c>
      <c r="G720" s="2">
        <f>VLOOKUP(B720, Course!$A$2:$L$950, 8, FALSE)</f>
        <v>12</v>
      </c>
      <c r="H720" s="2">
        <v>3</v>
      </c>
      <c r="I720" s="2">
        <v>1</v>
      </c>
      <c r="K720" s="2" t="s">
        <v>1915</v>
      </c>
      <c r="L720" s="2" t="str">
        <f>VLOOKUP(B720, Course!$A$1:$O$933, 14, FALSE)</f>
        <v>EN</v>
      </c>
      <c r="M720" s="2">
        <v>1</v>
      </c>
    </row>
    <row r="721" spans="1:13" ht="15.75" hidden="1" customHeight="1" x14ac:dyDescent="0.2">
      <c r="A721" s="2">
        <v>720</v>
      </c>
      <c r="B721" s="2">
        <v>62</v>
      </c>
      <c r="C721" s="2">
        <v>108</v>
      </c>
      <c r="D721" s="2" t="s">
        <v>476</v>
      </c>
      <c r="E721" s="2" t="str">
        <f t="shared" si="2"/>
        <v>1208EN03PT</v>
      </c>
      <c r="F721" s="2">
        <f>VLOOKUP(B721,Course!$A$2:$R$329,2,FALSE)</f>
        <v>0</v>
      </c>
      <c r="G721" s="2">
        <f>VLOOKUP(B721, Course!$A$2:$L$950, 8, FALSE)</f>
        <v>12</v>
      </c>
      <c r="H721" s="2">
        <v>3</v>
      </c>
      <c r="I721" s="2">
        <v>1</v>
      </c>
      <c r="K721" s="2" t="s">
        <v>1915</v>
      </c>
      <c r="L721" s="2" t="str">
        <f>VLOOKUP(B721, Course!$A$1:$O$933, 14, FALSE)</f>
        <v>EN</v>
      </c>
      <c r="M721" s="2">
        <v>1</v>
      </c>
    </row>
    <row r="722" spans="1:13" ht="15.75" hidden="1" customHeight="1" x14ac:dyDescent="0.2">
      <c r="A722" s="2">
        <v>721</v>
      </c>
      <c r="B722" s="2">
        <v>63</v>
      </c>
      <c r="C722" s="2">
        <v>97</v>
      </c>
      <c r="D722" s="2" t="s">
        <v>550</v>
      </c>
      <c r="E722" s="2" t="str">
        <f t="shared" si="2"/>
        <v>1297FR03PT</v>
      </c>
      <c r="F722" s="2">
        <f>VLOOKUP(B722,Course!$A$2:$R$329,2,FALSE)</f>
        <v>0</v>
      </c>
      <c r="G722" s="2">
        <f>VLOOKUP(B722, Course!$A$2:$L$950, 8, FALSE)</f>
        <v>12</v>
      </c>
      <c r="H722" s="2">
        <v>3</v>
      </c>
      <c r="I722" s="2">
        <v>1</v>
      </c>
      <c r="K722" s="2" t="s">
        <v>1915</v>
      </c>
      <c r="L722" s="2" t="str">
        <f>VLOOKUP(B722, Course!$A$1:$O$933, 14, FALSE)</f>
        <v>FR</v>
      </c>
      <c r="M722" s="2">
        <v>1</v>
      </c>
    </row>
    <row r="723" spans="1:13" ht="15.75" hidden="1" customHeight="1" x14ac:dyDescent="0.2">
      <c r="A723" s="2">
        <v>722</v>
      </c>
      <c r="B723" s="2">
        <v>63</v>
      </c>
      <c r="C723" s="2">
        <v>98</v>
      </c>
      <c r="D723" s="2" t="s">
        <v>550</v>
      </c>
      <c r="E723" s="2" t="str">
        <f t="shared" si="2"/>
        <v>1298FR03PT</v>
      </c>
      <c r="F723" s="2">
        <f>VLOOKUP(B723,Course!$A$2:$R$329,2,FALSE)</f>
        <v>0</v>
      </c>
      <c r="G723" s="2">
        <f>VLOOKUP(B723, Course!$A$2:$L$950, 8, FALSE)</f>
        <v>12</v>
      </c>
      <c r="H723" s="2">
        <v>3</v>
      </c>
      <c r="I723" s="2">
        <v>1</v>
      </c>
      <c r="K723" s="2" t="s">
        <v>1915</v>
      </c>
      <c r="L723" s="2" t="str">
        <f>VLOOKUP(B723, Course!$A$1:$O$933, 14, FALSE)</f>
        <v>FR</v>
      </c>
      <c r="M723" s="2">
        <v>1</v>
      </c>
    </row>
    <row r="724" spans="1:13" ht="15.75" hidden="1" customHeight="1" x14ac:dyDescent="0.2">
      <c r="A724" s="2">
        <v>723</v>
      </c>
      <c r="B724" s="2">
        <v>63</v>
      </c>
      <c r="C724" s="2">
        <v>99</v>
      </c>
      <c r="D724" s="2" t="s">
        <v>550</v>
      </c>
      <c r="E724" s="2" t="str">
        <f t="shared" si="2"/>
        <v>1299FR03PT</v>
      </c>
      <c r="F724" s="2">
        <f>VLOOKUP(B724,Course!$A$2:$R$329,2,FALSE)</f>
        <v>0</v>
      </c>
      <c r="G724" s="2">
        <f>VLOOKUP(B724, Course!$A$2:$L$950, 8, FALSE)</f>
        <v>12</v>
      </c>
      <c r="H724" s="2">
        <v>3</v>
      </c>
      <c r="I724" s="2">
        <v>1</v>
      </c>
      <c r="K724" s="2" t="s">
        <v>1915</v>
      </c>
      <c r="L724" s="2" t="str">
        <f>VLOOKUP(B724, Course!$A$1:$O$933, 14, FALSE)</f>
        <v>FR</v>
      </c>
      <c r="M724" s="2">
        <v>1</v>
      </c>
    </row>
    <row r="725" spans="1:13" ht="15.75" hidden="1" customHeight="1" x14ac:dyDescent="0.2">
      <c r="A725" s="2">
        <v>724</v>
      </c>
      <c r="B725" s="2">
        <v>63</v>
      </c>
      <c r="C725" s="2">
        <v>100</v>
      </c>
      <c r="D725" s="2" t="s">
        <v>550</v>
      </c>
      <c r="E725" s="2" t="str">
        <f t="shared" si="2"/>
        <v>1200FR03PT</v>
      </c>
      <c r="F725" s="2">
        <f>VLOOKUP(B725,Course!$A$2:$R$329,2,FALSE)</f>
        <v>0</v>
      </c>
      <c r="G725" s="2">
        <f>VLOOKUP(B725, Course!$A$2:$L$950, 8, FALSE)</f>
        <v>12</v>
      </c>
      <c r="H725" s="2">
        <v>3</v>
      </c>
      <c r="I725" s="2">
        <v>1</v>
      </c>
      <c r="K725" s="2" t="s">
        <v>1915</v>
      </c>
      <c r="L725" s="2" t="str">
        <f>VLOOKUP(B725, Course!$A$1:$O$933, 14, FALSE)</f>
        <v>FR</v>
      </c>
      <c r="M725" s="2">
        <v>1</v>
      </c>
    </row>
    <row r="726" spans="1:13" ht="15.75" hidden="1" customHeight="1" x14ac:dyDescent="0.2">
      <c r="A726" s="2">
        <v>725</v>
      </c>
      <c r="B726" s="2">
        <v>63</v>
      </c>
      <c r="C726" s="2">
        <v>101</v>
      </c>
      <c r="D726" s="2" t="s">
        <v>550</v>
      </c>
      <c r="E726" s="2" t="str">
        <f t="shared" si="2"/>
        <v>1201FR03PT</v>
      </c>
      <c r="F726" s="2">
        <f>VLOOKUP(B726,Course!$A$2:$R$329,2,FALSE)</f>
        <v>0</v>
      </c>
      <c r="G726" s="2">
        <f>VLOOKUP(B726, Course!$A$2:$L$950, 8, FALSE)</f>
        <v>12</v>
      </c>
      <c r="H726" s="2">
        <v>3</v>
      </c>
      <c r="I726" s="2">
        <v>1</v>
      </c>
      <c r="K726" s="2" t="s">
        <v>1915</v>
      </c>
      <c r="L726" s="2" t="str">
        <f>VLOOKUP(B726, Course!$A$1:$O$933, 14, FALSE)</f>
        <v>FR</v>
      </c>
      <c r="M726" s="2">
        <v>1</v>
      </c>
    </row>
    <row r="727" spans="1:13" ht="15.75" hidden="1" customHeight="1" x14ac:dyDescent="0.2">
      <c r="A727" s="2">
        <v>726</v>
      </c>
      <c r="B727" s="2">
        <v>63</v>
      </c>
      <c r="C727" s="2">
        <v>102</v>
      </c>
      <c r="D727" s="2" t="s">
        <v>550</v>
      </c>
      <c r="E727" s="2" t="str">
        <f t="shared" si="2"/>
        <v>1202FR03PT</v>
      </c>
      <c r="F727" s="2">
        <f>VLOOKUP(B727,Course!$A$2:$R$329,2,FALSE)</f>
        <v>0</v>
      </c>
      <c r="G727" s="2">
        <f>VLOOKUP(B727, Course!$A$2:$L$950, 8, FALSE)</f>
        <v>12</v>
      </c>
      <c r="H727" s="2">
        <v>3</v>
      </c>
      <c r="I727" s="2">
        <v>1</v>
      </c>
      <c r="K727" s="2" t="s">
        <v>1915</v>
      </c>
      <c r="L727" s="2" t="str">
        <f>VLOOKUP(B727, Course!$A$1:$O$933, 14, FALSE)</f>
        <v>FR</v>
      </c>
      <c r="M727" s="2">
        <v>1</v>
      </c>
    </row>
    <row r="728" spans="1:13" ht="15.75" hidden="1" customHeight="1" x14ac:dyDescent="0.2">
      <c r="A728" s="2">
        <v>727</v>
      </c>
      <c r="B728" s="2">
        <v>63</v>
      </c>
      <c r="C728" s="2">
        <v>103</v>
      </c>
      <c r="D728" s="2" t="s">
        <v>550</v>
      </c>
      <c r="E728" s="2" t="str">
        <f t="shared" si="2"/>
        <v>1203FR03PT</v>
      </c>
      <c r="F728" s="2">
        <f>VLOOKUP(B728,Course!$A$2:$R$329,2,FALSE)</f>
        <v>0</v>
      </c>
      <c r="G728" s="2">
        <f>VLOOKUP(B728, Course!$A$2:$L$950, 8, FALSE)</f>
        <v>12</v>
      </c>
      <c r="H728" s="2">
        <v>3</v>
      </c>
      <c r="I728" s="2">
        <v>1</v>
      </c>
      <c r="K728" s="2" t="s">
        <v>1915</v>
      </c>
      <c r="L728" s="2" t="str">
        <f>VLOOKUP(B728, Course!$A$1:$O$933, 14, FALSE)</f>
        <v>FR</v>
      </c>
      <c r="M728" s="2">
        <v>1</v>
      </c>
    </row>
    <row r="729" spans="1:13" ht="15.75" hidden="1" customHeight="1" x14ac:dyDescent="0.2">
      <c r="A729" s="2">
        <v>728</v>
      </c>
      <c r="B729" s="2">
        <v>63</v>
      </c>
      <c r="C729" s="2">
        <v>104</v>
      </c>
      <c r="D729" s="2" t="s">
        <v>550</v>
      </c>
      <c r="E729" s="2" t="str">
        <f t="shared" si="2"/>
        <v>1204FR03PT</v>
      </c>
      <c r="F729" s="2">
        <f>VLOOKUP(B729,Course!$A$2:$R$329,2,FALSE)</f>
        <v>0</v>
      </c>
      <c r="G729" s="2">
        <f>VLOOKUP(B729, Course!$A$2:$L$950, 8, FALSE)</f>
        <v>12</v>
      </c>
      <c r="H729" s="2">
        <v>3</v>
      </c>
      <c r="I729" s="2">
        <v>1</v>
      </c>
      <c r="K729" s="2" t="s">
        <v>1915</v>
      </c>
      <c r="L729" s="2" t="str">
        <f>VLOOKUP(B729, Course!$A$1:$O$933, 14, FALSE)</f>
        <v>FR</v>
      </c>
      <c r="M729" s="2">
        <v>1</v>
      </c>
    </row>
    <row r="730" spans="1:13" ht="15.75" hidden="1" customHeight="1" x14ac:dyDescent="0.2">
      <c r="A730" s="2">
        <v>729</v>
      </c>
      <c r="B730" s="2">
        <v>63</v>
      </c>
      <c r="C730" s="2">
        <v>105</v>
      </c>
      <c r="D730" s="2" t="s">
        <v>550</v>
      </c>
      <c r="E730" s="2" t="str">
        <f t="shared" si="2"/>
        <v>1205FR03PT</v>
      </c>
      <c r="F730" s="2">
        <f>VLOOKUP(B730,Course!$A$2:$R$329,2,FALSE)</f>
        <v>0</v>
      </c>
      <c r="G730" s="2">
        <f>VLOOKUP(B730, Course!$A$2:$L$950, 8, FALSE)</f>
        <v>12</v>
      </c>
      <c r="H730" s="2">
        <v>3</v>
      </c>
      <c r="I730" s="2">
        <v>1</v>
      </c>
      <c r="K730" s="2" t="s">
        <v>1915</v>
      </c>
      <c r="L730" s="2" t="str">
        <f>VLOOKUP(B730, Course!$A$1:$O$933, 14, FALSE)</f>
        <v>FR</v>
      </c>
      <c r="M730" s="2">
        <v>1</v>
      </c>
    </row>
    <row r="731" spans="1:13" ht="15.75" hidden="1" customHeight="1" x14ac:dyDescent="0.2">
      <c r="A731" s="2">
        <v>730</v>
      </c>
      <c r="B731" s="2">
        <v>63</v>
      </c>
      <c r="C731" s="2">
        <v>106</v>
      </c>
      <c r="D731" s="2" t="s">
        <v>550</v>
      </c>
      <c r="E731" s="2" t="str">
        <f t="shared" si="2"/>
        <v>1206FR03PT</v>
      </c>
      <c r="F731" s="2">
        <f>VLOOKUP(B731,Course!$A$2:$R$329,2,FALSE)</f>
        <v>0</v>
      </c>
      <c r="G731" s="2">
        <f>VLOOKUP(B731, Course!$A$2:$L$950, 8, FALSE)</f>
        <v>12</v>
      </c>
      <c r="H731" s="2">
        <v>3</v>
      </c>
      <c r="I731" s="2">
        <v>1</v>
      </c>
      <c r="K731" s="2" t="s">
        <v>1915</v>
      </c>
      <c r="L731" s="2" t="str">
        <f>VLOOKUP(B731, Course!$A$1:$O$933, 14, FALSE)</f>
        <v>FR</v>
      </c>
      <c r="M731" s="2">
        <v>1</v>
      </c>
    </row>
    <row r="732" spans="1:13" ht="15.75" hidden="1" customHeight="1" x14ac:dyDescent="0.2">
      <c r="A732" s="2">
        <v>731</v>
      </c>
      <c r="B732" s="2">
        <v>63</v>
      </c>
      <c r="C732" s="2">
        <v>107</v>
      </c>
      <c r="D732" s="2" t="s">
        <v>550</v>
      </c>
      <c r="E732" s="2" t="str">
        <f t="shared" si="2"/>
        <v>1207FR03PT</v>
      </c>
      <c r="F732" s="2">
        <f>VLOOKUP(B732,Course!$A$2:$R$329,2,FALSE)</f>
        <v>0</v>
      </c>
      <c r="G732" s="2">
        <f>VLOOKUP(B732, Course!$A$2:$L$950, 8, FALSE)</f>
        <v>12</v>
      </c>
      <c r="H732" s="2">
        <v>3</v>
      </c>
      <c r="I732" s="2">
        <v>1</v>
      </c>
      <c r="K732" s="2" t="s">
        <v>1915</v>
      </c>
      <c r="L732" s="2" t="str">
        <f>VLOOKUP(B732, Course!$A$1:$O$933, 14, FALSE)</f>
        <v>FR</v>
      </c>
      <c r="M732" s="2">
        <v>1</v>
      </c>
    </row>
    <row r="733" spans="1:13" ht="15.75" hidden="1" customHeight="1" x14ac:dyDescent="0.2">
      <c r="A733" s="2">
        <v>732</v>
      </c>
      <c r="B733" s="2">
        <v>63</v>
      </c>
      <c r="C733" s="2">
        <v>108</v>
      </c>
      <c r="D733" s="2" t="s">
        <v>550</v>
      </c>
      <c r="E733" s="2" t="str">
        <f t="shared" si="2"/>
        <v>1208FR03PT</v>
      </c>
      <c r="F733" s="2">
        <f>VLOOKUP(B733,Course!$A$2:$R$329,2,FALSE)</f>
        <v>0</v>
      </c>
      <c r="G733" s="2">
        <f>VLOOKUP(B733, Course!$A$2:$L$950, 8, FALSE)</f>
        <v>12</v>
      </c>
      <c r="H733" s="2">
        <v>3</v>
      </c>
      <c r="I733" s="2">
        <v>1</v>
      </c>
      <c r="K733" s="2" t="s">
        <v>1915</v>
      </c>
      <c r="L733" s="2" t="str">
        <f>VLOOKUP(B733, Course!$A$1:$O$933, 14, FALSE)</f>
        <v>FR</v>
      </c>
      <c r="M733" s="2">
        <v>1</v>
      </c>
    </row>
    <row r="734" spans="1:13" ht="15.75" hidden="1" customHeight="1" x14ac:dyDescent="0.2">
      <c r="A734" s="2">
        <v>733</v>
      </c>
      <c r="B734" s="2">
        <v>64</v>
      </c>
      <c r="C734" s="2">
        <v>1</v>
      </c>
      <c r="D734" s="2" t="s">
        <v>553</v>
      </c>
      <c r="E734" s="2" t="str">
        <f t="shared" si="2"/>
        <v>201RS03PT</v>
      </c>
      <c r="F734" s="2">
        <f>VLOOKUP(B734,Course!$A$2:$R$329,2,FALSE)</f>
        <v>0</v>
      </c>
      <c r="G734" s="2">
        <f>VLOOKUP(B734, Course!$A$2:$L$950, 8, FALSE)</f>
        <v>2</v>
      </c>
      <c r="H734" s="2">
        <v>3</v>
      </c>
      <c r="I734" s="2">
        <v>1</v>
      </c>
      <c r="K734" s="2" t="s">
        <v>1915</v>
      </c>
      <c r="L734" s="2" t="str">
        <f>VLOOKUP(B734, Course!$A$1:$O$933, 14, FALSE)</f>
        <v>RS</v>
      </c>
      <c r="M734" s="2">
        <v>1</v>
      </c>
    </row>
    <row r="735" spans="1:13" ht="15.75" hidden="1" customHeight="1" x14ac:dyDescent="0.2">
      <c r="A735" s="2">
        <v>734</v>
      </c>
      <c r="B735" s="2">
        <v>64</v>
      </c>
      <c r="C735" s="2">
        <v>2</v>
      </c>
      <c r="D735" s="2" t="s">
        <v>553</v>
      </c>
      <c r="E735" s="2" t="str">
        <f t="shared" si="2"/>
        <v>202RS03PT</v>
      </c>
      <c r="F735" s="2">
        <f>VLOOKUP(B735,Course!$A$2:$R$329,2,FALSE)</f>
        <v>0</v>
      </c>
      <c r="G735" s="2">
        <f>VLOOKUP(B735, Course!$A$2:$L$950, 8, FALSE)</f>
        <v>2</v>
      </c>
      <c r="H735" s="2">
        <v>3</v>
      </c>
      <c r="I735" s="2">
        <v>1</v>
      </c>
      <c r="K735" s="2" t="s">
        <v>1915</v>
      </c>
      <c r="L735" s="2" t="str">
        <f>VLOOKUP(B735, Course!$A$1:$O$933, 14, FALSE)</f>
        <v>RS</v>
      </c>
      <c r="M735" s="2">
        <v>1</v>
      </c>
    </row>
    <row r="736" spans="1:13" ht="15.75" hidden="1" customHeight="1" x14ac:dyDescent="0.2">
      <c r="A736" s="2">
        <v>735</v>
      </c>
      <c r="B736" s="2">
        <v>65</v>
      </c>
      <c r="C736" s="2">
        <v>1</v>
      </c>
      <c r="D736" s="2" t="s">
        <v>533</v>
      </c>
      <c r="E736" s="2" t="str">
        <f t="shared" si="2"/>
        <v>1201ES03PT</v>
      </c>
      <c r="F736" s="2">
        <f>VLOOKUP(B736,Course!$A$2:$R$329,2,FALSE)</f>
        <v>0</v>
      </c>
      <c r="G736" s="2">
        <f>VLOOKUP(B736, Course!$A$2:$L$950, 8, FALSE)</f>
        <v>12</v>
      </c>
      <c r="H736" s="2">
        <v>3</v>
      </c>
      <c r="I736" s="2">
        <v>1</v>
      </c>
      <c r="K736" s="2" t="s">
        <v>1915</v>
      </c>
      <c r="L736" s="2" t="str">
        <f>VLOOKUP(B736, Course!$A$1:$O$933, 14, FALSE)</f>
        <v>ES</v>
      </c>
      <c r="M736" s="2">
        <v>1</v>
      </c>
    </row>
    <row r="737" spans="1:13" ht="15.75" hidden="1" customHeight="1" x14ac:dyDescent="0.2">
      <c r="A737" s="2">
        <v>736</v>
      </c>
      <c r="B737" s="2">
        <v>65</v>
      </c>
      <c r="C737" s="2">
        <v>2</v>
      </c>
      <c r="D737" s="2" t="s">
        <v>533</v>
      </c>
      <c r="E737" s="2" t="str">
        <f t="shared" si="2"/>
        <v>1202ES03PT</v>
      </c>
      <c r="F737" s="2">
        <f>VLOOKUP(B737,Course!$A$2:$R$329,2,FALSE)</f>
        <v>0</v>
      </c>
      <c r="G737" s="2">
        <f>VLOOKUP(B737, Course!$A$2:$L$950, 8, FALSE)</f>
        <v>12</v>
      </c>
      <c r="H737" s="2">
        <v>3</v>
      </c>
      <c r="I737" s="2">
        <v>1</v>
      </c>
      <c r="K737" s="2" t="s">
        <v>1915</v>
      </c>
      <c r="L737" s="2" t="str">
        <f>VLOOKUP(B737, Course!$A$1:$O$933, 14, FALSE)</f>
        <v>ES</v>
      </c>
      <c r="M737" s="2">
        <v>1</v>
      </c>
    </row>
    <row r="738" spans="1:13" ht="15.75" hidden="1" customHeight="1" x14ac:dyDescent="0.2">
      <c r="A738" s="2">
        <v>737</v>
      </c>
      <c r="B738" s="2">
        <v>65</v>
      </c>
      <c r="C738" s="2">
        <v>3</v>
      </c>
      <c r="D738" s="2" t="s">
        <v>533</v>
      </c>
      <c r="E738" s="2" t="str">
        <f t="shared" si="2"/>
        <v>1203ES03PT</v>
      </c>
      <c r="F738" s="2">
        <f>VLOOKUP(B738,Course!$A$2:$R$329,2,FALSE)</f>
        <v>0</v>
      </c>
      <c r="G738" s="2">
        <f>VLOOKUP(B738, Course!$A$2:$L$950, 8, FALSE)</f>
        <v>12</v>
      </c>
      <c r="H738" s="2">
        <v>3</v>
      </c>
      <c r="I738" s="2">
        <v>1</v>
      </c>
      <c r="K738" s="2" t="s">
        <v>1915</v>
      </c>
      <c r="L738" s="2" t="str">
        <f>VLOOKUP(B738, Course!$A$1:$O$933, 14, FALSE)</f>
        <v>ES</v>
      </c>
      <c r="M738" s="2">
        <v>1</v>
      </c>
    </row>
    <row r="739" spans="1:13" ht="15.75" hidden="1" customHeight="1" x14ac:dyDescent="0.2">
      <c r="A739" s="2">
        <v>738</v>
      </c>
      <c r="B739" s="2">
        <v>65</v>
      </c>
      <c r="C739" s="2">
        <v>4</v>
      </c>
      <c r="D739" s="2" t="s">
        <v>533</v>
      </c>
      <c r="E739" s="2" t="str">
        <f t="shared" si="2"/>
        <v>1204ES03PT</v>
      </c>
      <c r="F739" s="2">
        <f>VLOOKUP(B739,Course!$A$2:$R$329,2,FALSE)</f>
        <v>0</v>
      </c>
      <c r="G739" s="2">
        <f>VLOOKUP(B739, Course!$A$2:$L$950, 8, FALSE)</f>
        <v>12</v>
      </c>
      <c r="H739" s="2">
        <v>3</v>
      </c>
      <c r="I739" s="2">
        <v>1</v>
      </c>
      <c r="K739" s="2" t="s">
        <v>1915</v>
      </c>
      <c r="L739" s="2" t="str">
        <f>VLOOKUP(B739, Course!$A$1:$O$933, 14, FALSE)</f>
        <v>ES</v>
      </c>
      <c r="M739" s="2">
        <v>1</v>
      </c>
    </row>
    <row r="740" spans="1:13" ht="15.75" hidden="1" customHeight="1" x14ac:dyDescent="0.2">
      <c r="A740" s="2">
        <v>739</v>
      </c>
      <c r="B740" s="2">
        <v>65</v>
      </c>
      <c r="C740" s="2">
        <v>5</v>
      </c>
      <c r="D740" s="2" t="s">
        <v>533</v>
      </c>
      <c r="E740" s="2" t="str">
        <f t="shared" si="2"/>
        <v>1205ES03PT</v>
      </c>
      <c r="F740" s="2">
        <f>VLOOKUP(B740,Course!$A$2:$R$329,2,FALSE)</f>
        <v>0</v>
      </c>
      <c r="G740" s="2">
        <f>VLOOKUP(B740, Course!$A$2:$L$950, 8, FALSE)</f>
        <v>12</v>
      </c>
      <c r="H740" s="2">
        <v>3</v>
      </c>
      <c r="I740" s="2">
        <v>1</v>
      </c>
      <c r="K740" s="2" t="s">
        <v>1915</v>
      </c>
      <c r="L740" s="2" t="str">
        <f>VLOOKUP(B740, Course!$A$1:$O$933, 14, FALSE)</f>
        <v>ES</v>
      </c>
      <c r="M740" s="2">
        <v>1</v>
      </c>
    </row>
    <row r="741" spans="1:13" ht="15.75" hidden="1" customHeight="1" x14ac:dyDescent="0.2">
      <c r="A741" s="2">
        <v>740</v>
      </c>
      <c r="B741" s="2">
        <v>65</v>
      </c>
      <c r="C741" s="2">
        <v>6</v>
      </c>
      <c r="D741" s="2" t="s">
        <v>533</v>
      </c>
      <c r="E741" s="2" t="str">
        <f t="shared" si="2"/>
        <v>1206ES03PT</v>
      </c>
      <c r="F741" s="2">
        <f>VLOOKUP(B741,Course!$A$2:$R$329,2,FALSE)</f>
        <v>0</v>
      </c>
      <c r="G741" s="2">
        <f>VLOOKUP(B741, Course!$A$2:$L$950, 8, FALSE)</f>
        <v>12</v>
      </c>
      <c r="H741" s="2">
        <v>3</v>
      </c>
      <c r="I741" s="2">
        <v>1</v>
      </c>
      <c r="K741" s="2" t="s">
        <v>1915</v>
      </c>
      <c r="L741" s="2" t="str">
        <f>VLOOKUP(B741, Course!$A$1:$O$933, 14, FALSE)</f>
        <v>ES</v>
      </c>
      <c r="M741" s="2">
        <v>1</v>
      </c>
    </row>
    <row r="742" spans="1:13" ht="15.75" hidden="1" customHeight="1" x14ac:dyDescent="0.2">
      <c r="A742" s="2">
        <v>741</v>
      </c>
      <c r="B742" s="2">
        <v>65</v>
      </c>
      <c r="C742" s="2">
        <v>7</v>
      </c>
      <c r="D742" s="2" t="s">
        <v>533</v>
      </c>
      <c r="E742" s="2" t="str">
        <f t="shared" si="2"/>
        <v>1207ES03PT</v>
      </c>
      <c r="F742" s="2">
        <f>VLOOKUP(B742,Course!$A$2:$R$329,2,FALSE)</f>
        <v>0</v>
      </c>
      <c r="G742" s="2">
        <f>VLOOKUP(B742, Course!$A$2:$L$950, 8, FALSE)</f>
        <v>12</v>
      </c>
      <c r="H742" s="2">
        <v>3</v>
      </c>
      <c r="I742" s="2">
        <v>1</v>
      </c>
      <c r="K742" s="2" t="s">
        <v>1915</v>
      </c>
      <c r="L742" s="2" t="str">
        <f>VLOOKUP(B742, Course!$A$1:$O$933, 14, FALSE)</f>
        <v>ES</v>
      </c>
      <c r="M742" s="2">
        <v>1</v>
      </c>
    </row>
    <row r="743" spans="1:13" ht="15.75" hidden="1" customHeight="1" x14ac:dyDescent="0.2">
      <c r="A743" s="2">
        <v>742</v>
      </c>
      <c r="B743" s="2">
        <v>65</v>
      </c>
      <c r="C743" s="2">
        <v>8</v>
      </c>
      <c r="D743" s="2" t="s">
        <v>533</v>
      </c>
      <c r="E743" s="2" t="str">
        <f t="shared" si="2"/>
        <v>1208ES03PT</v>
      </c>
      <c r="F743" s="2">
        <f>VLOOKUP(B743,Course!$A$2:$R$329,2,FALSE)</f>
        <v>0</v>
      </c>
      <c r="G743" s="2">
        <f>VLOOKUP(B743, Course!$A$2:$L$950, 8, FALSE)</f>
        <v>12</v>
      </c>
      <c r="H743" s="2">
        <v>3</v>
      </c>
      <c r="I743" s="2">
        <v>1</v>
      </c>
      <c r="K743" s="2" t="s">
        <v>1915</v>
      </c>
      <c r="L743" s="2" t="str">
        <f>VLOOKUP(B743, Course!$A$1:$O$933, 14, FALSE)</f>
        <v>ES</v>
      </c>
      <c r="M743" s="2">
        <v>1</v>
      </c>
    </row>
    <row r="744" spans="1:13" ht="15.75" hidden="1" customHeight="1" x14ac:dyDescent="0.2">
      <c r="A744" s="2">
        <v>743</v>
      </c>
      <c r="B744" s="2">
        <v>65</v>
      </c>
      <c r="C744" s="2">
        <v>9</v>
      </c>
      <c r="D744" s="2" t="s">
        <v>533</v>
      </c>
      <c r="E744" s="2" t="str">
        <f t="shared" si="2"/>
        <v>1209ES03PT</v>
      </c>
      <c r="F744" s="2">
        <f>VLOOKUP(B744,Course!$A$2:$R$329,2,FALSE)</f>
        <v>0</v>
      </c>
      <c r="G744" s="2">
        <f>VLOOKUP(B744, Course!$A$2:$L$950, 8, FALSE)</f>
        <v>12</v>
      </c>
      <c r="H744" s="2">
        <v>3</v>
      </c>
      <c r="I744" s="2">
        <v>1</v>
      </c>
      <c r="K744" s="2" t="s">
        <v>1915</v>
      </c>
      <c r="L744" s="2" t="str">
        <f>VLOOKUP(B744, Course!$A$1:$O$933, 14, FALSE)</f>
        <v>ES</v>
      </c>
      <c r="M744" s="2">
        <v>1</v>
      </c>
    </row>
    <row r="745" spans="1:13" ht="15.75" hidden="1" customHeight="1" x14ac:dyDescent="0.2">
      <c r="A745" s="2">
        <v>744</v>
      </c>
      <c r="B745" s="2">
        <v>65</v>
      </c>
      <c r="C745" s="2">
        <v>10</v>
      </c>
      <c r="D745" s="2" t="s">
        <v>533</v>
      </c>
      <c r="E745" s="2" t="str">
        <f t="shared" si="2"/>
        <v>1210ES03PT</v>
      </c>
      <c r="F745" s="2">
        <f>VLOOKUP(B745,Course!$A$2:$R$329,2,FALSE)</f>
        <v>0</v>
      </c>
      <c r="G745" s="2">
        <f>VLOOKUP(B745, Course!$A$2:$L$950, 8, FALSE)</f>
        <v>12</v>
      </c>
      <c r="H745" s="2">
        <v>3</v>
      </c>
      <c r="I745" s="2">
        <v>1</v>
      </c>
      <c r="K745" s="2" t="s">
        <v>1915</v>
      </c>
      <c r="L745" s="2" t="str">
        <f>VLOOKUP(B745, Course!$A$1:$O$933, 14, FALSE)</f>
        <v>ES</v>
      </c>
      <c r="M745" s="2">
        <v>1</v>
      </c>
    </row>
    <row r="746" spans="1:13" ht="15.75" hidden="1" customHeight="1" x14ac:dyDescent="0.2">
      <c r="A746" s="2">
        <v>745</v>
      </c>
      <c r="B746" s="2">
        <v>65</v>
      </c>
      <c r="C746" s="2">
        <v>11</v>
      </c>
      <c r="D746" s="2" t="s">
        <v>533</v>
      </c>
      <c r="E746" s="2" t="str">
        <f t="shared" si="2"/>
        <v>1211ES03PT</v>
      </c>
      <c r="F746" s="2">
        <f>VLOOKUP(B746,Course!$A$2:$R$329,2,FALSE)</f>
        <v>0</v>
      </c>
      <c r="G746" s="2">
        <f>VLOOKUP(B746, Course!$A$2:$L$950, 8, FALSE)</f>
        <v>12</v>
      </c>
      <c r="H746" s="2">
        <v>3</v>
      </c>
      <c r="I746" s="2">
        <v>1</v>
      </c>
      <c r="K746" s="2" t="s">
        <v>1915</v>
      </c>
      <c r="L746" s="2" t="str">
        <f>VLOOKUP(B746, Course!$A$1:$O$933, 14, FALSE)</f>
        <v>ES</v>
      </c>
      <c r="M746" s="2">
        <v>1</v>
      </c>
    </row>
    <row r="747" spans="1:13" ht="15.75" hidden="1" customHeight="1" x14ac:dyDescent="0.2">
      <c r="A747" s="2">
        <v>746</v>
      </c>
      <c r="B747" s="2">
        <v>65</v>
      </c>
      <c r="C747" s="2">
        <v>12</v>
      </c>
      <c r="D747" s="2" t="s">
        <v>533</v>
      </c>
      <c r="E747" s="2" t="str">
        <f t="shared" si="2"/>
        <v>1212ES03PT</v>
      </c>
      <c r="F747" s="2">
        <f>VLOOKUP(B747,Course!$A$2:$R$329,2,FALSE)</f>
        <v>0</v>
      </c>
      <c r="G747" s="2">
        <f>VLOOKUP(B747, Course!$A$2:$L$950, 8, FALSE)</f>
        <v>12</v>
      </c>
      <c r="H747" s="2">
        <v>3</v>
      </c>
      <c r="I747" s="2">
        <v>1</v>
      </c>
      <c r="K747" s="2" t="s">
        <v>1915</v>
      </c>
      <c r="L747" s="2" t="str">
        <f>VLOOKUP(B747, Course!$A$1:$O$933, 14, FALSE)</f>
        <v>ES</v>
      </c>
      <c r="M747" s="2">
        <v>1</v>
      </c>
    </row>
    <row r="748" spans="1:13" ht="15.75" hidden="1" customHeight="1" x14ac:dyDescent="0.2">
      <c r="A748" s="2">
        <v>747</v>
      </c>
      <c r="B748" s="2">
        <v>66</v>
      </c>
      <c r="C748" s="2">
        <v>97</v>
      </c>
      <c r="D748" s="2" t="s">
        <v>555</v>
      </c>
      <c r="E748" s="2" t="str">
        <f t="shared" si="2"/>
        <v>1297AA03PT</v>
      </c>
      <c r="F748" s="2">
        <f>VLOOKUP(B748,Course!$A$2:$R$329,2,FALSE)</f>
        <v>0</v>
      </c>
      <c r="G748" s="2">
        <f>VLOOKUP(B748, Course!$A$2:$L$950, 8, FALSE)</f>
        <v>12</v>
      </c>
      <c r="H748" s="2">
        <v>3</v>
      </c>
      <c r="I748" s="2">
        <v>1</v>
      </c>
      <c r="K748" s="2" t="s">
        <v>1915</v>
      </c>
      <c r="L748" s="2" t="str">
        <f>VLOOKUP(B748, Course!$A$1:$O$933, 14, FALSE)</f>
        <v>AA</v>
      </c>
      <c r="M748" s="2">
        <v>1</v>
      </c>
    </row>
    <row r="749" spans="1:13" ht="15.75" hidden="1" customHeight="1" x14ac:dyDescent="0.2">
      <c r="A749" s="2">
        <v>748</v>
      </c>
      <c r="B749" s="2">
        <v>66</v>
      </c>
      <c r="C749" s="2">
        <v>98</v>
      </c>
      <c r="D749" s="2" t="s">
        <v>555</v>
      </c>
      <c r="E749" s="2" t="str">
        <f t="shared" si="2"/>
        <v>1298AA03PT</v>
      </c>
      <c r="F749" s="2">
        <f>VLOOKUP(B749,Course!$A$2:$R$329,2,FALSE)</f>
        <v>0</v>
      </c>
      <c r="G749" s="2">
        <f>VLOOKUP(B749, Course!$A$2:$L$950, 8, FALSE)</f>
        <v>12</v>
      </c>
      <c r="H749" s="2">
        <v>3</v>
      </c>
      <c r="I749" s="2">
        <v>1</v>
      </c>
      <c r="K749" s="2" t="s">
        <v>1915</v>
      </c>
      <c r="L749" s="2" t="str">
        <f>VLOOKUP(B749, Course!$A$1:$O$933, 14, FALSE)</f>
        <v>AA</v>
      </c>
      <c r="M749" s="2">
        <v>1</v>
      </c>
    </row>
    <row r="750" spans="1:13" ht="15.75" hidden="1" customHeight="1" x14ac:dyDescent="0.2">
      <c r="A750" s="2">
        <v>749</v>
      </c>
      <c r="B750" s="2">
        <v>66</v>
      </c>
      <c r="C750" s="2">
        <v>99</v>
      </c>
      <c r="D750" s="2" t="s">
        <v>555</v>
      </c>
      <c r="E750" s="2" t="str">
        <f t="shared" si="2"/>
        <v>1299AA03PT</v>
      </c>
      <c r="F750" s="2">
        <f>VLOOKUP(B750,Course!$A$2:$R$329,2,FALSE)</f>
        <v>0</v>
      </c>
      <c r="G750" s="2">
        <f>VLOOKUP(B750, Course!$A$2:$L$950, 8, FALSE)</f>
        <v>12</v>
      </c>
      <c r="H750" s="2">
        <v>3</v>
      </c>
      <c r="I750" s="2">
        <v>1</v>
      </c>
      <c r="K750" s="2" t="s">
        <v>1915</v>
      </c>
      <c r="L750" s="2" t="str">
        <f>VLOOKUP(B750, Course!$A$1:$O$933, 14, FALSE)</f>
        <v>AA</v>
      </c>
      <c r="M750" s="2">
        <v>1</v>
      </c>
    </row>
    <row r="751" spans="1:13" ht="15.75" hidden="1" customHeight="1" x14ac:dyDescent="0.2">
      <c r="A751" s="2">
        <v>750</v>
      </c>
      <c r="B751" s="2">
        <v>66</v>
      </c>
      <c r="C751" s="2">
        <v>100</v>
      </c>
      <c r="D751" s="2" t="s">
        <v>555</v>
      </c>
      <c r="E751" s="2" t="str">
        <f t="shared" si="2"/>
        <v>1200AA03PT</v>
      </c>
      <c r="F751" s="2">
        <f>VLOOKUP(B751,Course!$A$2:$R$329,2,FALSE)</f>
        <v>0</v>
      </c>
      <c r="G751" s="2">
        <f>VLOOKUP(B751, Course!$A$2:$L$950, 8, FALSE)</f>
        <v>12</v>
      </c>
      <c r="H751" s="2">
        <v>3</v>
      </c>
      <c r="I751" s="2">
        <v>1</v>
      </c>
      <c r="K751" s="2" t="s">
        <v>1915</v>
      </c>
      <c r="L751" s="2" t="str">
        <f>VLOOKUP(B751, Course!$A$1:$O$933, 14, FALSE)</f>
        <v>AA</v>
      </c>
      <c r="M751" s="2">
        <v>1</v>
      </c>
    </row>
    <row r="752" spans="1:13" ht="15.75" hidden="1" customHeight="1" x14ac:dyDescent="0.2">
      <c r="A752" s="2">
        <v>751</v>
      </c>
      <c r="B752" s="2">
        <v>66</v>
      </c>
      <c r="C752" s="2">
        <v>101</v>
      </c>
      <c r="D752" s="2" t="s">
        <v>555</v>
      </c>
      <c r="E752" s="2" t="str">
        <f t="shared" si="2"/>
        <v>1201AA03PT</v>
      </c>
      <c r="F752" s="2">
        <f>VLOOKUP(B752,Course!$A$2:$R$329,2,FALSE)</f>
        <v>0</v>
      </c>
      <c r="G752" s="2">
        <f>VLOOKUP(B752, Course!$A$2:$L$950, 8, FALSE)</f>
        <v>12</v>
      </c>
      <c r="H752" s="2">
        <v>3</v>
      </c>
      <c r="I752" s="2">
        <v>1</v>
      </c>
      <c r="K752" s="2" t="s">
        <v>1915</v>
      </c>
      <c r="L752" s="2" t="str">
        <f>VLOOKUP(B752, Course!$A$1:$O$933, 14, FALSE)</f>
        <v>AA</v>
      </c>
      <c r="M752" s="2">
        <v>1</v>
      </c>
    </row>
    <row r="753" spans="1:13" ht="15.75" hidden="1" customHeight="1" x14ac:dyDescent="0.2">
      <c r="A753" s="2">
        <v>752</v>
      </c>
      <c r="B753" s="2">
        <v>66</v>
      </c>
      <c r="C753" s="2">
        <v>102</v>
      </c>
      <c r="D753" s="2" t="s">
        <v>555</v>
      </c>
      <c r="E753" s="2" t="str">
        <f t="shared" si="2"/>
        <v>1202AA03PT</v>
      </c>
      <c r="F753" s="2">
        <f>VLOOKUP(B753,Course!$A$2:$R$329,2,FALSE)</f>
        <v>0</v>
      </c>
      <c r="G753" s="2">
        <f>VLOOKUP(B753, Course!$A$2:$L$950, 8, FALSE)</f>
        <v>12</v>
      </c>
      <c r="H753" s="2">
        <v>3</v>
      </c>
      <c r="I753" s="2">
        <v>1</v>
      </c>
      <c r="K753" s="2" t="s">
        <v>1915</v>
      </c>
      <c r="L753" s="2" t="str">
        <f>VLOOKUP(B753, Course!$A$1:$O$933, 14, FALSE)</f>
        <v>AA</v>
      </c>
      <c r="M753" s="2">
        <v>1</v>
      </c>
    </row>
    <row r="754" spans="1:13" ht="15.75" hidden="1" customHeight="1" x14ac:dyDescent="0.2">
      <c r="A754" s="2">
        <v>753</v>
      </c>
      <c r="B754" s="2">
        <v>66</v>
      </c>
      <c r="C754" s="2">
        <v>103</v>
      </c>
      <c r="D754" s="2" t="s">
        <v>555</v>
      </c>
      <c r="E754" s="2" t="str">
        <f t="shared" si="2"/>
        <v>1203AA03PT</v>
      </c>
      <c r="F754" s="2">
        <f>VLOOKUP(B754,Course!$A$2:$R$329,2,FALSE)</f>
        <v>0</v>
      </c>
      <c r="G754" s="2">
        <f>VLOOKUP(B754, Course!$A$2:$L$950, 8, FALSE)</f>
        <v>12</v>
      </c>
      <c r="H754" s="2">
        <v>3</v>
      </c>
      <c r="I754" s="2">
        <v>1</v>
      </c>
      <c r="K754" s="2" t="s">
        <v>1915</v>
      </c>
      <c r="L754" s="2" t="str">
        <f>VLOOKUP(B754, Course!$A$1:$O$933, 14, FALSE)</f>
        <v>AA</v>
      </c>
      <c r="M754" s="2">
        <v>1</v>
      </c>
    </row>
    <row r="755" spans="1:13" ht="15.75" hidden="1" customHeight="1" x14ac:dyDescent="0.2">
      <c r="A755" s="2">
        <v>754</v>
      </c>
      <c r="B755" s="2">
        <v>66</v>
      </c>
      <c r="C755" s="2">
        <v>104</v>
      </c>
      <c r="D755" s="2" t="s">
        <v>555</v>
      </c>
      <c r="E755" s="2" t="str">
        <f t="shared" si="2"/>
        <v>1204AA03PT</v>
      </c>
      <c r="F755" s="2">
        <f>VLOOKUP(B755,Course!$A$2:$R$329,2,FALSE)</f>
        <v>0</v>
      </c>
      <c r="G755" s="2">
        <f>VLOOKUP(B755, Course!$A$2:$L$950, 8, FALSE)</f>
        <v>12</v>
      </c>
      <c r="H755" s="2">
        <v>3</v>
      </c>
      <c r="I755" s="2">
        <v>1</v>
      </c>
      <c r="K755" s="2" t="s">
        <v>1915</v>
      </c>
      <c r="L755" s="2" t="str">
        <f>VLOOKUP(B755, Course!$A$1:$O$933, 14, FALSE)</f>
        <v>AA</v>
      </c>
      <c r="M755" s="2">
        <v>1</v>
      </c>
    </row>
    <row r="756" spans="1:13" ht="15.75" hidden="1" customHeight="1" x14ac:dyDescent="0.2">
      <c r="A756" s="2">
        <v>755</v>
      </c>
      <c r="B756" s="2">
        <v>66</v>
      </c>
      <c r="C756" s="2">
        <v>105</v>
      </c>
      <c r="D756" s="2" t="s">
        <v>555</v>
      </c>
      <c r="E756" s="2" t="str">
        <f t="shared" si="2"/>
        <v>1205AA03PT</v>
      </c>
      <c r="F756" s="2">
        <f>VLOOKUP(B756,Course!$A$2:$R$329,2,FALSE)</f>
        <v>0</v>
      </c>
      <c r="G756" s="2">
        <f>VLOOKUP(B756, Course!$A$2:$L$950, 8, FALSE)</f>
        <v>12</v>
      </c>
      <c r="H756" s="2">
        <v>3</v>
      </c>
      <c r="I756" s="2">
        <v>1</v>
      </c>
      <c r="K756" s="2" t="s">
        <v>1915</v>
      </c>
      <c r="L756" s="2" t="str">
        <f>VLOOKUP(B756, Course!$A$1:$O$933, 14, FALSE)</f>
        <v>AA</v>
      </c>
      <c r="M756" s="2">
        <v>1</v>
      </c>
    </row>
    <row r="757" spans="1:13" ht="15.75" hidden="1" customHeight="1" x14ac:dyDescent="0.2">
      <c r="A757" s="2">
        <v>756</v>
      </c>
      <c r="B757" s="2">
        <v>66</v>
      </c>
      <c r="C757" s="2">
        <v>106</v>
      </c>
      <c r="D757" s="2" t="s">
        <v>555</v>
      </c>
      <c r="E757" s="2" t="str">
        <f t="shared" si="2"/>
        <v>1206AA03PT</v>
      </c>
      <c r="F757" s="2">
        <f>VLOOKUP(B757,Course!$A$2:$R$329,2,FALSE)</f>
        <v>0</v>
      </c>
      <c r="G757" s="2">
        <f>VLOOKUP(B757, Course!$A$2:$L$950, 8, FALSE)</f>
        <v>12</v>
      </c>
      <c r="H757" s="2">
        <v>3</v>
      </c>
      <c r="I757" s="2">
        <v>1</v>
      </c>
      <c r="K757" s="2" t="s">
        <v>1915</v>
      </c>
      <c r="L757" s="2" t="str">
        <f>VLOOKUP(B757, Course!$A$1:$O$933, 14, FALSE)</f>
        <v>AA</v>
      </c>
      <c r="M757" s="2">
        <v>1</v>
      </c>
    </row>
    <row r="758" spans="1:13" ht="15.75" hidden="1" customHeight="1" x14ac:dyDescent="0.2">
      <c r="A758" s="2">
        <v>757</v>
      </c>
      <c r="B758" s="2">
        <v>66</v>
      </c>
      <c r="C758" s="2">
        <v>107</v>
      </c>
      <c r="D758" s="2" t="s">
        <v>555</v>
      </c>
      <c r="E758" s="2" t="str">
        <f t="shared" si="2"/>
        <v>1207AA03PT</v>
      </c>
      <c r="F758" s="2">
        <f>VLOOKUP(B758,Course!$A$2:$R$329,2,FALSE)</f>
        <v>0</v>
      </c>
      <c r="G758" s="2">
        <f>VLOOKUP(B758, Course!$A$2:$L$950, 8, FALSE)</f>
        <v>12</v>
      </c>
      <c r="H758" s="2">
        <v>3</v>
      </c>
      <c r="I758" s="2">
        <v>1</v>
      </c>
      <c r="K758" s="2" t="s">
        <v>1915</v>
      </c>
      <c r="L758" s="2" t="str">
        <f>VLOOKUP(B758, Course!$A$1:$O$933, 14, FALSE)</f>
        <v>AA</v>
      </c>
      <c r="M758" s="2">
        <v>1</v>
      </c>
    </row>
    <row r="759" spans="1:13" ht="15.75" hidden="1" customHeight="1" x14ac:dyDescent="0.2">
      <c r="A759" s="2">
        <v>758</v>
      </c>
      <c r="B759" s="2">
        <v>66</v>
      </c>
      <c r="C759" s="2">
        <v>108</v>
      </c>
      <c r="D759" s="2" t="s">
        <v>555</v>
      </c>
      <c r="E759" s="2" t="str">
        <f t="shared" si="2"/>
        <v>1208AA03PT</v>
      </c>
      <c r="F759" s="2">
        <f>VLOOKUP(B759,Course!$A$2:$R$329,2,FALSE)</f>
        <v>0</v>
      </c>
      <c r="G759" s="2">
        <f>VLOOKUP(B759, Course!$A$2:$L$950, 8, FALSE)</f>
        <v>12</v>
      </c>
      <c r="H759" s="2">
        <v>3</v>
      </c>
      <c r="I759" s="2">
        <v>1</v>
      </c>
      <c r="K759" s="2" t="s">
        <v>1915</v>
      </c>
      <c r="L759" s="2" t="str">
        <f>VLOOKUP(B759, Course!$A$1:$O$933, 14, FALSE)</f>
        <v>AA</v>
      </c>
      <c r="M759" s="2">
        <v>1</v>
      </c>
    </row>
    <row r="760" spans="1:13" ht="15.75" hidden="1" customHeight="1" x14ac:dyDescent="0.2">
      <c r="A760" s="2">
        <v>759</v>
      </c>
      <c r="B760" s="2">
        <v>67</v>
      </c>
      <c r="C760" s="2">
        <v>1</v>
      </c>
      <c r="D760" s="2" t="s">
        <v>557</v>
      </c>
      <c r="E760" s="2" t="str">
        <f t="shared" si="2"/>
        <v>1001CA03PT</v>
      </c>
      <c r="F760" s="2">
        <f>VLOOKUP(B760,Course!$A$2:$R$329,2,FALSE)</f>
        <v>0</v>
      </c>
      <c r="G760" s="2">
        <f>VLOOKUP(B760, Course!$A$2:$L$950, 8, FALSE)</f>
        <v>10</v>
      </c>
      <c r="H760" s="2">
        <v>3</v>
      </c>
      <c r="I760" s="2">
        <v>1</v>
      </c>
      <c r="K760" s="2" t="s">
        <v>1915</v>
      </c>
      <c r="L760" s="2" t="str">
        <f>VLOOKUP(B760, Course!$A$1:$O$933, 14, FALSE)</f>
        <v>CA</v>
      </c>
      <c r="M760" s="2">
        <v>1</v>
      </c>
    </row>
    <row r="761" spans="1:13" ht="15.75" hidden="1" customHeight="1" x14ac:dyDescent="0.2">
      <c r="A761" s="2">
        <v>760</v>
      </c>
      <c r="B761" s="2">
        <v>67</v>
      </c>
      <c r="C761" s="2">
        <v>2</v>
      </c>
      <c r="D761" s="2" t="s">
        <v>557</v>
      </c>
      <c r="E761" s="2" t="str">
        <f t="shared" si="2"/>
        <v>1002CA03PT</v>
      </c>
      <c r="F761" s="2">
        <f>VLOOKUP(B761,Course!$A$2:$R$329,2,FALSE)</f>
        <v>0</v>
      </c>
      <c r="G761" s="2">
        <f>VLOOKUP(B761, Course!$A$2:$L$950, 8, FALSE)</f>
        <v>10</v>
      </c>
      <c r="H761" s="2">
        <v>3</v>
      </c>
      <c r="I761" s="2">
        <v>1</v>
      </c>
      <c r="K761" s="2" t="s">
        <v>1915</v>
      </c>
      <c r="L761" s="2" t="str">
        <f>VLOOKUP(B761, Course!$A$1:$O$933, 14, FALSE)</f>
        <v>CA</v>
      </c>
      <c r="M761" s="2">
        <v>1</v>
      </c>
    </row>
    <row r="762" spans="1:13" ht="15.75" hidden="1" customHeight="1" x14ac:dyDescent="0.2">
      <c r="A762" s="2">
        <v>761</v>
      </c>
      <c r="B762" s="2">
        <v>67</v>
      </c>
      <c r="C762" s="2">
        <v>3</v>
      </c>
      <c r="D762" s="2" t="s">
        <v>557</v>
      </c>
      <c r="E762" s="2" t="str">
        <f t="shared" si="2"/>
        <v>1003CA03PT</v>
      </c>
      <c r="F762" s="2">
        <f>VLOOKUP(B762,Course!$A$2:$R$329,2,FALSE)</f>
        <v>0</v>
      </c>
      <c r="G762" s="2">
        <f>VLOOKUP(B762, Course!$A$2:$L$950, 8, FALSE)</f>
        <v>10</v>
      </c>
      <c r="H762" s="2">
        <v>3</v>
      </c>
      <c r="I762" s="2">
        <v>1</v>
      </c>
      <c r="K762" s="2" t="s">
        <v>1915</v>
      </c>
      <c r="L762" s="2" t="str">
        <f>VLOOKUP(B762, Course!$A$1:$O$933, 14, FALSE)</f>
        <v>CA</v>
      </c>
      <c r="M762" s="2">
        <v>1</v>
      </c>
    </row>
    <row r="763" spans="1:13" ht="15.75" hidden="1" customHeight="1" x14ac:dyDescent="0.2">
      <c r="A763" s="2">
        <v>762</v>
      </c>
      <c r="B763" s="2">
        <v>67</v>
      </c>
      <c r="C763" s="2">
        <v>4</v>
      </c>
      <c r="D763" s="2" t="s">
        <v>557</v>
      </c>
      <c r="E763" s="2" t="str">
        <f t="shared" si="2"/>
        <v>1004CA03PT</v>
      </c>
      <c r="F763" s="2">
        <f>VLOOKUP(B763,Course!$A$2:$R$329,2,FALSE)</f>
        <v>0</v>
      </c>
      <c r="G763" s="2">
        <f>VLOOKUP(B763, Course!$A$2:$L$950, 8, FALSE)</f>
        <v>10</v>
      </c>
      <c r="H763" s="2">
        <v>3</v>
      </c>
      <c r="I763" s="2">
        <v>1</v>
      </c>
      <c r="K763" s="2" t="s">
        <v>1915</v>
      </c>
      <c r="L763" s="2" t="str">
        <f>VLOOKUP(B763, Course!$A$1:$O$933, 14, FALSE)</f>
        <v>CA</v>
      </c>
      <c r="M763" s="2">
        <v>1</v>
      </c>
    </row>
    <row r="764" spans="1:13" ht="15.75" hidden="1" customHeight="1" x14ac:dyDescent="0.2">
      <c r="A764" s="2">
        <v>763</v>
      </c>
      <c r="B764" s="2">
        <v>67</v>
      </c>
      <c r="C764" s="2">
        <v>5</v>
      </c>
      <c r="D764" s="2" t="s">
        <v>557</v>
      </c>
      <c r="E764" s="2" t="str">
        <f t="shared" si="2"/>
        <v>1005CA03PT</v>
      </c>
      <c r="F764" s="2">
        <f>VLOOKUP(B764,Course!$A$2:$R$329,2,FALSE)</f>
        <v>0</v>
      </c>
      <c r="G764" s="2">
        <f>VLOOKUP(B764, Course!$A$2:$L$950, 8, FALSE)</f>
        <v>10</v>
      </c>
      <c r="H764" s="2">
        <v>3</v>
      </c>
      <c r="I764" s="2">
        <v>1</v>
      </c>
      <c r="K764" s="2" t="s">
        <v>1915</v>
      </c>
      <c r="L764" s="2" t="str">
        <f>VLOOKUP(B764, Course!$A$1:$O$933, 14, FALSE)</f>
        <v>CA</v>
      </c>
      <c r="M764" s="2">
        <v>1</v>
      </c>
    </row>
    <row r="765" spans="1:13" ht="15.75" hidden="1" customHeight="1" x14ac:dyDescent="0.2">
      <c r="A765" s="2">
        <v>764</v>
      </c>
      <c r="B765" s="2">
        <v>67</v>
      </c>
      <c r="C765" s="2">
        <v>6</v>
      </c>
      <c r="D765" s="2" t="s">
        <v>557</v>
      </c>
      <c r="E765" s="2" t="str">
        <f t="shared" si="2"/>
        <v>1006CA03PT</v>
      </c>
      <c r="F765" s="2">
        <f>VLOOKUP(B765,Course!$A$2:$R$329,2,FALSE)</f>
        <v>0</v>
      </c>
      <c r="G765" s="2">
        <f>VLOOKUP(B765, Course!$A$2:$L$950, 8, FALSE)</f>
        <v>10</v>
      </c>
      <c r="H765" s="2">
        <v>3</v>
      </c>
      <c r="I765" s="2">
        <v>1</v>
      </c>
      <c r="K765" s="2" t="s">
        <v>1915</v>
      </c>
      <c r="L765" s="2" t="str">
        <f>VLOOKUP(B765, Course!$A$1:$O$933, 14, FALSE)</f>
        <v>CA</v>
      </c>
      <c r="M765" s="2">
        <v>1</v>
      </c>
    </row>
    <row r="766" spans="1:13" ht="15.75" hidden="1" customHeight="1" x14ac:dyDescent="0.2">
      <c r="A766" s="2">
        <v>765</v>
      </c>
      <c r="B766" s="2">
        <v>67</v>
      </c>
      <c r="C766" s="2">
        <v>7</v>
      </c>
      <c r="D766" s="2" t="s">
        <v>557</v>
      </c>
      <c r="E766" s="2" t="str">
        <f t="shared" si="2"/>
        <v>1007CA03PT</v>
      </c>
      <c r="F766" s="2">
        <f>VLOOKUP(B766,Course!$A$2:$R$329,2,FALSE)</f>
        <v>0</v>
      </c>
      <c r="G766" s="2">
        <f>VLOOKUP(B766, Course!$A$2:$L$950, 8, FALSE)</f>
        <v>10</v>
      </c>
      <c r="H766" s="2">
        <v>3</v>
      </c>
      <c r="I766" s="2">
        <v>1</v>
      </c>
      <c r="K766" s="2" t="s">
        <v>1915</v>
      </c>
      <c r="L766" s="2" t="str">
        <f>VLOOKUP(B766, Course!$A$1:$O$933, 14, FALSE)</f>
        <v>CA</v>
      </c>
      <c r="M766" s="2">
        <v>1</v>
      </c>
    </row>
    <row r="767" spans="1:13" ht="15.75" hidden="1" customHeight="1" x14ac:dyDescent="0.2">
      <c r="A767" s="2">
        <v>766</v>
      </c>
      <c r="B767" s="2">
        <v>67</v>
      </c>
      <c r="C767" s="2">
        <v>8</v>
      </c>
      <c r="D767" s="2" t="s">
        <v>557</v>
      </c>
      <c r="E767" s="2" t="str">
        <f t="shared" si="2"/>
        <v>1008CA03PT</v>
      </c>
      <c r="F767" s="2">
        <f>VLOOKUP(B767,Course!$A$2:$R$329,2,FALSE)</f>
        <v>0</v>
      </c>
      <c r="G767" s="2">
        <f>VLOOKUP(B767, Course!$A$2:$L$950, 8, FALSE)</f>
        <v>10</v>
      </c>
      <c r="H767" s="2">
        <v>3</v>
      </c>
      <c r="I767" s="2">
        <v>1</v>
      </c>
      <c r="K767" s="2" t="s">
        <v>1915</v>
      </c>
      <c r="L767" s="2" t="str">
        <f>VLOOKUP(B767, Course!$A$1:$O$933, 14, FALSE)</f>
        <v>CA</v>
      </c>
      <c r="M767" s="2">
        <v>1</v>
      </c>
    </row>
    <row r="768" spans="1:13" ht="15.75" hidden="1" customHeight="1" x14ac:dyDescent="0.2">
      <c r="A768" s="2">
        <v>767</v>
      </c>
      <c r="B768" s="2">
        <v>67</v>
      </c>
      <c r="C768" s="2">
        <v>9</v>
      </c>
      <c r="D768" s="2" t="s">
        <v>557</v>
      </c>
      <c r="E768" s="2" t="str">
        <f t="shared" ref="E768:E955" si="3">UPPER(LEFT(G768,2)) &amp; RIGHT("0" &amp; C768, 2) &amp; D768 &amp; RIGHT("0" &amp; H768, 2) &amp; K768</f>
        <v>1009CA03PT</v>
      </c>
      <c r="F768" s="2">
        <f>VLOOKUP(B768,Course!$A$2:$R$329,2,FALSE)</f>
        <v>0</v>
      </c>
      <c r="G768" s="2">
        <f>VLOOKUP(B768, Course!$A$2:$L$950, 8, FALSE)</f>
        <v>10</v>
      </c>
      <c r="H768" s="2">
        <v>3</v>
      </c>
      <c r="I768" s="2">
        <v>1</v>
      </c>
      <c r="K768" s="2" t="s">
        <v>1915</v>
      </c>
      <c r="L768" s="2" t="str">
        <f>VLOOKUP(B768, Course!$A$1:$O$933, 14, FALSE)</f>
        <v>CA</v>
      </c>
      <c r="M768" s="2">
        <v>1</v>
      </c>
    </row>
    <row r="769" spans="1:13" ht="15.75" hidden="1" customHeight="1" x14ac:dyDescent="0.2">
      <c r="A769" s="2">
        <v>768</v>
      </c>
      <c r="B769" s="2">
        <v>67</v>
      </c>
      <c r="C769" s="2">
        <v>10</v>
      </c>
      <c r="D769" s="2" t="s">
        <v>557</v>
      </c>
      <c r="E769" s="2" t="str">
        <f t="shared" si="3"/>
        <v>1010CA03PT</v>
      </c>
      <c r="F769" s="2">
        <f>VLOOKUP(B769,Course!$A$2:$R$329,2,FALSE)</f>
        <v>0</v>
      </c>
      <c r="G769" s="2">
        <f>VLOOKUP(B769, Course!$A$2:$L$950, 8, FALSE)</f>
        <v>10</v>
      </c>
      <c r="H769" s="2">
        <v>3</v>
      </c>
      <c r="I769" s="2">
        <v>1</v>
      </c>
      <c r="K769" s="2" t="s">
        <v>1915</v>
      </c>
      <c r="L769" s="2" t="str">
        <f>VLOOKUP(B769, Course!$A$1:$O$933, 14, FALSE)</f>
        <v>CA</v>
      </c>
      <c r="M769" s="2">
        <v>1</v>
      </c>
    </row>
    <row r="770" spans="1:13" ht="15.75" hidden="1" customHeight="1" x14ac:dyDescent="0.2">
      <c r="A770" s="2">
        <v>769</v>
      </c>
      <c r="B770" s="2">
        <v>68</v>
      </c>
      <c r="C770" s="2">
        <v>97</v>
      </c>
      <c r="D770" s="2" t="s">
        <v>559</v>
      </c>
      <c r="E770" s="2" t="str">
        <f t="shared" si="3"/>
        <v>1297ET03PT</v>
      </c>
      <c r="F770" s="2">
        <f>VLOOKUP(B770,Course!$A$2:$R$329,2,FALSE)</f>
        <v>0</v>
      </c>
      <c r="G770" s="2">
        <f>VLOOKUP(B770, Course!$A$2:$L$950, 8, FALSE)</f>
        <v>12</v>
      </c>
      <c r="H770" s="2">
        <v>3</v>
      </c>
      <c r="I770" s="2">
        <v>1</v>
      </c>
      <c r="K770" s="2" t="s">
        <v>1915</v>
      </c>
      <c r="L770" s="2" t="str">
        <f>VLOOKUP(B770, Course!$A$1:$O$933, 14, FALSE)</f>
        <v>ET</v>
      </c>
      <c r="M770" s="2">
        <v>1</v>
      </c>
    </row>
    <row r="771" spans="1:13" ht="15.75" hidden="1" customHeight="1" x14ac:dyDescent="0.2">
      <c r="A771" s="2">
        <v>770</v>
      </c>
      <c r="B771" s="2">
        <v>68</v>
      </c>
      <c r="C771" s="2">
        <v>98</v>
      </c>
      <c r="D771" s="2" t="s">
        <v>559</v>
      </c>
      <c r="E771" s="2" t="str">
        <f t="shared" si="3"/>
        <v>1298ET03PT</v>
      </c>
      <c r="F771" s="2">
        <f>VLOOKUP(B771,Course!$A$2:$R$329,2,FALSE)</f>
        <v>0</v>
      </c>
      <c r="G771" s="2">
        <f>VLOOKUP(B771, Course!$A$2:$L$950, 8, FALSE)</f>
        <v>12</v>
      </c>
      <c r="H771" s="2">
        <v>3</v>
      </c>
      <c r="I771" s="2">
        <v>1</v>
      </c>
      <c r="K771" s="2" t="s">
        <v>1915</v>
      </c>
      <c r="L771" s="2" t="str">
        <f>VLOOKUP(B771, Course!$A$1:$O$933, 14, FALSE)</f>
        <v>ET</v>
      </c>
      <c r="M771" s="2">
        <v>1</v>
      </c>
    </row>
    <row r="772" spans="1:13" ht="15.75" hidden="1" customHeight="1" x14ac:dyDescent="0.2">
      <c r="A772" s="2">
        <v>771</v>
      </c>
      <c r="B772" s="2">
        <v>68</v>
      </c>
      <c r="C772" s="2">
        <v>99</v>
      </c>
      <c r="D772" s="2" t="s">
        <v>559</v>
      </c>
      <c r="E772" s="2" t="str">
        <f t="shared" si="3"/>
        <v>1299ET03PT</v>
      </c>
      <c r="F772" s="2">
        <f>VLOOKUP(B772,Course!$A$2:$R$329,2,FALSE)</f>
        <v>0</v>
      </c>
      <c r="G772" s="2">
        <f>VLOOKUP(B772, Course!$A$2:$L$950, 8, FALSE)</f>
        <v>12</v>
      </c>
      <c r="H772" s="2">
        <v>3</v>
      </c>
      <c r="I772" s="2">
        <v>1</v>
      </c>
      <c r="K772" s="2" t="s">
        <v>1915</v>
      </c>
      <c r="L772" s="2" t="str">
        <f>VLOOKUP(B772, Course!$A$1:$O$933, 14, FALSE)</f>
        <v>ET</v>
      </c>
      <c r="M772" s="2">
        <v>1</v>
      </c>
    </row>
    <row r="773" spans="1:13" ht="15.75" hidden="1" customHeight="1" x14ac:dyDescent="0.2">
      <c r="A773" s="2">
        <v>772</v>
      </c>
      <c r="B773" s="2">
        <v>68</v>
      </c>
      <c r="C773" s="2">
        <v>100</v>
      </c>
      <c r="D773" s="2" t="s">
        <v>559</v>
      </c>
      <c r="E773" s="2" t="str">
        <f t="shared" si="3"/>
        <v>1200ET03PT</v>
      </c>
      <c r="F773" s="2">
        <f>VLOOKUP(B773,Course!$A$2:$R$329,2,FALSE)</f>
        <v>0</v>
      </c>
      <c r="G773" s="2">
        <f>VLOOKUP(B773, Course!$A$2:$L$950, 8, FALSE)</f>
        <v>12</v>
      </c>
      <c r="H773" s="2">
        <v>3</v>
      </c>
      <c r="I773" s="2">
        <v>1</v>
      </c>
      <c r="K773" s="2" t="s">
        <v>1915</v>
      </c>
      <c r="L773" s="2" t="str">
        <f>VLOOKUP(B773, Course!$A$1:$O$933, 14, FALSE)</f>
        <v>ET</v>
      </c>
      <c r="M773" s="2">
        <v>1</v>
      </c>
    </row>
    <row r="774" spans="1:13" ht="15.75" hidden="1" customHeight="1" x14ac:dyDescent="0.2">
      <c r="A774" s="2">
        <v>773</v>
      </c>
      <c r="B774" s="2">
        <v>68</v>
      </c>
      <c r="C774" s="2">
        <v>101</v>
      </c>
      <c r="D774" s="2" t="s">
        <v>559</v>
      </c>
      <c r="E774" s="2" t="str">
        <f t="shared" si="3"/>
        <v>1201ET03PT</v>
      </c>
      <c r="F774" s="2">
        <f>VLOOKUP(B774,Course!$A$2:$R$329,2,FALSE)</f>
        <v>0</v>
      </c>
      <c r="G774" s="2">
        <f>VLOOKUP(B774, Course!$A$2:$L$950, 8, FALSE)</f>
        <v>12</v>
      </c>
      <c r="H774" s="2">
        <v>3</v>
      </c>
      <c r="I774" s="2">
        <v>1</v>
      </c>
      <c r="K774" s="2" t="s">
        <v>1915</v>
      </c>
      <c r="L774" s="2" t="str">
        <f>VLOOKUP(B774, Course!$A$1:$O$933, 14, FALSE)</f>
        <v>ET</v>
      </c>
      <c r="M774" s="2">
        <v>1</v>
      </c>
    </row>
    <row r="775" spans="1:13" ht="15.75" hidden="1" customHeight="1" x14ac:dyDescent="0.2">
      <c r="A775" s="2">
        <v>774</v>
      </c>
      <c r="B775" s="2">
        <v>68</v>
      </c>
      <c r="C775" s="2">
        <v>102</v>
      </c>
      <c r="D775" s="2" t="s">
        <v>559</v>
      </c>
      <c r="E775" s="2" t="str">
        <f t="shared" si="3"/>
        <v>1202ET03PT</v>
      </c>
      <c r="F775" s="2">
        <f>VLOOKUP(B775,Course!$A$2:$R$329,2,FALSE)</f>
        <v>0</v>
      </c>
      <c r="G775" s="2">
        <f>VLOOKUP(B775, Course!$A$2:$L$950, 8, FALSE)</f>
        <v>12</v>
      </c>
      <c r="H775" s="2">
        <v>3</v>
      </c>
      <c r="I775" s="2">
        <v>1</v>
      </c>
      <c r="K775" s="2" t="s">
        <v>1915</v>
      </c>
      <c r="L775" s="2" t="str">
        <f>VLOOKUP(B775, Course!$A$1:$O$933, 14, FALSE)</f>
        <v>ET</v>
      </c>
      <c r="M775" s="2">
        <v>1</v>
      </c>
    </row>
    <row r="776" spans="1:13" ht="15.75" hidden="1" customHeight="1" x14ac:dyDescent="0.2">
      <c r="A776" s="2">
        <v>775</v>
      </c>
      <c r="B776" s="2">
        <v>68</v>
      </c>
      <c r="C776" s="2">
        <v>103</v>
      </c>
      <c r="D776" s="2" t="s">
        <v>559</v>
      </c>
      <c r="E776" s="2" t="str">
        <f t="shared" si="3"/>
        <v>1203ET03PT</v>
      </c>
      <c r="F776" s="2">
        <f>VLOOKUP(B776,Course!$A$2:$R$329,2,FALSE)</f>
        <v>0</v>
      </c>
      <c r="G776" s="2">
        <f>VLOOKUP(B776, Course!$A$2:$L$950, 8, FALSE)</f>
        <v>12</v>
      </c>
      <c r="H776" s="2">
        <v>3</v>
      </c>
      <c r="I776" s="2">
        <v>1</v>
      </c>
      <c r="K776" s="2" t="s">
        <v>1915</v>
      </c>
      <c r="L776" s="2" t="str">
        <f>VLOOKUP(B776, Course!$A$1:$O$933, 14, FALSE)</f>
        <v>ET</v>
      </c>
      <c r="M776" s="2">
        <v>1</v>
      </c>
    </row>
    <row r="777" spans="1:13" ht="15.75" hidden="1" customHeight="1" x14ac:dyDescent="0.2">
      <c r="A777" s="2">
        <v>776</v>
      </c>
      <c r="B777" s="2">
        <v>68</v>
      </c>
      <c r="C777" s="2">
        <v>104</v>
      </c>
      <c r="D777" s="2" t="s">
        <v>559</v>
      </c>
      <c r="E777" s="2" t="str">
        <f t="shared" si="3"/>
        <v>1204ET03PT</v>
      </c>
      <c r="F777" s="2">
        <f>VLOOKUP(B777,Course!$A$2:$R$329,2,FALSE)</f>
        <v>0</v>
      </c>
      <c r="G777" s="2">
        <f>VLOOKUP(B777, Course!$A$2:$L$950, 8, FALSE)</f>
        <v>12</v>
      </c>
      <c r="H777" s="2">
        <v>3</v>
      </c>
      <c r="I777" s="2">
        <v>1</v>
      </c>
      <c r="K777" s="2" t="s">
        <v>1915</v>
      </c>
      <c r="L777" s="2" t="str">
        <f>VLOOKUP(B777, Course!$A$1:$O$933, 14, FALSE)</f>
        <v>ET</v>
      </c>
      <c r="M777" s="2">
        <v>1</v>
      </c>
    </row>
    <row r="778" spans="1:13" ht="15.75" hidden="1" customHeight="1" x14ac:dyDescent="0.2">
      <c r="A778" s="2">
        <v>777</v>
      </c>
      <c r="B778" s="2">
        <v>68</v>
      </c>
      <c r="C778" s="2">
        <v>105</v>
      </c>
      <c r="D778" s="2" t="s">
        <v>559</v>
      </c>
      <c r="E778" s="2" t="str">
        <f t="shared" si="3"/>
        <v>1205ET03PT</v>
      </c>
      <c r="F778" s="2">
        <f>VLOOKUP(B778,Course!$A$2:$R$329,2,FALSE)</f>
        <v>0</v>
      </c>
      <c r="G778" s="2">
        <f>VLOOKUP(B778, Course!$A$2:$L$950, 8, FALSE)</f>
        <v>12</v>
      </c>
      <c r="H778" s="2">
        <v>3</v>
      </c>
      <c r="I778" s="2">
        <v>1</v>
      </c>
      <c r="K778" s="2" t="s">
        <v>1915</v>
      </c>
      <c r="L778" s="2" t="str">
        <f>VLOOKUP(B778, Course!$A$1:$O$933, 14, FALSE)</f>
        <v>ET</v>
      </c>
      <c r="M778" s="2">
        <v>1</v>
      </c>
    </row>
    <row r="779" spans="1:13" ht="15.75" hidden="1" customHeight="1" x14ac:dyDescent="0.2">
      <c r="A779" s="2">
        <v>778</v>
      </c>
      <c r="B779" s="2">
        <v>68</v>
      </c>
      <c r="C779" s="2">
        <v>106</v>
      </c>
      <c r="D779" s="2" t="s">
        <v>559</v>
      </c>
      <c r="E779" s="2" t="str">
        <f t="shared" si="3"/>
        <v>1206ET03PT</v>
      </c>
      <c r="F779" s="2">
        <f>VLOOKUP(B779,Course!$A$2:$R$329,2,FALSE)</f>
        <v>0</v>
      </c>
      <c r="G779" s="2">
        <f>VLOOKUP(B779, Course!$A$2:$L$950, 8, FALSE)</f>
        <v>12</v>
      </c>
      <c r="H779" s="2">
        <v>3</v>
      </c>
      <c r="I779" s="2">
        <v>1</v>
      </c>
      <c r="K779" s="2" t="s">
        <v>1915</v>
      </c>
      <c r="L779" s="2" t="str">
        <f>VLOOKUP(B779, Course!$A$1:$O$933, 14, FALSE)</f>
        <v>ET</v>
      </c>
      <c r="M779" s="2">
        <v>1</v>
      </c>
    </row>
    <row r="780" spans="1:13" ht="15.75" hidden="1" customHeight="1" x14ac:dyDescent="0.2">
      <c r="A780" s="2">
        <v>779</v>
      </c>
      <c r="B780" s="2">
        <v>68</v>
      </c>
      <c r="C780" s="2">
        <v>107</v>
      </c>
      <c r="D780" s="2" t="s">
        <v>559</v>
      </c>
      <c r="E780" s="2" t="str">
        <f t="shared" si="3"/>
        <v>1207ET03PT</v>
      </c>
      <c r="F780" s="2">
        <f>VLOOKUP(B780,Course!$A$2:$R$329,2,FALSE)</f>
        <v>0</v>
      </c>
      <c r="G780" s="2">
        <f>VLOOKUP(B780, Course!$A$2:$L$950, 8, FALSE)</f>
        <v>12</v>
      </c>
      <c r="H780" s="2">
        <v>3</v>
      </c>
      <c r="I780" s="2">
        <v>1</v>
      </c>
      <c r="K780" s="2" t="s">
        <v>1915</v>
      </c>
      <c r="L780" s="2" t="str">
        <f>VLOOKUP(B780, Course!$A$1:$O$933, 14, FALSE)</f>
        <v>ET</v>
      </c>
      <c r="M780" s="2">
        <v>1</v>
      </c>
    </row>
    <row r="781" spans="1:13" ht="15.75" hidden="1" customHeight="1" x14ac:dyDescent="0.2">
      <c r="A781" s="2">
        <v>780</v>
      </c>
      <c r="B781" s="2">
        <v>68</v>
      </c>
      <c r="C781" s="2">
        <v>108</v>
      </c>
      <c r="D781" s="2" t="s">
        <v>559</v>
      </c>
      <c r="E781" s="2" t="str">
        <f t="shared" si="3"/>
        <v>1208ET03PT</v>
      </c>
      <c r="F781" s="2">
        <f>VLOOKUP(B781,Course!$A$2:$R$329,2,FALSE)</f>
        <v>0</v>
      </c>
      <c r="G781" s="2">
        <f>VLOOKUP(B781, Course!$A$2:$L$950, 8, FALSE)</f>
        <v>12</v>
      </c>
      <c r="H781" s="2">
        <v>3</v>
      </c>
      <c r="I781" s="2">
        <v>1</v>
      </c>
      <c r="K781" s="2" t="s">
        <v>1915</v>
      </c>
      <c r="L781" s="2" t="str">
        <f>VLOOKUP(B781, Course!$A$1:$O$933, 14, FALSE)</f>
        <v>ET</v>
      </c>
      <c r="M781" s="2">
        <v>1</v>
      </c>
    </row>
    <row r="782" spans="1:13" ht="15.75" hidden="1" customHeight="1" x14ac:dyDescent="0.2">
      <c r="A782" s="2">
        <v>781</v>
      </c>
      <c r="B782" s="2">
        <v>69</v>
      </c>
      <c r="C782" s="2">
        <v>1</v>
      </c>
      <c r="D782" s="2" t="s">
        <v>561</v>
      </c>
      <c r="E782" s="2" t="str">
        <f t="shared" si="3"/>
        <v>601MU03PT</v>
      </c>
      <c r="F782" s="2">
        <f>VLOOKUP(B782,Course!$A$2:$R$329,2,FALSE)</f>
        <v>0</v>
      </c>
      <c r="G782" s="2">
        <f>VLOOKUP(B782, Course!$A$2:$L$950, 8, FALSE)</f>
        <v>6</v>
      </c>
      <c r="H782" s="2">
        <v>3</v>
      </c>
      <c r="I782" s="2">
        <v>1</v>
      </c>
      <c r="K782" s="2" t="s">
        <v>1915</v>
      </c>
      <c r="L782" s="2" t="str">
        <f>VLOOKUP(B782, Course!$A$1:$O$933, 14, FALSE)</f>
        <v>MU</v>
      </c>
      <c r="M782" s="2">
        <v>1</v>
      </c>
    </row>
    <row r="783" spans="1:13" ht="15.75" hidden="1" customHeight="1" x14ac:dyDescent="0.2">
      <c r="A783" s="2">
        <v>782</v>
      </c>
      <c r="B783" s="2">
        <v>69</v>
      </c>
      <c r="C783" s="2">
        <v>2</v>
      </c>
      <c r="D783" s="2" t="s">
        <v>561</v>
      </c>
      <c r="E783" s="2" t="str">
        <f t="shared" si="3"/>
        <v>602MU03PT</v>
      </c>
      <c r="F783" s="2">
        <f>VLOOKUP(B783,Course!$A$2:$R$329,2,FALSE)</f>
        <v>0</v>
      </c>
      <c r="G783" s="2">
        <f>VLOOKUP(B783, Course!$A$2:$L$950, 8, FALSE)</f>
        <v>6</v>
      </c>
      <c r="H783" s="2">
        <v>3</v>
      </c>
      <c r="I783" s="2">
        <v>1</v>
      </c>
      <c r="K783" s="2" t="s">
        <v>1915</v>
      </c>
      <c r="L783" s="2" t="str">
        <f>VLOOKUP(B783, Course!$A$1:$O$933, 14, FALSE)</f>
        <v>MU</v>
      </c>
      <c r="M783" s="2">
        <v>1</v>
      </c>
    </row>
    <row r="784" spans="1:13" ht="15.75" hidden="1" customHeight="1" x14ac:dyDescent="0.2">
      <c r="A784" s="2">
        <v>783</v>
      </c>
      <c r="B784" s="2">
        <v>69</v>
      </c>
      <c r="C784" s="2">
        <v>3</v>
      </c>
      <c r="D784" s="2" t="s">
        <v>561</v>
      </c>
      <c r="E784" s="2" t="str">
        <f t="shared" si="3"/>
        <v>603MU03PT</v>
      </c>
      <c r="F784" s="2">
        <f>VLOOKUP(B784,Course!$A$2:$R$329,2,FALSE)</f>
        <v>0</v>
      </c>
      <c r="G784" s="2">
        <f>VLOOKUP(B784, Course!$A$2:$L$950, 8, FALSE)</f>
        <v>6</v>
      </c>
      <c r="H784" s="2">
        <v>3</v>
      </c>
      <c r="I784" s="2">
        <v>1</v>
      </c>
      <c r="K784" s="2" t="s">
        <v>1915</v>
      </c>
      <c r="L784" s="2" t="str">
        <f>VLOOKUP(B784, Course!$A$1:$O$933, 14, FALSE)</f>
        <v>MU</v>
      </c>
      <c r="M784" s="2">
        <v>1</v>
      </c>
    </row>
    <row r="785" spans="1:13" ht="15.75" hidden="1" customHeight="1" x14ac:dyDescent="0.2">
      <c r="A785" s="2">
        <v>784</v>
      </c>
      <c r="B785" s="2">
        <v>69</v>
      </c>
      <c r="C785" s="2">
        <v>4</v>
      </c>
      <c r="D785" s="2" t="s">
        <v>561</v>
      </c>
      <c r="E785" s="2" t="str">
        <f t="shared" si="3"/>
        <v>604MU03PT</v>
      </c>
      <c r="F785" s="2">
        <f>VLOOKUP(B785,Course!$A$2:$R$329,2,FALSE)</f>
        <v>0</v>
      </c>
      <c r="G785" s="2">
        <f>VLOOKUP(B785, Course!$A$2:$L$950, 8, FALSE)</f>
        <v>6</v>
      </c>
      <c r="H785" s="2">
        <v>3</v>
      </c>
      <c r="I785" s="2">
        <v>1</v>
      </c>
      <c r="K785" s="2" t="s">
        <v>1915</v>
      </c>
      <c r="L785" s="2" t="str">
        <f>VLOOKUP(B785, Course!$A$1:$O$933, 14, FALSE)</f>
        <v>MU</v>
      </c>
      <c r="M785" s="2">
        <v>1</v>
      </c>
    </row>
    <row r="786" spans="1:13" ht="15.75" hidden="1" customHeight="1" x14ac:dyDescent="0.2">
      <c r="A786" s="2">
        <v>785</v>
      </c>
      <c r="B786" s="2">
        <v>69</v>
      </c>
      <c r="C786" s="2">
        <v>5</v>
      </c>
      <c r="D786" s="2" t="s">
        <v>561</v>
      </c>
      <c r="E786" s="2" t="str">
        <f t="shared" si="3"/>
        <v>605MU03PT</v>
      </c>
      <c r="F786" s="2">
        <f>VLOOKUP(B786,Course!$A$2:$R$329,2,FALSE)</f>
        <v>0</v>
      </c>
      <c r="G786" s="2">
        <f>VLOOKUP(B786, Course!$A$2:$L$950, 8, FALSE)</f>
        <v>6</v>
      </c>
      <c r="H786" s="2">
        <v>3</v>
      </c>
      <c r="I786" s="2">
        <v>1</v>
      </c>
      <c r="K786" s="2" t="s">
        <v>1915</v>
      </c>
      <c r="L786" s="2" t="str">
        <f>VLOOKUP(B786, Course!$A$1:$O$933, 14, FALSE)</f>
        <v>MU</v>
      </c>
      <c r="M786" s="2">
        <v>1</v>
      </c>
    </row>
    <row r="787" spans="1:13" ht="15.75" hidden="1" customHeight="1" x14ac:dyDescent="0.2">
      <c r="A787" s="2">
        <v>786</v>
      </c>
      <c r="B787" s="2">
        <v>69</v>
      </c>
      <c r="C787" s="2">
        <v>6</v>
      </c>
      <c r="D787" s="2" t="s">
        <v>561</v>
      </c>
      <c r="E787" s="2" t="str">
        <f t="shared" si="3"/>
        <v>606MU03PT</v>
      </c>
      <c r="F787" s="2">
        <f>VLOOKUP(B787,Course!$A$2:$R$329,2,FALSE)</f>
        <v>0</v>
      </c>
      <c r="G787" s="2">
        <f>VLOOKUP(B787, Course!$A$2:$L$950, 8, FALSE)</f>
        <v>6</v>
      </c>
      <c r="H787" s="2">
        <v>3</v>
      </c>
      <c r="I787" s="2">
        <v>1</v>
      </c>
      <c r="K787" s="2" t="s">
        <v>1915</v>
      </c>
      <c r="L787" s="2" t="str">
        <f>VLOOKUP(B787, Course!$A$1:$O$933, 14, FALSE)</f>
        <v>MU</v>
      </c>
      <c r="M787" s="2">
        <v>1</v>
      </c>
    </row>
    <row r="788" spans="1:13" ht="15.75" hidden="1" customHeight="1" x14ac:dyDescent="0.2">
      <c r="A788" s="2">
        <v>787</v>
      </c>
      <c r="B788" s="2">
        <v>70</v>
      </c>
      <c r="C788" s="2">
        <v>5</v>
      </c>
      <c r="D788" s="2" t="s">
        <v>563</v>
      </c>
      <c r="E788" s="2" t="str">
        <f t="shared" si="3"/>
        <v>205MT03PT</v>
      </c>
      <c r="F788" s="2">
        <f>VLOOKUP(B788,Course!$A$2:$R$329,2,FALSE)</f>
        <v>0</v>
      </c>
      <c r="G788" s="2">
        <f>VLOOKUP(B788, Course!$A$2:$L$950, 8, FALSE)</f>
        <v>2</v>
      </c>
      <c r="H788" s="2">
        <v>3</v>
      </c>
      <c r="I788" s="2">
        <v>1</v>
      </c>
      <c r="K788" s="2" t="s">
        <v>1915</v>
      </c>
      <c r="L788" s="2" t="str">
        <f>VLOOKUP(B788, Course!$A$1:$O$933, 14, FALSE)</f>
        <v>MT</v>
      </c>
      <c r="M788" s="2">
        <v>1</v>
      </c>
    </row>
    <row r="789" spans="1:13" ht="15.75" hidden="1" customHeight="1" x14ac:dyDescent="0.2">
      <c r="A789" s="2">
        <v>788</v>
      </c>
      <c r="B789" s="2">
        <v>70</v>
      </c>
      <c r="C789" s="2">
        <v>6</v>
      </c>
      <c r="D789" s="2" t="s">
        <v>563</v>
      </c>
      <c r="E789" s="2" t="str">
        <f t="shared" si="3"/>
        <v>206MT03PT</v>
      </c>
      <c r="F789" s="2">
        <f>VLOOKUP(B789,Course!$A$2:$R$329,2,FALSE)</f>
        <v>0</v>
      </c>
      <c r="G789" s="2">
        <f>VLOOKUP(B789, Course!$A$2:$L$950, 8, FALSE)</f>
        <v>2</v>
      </c>
      <c r="H789" s="2">
        <v>3</v>
      </c>
      <c r="I789" s="2">
        <v>1</v>
      </c>
      <c r="K789" s="2" t="s">
        <v>1915</v>
      </c>
      <c r="L789" s="2" t="str">
        <f>VLOOKUP(B789, Course!$A$1:$O$933, 14, FALSE)</f>
        <v>MT</v>
      </c>
      <c r="M789" s="2">
        <v>1</v>
      </c>
    </row>
    <row r="790" spans="1:13" ht="15.75" hidden="1" customHeight="1" x14ac:dyDescent="0.2">
      <c r="A790" s="2">
        <v>789</v>
      </c>
      <c r="B790" s="2">
        <v>71</v>
      </c>
      <c r="C790" s="2">
        <v>5</v>
      </c>
      <c r="D790" s="2" t="s">
        <v>563</v>
      </c>
      <c r="E790" s="2" t="str">
        <f t="shared" si="3"/>
        <v>205MT03PT</v>
      </c>
      <c r="F790" s="2">
        <f>VLOOKUP(B790,Course!$A$2:$R$329,2,FALSE)</f>
        <v>0</v>
      </c>
      <c r="G790" s="2">
        <f>VLOOKUP(B790, Course!$A$2:$L$950, 8, FALSE)</f>
        <v>2</v>
      </c>
      <c r="H790" s="2">
        <v>3</v>
      </c>
      <c r="I790" s="2">
        <v>1</v>
      </c>
      <c r="K790" s="2" t="s">
        <v>1915</v>
      </c>
      <c r="L790" s="2" t="str">
        <f>VLOOKUP(B790, Course!$A$1:$O$933, 14, FALSE)</f>
        <v>MT</v>
      </c>
      <c r="M790" s="2">
        <v>1</v>
      </c>
    </row>
    <row r="791" spans="1:13" ht="15.75" hidden="1" customHeight="1" x14ac:dyDescent="0.2">
      <c r="A791" s="2">
        <v>790</v>
      </c>
      <c r="B791" s="2">
        <v>71</v>
      </c>
      <c r="C791" s="2">
        <v>6</v>
      </c>
      <c r="D791" s="2" t="s">
        <v>563</v>
      </c>
      <c r="E791" s="2" t="str">
        <f t="shared" si="3"/>
        <v>206MT03PT</v>
      </c>
      <c r="F791" s="2">
        <f>VLOOKUP(B791,Course!$A$2:$R$329,2,FALSE)</f>
        <v>0</v>
      </c>
      <c r="G791" s="2">
        <f>VLOOKUP(B791, Course!$A$2:$L$950, 8, FALSE)</f>
        <v>2</v>
      </c>
      <c r="H791" s="2">
        <v>3</v>
      </c>
      <c r="I791" s="2">
        <v>1</v>
      </c>
      <c r="K791" s="2" t="s">
        <v>1915</v>
      </c>
      <c r="L791" s="2" t="str">
        <f>VLOOKUP(B791, Course!$A$1:$O$933, 14, FALSE)</f>
        <v>MT</v>
      </c>
      <c r="M791" s="2">
        <v>1</v>
      </c>
    </row>
    <row r="792" spans="1:13" ht="15.75" hidden="1" customHeight="1" x14ac:dyDescent="0.2">
      <c r="A792" s="2">
        <v>791</v>
      </c>
      <c r="B792" s="2">
        <v>72</v>
      </c>
      <c r="C792" s="2">
        <v>1</v>
      </c>
      <c r="D792" s="2" t="s">
        <v>566</v>
      </c>
      <c r="E792" s="2" t="str">
        <f t="shared" si="3"/>
        <v>601SP03PT</v>
      </c>
      <c r="F792" s="2">
        <f>VLOOKUP(B792,Course!$A$2:$R$329,2,FALSE)</f>
        <v>0</v>
      </c>
      <c r="G792" s="2">
        <f>VLOOKUP(B792, Course!$A$2:$L$950, 8, FALSE)</f>
        <v>6</v>
      </c>
      <c r="H792" s="2">
        <v>3</v>
      </c>
      <c r="I792" s="2">
        <v>1</v>
      </c>
      <c r="K792" s="2" t="s">
        <v>1915</v>
      </c>
      <c r="L792" s="2" t="str">
        <f>VLOOKUP(B792, Course!$A$1:$O$933, 14, FALSE)</f>
        <v>SP</v>
      </c>
      <c r="M792" s="2">
        <v>1</v>
      </c>
    </row>
    <row r="793" spans="1:13" ht="15.75" hidden="1" customHeight="1" x14ac:dyDescent="0.2">
      <c r="A793" s="2">
        <v>792</v>
      </c>
      <c r="B793" s="2">
        <v>72</v>
      </c>
      <c r="C793" s="2">
        <v>2</v>
      </c>
      <c r="D793" s="2" t="s">
        <v>566</v>
      </c>
      <c r="E793" s="2" t="str">
        <f t="shared" si="3"/>
        <v>602SP03PT</v>
      </c>
      <c r="F793" s="2">
        <f>VLOOKUP(B793,Course!$A$2:$R$329,2,FALSE)</f>
        <v>0</v>
      </c>
      <c r="G793" s="2">
        <f>VLOOKUP(B793, Course!$A$2:$L$950, 8, FALSE)</f>
        <v>6</v>
      </c>
      <c r="H793" s="2">
        <v>3</v>
      </c>
      <c r="I793" s="2">
        <v>1</v>
      </c>
      <c r="K793" s="2" t="s">
        <v>1915</v>
      </c>
      <c r="L793" s="2" t="str">
        <f>VLOOKUP(B793, Course!$A$1:$O$933, 14, FALSE)</f>
        <v>SP</v>
      </c>
      <c r="M793" s="2">
        <v>1</v>
      </c>
    </row>
    <row r="794" spans="1:13" ht="15.75" hidden="1" customHeight="1" x14ac:dyDescent="0.2">
      <c r="A794" s="2">
        <v>793</v>
      </c>
      <c r="B794" s="2">
        <v>72</v>
      </c>
      <c r="C794" s="2">
        <v>3</v>
      </c>
      <c r="D794" s="2" t="s">
        <v>566</v>
      </c>
      <c r="E794" s="2" t="str">
        <f t="shared" si="3"/>
        <v>603SP03PT</v>
      </c>
      <c r="F794" s="2">
        <f>VLOOKUP(B794,Course!$A$2:$R$329,2,FALSE)</f>
        <v>0</v>
      </c>
      <c r="G794" s="2">
        <f>VLOOKUP(B794, Course!$A$2:$L$950, 8, FALSE)</f>
        <v>6</v>
      </c>
      <c r="H794" s="2">
        <v>3</v>
      </c>
      <c r="I794" s="2">
        <v>1</v>
      </c>
      <c r="K794" s="2" t="s">
        <v>1915</v>
      </c>
      <c r="L794" s="2" t="str">
        <f>VLOOKUP(B794, Course!$A$1:$O$933, 14, FALSE)</f>
        <v>SP</v>
      </c>
      <c r="M794" s="2">
        <v>1</v>
      </c>
    </row>
    <row r="795" spans="1:13" ht="15.75" hidden="1" customHeight="1" x14ac:dyDescent="0.2">
      <c r="A795" s="2">
        <v>794</v>
      </c>
      <c r="B795" s="2">
        <v>72</v>
      </c>
      <c r="C795" s="2">
        <v>4</v>
      </c>
      <c r="D795" s="2" t="s">
        <v>566</v>
      </c>
      <c r="E795" s="2" t="str">
        <f t="shared" si="3"/>
        <v>604SP03PT</v>
      </c>
      <c r="F795" s="2">
        <f>VLOOKUP(B795,Course!$A$2:$R$329,2,FALSE)</f>
        <v>0</v>
      </c>
      <c r="G795" s="2">
        <f>VLOOKUP(B795, Course!$A$2:$L$950, 8, FALSE)</f>
        <v>6</v>
      </c>
      <c r="H795" s="2">
        <v>3</v>
      </c>
      <c r="I795" s="2">
        <v>1</v>
      </c>
      <c r="K795" s="2" t="s">
        <v>1915</v>
      </c>
      <c r="L795" s="2" t="str">
        <f>VLOOKUP(B795, Course!$A$1:$O$933, 14, FALSE)</f>
        <v>SP</v>
      </c>
      <c r="M795" s="2">
        <v>1</v>
      </c>
    </row>
    <row r="796" spans="1:13" ht="15.75" hidden="1" customHeight="1" x14ac:dyDescent="0.2">
      <c r="A796" s="2">
        <v>795</v>
      </c>
      <c r="B796" s="2">
        <v>72</v>
      </c>
      <c r="C796" s="2">
        <v>5</v>
      </c>
      <c r="D796" s="2" t="s">
        <v>566</v>
      </c>
      <c r="E796" s="2" t="str">
        <f t="shared" si="3"/>
        <v>605SP03PT</v>
      </c>
      <c r="F796" s="2">
        <f>VLOOKUP(B796,Course!$A$2:$R$329,2,FALSE)</f>
        <v>0</v>
      </c>
      <c r="G796" s="2">
        <f>VLOOKUP(B796, Course!$A$2:$L$950, 8, FALSE)</f>
        <v>6</v>
      </c>
      <c r="H796" s="2">
        <v>3</v>
      </c>
      <c r="I796" s="2">
        <v>1</v>
      </c>
      <c r="K796" s="2" t="s">
        <v>1915</v>
      </c>
      <c r="L796" s="2" t="str">
        <f>VLOOKUP(B796, Course!$A$1:$O$933, 14, FALSE)</f>
        <v>SP</v>
      </c>
      <c r="M796" s="2">
        <v>1</v>
      </c>
    </row>
    <row r="797" spans="1:13" ht="15.75" hidden="1" customHeight="1" x14ac:dyDescent="0.2">
      <c r="A797" s="2">
        <v>796</v>
      </c>
      <c r="B797" s="2">
        <v>72</v>
      </c>
      <c r="C797" s="2">
        <v>6</v>
      </c>
      <c r="D797" s="2" t="s">
        <v>566</v>
      </c>
      <c r="E797" s="2" t="str">
        <f t="shared" si="3"/>
        <v>606SP03PT</v>
      </c>
      <c r="F797" s="2">
        <f>VLOOKUP(B797,Course!$A$2:$R$329,2,FALSE)</f>
        <v>0</v>
      </c>
      <c r="G797" s="2">
        <f>VLOOKUP(B797, Course!$A$2:$L$950, 8, FALSE)</f>
        <v>6</v>
      </c>
      <c r="H797" s="2">
        <v>3</v>
      </c>
      <c r="I797" s="2">
        <v>1</v>
      </c>
      <c r="K797" s="2" t="s">
        <v>1915</v>
      </c>
      <c r="L797" s="2" t="str">
        <f>VLOOKUP(B797, Course!$A$1:$O$933, 14, FALSE)</f>
        <v>SP</v>
      </c>
      <c r="M797" s="2">
        <v>1</v>
      </c>
    </row>
    <row r="798" spans="1:13" ht="15.75" hidden="1" customHeight="1" x14ac:dyDescent="0.2">
      <c r="A798" s="2">
        <v>797</v>
      </c>
      <c r="B798" s="2">
        <v>73</v>
      </c>
      <c r="C798" s="2">
        <v>1</v>
      </c>
      <c r="D798" s="2" t="s">
        <v>569</v>
      </c>
      <c r="E798" s="2" t="str">
        <f t="shared" si="3"/>
        <v>401I903PT</v>
      </c>
      <c r="F798" s="2">
        <f>VLOOKUP(B798,Course!$A$2:$R$329,2,FALSE)</f>
        <v>0</v>
      </c>
      <c r="G798" s="2">
        <f>VLOOKUP(B798, Course!$A$2:$L$950, 8, FALSE)</f>
        <v>4</v>
      </c>
      <c r="H798" s="2">
        <v>3</v>
      </c>
      <c r="I798" s="2">
        <v>1</v>
      </c>
      <c r="K798" s="2" t="s">
        <v>1915</v>
      </c>
      <c r="L798" s="2" t="str">
        <f>VLOOKUP(B798, Course!$A$1:$O$933, 14, FALSE)</f>
        <v>I9</v>
      </c>
      <c r="M798" s="2">
        <v>1</v>
      </c>
    </row>
    <row r="799" spans="1:13" ht="15.75" hidden="1" customHeight="1" x14ac:dyDescent="0.2">
      <c r="A799" s="2">
        <v>798</v>
      </c>
      <c r="B799" s="2">
        <v>73</v>
      </c>
      <c r="C799" s="2">
        <v>2</v>
      </c>
      <c r="D799" s="2" t="s">
        <v>569</v>
      </c>
      <c r="E799" s="2" t="str">
        <f t="shared" si="3"/>
        <v>402I903PT</v>
      </c>
      <c r="F799" s="2">
        <f>VLOOKUP(B799,Course!$A$2:$R$329,2,FALSE)</f>
        <v>0</v>
      </c>
      <c r="G799" s="2">
        <f>VLOOKUP(B799, Course!$A$2:$L$950, 8, FALSE)</f>
        <v>4</v>
      </c>
      <c r="H799" s="2">
        <v>3</v>
      </c>
      <c r="I799" s="2">
        <v>1</v>
      </c>
      <c r="K799" s="2" t="s">
        <v>1915</v>
      </c>
      <c r="L799" s="2" t="str">
        <f>VLOOKUP(B799, Course!$A$1:$O$933, 14, FALSE)</f>
        <v>I9</v>
      </c>
      <c r="M799" s="2">
        <v>1</v>
      </c>
    </row>
    <row r="800" spans="1:13" ht="15.75" hidden="1" customHeight="1" x14ac:dyDescent="0.2">
      <c r="A800" s="2">
        <v>799</v>
      </c>
      <c r="B800" s="2">
        <v>73</v>
      </c>
      <c r="C800" s="2">
        <v>3</v>
      </c>
      <c r="D800" s="2" t="s">
        <v>569</v>
      </c>
      <c r="E800" s="2" t="str">
        <f t="shared" si="3"/>
        <v>403I903PT</v>
      </c>
      <c r="F800" s="2">
        <f>VLOOKUP(B800,Course!$A$2:$R$329,2,FALSE)</f>
        <v>0</v>
      </c>
      <c r="G800" s="2">
        <f>VLOOKUP(B800, Course!$A$2:$L$950, 8, FALSE)</f>
        <v>4</v>
      </c>
      <c r="H800" s="2">
        <v>3</v>
      </c>
      <c r="I800" s="2">
        <v>1</v>
      </c>
      <c r="K800" s="2" t="s">
        <v>1915</v>
      </c>
      <c r="L800" s="2" t="str">
        <f>VLOOKUP(B800, Course!$A$1:$O$933, 14, FALSE)</f>
        <v>I9</v>
      </c>
      <c r="M800" s="2">
        <v>1</v>
      </c>
    </row>
    <row r="801" spans="1:13" ht="15.75" hidden="1" customHeight="1" x14ac:dyDescent="0.2">
      <c r="A801" s="2">
        <v>800</v>
      </c>
      <c r="B801" s="2">
        <v>73</v>
      </c>
      <c r="C801" s="2">
        <v>4</v>
      </c>
      <c r="D801" s="2" t="s">
        <v>569</v>
      </c>
      <c r="E801" s="2" t="str">
        <f t="shared" si="3"/>
        <v>404I903PT</v>
      </c>
      <c r="F801" s="2">
        <f>VLOOKUP(B801,Course!$A$2:$R$329,2,FALSE)</f>
        <v>0</v>
      </c>
      <c r="G801" s="2">
        <f>VLOOKUP(B801, Course!$A$2:$L$950, 8, FALSE)</f>
        <v>4</v>
      </c>
      <c r="H801" s="2">
        <v>3</v>
      </c>
      <c r="I801" s="2">
        <v>1</v>
      </c>
      <c r="K801" s="2" t="s">
        <v>1915</v>
      </c>
      <c r="L801" s="2" t="str">
        <f>VLOOKUP(B801, Course!$A$1:$O$933, 14, FALSE)</f>
        <v>I9</v>
      </c>
      <c r="M801" s="2">
        <v>1</v>
      </c>
    </row>
    <row r="802" spans="1:13" ht="15.75" hidden="1" customHeight="1" x14ac:dyDescent="0.2">
      <c r="A802" s="2">
        <v>801</v>
      </c>
      <c r="B802" s="2">
        <v>73</v>
      </c>
      <c r="C802" s="2">
        <v>98</v>
      </c>
      <c r="D802" s="2" t="s">
        <v>479</v>
      </c>
      <c r="E802" s="2" t="str">
        <f t="shared" si="3"/>
        <v>498LC03PT</v>
      </c>
      <c r="F802" s="2">
        <f>VLOOKUP(B802,Course!$A$2:$R$329,2,FALSE)</f>
        <v>0</v>
      </c>
      <c r="G802" s="2">
        <f>VLOOKUP(B802, Course!$A$2:$L$950, 8, FALSE)</f>
        <v>4</v>
      </c>
      <c r="H802" s="2">
        <v>3</v>
      </c>
      <c r="I802" s="2">
        <v>1</v>
      </c>
      <c r="K802" s="2" t="s">
        <v>1915</v>
      </c>
      <c r="L802" s="2" t="str">
        <f>VLOOKUP(B802, Course!$A$1:$O$933, 14, FALSE)</f>
        <v>I9</v>
      </c>
      <c r="M802" s="2">
        <v>1</v>
      </c>
    </row>
    <row r="803" spans="1:13" ht="15.75" hidden="1" customHeight="1" x14ac:dyDescent="0.2">
      <c r="A803" s="2">
        <v>802</v>
      </c>
      <c r="B803" s="2">
        <v>48</v>
      </c>
      <c r="C803" s="2">
        <v>73</v>
      </c>
      <c r="D803" s="2" t="s">
        <v>479</v>
      </c>
      <c r="E803" s="2" t="str">
        <f t="shared" si="3"/>
        <v>1273LC03PT</v>
      </c>
      <c r="F803" s="2">
        <f>VLOOKUP(B803,Course!$A$2:$R$329,2,FALSE)</f>
        <v>0</v>
      </c>
      <c r="G803" s="2">
        <f>VLOOKUP(B803, Course!$A$2:$L$950, 8, FALSE)</f>
        <v>12</v>
      </c>
      <c r="H803" s="2">
        <v>3</v>
      </c>
      <c r="I803" s="2">
        <v>1</v>
      </c>
      <c r="K803" s="2" t="s">
        <v>1915</v>
      </c>
      <c r="L803" s="2" t="str">
        <f>VLOOKUP(B803, Course!$A$1:$O$933, 14, FALSE)</f>
        <v>LC</v>
      </c>
      <c r="M803" s="2">
        <v>1</v>
      </c>
    </row>
    <row r="804" spans="1:13" ht="15.75" hidden="1" customHeight="1" x14ac:dyDescent="0.2">
      <c r="A804" s="2">
        <v>803</v>
      </c>
      <c r="B804" s="2">
        <v>73</v>
      </c>
      <c r="C804" s="2">
        <v>100</v>
      </c>
      <c r="D804" s="2" t="s">
        <v>479</v>
      </c>
      <c r="E804" s="2" t="str">
        <f t="shared" si="3"/>
        <v>400LC03PT</v>
      </c>
      <c r="F804" s="2">
        <f>VLOOKUP(B804,Course!$A$2:$R$329,2,FALSE)</f>
        <v>0</v>
      </c>
      <c r="G804" s="2">
        <f>VLOOKUP(B804, Course!$A$2:$L$950, 8, FALSE)</f>
        <v>4</v>
      </c>
      <c r="H804" s="2">
        <v>3</v>
      </c>
      <c r="I804" s="2">
        <v>1</v>
      </c>
      <c r="K804" s="2" t="s">
        <v>1915</v>
      </c>
      <c r="L804" s="2" t="str">
        <f>VLOOKUP(B804, Course!$A$1:$O$933, 14, FALSE)</f>
        <v>I9</v>
      </c>
      <c r="M804" s="2">
        <v>1</v>
      </c>
    </row>
    <row r="805" spans="1:13" ht="15.75" hidden="1" customHeight="1" x14ac:dyDescent="0.2">
      <c r="A805" s="2">
        <v>805</v>
      </c>
      <c r="B805" s="2">
        <v>73</v>
      </c>
      <c r="C805" s="2">
        <v>102</v>
      </c>
      <c r="D805" s="2" t="s">
        <v>479</v>
      </c>
      <c r="E805" s="2" t="str">
        <f t="shared" si="3"/>
        <v>402LC03PT</v>
      </c>
      <c r="F805" s="2">
        <f>VLOOKUP(B805,Course!$A$2:$R$329,2,FALSE)</f>
        <v>0</v>
      </c>
      <c r="G805" s="2">
        <f>VLOOKUP(B805, Course!$A$2:$L$950, 8, FALSE)</f>
        <v>4</v>
      </c>
      <c r="H805" s="2">
        <v>3</v>
      </c>
      <c r="I805" s="2">
        <v>1</v>
      </c>
      <c r="K805" s="2" t="s">
        <v>1915</v>
      </c>
      <c r="L805" s="2" t="str">
        <f>VLOOKUP(B805, Course!$A$1:$O$933, 14, FALSE)</f>
        <v>I9</v>
      </c>
      <c r="M805" s="2">
        <v>1</v>
      </c>
    </row>
    <row r="806" spans="1:13" ht="15.75" hidden="1" customHeight="1" x14ac:dyDescent="0.2">
      <c r="A806" s="2">
        <v>807</v>
      </c>
      <c r="B806" s="2">
        <v>73</v>
      </c>
      <c r="C806" s="2">
        <v>104</v>
      </c>
      <c r="D806" s="2" t="s">
        <v>479</v>
      </c>
      <c r="E806" s="2" t="str">
        <f t="shared" si="3"/>
        <v>404LC03PT</v>
      </c>
      <c r="F806" s="2">
        <f>VLOOKUP(B806,Course!$A$2:$R$329,2,FALSE)</f>
        <v>0</v>
      </c>
      <c r="G806" s="2">
        <f>VLOOKUP(B806, Course!$A$2:$L$950, 8, FALSE)</f>
        <v>4</v>
      </c>
      <c r="H806" s="2">
        <v>3</v>
      </c>
      <c r="I806" s="2">
        <v>1</v>
      </c>
      <c r="K806" s="2" t="s">
        <v>1915</v>
      </c>
      <c r="L806" s="2" t="str">
        <f>VLOOKUP(B806, Course!$A$1:$O$933, 14, FALSE)</f>
        <v>I9</v>
      </c>
      <c r="M806" s="2">
        <v>1</v>
      </c>
    </row>
    <row r="807" spans="1:13" ht="15.75" hidden="1" customHeight="1" x14ac:dyDescent="0.2">
      <c r="A807" s="2">
        <v>809</v>
      </c>
      <c r="B807" s="2">
        <v>73</v>
      </c>
      <c r="C807" s="2">
        <v>106</v>
      </c>
      <c r="D807" s="2" t="s">
        <v>479</v>
      </c>
      <c r="E807" s="2" t="str">
        <f t="shared" si="3"/>
        <v>406LC03PT</v>
      </c>
      <c r="F807" s="2">
        <f>VLOOKUP(B807,Course!$A$2:$R$329,2,FALSE)</f>
        <v>0</v>
      </c>
      <c r="G807" s="2">
        <f>VLOOKUP(B807, Course!$A$2:$L$950, 8, FALSE)</f>
        <v>4</v>
      </c>
      <c r="H807" s="2">
        <v>3</v>
      </c>
      <c r="I807" s="2">
        <v>1</v>
      </c>
      <c r="K807" s="2" t="s">
        <v>1915</v>
      </c>
      <c r="L807" s="2" t="str">
        <f>VLOOKUP(B807, Course!$A$1:$O$933, 14, FALSE)</f>
        <v>I9</v>
      </c>
      <c r="M807" s="2">
        <v>1</v>
      </c>
    </row>
    <row r="808" spans="1:13" ht="15.75" hidden="1" customHeight="1" x14ac:dyDescent="0.2">
      <c r="A808" s="2">
        <v>811</v>
      </c>
      <c r="B808" s="2">
        <v>73</v>
      </c>
      <c r="C808" s="2">
        <v>108</v>
      </c>
      <c r="D808" s="2" t="s">
        <v>479</v>
      </c>
      <c r="E808" s="2" t="str">
        <f t="shared" si="3"/>
        <v>408LC03PT</v>
      </c>
      <c r="F808" s="2">
        <f>VLOOKUP(B808,Course!$A$2:$R$329,2,FALSE)</f>
        <v>0</v>
      </c>
      <c r="G808" s="2">
        <f>VLOOKUP(B808, Course!$A$2:$L$950, 8, FALSE)</f>
        <v>4</v>
      </c>
      <c r="H808" s="2">
        <v>3</v>
      </c>
      <c r="I808" s="2">
        <v>1</v>
      </c>
      <c r="K808" s="2" t="s">
        <v>1915</v>
      </c>
      <c r="L808" s="2" t="str">
        <f>VLOOKUP(B808, Course!$A$1:$O$933, 14, FALSE)</f>
        <v>I9</v>
      </c>
      <c r="M808" s="2">
        <v>1</v>
      </c>
    </row>
    <row r="809" spans="1:13" ht="15.75" hidden="1" customHeight="1" x14ac:dyDescent="0.2">
      <c r="A809" s="2">
        <v>812</v>
      </c>
      <c r="B809" s="2">
        <v>74</v>
      </c>
      <c r="C809" s="2">
        <v>1</v>
      </c>
      <c r="D809" s="2" t="s">
        <v>571</v>
      </c>
      <c r="E809" s="2" t="str">
        <f t="shared" si="3"/>
        <v>501AS03PT</v>
      </c>
      <c r="F809" s="2">
        <f>VLOOKUP(B809,Course!$A$2:$R$329,2,FALSE)</f>
        <v>0</v>
      </c>
      <c r="G809" s="2">
        <f>VLOOKUP(B809, Course!$A$2:$L$950, 8, FALSE)</f>
        <v>5</v>
      </c>
      <c r="H809" s="2">
        <v>3</v>
      </c>
      <c r="I809" s="2">
        <v>1</v>
      </c>
      <c r="K809" s="2" t="s">
        <v>1915</v>
      </c>
      <c r="L809" s="2" t="str">
        <f>VLOOKUP(B809, Course!$A$1:$O$933, 14, FALSE)</f>
        <v>AS</v>
      </c>
      <c r="M809" s="2">
        <v>1</v>
      </c>
    </row>
    <row r="810" spans="1:13" ht="15.75" hidden="1" customHeight="1" x14ac:dyDescent="0.2">
      <c r="A810" s="2">
        <v>813</v>
      </c>
      <c r="B810" s="2">
        <v>74</v>
      </c>
      <c r="C810" s="2">
        <v>2</v>
      </c>
      <c r="D810" s="2" t="s">
        <v>571</v>
      </c>
      <c r="E810" s="2" t="str">
        <f t="shared" si="3"/>
        <v>502AS03PT</v>
      </c>
      <c r="F810" s="2">
        <f>VLOOKUP(B810,Course!$A$2:$R$329,2,FALSE)</f>
        <v>0</v>
      </c>
      <c r="G810" s="2">
        <f>VLOOKUP(B810, Course!$A$2:$L$950, 8, FALSE)</f>
        <v>5</v>
      </c>
      <c r="H810" s="2">
        <v>3</v>
      </c>
      <c r="I810" s="2">
        <v>1</v>
      </c>
      <c r="K810" s="2" t="s">
        <v>1915</v>
      </c>
      <c r="L810" s="2" t="str">
        <f>VLOOKUP(B810, Course!$A$1:$O$933, 14, FALSE)</f>
        <v>AS</v>
      </c>
      <c r="M810" s="2">
        <v>1</v>
      </c>
    </row>
    <row r="811" spans="1:13" ht="15.75" hidden="1" customHeight="1" x14ac:dyDescent="0.2">
      <c r="A811" s="2">
        <v>814</v>
      </c>
      <c r="B811" s="2">
        <v>74</v>
      </c>
      <c r="C811" s="2">
        <v>3</v>
      </c>
      <c r="D811" s="2" t="s">
        <v>571</v>
      </c>
      <c r="E811" s="2" t="str">
        <f t="shared" si="3"/>
        <v>503AS03PT</v>
      </c>
      <c r="F811" s="2">
        <f>VLOOKUP(B811,Course!$A$2:$R$329,2,FALSE)</f>
        <v>0</v>
      </c>
      <c r="G811" s="2">
        <f>VLOOKUP(B811, Course!$A$2:$L$950, 8, FALSE)</f>
        <v>5</v>
      </c>
      <c r="H811" s="2">
        <v>3</v>
      </c>
      <c r="I811" s="2">
        <v>1</v>
      </c>
      <c r="K811" s="2" t="s">
        <v>1915</v>
      </c>
      <c r="L811" s="2" t="str">
        <f>VLOOKUP(B811, Course!$A$1:$O$933, 14, FALSE)</f>
        <v>AS</v>
      </c>
      <c r="M811" s="2">
        <v>1</v>
      </c>
    </row>
    <row r="812" spans="1:13" ht="15.75" hidden="1" customHeight="1" x14ac:dyDescent="0.2">
      <c r="A812" s="2">
        <v>815</v>
      </c>
      <c r="B812" s="2">
        <v>74</v>
      </c>
      <c r="C812" s="2">
        <v>4</v>
      </c>
      <c r="D812" s="2" t="s">
        <v>571</v>
      </c>
      <c r="E812" s="2" t="str">
        <f t="shared" si="3"/>
        <v>504AS03PT</v>
      </c>
      <c r="F812" s="2">
        <f>VLOOKUP(B812,Course!$A$2:$R$329,2,FALSE)</f>
        <v>0</v>
      </c>
      <c r="G812" s="2">
        <f>VLOOKUP(B812, Course!$A$2:$L$950, 8, FALSE)</f>
        <v>5</v>
      </c>
      <c r="H812" s="2">
        <v>3</v>
      </c>
      <c r="I812" s="2">
        <v>1</v>
      </c>
      <c r="K812" s="2" t="s">
        <v>1915</v>
      </c>
      <c r="L812" s="2" t="str">
        <f>VLOOKUP(B812, Course!$A$1:$O$933, 14, FALSE)</f>
        <v>AS</v>
      </c>
      <c r="M812" s="2">
        <v>1</v>
      </c>
    </row>
    <row r="813" spans="1:13" ht="15.75" hidden="1" customHeight="1" x14ac:dyDescent="0.2">
      <c r="A813" s="2">
        <v>816</v>
      </c>
      <c r="B813" s="2">
        <v>74</v>
      </c>
      <c r="C813" s="2">
        <v>5</v>
      </c>
      <c r="D813" s="2" t="s">
        <v>571</v>
      </c>
      <c r="E813" s="2" t="str">
        <f t="shared" si="3"/>
        <v>505AS03PT</v>
      </c>
      <c r="F813" s="2">
        <f>VLOOKUP(B813,Course!$A$2:$R$329,2,FALSE)</f>
        <v>0</v>
      </c>
      <c r="G813" s="2">
        <f>VLOOKUP(B813, Course!$A$2:$L$950, 8, FALSE)</f>
        <v>5</v>
      </c>
      <c r="H813" s="2">
        <v>3</v>
      </c>
      <c r="I813" s="2">
        <v>1</v>
      </c>
      <c r="K813" s="2" t="s">
        <v>1915</v>
      </c>
      <c r="L813" s="2" t="str">
        <f>VLOOKUP(B813, Course!$A$1:$O$933, 14, FALSE)</f>
        <v>AS</v>
      </c>
      <c r="M813" s="2">
        <v>1</v>
      </c>
    </row>
    <row r="814" spans="1:13" ht="15.75" hidden="1" customHeight="1" x14ac:dyDescent="0.2">
      <c r="A814" s="2">
        <v>817</v>
      </c>
      <c r="B814" s="2">
        <v>75</v>
      </c>
      <c r="C814" s="2">
        <v>97</v>
      </c>
      <c r="D814" s="2" t="s">
        <v>574</v>
      </c>
      <c r="E814" s="2" t="str">
        <f t="shared" si="3"/>
        <v>1297BI03PT</v>
      </c>
      <c r="F814" s="2" t="str">
        <f>VLOOKUP(B814,Course!$A$2:$R$329,2,FALSE)</f>
        <v>Science 9</v>
      </c>
      <c r="G814" s="2">
        <f>VLOOKUP(B814, Course!$A$2:$L$950, 8, FALSE)</f>
        <v>12</v>
      </c>
      <c r="H814" s="2">
        <v>3</v>
      </c>
      <c r="I814" s="2">
        <v>1</v>
      </c>
      <c r="K814" s="2" t="s">
        <v>1915</v>
      </c>
      <c r="L814" s="2" t="str">
        <f>VLOOKUP(B814, Course!$A$1:$O$933, 14, FALSE)</f>
        <v>BI</v>
      </c>
      <c r="M814" s="2">
        <v>1</v>
      </c>
    </row>
    <row r="815" spans="1:13" ht="15.75" hidden="1" customHeight="1" x14ac:dyDescent="0.2">
      <c r="A815" s="2">
        <v>818</v>
      </c>
      <c r="B815" s="2">
        <v>75</v>
      </c>
      <c r="C815" s="2">
        <v>98</v>
      </c>
      <c r="D815" s="2" t="s">
        <v>574</v>
      </c>
      <c r="E815" s="2" t="str">
        <f t="shared" si="3"/>
        <v>1298BI03PT</v>
      </c>
      <c r="F815" s="2" t="str">
        <f>VLOOKUP(B815,Course!$A$2:$R$329,2,FALSE)</f>
        <v>Science 9</v>
      </c>
      <c r="G815" s="2">
        <f>VLOOKUP(B815, Course!$A$2:$L$950, 8, FALSE)</f>
        <v>12</v>
      </c>
      <c r="H815" s="2">
        <v>3</v>
      </c>
      <c r="I815" s="2">
        <v>1</v>
      </c>
      <c r="K815" s="2" t="s">
        <v>1915</v>
      </c>
      <c r="L815" s="2" t="str">
        <f>VLOOKUP(B815, Course!$A$1:$O$933, 14, FALSE)</f>
        <v>BI</v>
      </c>
      <c r="M815" s="2">
        <v>1</v>
      </c>
    </row>
    <row r="816" spans="1:13" ht="15.75" hidden="1" customHeight="1" x14ac:dyDescent="0.2">
      <c r="A816" s="2">
        <v>819</v>
      </c>
      <c r="B816" s="2">
        <v>75</v>
      </c>
      <c r="C816" s="2">
        <v>99</v>
      </c>
      <c r="D816" s="2" t="s">
        <v>574</v>
      </c>
      <c r="E816" s="2" t="str">
        <f t="shared" si="3"/>
        <v>1299BI03PT</v>
      </c>
      <c r="F816" s="2" t="str">
        <f>VLOOKUP(B816,Course!$A$2:$R$329,2,FALSE)</f>
        <v>Science 9</v>
      </c>
      <c r="G816" s="2">
        <f>VLOOKUP(B816, Course!$A$2:$L$950, 8, FALSE)</f>
        <v>12</v>
      </c>
      <c r="H816" s="2">
        <v>3</v>
      </c>
      <c r="I816" s="2">
        <v>1</v>
      </c>
      <c r="K816" s="2" t="s">
        <v>1915</v>
      </c>
      <c r="L816" s="2" t="str">
        <f>VLOOKUP(B816, Course!$A$1:$O$933, 14, FALSE)</f>
        <v>BI</v>
      </c>
      <c r="M816" s="2">
        <v>1</v>
      </c>
    </row>
    <row r="817" spans="1:13" ht="15.75" hidden="1" customHeight="1" x14ac:dyDescent="0.2">
      <c r="A817" s="2">
        <v>820</v>
      </c>
      <c r="B817" s="2">
        <v>75</v>
      </c>
      <c r="C817" s="2">
        <v>100</v>
      </c>
      <c r="D817" s="2" t="s">
        <v>574</v>
      </c>
      <c r="E817" s="2" t="str">
        <f t="shared" si="3"/>
        <v>1200BI03PT</v>
      </c>
      <c r="F817" s="2" t="str">
        <f>VLOOKUP(B817,Course!$A$2:$R$329,2,FALSE)</f>
        <v>Science 9</v>
      </c>
      <c r="G817" s="2">
        <f>VLOOKUP(B817, Course!$A$2:$L$950, 8, FALSE)</f>
        <v>12</v>
      </c>
      <c r="H817" s="2">
        <v>3</v>
      </c>
      <c r="I817" s="2">
        <v>1</v>
      </c>
      <c r="K817" s="2" t="s">
        <v>1915</v>
      </c>
      <c r="L817" s="2" t="str">
        <f>VLOOKUP(B817, Course!$A$1:$O$933, 14, FALSE)</f>
        <v>BI</v>
      </c>
      <c r="M817" s="2">
        <v>1</v>
      </c>
    </row>
    <row r="818" spans="1:13" ht="15.75" hidden="1" customHeight="1" x14ac:dyDescent="0.2">
      <c r="A818" s="2">
        <v>821</v>
      </c>
      <c r="B818" s="2">
        <v>75</v>
      </c>
      <c r="C818" s="2">
        <v>101</v>
      </c>
      <c r="D818" s="2" t="s">
        <v>574</v>
      </c>
      <c r="E818" s="2" t="str">
        <f t="shared" si="3"/>
        <v>1201BI03PT</v>
      </c>
      <c r="F818" s="2" t="str">
        <f>VLOOKUP(B818,Course!$A$2:$R$329,2,FALSE)</f>
        <v>Science 9</v>
      </c>
      <c r="G818" s="2">
        <f>VLOOKUP(B818, Course!$A$2:$L$950, 8, FALSE)</f>
        <v>12</v>
      </c>
      <c r="H818" s="2">
        <v>3</v>
      </c>
      <c r="I818" s="2">
        <v>1</v>
      </c>
      <c r="K818" s="2" t="s">
        <v>1915</v>
      </c>
      <c r="L818" s="2" t="str">
        <f>VLOOKUP(B818, Course!$A$1:$O$933, 14, FALSE)</f>
        <v>BI</v>
      </c>
      <c r="M818" s="2">
        <v>1</v>
      </c>
    </row>
    <row r="819" spans="1:13" ht="15.75" hidden="1" customHeight="1" x14ac:dyDescent="0.2">
      <c r="A819" s="2">
        <v>822</v>
      </c>
      <c r="B819" s="2">
        <v>75</v>
      </c>
      <c r="C819" s="2">
        <v>102</v>
      </c>
      <c r="D819" s="2" t="s">
        <v>574</v>
      </c>
      <c r="E819" s="2" t="str">
        <f t="shared" si="3"/>
        <v>1202BI03PT</v>
      </c>
      <c r="F819" s="2" t="str">
        <f>VLOOKUP(B819,Course!$A$2:$R$329,2,FALSE)</f>
        <v>Science 9</v>
      </c>
      <c r="G819" s="2">
        <f>VLOOKUP(B819, Course!$A$2:$L$950, 8, FALSE)</f>
        <v>12</v>
      </c>
      <c r="H819" s="2">
        <v>3</v>
      </c>
      <c r="I819" s="2">
        <v>1</v>
      </c>
      <c r="K819" s="2" t="s">
        <v>1915</v>
      </c>
      <c r="L819" s="2" t="str">
        <f>VLOOKUP(B819, Course!$A$1:$O$933, 14, FALSE)</f>
        <v>BI</v>
      </c>
      <c r="M819" s="2">
        <v>1</v>
      </c>
    </row>
    <row r="820" spans="1:13" ht="15.75" hidden="1" customHeight="1" x14ac:dyDescent="0.2">
      <c r="A820" s="2">
        <v>823</v>
      </c>
      <c r="B820" s="2">
        <v>75</v>
      </c>
      <c r="C820" s="2">
        <v>103</v>
      </c>
      <c r="D820" s="2" t="s">
        <v>574</v>
      </c>
      <c r="E820" s="2" t="str">
        <f t="shared" si="3"/>
        <v>1203BI03PT</v>
      </c>
      <c r="F820" s="2" t="str">
        <f>VLOOKUP(B820,Course!$A$2:$R$329,2,FALSE)</f>
        <v>Science 9</v>
      </c>
      <c r="G820" s="2">
        <f>VLOOKUP(B820, Course!$A$2:$L$950, 8, FALSE)</f>
        <v>12</v>
      </c>
      <c r="H820" s="2">
        <v>3</v>
      </c>
      <c r="I820" s="2">
        <v>1</v>
      </c>
      <c r="K820" s="2" t="s">
        <v>1915</v>
      </c>
      <c r="L820" s="2" t="str">
        <f>VLOOKUP(B820, Course!$A$1:$O$933, 14, FALSE)</f>
        <v>BI</v>
      </c>
      <c r="M820" s="2">
        <v>1</v>
      </c>
    </row>
    <row r="821" spans="1:13" ht="15.75" hidden="1" customHeight="1" x14ac:dyDescent="0.2">
      <c r="A821" s="2">
        <v>824</v>
      </c>
      <c r="B821" s="2">
        <v>75</v>
      </c>
      <c r="C821" s="2">
        <v>104</v>
      </c>
      <c r="D821" s="2" t="s">
        <v>574</v>
      </c>
      <c r="E821" s="2" t="str">
        <f t="shared" si="3"/>
        <v>1204BI03PT</v>
      </c>
      <c r="F821" s="2" t="str">
        <f>VLOOKUP(B821,Course!$A$2:$R$329,2,FALSE)</f>
        <v>Science 9</v>
      </c>
      <c r="G821" s="2">
        <f>VLOOKUP(B821, Course!$A$2:$L$950, 8, FALSE)</f>
        <v>12</v>
      </c>
      <c r="H821" s="2">
        <v>3</v>
      </c>
      <c r="I821" s="2">
        <v>1</v>
      </c>
      <c r="K821" s="2" t="s">
        <v>1915</v>
      </c>
      <c r="L821" s="2" t="str">
        <f>VLOOKUP(B821, Course!$A$1:$O$933, 14, FALSE)</f>
        <v>BI</v>
      </c>
      <c r="M821" s="2">
        <v>1</v>
      </c>
    </row>
    <row r="822" spans="1:13" ht="15.75" hidden="1" customHeight="1" x14ac:dyDescent="0.2">
      <c r="A822" s="2">
        <v>825</v>
      </c>
      <c r="B822" s="2">
        <v>75</v>
      </c>
      <c r="C822" s="2">
        <v>105</v>
      </c>
      <c r="D822" s="2" t="s">
        <v>574</v>
      </c>
      <c r="E822" s="2" t="str">
        <f t="shared" si="3"/>
        <v>1205BI03PT</v>
      </c>
      <c r="F822" s="2" t="str">
        <f>VLOOKUP(B822,Course!$A$2:$R$329,2,FALSE)</f>
        <v>Science 9</v>
      </c>
      <c r="G822" s="2">
        <f>VLOOKUP(B822, Course!$A$2:$L$950, 8, FALSE)</f>
        <v>12</v>
      </c>
      <c r="H822" s="2">
        <v>3</v>
      </c>
      <c r="I822" s="2">
        <v>1</v>
      </c>
      <c r="K822" s="2" t="s">
        <v>1915</v>
      </c>
      <c r="L822" s="2" t="str">
        <f>VLOOKUP(B822, Course!$A$1:$O$933, 14, FALSE)</f>
        <v>BI</v>
      </c>
      <c r="M822" s="2">
        <v>1</v>
      </c>
    </row>
    <row r="823" spans="1:13" ht="15.75" hidden="1" customHeight="1" x14ac:dyDescent="0.2">
      <c r="A823" s="2">
        <v>826</v>
      </c>
      <c r="B823" s="2">
        <v>75</v>
      </c>
      <c r="C823" s="2">
        <v>106</v>
      </c>
      <c r="D823" s="2" t="s">
        <v>574</v>
      </c>
      <c r="E823" s="2" t="str">
        <f t="shared" si="3"/>
        <v>1206BI03PT</v>
      </c>
      <c r="F823" s="2" t="str">
        <f>VLOOKUP(B823,Course!$A$2:$R$329,2,FALSE)</f>
        <v>Science 9</v>
      </c>
      <c r="G823" s="2">
        <f>VLOOKUP(B823, Course!$A$2:$L$950, 8, FALSE)</f>
        <v>12</v>
      </c>
      <c r="H823" s="2">
        <v>3</v>
      </c>
      <c r="I823" s="2">
        <v>1</v>
      </c>
      <c r="K823" s="2" t="s">
        <v>1915</v>
      </c>
      <c r="L823" s="2" t="str">
        <f>VLOOKUP(B823, Course!$A$1:$O$933, 14, FALSE)</f>
        <v>BI</v>
      </c>
      <c r="M823" s="2">
        <v>1</v>
      </c>
    </row>
    <row r="824" spans="1:13" ht="15.75" hidden="1" customHeight="1" x14ac:dyDescent="0.2">
      <c r="A824" s="2">
        <v>827</v>
      </c>
      <c r="B824" s="2">
        <v>75</v>
      </c>
      <c r="C824" s="2">
        <v>107</v>
      </c>
      <c r="D824" s="2" t="s">
        <v>574</v>
      </c>
      <c r="E824" s="2" t="str">
        <f t="shared" si="3"/>
        <v>1207BI03PT</v>
      </c>
      <c r="F824" s="2" t="str">
        <f>VLOOKUP(B824,Course!$A$2:$R$329,2,FALSE)</f>
        <v>Science 9</v>
      </c>
      <c r="G824" s="2">
        <f>VLOOKUP(B824, Course!$A$2:$L$950, 8, FALSE)</f>
        <v>12</v>
      </c>
      <c r="H824" s="2">
        <v>3</v>
      </c>
      <c r="I824" s="2">
        <v>1</v>
      </c>
      <c r="K824" s="2" t="s">
        <v>1915</v>
      </c>
      <c r="L824" s="2" t="str">
        <f>VLOOKUP(B824, Course!$A$1:$O$933, 14, FALSE)</f>
        <v>BI</v>
      </c>
      <c r="M824" s="2">
        <v>1</v>
      </c>
    </row>
    <row r="825" spans="1:13" ht="15.75" hidden="1" customHeight="1" x14ac:dyDescent="0.2">
      <c r="A825" s="2">
        <v>828</v>
      </c>
      <c r="B825" s="2">
        <v>75</v>
      </c>
      <c r="C825" s="2">
        <v>108</v>
      </c>
      <c r="D825" s="2" t="s">
        <v>574</v>
      </c>
      <c r="E825" s="2" t="str">
        <f t="shared" si="3"/>
        <v>1208BI03PT</v>
      </c>
      <c r="F825" s="2" t="str">
        <f>VLOOKUP(B825,Course!$A$2:$R$329,2,FALSE)</f>
        <v>Science 9</v>
      </c>
      <c r="G825" s="2">
        <f>VLOOKUP(B825, Course!$A$2:$L$950, 8, FALSE)</f>
        <v>12</v>
      </c>
      <c r="H825" s="2">
        <v>3</v>
      </c>
      <c r="I825" s="2">
        <v>1</v>
      </c>
      <c r="K825" s="2" t="s">
        <v>1915</v>
      </c>
      <c r="L825" s="2" t="str">
        <f>VLOOKUP(B825, Course!$A$1:$O$933, 14, FALSE)</f>
        <v>BI</v>
      </c>
      <c r="M825" s="2">
        <v>1</v>
      </c>
    </row>
    <row r="826" spans="1:13" ht="15.75" hidden="1" customHeight="1" x14ac:dyDescent="0.2">
      <c r="A826" s="2">
        <v>829</v>
      </c>
      <c r="B826" s="2">
        <v>76</v>
      </c>
      <c r="C826" s="2">
        <v>1</v>
      </c>
      <c r="D826" s="2" t="s">
        <v>576</v>
      </c>
      <c r="E826" s="2" t="str">
        <f t="shared" si="3"/>
        <v>601HE03PT</v>
      </c>
      <c r="F826" s="2">
        <f>VLOOKUP(B826,Course!$A$2:$R$329,2,FALSE)</f>
        <v>0</v>
      </c>
      <c r="G826" s="2">
        <f>VLOOKUP(B826, Course!$A$2:$L$950, 8, FALSE)</f>
        <v>6</v>
      </c>
      <c r="H826" s="2">
        <v>3</v>
      </c>
      <c r="I826" s="2">
        <v>1</v>
      </c>
      <c r="K826" s="2" t="s">
        <v>1915</v>
      </c>
      <c r="L826" s="2" t="str">
        <f>VLOOKUP(B826, Course!$A$1:$O$933, 14, FALSE)</f>
        <v>HE</v>
      </c>
      <c r="M826" s="2">
        <v>1</v>
      </c>
    </row>
    <row r="827" spans="1:13" ht="15.75" hidden="1" customHeight="1" x14ac:dyDescent="0.2">
      <c r="A827" s="2">
        <v>830</v>
      </c>
      <c r="B827" s="2">
        <v>76</v>
      </c>
      <c r="C827" s="2">
        <v>2</v>
      </c>
      <c r="D827" s="2" t="s">
        <v>576</v>
      </c>
      <c r="E827" s="2" t="str">
        <f t="shared" si="3"/>
        <v>602HE03PT</v>
      </c>
      <c r="F827" s="2">
        <f>VLOOKUP(B827,Course!$A$2:$R$329,2,FALSE)</f>
        <v>0</v>
      </c>
      <c r="G827" s="2">
        <f>VLOOKUP(B827, Course!$A$2:$L$950, 8, FALSE)</f>
        <v>6</v>
      </c>
      <c r="H827" s="2">
        <v>3</v>
      </c>
      <c r="I827" s="2">
        <v>1</v>
      </c>
      <c r="K827" s="2" t="s">
        <v>1915</v>
      </c>
      <c r="L827" s="2" t="str">
        <f>VLOOKUP(B827, Course!$A$1:$O$933, 14, FALSE)</f>
        <v>HE</v>
      </c>
      <c r="M827" s="2">
        <v>1</v>
      </c>
    </row>
    <row r="828" spans="1:13" ht="15.75" hidden="1" customHeight="1" x14ac:dyDescent="0.2">
      <c r="A828" s="2">
        <v>831</v>
      </c>
      <c r="B828" s="2">
        <v>76</v>
      </c>
      <c r="C828" s="2">
        <v>3</v>
      </c>
      <c r="D828" s="2" t="s">
        <v>576</v>
      </c>
      <c r="E828" s="2" t="str">
        <f t="shared" si="3"/>
        <v>603HE03PT</v>
      </c>
      <c r="F828" s="2">
        <f>VLOOKUP(B828,Course!$A$2:$R$329,2,FALSE)</f>
        <v>0</v>
      </c>
      <c r="G828" s="2">
        <f>VLOOKUP(B828, Course!$A$2:$L$950, 8, FALSE)</f>
        <v>6</v>
      </c>
      <c r="H828" s="2">
        <v>3</v>
      </c>
      <c r="I828" s="2">
        <v>1</v>
      </c>
      <c r="K828" s="2" t="s">
        <v>1915</v>
      </c>
      <c r="L828" s="2" t="str">
        <f>VLOOKUP(B828, Course!$A$1:$O$933, 14, FALSE)</f>
        <v>HE</v>
      </c>
      <c r="M828" s="2">
        <v>1</v>
      </c>
    </row>
    <row r="829" spans="1:13" ht="15.75" hidden="1" customHeight="1" x14ac:dyDescent="0.2">
      <c r="A829" s="2">
        <v>832</v>
      </c>
      <c r="B829" s="2">
        <v>76</v>
      </c>
      <c r="C829" s="2">
        <v>4</v>
      </c>
      <c r="D829" s="2" t="s">
        <v>576</v>
      </c>
      <c r="E829" s="2" t="str">
        <f t="shared" si="3"/>
        <v>604HE03PT</v>
      </c>
      <c r="F829" s="2">
        <f>VLOOKUP(B829,Course!$A$2:$R$329,2,FALSE)</f>
        <v>0</v>
      </c>
      <c r="G829" s="2">
        <f>VLOOKUP(B829, Course!$A$2:$L$950, 8, FALSE)</f>
        <v>6</v>
      </c>
      <c r="H829" s="2">
        <v>3</v>
      </c>
      <c r="I829" s="2">
        <v>1</v>
      </c>
      <c r="K829" s="2" t="s">
        <v>1915</v>
      </c>
      <c r="L829" s="2" t="str">
        <f>VLOOKUP(B829, Course!$A$1:$O$933, 14, FALSE)</f>
        <v>HE</v>
      </c>
      <c r="M829" s="2">
        <v>1</v>
      </c>
    </row>
    <row r="830" spans="1:13" ht="15.75" hidden="1" customHeight="1" x14ac:dyDescent="0.2">
      <c r="A830" s="2">
        <v>833</v>
      </c>
      <c r="B830" s="2">
        <v>76</v>
      </c>
      <c r="C830" s="2">
        <v>5</v>
      </c>
      <c r="D830" s="2" t="s">
        <v>576</v>
      </c>
      <c r="E830" s="2" t="str">
        <f t="shared" si="3"/>
        <v>605HE03PT</v>
      </c>
      <c r="F830" s="2">
        <f>VLOOKUP(B830,Course!$A$2:$R$329,2,FALSE)</f>
        <v>0</v>
      </c>
      <c r="G830" s="2">
        <f>VLOOKUP(B830, Course!$A$2:$L$950, 8, FALSE)</f>
        <v>6</v>
      </c>
      <c r="H830" s="2">
        <v>3</v>
      </c>
      <c r="I830" s="2">
        <v>1</v>
      </c>
      <c r="K830" s="2" t="s">
        <v>1915</v>
      </c>
      <c r="L830" s="2" t="str">
        <f>VLOOKUP(B830, Course!$A$1:$O$933, 14, FALSE)</f>
        <v>HE</v>
      </c>
      <c r="M830" s="2">
        <v>1</v>
      </c>
    </row>
    <row r="831" spans="1:13" ht="15.75" hidden="1" customHeight="1" x14ac:dyDescent="0.2">
      <c r="A831" s="2">
        <v>834</v>
      </c>
      <c r="B831" s="2">
        <v>76</v>
      </c>
      <c r="C831" s="2">
        <v>6</v>
      </c>
      <c r="D831" s="2" t="s">
        <v>576</v>
      </c>
      <c r="E831" s="2" t="str">
        <f t="shared" si="3"/>
        <v>606HE03PT</v>
      </c>
      <c r="F831" s="2">
        <f>VLOOKUP(B831,Course!$A$2:$R$329,2,FALSE)</f>
        <v>0</v>
      </c>
      <c r="G831" s="2">
        <f>VLOOKUP(B831, Course!$A$2:$L$950, 8, FALSE)</f>
        <v>6</v>
      </c>
      <c r="H831" s="2">
        <v>3</v>
      </c>
      <c r="I831" s="2">
        <v>1</v>
      </c>
      <c r="K831" s="2" t="s">
        <v>1915</v>
      </c>
      <c r="L831" s="2" t="str">
        <f>VLOOKUP(B831, Course!$A$1:$O$933, 14, FALSE)</f>
        <v>HE</v>
      </c>
      <c r="M831" s="2">
        <v>1</v>
      </c>
    </row>
    <row r="832" spans="1:13" ht="15.75" hidden="1" customHeight="1" x14ac:dyDescent="0.2">
      <c r="A832" s="2">
        <v>835</v>
      </c>
      <c r="B832" s="2">
        <v>77</v>
      </c>
      <c r="C832" s="2">
        <v>1</v>
      </c>
      <c r="D832" s="2" t="s">
        <v>577</v>
      </c>
      <c r="E832" s="2" t="str">
        <f t="shared" si="3"/>
        <v>601NS03PT</v>
      </c>
      <c r="F832" s="2">
        <f>VLOOKUP(B832,Course!$A$2:$R$329,2,FALSE)</f>
        <v>0</v>
      </c>
      <c r="G832" s="2">
        <f>VLOOKUP(B832, Course!$A$2:$L$950, 8, FALSE)</f>
        <v>6</v>
      </c>
      <c r="H832" s="2">
        <v>3</v>
      </c>
      <c r="I832" s="2">
        <v>1</v>
      </c>
      <c r="K832" s="2" t="s">
        <v>1915</v>
      </c>
      <c r="L832" s="2" t="str">
        <f>VLOOKUP(B832, Course!$A$1:$O$933, 14, FALSE)</f>
        <v>NS</v>
      </c>
      <c r="M832" s="2">
        <v>1</v>
      </c>
    </row>
    <row r="833" spans="1:13" ht="15.75" hidden="1" customHeight="1" x14ac:dyDescent="0.2">
      <c r="A833" s="2">
        <v>836</v>
      </c>
      <c r="B833" s="2">
        <v>77</v>
      </c>
      <c r="C833" s="2">
        <v>2</v>
      </c>
      <c r="D833" s="2" t="s">
        <v>577</v>
      </c>
      <c r="E833" s="2" t="str">
        <f t="shared" si="3"/>
        <v>602NS03PT</v>
      </c>
      <c r="F833" s="2">
        <f>VLOOKUP(B833,Course!$A$2:$R$329,2,FALSE)</f>
        <v>0</v>
      </c>
      <c r="G833" s="2">
        <f>VLOOKUP(B833, Course!$A$2:$L$950, 8, FALSE)</f>
        <v>6</v>
      </c>
      <c r="H833" s="2">
        <v>3</v>
      </c>
      <c r="I833" s="2">
        <v>1</v>
      </c>
      <c r="K833" s="2" t="s">
        <v>1915</v>
      </c>
      <c r="L833" s="2" t="str">
        <f>VLOOKUP(B833, Course!$A$1:$O$933, 14, FALSE)</f>
        <v>NS</v>
      </c>
      <c r="M833" s="2">
        <v>1</v>
      </c>
    </row>
    <row r="834" spans="1:13" ht="15.75" hidden="1" customHeight="1" x14ac:dyDescent="0.2">
      <c r="A834" s="2">
        <v>837</v>
      </c>
      <c r="B834" s="2">
        <v>77</v>
      </c>
      <c r="C834" s="2">
        <v>3</v>
      </c>
      <c r="D834" s="2" t="s">
        <v>577</v>
      </c>
      <c r="E834" s="2" t="str">
        <f t="shared" si="3"/>
        <v>603NS03PT</v>
      </c>
      <c r="F834" s="2">
        <f>VLOOKUP(B834,Course!$A$2:$R$329,2,FALSE)</f>
        <v>0</v>
      </c>
      <c r="G834" s="2">
        <f>VLOOKUP(B834, Course!$A$2:$L$950, 8, FALSE)</f>
        <v>6</v>
      </c>
      <c r="H834" s="2">
        <v>3</v>
      </c>
      <c r="I834" s="2">
        <v>1</v>
      </c>
      <c r="K834" s="2" t="s">
        <v>1915</v>
      </c>
      <c r="L834" s="2" t="str">
        <f>VLOOKUP(B834, Course!$A$1:$O$933, 14, FALSE)</f>
        <v>NS</v>
      </c>
      <c r="M834" s="2">
        <v>1</v>
      </c>
    </row>
    <row r="835" spans="1:13" ht="15.75" hidden="1" customHeight="1" x14ac:dyDescent="0.2">
      <c r="A835" s="2">
        <v>838</v>
      </c>
      <c r="B835" s="2">
        <v>77</v>
      </c>
      <c r="C835" s="2">
        <v>4</v>
      </c>
      <c r="D835" s="2" t="s">
        <v>577</v>
      </c>
      <c r="E835" s="2" t="str">
        <f t="shared" si="3"/>
        <v>604NS03PT</v>
      </c>
      <c r="F835" s="2">
        <f>VLOOKUP(B835,Course!$A$2:$R$329,2,FALSE)</f>
        <v>0</v>
      </c>
      <c r="G835" s="2">
        <f>VLOOKUP(B835, Course!$A$2:$L$950, 8, FALSE)</f>
        <v>6</v>
      </c>
      <c r="H835" s="2">
        <v>3</v>
      </c>
      <c r="I835" s="2">
        <v>1</v>
      </c>
      <c r="K835" s="2" t="s">
        <v>1915</v>
      </c>
      <c r="L835" s="2" t="str">
        <f>VLOOKUP(B835, Course!$A$1:$O$933, 14, FALSE)</f>
        <v>NS</v>
      </c>
      <c r="M835" s="2">
        <v>1</v>
      </c>
    </row>
    <row r="836" spans="1:13" ht="15.75" hidden="1" customHeight="1" x14ac:dyDescent="0.2">
      <c r="A836" s="2">
        <v>839</v>
      </c>
      <c r="B836" s="2">
        <v>77</v>
      </c>
      <c r="C836" s="2">
        <v>5</v>
      </c>
      <c r="D836" s="2" t="s">
        <v>577</v>
      </c>
      <c r="E836" s="2" t="str">
        <f t="shared" si="3"/>
        <v>605NS03PT</v>
      </c>
      <c r="F836" s="2">
        <f>VLOOKUP(B836,Course!$A$2:$R$329,2,FALSE)</f>
        <v>0</v>
      </c>
      <c r="G836" s="2">
        <f>VLOOKUP(B836, Course!$A$2:$L$950, 8, FALSE)</f>
        <v>6</v>
      </c>
      <c r="H836" s="2">
        <v>3</v>
      </c>
      <c r="I836" s="2">
        <v>1</v>
      </c>
      <c r="K836" s="2" t="s">
        <v>1915</v>
      </c>
      <c r="L836" s="2" t="str">
        <f>VLOOKUP(B836, Course!$A$1:$O$933, 14, FALSE)</f>
        <v>NS</v>
      </c>
      <c r="M836" s="2">
        <v>1</v>
      </c>
    </row>
    <row r="837" spans="1:13" ht="15.75" hidden="1" customHeight="1" x14ac:dyDescent="0.2">
      <c r="A837" s="2">
        <v>840</v>
      </c>
      <c r="B837" s="2">
        <v>77</v>
      </c>
      <c r="C837" s="2">
        <v>6</v>
      </c>
      <c r="D837" s="2" t="s">
        <v>577</v>
      </c>
      <c r="E837" s="2" t="str">
        <f t="shared" si="3"/>
        <v>606NS03PT</v>
      </c>
      <c r="F837" s="2">
        <f>VLOOKUP(B837,Course!$A$2:$R$329,2,FALSE)</f>
        <v>0</v>
      </c>
      <c r="G837" s="2">
        <f>VLOOKUP(B837, Course!$A$2:$L$950, 8, FALSE)</f>
        <v>6</v>
      </c>
      <c r="H837" s="2">
        <v>3</v>
      </c>
      <c r="I837" s="2">
        <v>1</v>
      </c>
      <c r="K837" s="2" t="s">
        <v>1915</v>
      </c>
      <c r="L837" s="2" t="str">
        <f>VLOOKUP(B837, Course!$A$1:$O$933, 14, FALSE)</f>
        <v>NS</v>
      </c>
      <c r="M837" s="2">
        <v>1</v>
      </c>
    </row>
    <row r="838" spans="1:13" ht="15.75" hidden="1" customHeight="1" x14ac:dyDescent="0.2">
      <c r="A838" s="2">
        <v>841</v>
      </c>
      <c r="B838" s="2">
        <v>78</v>
      </c>
      <c r="C838" s="2">
        <v>1</v>
      </c>
      <c r="D838" s="2" t="s">
        <v>566</v>
      </c>
      <c r="E838" s="2" t="str">
        <f t="shared" si="3"/>
        <v>401SP03PT</v>
      </c>
      <c r="F838" s="2">
        <f>VLOOKUP(B838,Course!$A$2:$R$329,2,FALSE)</f>
        <v>0</v>
      </c>
      <c r="G838" s="2">
        <f>VLOOKUP(B838, Course!$A$2:$L$950, 8, FALSE)</f>
        <v>4</v>
      </c>
      <c r="H838" s="2">
        <v>3</v>
      </c>
      <c r="I838" s="2">
        <v>1</v>
      </c>
      <c r="K838" s="2" t="s">
        <v>1915</v>
      </c>
      <c r="L838" s="2" t="str">
        <f>VLOOKUP(B838, Course!$A$1:$O$933, 14, FALSE)</f>
        <v>SP</v>
      </c>
      <c r="M838" s="2">
        <v>1</v>
      </c>
    </row>
    <row r="839" spans="1:13" ht="15.75" hidden="1" customHeight="1" x14ac:dyDescent="0.2">
      <c r="A839" s="2">
        <v>842</v>
      </c>
      <c r="B839" s="2">
        <v>78</v>
      </c>
      <c r="C839" s="2">
        <v>2</v>
      </c>
      <c r="D839" s="2" t="s">
        <v>566</v>
      </c>
      <c r="E839" s="2" t="str">
        <f t="shared" si="3"/>
        <v>402SP03PT</v>
      </c>
      <c r="F839" s="2">
        <f>VLOOKUP(B839,Course!$A$2:$R$329,2,FALSE)</f>
        <v>0</v>
      </c>
      <c r="G839" s="2">
        <f>VLOOKUP(B839, Course!$A$2:$L$950, 8, FALSE)</f>
        <v>4</v>
      </c>
      <c r="H839" s="2">
        <v>3</v>
      </c>
      <c r="I839" s="2">
        <v>1</v>
      </c>
      <c r="K839" s="2" t="s">
        <v>1915</v>
      </c>
      <c r="L839" s="2" t="str">
        <f>VLOOKUP(B839, Course!$A$1:$O$933, 14, FALSE)</f>
        <v>SP</v>
      </c>
      <c r="M839" s="2">
        <v>1</v>
      </c>
    </row>
    <row r="840" spans="1:13" ht="15.75" hidden="1" customHeight="1" x14ac:dyDescent="0.2">
      <c r="A840" s="2">
        <v>843</v>
      </c>
      <c r="B840" s="2">
        <v>78</v>
      </c>
      <c r="C840" s="2">
        <v>3</v>
      </c>
      <c r="D840" s="2" t="s">
        <v>566</v>
      </c>
      <c r="E840" s="2" t="str">
        <f t="shared" si="3"/>
        <v>403SP03PT</v>
      </c>
      <c r="F840" s="2">
        <f>VLOOKUP(B840,Course!$A$2:$R$329,2,FALSE)</f>
        <v>0</v>
      </c>
      <c r="G840" s="2">
        <f>VLOOKUP(B840, Course!$A$2:$L$950, 8, FALSE)</f>
        <v>4</v>
      </c>
      <c r="H840" s="2">
        <v>3</v>
      </c>
      <c r="I840" s="2">
        <v>1</v>
      </c>
      <c r="K840" s="2" t="s">
        <v>1915</v>
      </c>
      <c r="L840" s="2" t="str">
        <f>VLOOKUP(B840, Course!$A$1:$O$933, 14, FALSE)</f>
        <v>SP</v>
      </c>
      <c r="M840" s="2">
        <v>1</v>
      </c>
    </row>
    <row r="841" spans="1:13" ht="15.75" hidden="1" customHeight="1" x14ac:dyDescent="0.2">
      <c r="A841" s="2">
        <v>844</v>
      </c>
      <c r="B841" s="2">
        <v>78</v>
      </c>
      <c r="C841" s="2">
        <v>4</v>
      </c>
      <c r="D841" s="2" t="s">
        <v>566</v>
      </c>
      <c r="E841" s="2" t="str">
        <f t="shared" si="3"/>
        <v>404SP03PT</v>
      </c>
      <c r="F841" s="2">
        <f>VLOOKUP(B841,Course!$A$2:$R$329,2,FALSE)</f>
        <v>0</v>
      </c>
      <c r="G841" s="2">
        <f>VLOOKUP(B841, Course!$A$2:$L$950, 8, FALSE)</f>
        <v>4</v>
      </c>
      <c r="H841" s="2">
        <v>3</v>
      </c>
      <c r="I841" s="2">
        <v>1</v>
      </c>
      <c r="K841" s="2" t="s">
        <v>1915</v>
      </c>
      <c r="L841" s="2" t="str">
        <f>VLOOKUP(B841, Course!$A$1:$O$933, 14, FALSE)</f>
        <v>SP</v>
      </c>
      <c r="M841" s="2">
        <v>1</v>
      </c>
    </row>
    <row r="842" spans="1:13" ht="15.75" hidden="1" customHeight="1" x14ac:dyDescent="0.2">
      <c r="A842" s="2">
        <v>845</v>
      </c>
      <c r="B842" s="2">
        <v>79</v>
      </c>
      <c r="C842" s="2">
        <v>97</v>
      </c>
      <c r="D842" s="2" t="s">
        <v>538</v>
      </c>
      <c r="E842" s="2" t="str">
        <f t="shared" si="3"/>
        <v>197UK03PT</v>
      </c>
      <c r="F842" s="2">
        <f>VLOOKUP(B842,Course!$A$2:$R$329,2,FALSE)</f>
        <v>0</v>
      </c>
      <c r="G842" s="2">
        <f>VLOOKUP(B842, Course!$A$2:$L$950, 8, FALSE)</f>
        <v>1</v>
      </c>
      <c r="H842" s="2">
        <v>3</v>
      </c>
      <c r="I842" s="2">
        <v>1</v>
      </c>
      <c r="K842" s="2" t="s">
        <v>1915</v>
      </c>
      <c r="L842" s="2" t="str">
        <f>VLOOKUP(B842, Course!$A$1:$O$933, 14, FALSE)</f>
        <v>AC</v>
      </c>
      <c r="M842" s="2">
        <v>1</v>
      </c>
    </row>
    <row r="843" spans="1:13" ht="15.75" hidden="1" customHeight="1" x14ac:dyDescent="0.2">
      <c r="A843" s="2">
        <v>846</v>
      </c>
      <c r="B843" s="2">
        <v>79</v>
      </c>
      <c r="C843" s="2">
        <v>98</v>
      </c>
      <c r="D843" s="2" t="s">
        <v>538</v>
      </c>
      <c r="E843" s="2" t="str">
        <f t="shared" si="3"/>
        <v>198UK03PT</v>
      </c>
      <c r="F843" s="2">
        <f>VLOOKUP(B843,Course!$A$2:$R$329,2,FALSE)</f>
        <v>0</v>
      </c>
      <c r="G843" s="2">
        <f>VLOOKUP(B843, Course!$A$2:$L$950, 8, FALSE)</f>
        <v>1</v>
      </c>
      <c r="H843" s="2">
        <v>3</v>
      </c>
      <c r="I843" s="2">
        <v>1</v>
      </c>
      <c r="K843" s="2" t="s">
        <v>1915</v>
      </c>
      <c r="L843" s="2" t="str">
        <f>VLOOKUP(B843, Course!$A$1:$O$933, 14, FALSE)</f>
        <v>AC</v>
      </c>
      <c r="M843" s="2">
        <v>1</v>
      </c>
    </row>
    <row r="844" spans="1:13" ht="15.75" hidden="1" customHeight="1" x14ac:dyDescent="0.2">
      <c r="A844" s="2">
        <v>847</v>
      </c>
      <c r="B844" s="2">
        <v>79</v>
      </c>
      <c r="C844" s="2">
        <v>99</v>
      </c>
      <c r="D844" s="2" t="s">
        <v>538</v>
      </c>
      <c r="E844" s="2" t="str">
        <f t="shared" si="3"/>
        <v>199UK03PT</v>
      </c>
      <c r="F844" s="2">
        <f>VLOOKUP(B844,Course!$A$2:$R$329,2,FALSE)</f>
        <v>0</v>
      </c>
      <c r="G844" s="2">
        <f>VLOOKUP(B844, Course!$A$2:$L$950, 8, FALSE)</f>
        <v>1</v>
      </c>
      <c r="H844" s="2">
        <v>3</v>
      </c>
      <c r="I844" s="2">
        <v>1</v>
      </c>
      <c r="K844" s="2" t="s">
        <v>1915</v>
      </c>
      <c r="L844" s="2" t="str">
        <f>VLOOKUP(B844, Course!$A$1:$O$933, 14, FALSE)</f>
        <v>AC</v>
      </c>
      <c r="M844" s="2">
        <v>1</v>
      </c>
    </row>
    <row r="845" spans="1:13" ht="15.75" hidden="1" customHeight="1" x14ac:dyDescent="0.2">
      <c r="A845" s="2">
        <v>848</v>
      </c>
      <c r="B845" s="2">
        <v>79</v>
      </c>
      <c r="C845" s="2">
        <v>100</v>
      </c>
      <c r="D845" s="2" t="s">
        <v>538</v>
      </c>
      <c r="E845" s="2" t="str">
        <f t="shared" si="3"/>
        <v>100UK03PT</v>
      </c>
      <c r="F845" s="2">
        <f>VLOOKUP(B845,Course!$A$2:$R$329,2,FALSE)</f>
        <v>0</v>
      </c>
      <c r="G845" s="2">
        <f>VLOOKUP(B845, Course!$A$2:$L$950, 8, FALSE)</f>
        <v>1</v>
      </c>
      <c r="H845" s="2">
        <v>3</v>
      </c>
      <c r="I845" s="2">
        <v>1</v>
      </c>
      <c r="K845" s="2" t="s">
        <v>1915</v>
      </c>
      <c r="L845" s="2" t="str">
        <f>VLOOKUP(B845, Course!$A$1:$O$933, 14, FALSE)</f>
        <v>AC</v>
      </c>
      <c r="M845" s="2">
        <v>1</v>
      </c>
    </row>
    <row r="846" spans="1:13" ht="15.75" hidden="1" customHeight="1" x14ac:dyDescent="0.2">
      <c r="A846" s="2">
        <v>849</v>
      </c>
      <c r="B846" s="2">
        <v>79</v>
      </c>
      <c r="C846" s="2">
        <v>101</v>
      </c>
      <c r="D846" s="2" t="s">
        <v>538</v>
      </c>
      <c r="E846" s="2" t="str">
        <f t="shared" si="3"/>
        <v>101UK03PT</v>
      </c>
      <c r="F846" s="2">
        <f>VLOOKUP(B846,Course!$A$2:$R$329,2,FALSE)</f>
        <v>0</v>
      </c>
      <c r="G846" s="2">
        <f>VLOOKUP(B846, Course!$A$2:$L$950, 8, FALSE)</f>
        <v>1</v>
      </c>
      <c r="H846" s="2">
        <v>3</v>
      </c>
      <c r="I846" s="2">
        <v>1</v>
      </c>
      <c r="K846" s="2" t="s">
        <v>1915</v>
      </c>
      <c r="L846" s="2" t="str">
        <f>VLOOKUP(B846, Course!$A$1:$O$933, 14, FALSE)</f>
        <v>AC</v>
      </c>
      <c r="M846" s="2">
        <v>1</v>
      </c>
    </row>
    <row r="847" spans="1:13" ht="15.75" hidden="1" customHeight="1" x14ac:dyDescent="0.2">
      <c r="A847" s="2">
        <v>850</v>
      </c>
      <c r="B847" s="2">
        <v>79</v>
      </c>
      <c r="C847" s="2">
        <v>102</v>
      </c>
      <c r="D847" s="2" t="s">
        <v>538</v>
      </c>
      <c r="E847" s="2" t="str">
        <f t="shared" si="3"/>
        <v>102UK03PT</v>
      </c>
      <c r="F847" s="2">
        <f>VLOOKUP(B847,Course!$A$2:$R$329,2,FALSE)</f>
        <v>0</v>
      </c>
      <c r="G847" s="2">
        <f>VLOOKUP(B847, Course!$A$2:$L$950, 8, FALSE)</f>
        <v>1</v>
      </c>
      <c r="H847" s="2">
        <v>3</v>
      </c>
      <c r="I847" s="2">
        <v>1</v>
      </c>
      <c r="K847" s="2" t="s">
        <v>1915</v>
      </c>
      <c r="L847" s="2" t="str">
        <f>VLOOKUP(B847, Course!$A$1:$O$933, 14, FALSE)</f>
        <v>AC</v>
      </c>
      <c r="M847" s="2">
        <v>1</v>
      </c>
    </row>
    <row r="848" spans="1:13" ht="15.75" hidden="1" customHeight="1" x14ac:dyDescent="0.2">
      <c r="A848" s="2">
        <v>851</v>
      </c>
      <c r="B848" s="2">
        <v>79</v>
      </c>
      <c r="C848" s="2">
        <v>103</v>
      </c>
      <c r="D848" s="2" t="s">
        <v>538</v>
      </c>
      <c r="E848" s="2" t="str">
        <f t="shared" si="3"/>
        <v>103UK03PT</v>
      </c>
      <c r="F848" s="2">
        <f>VLOOKUP(B848,Course!$A$2:$R$329,2,FALSE)</f>
        <v>0</v>
      </c>
      <c r="G848" s="2">
        <f>VLOOKUP(B848, Course!$A$2:$L$950, 8, FALSE)</f>
        <v>1</v>
      </c>
      <c r="H848" s="2">
        <v>3</v>
      </c>
      <c r="I848" s="2">
        <v>1</v>
      </c>
      <c r="K848" s="2" t="s">
        <v>1915</v>
      </c>
      <c r="L848" s="2" t="str">
        <f>VLOOKUP(B848, Course!$A$1:$O$933, 14, FALSE)</f>
        <v>AC</v>
      </c>
      <c r="M848" s="2">
        <v>1</v>
      </c>
    </row>
    <row r="849" spans="1:13" ht="15.75" hidden="1" customHeight="1" x14ac:dyDescent="0.2">
      <c r="A849" s="2">
        <v>852</v>
      </c>
      <c r="B849" s="2">
        <v>79</v>
      </c>
      <c r="C849" s="2">
        <v>104</v>
      </c>
      <c r="D849" s="2" t="s">
        <v>538</v>
      </c>
      <c r="E849" s="2" t="str">
        <f t="shared" si="3"/>
        <v>104UK03PT</v>
      </c>
      <c r="F849" s="2">
        <f>VLOOKUP(B849,Course!$A$2:$R$329,2,FALSE)</f>
        <v>0</v>
      </c>
      <c r="G849" s="2">
        <f>VLOOKUP(B849, Course!$A$2:$L$950, 8, FALSE)</f>
        <v>1</v>
      </c>
      <c r="H849" s="2">
        <v>3</v>
      </c>
      <c r="I849" s="2">
        <v>1</v>
      </c>
      <c r="K849" s="2" t="s">
        <v>1915</v>
      </c>
      <c r="L849" s="2" t="str">
        <f>VLOOKUP(B849, Course!$A$1:$O$933, 14, FALSE)</f>
        <v>AC</v>
      </c>
      <c r="M849" s="2">
        <v>1</v>
      </c>
    </row>
    <row r="850" spans="1:13" ht="15.75" hidden="1" customHeight="1" x14ac:dyDescent="0.2">
      <c r="A850" s="2">
        <v>853</v>
      </c>
      <c r="B850" s="2">
        <v>79</v>
      </c>
      <c r="C850" s="2">
        <v>105</v>
      </c>
      <c r="D850" s="2" t="s">
        <v>538</v>
      </c>
      <c r="E850" s="2" t="str">
        <f t="shared" si="3"/>
        <v>105UK03PT</v>
      </c>
      <c r="F850" s="2">
        <f>VLOOKUP(B850,Course!$A$2:$R$329,2,FALSE)</f>
        <v>0</v>
      </c>
      <c r="G850" s="2">
        <f>VLOOKUP(B850, Course!$A$2:$L$950, 8, FALSE)</f>
        <v>1</v>
      </c>
      <c r="H850" s="2">
        <v>3</v>
      </c>
      <c r="I850" s="2">
        <v>1</v>
      </c>
      <c r="K850" s="2" t="s">
        <v>1915</v>
      </c>
      <c r="L850" s="2" t="str">
        <f>VLOOKUP(B850, Course!$A$1:$O$933, 14, FALSE)</f>
        <v>AC</v>
      </c>
      <c r="M850" s="2">
        <v>1</v>
      </c>
    </row>
    <row r="851" spans="1:13" ht="15.75" hidden="1" customHeight="1" x14ac:dyDescent="0.2">
      <c r="A851" s="2">
        <v>854</v>
      </c>
      <c r="B851" s="2">
        <v>79</v>
      </c>
      <c r="C851" s="2">
        <v>106</v>
      </c>
      <c r="D851" s="2" t="s">
        <v>538</v>
      </c>
      <c r="E851" s="2" t="str">
        <f t="shared" si="3"/>
        <v>106UK03PT</v>
      </c>
      <c r="F851" s="2">
        <f>VLOOKUP(B851,Course!$A$2:$R$329,2,FALSE)</f>
        <v>0</v>
      </c>
      <c r="G851" s="2">
        <f>VLOOKUP(B851, Course!$A$2:$L$950, 8, FALSE)</f>
        <v>1</v>
      </c>
      <c r="H851" s="2">
        <v>3</v>
      </c>
      <c r="I851" s="2">
        <v>1</v>
      </c>
      <c r="K851" s="2" t="s">
        <v>1915</v>
      </c>
      <c r="L851" s="2" t="str">
        <f>VLOOKUP(B851, Course!$A$1:$O$933, 14, FALSE)</f>
        <v>AC</v>
      </c>
      <c r="M851" s="2">
        <v>1</v>
      </c>
    </row>
    <row r="852" spans="1:13" ht="15.75" hidden="1" customHeight="1" x14ac:dyDescent="0.2">
      <c r="A852" s="2">
        <v>855</v>
      </c>
      <c r="B852" s="2">
        <v>79</v>
      </c>
      <c r="C852" s="2">
        <v>107</v>
      </c>
      <c r="D852" s="2" t="s">
        <v>538</v>
      </c>
      <c r="E852" s="2" t="str">
        <f t="shared" si="3"/>
        <v>107UK03PT</v>
      </c>
      <c r="F852" s="2">
        <f>VLOOKUP(B852,Course!$A$2:$R$329,2,FALSE)</f>
        <v>0</v>
      </c>
      <c r="G852" s="2">
        <f>VLOOKUP(B852, Course!$A$2:$L$950, 8, FALSE)</f>
        <v>1</v>
      </c>
      <c r="H852" s="2">
        <v>3</v>
      </c>
      <c r="I852" s="2">
        <v>1</v>
      </c>
      <c r="K852" s="2" t="s">
        <v>1915</v>
      </c>
      <c r="L852" s="2" t="str">
        <f>VLOOKUP(B852, Course!$A$1:$O$933, 14, FALSE)</f>
        <v>AC</v>
      </c>
      <c r="M852" s="2">
        <v>1</v>
      </c>
    </row>
    <row r="853" spans="1:13" ht="15.75" hidden="1" customHeight="1" x14ac:dyDescent="0.2">
      <c r="A853" s="2">
        <v>856</v>
      </c>
      <c r="B853" s="2">
        <v>79</v>
      </c>
      <c r="C853" s="2">
        <v>108</v>
      </c>
      <c r="D853" s="2" t="s">
        <v>538</v>
      </c>
      <c r="E853" s="2" t="str">
        <f t="shared" si="3"/>
        <v>108UK03PT</v>
      </c>
      <c r="F853" s="2">
        <f>VLOOKUP(B853,Course!$A$2:$R$329,2,FALSE)</f>
        <v>0</v>
      </c>
      <c r="G853" s="2">
        <f>VLOOKUP(B853, Course!$A$2:$L$950, 8, FALSE)</f>
        <v>1</v>
      </c>
      <c r="H853" s="2">
        <v>3</v>
      </c>
      <c r="I853" s="2">
        <v>1</v>
      </c>
      <c r="K853" s="2" t="s">
        <v>1915</v>
      </c>
      <c r="L853" s="2" t="str">
        <f>VLOOKUP(B853, Course!$A$1:$O$933, 14, FALSE)</f>
        <v>AC</v>
      </c>
      <c r="M853" s="2">
        <v>1</v>
      </c>
    </row>
    <row r="854" spans="1:13" ht="15.75" hidden="1" customHeight="1" x14ac:dyDescent="0.2">
      <c r="A854" s="2">
        <v>857</v>
      </c>
      <c r="B854" s="2">
        <v>80</v>
      </c>
      <c r="C854" s="2">
        <v>97</v>
      </c>
      <c r="D854" s="2" t="s">
        <v>583</v>
      </c>
      <c r="E854" s="2" t="str">
        <f t="shared" si="3"/>
        <v>1297WG03PT</v>
      </c>
      <c r="F854" s="2">
        <f>VLOOKUP(B854,Course!$A$2:$R$329,2,FALSE)</f>
        <v>0</v>
      </c>
      <c r="G854" s="2">
        <f>VLOOKUP(B854, Course!$A$2:$L$950, 8, FALSE)</f>
        <v>12</v>
      </c>
      <c r="H854" s="2">
        <v>3</v>
      </c>
      <c r="I854" s="2">
        <v>1</v>
      </c>
      <c r="K854" s="2" t="s">
        <v>1915</v>
      </c>
      <c r="L854" s="2" t="str">
        <f>VLOOKUP(B854, Course!$A$1:$O$933, 14, FALSE)</f>
        <v>WG</v>
      </c>
      <c r="M854" s="2">
        <v>1</v>
      </c>
    </row>
    <row r="855" spans="1:13" ht="15.75" hidden="1" customHeight="1" x14ac:dyDescent="0.2">
      <c r="A855" s="2">
        <v>858</v>
      </c>
      <c r="B855" s="2">
        <v>80</v>
      </c>
      <c r="C855" s="2">
        <v>98</v>
      </c>
      <c r="D855" s="2" t="s">
        <v>583</v>
      </c>
      <c r="E855" s="2" t="str">
        <f t="shared" si="3"/>
        <v>1298WG03PT</v>
      </c>
      <c r="F855" s="2">
        <f>VLOOKUP(B855,Course!$A$2:$R$329,2,FALSE)</f>
        <v>0</v>
      </c>
      <c r="G855" s="2">
        <f>VLOOKUP(B855, Course!$A$2:$L$950, 8, FALSE)</f>
        <v>12</v>
      </c>
      <c r="H855" s="2">
        <v>3</v>
      </c>
      <c r="I855" s="2">
        <v>1</v>
      </c>
      <c r="K855" s="2" t="s">
        <v>1915</v>
      </c>
      <c r="L855" s="2" t="str">
        <f>VLOOKUP(B855, Course!$A$1:$O$933, 14, FALSE)</f>
        <v>WG</v>
      </c>
      <c r="M855" s="2">
        <v>1</v>
      </c>
    </row>
    <row r="856" spans="1:13" ht="15.75" hidden="1" customHeight="1" x14ac:dyDescent="0.2">
      <c r="A856" s="2">
        <v>859</v>
      </c>
      <c r="B856" s="2">
        <v>80</v>
      </c>
      <c r="C856" s="2">
        <v>99</v>
      </c>
      <c r="D856" s="2" t="s">
        <v>583</v>
      </c>
      <c r="E856" s="2" t="str">
        <f t="shared" si="3"/>
        <v>1299WG03PT</v>
      </c>
      <c r="F856" s="2">
        <f>VLOOKUP(B856,Course!$A$2:$R$329,2,FALSE)</f>
        <v>0</v>
      </c>
      <c r="G856" s="2">
        <f>VLOOKUP(B856, Course!$A$2:$L$950, 8, FALSE)</f>
        <v>12</v>
      </c>
      <c r="H856" s="2">
        <v>3</v>
      </c>
      <c r="I856" s="2">
        <v>1</v>
      </c>
      <c r="K856" s="2" t="s">
        <v>1915</v>
      </c>
      <c r="L856" s="2" t="str">
        <f>VLOOKUP(B856, Course!$A$1:$O$933, 14, FALSE)</f>
        <v>WG</v>
      </c>
      <c r="M856" s="2">
        <v>1</v>
      </c>
    </row>
    <row r="857" spans="1:13" ht="15.75" hidden="1" customHeight="1" x14ac:dyDescent="0.2">
      <c r="A857" s="2">
        <v>860</v>
      </c>
      <c r="B857" s="2">
        <v>80</v>
      </c>
      <c r="C857" s="2">
        <v>100</v>
      </c>
      <c r="D857" s="2" t="s">
        <v>583</v>
      </c>
      <c r="E857" s="2" t="str">
        <f t="shared" si="3"/>
        <v>1200WG03PT</v>
      </c>
      <c r="F857" s="2">
        <f>VLOOKUP(B857,Course!$A$2:$R$329,2,FALSE)</f>
        <v>0</v>
      </c>
      <c r="G857" s="2">
        <f>VLOOKUP(B857, Course!$A$2:$L$950, 8, FALSE)</f>
        <v>12</v>
      </c>
      <c r="H857" s="2">
        <v>3</v>
      </c>
      <c r="I857" s="2">
        <v>1</v>
      </c>
      <c r="K857" s="2" t="s">
        <v>1915</v>
      </c>
      <c r="L857" s="2" t="str">
        <f>VLOOKUP(B857, Course!$A$1:$O$933, 14, FALSE)</f>
        <v>WG</v>
      </c>
      <c r="M857" s="2">
        <v>1</v>
      </c>
    </row>
    <row r="858" spans="1:13" ht="15.75" hidden="1" customHeight="1" x14ac:dyDescent="0.2">
      <c r="A858" s="2">
        <v>861</v>
      </c>
      <c r="B858" s="2">
        <v>80</v>
      </c>
      <c r="C858" s="2">
        <v>101</v>
      </c>
      <c r="D858" s="2" t="s">
        <v>583</v>
      </c>
      <c r="E858" s="2" t="str">
        <f t="shared" si="3"/>
        <v>1201WG03PT</v>
      </c>
      <c r="F858" s="2">
        <f>VLOOKUP(B858,Course!$A$2:$R$329,2,FALSE)</f>
        <v>0</v>
      </c>
      <c r="G858" s="2">
        <f>VLOOKUP(B858, Course!$A$2:$L$950, 8, FALSE)</f>
        <v>12</v>
      </c>
      <c r="H858" s="2">
        <v>3</v>
      </c>
      <c r="I858" s="2">
        <v>1</v>
      </c>
      <c r="K858" s="2" t="s">
        <v>1915</v>
      </c>
      <c r="L858" s="2" t="str">
        <f>VLOOKUP(B858, Course!$A$1:$O$933, 14, FALSE)</f>
        <v>WG</v>
      </c>
      <c r="M858" s="2">
        <v>1</v>
      </c>
    </row>
    <row r="859" spans="1:13" ht="15.75" hidden="1" customHeight="1" x14ac:dyDescent="0.2">
      <c r="A859" s="2">
        <v>862</v>
      </c>
      <c r="B859" s="2">
        <v>80</v>
      </c>
      <c r="C859" s="2">
        <v>102</v>
      </c>
      <c r="D859" s="2" t="s">
        <v>583</v>
      </c>
      <c r="E859" s="2" t="str">
        <f t="shared" si="3"/>
        <v>1202WG03PT</v>
      </c>
      <c r="F859" s="2">
        <f>VLOOKUP(B859,Course!$A$2:$R$329,2,FALSE)</f>
        <v>0</v>
      </c>
      <c r="G859" s="2">
        <f>VLOOKUP(B859, Course!$A$2:$L$950, 8, FALSE)</f>
        <v>12</v>
      </c>
      <c r="H859" s="2">
        <v>3</v>
      </c>
      <c r="I859" s="2">
        <v>1</v>
      </c>
      <c r="K859" s="2" t="s">
        <v>1915</v>
      </c>
      <c r="L859" s="2" t="str">
        <f>VLOOKUP(B859, Course!$A$1:$O$933, 14, FALSE)</f>
        <v>WG</v>
      </c>
      <c r="M859" s="2">
        <v>1</v>
      </c>
    </row>
    <row r="860" spans="1:13" ht="15.75" hidden="1" customHeight="1" x14ac:dyDescent="0.2">
      <c r="A860" s="2">
        <v>863</v>
      </c>
      <c r="B860" s="2">
        <v>80</v>
      </c>
      <c r="C860" s="2">
        <v>103</v>
      </c>
      <c r="D860" s="2" t="s">
        <v>583</v>
      </c>
      <c r="E860" s="2" t="str">
        <f t="shared" si="3"/>
        <v>1203WG03PT</v>
      </c>
      <c r="F860" s="2">
        <f>VLOOKUP(B860,Course!$A$2:$R$329,2,FALSE)</f>
        <v>0</v>
      </c>
      <c r="G860" s="2">
        <f>VLOOKUP(B860, Course!$A$2:$L$950, 8, FALSE)</f>
        <v>12</v>
      </c>
      <c r="H860" s="2">
        <v>3</v>
      </c>
      <c r="I860" s="2">
        <v>1</v>
      </c>
      <c r="K860" s="2" t="s">
        <v>1915</v>
      </c>
      <c r="L860" s="2" t="str">
        <f>VLOOKUP(B860, Course!$A$1:$O$933, 14, FALSE)</f>
        <v>WG</v>
      </c>
      <c r="M860" s="2">
        <v>1</v>
      </c>
    </row>
    <row r="861" spans="1:13" ht="15.75" hidden="1" customHeight="1" x14ac:dyDescent="0.2">
      <c r="A861" s="2">
        <v>864</v>
      </c>
      <c r="B861" s="2">
        <v>80</v>
      </c>
      <c r="C861" s="2">
        <v>104</v>
      </c>
      <c r="D861" s="2" t="s">
        <v>583</v>
      </c>
      <c r="E861" s="2" t="str">
        <f t="shared" si="3"/>
        <v>1204WG03PT</v>
      </c>
      <c r="F861" s="2">
        <f>VLOOKUP(B861,Course!$A$2:$R$329,2,FALSE)</f>
        <v>0</v>
      </c>
      <c r="G861" s="2">
        <f>VLOOKUP(B861, Course!$A$2:$L$950, 8, FALSE)</f>
        <v>12</v>
      </c>
      <c r="H861" s="2">
        <v>3</v>
      </c>
      <c r="I861" s="2">
        <v>1</v>
      </c>
      <c r="K861" s="2" t="s">
        <v>1915</v>
      </c>
      <c r="L861" s="2" t="str">
        <f>VLOOKUP(B861, Course!$A$1:$O$933, 14, FALSE)</f>
        <v>WG</v>
      </c>
      <c r="M861" s="2">
        <v>1</v>
      </c>
    </row>
    <row r="862" spans="1:13" ht="15.75" hidden="1" customHeight="1" x14ac:dyDescent="0.2">
      <c r="A862" s="2">
        <v>865</v>
      </c>
      <c r="B862" s="2">
        <v>80</v>
      </c>
      <c r="C862" s="2">
        <v>105</v>
      </c>
      <c r="D862" s="2" t="s">
        <v>583</v>
      </c>
      <c r="E862" s="2" t="str">
        <f t="shared" si="3"/>
        <v>1205WG03PT</v>
      </c>
      <c r="F862" s="2">
        <f>VLOOKUP(B862,Course!$A$2:$R$329,2,FALSE)</f>
        <v>0</v>
      </c>
      <c r="G862" s="2">
        <f>VLOOKUP(B862, Course!$A$2:$L$950, 8, FALSE)</f>
        <v>12</v>
      </c>
      <c r="H862" s="2">
        <v>3</v>
      </c>
      <c r="I862" s="2">
        <v>1</v>
      </c>
      <c r="K862" s="2" t="s">
        <v>1915</v>
      </c>
      <c r="L862" s="2" t="str">
        <f>VLOOKUP(B862, Course!$A$1:$O$933, 14, FALSE)</f>
        <v>WG</v>
      </c>
      <c r="M862" s="2">
        <v>1</v>
      </c>
    </row>
    <row r="863" spans="1:13" ht="15.75" hidden="1" customHeight="1" x14ac:dyDescent="0.2">
      <c r="A863" s="2">
        <v>866</v>
      </c>
      <c r="B863" s="2">
        <v>80</v>
      </c>
      <c r="C863" s="2">
        <v>106</v>
      </c>
      <c r="D863" s="2" t="s">
        <v>583</v>
      </c>
      <c r="E863" s="2" t="str">
        <f t="shared" si="3"/>
        <v>1206WG03PT</v>
      </c>
      <c r="F863" s="2">
        <f>VLOOKUP(B863,Course!$A$2:$R$329,2,FALSE)</f>
        <v>0</v>
      </c>
      <c r="G863" s="2">
        <f>VLOOKUP(B863, Course!$A$2:$L$950, 8, FALSE)</f>
        <v>12</v>
      </c>
      <c r="H863" s="2">
        <v>3</v>
      </c>
      <c r="I863" s="2">
        <v>1</v>
      </c>
      <c r="K863" s="2" t="s">
        <v>1915</v>
      </c>
      <c r="L863" s="2" t="str">
        <f>VLOOKUP(B863, Course!$A$1:$O$933, 14, FALSE)</f>
        <v>WG</v>
      </c>
      <c r="M863" s="2">
        <v>1</v>
      </c>
    </row>
    <row r="864" spans="1:13" ht="15.75" hidden="1" customHeight="1" x14ac:dyDescent="0.2">
      <c r="A864" s="2">
        <v>867</v>
      </c>
      <c r="B864" s="2">
        <v>80</v>
      </c>
      <c r="C864" s="2">
        <v>107</v>
      </c>
      <c r="D864" s="2" t="s">
        <v>583</v>
      </c>
      <c r="E864" s="2" t="str">
        <f t="shared" si="3"/>
        <v>1207WG03PT</v>
      </c>
      <c r="F864" s="2">
        <f>VLOOKUP(B864,Course!$A$2:$R$329,2,FALSE)</f>
        <v>0</v>
      </c>
      <c r="G864" s="2">
        <f>VLOOKUP(B864, Course!$A$2:$L$950, 8, FALSE)</f>
        <v>12</v>
      </c>
      <c r="H864" s="2">
        <v>3</v>
      </c>
      <c r="I864" s="2">
        <v>1</v>
      </c>
      <c r="K864" s="2" t="s">
        <v>1915</v>
      </c>
      <c r="L864" s="2" t="str">
        <f>VLOOKUP(B864, Course!$A$1:$O$933, 14, FALSE)</f>
        <v>WG</v>
      </c>
      <c r="M864" s="2">
        <v>1</v>
      </c>
    </row>
    <row r="865" spans="1:14" ht="15.75" hidden="1" customHeight="1" x14ac:dyDescent="0.2">
      <c r="A865" s="2">
        <v>868</v>
      </c>
      <c r="B865" s="2">
        <v>80</v>
      </c>
      <c r="C865" s="2">
        <v>108</v>
      </c>
      <c r="D865" s="2" t="s">
        <v>583</v>
      </c>
      <c r="E865" s="2" t="str">
        <f t="shared" si="3"/>
        <v>1208WG03PT</v>
      </c>
      <c r="F865" s="2">
        <f>VLOOKUP(B865,Course!$A$2:$R$329,2,FALSE)</f>
        <v>0</v>
      </c>
      <c r="G865" s="2">
        <f>VLOOKUP(B865, Course!$A$2:$L$950, 8, FALSE)</f>
        <v>12</v>
      </c>
      <c r="H865" s="2">
        <v>3</v>
      </c>
      <c r="I865" s="2">
        <v>1</v>
      </c>
      <c r="K865" s="2" t="s">
        <v>1915</v>
      </c>
      <c r="L865" s="2" t="str">
        <f>VLOOKUP(B865, Course!$A$1:$O$933, 14, FALSE)</f>
        <v>WG</v>
      </c>
      <c r="M865" s="2">
        <v>1</v>
      </c>
    </row>
    <row r="866" spans="1:14" ht="15.75" hidden="1" customHeight="1" x14ac:dyDescent="0.2">
      <c r="A866" s="2">
        <v>869</v>
      </c>
      <c r="B866" s="2">
        <v>81</v>
      </c>
      <c r="C866" s="2">
        <v>1</v>
      </c>
      <c r="D866" s="2" t="s">
        <v>1916</v>
      </c>
      <c r="E866" s="2" t="str">
        <f t="shared" si="3"/>
        <v>201APv203PT</v>
      </c>
      <c r="F866" s="2">
        <f>VLOOKUP(B866,Course!$A$2:$R$329,2,FALSE)</f>
        <v>0</v>
      </c>
      <c r="G866" s="2">
        <f>VLOOKUP(B866, Course!$A$2:$L$950, 8, FALSE)</f>
        <v>2</v>
      </c>
      <c r="H866" s="2">
        <v>3</v>
      </c>
      <c r="I866" s="2">
        <v>1</v>
      </c>
      <c r="J866" s="2">
        <v>2022</v>
      </c>
      <c r="K866" s="2" t="s">
        <v>1915</v>
      </c>
      <c r="L866" s="2" t="str">
        <f>VLOOKUP(B866, Course!$A$1:$O$933, 14, FALSE)</f>
        <v>AP</v>
      </c>
      <c r="M866" s="2">
        <v>3</v>
      </c>
      <c r="N866" s="2" t="s">
        <v>1917</v>
      </c>
    </row>
    <row r="867" spans="1:14" ht="15.75" hidden="1" customHeight="1" x14ac:dyDescent="0.2">
      <c r="A867" s="2">
        <v>870</v>
      </c>
      <c r="B867" s="2">
        <v>81</v>
      </c>
      <c r="C867" s="2">
        <v>2</v>
      </c>
      <c r="D867" s="2" t="s">
        <v>1916</v>
      </c>
      <c r="E867" s="2" t="str">
        <f t="shared" si="3"/>
        <v>202APv203PT</v>
      </c>
      <c r="F867" s="2">
        <f>VLOOKUP(B867,Course!$A$2:$R$329,2,FALSE)</f>
        <v>0</v>
      </c>
      <c r="G867" s="2">
        <f>VLOOKUP(B867, Course!$A$2:$L$950, 8, FALSE)</f>
        <v>2</v>
      </c>
      <c r="H867" s="2">
        <v>3</v>
      </c>
      <c r="I867" s="2">
        <v>1</v>
      </c>
      <c r="J867" s="2">
        <v>2022</v>
      </c>
      <c r="K867" s="2" t="s">
        <v>1915</v>
      </c>
      <c r="L867" s="2" t="str">
        <f>VLOOKUP(B867, Course!$A$1:$O$933, 14, FALSE)</f>
        <v>AP</v>
      </c>
      <c r="M867" s="2">
        <v>3</v>
      </c>
      <c r="N867" s="9" t="s">
        <v>1918</v>
      </c>
    </row>
    <row r="868" spans="1:14" ht="15.75" hidden="1" customHeight="1" x14ac:dyDescent="0.2">
      <c r="A868" s="2">
        <v>871</v>
      </c>
      <c r="B868" s="2">
        <v>81</v>
      </c>
      <c r="C868" s="2">
        <v>97</v>
      </c>
      <c r="D868" s="2" t="s">
        <v>585</v>
      </c>
      <c r="E868" s="2" t="str">
        <f t="shared" si="3"/>
        <v>797AP00PT</v>
      </c>
      <c r="F868" s="2" t="s">
        <v>1919</v>
      </c>
      <c r="G868" s="2">
        <v>7</v>
      </c>
      <c r="H868" s="2">
        <v>0</v>
      </c>
      <c r="I868" s="2">
        <v>1</v>
      </c>
      <c r="J868" s="2">
        <v>2019</v>
      </c>
      <c r="K868" s="2" t="s">
        <v>1915</v>
      </c>
      <c r="L868" s="2" t="str">
        <f>VLOOKUP(B868, Course!$A$1:$O$933, 14, FALSE)</f>
        <v>AP</v>
      </c>
      <c r="M868" s="2">
        <v>1</v>
      </c>
      <c r="N868" s="2" t="s">
        <v>1917</v>
      </c>
    </row>
    <row r="869" spans="1:14" ht="15.75" hidden="1" customHeight="1" x14ac:dyDescent="0.2">
      <c r="A869" s="2">
        <v>872</v>
      </c>
      <c r="B869" s="2">
        <v>81</v>
      </c>
      <c r="C869" s="2">
        <v>102</v>
      </c>
      <c r="D869" s="2" t="s">
        <v>585</v>
      </c>
      <c r="E869" s="2" t="str">
        <f t="shared" si="3"/>
        <v>702AP00PT</v>
      </c>
      <c r="F869" s="2" t="s">
        <v>1919</v>
      </c>
      <c r="G869" s="2">
        <v>7</v>
      </c>
      <c r="H869" s="2">
        <v>0</v>
      </c>
      <c r="I869" s="2">
        <v>1</v>
      </c>
      <c r="J869" s="2">
        <v>2019</v>
      </c>
      <c r="K869" s="2" t="s">
        <v>1915</v>
      </c>
      <c r="L869" s="2" t="str">
        <f>VLOOKUP(B869, Course!$A$1:$O$933, 14, FALSE)</f>
        <v>AP</v>
      </c>
      <c r="M869" s="2">
        <v>3</v>
      </c>
    </row>
    <row r="870" spans="1:14" ht="15.75" customHeight="1" x14ac:dyDescent="0.2">
      <c r="A870" s="2">
        <v>873</v>
      </c>
      <c r="B870" s="2">
        <v>92</v>
      </c>
      <c r="C870" s="2">
        <v>98</v>
      </c>
      <c r="D870" s="2" t="s">
        <v>585</v>
      </c>
      <c r="E870" s="2" t="str">
        <f t="shared" si="3"/>
        <v>798AP00PT</v>
      </c>
      <c r="F870" s="2" t="s">
        <v>1920</v>
      </c>
      <c r="G870" s="2">
        <v>7</v>
      </c>
      <c r="H870" s="2">
        <v>0</v>
      </c>
      <c r="I870" s="2">
        <v>1</v>
      </c>
      <c r="J870" s="2">
        <v>2019</v>
      </c>
      <c r="K870" s="2" t="s">
        <v>1915</v>
      </c>
      <c r="L870" s="2" t="str">
        <f>VLOOKUP(B870, Course!$A$1:$O$933, 14, FALSE)</f>
        <v>AP</v>
      </c>
      <c r="M870" s="2">
        <v>1</v>
      </c>
      <c r="N870" s="2" t="s">
        <v>1921</v>
      </c>
    </row>
    <row r="871" spans="1:14" ht="15.75" customHeight="1" x14ac:dyDescent="0.2">
      <c r="A871" s="2">
        <v>874</v>
      </c>
      <c r="B871" s="2">
        <v>92</v>
      </c>
      <c r="C871" s="2">
        <v>99</v>
      </c>
      <c r="D871" s="2" t="s">
        <v>585</v>
      </c>
      <c r="E871" s="2" t="str">
        <f t="shared" si="3"/>
        <v>799AP00PT</v>
      </c>
      <c r="F871" s="2" t="s">
        <v>1920</v>
      </c>
      <c r="G871" s="2">
        <v>7</v>
      </c>
      <c r="H871" s="2">
        <v>0</v>
      </c>
      <c r="I871" s="2">
        <v>1</v>
      </c>
      <c r="J871" s="2">
        <v>2019</v>
      </c>
      <c r="K871" s="2" t="s">
        <v>1915</v>
      </c>
      <c r="L871" s="2" t="str">
        <f>VLOOKUP(B871, Course!$A$1:$O$933, 14, FALSE)</f>
        <v>AP</v>
      </c>
      <c r="M871" s="2">
        <v>2</v>
      </c>
      <c r="N871" s="2" t="s">
        <v>2052</v>
      </c>
    </row>
    <row r="872" spans="1:14" ht="15.75" customHeight="1" x14ac:dyDescent="0.2">
      <c r="A872" s="2">
        <v>875</v>
      </c>
      <c r="B872" s="2">
        <v>92</v>
      </c>
      <c r="C872" s="2">
        <v>100</v>
      </c>
      <c r="D872" s="2" t="s">
        <v>585</v>
      </c>
      <c r="E872" s="2" t="str">
        <f t="shared" si="3"/>
        <v>700AP00PT</v>
      </c>
      <c r="F872" s="2" t="s">
        <v>1920</v>
      </c>
      <c r="G872" s="2">
        <v>7</v>
      </c>
      <c r="H872" s="2">
        <v>0</v>
      </c>
      <c r="I872" s="2">
        <v>1</v>
      </c>
      <c r="J872" s="2">
        <v>2019</v>
      </c>
      <c r="K872" s="2" t="s">
        <v>1915</v>
      </c>
      <c r="L872" s="2" t="str">
        <f>VLOOKUP(B872, Course!$A$1:$O$933, 14, FALSE)</f>
        <v>AP</v>
      </c>
      <c r="M872" s="2">
        <v>1</v>
      </c>
    </row>
    <row r="873" spans="1:14" ht="15.75" customHeight="1" x14ac:dyDescent="0.2">
      <c r="A873" s="2">
        <v>876</v>
      </c>
      <c r="B873" s="2">
        <v>92</v>
      </c>
      <c r="C873" s="2">
        <v>101</v>
      </c>
      <c r="D873" s="2" t="s">
        <v>585</v>
      </c>
      <c r="E873" s="2" t="str">
        <f t="shared" si="3"/>
        <v>701AP00PT</v>
      </c>
      <c r="F873" s="2" t="s">
        <v>1920</v>
      </c>
      <c r="G873" s="2">
        <v>7</v>
      </c>
      <c r="H873" s="2">
        <v>0</v>
      </c>
      <c r="I873" s="2">
        <v>1</v>
      </c>
      <c r="J873" s="2">
        <v>2019</v>
      </c>
      <c r="K873" s="2" t="s">
        <v>1915</v>
      </c>
      <c r="L873" s="2" t="str">
        <f>VLOOKUP(B873, Course!$A$1:$O$933, 14, FALSE)</f>
        <v>AP</v>
      </c>
      <c r="M873" s="2">
        <v>2</v>
      </c>
    </row>
    <row r="874" spans="1:14" ht="15.75" hidden="1" customHeight="1" x14ac:dyDescent="0.2">
      <c r="A874" s="2">
        <v>877</v>
      </c>
      <c r="B874" s="2">
        <v>82</v>
      </c>
      <c r="C874" s="2">
        <v>1</v>
      </c>
      <c r="D874" s="2" t="s">
        <v>586</v>
      </c>
      <c r="E874" s="2" t="str">
        <f t="shared" si="3"/>
        <v>601MI03PT</v>
      </c>
      <c r="F874" s="2">
        <f>VLOOKUP(B874,Course!$A$2:$R$329,2,FALSE)</f>
        <v>0</v>
      </c>
      <c r="G874" s="2">
        <f>VLOOKUP(B874, Course!$A$2:$L$950, 8, FALSE)</f>
        <v>6</v>
      </c>
      <c r="H874" s="2">
        <v>3</v>
      </c>
      <c r="I874" s="2">
        <v>1</v>
      </c>
      <c r="K874" s="2" t="s">
        <v>1915</v>
      </c>
      <c r="L874" s="2" t="str">
        <f>VLOOKUP(B874, Course!$A$1:$O$933, 14, FALSE)</f>
        <v>MI</v>
      </c>
      <c r="M874" s="2">
        <v>1</v>
      </c>
    </row>
    <row r="875" spans="1:14" ht="15.75" hidden="1" customHeight="1" x14ac:dyDescent="0.2">
      <c r="A875" s="2">
        <v>878</v>
      </c>
      <c r="B875" s="2">
        <v>82</v>
      </c>
      <c r="C875" s="2">
        <v>2</v>
      </c>
      <c r="D875" s="2" t="s">
        <v>586</v>
      </c>
      <c r="E875" s="2" t="str">
        <f t="shared" si="3"/>
        <v>602MI03PT</v>
      </c>
      <c r="F875" s="2">
        <f>VLOOKUP(B875,Course!$A$2:$R$329,2,FALSE)</f>
        <v>0</v>
      </c>
      <c r="G875" s="2">
        <f>VLOOKUP(B875, Course!$A$2:$L$950, 8, FALSE)</f>
        <v>6</v>
      </c>
      <c r="H875" s="2">
        <v>3</v>
      </c>
      <c r="I875" s="2">
        <v>1</v>
      </c>
      <c r="K875" s="2" t="s">
        <v>1915</v>
      </c>
      <c r="L875" s="2" t="str">
        <f>VLOOKUP(B875, Course!$A$1:$O$933, 14, FALSE)</f>
        <v>MI</v>
      </c>
      <c r="M875" s="2">
        <v>1</v>
      </c>
    </row>
    <row r="876" spans="1:14" ht="15.75" hidden="1" customHeight="1" x14ac:dyDescent="0.2">
      <c r="A876" s="2">
        <v>879</v>
      </c>
      <c r="B876" s="2">
        <v>82</v>
      </c>
      <c r="C876" s="2">
        <v>3</v>
      </c>
      <c r="D876" s="2" t="s">
        <v>586</v>
      </c>
      <c r="E876" s="2" t="str">
        <f t="shared" si="3"/>
        <v>603MI03PT</v>
      </c>
      <c r="F876" s="2">
        <f>VLOOKUP(B876,Course!$A$2:$R$329,2,FALSE)</f>
        <v>0</v>
      </c>
      <c r="G876" s="2">
        <f>VLOOKUP(B876, Course!$A$2:$L$950, 8, FALSE)</f>
        <v>6</v>
      </c>
      <c r="H876" s="2">
        <v>3</v>
      </c>
      <c r="I876" s="2">
        <v>1</v>
      </c>
      <c r="K876" s="2" t="s">
        <v>1915</v>
      </c>
      <c r="L876" s="2" t="str">
        <f>VLOOKUP(B876, Course!$A$1:$O$933, 14, FALSE)</f>
        <v>MI</v>
      </c>
      <c r="M876" s="2">
        <v>1</v>
      </c>
    </row>
    <row r="877" spans="1:14" ht="15.75" hidden="1" customHeight="1" x14ac:dyDescent="0.2">
      <c r="A877" s="2">
        <v>880</v>
      </c>
      <c r="B877" s="2">
        <v>82</v>
      </c>
      <c r="C877" s="2">
        <v>4</v>
      </c>
      <c r="D877" s="2" t="s">
        <v>586</v>
      </c>
      <c r="E877" s="2" t="str">
        <f t="shared" si="3"/>
        <v>604MI03PT</v>
      </c>
      <c r="F877" s="2">
        <f>VLOOKUP(B877,Course!$A$2:$R$329,2,FALSE)</f>
        <v>0</v>
      </c>
      <c r="G877" s="2">
        <f>VLOOKUP(B877, Course!$A$2:$L$950, 8, FALSE)</f>
        <v>6</v>
      </c>
      <c r="H877" s="2">
        <v>3</v>
      </c>
      <c r="I877" s="2">
        <v>1</v>
      </c>
      <c r="K877" s="2" t="s">
        <v>1915</v>
      </c>
      <c r="L877" s="2" t="str">
        <f>VLOOKUP(B877, Course!$A$1:$O$933, 14, FALSE)</f>
        <v>MI</v>
      </c>
      <c r="M877" s="2">
        <v>1</v>
      </c>
    </row>
    <row r="878" spans="1:14" ht="15.75" hidden="1" customHeight="1" x14ac:dyDescent="0.2">
      <c r="A878" s="2">
        <v>881</v>
      </c>
      <c r="B878" s="2">
        <v>82</v>
      </c>
      <c r="C878" s="2">
        <v>5</v>
      </c>
      <c r="D878" s="2" t="s">
        <v>586</v>
      </c>
      <c r="E878" s="2" t="str">
        <f t="shared" si="3"/>
        <v>605MI03PT</v>
      </c>
      <c r="F878" s="2">
        <f>VLOOKUP(B878,Course!$A$2:$R$329,2,FALSE)</f>
        <v>0</v>
      </c>
      <c r="G878" s="2">
        <f>VLOOKUP(B878, Course!$A$2:$L$950, 8, FALSE)</f>
        <v>6</v>
      </c>
      <c r="H878" s="2">
        <v>3</v>
      </c>
      <c r="I878" s="2">
        <v>1</v>
      </c>
      <c r="K878" s="2" t="s">
        <v>1915</v>
      </c>
      <c r="L878" s="2" t="str">
        <f>VLOOKUP(B878, Course!$A$1:$O$933, 14, FALSE)</f>
        <v>MI</v>
      </c>
      <c r="M878" s="2">
        <v>1</v>
      </c>
    </row>
    <row r="879" spans="1:14" ht="15.75" hidden="1" customHeight="1" x14ac:dyDescent="0.2">
      <c r="A879" s="2">
        <v>882</v>
      </c>
      <c r="B879" s="2">
        <v>82</v>
      </c>
      <c r="C879" s="2">
        <v>6</v>
      </c>
      <c r="D879" s="2" t="s">
        <v>586</v>
      </c>
      <c r="E879" s="2" t="str">
        <f t="shared" si="3"/>
        <v>606MI03PT</v>
      </c>
      <c r="F879" s="2">
        <f>VLOOKUP(B879,Course!$A$2:$R$329,2,FALSE)</f>
        <v>0</v>
      </c>
      <c r="G879" s="2">
        <f>VLOOKUP(B879, Course!$A$2:$L$950, 8, FALSE)</f>
        <v>6</v>
      </c>
      <c r="H879" s="2">
        <v>3</v>
      </c>
      <c r="I879" s="2">
        <v>1</v>
      </c>
      <c r="K879" s="2" t="s">
        <v>1915</v>
      </c>
      <c r="L879" s="2" t="str">
        <f>VLOOKUP(B879, Course!$A$1:$O$933, 14, FALSE)</f>
        <v>MI</v>
      </c>
      <c r="M879" s="2">
        <v>1</v>
      </c>
    </row>
    <row r="880" spans="1:14" ht="15.75" hidden="1" customHeight="1" x14ac:dyDescent="0.2">
      <c r="A880" s="2">
        <v>883</v>
      </c>
      <c r="B880" s="2">
        <v>83</v>
      </c>
      <c r="C880" s="2">
        <v>1</v>
      </c>
      <c r="D880" s="2" t="s">
        <v>588</v>
      </c>
      <c r="E880" s="2" t="str">
        <f t="shared" si="3"/>
        <v>1201SL03PT</v>
      </c>
      <c r="F880" s="2" t="str">
        <f>VLOOKUP(B880,Course!$A$2:$R$329,2,FALSE)</f>
        <v>Successful Living</v>
      </c>
      <c r="G880" s="2">
        <f>VLOOKUP(B880, Course!$A$2:$L$950, 8, FALSE)</f>
        <v>12</v>
      </c>
      <c r="H880" s="2">
        <v>3</v>
      </c>
      <c r="I880" s="2">
        <v>1</v>
      </c>
      <c r="K880" s="2" t="s">
        <v>1915</v>
      </c>
      <c r="L880" s="2" t="str">
        <f>VLOOKUP(B880, Course!$A$1:$O$933, 14, FALSE)</f>
        <v>SL</v>
      </c>
      <c r="M880" s="2">
        <v>1</v>
      </c>
    </row>
    <row r="881" spans="1:13" ht="15.75" hidden="1" customHeight="1" x14ac:dyDescent="0.2">
      <c r="A881" s="2">
        <v>884</v>
      </c>
      <c r="B881" s="2">
        <v>83</v>
      </c>
      <c r="C881" s="2">
        <v>2</v>
      </c>
      <c r="D881" s="2" t="s">
        <v>588</v>
      </c>
      <c r="E881" s="2" t="str">
        <f t="shared" si="3"/>
        <v>1202SL03PT</v>
      </c>
      <c r="F881" s="2" t="str">
        <f>VLOOKUP(B881,Course!$A$2:$R$329,2,FALSE)</f>
        <v>Successful Living</v>
      </c>
      <c r="G881" s="2">
        <f>VLOOKUP(B881, Course!$A$2:$L$950, 8, FALSE)</f>
        <v>12</v>
      </c>
      <c r="H881" s="2">
        <v>3</v>
      </c>
      <c r="I881" s="2">
        <v>1</v>
      </c>
      <c r="K881" s="2" t="s">
        <v>1915</v>
      </c>
      <c r="L881" s="2" t="str">
        <f>VLOOKUP(B881, Course!$A$1:$O$933, 14, FALSE)</f>
        <v>SL</v>
      </c>
      <c r="M881" s="2">
        <v>1</v>
      </c>
    </row>
    <row r="882" spans="1:13" ht="15.75" hidden="1" customHeight="1" x14ac:dyDescent="0.2">
      <c r="A882" s="2">
        <v>885</v>
      </c>
      <c r="B882" s="2">
        <v>83</v>
      </c>
      <c r="C882" s="2">
        <v>3</v>
      </c>
      <c r="D882" s="2" t="s">
        <v>588</v>
      </c>
      <c r="E882" s="2" t="str">
        <f t="shared" si="3"/>
        <v>1203SL03PT</v>
      </c>
      <c r="F882" s="2" t="str">
        <f>VLOOKUP(B882,Course!$A$2:$R$329,2,FALSE)</f>
        <v>Successful Living</v>
      </c>
      <c r="G882" s="2">
        <f>VLOOKUP(B882, Course!$A$2:$L$950, 8, FALSE)</f>
        <v>12</v>
      </c>
      <c r="H882" s="2">
        <v>3</v>
      </c>
      <c r="I882" s="2">
        <v>1</v>
      </c>
      <c r="K882" s="2" t="s">
        <v>1915</v>
      </c>
      <c r="L882" s="2" t="str">
        <f>VLOOKUP(B882, Course!$A$1:$O$933, 14, FALSE)</f>
        <v>SL</v>
      </c>
      <c r="M882" s="2">
        <v>1</v>
      </c>
    </row>
    <row r="883" spans="1:13" ht="15.75" hidden="1" customHeight="1" x14ac:dyDescent="0.2">
      <c r="A883" s="2">
        <v>886</v>
      </c>
      <c r="B883" s="2">
        <v>83</v>
      </c>
      <c r="C883" s="2">
        <v>4</v>
      </c>
      <c r="D883" s="2" t="s">
        <v>588</v>
      </c>
      <c r="E883" s="2" t="str">
        <f t="shared" si="3"/>
        <v>1204SL03PT</v>
      </c>
      <c r="F883" s="2" t="str">
        <f>VLOOKUP(B883,Course!$A$2:$R$329,2,FALSE)</f>
        <v>Successful Living</v>
      </c>
      <c r="G883" s="2">
        <f>VLOOKUP(B883, Course!$A$2:$L$950, 8, FALSE)</f>
        <v>12</v>
      </c>
      <c r="H883" s="2">
        <v>3</v>
      </c>
      <c r="I883" s="2">
        <v>1</v>
      </c>
      <c r="K883" s="2" t="s">
        <v>1915</v>
      </c>
      <c r="L883" s="2" t="str">
        <f>VLOOKUP(B883, Course!$A$1:$O$933, 14, FALSE)</f>
        <v>SL</v>
      </c>
      <c r="M883" s="2">
        <v>1</v>
      </c>
    </row>
    <row r="884" spans="1:13" ht="15.75" hidden="1" customHeight="1" x14ac:dyDescent="0.2">
      <c r="A884" s="2">
        <v>887</v>
      </c>
      <c r="B884" s="2">
        <v>83</v>
      </c>
      <c r="C884" s="2">
        <v>5</v>
      </c>
      <c r="D884" s="2" t="s">
        <v>588</v>
      </c>
      <c r="E884" s="2" t="str">
        <f t="shared" si="3"/>
        <v>1205SL03PT</v>
      </c>
      <c r="F884" s="2" t="str">
        <f>VLOOKUP(B884,Course!$A$2:$R$329,2,FALSE)</f>
        <v>Successful Living</v>
      </c>
      <c r="G884" s="2">
        <f>VLOOKUP(B884, Course!$A$2:$L$950, 8, FALSE)</f>
        <v>12</v>
      </c>
      <c r="H884" s="2">
        <v>3</v>
      </c>
      <c r="I884" s="2">
        <v>1</v>
      </c>
      <c r="K884" s="2" t="s">
        <v>1915</v>
      </c>
      <c r="L884" s="2" t="str">
        <f>VLOOKUP(B884, Course!$A$1:$O$933, 14, FALSE)</f>
        <v>SL</v>
      </c>
      <c r="M884" s="2">
        <v>1</v>
      </c>
    </row>
    <row r="885" spans="1:13" ht="15.75" hidden="1" customHeight="1" x14ac:dyDescent="0.2">
      <c r="A885" s="2">
        <v>888</v>
      </c>
      <c r="B885" s="2">
        <v>83</v>
      </c>
      <c r="C885" s="2">
        <v>6</v>
      </c>
      <c r="D885" s="2" t="s">
        <v>588</v>
      </c>
      <c r="E885" s="2" t="str">
        <f t="shared" si="3"/>
        <v>1206SL03PT</v>
      </c>
      <c r="F885" s="2" t="str">
        <f>VLOOKUP(B885,Course!$A$2:$R$329,2,FALSE)</f>
        <v>Successful Living</v>
      </c>
      <c r="G885" s="2">
        <f>VLOOKUP(B885, Course!$A$2:$L$950, 8, FALSE)</f>
        <v>12</v>
      </c>
      <c r="H885" s="2">
        <v>3</v>
      </c>
      <c r="I885" s="2">
        <v>1</v>
      </c>
      <c r="K885" s="2" t="s">
        <v>1915</v>
      </c>
      <c r="L885" s="2" t="str">
        <f>VLOOKUP(B885, Course!$A$1:$O$933, 14, FALSE)</f>
        <v>SL</v>
      </c>
      <c r="M885" s="2">
        <v>1</v>
      </c>
    </row>
    <row r="886" spans="1:13" ht="15.75" hidden="1" customHeight="1" x14ac:dyDescent="0.2">
      <c r="A886" s="2">
        <v>889</v>
      </c>
      <c r="B886" s="2">
        <v>83</v>
      </c>
      <c r="C886" s="2">
        <v>7</v>
      </c>
      <c r="D886" s="2" t="s">
        <v>588</v>
      </c>
      <c r="E886" s="2" t="str">
        <f t="shared" si="3"/>
        <v>1207SL03PT</v>
      </c>
      <c r="F886" s="2" t="str">
        <f>VLOOKUP(B886,Course!$A$2:$R$329,2,FALSE)</f>
        <v>Successful Living</v>
      </c>
      <c r="G886" s="2">
        <f>VLOOKUP(B886, Course!$A$2:$L$950, 8, FALSE)</f>
        <v>12</v>
      </c>
      <c r="H886" s="2">
        <v>3</v>
      </c>
      <c r="I886" s="2">
        <v>1</v>
      </c>
      <c r="K886" s="2" t="s">
        <v>1915</v>
      </c>
      <c r="L886" s="2" t="str">
        <f>VLOOKUP(B886, Course!$A$1:$O$933, 14, FALSE)</f>
        <v>SL</v>
      </c>
      <c r="M886" s="2">
        <v>1</v>
      </c>
    </row>
    <row r="887" spans="1:13" ht="15.75" hidden="1" customHeight="1" x14ac:dyDescent="0.2">
      <c r="A887" s="2">
        <v>890</v>
      </c>
      <c r="B887" s="2">
        <v>83</v>
      </c>
      <c r="C887" s="2">
        <v>8</v>
      </c>
      <c r="D887" s="2" t="s">
        <v>588</v>
      </c>
      <c r="E887" s="2" t="str">
        <f t="shared" si="3"/>
        <v>1208SL03PT</v>
      </c>
      <c r="F887" s="2" t="str">
        <f>VLOOKUP(B887,Course!$A$2:$R$329,2,FALSE)</f>
        <v>Successful Living</v>
      </c>
      <c r="G887" s="2">
        <f>VLOOKUP(B887, Course!$A$2:$L$950, 8, FALSE)</f>
        <v>12</v>
      </c>
      <c r="H887" s="2">
        <v>3</v>
      </c>
      <c r="I887" s="2">
        <v>1</v>
      </c>
      <c r="K887" s="2" t="s">
        <v>1915</v>
      </c>
      <c r="L887" s="2" t="str">
        <f>VLOOKUP(B887, Course!$A$1:$O$933, 14, FALSE)</f>
        <v>SL</v>
      </c>
      <c r="M887" s="2">
        <v>1</v>
      </c>
    </row>
    <row r="888" spans="1:13" ht="15.75" hidden="1" customHeight="1" x14ac:dyDescent="0.2">
      <c r="A888" s="2">
        <v>891</v>
      </c>
      <c r="B888" s="2">
        <v>83</v>
      </c>
      <c r="C888" s="2">
        <v>9</v>
      </c>
      <c r="D888" s="2" t="s">
        <v>588</v>
      </c>
      <c r="E888" s="2" t="str">
        <f t="shared" si="3"/>
        <v>1209SL03PT</v>
      </c>
      <c r="F888" s="2" t="str">
        <f>VLOOKUP(B888,Course!$A$2:$R$329,2,FALSE)</f>
        <v>Successful Living</v>
      </c>
      <c r="G888" s="2">
        <f>VLOOKUP(B888, Course!$A$2:$L$950, 8, FALSE)</f>
        <v>12</v>
      </c>
      <c r="H888" s="2">
        <v>3</v>
      </c>
      <c r="I888" s="2">
        <v>1</v>
      </c>
      <c r="K888" s="2" t="s">
        <v>1915</v>
      </c>
      <c r="L888" s="2" t="str">
        <f>VLOOKUP(B888, Course!$A$1:$O$933, 14, FALSE)</f>
        <v>SL</v>
      </c>
      <c r="M888" s="2">
        <v>1</v>
      </c>
    </row>
    <row r="889" spans="1:13" ht="15.75" hidden="1" customHeight="1" x14ac:dyDescent="0.2">
      <c r="A889" s="2">
        <v>892</v>
      </c>
      <c r="B889" s="2">
        <v>83</v>
      </c>
      <c r="C889" s="2">
        <v>10</v>
      </c>
      <c r="D889" s="2" t="s">
        <v>588</v>
      </c>
      <c r="E889" s="2" t="str">
        <f t="shared" si="3"/>
        <v>1210SL03PT</v>
      </c>
      <c r="F889" s="2" t="str">
        <f>VLOOKUP(B889,Course!$A$2:$R$329,2,FALSE)</f>
        <v>Successful Living</v>
      </c>
      <c r="G889" s="2">
        <f>VLOOKUP(B889, Course!$A$2:$L$950, 8, FALSE)</f>
        <v>12</v>
      </c>
      <c r="H889" s="2">
        <v>3</v>
      </c>
      <c r="I889" s="2">
        <v>1</v>
      </c>
      <c r="K889" s="2" t="s">
        <v>1915</v>
      </c>
      <c r="L889" s="2" t="str">
        <f>VLOOKUP(B889, Course!$A$1:$O$933, 14, FALSE)</f>
        <v>SL</v>
      </c>
      <c r="M889" s="2">
        <v>1</v>
      </c>
    </row>
    <row r="890" spans="1:13" ht="15.75" hidden="1" customHeight="1" x14ac:dyDescent="0.2">
      <c r="A890" s="2">
        <v>893</v>
      </c>
      <c r="B890" s="2">
        <v>83</v>
      </c>
      <c r="C890" s="2">
        <v>11</v>
      </c>
      <c r="D890" s="2" t="s">
        <v>588</v>
      </c>
      <c r="E890" s="2" t="str">
        <f t="shared" si="3"/>
        <v>1211SL03PT</v>
      </c>
      <c r="F890" s="2" t="str">
        <f>VLOOKUP(B890,Course!$A$2:$R$329,2,FALSE)</f>
        <v>Successful Living</v>
      </c>
      <c r="G890" s="2">
        <f>VLOOKUP(B890, Course!$A$2:$L$950, 8, FALSE)</f>
        <v>12</v>
      </c>
      <c r="H890" s="2">
        <v>3</v>
      </c>
      <c r="I890" s="2">
        <v>1</v>
      </c>
      <c r="K890" s="2" t="s">
        <v>1915</v>
      </c>
      <c r="L890" s="2" t="str">
        <f>VLOOKUP(B890, Course!$A$1:$O$933, 14, FALSE)</f>
        <v>SL</v>
      </c>
      <c r="M890" s="2">
        <v>1</v>
      </c>
    </row>
    <row r="891" spans="1:13" ht="15.75" hidden="1" customHeight="1" x14ac:dyDescent="0.2">
      <c r="A891" s="2">
        <v>894</v>
      </c>
      <c r="B891" s="2">
        <v>83</v>
      </c>
      <c r="C891" s="2">
        <v>12</v>
      </c>
      <c r="D891" s="2" t="s">
        <v>588</v>
      </c>
      <c r="E891" s="2" t="str">
        <f t="shared" si="3"/>
        <v>1212SL03PT</v>
      </c>
      <c r="F891" s="2" t="str">
        <f>VLOOKUP(B891,Course!$A$2:$R$329,2,FALSE)</f>
        <v>Successful Living</v>
      </c>
      <c r="G891" s="2">
        <f>VLOOKUP(B891, Course!$A$2:$L$950, 8, FALSE)</f>
        <v>12</v>
      </c>
      <c r="H891" s="2">
        <v>3</v>
      </c>
      <c r="I891" s="2">
        <v>1</v>
      </c>
      <c r="K891" s="2" t="s">
        <v>1915</v>
      </c>
      <c r="L891" s="2" t="str">
        <f>VLOOKUP(B891, Course!$A$1:$O$933, 14, FALSE)</f>
        <v>SL</v>
      </c>
      <c r="M891" s="2">
        <v>1</v>
      </c>
    </row>
    <row r="892" spans="1:13" ht="15.75" hidden="1" customHeight="1" x14ac:dyDescent="0.2">
      <c r="A892" s="2">
        <v>895</v>
      </c>
      <c r="B892" s="2">
        <v>85</v>
      </c>
      <c r="C892" s="2">
        <v>1</v>
      </c>
      <c r="D892" s="2" t="s">
        <v>593</v>
      </c>
      <c r="E892" s="2" t="str">
        <f t="shared" si="3"/>
        <v>801ED03PT</v>
      </c>
      <c r="F892" s="2">
        <f>VLOOKUP(B892,Course!$A$2:$R$329,2,FALSE)</f>
        <v>0</v>
      </c>
      <c r="G892" s="2">
        <f>VLOOKUP(B892, Course!$A$2:$L$950, 8, FALSE)</f>
        <v>8</v>
      </c>
      <c r="H892" s="2">
        <v>3</v>
      </c>
      <c r="I892" s="2">
        <v>1</v>
      </c>
      <c r="K892" s="2" t="s">
        <v>1915</v>
      </c>
      <c r="L892" s="2" t="str">
        <f>VLOOKUP(B892, Course!$A$1:$O$933, 14, FALSE)</f>
        <v>ED</v>
      </c>
      <c r="M892" s="2">
        <v>1</v>
      </c>
    </row>
    <row r="893" spans="1:13" ht="15.75" hidden="1" customHeight="1" x14ac:dyDescent="0.2">
      <c r="A893" s="2">
        <v>896</v>
      </c>
      <c r="B893" s="2">
        <v>85</v>
      </c>
      <c r="C893" s="2">
        <v>2</v>
      </c>
      <c r="D893" s="2" t="s">
        <v>593</v>
      </c>
      <c r="E893" s="2" t="str">
        <f t="shared" si="3"/>
        <v>802ED03PT</v>
      </c>
      <c r="F893" s="2">
        <f>VLOOKUP(B893,Course!$A$2:$R$329,2,FALSE)</f>
        <v>0</v>
      </c>
      <c r="G893" s="2">
        <f>VLOOKUP(B893, Course!$A$2:$L$950, 8, FALSE)</f>
        <v>8</v>
      </c>
      <c r="H893" s="2">
        <v>3</v>
      </c>
      <c r="I893" s="2">
        <v>1</v>
      </c>
      <c r="K893" s="2" t="s">
        <v>1915</v>
      </c>
      <c r="L893" s="2" t="str">
        <f>VLOOKUP(B893, Course!$A$1:$O$933, 14, FALSE)</f>
        <v>ED</v>
      </c>
      <c r="M893" s="2">
        <v>1</v>
      </c>
    </row>
    <row r="894" spans="1:13" ht="15.75" hidden="1" customHeight="1" x14ac:dyDescent="0.2">
      <c r="A894" s="2">
        <v>897</v>
      </c>
      <c r="B894" s="2">
        <v>85</v>
      </c>
      <c r="C894" s="2">
        <v>3</v>
      </c>
      <c r="D894" s="2" t="s">
        <v>593</v>
      </c>
      <c r="E894" s="2" t="str">
        <f t="shared" si="3"/>
        <v>803ED03PT</v>
      </c>
      <c r="F894" s="2">
        <f>VLOOKUP(B894,Course!$A$2:$R$329,2,FALSE)</f>
        <v>0</v>
      </c>
      <c r="G894" s="2">
        <f>VLOOKUP(B894, Course!$A$2:$L$950, 8, FALSE)</f>
        <v>8</v>
      </c>
      <c r="H894" s="2">
        <v>3</v>
      </c>
      <c r="I894" s="2">
        <v>1</v>
      </c>
      <c r="K894" s="2" t="s">
        <v>1915</v>
      </c>
      <c r="L894" s="2" t="str">
        <f>VLOOKUP(B894, Course!$A$1:$O$933, 14, FALSE)</f>
        <v>ED</v>
      </c>
      <c r="M894" s="2">
        <v>1</v>
      </c>
    </row>
    <row r="895" spans="1:13" ht="15.75" hidden="1" customHeight="1" x14ac:dyDescent="0.2">
      <c r="A895" s="2">
        <v>898</v>
      </c>
      <c r="B895" s="2">
        <v>85</v>
      </c>
      <c r="C895" s="2">
        <v>4</v>
      </c>
      <c r="D895" s="2" t="s">
        <v>593</v>
      </c>
      <c r="E895" s="2" t="str">
        <f t="shared" si="3"/>
        <v>804ED03PT</v>
      </c>
      <c r="F895" s="2">
        <f>VLOOKUP(B895,Course!$A$2:$R$329,2,FALSE)</f>
        <v>0</v>
      </c>
      <c r="G895" s="2">
        <f>VLOOKUP(B895, Course!$A$2:$L$950, 8, FALSE)</f>
        <v>8</v>
      </c>
      <c r="H895" s="2">
        <v>3</v>
      </c>
      <c r="I895" s="2">
        <v>1</v>
      </c>
      <c r="K895" s="2" t="s">
        <v>1915</v>
      </c>
      <c r="L895" s="2" t="str">
        <f>VLOOKUP(B895, Course!$A$1:$O$933, 14, FALSE)</f>
        <v>ED</v>
      </c>
      <c r="M895" s="2">
        <v>1</v>
      </c>
    </row>
    <row r="896" spans="1:13" ht="15.75" hidden="1" customHeight="1" x14ac:dyDescent="0.2">
      <c r="A896" s="2">
        <v>899</v>
      </c>
      <c r="B896" s="2">
        <v>85</v>
      </c>
      <c r="C896" s="2">
        <v>5</v>
      </c>
      <c r="D896" s="2" t="s">
        <v>593</v>
      </c>
      <c r="E896" s="2" t="str">
        <f t="shared" si="3"/>
        <v>805ED03PT</v>
      </c>
      <c r="F896" s="2">
        <f>VLOOKUP(B896,Course!$A$2:$R$329,2,FALSE)</f>
        <v>0</v>
      </c>
      <c r="G896" s="2">
        <f>VLOOKUP(B896, Course!$A$2:$L$950, 8, FALSE)</f>
        <v>8</v>
      </c>
      <c r="H896" s="2">
        <v>3</v>
      </c>
      <c r="I896" s="2">
        <v>1</v>
      </c>
      <c r="K896" s="2" t="s">
        <v>1915</v>
      </c>
      <c r="L896" s="2" t="str">
        <f>VLOOKUP(B896, Course!$A$1:$O$933, 14, FALSE)</f>
        <v>ED</v>
      </c>
      <c r="M896" s="2">
        <v>1</v>
      </c>
    </row>
    <row r="897" spans="1:13" ht="15.75" hidden="1" customHeight="1" x14ac:dyDescent="0.2">
      <c r="A897" s="2">
        <v>900</v>
      </c>
      <c r="B897" s="2">
        <v>85</v>
      </c>
      <c r="C897" s="2">
        <v>6</v>
      </c>
      <c r="D897" s="2" t="s">
        <v>593</v>
      </c>
      <c r="E897" s="2" t="str">
        <f t="shared" si="3"/>
        <v>806ED03PT</v>
      </c>
      <c r="F897" s="2">
        <f>VLOOKUP(B897,Course!$A$2:$R$329,2,FALSE)</f>
        <v>0</v>
      </c>
      <c r="G897" s="2">
        <f>VLOOKUP(B897, Course!$A$2:$L$950, 8, FALSE)</f>
        <v>8</v>
      </c>
      <c r="H897" s="2">
        <v>3</v>
      </c>
      <c r="I897" s="2">
        <v>1</v>
      </c>
      <c r="K897" s="2" t="s">
        <v>1915</v>
      </c>
      <c r="L897" s="2" t="str">
        <f>VLOOKUP(B897, Course!$A$1:$O$933, 14, FALSE)</f>
        <v>ED</v>
      </c>
      <c r="M897" s="2">
        <v>1</v>
      </c>
    </row>
    <row r="898" spans="1:13" ht="15.75" hidden="1" customHeight="1" x14ac:dyDescent="0.2">
      <c r="A898" s="2">
        <v>901</v>
      </c>
      <c r="B898" s="2">
        <v>85</v>
      </c>
      <c r="C898" s="2">
        <v>7</v>
      </c>
      <c r="D898" s="2" t="s">
        <v>593</v>
      </c>
      <c r="E898" s="2" t="str">
        <f t="shared" si="3"/>
        <v>807ED03PT</v>
      </c>
      <c r="F898" s="2">
        <f>VLOOKUP(B898,Course!$A$2:$R$329,2,FALSE)</f>
        <v>0</v>
      </c>
      <c r="G898" s="2">
        <f>VLOOKUP(B898, Course!$A$2:$L$950, 8, FALSE)</f>
        <v>8</v>
      </c>
      <c r="H898" s="2">
        <v>3</v>
      </c>
      <c r="I898" s="2">
        <v>1</v>
      </c>
      <c r="K898" s="2" t="s">
        <v>1915</v>
      </c>
      <c r="L898" s="2" t="str">
        <f>VLOOKUP(B898, Course!$A$1:$O$933, 14, FALSE)</f>
        <v>ED</v>
      </c>
      <c r="M898" s="2">
        <v>1</v>
      </c>
    </row>
    <row r="899" spans="1:13" ht="15.75" hidden="1" customHeight="1" x14ac:dyDescent="0.2">
      <c r="A899" s="2">
        <v>902</v>
      </c>
      <c r="B899" s="2">
        <v>85</v>
      </c>
      <c r="C899" s="2">
        <v>8</v>
      </c>
      <c r="D899" s="2" t="s">
        <v>593</v>
      </c>
      <c r="E899" s="2" t="str">
        <f t="shared" si="3"/>
        <v>808ED03PT</v>
      </c>
      <c r="F899" s="2">
        <f>VLOOKUP(B899,Course!$A$2:$R$329,2,FALSE)</f>
        <v>0</v>
      </c>
      <c r="G899" s="2">
        <f>VLOOKUP(B899, Course!$A$2:$L$950, 8, FALSE)</f>
        <v>8</v>
      </c>
      <c r="H899" s="2">
        <v>3</v>
      </c>
      <c r="I899" s="2">
        <v>1</v>
      </c>
      <c r="K899" s="2" t="s">
        <v>1915</v>
      </c>
      <c r="L899" s="2" t="str">
        <f>VLOOKUP(B899, Course!$A$1:$O$933, 14, FALSE)</f>
        <v>ED</v>
      </c>
      <c r="M899" s="2">
        <v>1</v>
      </c>
    </row>
    <row r="900" spans="1:13" ht="15.75" hidden="1" customHeight="1" x14ac:dyDescent="0.2">
      <c r="A900" s="2">
        <v>903</v>
      </c>
      <c r="B900" s="2">
        <v>86</v>
      </c>
      <c r="C900" s="2">
        <v>109</v>
      </c>
      <c r="D900" s="2" t="s">
        <v>595</v>
      </c>
      <c r="E900" s="2" t="str">
        <f t="shared" si="3"/>
        <v>1209GE03PT</v>
      </c>
      <c r="F900" s="2">
        <f>VLOOKUP(B900,Course!$A$2:$R$329,2,FALSE)</f>
        <v>0</v>
      </c>
      <c r="G900" s="2">
        <f>VLOOKUP(B900, Course!$A$2:$L$950, 8, FALSE)</f>
        <v>12</v>
      </c>
      <c r="H900" s="2">
        <v>3</v>
      </c>
      <c r="I900" s="2">
        <v>1</v>
      </c>
      <c r="K900" s="2" t="s">
        <v>1915</v>
      </c>
      <c r="L900" s="2" t="str">
        <f>VLOOKUP(B900, Course!$A$1:$O$933, 14, FALSE)</f>
        <v>GE</v>
      </c>
      <c r="M900" s="2">
        <v>1</v>
      </c>
    </row>
    <row r="901" spans="1:13" ht="15.75" hidden="1" customHeight="1" x14ac:dyDescent="0.2">
      <c r="A901" s="2">
        <v>904</v>
      </c>
      <c r="B901" s="2">
        <v>86</v>
      </c>
      <c r="C901" s="2">
        <v>110</v>
      </c>
      <c r="D901" s="2" t="s">
        <v>595</v>
      </c>
      <c r="E901" s="2" t="str">
        <f t="shared" si="3"/>
        <v>1210GE03PT</v>
      </c>
      <c r="F901" s="2">
        <f>VLOOKUP(B901,Course!$A$2:$R$329,2,FALSE)</f>
        <v>0</v>
      </c>
      <c r="G901" s="2">
        <f>VLOOKUP(B901, Course!$A$2:$L$950, 8, FALSE)</f>
        <v>12</v>
      </c>
      <c r="H901" s="2">
        <v>3</v>
      </c>
      <c r="I901" s="2">
        <v>1</v>
      </c>
      <c r="K901" s="2" t="s">
        <v>1915</v>
      </c>
      <c r="L901" s="2" t="str">
        <f>VLOOKUP(B901, Course!$A$1:$O$933, 14, FALSE)</f>
        <v>GE</v>
      </c>
      <c r="M901" s="2">
        <v>1</v>
      </c>
    </row>
    <row r="902" spans="1:13" ht="15.75" hidden="1" customHeight="1" x14ac:dyDescent="0.2">
      <c r="A902" s="2">
        <v>905</v>
      </c>
      <c r="B902" s="2">
        <v>86</v>
      </c>
      <c r="C902" s="2">
        <v>111</v>
      </c>
      <c r="D902" s="2" t="s">
        <v>595</v>
      </c>
      <c r="E902" s="2" t="str">
        <f t="shared" si="3"/>
        <v>1211GE03PT</v>
      </c>
      <c r="F902" s="2">
        <f>VLOOKUP(B902,Course!$A$2:$R$329,2,FALSE)</f>
        <v>0</v>
      </c>
      <c r="G902" s="2">
        <f>VLOOKUP(B902, Course!$A$2:$L$950, 8, FALSE)</f>
        <v>12</v>
      </c>
      <c r="H902" s="2">
        <v>3</v>
      </c>
      <c r="I902" s="2">
        <v>1</v>
      </c>
      <c r="K902" s="2" t="s">
        <v>1915</v>
      </c>
      <c r="L902" s="2" t="str">
        <f>VLOOKUP(B902, Course!$A$1:$O$933, 14, FALSE)</f>
        <v>GE</v>
      </c>
      <c r="M902" s="2">
        <v>1</v>
      </c>
    </row>
    <row r="903" spans="1:13" ht="15.75" hidden="1" customHeight="1" x14ac:dyDescent="0.2">
      <c r="A903" s="2">
        <v>906</v>
      </c>
      <c r="B903" s="2">
        <v>86</v>
      </c>
      <c r="C903" s="2">
        <v>112</v>
      </c>
      <c r="D903" s="2" t="s">
        <v>595</v>
      </c>
      <c r="E903" s="2" t="str">
        <f t="shared" si="3"/>
        <v>1212GE03PT</v>
      </c>
      <c r="F903" s="2">
        <f>VLOOKUP(B903,Course!$A$2:$R$329,2,FALSE)</f>
        <v>0</v>
      </c>
      <c r="G903" s="2">
        <f>VLOOKUP(B903, Course!$A$2:$L$950, 8, FALSE)</f>
        <v>12</v>
      </c>
      <c r="H903" s="2">
        <v>3</v>
      </c>
      <c r="I903" s="2">
        <v>1</v>
      </c>
      <c r="K903" s="2" t="s">
        <v>1915</v>
      </c>
      <c r="L903" s="2" t="str">
        <f>VLOOKUP(B903, Course!$A$1:$O$933, 14, FALSE)</f>
        <v>GE</v>
      </c>
      <c r="M903" s="2">
        <v>1</v>
      </c>
    </row>
    <row r="904" spans="1:13" ht="15.75" hidden="1" customHeight="1" x14ac:dyDescent="0.2">
      <c r="A904" s="2">
        <v>907</v>
      </c>
      <c r="B904" s="2">
        <v>86</v>
      </c>
      <c r="C904" s="2">
        <v>113</v>
      </c>
      <c r="D904" s="2" t="s">
        <v>595</v>
      </c>
      <c r="E904" s="2" t="str">
        <f t="shared" si="3"/>
        <v>1213GE03PT</v>
      </c>
      <c r="F904" s="2">
        <f>VLOOKUP(B904,Course!$A$2:$R$329,2,FALSE)</f>
        <v>0</v>
      </c>
      <c r="G904" s="2">
        <f>VLOOKUP(B904, Course!$A$2:$L$950, 8, FALSE)</f>
        <v>12</v>
      </c>
      <c r="H904" s="2">
        <v>3</v>
      </c>
      <c r="I904" s="2">
        <v>1</v>
      </c>
      <c r="K904" s="2" t="s">
        <v>1915</v>
      </c>
      <c r="L904" s="2" t="str">
        <f>VLOOKUP(B904, Course!$A$1:$O$933, 14, FALSE)</f>
        <v>GE</v>
      </c>
      <c r="M904" s="2">
        <v>1</v>
      </c>
    </row>
    <row r="905" spans="1:13" ht="15.75" hidden="1" customHeight="1" x14ac:dyDescent="0.2">
      <c r="A905" s="2">
        <v>908</v>
      </c>
      <c r="B905" s="2">
        <v>86</v>
      </c>
      <c r="C905" s="2">
        <v>114</v>
      </c>
      <c r="D905" s="2" t="s">
        <v>595</v>
      </c>
      <c r="E905" s="2" t="str">
        <f t="shared" si="3"/>
        <v>1214GE03PT</v>
      </c>
      <c r="F905" s="2">
        <f>VLOOKUP(B905,Course!$A$2:$R$329,2,FALSE)</f>
        <v>0</v>
      </c>
      <c r="G905" s="2">
        <f>VLOOKUP(B905, Course!$A$2:$L$950, 8, FALSE)</f>
        <v>12</v>
      </c>
      <c r="H905" s="2">
        <v>3</v>
      </c>
      <c r="I905" s="2">
        <v>1</v>
      </c>
      <c r="K905" s="2" t="s">
        <v>1915</v>
      </c>
      <c r="L905" s="2" t="str">
        <f>VLOOKUP(B905, Course!$A$1:$O$933, 14, FALSE)</f>
        <v>GE</v>
      </c>
      <c r="M905" s="2">
        <v>1</v>
      </c>
    </row>
    <row r="906" spans="1:13" ht="15.75" hidden="1" customHeight="1" x14ac:dyDescent="0.2">
      <c r="A906" s="2">
        <v>909</v>
      </c>
      <c r="B906" s="2">
        <v>86</v>
      </c>
      <c r="C906" s="2">
        <v>115</v>
      </c>
      <c r="D906" s="2" t="s">
        <v>595</v>
      </c>
      <c r="E906" s="2" t="str">
        <f t="shared" si="3"/>
        <v>1215GE03PT</v>
      </c>
      <c r="F906" s="2">
        <f>VLOOKUP(B906,Course!$A$2:$R$329,2,FALSE)</f>
        <v>0</v>
      </c>
      <c r="G906" s="2">
        <f>VLOOKUP(B906, Course!$A$2:$L$950, 8, FALSE)</f>
        <v>12</v>
      </c>
      <c r="H906" s="2">
        <v>3</v>
      </c>
      <c r="I906" s="2">
        <v>1</v>
      </c>
      <c r="K906" s="2" t="s">
        <v>1915</v>
      </c>
      <c r="L906" s="2" t="str">
        <f>VLOOKUP(B906, Course!$A$1:$O$933, 14, FALSE)</f>
        <v>GE</v>
      </c>
      <c r="M906" s="2">
        <v>1</v>
      </c>
    </row>
    <row r="907" spans="1:13" ht="15.75" hidden="1" customHeight="1" x14ac:dyDescent="0.2">
      <c r="A907" s="2">
        <v>910</v>
      </c>
      <c r="B907" s="2">
        <v>86</v>
      </c>
      <c r="C907" s="2">
        <v>116</v>
      </c>
      <c r="D907" s="2" t="s">
        <v>595</v>
      </c>
      <c r="E907" s="2" t="str">
        <f t="shared" si="3"/>
        <v>1216GE03PT</v>
      </c>
      <c r="F907" s="2">
        <f>VLOOKUP(B907,Course!$A$2:$R$329,2,FALSE)</f>
        <v>0</v>
      </c>
      <c r="G907" s="2">
        <f>VLOOKUP(B907, Course!$A$2:$L$950, 8, FALSE)</f>
        <v>12</v>
      </c>
      <c r="H907" s="2">
        <v>3</v>
      </c>
      <c r="I907" s="2">
        <v>1</v>
      </c>
      <c r="K907" s="2" t="s">
        <v>1915</v>
      </c>
      <c r="L907" s="2" t="str">
        <f>VLOOKUP(B907, Course!$A$1:$O$933, 14, FALSE)</f>
        <v>GE</v>
      </c>
      <c r="M907" s="2">
        <v>1</v>
      </c>
    </row>
    <row r="908" spans="1:13" ht="15.75" hidden="1" customHeight="1" x14ac:dyDescent="0.2">
      <c r="A908" s="2">
        <v>911</v>
      </c>
      <c r="B908" s="2">
        <v>86</v>
      </c>
      <c r="C908" s="2">
        <v>117</v>
      </c>
      <c r="D908" s="2" t="s">
        <v>595</v>
      </c>
      <c r="E908" s="2" t="str">
        <f t="shared" si="3"/>
        <v>1217GE03PT</v>
      </c>
      <c r="F908" s="2">
        <f>VLOOKUP(B908,Course!$A$2:$R$329,2,FALSE)</f>
        <v>0</v>
      </c>
      <c r="G908" s="2">
        <f>VLOOKUP(B908, Course!$A$2:$L$950, 8, FALSE)</f>
        <v>12</v>
      </c>
      <c r="H908" s="2">
        <v>3</v>
      </c>
      <c r="I908" s="2">
        <v>1</v>
      </c>
      <c r="K908" s="2" t="s">
        <v>1915</v>
      </c>
      <c r="L908" s="2" t="str">
        <f>VLOOKUP(B908, Course!$A$1:$O$933, 14, FALSE)</f>
        <v>GE</v>
      </c>
      <c r="M908" s="2">
        <v>1</v>
      </c>
    </row>
    <row r="909" spans="1:13" ht="15.75" hidden="1" customHeight="1" x14ac:dyDescent="0.2">
      <c r="A909" s="2">
        <v>912</v>
      </c>
      <c r="B909" s="2">
        <v>86</v>
      </c>
      <c r="C909" s="2">
        <v>118</v>
      </c>
      <c r="D909" s="2" t="s">
        <v>595</v>
      </c>
      <c r="E909" s="2" t="str">
        <f t="shared" si="3"/>
        <v>1218GE03PT</v>
      </c>
      <c r="F909" s="2">
        <f>VLOOKUP(B909,Course!$A$2:$R$329,2,FALSE)</f>
        <v>0</v>
      </c>
      <c r="G909" s="2">
        <f>VLOOKUP(B909, Course!$A$2:$L$950, 8, FALSE)</f>
        <v>12</v>
      </c>
      <c r="H909" s="2">
        <v>3</v>
      </c>
      <c r="I909" s="2">
        <v>1</v>
      </c>
      <c r="K909" s="2" t="s">
        <v>1915</v>
      </c>
      <c r="L909" s="2" t="str">
        <f>VLOOKUP(B909, Course!$A$1:$O$933, 14, FALSE)</f>
        <v>GE</v>
      </c>
      <c r="M909" s="2">
        <v>1</v>
      </c>
    </row>
    <row r="910" spans="1:13" ht="15.75" hidden="1" customHeight="1" x14ac:dyDescent="0.2">
      <c r="A910" s="2">
        <v>913</v>
      </c>
      <c r="B910" s="2">
        <v>86</v>
      </c>
      <c r="C910" s="2">
        <v>119</v>
      </c>
      <c r="D910" s="2" t="s">
        <v>595</v>
      </c>
      <c r="E910" s="2" t="str">
        <f t="shared" si="3"/>
        <v>1219GE03PT</v>
      </c>
      <c r="F910" s="2">
        <f>VLOOKUP(B910,Course!$A$2:$R$329,2,FALSE)</f>
        <v>0</v>
      </c>
      <c r="G910" s="2">
        <f>VLOOKUP(B910, Course!$A$2:$L$950, 8, FALSE)</f>
        <v>12</v>
      </c>
      <c r="H910" s="2">
        <v>3</v>
      </c>
      <c r="I910" s="2">
        <v>1</v>
      </c>
      <c r="K910" s="2" t="s">
        <v>1915</v>
      </c>
      <c r="L910" s="2" t="str">
        <f>VLOOKUP(B910, Course!$A$1:$O$933, 14, FALSE)</f>
        <v>GE</v>
      </c>
      <c r="M910" s="2">
        <v>1</v>
      </c>
    </row>
    <row r="911" spans="1:13" ht="15.75" hidden="1" customHeight="1" x14ac:dyDescent="0.2">
      <c r="A911" s="2">
        <v>914</v>
      </c>
      <c r="B911" s="2">
        <v>86</v>
      </c>
      <c r="C911" s="2">
        <v>120</v>
      </c>
      <c r="D911" s="2" t="s">
        <v>595</v>
      </c>
      <c r="E911" s="2" t="str">
        <f t="shared" si="3"/>
        <v>1220GE03PT</v>
      </c>
      <c r="F911" s="2">
        <f>VLOOKUP(B911,Course!$A$2:$R$329,2,FALSE)</f>
        <v>0</v>
      </c>
      <c r="G911" s="2">
        <f>VLOOKUP(B911, Course!$A$2:$L$950, 8, FALSE)</f>
        <v>12</v>
      </c>
      <c r="H911" s="2">
        <v>3</v>
      </c>
      <c r="I911" s="2">
        <v>1</v>
      </c>
      <c r="K911" s="2" t="s">
        <v>1915</v>
      </c>
      <c r="L911" s="2" t="str">
        <f>VLOOKUP(B911, Course!$A$1:$O$933, 14, FALSE)</f>
        <v>GE</v>
      </c>
      <c r="M911" s="2">
        <v>1</v>
      </c>
    </row>
    <row r="912" spans="1:13" ht="15.75" hidden="1" customHeight="1" x14ac:dyDescent="0.2">
      <c r="A912" s="2">
        <v>915</v>
      </c>
      <c r="B912" s="2">
        <v>87</v>
      </c>
      <c r="C912" s="2">
        <v>109</v>
      </c>
      <c r="D912" s="2" t="s">
        <v>476</v>
      </c>
      <c r="E912" s="2" t="str">
        <f t="shared" si="3"/>
        <v>1209EN03PT</v>
      </c>
      <c r="F912" s="2">
        <f>VLOOKUP(B912,Course!$A$2:$R$329,2,FALSE)</f>
        <v>0</v>
      </c>
      <c r="G912" s="2">
        <f>VLOOKUP(B912, Course!$A$2:$L$950, 8, FALSE)</f>
        <v>12</v>
      </c>
      <c r="H912" s="2">
        <v>3</v>
      </c>
      <c r="I912" s="2">
        <v>1</v>
      </c>
      <c r="K912" s="2" t="s">
        <v>1915</v>
      </c>
      <c r="L912" s="2" t="str">
        <f>VLOOKUP(B912, Course!$A$1:$O$933, 14, FALSE)</f>
        <v>EN</v>
      </c>
      <c r="M912" s="2">
        <v>1</v>
      </c>
    </row>
    <row r="913" spans="1:13" ht="15.75" hidden="1" customHeight="1" x14ac:dyDescent="0.2">
      <c r="A913" s="2">
        <v>916</v>
      </c>
      <c r="B913" s="2">
        <v>87</v>
      </c>
      <c r="C913" s="2">
        <v>110</v>
      </c>
      <c r="D913" s="2" t="s">
        <v>476</v>
      </c>
      <c r="E913" s="2" t="str">
        <f t="shared" si="3"/>
        <v>1210EN03PT</v>
      </c>
      <c r="F913" s="2">
        <f>VLOOKUP(B913,Course!$A$2:$R$329,2,FALSE)</f>
        <v>0</v>
      </c>
      <c r="G913" s="2">
        <f>VLOOKUP(B913, Course!$A$2:$L$950, 8, FALSE)</f>
        <v>12</v>
      </c>
      <c r="H913" s="2">
        <v>3</v>
      </c>
      <c r="I913" s="2">
        <v>1</v>
      </c>
      <c r="K913" s="2" t="s">
        <v>1915</v>
      </c>
      <c r="L913" s="2" t="str">
        <f>VLOOKUP(B913, Course!$A$1:$O$933, 14, FALSE)</f>
        <v>EN</v>
      </c>
      <c r="M913" s="2">
        <v>1</v>
      </c>
    </row>
    <row r="914" spans="1:13" ht="15.75" hidden="1" customHeight="1" x14ac:dyDescent="0.2">
      <c r="A914" s="2">
        <v>917</v>
      </c>
      <c r="B914" s="2">
        <v>87</v>
      </c>
      <c r="C914" s="2">
        <v>111</v>
      </c>
      <c r="D914" s="2" t="s">
        <v>476</v>
      </c>
      <c r="E914" s="2" t="str">
        <f t="shared" si="3"/>
        <v>1211EN03PT</v>
      </c>
      <c r="F914" s="2">
        <f>VLOOKUP(B914,Course!$A$2:$R$329,2,FALSE)</f>
        <v>0</v>
      </c>
      <c r="G914" s="2">
        <f>VLOOKUP(B914, Course!$A$2:$L$950, 8, FALSE)</f>
        <v>12</v>
      </c>
      <c r="H914" s="2">
        <v>3</v>
      </c>
      <c r="I914" s="2">
        <v>1</v>
      </c>
      <c r="K914" s="2" t="s">
        <v>1915</v>
      </c>
      <c r="L914" s="2" t="str">
        <f>VLOOKUP(B914, Course!$A$1:$O$933, 14, FALSE)</f>
        <v>EN</v>
      </c>
      <c r="M914" s="2">
        <v>1</v>
      </c>
    </row>
    <row r="915" spans="1:13" ht="15.75" hidden="1" customHeight="1" x14ac:dyDescent="0.2">
      <c r="A915" s="2">
        <v>918</v>
      </c>
      <c r="B915" s="2">
        <v>87</v>
      </c>
      <c r="C915" s="2">
        <v>112</v>
      </c>
      <c r="D915" s="2" t="s">
        <v>476</v>
      </c>
      <c r="E915" s="2" t="str">
        <f t="shared" si="3"/>
        <v>1212EN03PT</v>
      </c>
      <c r="F915" s="2">
        <f>VLOOKUP(B915,Course!$A$2:$R$329,2,FALSE)</f>
        <v>0</v>
      </c>
      <c r="G915" s="2">
        <f>VLOOKUP(B915, Course!$A$2:$L$950, 8, FALSE)</f>
        <v>12</v>
      </c>
      <c r="H915" s="2">
        <v>3</v>
      </c>
      <c r="I915" s="2">
        <v>1</v>
      </c>
      <c r="K915" s="2" t="s">
        <v>1915</v>
      </c>
      <c r="L915" s="2" t="str">
        <f>VLOOKUP(B915, Course!$A$1:$O$933, 14, FALSE)</f>
        <v>EN</v>
      </c>
      <c r="M915" s="2">
        <v>1</v>
      </c>
    </row>
    <row r="916" spans="1:13" ht="15.75" hidden="1" customHeight="1" x14ac:dyDescent="0.2">
      <c r="A916" s="2">
        <v>919</v>
      </c>
      <c r="B916" s="2">
        <v>87</v>
      </c>
      <c r="C916" s="2">
        <v>113</v>
      </c>
      <c r="D916" s="2" t="s">
        <v>476</v>
      </c>
      <c r="E916" s="2" t="str">
        <f t="shared" si="3"/>
        <v>1213EN03PT</v>
      </c>
      <c r="F916" s="2">
        <f>VLOOKUP(B916,Course!$A$2:$R$329,2,FALSE)</f>
        <v>0</v>
      </c>
      <c r="G916" s="2">
        <f>VLOOKUP(B916, Course!$A$2:$L$950, 8, FALSE)</f>
        <v>12</v>
      </c>
      <c r="H916" s="2">
        <v>3</v>
      </c>
      <c r="I916" s="2">
        <v>1</v>
      </c>
      <c r="K916" s="2" t="s">
        <v>1915</v>
      </c>
      <c r="L916" s="2" t="str">
        <f>VLOOKUP(B916, Course!$A$1:$O$933, 14, FALSE)</f>
        <v>EN</v>
      </c>
      <c r="M916" s="2">
        <v>1</v>
      </c>
    </row>
    <row r="917" spans="1:13" ht="15.75" hidden="1" customHeight="1" x14ac:dyDescent="0.2">
      <c r="A917" s="2">
        <v>920</v>
      </c>
      <c r="B917" s="2">
        <v>87</v>
      </c>
      <c r="C917" s="2">
        <v>114</v>
      </c>
      <c r="D917" s="2" t="s">
        <v>476</v>
      </c>
      <c r="E917" s="2" t="str">
        <f t="shared" si="3"/>
        <v>1214EN03PT</v>
      </c>
      <c r="F917" s="2">
        <f>VLOOKUP(B917,Course!$A$2:$R$329,2,FALSE)</f>
        <v>0</v>
      </c>
      <c r="G917" s="2">
        <f>VLOOKUP(B917, Course!$A$2:$L$950, 8, FALSE)</f>
        <v>12</v>
      </c>
      <c r="H917" s="2">
        <v>3</v>
      </c>
      <c r="I917" s="2">
        <v>1</v>
      </c>
      <c r="K917" s="2" t="s">
        <v>1915</v>
      </c>
      <c r="L917" s="2" t="str">
        <f>VLOOKUP(B917, Course!$A$1:$O$933, 14, FALSE)</f>
        <v>EN</v>
      </c>
      <c r="M917" s="2">
        <v>1</v>
      </c>
    </row>
    <row r="918" spans="1:13" ht="15.75" hidden="1" customHeight="1" x14ac:dyDescent="0.2">
      <c r="A918" s="2">
        <v>921</v>
      </c>
      <c r="B918" s="2">
        <v>87</v>
      </c>
      <c r="C918" s="2">
        <v>115</v>
      </c>
      <c r="D918" s="2" t="s">
        <v>476</v>
      </c>
      <c r="E918" s="2" t="str">
        <f t="shared" si="3"/>
        <v>1215EN03PT</v>
      </c>
      <c r="F918" s="2">
        <f>VLOOKUP(B918,Course!$A$2:$R$329,2,FALSE)</f>
        <v>0</v>
      </c>
      <c r="G918" s="2">
        <f>VLOOKUP(B918, Course!$A$2:$L$950, 8, FALSE)</f>
        <v>12</v>
      </c>
      <c r="H918" s="2">
        <v>3</v>
      </c>
      <c r="I918" s="2">
        <v>1</v>
      </c>
      <c r="K918" s="2" t="s">
        <v>1915</v>
      </c>
      <c r="L918" s="2" t="str">
        <f>VLOOKUP(B918, Course!$A$1:$O$933, 14, FALSE)</f>
        <v>EN</v>
      </c>
      <c r="M918" s="2">
        <v>1</v>
      </c>
    </row>
    <row r="919" spans="1:13" ht="15.75" hidden="1" customHeight="1" x14ac:dyDescent="0.2">
      <c r="A919" s="2">
        <v>922</v>
      </c>
      <c r="B919" s="2">
        <v>87</v>
      </c>
      <c r="C919" s="2">
        <v>116</v>
      </c>
      <c r="D919" s="2" t="s">
        <v>476</v>
      </c>
      <c r="E919" s="2" t="str">
        <f t="shared" si="3"/>
        <v>1216EN03PT</v>
      </c>
      <c r="F919" s="2">
        <f>VLOOKUP(B919,Course!$A$2:$R$329,2,FALSE)</f>
        <v>0</v>
      </c>
      <c r="G919" s="2">
        <f>VLOOKUP(B919, Course!$A$2:$L$950, 8, FALSE)</f>
        <v>12</v>
      </c>
      <c r="H919" s="2">
        <v>3</v>
      </c>
      <c r="I919" s="2">
        <v>1</v>
      </c>
      <c r="K919" s="2" t="s">
        <v>1915</v>
      </c>
      <c r="L919" s="2" t="str">
        <f>VLOOKUP(B919, Course!$A$1:$O$933, 14, FALSE)</f>
        <v>EN</v>
      </c>
      <c r="M919" s="2">
        <v>1</v>
      </c>
    </row>
    <row r="920" spans="1:13" ht="15.75" hidden="1" customHeight="1" x14ac:dyDescent="0.2">
      <c r="A920" s="2">
        <v>923</v>
      </c>
      <c r="B920" s="2">
        <v>87</v>
      </c>
      <c r="C920" s="2">
        <v>117</v>
      </c>
      <c r="D920" s="2" t="s">
        <v>476</v>
      </c>
      <c r="E920" s="2" t="str">
        <f t="shared" si="3"/>
        <v>1217EN03PT</v>
      </c>
      <c r="F920" s="2">
        <f>VLOOKUP(B920,Course!$A$2:$R$329,2,FALSE)</f>
        <v>0</v>
      </c>
      <c r="G920" s="2">
        <f>VLOOKUP(B920, Course!$A$2:$L$950, 8, FALSE)</f>
        <v>12</v>
      </c>
      <c r="H920" s="2">
        <v>3</v>
      </c>
      <c r="I920" s="2">
        <v>1</v>
      </c>
      <c r="K920" s="2" t="s">
        <v>1915</v>
      </c>
      <c r="L920" s="2" t="str">
        <f>VLOOKUP(B920, Course!$A$1:$O$933, 14, FALSE)</f>
        <v>EN</v>
      </c>
      <c r="M920" s="2">
        <v>1</v>
      </c>
    </row>
    <row r="921" spans="1:13" ht="15.75" hidden="1" customHeight="1" x14ac:dyDescent="0.2">
      <c r="A921" s="2">
        <v>924</v>
      </c>
      <c r="B921" s="2">
        <v>87</v>
      </c>
      <c r="C921" s="2">
        <v>118</v>
      </c>
      <c r="D921" s="2" t="s">
        <v>476</v>
      </c>
      <c r="E921" s="2" t="str">
        <f t="shared" si="3"/>
        <v>1218EN03PT</v>
      </c>
      <c r="F921" s="2">
        <f>VLOOKUP(B921,Course!$A$2:$R$329,2,FALSE)</f>
        <v>0</v>
      </c>
      <c r="G921" s="2">
        <f>VLOOKUP(B921, Course!$A$2:$L$950, 8, FALSE)</f>
        <v>12</v>
      </c>
      <c r="H921" s="2">
        <v>3</v>
      </c>
      <c r="I921" s="2">
        <v>1</v>
      </c>
      <c r="K921" s="2" t="s">
        <v>1915</v>
      </c>
      <c r="L921" s="2" t="str">
        <f>VLOOKUP(B921, Course!$A$1:$O$933, 14, FALSE)</f>
        <v>EN</v>
      </c>
      <c r="M921" s="2">
        <v>1</v>
      </c>
    </row>
    <row r="922" spans="1:13" ht="15.75" hidden="1" customHeight="1" x14ac:dyDescent="0.2">
      <c r="A922" s="2">
        <v>925</v>
      </c>
      <c r="B922" s="2">
        <v>87</v>
      </c>
      <c r="C922" s="2">
        <v>119</v>
      </c>
      <c r="D922" s="2" t="s">
        <v>476</v>
      </c>
      <c r="E922" s="2" t="str">
        <f t="shared" si="3"/>
        <v>1219EN03PT</v>
      </c>
      <c r="F922" s="2">
        <f>VLOOKUP(B922,Course!$A$2:$R$329,2,FALSE)</f>
        <v>0</v>
      </c>
      <c r="G922" s="2">
        <f>VLOOKUP(B922, Course!$A$2:$L$950, 8, FALSE)</f>
        <v>12</v>
      </c>
      <c r="H922" s="2">
        <v>3</v>
      </c>
      <c r="I922" s="2">
        <v>1</v>
      </c>
      <c r="K922" s="2" t="s">
        <v>1915</v>
      </c>
      <c r="L922" s="2" t="str">
        <f>VLOOKUP(B922, Course!$A$1:$O$933, 14, FALSE)</f>
        <v>EN</v>
      </c>
      <c r="M922" s="2">
        <v>1</v>
      </c>
    </row>
    <row r="923" spans="1:13" ht="15.75" hidden="1" customHeight="1" x14ac:dyDescent="0.2">
      <c r="A923" s="2">
        <v>926</v>
      </c>
      <c r="B923" s="2">
        <v>87</v>
      </c>
      <c r="C923" s="2">
        <v>120</v>
      </c>
      <c r="D923" s="2" t="s">
        <v>476</v>
      </c>
      <c r="E923" s="2" t="str">
        <f t="shared" si="3"/>
        <v>1220EN03PT</v>
      </c>
      <c r="F923" s="2">
        <f>VLOOKUP(B923,Course!$A$2:$R$329,2,FALSE)</f>
        <v>0</v>
      </c>
      <c r="G923" s="2">
        <f>VLOOKUP(B923, Course!$A$2:$L$950, 8, FALSE)</f>
        <v>12</v>
      </c>
      <c r="H923" s="2">
        <v>3</v>
      </c>
      <c r="I923" s="2">
        <v>1</v>
      </c>
      <c r="K923" s="2" t="s">
        <v>1915</v>
      </c>
      <c r="L923" s="2" t="str">
        <f>VLOOKUP(B923, Course!$A$1:$O$933, 14, FALSE)</f>
        <v>EN</v>
      </c>
      <c r="M923" s="2">
        <v>1</v>
      </c>
    </row>
    <row r="924" spans="1:13" ht="15.75" hidden="1" customHeight="1" x14ac:dyDescent="0.2">
      <c r="A924" s="2">
        <v>927</v>
      </c>
      <c r="B924" s="2">
        <v>88</v>
      </c>
      <c r="C924" s="2">
        <v>3</v>
      </c>
      <c r="D924" s="2" t="s">
        <v>553</v>
      </c>
      <c r="E924" s="2" t="str">
        <f t="shared" si="3"/>
        <v>303RS03PT</v>
      </c>
      <c r="F924" s="2">
        <f>VLOOKUP(B924,Course!$A$2:$R$329,2,FALSE)</f>
        <v>0</v>
      </c>
      <c r="G924" s="2">
        <f>VLOOKUP(B924, Course!$A$2:$L$950, 8, FALSE)</f>
        <v>3</v>
      </c>
      <c r="H924" s="2">
        <v>3</v>
      </c>
      <c r="I924" s="2">
        <v>1</v>
      </c>
      <c r="K924" s="2" t="s">
        <v>1915</v>
      </c>
      <c r="L924" s="2" t="str">
        <f>VLOOKUP(B924, Course!$A$1:$O$933, 14, FALSE)</f>
        <v>RS</v>
      </c>
      <c r="M924" s="2">
        <v>1</v>
      </c>
    </row>
    <row r="925" spans="1:13" ht="15.75" hidden="1" customHeight="1" x14ac:dyDescent="0.2">
      <c r="A925" s="2">
        <v>928</v>
      </c>
      <c r="B925" s="2">
        <v>88</v>
      </c>
      <c r="C925" s="2">
        <v>4</v>
      </c>
      <c r="D925" s="2" t="s">
        <v>553</v>
      </c>
      <c r="E925" s="2" t="str">
        <f t="shared" si="3"/>
        <v>304RS03PT</v>
      </c>
      <c r="F925" s="2">
        <f>VLOOKUP(B925,Course!$A$2:$R$329,2,FALSE)</f>
        <v>0</v>
      </c>
      <c r="G925" s="2">
        <f>VLOOKUP(B925, Course!$A$2:$L$950, 8, FALSE)</f>
        <v>3</v>
      </c>
      <c r="H925" s="2">
        <v>3</v>
      </c>
      <c r="I925" s="2">
        <v>1</v>
      </c>
      <c r="K925" s="2" t="s">
        <v>1915</v>
      </c>
      <c r="L925" s="2" t="str">
        <f>VLOOKUP(B925, Course!$A$1:$O$933, 14, FALSE)</f>
        <v>RS</v>
      </c>
      <c r="M925" s="2">
        <v>1</v>
      </c>
    </row>
    <row r="926" spans="1:13" ht="15.75" hidden="1" customHeight="1" x14ac:dyDescent="0.2">
      <c r="A926" s="2">
        <v>929</v>
      </c>
      <c r="B926" s="2">
        <v>88</v>
      </c>
      <c r="C926" s="2">
        <v>5</v>
      </c>
      <c r="D926" s="2" t="s">
        <v>553</v>
      </c>
      <c r="E926" s="2" t="str">
        <f t="shared" si="3"/>
        <v>305RS03PT</v>
      </c>
      <c r="F926" s="2">
        <f>VLOOKUP(B926,Course!$A$2:$R$329,2,FALSE)</f>
        <v>0</v>
      </c>
      <c r="G926" s="2">
        <f>VLOOKUP(B926, Course!$A$2:$L$950, 8, FALSE)</f>
        <v>3</v>
      </c>
      <c r="H926" s="2">
        <v>3</v>
      </c>
      <c r="I926" s="2">
        <v>1</v>
      </c>
      <c r="K926" s="2" t="s">
        <v>1915</v>
      </c>
      <c r="L926" s="2" t="str">
        <f>VLOOKUP(B926, Course!$A$1:$O$933, 14, FALSE)</f>
        <v>RS</v>
      </c>
      <c r="M926" s="2">
        <v>1</v>
      </c>
    </row>
    <row r="927" spans="1:13" ht="15.75" hidden="1" customHeight="1" x14ac:dyDescent="0.2">
      <c r="A927" s="2">
        <v>930</v>
      </c>
      <c r="B927" s="2">
        <v>90</v>
      </c>
      <c r="C927" s="2">
        <v>109</v>
      </c>
      <c r="D927" s="2" t="s">
        <v>601</v>
      </c>
      <c r="E927" s="2" t="str">
        <f t="shared" si="3"/>
        <v>1209PS03PT</v>
      </c>
      <c r="F927" s="2" t="str">
        <f>VLOOKUP(B927,Course!$A$2:$R$329,2,FALSE)</f>
        <v>Science 10</v>
      </c>
      <c r="G927" s="2">
        <f>VLOOKUP(B927, Course!$A$2:$L$950, 8, FALSE)</f>
        <v>12</v>
      </c>
      <c r="H927" s="2">
        <v>3</v>
      </c>
      <c r="I927" s="2">
        <v>1</v>
      </c>
      <c r="K927" s="2" t="s">
        <v>1915</v>
      </c>
      <c r="L927" s="2" t="str">
        <f>VLOOKUP(B927, Course!$A$1:$O$933, 14, FALSE)</f>
        <v>PS</v>
      </c>
      <c r="M927" s="2">
        <v>1</v>
      </c>
    </row>
    <row r="928" spans="1:13" ht="15.75" hidden="1" customHeight="1" x14ac:dyDescent="0.2">
      <c r="A928" s="2">
        <v>931</v>
      </c>
      <c r="B928" s="2">
        <v>90</v>
      </c>
      <c r="C928" s="2">
        <v>110</v>
      </c>
      <c r="D928" s="2" t="s">
        <v>601</v>
      </c>
      <c r="E928" s="2" t="str">
        <f t="shared" si="3"/>
        <v>1210PS03PT</v>
      </c>
      <c r="F928" s="2" t="str">
        <f>VLOOKUP(B928,Course!$A$2:$R$329,2,FALSE)</f>
        <v>Science 10</v>
      </c>
      <c r="G928" s="2">
        <f>VLOOKUP(B928, Course!$A$2:$L$950, 8, FALSE)</f>
        <v>12</v>
      </c>
      <c r="H928" s="2">
        <v>3</v>
      </c>
      <c r="I928" s="2">
        <v>1</v>
      </c>
      <c r="K928" s="2" t="s">
        <v>1915</v>
      </c>
      <c r="L928" s="2" t="str">
        <f>VLOOKUP(B928, Course!$A$1:$O$933, 14, FALSE)</f>
        <v>PS</v>
      </c>
      <c r="M928" s="2">
        <v>1</v>
      </c>
    </row>
    <row r="929" spans="1:13" ht="15.75" hidden="1" customHeight="1" x14ac:dyDescent="0.2">
      <c r="A929" s="2">
        <v>932</v>
      </c>
      <c r="B929" s="2">
        <v>90</v>
      </c>
      <c r="C929" s="2">
        <v>111</v>
      </c>
      <c r="D929" s="2" t="s">
        <v>601</v>
      </c>
      <c r="E929" s="2" t="str">
        <f t="shared" si="3"/>
        <v>1211PS03PT</v>
      </c>
      <c r="F929" s="2" t="str">
        <f>VLOOKUP(B929,Course!$A$2:$R$329,2,FALSE)</f>
        <v>Science 10</v>
      </c>
      <c r="G929" s="2">
        <f>VLOOKUP(B929, Course!$A$2:$L$950, 8, FALSE)</f>
        <v>12</v>
      </c>
      <c r="H929" s="2">
        <v>3</v>
      </c>
      <c r="I929" s="2">
        <v>1</v>
      </c>
      <c r="K929" s="2" t="s">
        <v>1915</v>
      </c>
      <c r="L929" s="2" t="str">
        <f>VLOOKUP(B929, Course!$A$1:$O$933, 14, FALSE)</f>
        <v>PS</v>
      </c>
      <c r="M929" s="2">
        <v>1</v>
      </c>
    </row>
    <row r="930" spans="1:13" ht="15.75" hidden="1" customHeight="1" x14ac:dyDescent="0.2">
      <c r="A930" s="2">
        <v>933</v>
      </c>
      <c r="B930" s="2">
        <v>90</v>
      </c>
      <c r="C930" s="2">
        <v>112</v>
      </c>
      <c r="D930" s="2" t="s">
        <v>601</v>
      </c>
      <c r="E930" s="2" t="str">
        <f t="shared" si="3"/>
        <v>1212PS03PT</v>
      </c>
      <c r="F930" s="2" t="str">
        <f>VLOOKUP(B930,Course!$A$2:$R$329,2,FALSE)</f>
        <v>Science 10</v>
      </c>
      <c r="G930" s="2">
        <f>VLOOKUP(B930, Course!$A$2:$L$950, 8, FALSE)</f>
        <v>12</v>
      </c>
      <c r="H930" s="2">
        <v>3</v>
      </c>
      <c r="I930" s="2">
        <v>1</v>
      </c>
      <c r="K930" s="2" t="s">
        <v>1915</v>
      </c>
      <c r="L930" s="2" t="str">
        <f>VLOOKUP(B930, Course!$A$1:$O$933, 14, FALSE)</f>
        <v>PS</v>
      </c>
      <c r="M930" s="2">
        <v>1</v>
      </c>
    </row>
    <row r="931" spans="1:13" ht="15.75" hidden="1" customHeight="1" x14ac:dyDescent="0.2">
      <c r="A931" s="2">
        <v>934</v>
      </c>
      <c r="B931" s="2">
        <v>90</v>
      </c>
      <c r="C931" s="2">
        <v>113</v>
      </c>
      <c r="D931" s="2" t="s">
        <v>601</v>
      </c>
      <c r="E931" s="2" t="str">
        <f t="shared" si="3"/>
        <v>1213PS03PT</v>
      </c>
      <c r="F931" s="2" t="str">
        <f>VLOOKUP(B931,Course!$A$2:$R$329,2,FALSE)</f>
        <v>Science 10</v>
      </c>
      <c r="G931" s="2">
        <f>VLOOKUP(B931, Course!$A$2:$L$950, 8, FALSE)</f>
        <v>12</v>
      </c>
      <c r="H931" s="2">
        <v>3</v>
      </c>
      <c r="I931" s="2">
        <v>1</v>
      </c>
      <c r="K931" s="2" t="s">
        <v>1915</v>
      </c>
      <c r="L931" s="2" t="str">
        <f>VLOOKUP(B931, Course!$A$1:$O$933, 14, FALSE)</f>
        <v>PS</v>
      </c>
      <c r="M931" s="2">
        <v>1</v>
      </c>
    </row>
    <row r="932" spans="1:13" ht="15.75" hidden="1" customHeight="1" x14ac:dyDescent="0.2">
      <c r="A932" s="2">
        <v>935</v>
      </c>
      <c r="B932" s="2">
        <v>90</v>
      </c>
      <c r="C932" s="2">
        <v>114</v>
      </c>
      <c r="D932" s="2" t="s">
        <v>601</v>
      </c>
      <c r="E932" s="2" t="str">
        <f t="shared" si="3"/>
        <v>1214PS03PT</v>
      </c>
      <c r="F932" s="2" t="str">
        <f>VLOOKUP(B932,Course!$A$2:$R$329,2,FALSE)</f>
        <v>Science 10</v>
      </c>
      <c r="G932" s="2">
        <f>VLOOKUP(B932, Course!$A$2:$L$950, 8, FALSE)</f>
        <v>12</v>
      </c>
      <c r="H932" s="2">
        <v>3</v>
      </c>
      <c r="I932" s="2">
        <v>1</v>
      </c>
      <c r="K932" s="2" t="s">
        <v>1915</v>
      </c>
      <c r="L932" s="2" t="str">
        <f>VLOOKUP(B932, Course!$A$1:$O$933, 14, FALSE)</f>
        <v>PS</v>
      </c>
      <c r="M932" s="2">
        <v>1</v>
      </c>
    </row>
    <row r="933" spans="1:13" ht="15.75" hidden="1" customHeight="1" x14ac:dyDescent="0.2">
      <c r="A933" s="2">
        <v>936</v>
      </c>
      <c r="B933" s="2">
        <v>90</v>
      </c>
      <c r="C933" s="2">
        <v>115</v>
      </c>
      <c r="D933" s="2" t="s">
        <v>601</v>
      </c>
      <c r="E933" s="2" t="str">
        <f t="shared" si="3"/>
        <v>1215PS03PT</v>
      </c>
      <c r="F933" s="2" t="str">
        <f>VLOOKUP(B933,Course!$A$2:$R$329,2,FALSE)</f>
        <v>Science 10</v>
      </c>
      <c r="G933" s="2">
        <f>VLOOKUP(B933, Course!$A$2:$L$950, 8, FALSE)</f>
        <v>12</v>
      </c>
      <c r="H933" s="2">
        <v>3</v>
      </c>
      <c r="I933" s="2">
        <v>1</v>
      </c>
      <c r="K933" s="2" t="s">
        <v>1915</v>
      </c>
      <c r="L933" s="2" t="str">
        <f>VLOOKUP(B933, Course!$A$1:$O$933, 14, FALSE)</f>
        <v>PS</v>
      </c>
      <c r="M933" s="2">
        <v>1</v>
      </c>
    </row>
    <row r="934" spans="1:13" ht="15.75" hidden="1" customHeight="1" x14ac:dyDescent="0.2">
      <c r="A934" s="2">
        <v>937</v>
      </c>
      <c r="B934" s="2">
        <v>90</v>
      </c>
      <c r="C934" s="2">
        <v>116</v>
      </c>
      <c r="D934" s="2" t="s">
        <v>601</v>
      </c>
      <c r="E934" s="2" t="str">
        <f t="shared" si="3"/>
        <v>1216PS03PT</v>
      </c>
      <c r="F934" s="2" t="str">
        <f>VLOOKUP(B934,Course!$A$2:$R$329,2,FALSE)</f>
        <v>Science 10</v>
      </c>
      <c r="G934" s="2">
        <f>VLOOKUP(B934, Course!$A$2:$L$950, 8, FALSE)</f>
        <v>12</v>
      </c>
      <c r="H934" s="2">
        <v>3</v>
      </c>
      <c r="I934" s="2">
        <v>1</v>
      </c>
      <c r="K934" s="2" t="s">
        <v>1915</v>
      </c>
      <c r="L934" s="2" t="str">
        <f>VLOOKUP(B934, Course!$A$1:$O$933, 14, FALSE)</f>
        <v>PS</v>
      </c>
      <c r="M934" s="2">
        <v>1</v>
      </c>
    </row>
    <row r="935" spans="1:13" ht="15.75" hidden="1" customHeight="1" x14ac:dyDescent="0.2">
      <c r="A935" s="2">
        <v>938</v>
      </c>
      <c r="B935" s="2">
        <v>90</v>
      </c>
      <c r="C935" s="2">
        <v>117</v>
      </c>
      <c r="D935" s="2" t="s">
        <v>601</v>
      </c>
      <c r="E935" s="2" t="str">
        <f t="shared" si="3"/>
        <v>1217PS03PT</v>
      </c>
      <c r="F935" s="2" t="str">
        <f>VLOOKUP(B935,Course!$A$2:$R$329,2,FALSE)</f>
        <v>Science 10</v>
      </c>
      <c r="G935" s="2">
        <f>VLOOKUP(B935, Course!$A$2:$L$950, 8, FALSE)</f>
        <v>12</v>
      </c>
      <c r="H935" s="2">
        <v>3</v>
      </c>
      <c r="I935" s="2">
        <v>1</v>
      </c>
      <c r="K935" s="2" t="s">
        <v>1915</v>
      </c>
      <c r="L935" s="2" t="str">
        <f>VLOOKUP(B935, Course!$A$1:$O$933, 14, FALSE)</f>
        <v>PS</v>
      </c>
      <c r="M935" s="2">
        <v>1</v>
      </c>
    </row>
    <row r="936" spans="1:13" ht="15.75" hidden="1" customHeight="1" x14ac:dyDescent="0.2">
      <c r="A936" s="2">
        <v>939</v>
      </c>
      <c r="B936" s="2">
        <v>90</v>
      </c>
      <c r="C936" s="2">
        <v>118</v>
      </c>
      <c r="D936" s="2" t="s">
        <v>601</v>
      </c>
      <c r="E936" s="2" t="str">
        <f t="shared" si="3"/>
        <v>1218PS03PT</v>
      </c>
      <c r="F936" s="2" t="str">
        <f>VLOOKUP(B936,Course!$A$2:$R$329,2,FALSE)</f>
        <v>Science 10</v>
      </c>
      <c r="G936" s="2">
        <f>VLOOKUP(B936, Course!$A$2:$L$950, 8, FALSE)</f>
        <v>12</v>
      </c>
      <c r="H936" s="2">
        <v>3</v>
      </c>
      <c r="I936" s="2">
        <v>1</v>
      </c>
      <c r="K936" s="2" t="s">
        <v>1915</v>
      </c>
      <c r="L936" s="2" t="str">
        <f>VLOOKUP(B936, Course!$A$1:$O$933, 14, FALSE)</f>
        <v>PS</v>
      </c>
      <c r="M936" s="2">
        <v>1</v>
      </c>
    </row>
    <row r="937" spans="1:13" ht="15.75" hidden="1" customHeight="1" x14ac:dyDescent="0.2">
      <c r="A937" s="2">
        <v>940</v>
      </c>
      <c r="B937" s="2">
        <v>90</v>
      </c>
      <c r="C937" s="2">
        <v>119</v>
      </c>
      <c r="D937" s="2" t="s">
        <v>601</v>
      </c>
      <c r="E937" s="2" t="str">
        <f t="shared" si="3"/>
        <v>1219PS03PT</v>
      </c>
      <c r="F937" s="2" t="str">
        <f>VLOOKUP(B937,Course!$A$2:$R$329,2,FALSE)</f>
        <v>Science 10</v>
      </c>
      <c r="G937" s="2">
        <f>VLOOKUP(B937, Course!$A$2:$L$950, 8, FALSE)</f>
        <v>12</v>
      </c>
      <c r="H937" s="2">
        <v>3</v>
      </c>
      <c r="I937" s="2">
        <v>1</v>
      </c>
      <c r="K937" s="2" t="s">
        <v>1915</v>
      </c>
      <c r="L937" s="2" t="str">
        <f>VLOOKUP(B937, Course!$A$1:$O$933, 14, FALSE)</f>
        <v>PS</v>
      </c>
      <c r="M937" s="2">
        <v>1</v>
      </c>
    </row>
    <row r="938" spans="1:13" ht="15.75" hidden="1" customHeight="1" x14ac:dyDescent="0.2">
      <c r="A938" s="2">
        <v>941</v>
      </c>
      <c r="B938" s="2">
        <v>90</v>
      </c>
      <c r="C938" s="2">
        <v>120</v>
      </c>
      <c r="D938" s="2" t="s">
        <v>601</v>
      </c>
      <c r="E938" s="2" t="str">
        <f t="shared" si="3"/>
        <v>1220PS03PT</v>
      </c>
      <c r="F938" s="2" t="str">
        <f>VLOOKUP(B938,Course!$A$2:$R$329,2,FALSE)</f>
        <v>Science 10</v>
      </c>
      <c r="G938" s="2">
        <f>VLOOKUP(B938, Course!$A$2:$L$950, 8, FALSE)</f>
        <v>12</v>
      </c>
      <c r="H938" s="2">
        <v>3</v>
      </c>
      <c r="I938" s="2">
        <v>1</v>
      </c>
      <c r="K938" s="2" t="s">
        <v>1915</v>
      </c>
      <c r="L938" s="2" t="str">
        <f>VLOOKUP(B938, Course!$A$1:$O$933, 14, FALSE)</f>
        <v>PS</v>
      </c>
      <c r="M938" s="2">
        <v>1</v>
      </c>
    </row>
    <row r="939" spans="1:13" ht="15.75" hidden="1" customHeight="1" x14ac:dyDescent="0.2">
      <c r="A939" s="2">
        <v>942</v>
      </c>
      <c r="B939" s="2">
        <v>91</v>
      </c>
      <c r="C939" s="2">
        <v>1</v>
      </c>
      <c r="D939" s="2" t="s">
        <v>603</v>
      </c>
      <c r="E939" s="2" t="str">
        <f t="shared" si="3"/>
        <v>1001HC03PT</v>
      </c>
      <c r="F939" s="2" t="str">
        <f>VLOOKUP(B939,Course!$A$2:$R$329,2,FALSE)</f>
        <v>History of Civilisation I</v>
      </c>
      <c r="G939" s="2">
        <f>VLOOKUP(B939, Course!$A$2:$L$950, 8, FALSE)</f>
        <v>10</v>
      </c>
      <c r="H939" s="2">
        <v>3</v>
      </c>
      <c r="I939" s="2">
        <v>1</v>
      </c>
      <c r="K939" s="2" t="s">
        <v>1915</v>
      </c>
      <c r="L939" s="2" t="str">
        <f>VLOOKUP(B939, Course!$A$1:$O$933, 14, FALSE)</f>
        <v>HC</v>
      </c>
      <c r="M939" s="2">
        <v>1</v>
      </c>
    </row>
    <row r="940" spans="1:13" ht="15.75" hidden="1" customHeight="1" x14ac:dyDescent="0.2">
      <c r="A940" s="2">
        <v>943</v>
      </c>
      <c r="B940" s="2">
        <v>91</v>
      </c>
      <c r="C940" s="2">
        <v>2</v>
      </c>
      <c r="D940" s="2" t="s">
        <v>603</v>
      </c>
      <c r="E940" s="2" t="str">
        <f t="shared" si="3"/>
        <v>1002HC03PT</v>
      </c>
      <c r="F940" s="2" t="str">
        <f>VLOOKUP(B940,Course!$A$2:$R$329,2,FALSE)</f>
        <v>History of Civilisation I</v>
      </c>
      <c r="G940" s="2">
        <f>VLOOKUP(B940, Course!$A$2:$L$950, 8, FALSE)</f>
        <v>10</v>
      </c>
      <c r="H940" s="2">
        <v>3</v>
      </c>
      <c r="I940" s="2">
        <v>1</v>
      </c>
      <c r="K940" s="2" t="s">
        <v>1915</v>
      </c>
      <c r="L940" s="2" t="str">
        <f>VLOOKUP(B940, Course!$A$1:$O$933, 14, FALSE)</f>
        <v>HC</v>
      </c>
      <c r="M940" s="2">
        <v>1</v>
      </c>
    </row>
    <row r="941" spans="1:13" ht="15.75" hidden="1" customHeight="1" x14ac:dyDescent="0.2">
      <c r="A941" s="2">
        <v>944</v>
      </c>
      <c r="B941" s="2">
        <v>91</v>
      </c>
      <c r="C941" s="2">
        <v>3</v>
      </c>
      <c r="D941" s="2" t="s">
        <v>603</v>
      </c>
      <c r="E941" s="2" t="str">
        <f t="shared" si="3"/>
        <v>1003HC03PT</v>
      </c>
      <c r="F941" s="2" t="str">
        <f>VLOOKUP(B941,Course!$A$2:$R$329,2,FALSE)</f>
        <v>History of Civilisation I</v>
      </c>
      <c r="G941" s="2">
        <f>VLOOKUP(B941, Course!$A$2:$L$950, 8, FALSE)</f>
        <v>10</v>
      </c>
      <c r="H941" s="2">
        <v>3</v>
      </c>
      <c r="I941" s="2">
        <v>1</v>
      </c>
      <c r="K941" s="2" t="s">
        <v>1915</v>
      </c>
      <c r="L941" s="2" t="str">
        <f>VLOOKUP(B941, Course!$A$1:$O$933, 14, FALSE)</f>
        <v>HC</v>
      </c>
      <c r="M941" s="2">
        <v>1</v>
      </c>
    </row>
    <row r="942" spans="1:13" ht="15.75" hidden="1" customHeight="1" x14ac:dyDescent="0.2">
      <c r="A942" s="2">
        <v>945</v>
      </c>
      <c r="B942" s="2">
        <v>91</v>
      </c>
      <c r="C942" s="2">
        <v>4</v>
      </c>
      <c r="D942" s="2" t="s">
        <v>603</v>
      </c>
      <c r="E942" s="2" t="str">
        <f t="shared" si="3"/>
        <v>1004HC03PT</v>
      </c>
      <c r="F942" s="2" t="str">
        <f>VLOOKUP(B942,Course!$A$2:$R$329,2,FALSE)</f>
        <v>History of Civilisation I</v>
      </c>
      <c r="G942" s="2">
        <f>VLOOKUP(B942, Course!$A$2:$L$950, 8, FALSE)</f>
        <v>10</v>
      </c>
      <c r="H942" s="2">
        <v>3</v>
      </c>
      <c r="I942" s="2">
        <v>1</v>
      </c>
      <c r="K942" s="2" t="s">
        <v>1915</v>
      </c>
      <c r="L942" s="2" t="str">
        <f>VLOOKUP(B942, Course!$A$1:$O$933, 14, FALSE)</f>
        <v>HC</v>
      </c>
      <c r="M942" s="2">
        <v>1</v>
      </c>
    </row>
    <row r="943" spans="1:13" ht="15.75" hidden="1" customHeight="1" x14ac:dyDescent="0.2">
      <c r="A943" s="2">
        <v>946</v>
      </c>
      <c r="B943" s="2">
        <v>91</v>
      </c>
      <c r="C943" s="2">
        <v>5</v>
      </c>
      <c r="D943" s="2" t="s">
        <v>603</v>
      </c>
      <c r="E943" s="2" t="str">
        <f t="shared" si="3"/>
        <v>1005HC03PT</v>
      </c>
      <c r="F943" s="2" t="str">
        <f>VLOOKUP(B943,Course!$A$2:$R$329,2,FALSE)</f>
        <v>History of Civilisation I</v>
      </c>
      <c r="G943" s="2">
        <f>VLOOKUP(B943, Course!$A$2:$L$950, 8, FALSE)</f>
        <v>10</v>
      </c>
      <c r="H943" s="2">
        <v>3</v>
      </c>
      <c r="I943" s="2">
        <v>1</v>
      </c>
      <c r="K943" s="2" t="s">
        <v>1915</v>
      </c>
      <c r="L943" s="2" t="str">
        <f>VLOOKUP(B943, Course!$A$1:$O$933, 14, FALSE)</f>
        <v>HC</v>
      </c>
      <c r="M943" s="2">
        <v>2</v>
      </c>
    </row>
    <row r="944" spans="1:13" ht="15.75" hidden="1" customHeight="1" x14ac:dyDescent="0.2">
      <c r="A944" s="2">
        <v>947</v>
      </c>
      <c r="B944" s="2">
        <v>91</v>
      </c>
      <c r="C944" s="2">
        <v>6</v>
      </c>
      <c r="D944" s="2" t="s">
        <v>603</v>
      </c>
      <c r="E944" s="2" t="str">
        <f t="shared" si="3"/>
        <v>1006HC03PT</v>
      </c>
      <c r="F944" s="2" t="str">
        <f>VLOOKUP(B944,Course!$A$2:$R$329,2,FALSE)</f>
        <v>History of Civilisation I</v>
      </c>
      <c r="G944" s="2">
        <f>VLOOKUP(B944, Course!$A$2:$L$950, 8, FALSE)</f>
        <v>10</v>
      </c>
      <c r="H944" s="2">
        <v>3</v>
      </c>
      <c r="I944" s="2">
        <v>1</v>
      </c>
      <c r="K944" s="2" t="s">
        <v>1915</v>
      </c>
      <c r="L944" s="2" t="str">
        <f>VLOOKUP(B944, Course!$A$1:$O$933, 14, FALSE)</f>
        <v>HC</v>
      </c>
      <c r="M944" s="2">
        <v>1</v>
      </c>
    </row>
    <row r="945" spans="1:14" ht="15.75" hidden="1" customHeight="1" x14ac:dyDescent="0.2">
      <c r="A945" s="2">
        <v>948</v>
      </c>
      <c r="B945" s="2">
        <v>91</v>
      </c>
      <c r="C945" s="2">
        <v>7</v>
      </c>
      <c r="D945" s="2" t="s">
        <v>603</v>
      </c>
      <c r="E945" s="2" t="str">
        <f t="shared" si="3"/>
        <v>1007HC03PT</v>
      </c>
      <c r="F945" s="2" t="str">
        <f>VLOOKUP(B945,Course!$A$2:$R$329,2,FALSE)</f>
        <v>History of Civilisation I</v>
      </c>
      <c r="G945" s="2">
        <f>VLOOKUP(B945, Course!$A$2:$L$950, 8, FALSE)</f>
        <v>10</v>
      </c>
      <c r="H945" s="2">
        <v>3</v>
      </c>
      <c r="I945" s="2">
        <v>1</v>
      </c>
      <c r="K945" s="2" t="s">
        <v>1915</v>
      </c>
      <c r="L945" s="2" t="str">
        <f>VLOOKUP(B945, Course!$A$1:$O$933, 14, FALSE)</f>
        <v>HC</v>
      </c>
      <c r="M945" s="2">
        <v>1</v>
      </c>
    </row>
    <row r="946" spans="1:14" ht="15.75" hidden="1" customHeight="1" x14ac:dyDescent="0.2">
      <c r="A946" s="2">
        <v>949</v>
      </c>
      <c r="B946" s="2">
        <v>91</v>
      </c>
      <c r="C946" s="2">
        <v>8</v>
      </c>
      <c r="D946" s="2" t="s">
        <v>603</v>
      </c>
      <c r="E946" s="2" t="str">
        <f t="shared" si="3"/>
        <v>1008HC03PT</v>
      </c>
      <c r="F946" s="2" t="str">
        <f>VLOOKUP(B946,Course!$A$2:$R$329,2,FALSE)</f>
        <v>History of Civilisation I</v>
      </c>
      <c r="G946" s="2">
        <f>VLOOKUP(B946, Course!$A$2:$L$950, 8, FALSE)</f>
        <v>10</v>
      </c>
      <c r="H946" s="2">
        <v>3</v>
      </c>
      <c r="I946" s="2">
        <v>1</v>
      </c>
      <c r="K946" s="2" t="s">
        <v>1915</v>
      </c>
      <c r="L946" s="2" t="str">
        <f>VLOOKUP(B946, Course!$A$1:$O$933, 14, FALSE)</f>
        <v>HC</v>
      </c>
      <c r="M946" s="2">
        <v>1</v>
      </c>
    </row>
    <row r="947" spans="1:14" ht="15.75" hidden="1" customHeight="1" x14ac:dyDescent="0.2">
      <c r="A947" s="2">
        <v>950</v>
      </c>
      <c r="B947" s="2">
        <v>91</v>
      </c>
      <c r="C947" s="2">
        <v>9</v>
      </c>
      <c r="D947" s="2" t="s">
        <v>603</v>
      </c>
      <c r="E947" s="2" t="str">
        <f t="shared" si="3"/>
        <v>1009HC03PT</v>
      </c>
      <c r="F947" s="2" t="str">
        <f>VLOOKUP(B947,Course!$A$2:$R$329,2,FALSE)</f>
        <v>History of Civilisation I</v>
      </c>
      <c r="G947" s="2">
        <f>VLOOKUP(B947, Course!$A$2:$L$950, 8, FALSE)</f>
        <v>10</v>
      </c>
      <c r="H947" s="2">
        <v>3</v>
      </c>
      <c r="I947" s="2">
        <v>1</v>
      </c>
      <c r="K947" s="2" t="s">
        <v>1915</v>
      </c>
      <c r="L947" s="2" t="str">
        <f>VLOOKUP(B947, Course!$A$1:$O$933, 14, FALSE)</f>
        <v>HC</v>
      </c>
      <c r="M947" s="2">
        <v>1</v>
      </c>
    </row>
    <row r="948" spans="1:14" ht="15.75" hidden="1" customHeight="1" x14ac:dyDescent="0.2">
      <c r="A948" s="2">
        <v>951</v>
      </c>
      <c r="B948" s="2">
        <v>91</v>
      </c>
      <c r="C948" s="2">
        <v>10</v>
      </c>
      <c r="D948" s="2" t="s">
        <v>603</v>
      </c>
      <c r="E948" s="2" t="str">
        <f t="shared" si="3"/>
        <v>1010HC03PT</v>
      </c>
      <c r="F948" s="2" t="str">
        <f>VLOOKUP(B948,Course!$A$2:$R$329,2,FALSE)</f>
        <v>History of Civilisation I</v>
      </c>
      <c r="G948" s="2">
        <f>VLOOKUP(B948, Course!$A$2:$L$950, 8, FALSE)</f>
        <v>10</v>
      </c>
      <c r="H948" s="2">
        <v>3</v>
      </c>
      <c r="I948" s="2">
        <v>1</v>
      </c>
      <c r="K948" s="2" t="s">
        <v>1915</v>
      </c>
      <c r="L948" s="2" t="str">
        <f>VLOOKUP(B948, Course!$A$1:$O$933, 14, FALSE)</f>
        <v>HC</v>
      </c>
      <c r="M948" s="2">
        <v>2</v>
      </c>
    </row>
    <row r="949" spans="1:14" ht="15.75" customHeight="1" x14ac:dyDescent="0.2">
      <c r="A949" s="2">
        <v>952</v>
      </c>
      <c r="B949" s="2">
        <v>152</v>
      </c>
      <c r="C949" s="31">
        <v>7</v>
      </c>
      <c r="D949" s="31" t="s">
        <v>1916</v>
      </c>
      <c r="E949" s="31" t="str">
        <f t="shared" si="3"/>
        <v>407APv203PT</v>
      </c>
      <c r="F949" s="2" t="s">
        <v>1920</v>
      </c>
      <c r="G949" s="2">
        <f>VLOOKUP(B949, Course!$A$2:$L$950, 8, FALSE)</f>
        <v>4</v>
      </c>
      <c r="H949" s="2">
        <v>3</v>
      </c>
      <c r="I949" s="2">
        <v>1</v>
      </c>
      <c r="J949" s="2">
        <v>2022</v>
      </c>
      <c r="K949" s="2" t="s">
        <v>1915</v>
      </c>
      <c r="L949" s="2" t="str">
        <f>VLOOKUP(B949, Course!$A$1:$O$933, 14, FALSE)</f>
        <v>AP</v>
      </c>
      <c r="M949" s="2">
        <v>1</v>
      </c>
    </row>
    <row r="950" spans="1:14" ht="15.75" customHeight="1" x14ac:dyDescent="0.2">
      <c r="A950" s="2">
        <v>953</v>
      </c>
      <c r="B950" s="2">
        <v>152</v>
      </c>
      <c r="C950" s="31">
        <v>8</v>
      </c>
      <c r="D950" s="31" t="s">
        <v>1916</v>
      </c>
      <c r="E950" s="31" t="str">
        <f t="shared" si="3"/>
        <v>408APv203PT</v>
      </c>
      <c r="F950" s="2" t="s">
        <v>1920</v>
      </c>
      <c r="G950" s="2">
        <f>VLOOKUP(B950, Course!$A$2:$L$950, 8, FALSE)</f>
        <v>4</v>
      </c>
      <c r="H950" s="2">
        <v>3</v>
      </c>
      <c r="I950" s="2">
        <v>1</v>
      </c>
      <c r="J950" s="2">
        <v>2022</v>
      </c>
      <c r="K950" s="2" t="s">
        <v>1915</v>
      </c>
      <c r="L950" s="2" t="str">
        <f>VLOOKUP(B950, Course!$A$1:$O$933, 14, FALSE)</f>
        <v>AP</v>
      </c>
      <c r="M950" s="2">
        <v>2</v>
      </c>
    </row>
    <row r="951" spans="1:14" ht="15.75" hidden="1" customHeight="1" x14ac:dyDescent="0.2">
      <c r="A951" s="2">
        <v>954</v>
      </c>
      <c r="B951" s="2">
        <v>93</v>
      </c>
      <c r="C951" s="2">
        <v>1</v>
      </c>
      <c r="D951" s="2" t="s">
        <v>607</v>
      </c>
      <c r="E951" s="2" t="str">
        <f t="shared" si="3"/>
        <v>501CC03PT</v>
      </c>
      <c r="F951" s="2">
        <f>VLOOKUP(B951,Course!$A$2:$R$329,2,FALSE)</f>
        <v>0</v>
      </c>
      <c r="G951" s="2">
        <f>VLOOKUP(B951, Course!$A$2:$L$950, 8, FALSE)</f>
        <v>5</v>
      </c>
      <c r="H951" s="2">
        <v>3</v>
      </c>
      <c r="I951" s="2">
        <v>1</v>
      </c>
      <c r="K951" s="2" t="s">
        <v>1915</v>
      </c>
      <c r="L951" s="2" t="str">
        <f>VLOOKUP(B951, Course!$A$1:$O$933, 14, FALSE)</f>
        <v>CC</v>
      </c>
      <c r="M951" s="2">
        <v>1</v>
      </c>
    </row>
    <row r="952" spans="1:14" ht="15.75" hidden="1" customHeight="1" x14ac:dyDescent="0.2">
      <c r="A952" s="2">
        <v>955</v>
      </c>
      <c r="B952" s="2">
        <v>93</v>
      </c>
      <c r="C952" s="2">
        <v>2</v>
      </c>
      <c r="D952" s="2" t="s">
        <v>607</v>
      </c>
      <c r="E952" s="2" t="str">
        <f t="shared" si="3"/>
        <v>502CC03PT</v>
      </c>
      <c r="F952" s="2">
        <f>VLOOKUP(B952,Course!$A$2:$R$329,2,FALSE)</f>
        <v>0</v>
      </c>
      <c r="G952" s="2">
        <f>VLOOKUP(B952, Course!$A$2:$L$950, 8, FALSE)</f>
        <v>5</v>
      </c>
      <c r="H952" s="2">
        <v>3</v>
      </c>
      <c r="I952" s="2">
        <v>1</v>
      </c>
      <c r="K952" s="2" t="s">
        <v>1915</v>
      </c>
      <c r="L952" s="2" t="str">
        <f>VLOOKUP(B952, Course!$A$1:$O$933, 14, FALSE)</f>
        <v>CC</v>
      </c>
      <c r="M952" s="2">
        <v>1</v>
      </c>
    </row>
    <row r="953" spans="1:14" ht="15.75" hidden="1" customHeight="1" x14ac:dyDescent="0.2">
      <c r="A953" s="2">
        <v>956</v>
      </c>
      <c r="B953" s="2">
        <v>93</v>
      </c>
      <c r="C953" s="2">
        <v>3</v>
      </c>
      <c r="D953" s="2" t="s">
        <v>607</v>
      </c>
      <c r="E953" s="2" t="str">
        <f t="shared" si="3"/>
        <v>503CC03PT</v>
      </c>
      <c r="F953" s="2">
        <f>VLOOKUP(B953,Course!$A$2:$R$329,2,FALSE)</f>
        <v>0</v>
      </c>
      <c r="G953" s="2">
        <f>VLOOKUP(B953, Course!$A$2:$L$950, 8, FALSE)</f>
        <v>5</v>
      </c>
      <c r="H953" s="2">
        <v>3</v>
      </c>
      <c r="I953" s="2">
        <v>1</v>
      </c>
      <c r="K953" s="2" t="s">
        <v>1915</v>
      </c>
      <c r="L953" s="2" t="str">
        <f>VLOOKUP(B953, Course!$A$1:$O$933, 14, FALSE)</f>
        <v>CC</v>
      </c>
      <c r="M953" s="2">
        <v>1</v>
      </c>
    </row>
    <row r="954" spans="1:14" ht="15.75" hidden="1" customHeight="1" x14ac:dyDescent="0.2">
      <c r="A954" s="2">
        <v>957</v>
      </c>
      <c r="B954" s="2">
        <v>93</v>
      </c>
      <c r="C954" s="2">
        <v>4</v>
      </c>
      <c r="D954" s="2" t="s">
        <v>607</v>
      </c>
      <c r="E954" s="2" t="str">
        <f t="shared" si="3"/>
        <v>504CC03PT</v>
      </c>
      <c r="F954" s="2">
        <f>VLOOKUP(B954,Course!$A$2:$R$329,2,FALSE)</f>
        <v>0</v>
      </c>
      <c r="G954" s="2">
        <f>VLOOKUP(B954, Course!$A$2:$L$950, 8, FALSE)</f>
        <v>5</v>
      </c>
      <c r="H954" s="2">
        <v>3</v>
      </c>
      <c r="I954" s="2">
        <v>1</v>
      </c>
      <c r="K954" s="2" t="s">
        <v>1915</v>
      </c>
      <c r="L954" s="2" t="str">
        <f>VLOOKUP(B954, Course!$A$1:$O$933, 14, FALSE)</f>
        <v>CC</v>
      </c>
      <c r="M954" s="2">
        <v>1</v>
      </c>
    </row>
    <row r="955" spans="1:14" ht="15.75" hidden="1" customHeight="1" x14ac:dyDescent="0.2">
      <c r="A955" s="2">
        <v>958</v>
      </c>
      <c r="B955" s="2">
        <v>93</v>
      </c>
      <c r="C955" s="2">
        <v>5</v>
      </c>
      <c r="D955" s="2" t="s">
        <v>607</v>
      </c>
      <c r="E955" s="2" t="str">
        <f t="shared" si="3"/>
        <v>505CC03PT</v>
      </c>
      <c r="F955" s="2">
        <f>VLOOKUP(B955,Course!$A$2:$R$329,2,FALSE)</f>
        <v>0</v>
      </c>
      <c r="G955" s="2">
        <f>VLOOKUP(B955, Course!$A$2:$L$950, 8, FALSE)</f>
        <v>5</v>
      </c>
      <c r="H955" s="2">
        <v>3</v>
      </c>
      <c r="I955" s="2">
        <v>1</v>
      </c>
      <c r="K955" s="2" t="s">
        <v>1915</v>
      </c>
      <c r="L955" s="2" t="str">
        <f>VLOOKUP(B955, Course!$A$1:$O$933, 14, FALSE)</f>
        <v>CC</v>
      </c>
      <c r="M955" s="9">
        <v>2</v>
      </c>
      <c r="N955" s="2" t="s">
        <v>1922</v>
      </c>
    </row>
    <row r="956" spans="1:14" ht="15.75" hidden="1" customHeight="1" x14ac:dyDescent="0.2">
      <c r="A956" s="2">
        <v>965</v>
      </c>
      <c r="B956" s="2">
        <v>95</v>
      </c>
      <c r="C956" s="2">
        <v>109</v>
      </c>
      <c r="D956" s="2" t="s">
        <v>611</v>
      </c>
      <c r="E956" s="2" t="str">
        <f t="shared" ref="E956:E1210" si="4">UPPER(LEFT(G956,2)) &amp; RIGHT("0" &amp; C956, 2) &amp; D956 &amp; RIGHT("0" &amp; H956, 2) &amp; K956</f>
        <v>1209OT03PT</v>
      </c>
      <c r="F956" s="2" t="str">
        <f>VLOOKUP(B956,Course!$A$2:$R$329,2,FALSE)</f>
        <v>Biblical Studies II</v>
      </c>
      <c r="G956" s="2">
        <f>VLOOKUP(B956, Course!$A$2:$L$950, 8, FALSE)</f>
        <v>12</v>
      </c>
      <c r="H956" s="2">
        <v>3</v>
      </c>
      <c r="I956" s="2">
        <v>1</v>
      </c>
      <c r="K956" s="2" t="s">
        <v>1915</v>
      </c>
      <c r="L956" s="2" t="str">
        <f>VLOOKUP(B956, Course!$A$1:$O$933, 14, FALSE)</f>
        <v>OT</v>
      </c>
      <c r="M956" s="2">
        <v>1</v>
      </c>
    </row>
    <row r="957" spans="1:14" ht="15.75" hidden="1" customHeight="1" x14ac:dyDescent="0.2">
      <c r="A957" s="2">
        <v>966</v>
      </c>
      <c r="B957" s="2">
        <v>95</v>
      </c>
      <c r="C957" s="2">
        <v>110</v>
      </c>
      <c r="D957" s="2" t="s">
        <v>611</v>
      </c>
      <c r="E957" s="2" t="str">
        <f t="shared" si="4"/>
        <v>1210OT03PT</v>
      </c>
      <c r="F957" s="2" t="str">
        <f>VLOOKUP(B957,Course!$A$2:$R$329,2,FALSE)</f>
        <v>Biblical Studies II</v>
      </c>
      <c r="G957" s="2">
        <f>VLOOKUP(B957, Course!$A$2:$L$950, 8, FALSE)</f>
        <v>12</v>
      </c>
      <c r="H957" s="2">
        <v>3</v>
      </c>
      <c r="I957" s="2">
        <v>1</v>
      </c>
      <c r="K957" s="2" t="s">
        <v>1915</v>
      </c>
      <c r="L957" s="2" t="str">
        <f>VLOOKUP(B957, Course!$A$1:$O$933, 14, FALSE)</f>
        <v>OT</v>
      </c>
      <c r="M957" s="2">
        <v>1</v>
      </c>
    </row>
    <row r="958" spans="1:14" ht="15.75" hidden="1" customHeight="1" x14ac:dyDescent="0.2">
      <c r="A958" s="2">
        <v>967</v>
      </c>
      <c r="B958" s="2">
        <v>95</v>
      </c>
      <c r="C958" s="2">
        <v>111</v>
      </c>
      <c r="D958" s="2" t="s">
        <v>611</v>
      </c>
      <c r="E958" s="2" t="str">
        <f t="shared" si="4"/>
        <v>1211OT03PT</v>
      </c>
      <c r="F958" s="2" t="str">
        <f>VLOOKUP(B958,Course!$A$2:$R$329,2,FALSE)</f>
        <v>Biblical Studies II</v>
      </c>
      <c r="G958" s="2">
        <f>VLOOKUP(B958, Course!$A$2:$L$950, 8, FALSE)</f>
        <v>12</v>
      </c>
      <c r="H958" s="2">
        <v>3</v>
      </c>
      <c r="I958" s="2">
        <v>1</v>
      </c>
      <c r="K958" s="2" t="s">
        <v>1915</v>
      </c>
      <c r="L958" s="2" t="str">
        <f>VLOOKUP(B958, Course!$A$1:$O$933, 14, FALSE)</f>
        <v>OT</v>
      </c>
      <c r="M958" s="2">
        <v>1</v>
      </c>
    </row>
    <row r="959" spans="1:14" ht="15.75" hidden="1" customHeight="1" x14ac:dyDescent="0.2">
      <c r="A959" s="2">
        <v>968</v>
      </c>
      <c r="B959" s="2">
        <v>95</v>
      </c>
      <c r="C959" s="2">
        <v>112</v>
      </c>
      <c r="D959" s="2" t="s">
        <v>611</v>
      </c>
      <c r="E959" s="2" t="str">
        <f t="shared" si="4"/>
        <v>1212OT03PT</v>
      </c>
      <c r="F959" s="2" t="str">
        <f>VLOOKUP(B959,Course!$A$2:$R$329,2,FALSE)</f>
        <v>Biblical Studies II</v>
      </c>
      <c r="G959" s="2">
        <f>VLOOKUP(B959, Course!$A$2:$L$950, 8, FALSE)</f>
        <v>12</v>
      </c>
      <c r="H959" s="2">
        <v>3</v>
      </c>
      <c r="I959" s="2">
        <v>1</v>
      </c>
      <c r="K959" s="2" t="s">
        <v>1915</v>
      </c>
      <c r="L959" s="2" t="str">
        <f>VLOOKUP(B959, Course!$A$1:$O$933, 14, FALSE)</f>
        <v>OT</v>
      </c>
      <c r="M959" s="2">
        <v>1</v>
      </c>
    </row>
    <row r="960" spans="1:14" ht="15.75" hidden="1" customHeight="1" x14ac:dyDescent="0.2">
      <c r="A960" s="2">
        <v>969</v>
      </c>
      <c r="B960" s="2">
        <v>95</v>
      </c>
      <c r="C960" s="2">
        <v>113</v>
      </c>
      <c r="D960" s="2" t="s">
        <v>611</v>
      </c>
      <c r="E960" s="2" t="str">
        <f t="shared" si="4"/>
        <v>1213OT03PT</v>
      </c>
      <c r="F960" s="2" t="str">
        <f>VLOOKUP(B960,Course!$A$2:$R$329,2,FALSE)</f>
        <v>Biblical Studies II</v>
      </c>
      <c r="G960" s="2">
        <f>VLOOKUP(B960, Course!$A$2:$L$950, 8, FALSE)</f>
        <v>12</v>
      </c>
      <c r="H960" s="2">
        <v>3</v>
      </c>
      <c r="I960" s="2">
        <v>1</v>
      </c>
      <c r="K960" s="2" t="s">
        <v>1915</v>
      </c>
      <c r="L960" s="2" t="str">
        <f>VLOOKUP(B960, Course!$A$1:$O$933, 14, FALSE)</f>
        <v>OT</v>
      </c>
      <c r="M960" s="2">
        <v>1</v>
      </c>
    </row>
    <row r="961" spans="1:13" ht="15.75" hidden="1" customHeight="1" x14ac:dyDescent="0.2">
      <c r="A961" s="2">
        <v>970</v>
      </c>
      <c r="B961" s="2">
        <v>95</v>
      </c>
      <c r="C961" s="2">
        <v>114</v>
      </c>
      <c r="D961" s="2" t="s">
        <v>611</v>
      </c>
      <c r="E961" s="2" t="str">
        <f t="shared" si="4"/>
        <v>1214OT03PT</v>
      </c>
      <c r="F961" s="2" t="str">
        <f>VLOOKUP(B961,Course!$A$2:$R$329,2,FALSE)</f>
        <v>Biblical Studies II</v>
      </c>
      <c r="G961" s="2">
        <f>VLOOKUP(B961, Course!$A$2:$L$950, 8, FALSE)</f>
        <v>12</v>
      </c>
      <c r="H961" s="2">
        <v>3</v>
      </c>
      <c r="I961" s="2">
        <v>1</v>
      </c>
      <c r="K961" s="2" t="s">
        <v>1915</v>
      </c>
      <c r="L961" s="2" t="str">
        <f>VLOOKUP(B961, Course!$A$1:$O$933, 14, FALSE)</f>
        <v>OT</v>
      </c>
      <c r="M961" s="2">
        <v>1</v>
      </c>
    </row>
    <row r="962" spans="1:13" ht="15.75" hidden="1" customHeight="1" x14ac:dyDescent="0.2">
      <c r="A962" s="2">
        <v>971</v>
      </c>
      <c r="B962" s="2">
        <v>95</v>
      </c>
      <c r="C962" s="2">
        <v>115</v>
      </c>
      <c r="D962" s="2" t="s">
        <v>611</v>
      </c>
      <c r="E962" s="2" t="str">
        <f t="shared" si="4"/>
        <v>1215OT03PT</v>
      </c>
      <c r="F962" s="2" t="str">
        <f>VLOOKUP(B962,Course!$A$2:$R$329,2,FALSE)</f>
        <v>Biblical Studies II</v>
      </c>
      <c r="G962" s="2">
        <f>VLOOKUP(B962, Course!$A$2:$L$950, 8, FALSE)</f>
        <v>12</v>
      </c>
      <c r="H962" s="2">
        <v>3</v>
      </c>
      <c r="I962" s="2">
        <v>1</v>
      </c>
      <c r="K962" s="2" t="s">
        <v>1915</v>
      </c>
      <c r="L962" s="2" t="str">
        <f>VLOOKUP(B962, Course!$A$1:$O$933, 14, FALSE)</f>
        <v>OT</v>
      </c>
      <c r="M962" s="2">
        <v>1</v>
      </c>
    </row>
    <row r="963" spans="1:13" ht="15.75" hidden="1" customHeight="1" x14ac:dyDescent="0.2">
      <c r="A963" s="2">
        <v>972</v>
      </c>
      <c r="B963" s="2">
        <v>95</v>
      </c>
      <c r="C963" s="2">
        <v>116</v>
      </c>
      <c r="D963" s="2" t="s">
        <v>611</v>
      </c>
      <c r="E963" s="2" t="str">
        <f t="shared" si="4"/>
        <v>1216OT03PT</v>
      </c>
      <c r="F963" s="2" t="str">
        <f>VLOOKUP(B963,Course!$A$2:$R$329,2,FALSE)</f>
        <v>Biblical Studies II</v>
      </c>
      <c r="G963" s="2">
        <f>VLOOKUP(B963, Course!$A$2:$L$950, 8, FALSE)</f>
        <v>12</v>
      </c>
      <c r="H963" s="2">
        <v>3</v>
      </c>
      <c r="I963" s="2">
        <v>1</v>
      </c>
      <c r="K963" s="2" t="s">
        <v>1915</v>
      </c>
      <c r="L963" s="2" t="str">
        <f>VLOOKUP(B963, Course!$A$1:$O$933, 14, FALSE)</f>
        <v>OT</v>
      </c>
      <c r="M963" s="2">
        <v>1</v>
      </c>
    </row>
    <row r="964" spans="1:13" ht="15.75" hidden="1" customHeight="1" x14ac:dyDescent="0.2">
      <c r="A964" s="2">
        <v>973</v>
      </c>
      <c r="B964" s="2">
        <v>95</v>
      </c>
      <c r="C964" s="2">
        <v>117</v>
      </c>
      <c r="D964" s="2" t="s">
        <v>611</v>
      </c>
      <c r="E964" s="2" t="str">
        <f t="shared" si="4"/>
        <v>1217OT03PT</v>
      </c>
      <c r="F964" s="2" t="str">
        <f>VLOOKUP(B964,Course!$A$2:$R$329,2,FALSE)</f>
        <v>Biblical Studies II</v>
      </c>
      <c r="G964" s="2">
        <f>VLOOKUP(B964, Course!$A$2:$L$950, 8, FALSE)</f>
        <v>12</v>
      </c>
      <c r="H964" s="2">
        <v>3</v>
      </c>
      <c r="I964" s="2">
        <v>1</v>
      </c>
      <c r="K964" s="2" t="s">
        <v>1915</v>
      </c>
      <c r="L964" s="2" t="str">
        <f>VLOOKUP(B964, Course!$A$1:$O$933, 14, FALSE)</f>
        <v>OT</v>
      </c>
      <c r="M964" s="2">
        <v>1</v>
      </c>
    </row>
    <row r="965" spans="1:13" ht="15.75" hidden="1" customHeight="1" x14ac:dyDescent="0.2">
      <c r="A965" s="2">
        <v>974</v>
      </c>
      <c r="B965" s="2">
        <v>95</v>
      </c>
      <c r="C965" s="2">
        <v>118</v>
      </c>
      <c r="D965" s="2" t="s">
        <v>611</v>
      </c>
      <c r="E965" s="2" t="str">
        <f t="shared" si="4"/>
        <v>1218OT03PT</v>
      </c>
      <c r="F965" s="2" t="str">
        <f>VLOOKUP(B965,Course!$A$2:$R$329,2,FALSE)</f>
        <v>Biblical Studies II</v>
      </c>
      <c r="G965" s="2">
        <f>VLOOKUP(B965, Course!$A$2:$L$950, 8, FALSE)</f>
        <v>12</v>
      </c>
      <c r="H965" s="2">
        <v>3</v>
      </c>
      <c r="I965" s="2">
        <v>1</v>
      </c>
      <c r="K965" s="2" t="s">
        <v>1915</v>
      </c>
      <c r="L965" s="2" t="str">
        <f>VLOOKUP(B965, Course!$A$1:$O$933, 14, FALSE)</f>
        <v>OT</v>
      </c>
      <c r="M965" s="2">
        <v>1</v>
      </c>
    </row>
    <row r="966" spans="1:13" ht="15.75" hidden="1" customHeight="1" x14ac:dyDescent="0.2">
      <c r="A966" s="2">
        <v>975</v>
      </c>
      <c r="B966" s="2">
        <v>95</v>
      </c>
      <c r="C966" s="2">
        <v>119</v>
      </c>
      <c r="D966" s="2" t="s">
        <v>611</v>
      </c>
      <c r="E966" s="2" t="str">
        <f t="shared" si="4"/>
        <v>1219OT03PT</v>
      </c>
      <c r="F966" s="2" t="str">
        <f>VLOOKUP(B966,Course!$A$2:$R$329,2,FALSE)</f>
        <v>Biblical Studies II</v>
      </c>
      <c r="G966" s="2">
        <f>VLOOKUP(B966, Course!$A$2:$L$950, 8, FALSE)</f>
        <v>12</v>
      </c>
      <c r="H966" s="2">
        <v>3</v>
      </c>
      <c r="I966" s="2">
        <v>1</v>
      </c>
      <c r="K966" s="2" t="s">
        <v>1915</v>
      </c>
      <c r="L966" s="2" t="str">
        <f>VLOOKUP(B966, Course!$A$1:$O$933, 14, FALSE)</f>
        <v>OT</v>
      </c>
      <c r="M966" s="2">
        <v>1</v>
      </c>
    </row>
    <row r="967" spans="1:13" ht="15.75" hidden="1" customHeight="1" x14ac:dyDescent="0.2">
      <c r="A967" s="2">
        <v>976</v>
      </c>
      <c r="B967" s="2">
        <v>95</v>
      </c>
      <c r="C967" s="2">
        <v>120</v>
      </c>
      <c r="D967" s="2" t="s">
        <v>611</v>
      </c>
      <c r="E967" s="2" t="str">
        <f t="shared" si="4"/>
        <v>1220OT03PT</v>
      </c>
      <c r="F967" s="2" t="str">
        <f>VLOOKUP(B967,Course!$A$2:$R$329,2,FALSE)</f>
        <v>Biblical Studies II</v>
      </c>
      <c r="G967" s="2">
        <f>VLOOKUP(B967, Course!$A$2:$L$950, 8, FALSE)</f>
        <v>12</v>
      </c>
      <c r="H967" s="2">
        <v>3</v>
      </c>
      <c r="I967" s="2">
        <v>1</v>
      </c>
      <c r="K967" s="2" t="s">
        <v>1915</v>
      </c>
      <c r="L967" s="2" t="str">
        <f>VLOOKUP(B967, Course!$A$1:$O$933, 14, FALSE)</f>
        <v>OT</v>
      </c>
      <c r="M967" s="2">
        <v>1</v>
      </c>
    </row>
    <row r="968" spans="1:13" ht="15.75" hidden="1" customHeight="1" x14ac:dyDescent="0.2">
      <c r="A968" s="2">
        <v>977</v>
      </c>
      <c r="B968" s="2">
        <v>96</v>
      </c>
      <c r="C968" s="2">
        <v>109</v>
      </c>
      <c r="D968" s="2" t="s">
        <v>613</v>
      </c>
      <c r="E968" s="2" t="str">
        <f t="shared" si="4"/>
        <v>609AM03PT</v>
      </c>
      <c r="F968" s="2">
        <f>VLOOKUP(B968,Course!$A$2:$R$329,2,FALSE)</f>
        <v>0</v>
      </c>
      <c r="G968" s="2">
        <f>VLOOKUP(B968, Course!$A$2:$L$950, 8, FALSE)</f>
        <v>6</v>
      </c>
      <c r="H968" s="2">
        <v>3</v>
      </c>
      <c r="I968" s="2">
        <v>1</v>
      </c>
      <c r="K968" s="2" t="s">
        <v>1915</v>
      </c>
      <c r="L968" s="2" t="str">
        <f>VLOOKUP(B968, Course!$A$1:$O$933, 14, FALSE)</f>
        <v>AM</v>
      </c>
      <c r="M968" s="2">
        <v>1</v>
      </c>
    </row>
    <row r="969" spans="1:13" ht="15.75" hidden="1" customHeight="1" x14ac:dyDescent="0.2">
      <c r="A969" s="2">
        <v>978</v>
      </c>
      <c r="B969" s="2">
        <v>96</v>
      </c>
      <c r="C969" s="2">
        <v>110</v>
      </c>
      <c r="D969" s="2" t="s">
        <v>613</v>
      </c>
      <c r="E969" s="2" t="str">
        <f t="shared" si="4"/>
        <v>610AM03PT</v>
      </c>
      <c r="F969" s="2">
        <f>VLOOKUP(B969,Course!$A$2:$R$329,2,FALSE)</f>
        <v>0</v>
      </c>
      <c r="G969" s="2">
        <f>VLOOKUP(B969, Course!$A$2:$L$950, 8, FALSE)</f>
        <v>6</v>
      </c>
      <c r="H969" s="2">
        <v>3</v>
      </c>
      <c r="I969" s="2">
        <v>1</v>
      </c>
      <c r="K969" s="2" t="s">
        <v>1915</v>
      </c>
      <c r="L969" s="2" t="str">
        <f>VLOOKUP(B969, Course!$A$1:$O$933, 14, FALSE)</f>
        <v>AM</v>
      </c>
      <c r="M969" s="2">
        <v>1</v>
      </c>
    </row>
    <row r="970" spans="1:13" ht="15.75" hidden="1" customHeight="1" x14ac:dyDescent="0.2">
      <c r="A970" s="2">
        <v>979</v>
      </c>
      <c r="B970" s="2">
        <v>96</v>
      </c>
      <c r="C970" s="2">
        <v>111</v>
      </c>
      <c r="D970" s="2" t="s">
        <v>613</v>
      </c>
      <c r="E970" s="2" t="str">
        <f t="shared" si="4"/>
        <v>611AM03PT</v>
      </c>
      <c r="F970" s="2">
        <f>VLOOKUP(B970,Course!$A$2:$R$329,2,FALSE)</f>
        <v>0</v>
      </c>
      <c r="G970" s="2">
        <f>VLOOKUP(B970, Course!$A$2:$L$950, 8, FALSE)</f>
        <v>6</v>
      </c>
      <c r="H970" s="2">
        <v>3</v>
      </c>
      <c r="I970" s="2">
        <v>1</v>
      </c>
      <c r="K970" s="2" t="s">
        <v>1915</v>
      </c>
      <c r="L970" s="2" t="str">
        <f>VLOOKUP(B970, Course!$A$1:$O$933, 14, FALSE)</f>
        <v>AM</v>
      </c>
      <c r="M970" s="2">
        <v>1</v>
      </c>
    </row>
    <row r="971" spans="1:13" ht="15.75" hidden="1" customHeight="1" x14ac:dyDescent="0.2">
      <c r="A971" s="2">
        <v>980</v>
      </c>
      <c r="B971" s="2">
        <v>96</v>
      </c>
      <c r="C971" s="2">
        <v>112</v>
      </c>
      <c r="D971" s="2" t="s">
        <v>613</v>
      </c>
      <c r="E971" s="2" t="str">
        <f t="shared" si="4"/>
        <v>612AM03PT</v>
      </c>
      <c r="F971" s="2">
        <f>VLOOKUP(B971,Course!$A$2:$R$329,2,FALSE)</f>
        <v>0</v>
      </c>
      <c r="G971" s="2">
        <f>VLOOKUP(B971, Course!$A$2:$L$950, 8, FALSE)</f>
        <v>6</v>
      </c>
      <c r="H971" s="2">
        <v>3</v>
      </c>
      <c r="I971" s="2">
        <v>1</v>
      </c>
      <c r="K971" s="2" t="s">
        <v>1915</v>
      </c>
      <c r="L971" s="2" t="str">
        <f>VLOOKUP(B971, Course!$A$1:$O$933, 14, FALSE)</f>
        <v>AM</v>
      </c>
      <c r="M971" s="2">
        <v>1</v>
      </c>
    </row>
    <row r="972" spans="1:13" ht="15.75" hidden="1" customHeight="1" x14ac:dyDescent="0.2">
      <c r="A972" s="2">
        <v>981</v>
      </c>
      <c r="B972" s="2">
        <v>96</v>
      </c>
      <c r="C972" s="2">
        <v>113</v>
      </c>
      <c r="D972" s="2" t="s">
        <v>613</v>
      </c>
      <c r="E972" s="2" t="str">
        <f t="shared" si="4"/>
        <v>613AM03PT</v>
      </c>
      <c r="F972" s="2">
        <f>VLOOKUP(B972,Course!$A$2:$R$329,2,FALSE)</f>
        <v>0</v>
      </c>
      <c r="G972" s="2">
        <f>VLOOKUP(B972, Course!$A$2:$L$950, 8, FALSE)</f>
        <v>6</v>
      </c>
      <c r="H972" s="2">
        <v>3</v>
      </c>
      <c r="I972" s="2">
        <v>1</v>
      </c>
      <c r="K972" s="2" t="s">
        <v>1915</v>
      </c>
      <c r="L972" s="2" t="str">
        <f>VLOOKUP(B972, Course!$A$1:$O$933, 14, FALSE)</f>
        <v>AM</v>
      </c>
      <c r="M972" s="2">
        <v>1</v>
      </c>
    </row>
    <row r="973" spans="1:13" ht="15.75" hidden="1" customHeight="1" x14ac:dyDescent="0.2">
      <c r="A973" s="2">
        <v>982</v>
      </c>
      <c r="B973" s="2">
        <v>96</v>
      </c>
      <c r="C973" s="2">
        <v>114</v>
      </c>
      <c r="D973" s="2" t="s">
        <v>613</v>
      </c>
      <c r="E973" s="2" t="str">
        <f t="shared" si="4"/>
        <v>614AM03PT</v>
      </c>
      <c r="F973" s="2">
        <f>VLOOKUP(B973,Course!$A$2:$R$329,2,FALSE)</f>
        <v>0</v>
      </c>
      <c r="G973" s="2">
        <f>VLOOKUP(B973, Course!$A$2:$L$950, 8, FALSE)</f>
        <v>6</v>
      </c>
      <c r="H973" s="2">
        <v>3</v>
      </c>
      <c r="I973" s="2">
        <v>1</v>
      </c>
      <c r="K973" s="2" t="s">
        <v>1915</v>
      </c>
      <c r="L973" s="2" t="str">
        <f>VLOOKUP(B973, Course!$A$1:$O$933, 14, FALSE)</f>
        <v>AM</v>
      </c>
      <c r="M973" s="2">
        <v>1</v>
      </c>
    </row>
    <row r="974" spans="1:13" ht="15.75" hidden="1" customHeight="1" x14ac:dyDescent="0.2">
      <c r="A974" s="2">
        <v>983</v>
      </c>
      <c r="B974" s="2">
        <v>98</v>
      </c>
      <c r="C974" s="2">
        <v>121</v>
      </c>
      <c r="D974" s="2" t="s">
        <v>548</v>
      </c>
      <c r="E974" s="2" t="str">
        <f t="shared" si="4"/>
        <v>1221AL03PT</v>
      </c>
      <c r="F974" s="2">
        <f>VLOOKUP(B974,Course!$A$2:$R$329,2,FALSE)</f>
        <v>0</v>
      </c>
      <c r="G974" s="2">
        <f>VLOOKUP(B974, Course!$A$2:$L$950, 8, FALSE)</f>
        <v>12</v>
      </c>
      <c r="H974" s="2">
        <v>3</v>
      </c>
      <c r="I974" s="2">
        <v>1</v>
      </c>
      <c r="K974" s="2" t="s">
        <v>1915</v>
      </c>
      <c r="L974" s="2" t="str">
        <f>VLOOKUP(B974, Course!$A$1:$O$933, 14, FALSE)</f>
        <v>AL</v>
      </c>
      <c r="M974" s="2">
        <v>1</v>
      </c>
    </row>
    <row r="975" spans="1:13" ht="15.75" hidden="1" customHeight="1" x14ac:dyDescent="0.2">
      <c r="A975" s="2">
        <v>984</v>
      </c>
      <c r="B975" s="2">
        <v>98</v>
      </c>
      <c r="C975" s="2">
        <v>122</v>
      </c>
      <c r="D975" s="2" t="s">
        <v>548</v>
      </c>
      <c r="E975" s="2" t="str">
        <f t="shared" si="4"/>
        <v>1222AL03PT</v>
      </c>
      <c r="F975" s="2">
        <f>VLOOKUP(B975,Course!$A$2:$R$329,2,FALSE)</f>
        <v>0</v>
      </c>
      <c r="G975" s="2">
        <f>VLOOKUP(B975, Course!$A$2:$L$950, 8, FALSE)</f>
        <v>12</v>
      </c>
      <c r="H975" s="2">
        <v>3</v>
      </c>
      <c r="I975" s="2">
        <v>1</v>
      </c>
      <c r="K975" s="2" t="s">
        <v>1915</v>
      </c>
      <c r="L975" s="2" t="str">
        <f>VLOOKUP(B975, Course!$A$1:$O$933, 14, FALSE)</f>
        <v>AL</v>
      </c>
      <c r="M975" s="2">
        <v>1</v>
      </c>
    </row>
    <row r="976" spans="1:13" ht="15.75" hidden="1" customHeight="1" x14ac:dyDescent="0.2">
      <c r="A976" s="2">
        <v>985</v>
      </c>
      <c r="B976" s="2">
        <v>98</v>
      </c>
      <c r="C976" s="2">
        <v>123</v>
      </c>
      <c r="D976" s="2" t="s">
        <v>548</v>
      </c>
      <c r="E976" s="2" t="str">
        <f t="shared" si="4"/>
        <v>1223AL03PT</v>
      </c>
      <c r="F976" s="2">
        <f>VLOOKUP(B976,Course!$A$2:$R$329,2,FALSE)</f>
        <v>0</v>
      </c>
      <c r="G976" s="2">
        <f>VLOOKUP(B976, Course!$A$2:$L$950, 8, FALSE)</f>
        <v>12</v>
      </c>
      <c r="H976" s="2">
        <v>3</v>
      </c>
      <c r="I976" s="2">
        <v>1</v>
      </c>
      <c r="K976" s="2" t="s">
        <v>1915</v>
      </c>
      <c r="L976" s="2" t="str">
        <f>VLOOKUP(B976, Course!$A$1:$O$933, 14, FALSE)</f>
        <v>AL</v>
      </c>
      <c r="M976" s="2">
        <v>1</v>
      </c>
    </row>
    <row r="977" spans="1:13" ht="15.75" hidden="1" customHeight="1" x14ac:dyDescent="0.2">
      <c r="A977" s="2">
        <v>986</v>
      </c>
      <c r="B977" s="2">
        <v>98</v>
      </c>
      <c r="C977" s="2">
        <v>124</v>
      </c>
      <c r="D977" s="2" t="s">
        <v>548</v>
      </c>
      <c r="E977" s="2" t="str">
        <f t="shared" si="4"/>
        <v>1224AL03PT</v>
      </c>
      <c r="F977" s="2">
        <f>VLOOKUP(B977,Course!$A$2:$R$329,2,FALSE)</f>
        <v>0</v>
      </c>
      <c r="G977" s="2">
        <f>VLOOKUP(B977, Course!$A$2:$L$950, 8, FALSE)</f>
        <v>12</v>
      </c>
      <c r="H977" s="2">
        <v>3</v>
      </c>
      <c r="I977" s="2">
        <v>1</v>
      </c>
      <c r="K977" s="2" t="s">
        <v>1915</v>
      </c>
      <c r="L977" s="2" t="str">
        <f>VLOOKUP(B977, Course!$A$1:$O$933, 14, FALSE)</f>
        <v>AL</v>
      </c>
      <c r="M977" s="2">
        <v>1</v>
      </c>
    </row>
    <row r="978" spans="1:13" ht="15.75" hidden="1" customHeight="1" x14ac:dyDescent="0.2">
      <c r="A978" s="2">
        <v>987</v>
      </c>
      <c r="B978" s="2">
        <v>98</v>
      </c>
      <c r="C978" s="2">
        <v>125</v>
      </c>
      <c r="D978" s="2" t="s">
        <v>548</v>
      </c>
      <c r="E978" s="2" t="str">
        <f t="shared" si="4"/>
        <v>1225AL03PT</v>
      </c>
      <c r="F978" s="2">
        <f>VLOOKUP(B978,Course!$A$2:$R$329,2,FALSE)</f>
        <v>0</v>
      </c>
      <c r="G978" s="2">
        <f>VLOOKUP(B978, Course!$A$2:$L$950, 8, FALSE)</f>
        <v>12</v>
      </c>
      <c r="H978" s="2">
        <v>3</v>
      </c>
      <c r="I978" s="2">
        <v>1</v>
      </c>
      <c r="K978" s="2" t="s">
        <v>1915</v>
      </c>
      <c r="L978" s="2" t="str">
        <f>VLOOKUP(B978, Course!$A$1:$O$933, 14, FALSE)</f>
        <v>AL</v>
      </c>
      <c r="M978" s="2">
        <v>1</v>
      </c>
    </row>
    <row r="979" spans="1:13" ht="15.75" hidden="1" customHeight="1" x14ac:dyDescent="0.2">
      <c r="A979" s="2">
        <v>988</v>
      </c>
      <c r="B979" s="2">
        <v>98</v>
      </c>
      <c r="C979" s="2">
        <v>126</v>
      </c>
      <c r="D979" s="2" t="s">
        <v>548</v>
      </c>
      <c r="E979" s="2" t="str">
        <f t="shared" si="4"/>
        <v>1226AL03PT</v>
      </c>
      <c r="F979" s="2">
        <f>VLOOKUP(B979,Course!$A$2:$R$329,2,FALSE)</f>
        <v>0</v>
      </c>
      <c r="G979" s="2">
        <f>VLOOKUP(B979, Course!$A$2:$L$950, 8, FALSE)</f>
        <v>12</v>
      </c>
      <c r="H979" s="2">
        <v>3</v>
      </c>
      <c r="I979" s="2">
        <v>1</v>
      </c>
      <c r="K979" s="2" t="s">
        <v>1915</v>
      </c>
      <c r="L979" s="2" t="str">
        <f>VLOOKUP(B979, Course!$A$1:$O$933, 14, FALSE)</f>
        <v>AL</v>
      </c>
      <c r="M979" s="2">
        <v>1</v>
      </c>
    </row>
    <row r="980" spans="1:13" ht="15.75" hidden="1" customHeight="1" x14ac:dyDescent="0.2">
      <c r="A980" s="2">
        <v>989</v>
      </c>
      <c r="B980" s="2">
        <v>98</v>
      </c>
      <c r="C980" s="2">
        <v>127</v>
      </c>
      <c r="D980" s="2" t="s">
        <v>548</v>
      </c>
      <c r="E980" s="2" t="str">
        <f t="shared" si="4"/>
        <v>1227AL03PT</v>
      </c>
      <c r="F980" s="2">
        <f>VLOOKUP(B980,Course!$A$2:$R$329,2,FALSE)</f>
        <v>0</v>
      </c>
      <c r="G980" s="2">
        <f>VLOOKUP(B980, Course!$A$2:$L$950, 8, FALSE)</f>
        <v>12</v>
      </c>
      <c r="H980" s="2">
        <v>3</v>
      </c>
      <c r="I980" s="2">
        <v>1</v>
      </c>
      <c r="K980" s="2" t="s">
        <v>1915</v>
      </c>
      <c r="L980" s="2" t="str">
        <f>VLOOKUP(B980, Course!$A$1:$O$933, 14, FALSE)</f>
        <v>AL</v>
      </c>
      <c r="M980" s="2">
        <v>1</v>
      </c>
    </row>
    <row r="981" spans="1:13" ht="15.75" hidden="1" customHeight="1" x14ac:dyDescent="0.2">
      <c r="A981" s="2">
        <v>990</v>
      </c>
      <c r="B981" s="2">
        <v>98</v>
      </c>
      <c r="C981" s="2">
        <v>128</v>
      </c>
      <c r="D981" s="2" t="s">
        <v>548</v>
      </c>
      <c r="E981" s="2" t="str">
        <f t="shared" si="4"/>
        <v>1228AL03PT</v>
      </c>
      <c r="F981" s="2">
        <f>VLOOKUP(B981,Course!$A$2:$R$329,2,FALSE)</f>
        <v>0</v>
      </c>
      <c r="G981" s="2">
        <f>VLOOKUP(B981, Course!$A$2:$L$950, 8, FALSE)</f>
        <v>12</v>
      </c>
      <c r="H981" s="2">
        <v>3</v>
      </c>
      <c r="I981" s="2">
        <v>1</v>
      </c>
      <c r="K981" s="2" t="s">
        <v>1915</v>
      </c>
      <c r="L981" s="2" t="str">
        <f>VLOOKUP(B981, Course!$A$1:$O$933, 14, FALSE)</f>
        <v>AL</v>
      </c>
      <c r="M981" s="2">
        <v>1</v>
      </c>
    </row>
    <row r="982" spans="1:13" ht="15.75" hidden="1" customHeight="1" x14ac:dyDescent="0.2">
      <c r="A982" s="2">
        <v>991</v>
      </c>
      <c r="B982" s="2">
        <v>98</v>
      </c>
      <c r="C982" s="2">
        <v>129</v>
      </c>
      <c r="D982" s="2" t="s">
        <v>548</v>
      </c>
      <c r="E982" s="2" t="str">
        <f t="shared" si="4"/>
        <v>1229AL03PT</v>
      </c>
      <c r="F982" s="2">
        <f>VLOOKUP(B982,Course!$A$2:$R$329,2,FALSE)</f>
        <v>0</v>
      </c>
      <c r="G982" s="2">
        <f>VLOOKUP(B982, Course!$A$2:$L$950, 8, FALSE)</f>
        <v>12</v>
      </c>
      <c r="H982" s="2">
        <v>3</v>
      </c>
      <c r="I982" s="2">
        <v>1</v>
      </c>
      <c r="K982" s="2" t="s">
        <v>1915</v>
      </c>
      <c r="L982" s="2" t="str">
        <f>VLOOKUP(B982, Course!$A$1:$O$933, 14, FALSE)</f>
        <v>AL</v>
      </c>
      <c r="M982" s="2">
        <v>1</v>
      </c>
    </row>
    <row r="983" spans="1:13" ht="15.75" hidden="1" customHeight="1" x14ac:dyDescent="0.2">
      <c r="A983" s="2">
        <v>992</v>
      </c>
      <c r="B983" s="2">
        <v>98</v>
      </c>
      <c r="C983" s="2">
        <v>130</v>
      </c>
      <c r="D983" s="2" t="s">
        <v>548</v>
      </c>
      <c r="E983" s="2" t="str">
        <f t="shared" si="4"/>
        <v>1230AL03PT</v>
      </c>
      <c r="F983" s="2">
        <f>VLOOKUP(B983,Course!$A$2:$R$329,2,FALSE)</f>
        <v>0</v>
      </c>
      <c r="G983" s="2">
        <f>VLOOKUP(B983, Course!$A$2:$L$950, 8, FALSE)</f>
        <v>12</v>
      </c>
      <c r="H983" s="2">
        <v>3</v>
      </c>
      <c r="I983" s="2">
        <v>1</v>
      </c>
      <c r="K983" s="2" t="s">
        <v>1915</v>
      </c>
      <c r="L983" s="2" t="str">
        <f>VLOOKUP(B983, Course!$A$1:$O$933, 14, FALSE)</f>
        <v>AL</v>
      </c>
      <c r="M983" s="2">
        <v>1</v>
      </c>
    </row>
    <row r="984" spans="1:13" ht="15.75" hidden="1" customHeight="1" x14ac:dyDescent="0.2">
      <c r="A984" s="2">
        <v>993</v>
      </c>
      <c r="B984" s="2">
        <v>98</v>
      </c>
      <c r="C984" s="2">
        <v>131</v>
      </c>
      <c r="D984" s="2" t="s">
        <v>548</v>
      </c>
      <c r="E984" s="2" t="str">
        <f t="shared" si="4"/>
        <v>1231AL03PT</v>
      </c>
      <c r="F984" s="2">
        <f>VLOOKUP(B984,Course!$A$2:$R$329,2,FALSE)</f>
        <v>0</v>
      </c>
      <c r="G984" s="2">
        <f>VLOOKUP(B984, Course!$A$2:$L$950, 8, FALSE)</f>
        <v>12</v>
      </c>
      <c r="H984" s="2">
        <v>3</v>
      </c>
      <c r="I984" s="2">
        <v>1</v>
      </c>
      <c r="K984" s="2" t="s">
        <v>1915</v>
      </c>
      <c r="L984" s="2" t="str">
        <f>VLOOKUP(B984, Course!$A$1:$O$933, 14, FALSE)</f>
        <v>AL</v>
      </c>
      <c r="M984" s="2">
        <v>1</v>
      </c>
    </row>
    <row r="985" spans="1:13" ht="15.75" hidden="1" customHeight="1" x14ac:dyDescent="0.2">
      <c r="A985" s="2">
        <v>994</v>
      </c>
      <c r="B985" s="2">
        <v>98</v>
      </c>
      <c r="C985" s="2">
        <v>132</v>
      </c>
      <c r="D985" s="2" t="s">
        <v>548</v>
      </c>
      <c r="E985" s="2" t="str">
        <f t="shared" si="4"/>
        <v>1232AL03PT</v>
      </c>
      <c r="F985" s="2">
        <f>VLOOKUP(B985,Course!$A$2:$R$329,2,FALSE)</f>
        <v>0</v>
      </c>
      <c r="G985" s="2">
        <f>VLOOKUP(B985, Course!$A$2:$L$950, 8, FALSE)</f>
        <v>12</v>
      </c>
      <c r="H985" s="2">
        <v>3</v>
      </c>
      <c r="I985" s="2">
        <v>1</v>
      </c>
      <c r="K985" s="2" t="s">
        <v>1915</v>
      </c>
      <c r="L985" s="2" t="str">
        <f>VLOOKUP(B985, Course!$A$1:$O$933, 14, FALSE)</f>
        <v>AL</v>
      </c>
      <c r="M985" s="2">
        <v>1</v>
      </c>
    </row>
    <row r="986" spans="1:13" ht="15.75" hidden="1" customHeight="1" x14ac:dyDescent="0.2">
      <c r="A986" s="2">
        <v>995</v>
      </c>
      <c r="B986" s="2">
        <v>99</v>
      </c>
      <c r="C986" s="2">
        <v>1</v>
      </c>
      <c r="D986" s="2" t="s">
        <v>617</v>
      </c>
      <c r="E986" s="2" t="str">
        <f t="shared" si="4"/>
        <v>501BL03PT</v>
      </c>
      <c r="F986" s="2">
        <f>VLOOKUP(B986,Course!$A$2:$R$329,2,FALSE)</f>
        <v>0</v>
      </c>
      <c r="G986" s="2">
        <f>VLOOKUP(B986, Course!$A$2:$L$950, 8, FALSE)</f>
        <v>5</v>
      </c>
      <c r="H986" s="2">
        <v>3</v>
      </c>
      <c r="I986" s="2">
        <v>1</v>
      </c>
      <c r="K986" s="2" t="s">
        <v>1915</v>
      </c>
      <c r="L986" s="2" t="str">
        <f>VLOOKUP(B986, Course!$A$1:$O$933, 14, FALSE)</f>
        <v>BL</v>
      </c>
      <c r="M986" s="2">
        <v>1</v>
      </c>
    </row>
    <row r="987" spans="1:13" ht="15.75" hidden="1" customHeight="1" x14ac:dyDescent="0.2">
      <c r="A987" s="2">
        <v>996</v>
      </c>
      <c r="B987" s="2">
        <v>99</v>
      </c>
      <c r="C987" s="2">
        <v>2</v>
      </c>
      <c r="D987" s="2" t="s">
        <v>617</v>
      </c>
      <c r="E987" s="2" t="str">
        <f t="shared" si="4"/>
        <v>502BL03PT</v>
      </c>
      <c r="F987" s="2">
        <f>VLOOKUP(B987,Course!$A$2:$R$329,2,FALSE)</f>
        <v>0</v>
      </c>
      <c r="G987" s="2">
        <f>VLOOKUP(B987, Course!$A$2:$L$950, 8, FALSE)</f>
        <v>5</v>
      </c>
      <c r="H987" s="2">
        <v>3</v>
      </c>
      <c r="I987" s="2">
        <v>1</v>
      </c>
      <c r="K987" s="2" t="s">
        <v>1915</v>
      </c>
      <c r="L987" s="2" t="str">
        <f>VLOOKUP(B987, Course!$A$1:$O$933, 14, FALSE)</f>
        <v>BL</v>
      </c>
      <c r="M987" s="2">
        <v>1</v>
      </c>
    </row>
    <row r="988" spans="1:13" ht="15.75" hidden="1" customHeight="1" x14ac:dyDescent="0.2">
      <c r="A988" s="2">
        <v>997</v>
      </c>
      <c r="B988" s="2">
        <v>99</v>
      </c>
      <c r="C988" s="2">
        <v>3</v>
      </c>
      <c r="D988" s="2" t="s">
        <v>617</v>
      </c>
      <c r="E988" s="2" t="str">
        <f t="shared" si="4"/>
        <v>503BL03PT</v>
      </c>
      <c r="F988" s="2">
        <f>VLOOKUP(B988,Course!$A$2:$R$329,2,FALSE)</f>
        <v>0</v>
      </c>
      <c r="G988" s="2">
        <f>VLOOKUP(B988, Course!$A$2:$L$950, 8, FALSE)</f>
        <v>5</v>
      </c>
      <c r="H988" s="2">
        <v>3</v>
      </c>
      <c r="I988" s="2">
        <v>1</v>
      </c>
      <c r="K988" s="2" t="s">
        <v>1915</v>
      </c>
      <c r="L988" s="2" t="str">
        <f>VLOOKUP(B988, Course!$A$1:$O$933, 14, FALSE)</f>
        <v>BL</v>
      </c>
      <c r="M988" s="2">
        <v>1</v>
      </c>
    </row>
    <row r="989" spans="1:13" ht="15.75" hidden="1" customHeight="1" x14ac:dyDescent="0.2">
      <c r="A989" s="2">
        <v>998</v>
      </c>
      <c r="B989" s="2">
        <v>99</v>
      </c>
      <c r="C989" s="2">
        <v>4</v>
      </c>
      <c r="D989" s="2" t="s">
        <v>617</v>
      </c>
      <c r="E989" s="2" t="str">
        <f t="shared" si="4"/>
        <v>504BL03PT</v>
      </c>
      <c r="F989" s="2">
        <f>VLOOKUP(B989,Course!$A$2:$R$329,2,FALSE)</f>
        <v>0</v>
      </c>
      <c r="G989" s="2">
        <f>VLOOKUP(B989, Course!$A$2:$L$950, 8, FALSE)</f>
        <v>5</v>
      </c>
      <c r="H989" s="2">
        <v>3</v>
      </c>
      <c r="I989" s="2">
        <v>1</v>
      </c>
      <c r="K989" s="2" t="s">
        <v>1915</v>
      </c>
      <c r="L989" s="2" t="str">
        <f>VLOOKUP(B989, Course!$A$1:$O$933, 14, FALSE)</f>
        <v>BL</v>
      </c>
      <c r="M989" s="2">
        <v>1</v>
      </c>
    </row>
    <row r="990" spans="1:13" ht="15.75" hidden="1" customHeight="1" x14ac:dyDescent="0.2">
      <c r="A990" s="2">
        <v>999</v>
      </c>
      <c r="B990" s="2">
        <v>99</v>
      </c>
      <c r="C990" s="2">
        <v>5</v>
      </c>
      <c r="D990" s="2" t="s">
        <v>617</v>
      </c>
      <c r="E990" s="2" t="str">
        <f t="shared" si="4"/>
        <v>505BL03PT</v>
      </c>
      <c r="F990" s="2">
        <f>VLOOKUP(B990,Course!$A$2:$R$329,2,FALSE)</f>
        <v>0</v>
      </c>
      <c r="G990" s="2">
        <f>VLOOKUP(B990, Course!$A$2:$L$950, 8, FALSE)</f>
        <v>5</v>
      </c>
      <c r="H990" s="2">
        <v>3</v>
      </c>
      <c r="I990" s="2">
        <v>1</v>
      </c>
      <c r="K990" s="2" t="s">
        <v>1915</v>
      </c>
      <c r="L990" s="2" t="str">
        <f>VLOOKUP(B990, Course!$A$1:$O$933, 14, FALSE)</f>
        <v>BL</v>
      </c>
      <c r="M990" s="2">
        <v>1</v>
      </c>
    </row>
    <row r="991" spans="1:13" ht="15.75" hidden="1" customHeight="1" x14ac:dyDescent="0.2">
      <c r="A991" s="2">
        <v>1000</v>
      </c>
      <c r="B991" s="2">
        <v>101</v>
      </c>
      <c r="C991" s="2">
        <v>121</v>
      </c>
      <c r="D991" s="2" t="s">
        <v>476</v>
      </c>
      <c r="E991" s="2" t="str">
        <f t="shared" si="4"/>
        <v>1221EN03PT</v>
      </c>
      <c r="F991" s="2">
        <f>VLOOKUP(B991,Course!$A$2:$R$329,2,FALSE)</f>
        <v>0</v>
      </c>
      <c r="G991" s="2">
        <f>VLOOKUP(B991, Course!$A$2:$L$950, 8, FALSE)</f>
        <v>12</v>
      </c>
      <c r="H991" s="2">
        <v>3</v>
      </c>
      <c r="I991" s="2">
        <v>1</v>
      </c>
      <c r="K991" s="2" t="s">
        <v>1915</v>
      </c>
      <c r="L991" s="2" t="str">
        <f>VLOOKUP(B991, Course!$A$1:$O$933, 14, FALSE)</f>
        <v>EN</v>
      </c>
      <c r="M991" s="2">
        <v>1</v>
      </c>
    </row>
    <row r="992" spans="1:13" ht="15.75" hidden="1" customHeight="1" x14ac:dyDescent="0.2">
      <c r="A992" s="2">
        <v>1001</v>
      </c>
      <c r="B992" s="2">
        <v>101</v>
      </c>
      <c r="C992" s="2">
        <v>122</v>
      </c>
      <c r="D992" s="2" t="s">
        <v>476</v>
      </c>
      <c r="E992" s="2" t="str">
        <f t="shared" si="4"/>
        <v>1222EN03PT</v>
      </c>
      <c r="F992" s="2">
        <f>VLOOKUP(B992,Course!$A$2:$R$329,2,FALSE)</f>
        <v>0</v>
      </c>
      <c r="G992" s="2">
        <f>VLOOKUP(B992, Course!$A$2:$L$950, 8, FALSE)</f>
        <v>12</v>
      </c>
      <c r="H992" s="2">
        <v>3</v>
      </c>
      <c r="I992" s="2">
        <v>1</v>
      </c>
      <c r="K992" s="2" t="s">
        <v>1915</v>
      </c>
      <c r="L992" s="2" t="str">
        <f>VLOOKUP(B992, Course!$A$1:$O$933, 14, FALSE)</f>
        <v>EN</v>
      </c>
      <c r="M992" s="2">
        <v>1</v>
      </c>
    </row>
    <row r="993" spans="1:13" ht="15.75" hidden="1" customHeight="1" x14ac:dyDescent="0.2">
      <c r="A993" s="2">
        <v>1002</v>
      </c>
      <c r="B993" s="2">
        <v>101</v>
      </c>
      <c r="C993" s="2">
        <v>123</v>
      </c>
      <c r="D993" s="2" t="s">
        <v>476</v>
      </c>
      <c r="E993" s="2" t="str">
        <f t="shared" si="4"/>
        <v>1223EN03PT</v>
      </c>
      <c r="F993" s="2">
        <f>VLOOKUP(B993,Course!$A$2:$R$329,2,FALSE)</f>
        <v>0</v>
      </c>
      <c r="G993" s="2">
        <f>VLOOKUP(B993, Course!$A$2:$L$950, 8, FALSE)</f>
        <v>12</v>
      </c>
      <c r="H993" s="2">
        <v>3</v>
      </c>
      <c r="I993" s="2">
        <v>1</v>
      </c>
      <c r="K993" s="2" t="s">
        <v>1915</v>
      </c>
      <c r="L993" s="2" t="str">
        <f>VLOOKUP(B993, Course!$A$1:$O$933, 14, FALSE)</f>
        <v>EN</v>
      </c>
      <c r="M993" s="2">
        <v>1</v>
      </c>
    </row>
    <row r="994" spans="1:13" ht="15.75" hidden="1" customHeight="1" x14ac:dyDescent="0.2">
      <c r="A994" s="2">
        <v>1003</v>
      </c>
      <c r="B994" s="2">
        <v>101</v>
      </c>
      <c r="C994" s="2">
        <v>124</v>
      </c>
      <c r="D994" s="2" t="s">
        <v>476</v>
      </c>
      <c r="E994" s="2" t="str">
        <f t="shared" si="4"/>
        <v>1224EN03PT</v>
      </c>
      <c r="F994" s="2">
        <f>VLOOKUP(B994,Course!$A$2:$R$329,2,FALSE)</f>
        <v>0</v>
      </c>
      <c r="G994" s="2">
        <f>VLOOKUP(B994, Course!$A$2:$L$950, 8, FALSE)</f>
        <v>12</v>
      </c>
      <c r="H994" s="2">
        <v>3</v>
      </c>
      <c r="I994" s="2">
        <v>1</v>
      </c>
      <c r="K994" s="2" t="s">
        <v>1915</v>
      </c>
      <c r="L994" s="2" t="str">
        <f>VLOOKUP(B994, Course!$A$1:$O$933, 14, FALSE)</f>
        <v>EN</v>
      </c>
      <c r="M994" s="2">
        <v>1</v>
      </c>
    </row>
    <row r="995" spans="1:13" ht="15.75" hidden="1" customHeight="1" x14ac:dyDescent="0.2">
      <c r="A995" s="2">
        <v>1004</v>
      </c>
      <c r="B995" s="2">
        <v>101</v>
      </c>
      <c r="C995" s="2">
        <v>125</v>
      </c>
      <c r="D995" s="2" t="s">
        <v>476</v>
      </c>
      <c r="E995" s="2" t="str">
        <f t="shared" si="4"/>
        <v>1225EN03PT</v>
      </c>
      <c r="F995" s="2">
        <f>VLOOKUP(B995,Course!$A$2:$R$329,2,FALSE)</f>
        <v>0</v>
      </c>
      <c r="G995" s="2">
        <f>VLOOKUP(B995, Course!$A$2:$L$950, 8, FALSE)</f>
        <v>12</v>
      </c>
      <c r="H995" s="2">
        <v>3</v>
      </c>
      <c r="I995" s="2">
        <v>1</v>
      </c>
      <c r="K995" s="2" t="s">
        <v>1915</v>
      </c>
      <c r="L995" s="2" t="str">
        <f>VLOOKUP(B995, Course!$A$1:$O$933, 14, FALSE)</f>
        <v>EN</v>
      </c>
      <c r="M995" s="2">
        <v>1</v>
      </c>
    </row>
    <row r="996" spans="1:13" ht="15.75" hidden="1" customHeight="1" x14ac:dyDescent="0.2">
      <c r="A996" s="2">
        <v>1005</v>
      </c>
      <c r="B996" s="2">
        <v>101</v>
      </c>
      <c r="C996" s="2">
        <v>126</v>
      </c>
      <c r="D996" s="2" t="s">
        <v>476</v>
      </c>
      <c r="E996" s="2" t="str">
        <f t="shared" si="4"/>
        <v>1226EN03PT</v>
      </c>
      <c r="F996" s="2">
        <f>VLOOKUP(B996,Course!$A$2:$R$329,2,FALSE)</f>
        <v>0</v>
      </c>
      <c r="G996" s="2">
        <f>VLOOKUP(B996, Course!$A$2:$L$950, 8, FALSE)</f>
        <v>12</v>
      </c>
      <c r="H996" s="2">
        <v>3</v>
      </c>
      <c r="I996" s="2">
        <v>1</v>
      </c>
      <c r="K996" s="2" t="s">
        <v>1915</v>
      </c>
      <c r="L996" s="2" t="str">
        <f>VLOOKUP(B996, Course!$A$1:$O$933, 14, FALSE)</f>
        <v>EN</v>
      </c>
      <c r="M996" s="2">
        <v>1</v>
      </c>
    </row>
    <row r="997" spans="1:13" ht="15.75" hidden="1" customHeight="1" x14ac:dyDescent="0.2">
      <c r="A997" s="2">
        <v>1006</v>
      </c>
      <c r="B997" s="2">
        <v>101</v>
      </c>
      <c r="C997" s="2">
        <v>127</v>
      </c>
      <c r="D997" s="2" t="s">
        <v>476</v>
      </c>
      <c r="E997" s="2" t="str">
        <f t="shared" si="4"/>
        <v>1227EN03PT</v>
      </c>
      <c r="F997" s="2">
        <f>VLOOKUP(B997,Course!$A$2:$R$329,2,FALSE)</f>
        <v>0</v>
      </c>
      <c r="G997" s="2">
        <f>VLOOKUP(B997, Course!$A$2:$L$950, 8, FALSE)</f>
        <v>12</v>
      </c>
      <c r="H997" s="2">
        <v>3</v>
      </c>
      <c r="I997" s="2">
        <v>1</v>
      </c>
      <c r="K997" s="2" t="s">
        <v>1915</v>
      </c>
      <c r="L997" s="2" t="str">
        <f>VLOOKUP(B997, Course!$A$1:$O$933, 14, FALSE)</f>
        <v>EN</v>
      </c>
      <c r="M997" s="2">
        <v>1</v>
      </c>
    </row>
    <row r="998" spans="1:13" ht="15.75" hidden="1" customHeight="1" x14ac:dyDescent="0.2">
      <c r="A998" s="2">
        <v>1007</v>
      </c>
      <c r="B998" s="2">
        <v>101</v>
      </c>
      <c r="C998" s="2">
        <v>128</v>
      </c>
      <c r="D998" s="2" t="s">
        <v>476</v>
      </c>
      <c r="E998" s="2" t="str">
        <f t="shared" si="4"/>
        <v>1228EN03PT</v>
      </c>
      <c r="F998" s="2">
        <f>VLOOKUP(B998,Course!$A$2:$R$329,2,FALSE)</f>
        <v>0</v>
      </c>
      <c r="G998" s="2">
        <f>VLOOKUP(B998, Course!$A$2:$L$950, 8, FALSE)</f>
        <v>12</v>
      </c>
      <c r="H998" s="2">
        <v>3</v>
      </c>
      <c r="I998" s="2">
        <v>1</v>
      </c>
      <c r="K998" s="2" t="s">
        <v>1915</v>
      </c>
      <c r="L998" s="2" t="str">
        <f>VLOOKUP(B998, Course!$A$1:$O$933, 14, FALSE)</f>
        <v>EN</v>
      </c>
      <c r="M998" s="2">
        <v>1</v>
      </c>
    </row>
    <row r="999" spans="1:13" ht="15.75" hidden="1" customHeight="1" x14ac:dyDescent="0.2">
      <c r="A999" s="2">
        <v>1008</v>
      </c>
      <c r="B999" s="2">
        <v>101</v>
      </c>
      <c r="C999" s="2">
        <v>129</v>
      </c>
      <c r="D999" s="2" t="s">
        <v>476</v>
      </c>
      <c r="E999" s="2" t="str">
        <f t="shared" si="4"/>
        <v>1229EN03PT</v>
      </c>
      <c r="F999" s="2">
        <f>VLOOKUP(B999,Course!$A$2:$R$329,2,FALSE)</f>
        <v>0</v>
      </c>
      <c r="G999" s="2">
        <f>VLOOKUP(B999, Course!$A$2:$L$950, 8, FALSE)</f>
        <v>12</v>
      </c>
      <c r="H999" s="2">
        <v>3</v>
      </c>
      <c r="I999" s="2">
        <v>1</v>
      </c>
      <c r="K999" s="2" t="s">
        <v>1915</v>
      </c>
      <c r="L999" s="2" t="str">
        <f>VLOOKUP(B999, Course!$A$1:$O$933, 14, FALSE)</f>
        <v>EN</v>
      </c>
      <c r="M999" s="2">
        <v>1</v>
      </c>
    </row>
    <row r="1000" spans="1:13" ht="15.75" hidden="1" customHeight="1" x14ac:dyDescent="0.2">
      <c r="A1000" s="2">
        <v>1009</v>
      </c>
      <c r="B1000" s="2">
        <v>101</v>
      </c>
      <c r="C1000" s="2">
        <v>130</v>
      </c>
      <c r="D1000" s="2" t="s">
        <v>476</v>
      </c>
      <c r="E1000" s="2" t="str">
        <f t="shared" si="4"/>
        <v>1230EN03PT</v>
      </c>
      <c r="F1000" s="2">
        <f>VLOOKUP(B1000,Course!$A$2:$R$329,2,FALSE)</f>
        <v>0</v>
      </c>
      <c r="G1000" s="2">
        <f>VLOOKUP(B1000, Course!$A$2:$L$950, 8, FALSE)</f>
        <v>12</v>
      </c>
      <c r="H1000" s="2">
        <v>3</v>
      </c>
      <c r="I1000" s="2">
        <v>1</v>
      </c>
      <c r="K1000" s="2" t="s">
        <v>1915</v>
      </c>
      <c r="L1000" s="2" t="str">
        <f>VLOOKUP(B1000, Course!$A$1:$O$933, 14, FALSE)</f>
        <v>EN</v>
      </c>
      <c r="M1000" s="2">
        <v>1</v>
      </c>
    </row>
    <row r="1001" spans="1:13" ht="15.75" hidden="1" customHeight="1" x14ac:dyDescent="0.2">
      <c r="A1001" s="2">
        <v>1010</v>
      </c>
      <c r="B1001" s="2">
        <v>101</v>
      </c>
      <c r="C1001" s="2">
        <v>131</v>
      </c>
      <c r="D1001" s="2" t="s">
        <v>476</v>
      </c>
      <c r="E1001" s="2" t="str">
        <f t="shared" si="4"/>
        <v>1231EN03PT</v>
      </c>
      <c r="F1001" s="2">
        <f>VLOOKUP(B1001,Course!$A$2:$R$329,2,FALSE)</f>
        <v>0</v>
      </c>
      <c r="G1001" s="2">
        <f>VLOOKUP(B1001, Course!$A$2:$L$950, 8, FALSE)</f>
        <v>12</v>
      </c>
      <c r="H1001" s="2">
        <v>3</v>
      </c>
      <c r="I1001" s="2">
        <v>1</v>
      </c>
      <c r="K1001" s="2" t="s">
        <v>1915</v>
      </c>
      <c r="L1001" s="2" t="str">
        <f>VLOOKUP(B1001, Course!$A$1:$O$933, 14, FALSE)</f>
        <v>EN</v>
      </c>
      <c r="M1001" s="2">
        <v>1</v>
      </c>
    </row>
    <row r="1002" spans="1:13" ht="15.75" hidden="1" customHeight="1" x14ac:dyDescent="0.2">
      <c r="A1002" s="2">
        <v>1011</v>
      </c>
      <c r="B1002" s="2">
        <v>101</v>
      </c>
      <c r="C1002" s="2">
        <v>132</v>
      </c>
      <c r="D1002" s="2" t="s">
        <v>476</v>
      </c>
      <c r="E1002" s="2" t="str">
        <f t="shared" si="4"/>
        <v>1232EN03PT</v>
      </c>
      <c r="F1002" s="2">
        <f>VLOOKUP(B1002,Course!$A$2:$R$329,2,FALSE)</f>
        <v>0</v>
      </c>
      <c r="G1002" s="2">
        <f>VLOOKUP(B1002, Course!$A$2:$L$950, 8, FALSE)</f>
        <v>12</v>
      </c>
      <c r="H1002" s="2">
        <v>3</v>
      </c>
      <c r="I1002" s="2">
        <v>1</v>
      </c>
      <c r="K1002" s="2" t="s">
        <v>1915</v>
      </c>
      <c r="L1002" s="2" t="str">
        <f>VLOOKUP(B1002, Course!$A$1:$O$933, 14, FALSE)</f>
        <v>EN</v>
      </c>
      <c r="M1002" s="2">
        <v>1</v>
      </c>
    </row>
    <row r="1003" spans="1:13" ht="15.75" hidden="1" customHeight="1" x14ac:dyDescent="0.2">
      <c r="A1003" s="2">
        <v>1012</v>
      </c>
      <c r="B1003" s="2">
        <v>102</v>
      </c>
      <c r="C1003" s="2">
        <v>1</v>
      </c>
      <c r="D1003" s="2" t="s">
        <v>622</v>
      </c>
      <c r="E1003" s="2" t="str">
        <f t="shared" si="4"/>
        <v>301I103PT</v>
      </c>
      <c r="F1003" s="2">
        <f>VLOOKUP(B1003,Course!$A$2:$R$329,2,FALSE)</f>
        <v>0</v>
      </c>
      <c r="G1003" s="2">
        <f>VLOOKUP(B1003, Course!$A$2:$L$950, 8, FALSE)</f>
        <v>3</v>
      </c>
      <c r="H1003" s="2">
        <v>3</v>
      </c>
      <c r="I1003" s="2">
        <v>1</v>
      </c>
      <c r="K1003" s="2" t="s">
        <v>1915</v>
      </c>
      <c r="L1003" s="2" t="str">
        <f>VLOOKUP(B1003, Course!$A$1:$O$933, 14, FALSE)</f>
        <v>I1</v>
      </c>
      <c r="M1003" s="2">
        <v>1</v>
      </c>
    </row>
    <row r="1004" spans="1:13" ht="15.75" hidden="1" customHeight="1" x14ac:dyDescent="0.2">
      <c r="A1004" s="2">
        <v>1013</v>
      </c>
      <c r="B1004" s="2">
        <v>102</v>
      </c>
      <c r="C1004" s="2">
        <v>2</v>
      </c>
      <c r="D1004" s="2" t="s">
        <v>622</v>
      </c>
      <c r="E1004" s="2" t="str">
        <f t="shared" si="4"/>
        <v>302I103PT</v>
      </c>
      <c r="F1004" s="2">
        <f>VLOOKUP(B1004,Course!$A$2:$R$329,2,FALSE)</f>
        <v>0</v>
      </c>
      <c r="G1004" s="2">
        <f>VLOOKUP(B1004, Course!$A$2:$L$950, 8, FALSE)</f>
        <v>3</v>
      </c>
      <c r="H1004" s="2">
        <v>3</v>
      </c>
      <c r="I1004" s="2">
        <v>1</v>
      </c>
      <c r="K1004" s="2" t="s">
        <v>1915</v>
      </c>
      <c r="L1004" s="2" t="str">
        <f>VLOOKUP(B1004, Course!$A$1:$O$933, 14, FALSE)</f>
        <v>I1</v>
      </c>
      <c r="M1004" s="2">
        <v>1</v>
      </c>
    </row>
    <row r="1005" spans="1:13" ht="15.75" hidden="1" customHeight="1" x14ac:dyDescent="0.2">
      <c r="A1005" s="2">
        <v>1014</v>
      </c>
      <c r="B1005" s="2">
        <v>102</v>
      </c>
      <c r="C1005" s="2">
        <v>3</v>
      </c>
      <c r="D1005" s="2" t="s">
        <v>622</v>
      </c>
      <c r="E1005" s="2" t="str">
        <f t="shared" si="4"/>
        <v>303I103PT</v>
      </c>
      <c r="F1005" s="2">
        <f>VLOOKUP(B1005,Course!$A$2:$R$329,2,FALSE)</f>
        <v>0</v>
      </c>
      <c r="G1005" s="2">
        <f>VLOOKUP(B1005, Course!$A$2:$L$950, 8, FALSE)</f>
        <v>3</v>
      </c>
      <c r="H1005" s="2">
        <v>3</v>
      </c>
      <c r="I1005" s="2">
        <v>1</v>
      </c>
      <c r="K1005" s="2" t="s">
        <v>1915</v>
      </c>
      <c r="L1005" s="2" t="str">
        <f>VLOOKUP(B1005, Course!$A$1:$O$933, 14, FALSE)</f>
        <v>I1</v>
      </c>
      <c r="M1005" s="2">
        <v>1</v>
      </c>
    </row>
    <row r="1006" spans="1:13" ht="15.75" hidden="1" customHeight="1" x14ac:dyDescent="0.2">
      <c r="A1006" s="2">
        <v>1015</v>
      </c>
      <c r="B1006" s="2">
        <v>103</v>
      </c>
      <c r="C1006" s="2">
        <v>1</v>
      </c>
      <c r="D1006" s="2" t="s">
        <v>622</v>
      </c>
      <c r="E1006" s="2" t="str">
        <f t="shared" si="4"/>
        <v>601I103PT</v>
      </c>
      <c r="F1006" s="2">
        <f>VLOOKUP(B1006,Course!$A$2:$R$329,2,FALSE)</f>
        <v>0</v>
      </c>
      <c r="G1006" s="2">
        <f>VLOOKUP(B1006, Course!$A$2:$L$950, 8, FALSE)</f>
        <v>6</v>
      </c>
      <c r="H1006" s="2">
        <v>3</v>
      </c>
      <c r="I1006" s="2">
        <v>1</v>
      </c>
      <c r="K1006" s="2" t="s">
        <v>1915</v>
      </c>
      <c r="L1006" s="2" t="str">
        <f>VLOOKUP(B1006, Course!$A$1:$O$933, 14, FALSE)</f>
        <v>I1</v>
      </c>
      <c r="M1006" s="2">
        <v>1</v>
      </c>
    </row>
    <row r="1007" spans="1:13" ht="15.75" hidden="1" customHeight="1" x14ac:dyDescent="0.2">
      <c r="A1007" s="2">
        <v>1016</v>
      </c>
      <c r="B1007" s="2">
        <v>103</v>
      </c>
      <c r="C1007" s="2">
        <v>2</v>
      </c>
      <c r="D1007" s="2" t="s">
        <v>622</v>
      </c>
      <c r="E1007" s="2" t="str">
        <f t="shared" si="4"/>
        <v>602I103PT</v>
      </c>
      <c r="F1007" s="2">
        <f>VLOOKUP(B1007,Course!$A$2:$R$329,2,FALSE)</f>
        <v>0</v>
      </c>
      <c r="G1007" s="2">
        <f>VLOOKUP(B1007, Course!$A$2:$L$950, 8, FALSE)</f>
        <v>6</v>
      </c>
      <c r="H1007" s="2">
        <v>3</v>
      </c>
      <c r="I1007" s="2">
        <v>1</v>
      </c>
      <c r="K1007" s="2" t="s">
        <v>1915</v>
      </c>
      <c r="L1007" s="2" t="str">
        <f>VLOOKUP(B1007, Course!$A$1:$O$933, 14, FALSE)</f>
        <v>I1</v>
      </c>
      <c r="M1007" s="2">
        <v>1</v>
      </c>
    </row>
    <row r="1008" spans="1:13" ht="15.75" hidden="1" customHeight="1" x14ac:dyDescent="0.2">
      <c r="A1008" s="2">
        <v>1017</v>
      </c>
      <c r="B1008" s="2">
        <v>103</v>
      </c>
      <c r="C1008" s="2">
        <v>3</v>
      </c>
      <c r="D1008" s="2" t="s">
        <v>622</v>
      </c>
      <c r="E1008" s="2" t="str">
        <f t="shared" si="4"/>
        <v>603I103PT</v>
      </c>
      <c r="F1008" s="2">
        <f>VLOOKUP(B1008,Course!$A$2:$R$329,2,FALSE)</f>
        <v>0</v>
      </c>
      <c r="G1008" s="2">
        <f>VLOOKUP(B1008, Course!$A$2:$L$950, 8, FALSE)</f>
        <v>6</v>
      </c>
      <c r="H1008" s="2">
        <v>3</v>
      </c>
      <c r="I1008" s="2">
        <v>1</v>
      </c>
      <c r="K1008" s="2" t="s">
        <v>1915</v>
      </c>
      <c r="L1008" s="2" t="str">
        <f>VLOOKUP(B1008, Course!$A$1:$O$933, 14, FALSE)</f>
        <v>I1</v>
      </c>
      <c r="M1008" s="2">
        <v>1</v>
      </c>
    </row>
    <row r="1009" spans="1:13" ht="15.75" hidden="1" customHeight="1" x14ac:dyDescent="0.2">
      <c r="A1009" s="2">
        <v>1018</v>
      </c>
      <c r="B1009" s="2">
        <v>103</v>
      </c>
      <c r="C1009" s="2">
        <v>4</v>
      </c>
      <c r="D1009" s="2" t="s">
        <v>622</v>
      </c>
      <c r="E1009" s="2" t="str">
        <f t="shared" si="4"/>
        <v>604I103PT</v>
      </c>
      <c r="F1009" s="2">
        <f>VLOOKUP(B1009,Course!$A$2:$R$329,2,FALSE)</f>
        <v>0</v>
      </c>
      <c r="G1009" s="2">
        <f>VLOOKUP(B1009, Course!$A$2:$L$950, 8, FALSE)</f>
        <v>6</v>
      </c>
      <c r="H1009" s="2">
        <v>3</v>
      </c>
      <c r="I1009" s="2">
        <v>1</v>
      </c>
      <c r="K1009" s="2" t="s">
        <v>1915</v>
      </c>
      <c r="L1009" s="2" t="str">
        <f>VLOOKUP(B1009, Course!$A$1:$O$933, 14, FALSE)</f>
        <v>I1</v>
      </c>
      <c r="M1009" s="2">
        <v>1</v>
      </c>
    </row>
    <row r="1010" spans="1:13" ht="15.75" hidden="1" customHeight="1" x14ac:dyDescent="0.2">
      <c r="A1010" s="2">
        <v>1019</v>
      </c>
      <c r="B1010" s="2">
        <v>103</v>
      </c>
      <c r="C1010" s="2">
        <v>5</v>
      </c>
      <c r="D1010" s="2" t="s">
        <v>622</v>
      </c>
      <c r="E1010" s="2" t="str">
        <f t="shared" si="4"/>
        <v>605I103PT</v>
      </c>
      <c r="F1010" s="2">
        <f>VLOOKUP(B1010,Course!$A$2:$R$329,2,FALSE)</f>
        <v>0</v>
      </c>
      <c r="G1010" s="2">
        <f>VLOOKUP(B1010, Course!$A$2:$L$950, 8, FALSE)</f>
        <v>6</v>
      </c>
      <c r="H1010" s="2">
        <v>3</v>
      </c>
      <c r="I1010" s="2">
        <v>1</v>
      </c>
      <c r="K1010" s="2" t="s">
        <v>1915</v>
      </c>
      <c r="L1010" s="2" t="str">
        <f>VLOOKUP(B1010, Course!$A$1:$O$933, 14, FALSE)</f>
        <v>I1</v>
      </c>
      <c r="M1010" s="2">
        <v>1</v>
      </c>
    </row>
    <row r="1011" spans="1:13" ht="15.75" hidden="1" customHeight="1" x14ac:dyDescent="0.2">
      <c r="A1011" s="2">
        <v>1020</v>
      </c>
      <c r="B1011" s="2">
        <v>103</v>
      </c>
      <c r="C1011" s="2">
        <v>6</v>
      </c>
      <c r="D1011" s="2" t="s">
        <v>622</v>
      </c>
      <c r="E1011" s="2" t="str">
        <f t="shared" si="4"/>
        <v>606I103PT</v>
      </c>
      <c r="F1011" s="2">
        <f>VLOOKUP(B1011,Course!$A$2:$R$329,2,FALSE)</f>
        <v>0</v>
      </c>
      <c r="G1011" s="2">
        <f>VLOOKUP(B1011, Course!$A$2:$L$950, 8, FALSE)</f>
        <v>6</v>
      </c>
      <c r="H1011" s="2">
        <v>3</v>
      </c>
      <c r="I1011" s="2">
        <v>1</v>
      </c>
      <c r="K1011" s="2" t="s">
        <v>1915</v>
      </c>
      <c r="L1011" s="2" t="str">
        <f>VLOOKUP(B1011, Course!$A$1:$O$933, 14, FALSE)</f>
        <v>I1</v>
      </c>
      <c r="M1011" s="2">
        <v>1</v>
      </c>
    </row>
    <row r="1012" spans="1:13" ht="15.75" hidden="1" customHeight="1" x14ac:dyDescent="0.2">
      <c r="A1012" s="2">
        <v>1021</v>
      </c>
      <c r="B1012" s="2">
        <v>104</v>
      </c>
      <c r="C1012" s="2">
        <v>121</v>
      </c>
      <c r="D1012" s="2" t="s">
        <v>626</v>
      </c>
      <c r="E1012" s="2" t="str">
        <f t="shared" si="4"/>
        <v>1221GR03PT</v>
      </c>
      <c r="F1012" s="2">
        <f>VLOOKUP(B1012,Course!$A$2:$R$329,2,FALSE)</f>
        <v>0</v>
      </c>
      <c r="G1012" s="2">
        <f>VLOOKUP(B1012, Course!$A$2:$L$950, 8, FALSE)</f>
        <v>12</v>
      </c>
      <c r="H1012" s="2">
        <v>3</v>
      </c>
      <c r="I1012" s="2">
        <v>1</v>
      </c>
      <c r="K1012" s="2" t="s">
        <v>1915</v>
      </c>
      <c r="L1012" s="2" t="str">
        <f>VLOOKUP(B1012, Course!$A$1:$O$933, 14, FALSE)</f>
        <v>GR</v>
      </c>
      <c r="M1012" s="2">
        <v>1</v>
      </c>
    </row>
    <row r="1013" spans="1:13" ht="15.75" hidden="1" customHeight="1" x14ac:dyDescent="0.2">
      <c r="A1013" s="2">
        <v>1022</v>
      </c>
      <c r="B1013" s="2">
        <v>104</v>
      </c>
      <c r="C1013" s="2">
        <v>122</v>
      </c>
      <c r="D1013" s="2" t="s">
        <v>626</v>
      </c>
      <c r="E1013" s="2" t="str">
        <f t="shared" si="4"/>
        <v>1222GR03PT</v>
      </c>
      <c r="F1013" s="2">
        <f>VLOOKUP(B1013,Course!$A$2:$R$329,2,FALSE)</f>
        <v>0</v>
      </c>
      <c r="G1013" s="2">
        <f>VLOOKUP(B1013, Course!$A$2:$L$950, 8, FALSE)</f>
        <v>12</v>
      </c>
      <c r="H1013" s="2">
        <v>3</v>
      </c>
      <c r="I1013" s="2">
        <v>1</v>
      </c>
      <c r="K1013" s="2" t="s">
        <v>1915</v>
      </c>
      <c r="L1013" s="2" t="str">
        <f>VLOOKUP(B1013, Course!$A$1:$O$933, 14, FALSE)</f>
        <v>GR</v>
      </c>
      <c r="M1013" s="2">
        <v>1</v>
      </c>
    </row>
    <row r="1014" spans="1:13" ht="15.75" hidden="1" customHeight="1" x14ac:dyDescent="0.2">
      <c r="A1014" s="2">
        <v>1023</v>
      </c>
      <c r="B1014" s="2">
        <v>104</v>
      </c>
      <c r="C1014" s="2">
        <v>123</v>
      </c>
      <c r="D1014" s="2" t="s">
        <v>626</v>
      </c>
      <c r="E1014" s="2" t="str">
        <f t="shared" si="4"/>
        <v>1223GR03PT</v>
      </c>
      <c r="F1014" s="2">
        <f>VLOOKUP(B1014,Course!$A$2:$R$329,2,FALSE)</f>
        <v>0</v>
      </c>
      <c r="G1014" s="2">
        <f>VLOOKUP(B1014, Course!$A$2:$L$950, 8, FALSE)</f>
        <v>12</v>
      </c>
      <c r="H1014" s="2">
        <v>3</v>
      </c>
      <c r="I1014" s="2">
        <v>1</v>
      </c>
      <c r="K1014" s="2" t="s">
        <v>1915</v>
      </c>
      <c r="L1014" s="2" t="str">
        <f>VLOOKUP(B1014, Course!$A$1:$O$933, 14, FALSE)</f>
        <v>GR</v>
      </c>
      <c r="M1014" s="2">
        <v>1</v>
      </c>
    </row>
    <row r="1015" spans="1:13" ht="15.75" hidden="1" customHeight="1" x14ac:dyDescent="0.2">
      <c r="A1015" s="2">
        <v>1024</v>
      </c>
      <c r="B1015" s="2">
        <v>104</v>
      </c>
      <c r="C1015" s="2">
        <v>124</v>
      </c>
      <c r="D1015" s="2" t="s">
        <v>626</v>
      </c>
      <c r="E1015" s="2" t="str">
        <f t="shared" si="4"/>
        <v>1224GR03PT</v>
      </c>
      <c r="F1015" s="2">
        <f>VLOOKUP(B1015,Course!$A$2:$R$329,2,FALSE)</f>
        <v>0</v>
      </c>
      <c r="G1015" s="2">
        <f>VLOOKUP(B1015, Course!$A$2:$L$950, 8, FALSE)</f>
        <v>12</v>
      </c>
      <c r="H1015" s="2">
        <v>3</v>
      </c>
      <c r="I1015" s="2">
        <v>1</v>
      </c>
      <c r="K1015" s="2" t="s">
        <v>1915</v>
      </c>
      <c r="L1015" s="2" t="str">
        <f>VLOOKUP(B1015, Course!$A$1:$O$933, 14, FALSE)</f>
        <v>GR</v>
      </c>
      <c r="M1015" s="2">
        <v>1</v>
      </c>
    </row>
    <row r="1016" spans="1:13" ht="15.75" hidden="1" customHeight="1" x14ac:dyDescent="0.2">
      <c r="A1016" s="2">
        <v>1025</v>
      </c>
      <c r="B1016" s="2">
        <v>104</v>
      </c>
      <c r="C1016" s="2">
        <v>125</v>
      </c>
      <c r="D1016" s="2" t="s">
        <v>626</v>
      </c>
      <c r="E1016" s="2" t="str">
        <f t="shared" si="4"/>
        <v>1225GR03PT</v>
      </c>
      <c r="F1016" s="2">
        <f>VLOOKUP(B1016,Course!$A$2:$R$329,2,FALSE)</f>
        <v>0</v>
      </c>
      <c r="G1016" s="2">
        <f>VLOOKUP(B1016, Course!$A$2:$L$950, 8, FALSE)</f>
        <v>12</v>
      </c>
      <c r="H1016" s="2">
        <v>3</v>
      </c>
      <c r="I1016" s="2">
        <v>1</v>
      </c>
      <c r="K1016" s="2" t="s">
        <v>1915</v>
      </c>
      <c r="L1016" s="2" t="str">
        <f>VLOOKUP(B1016, Course!$A$1:$O$933, 14, FALSE)</f>
        <v>GR</v>
      </c>
      <c r="M1016" s="2">
        <v>1</v>
      </c>
    </row>
    <row r="1017" spans="1:13" ht="15.75" hidden="1" customHeight="1" x14ac:dyDescent="0.2">
      <c r="A1017" s="2">
        <v>1026</v>
      </c>
      <c r="B1017" s="2">
        <v>104</v>
      </c>
      <c r="C1017" s="2">
        <v>126</v>
      </c>
      <c r="D1017" s="2" t="s">
        <v>626</v>
      </c>
      <c r="E1017" s="2" t="str">
        <f t="shared" si="4"/>
        <v>1226GR03PT</v>
      </c>
      <c r="F1017" s="2">
        <f>VLOOKUP(B1017,Course!$A$2:$R$329,2,FALSE)</f>
        <v>0</v>
      </c>
      <c r="G1017" s="2">
        <f>VLOOKUP(B1017, Course!$A$2:$L$950, 8, FALSE)</f>
        <v>12</v>
      </c>
      <c r="H1017" s="2">
        <v>3</v>
      </c>
      <c r="I1017" s="2">
        <v>1</v>
      </c>
      <c r="K1017" s="2" t="s">
        <v>1915</v>
      </c>
      <c r="L1017" s="2" t="str">
        <f>VLOOKUP(B1017, Course!$A$1:$O$933, 14, FALSE)</f>
        <v>GR</v>
      </c>
      <c r="M1017" s="2">
        <v>1</v>
      </c>
    </row>
    <row r="1018" spans="1:13" ht="15.75" hidden="1" customHeight="1" x14ac:dyDescent="0.2">
      <c r="A1018" s="2">
        <v>1027</v>
      </c>
      <c r="B1018" s="2">
        <v>104</v>
      </c>
      <c r="C1018" s="2">
        <v>127</v>
      </c>
      <c r="D1018" s="2" t="s">
        <v>626</v>
      </c>
      <c r="E1018" s="2" t="str">
        <f t="shared" si="4"/>
        <v>1227GR03PT</v>
      </c>
      <c r="F1018" s="2">
        <f>VLOOKUP(B1018,Course!$A$2:$R$329,2,FALSE)</f>
        <v>0</v>
      </c>
      <c r="G1018" s="2">
        <f>VLOOKUP(B1018, Course!$A$2:$L$950, 8, FALSE)</f>
        <v>12</v>
      </c>
      <c r="H1018" s="2">
        <v>3</v>
      </c>
      <c r="I1018" s="2">
        <v>1</v>
      </c>
      <c r="K1018" s="2" t="s">
        <v>1915</v>
      </c>
      <c r="L1018" s="2" t="str">
        <f>VLOOKUP(B1018, Course!$A$1:$O$933, 14, FALSE)</f>
        <v>GR</v>
      </c>
      <c r="M1018" s="2">
        <v>1</v>
      </c>
    </row>
    <row r="1019" spans="1:13" ht="15.75" hidden="1" customHeight="1" x14ac:dyDescent="0.2">
      <c r="A1019" s="2">
        <v>1028</v>
      </c>
      <c r="B1019" s="2">
        <v>104</v>
      </c>
      <c r="C1019" s="2">
        <v>128</v>
      </c>
      <c r="D1019" s="2" t="s">
        <v>626</v>
      </c>
      <c r="E1019" s="2" t="str">
        <f t="shared" si="4"/>
        <v>1228GR03PT</v>
      </c>
      <c r="F1019" s="2">
        <f>VLOOKUP(B1019,Course!$A$2:$R$329,2,FALSE)</f>
        <v>0</v>
      </c>
      <c r="G1019" s="2">
        <f>VLOOKUP(B1019, Course!$A$2:$L$950, 8, FALSE)</f>
        <v>12</v>
      </c>
      <c r="H1019" s="2">
        <v>3</v>
      </c>
      <c r="I1019" s="2">
        <v>1</v>
      </c>
      <c r="K1019" s="2" t="s">
        <v>1915</v>
      </c>
      <c r="L1019" s="2" t="str">
        <f>VLOOKUP(B1019, Course!$A$1:$O$933, 14, FALSE)</f>
        <v>GR</v>
      </c>
      <c r="M1019" s="2">
        <v>1</v>
      </c>
    </row>
    <row r="1020" spans="1:13" ht="15.75" hidden="1" customHeight="1" x14ac:dyDescent="0.2">
      <c r="A1020" s="2">
        <v>1029</v>
      </c>
      <c r="B1020" s="2">
        <v>104</v>
      </c>
      <c r="C1020" s="2">
        <v>129</v>
      </c>
      <c r="D1020" s="2" t="s">
        <v>626</v>
      </c>
      <c r="E1020" s="2" t="str">
        <f t="shared" si="4"/>
        <v>1229GR03PT</v>
      </c>
      <c r="F1020" s="2">
        <f>VLOOKUP(B1020,Course!$A$2:$R$329,2,FALSE)</f>
        <v>0</v>
      </c>
      <c r="G1020" s="2">
        <f>VLOOKUP(B1020, Course!$A$2:$L$950, 8, FALSE)</f>
        <v>12</v>
      </c>
      <c r="H1020" s="2">
        <v>3</v>
      </c>
      <c r="I1020" s="2">
        <v>1</v>
      </c>
      <c r="K1020" s="2" t="s">
        <v>1915</v>
      </c>
      <c r="L1020" s="2" t="str">
        <f>VLOOKUP(B1020, Course!$A$1:$O$933, 14, FALSE)</f>
        <v>GR</v>
      </c>
      <c r="M1020" s="2">
        <v>1</v>
      </c>
    </row>
    <row r="1021" spans="1:13" ht="15.75" hidden="1" customHeight="1" x14ac:dyDescent="0.2">
      <c r="A1021" s="2">
        <v>1030</v>
      </c>
      <c r="B1021" s="2">
        <v>104</v>
      </c>
      <c r="C1021" s="2">
        <v>130</v>
      </c>
      <c r="D1021" s="2" t="s">
        <v>626</v>
      </c>
      <c r="E1021" s="2" t="str">
        <f t="shared" si="4"/>
        <v>1230GR03PT</v>
      </c>
      <c r="F1021" s="2">
        <f>VLOOKUP(B1021,Course!$A$2:$R$329,2,FALSE)</f>
        <v>0</v>
      </c>
      <c r="G1021" s="2">
        <f>VLOOKUP(B1021, Course!$A$2:$L$950, 8, FALSE)</f>
        <v>12</v>
      </c>
      <c r="H1021" s="2">
        <v>3</v>
      </c>
      <c r="I1021" s="2">
        <v>1</v>
      </c>
      <c r="K1021" s="2" t="s">
        <v>1915</v>
      </c>
      <c r="L1021" s="2" t="str">
        <f>VLOOKUP(B1021, Course!$A$1:$O$933, 14, FALSE)</f>
        <v>GR</v>
      </c>
      <c r="M1021" s="2">
        <v>1</v>
      </c>
    </row>
    <row r="1022" spans="1:13" ht="15.75" hidden="1" customHeight="1" x14ac:dyDescent="0.2">
      <c r="A1022" s="2">
        <v>1031</v>
      </c>
      <c r="B1022" s="2">
        <v>104</v>
      </c>
      <c r="C1022" s="2">
        <v>131</v>
      </c>
      <c r="D1022" s="2" t="s">
        <v>626</v>
      </c>
      <c r="E1022" s="2" t="str">
        <f t="shared" si="4"/>
        <v>1231GR03PT</v>
      </c>
      <c r="F1022" s="2">
        <f>VLOOKUP(B1022,Course!$A$2:$R$329,2,FALSE)</f>
        <v>0</v>
      </c>
      <c r="G1022" s="2">
        <f>VLOOKUP(B1022, Course!$A$2:$L$950, 8, FALSE)</f>
        <v>12</v>
      </c>
      <c r="H1022" s="2">
        <v>3</v>
      </c>
      <c r="I1022" s="2">
        <v>1</v>
      </c>
      <c r="K1022" s="2" t="s">
        <v>1915</v>
      </c>
      <c r="L1022" s="2" t="str">
        <f>VLOOKUP(B1022, Course!$A$1:$O$933, 14, FALSE)</f>
        <v>GR</v>
      </c>
      <c r="M1022" s="2">
        <v>1</v>
      </c>
    </row>
    <row r="1023" spans="1:13" ht="15.75" hidden="1" customHeight="1" x14ac:dyDescent="0.2">
      <c r="A1023" s="2">
        <v>1032</v>
      </c>
      <c r="B1023" s="2">
        <v>104</v>
      </c>
      <c r="C1023" s="2">
        <v>132</v>
      </c>
      <c r="D1023" s="2" t="s">
        <v>626</v>
      </c>
      <c r="E1023" s="2" t="str">
        <f t="shared" si="4"/>
        <v>1232GR03PT</v>
      </c>
      <c r="F1023" s="2">
        <f>VLOOKUP(B1023,Course!$A$2:$R$329,2,FALSE)</f>
        <v>0</v>
      </c>
      <c r="G1023" s="2">
        <f>VLOOKUP(B1023, Course!$A$2:$L$950, 8, FALSE)</f>
        <v>12</v>
      </c>
      <c r="H1023" s="2">
        <v>3</v>
      </c>
      <c r="I1023" s="2">
        <v>1</v>
      </c>
      <c r="K1023" s="2" t="s">
        <v>1915</v>
      </c>
      <c r="L1023" s="2" t="str">
        <f>VLOOKUP(B1023, Course!$A$1:$O$933, 14, FALSE)</f>
        <v>GR</v>
      </c>
      <c r="M1023" s="2">
        <v>1</v>
      </c>
    </row>
    <row r="1024" spans="1:13" ht="15.75" hidden="1" customHeight="1" x14ac:dyDescent="0.2">
      <c r="A1024" s="2">
        <v>1033</v>
      </c>
      <c r="B1024" s="2">
        <v>105</v>
      </c>
      <c r="C1024" s="2">
        <v>121</v>
      </c>
      <c r="D1024" s="2" t="s">
        <v>628</v>
      </c>
      <c r="E1024" s="2" t="str">
        <f t="shared" si="4"/>
        <v>1221CH03PT</v>
      </c>
      <c r="F1024" s="2" t="str">
        <f>VLOOKUP(B1024,Course!$A$2:$R$329,2,FALSE)</f>
        <v>Science 11</v>
      </c>
      <c r="G1024" s="2">
        <f>VLOOKUP(B1024, Course!$A$2:$L$950, 8, FALSE)</f>
        <v>12</v>
      </c>
      <c r="H1024" s="2">
        <v>3</v>
      </c>
      <c r="I1024" s="2">
        <v>1</v>
      </c>
      <c r="K1024" s="2" t="s">
        <v>1915</v>
      </c>
      <c r="L1024" s="2" t="str">
        <f>VLOOKUP(B1024, Course!$A$1:$O$933, 14, FALSE)</f>
        <v>CH</v>
      </c>
      <c r="M1024" s="2">
        <v>1</v>
      </c>
    </row>
    <row r="1025" spans="1:13" ht="15.75" hidden="1" customHeight="1" x14ac:dyDescent="0.2">
      <c r="A1025" s="2">
        <v>1034</v>
      </c>
      <c r="B1025" s="2">
        <v>105</v>
      </c>
      <c r="C1025" s="2">
        <v>122</v>
      </c>
      <c r="D1025" s="2" t="s">
        <v>628</v>
      </c>
      <c r="E1025" s="2" t="str">
        <f t="shared" si="4"/>
        <v>1222CH03PT</v>
      </c>
      <c r="F1025" s="2" t="str">
        <f>VLOOKUP(B1025,Course!$A$2:$R$329,2,FALSE)</f>
        <v>Science 11</v>
      </c>
      <c r="G1025" s="2">
        <f>VLOOKUP(B1025, Course!$A$2:$L$950, 8, FALSE)</f>
        <v>12</v>
      </c>
      <c r="H1025" s="2">
        <v>3</v>
      </c>
      <c r="I1025" s="2">
        <v>1</v>
      </c>
      <c r="K1025" s="2" t="s">
        <v>1915</v>
      </c>
      <c r="L1025" s="2" t="str">
        <f>VLOOKUP(B1025, Course!$A$1:$O$933, 14, FALSE)</f>
        <v>CH</v>
      </c>
      <c r="M1025" s="2">
        <v>1</v>
      </c>
    </row>
    <row r="1026" spans="1:13" ht="15.75" hidden="1" customHeight="1" x14ac:dyDescent="0.2">
      <c r="A1026" s="2">
        <v>1035</v>
      </c>
      <c r="B1026" s="2">
        <v>105</v>
      </c>
      <c r="C1026" s="2">
        <v>123</v>
      </c>
      <c r="D1026" s="2" t="s">
        <v>628</v>
      </c>
      <c r="E1026" s="2" t="str">
        <f t="shared" si="4"/>
        <v>1223CH03PT</v>
      </c>
      <c r="F1026" s="2" t="str">
        <f>VLOOKUP(B1026,Course!$A$2:$R$329,2,FALSE)</f>
        <v>Science 11</v>
      </c>
      <c r="G1026" s="2">
        <f>VLOOKUP(B1026, Course!$A$2:$L$950, 8, FALSE)</f>
        <v>12</v>
      </c>
      <c r="H1026" s="2">
        <v>3</v>
      </c>
      <c r="I1026" s="2">
        <v>1</v>
      </c>
      <c r="K1026" s="2" t="s">
        <v>1915</v>
      </c>
      <c r="L1026" s="2" t="str">
        <f>VLOOKUP(B1026, Course!$A$1:$O$933, 14, FALSE)</f>
        <v>CH</v>
      </c>
      <c r="M1026" s="2">
        <v>1</v>
      </c>
    </row>
    <row r="1027" spans="1:13" ht="15.75" hidden="1" customHeight="1" x14ac:dyDescent="0.2">
      <c r="A1027" s="2">
        <v>1036</v>
      </c>
      <c r="B1027" s="2">
        <v>105</v>
      </c>
      <c r="C1027" s="2">
        <v>124</v>
      </c>
      <c r="D1027" s="2" t="s">
        <v>628</v>
      </c>
      <c r="E1027" s="2" t="str">
        <f t="shared" si="4"/>
        <v>1224CH03PT</v>
      </c>
      <c r="F1027" s="2" t="str">
        <f>VLOOKUP(B1027,Course!$A$2:$R$329,2,FALSE)</f>
        <v>Science 11</v>
      </c>
      <c r="G1027" s="2">
        <f>VLOOKUP(B1027, Course!$A$2:$L$950, 8, FALSE)</f>
        <v>12</v>
      </c>
      <c r="H1027" s="2">
        <v>3</v>
      </c>
      <c r="I1027" s="2">
        <v>1</v>
      </c>
      <c r="K1027" s="2" t="s">
        <v>1915</v>
      </c>
      <c r="L1027" s="2" t="str">
        <f>VLOOKUP(B1027, Course!$A$1:$O$933, 14, FALSE)</f>
        <v>CH</v>
      </c>
      <c r="M1027" s="2">
        <v>1</v>
      </c>
    </row>
    <row r="1028" spans="1:13" ht="15.75" hidden="1" customHeight="1" x14ac:dyDescent="0.2">
      <c r="A1028" s="2">
        <v>1037</v>
      </c>
      <c r="B1028" s="2">
        <v>105</v>
      </c>
      <c r="C1028" s="2">
        <v>125</v>
      </c>
      <c r="D1028" s="2" t="s">
        <v>628</v>
      </c>
      <c r="E1028" s="2" t="str">
        <f t="shared" si="4"/>
        <v>1225CH03PT</v>
      </c>
      <c r="F1028" s="2" t="str">
        <f>VLOOKUP(B1028,Course!$A$2:$R$329,2,FALSE)</f>
        <v>Science 11</v>
      </c>
      <c r="G1028" s="2">
        <f>VLOOKUP(B1028, Course!$A$2:$L$950, 8, FALSE)</f>
        <v>12</v>
      </c>
      <c r="H1028" s="2">
        <v>3</v>
      </c>
      <c r="I1028" s="2">
        <v>1</v>
      </c>
      <c r="K1028" s="2" t="s">
        <v>1915</v>
      </c>
      <c r="L1028" s="2" t="str">
        <f>VLOOKUP(B1028, Course!$A$1:$O$933, 14, FALSE)</f>
        <v>CH</v>
      </c>
      <c r="M1028" s="2">
        <v>1</v>
      </c>
    </row>
    <row r="1029" spans="1:13" ht="15.75" hidden="1" customHeight="1" x14ac:dyDescent="0.2">
      <c r="A1029" s="2">
        <v>1038</v>
      </c>
      <c r="B1029" s="2">
        <v>105</v>
      </c>
      <c r="C1029" s="2">
        <v>126</v>
      </c>
      <c r="D1029" s="2" t="s">
        <v>628</v>
      </c>
      <c r="E1029" s="2" t="str">
        <f t="shared" si="4"/>
        <v>1226CH03PT</v>
      </c>
      <c r="F1029" s="2" t="str">
        <f>VLOOKUP(B1029,Course!$A$2:$R$329,2,FALSE)</f>
        <v>Science 11</v>
      </c>
      <c r="G1029" s="2">
        <f>VLOOKUP(B1029, Course!$A$2:$L$950, 8, FALSE)</f>
        <v>12</v>
      </c>
      <c r="H1029" s="2">
        <v>3</v>
      </c>
      <c r="I1029" s="2">
        <v>1</v>
      </c>
      <c r="K1029" s="2" t="s">
        <v>1915</v>
      </c>
      <c r="L1029" s="2" t="str">
        <f>VLOOKUP(B1029, Course!$A$1:$O$933, 14, FALSE)</f>
        <v>CH</v>
      </c>
      <c r="M1029" s="2">
        <v>1</v>
      </c>
    </row>
    <row r="1030" spans="1:13" ht="15.75" hidden="1" customHeight="1" x14ac:dyDescent="0.2">
      <c r="A1030" s="2">
        <v>1039</v>
      </c>
      <c r="B1030" s="2">
        <v>105</v>
      </c>
      <c r="C1030" s="2">
        <v>127</v>
      </c>
      <c r="D1030" s="2" t="s">
        <v>628</v>
      </c>
      <c r="E1030" s="2" t="str">
        <f t="shared" si="4"/>
        <v>1227CH03PT</v>
      </c>
      <c r="F1030" s="2" t="str">
        <f>VLOOKUP(B1030,Course!$A$2:$R$329,2,FALSE)</f>
        <v>Science 11</v>
      </c>
      <c r="G1030" s="2">
        <f>VLOOKUP(B1030, Course!$A$2:$L$950, 8, FALSE)</f>
        <v>12</v>
      </c>
      <c r="H1030" s="2">
        <v>3</v>
      </c>
      <c r="I1030" s="2">
        <v>1</v>
      </c>
      <c r="K1030" s="2" t="s">
        <v>1915</v>
      </c>
      <c r="L1030" s="2" t="str">
        <f>VLOOKUP(B1030, Course!$A$1:$O$933, 14, FALSE)</f>
        <v>CH</v>
      </c>
      <c r="M1030" s="2">
        <v>1</v>
      </c>
    </row>
    <row r="1031" spans="1:13" ht="15.75" hidden="1" customHeight="1" x14ac:dyDescent="0.2">
      <c r="A1031" s="2">
        <v>1040</v>
      </c>
      <c r="B1031" s="2">
        <v>105</v>
      </c>
      <c r="C1031" s="2">
        <v>128</v>
      </c>
      <c r="D1031" s="2" t="s">
        <v>628</v>
      </c>
      <c r="E1031" s="2" t="str">
        <f t="shared" si="4"/>
        <v>1228CH03PT</v>
      </c>
      <c r="F1031" s="2" t="str">
        <f>VLOOKUP(B1031,Course!$A$2:$R$329,2,FALSE)</f>
        <v>Science 11</v>
      </c>
      <c r="G1031" s="2">
        <f>VLOOKUP(B1031, Course!$A$2:$L$950, 8, FALSE)</f>
        <v>12</v>
      </c>
      <c r="H1031" s="2">
        <v>3</v>
      </c>
      <c r="I1031" s="2">
        <v>1</v>
      </c>
      <c r="K1031" s="2" t="s">
        <v>1915</v>
      </c>
      <c r="L1031" s="2" t="str">
        <f>VLOOKUP(B1031, Course!$A$1:$O$933, 14, FALSE)</f>
        <v>CH</v>
      </c>
      <c r="M1031" s="2">
        <v>1</v>
      </c>
    </row>
    <row r="1032" spans="1:13" ht="15.75" hidden="1" customHeight="1" x14ac:dyDescent="0.2">
      <c r="A1032" s="2">
        <v>1041</v>
      </c>
      <c r="B1032" s="2">
        <v>105</v>
      </c>
      <c r="C1032" s="2">
        <v>129</v>
      </c>
      <c r="D1032" s="2" t="s">
        <v>628</v>
      </c>
      <c r="E1032" s="2" t="str">
        <f t="shared" si="4"/>
        <v>1229CH03PT</v>
      </c>
      <c r="F1032" s="2" t="str">
        <f>VLOOKUP(B1032,Course!$A$2:$R$329,2,FALSE)</f>
        <v>Science 11</v>
      </c>
      <c r="G1032" s="2">
        <f>VLOOKUP(B1032, Course!$A$2:$L$950, 8, FALSE)</f>
        <v>12</v>
      </c>
      <c r="H1032" s="2">
        <v>3</v>
      </c>
      <c r="I1032" s="2">
        <v>1</v>
      </c>
      <c r="K1032" s="2" t="s">
        <v>1915</v>
      </c>
      <c r="L1032" s="2" t="str">
        <f>VLOOKUP(B1032, Course!$A$1:$O$933, 14, FALSE)</f>
        <v>CH</v>
      </c>
      <c r="M1032" s="2">
        <v>1</v>
      </c>
    </row>
    <row r="1033" spans="1:13" ht="15.75" hidden="1" customHeight="1" x14ac:dyDescent="0.2">
      <c r="A1033" s="2">
        <v>1042</v>
      </c>
      <c r="B1033" s="2">
        <v>105</v>
      </c>
      <c r="C1033" s="2">
        <v>130</v>
      </c>
      <c r="D1033" s="2" t="s">
        <v>628</v>
      </c>
      <c r="E1033" s="2" t="str">
        <f t="shared" si="4"/>
        <v>1230CH03PT</v>
      </c>
      <c r="F1033" s="2" t="str">
        <f>VLOOKUP(B1033,Course!$A$2:$R$329,2,FALSE)</f>
        <v>Science 11</v>
      </c>
      <c r="G1033" s="2">
        <f>VLOOKUP(B1033, Course!$A$2:$L$950, 8, FALSE)</f>
        <v>12</v>
      </c>
      <c r="H1033" s="2">
        <v>3</v>
      </c>
      <c r="I1033" s="2">
        <v>1</v>
      </c>
      <c r="K1033" s="2" t="s">
        <v>1915</v>
      </c>
      <c r="L1033" s="2" t="str">
        <f>VLOOKUP(B1033, Course!$A$1:$O$933, 14, FALSE)</f>
        <v>CH</v>
      </c>
      <c r="M1033" s="2">
        <v>1</v>
      </c>
    </row>
    <row r="1034" spans="1:13" ht="15.75" hidden="1" customHeight="1" x14ac:dyDescent="0.2">
      <c r="A1034" s="2">
        <v>1043</v>
      </c>
      <c r="B1034" s="2">
        <v>105</v>
      </c>
      <c r="C1034" s="2">
        <v>131</v>
      </c>
      <c r="D1034" s="2" t="s">
        <v>628</v>
      </c>
      <c r="E1034" s="2" t="str">
        <f t="shared" si="4"/>
        <v>1231CH03PT</v>
      </c>
      <c r="F1034" s="2" t="str">
        <f>VLOOKUP(B1034,Course!$A$2:$R$329,2,FALSE)</f>
        <v>Science 11</v>
      </c>
      <c r="G1034" s="2">
        <f>VLOOKUP(B1034, Course!$A$2:$L$950, 8, FALSE)</f>
        <v>12</v>
      </c>
      <c r="H1034" s="2">
        <v>3</v>
      </c>
      <c r="I1034" s="2">
        <v>1</v>
      </c>
      <c r="K1034" s="2" t="s">
        <v>1915</v>
      </c>
      <c r="L1034" s="2" t="str">
        <f>VLOOKUP(B1034, Course!$A$1:$O$933, 14, FALSE)</f>
        <v>CH</v>
      </c>
      <c r="M1034" s="2">
        <v>1</v>
      </c>
    </row>
    <row r="1035" spans="1:13" ht="15.75" hidden="1" customHeight="1" x14ac:dyDescent="0.2">
      <c r="A1035" s="2">
        <v>1044</v>
      </c>
      <c r="B1035" s="2">
        <v>105</v>
      </c>
      <c r="C1035" s="2">
        <v>132</v>
      </c>
      <c r="D1035" s="2" t="s">
        <v>628</v>
      </c>
      <c r="E1035" s="2" t="str">
        <f t="shared" si="4"/>
        <v>1232CH03PT</v>
      </c>
      <c r="F1035" s="2" t="str">
        <f>VLOOKUP(B1035,Course!$A$2:$R$329,2,FALSE)</f>
        <v>Science 11</v>
      </c>
      <c r="G1035" s="2">
        <f>VLOOKUP(B1035, Course!$A$2:$L$950, 8, FALSE)</f>
        <v>12</v>
      </c>
      <c r="H1035" s="2">
        <v>3</v>
      </c>
      <c r="I1035" s="2">
        <v>1</v>
      </c>
      <c r="K1035" s="2" t="s">
        <v>1915</v>
      </c>
      <c r="L1035" s="2" t="str">
        <f>VLOOKUP(B1035, Course!$A$1:$O$933, 14, FALSE)</f>
        <v>CH</v>
      </c>
      <c r="M1035" s="2">
        <v>1</v>
      </c>
    </row>
    <row r="1036" spans="1:13" ht="15.75" hidden="1" customHeight="1" x14ac:dyDescent="0.2">
      <c r="A1036" s="2">
        <v>1045</v>
      </c>
      <c r="B1036" s="2">
        <v>106</v>
      </c>
      <c r="C1036" s="2">
        <v>121</v>
      </c>
      <c r="D1036" s="2" t="s">
        <v>633</v>
      </c>
      <c r="E1036" s="2" t="str">
        <f t="shared" si="4"/>
        <v>1221NC03PT</v>
      </c>
      <c r="F1036" s="2" t="str">
        <f>VLOOKUP(B1036,Course!$A$2:$R$329,2,FALSE)</f>
        <v>Basic New Testament Church History</v>
      </c>
      <c r="G1036" s="2">
        <f>VLOOKUP(B1036, Course!$A$2:$L$950, 8, FALSE)</f>
        <v>12</v>
      </c>
      <c r="H1036" s="2">
        <v>3</v>
      </c>
      <c r="I1036" s="2">
        <v>1</v>
      </c>
      <c r="K1036" s="2" t="s">
        <v>1915</v>
      </c>
      <c r="L1036" s="2" t="str">
        <f>VLOOKUP(B1036, Course!$A$1:$O$933, 14, FALSE)</f>
        <v>NC</v>
      </c>
      <c r="M1036" s="2">
        <v>1</v>
      </c>
    </row>
    <row r="1037" spans="1:13" ht="15.75" hidden="1" customHeight="1" x14ac:dyDescent="0.2">
      <c r="A1037" s="2">
        <v>1046</v>
      </c>
      <c r="B1037" s="2">
        <v>106</v>
      </c>
      <c r="C1037" s="2">
        <v>122</v>
      </c>
      <c r="D1037" s="2" t="s">
        <v>633</v>
      </c>
      <c r="E1037" s="2" t="str">
        <f t="shared" si="4"/>
        <v>1222NC03PT</v>
      </c>
      <c r="F1037" s="2" t="str">
        <f>VLOOKUP(B1037,Course!$A$2:$R$329,2,FALSE)</f>
        <v>Basic New Testament Church History</v>
      </c>
      <c r="G1037" s="2">
        <f>VLOOKUP(B1037, Course!$A$2:$L$950, 8, FALSE)</f>
        <v>12</v>
      </c>
      <c r="H1037" s="2">
        <v>3</v>
      </c>
      <c r="I1037" s="2">
        <v>1</v>
      </c>
      <c r="K1037" s="2" t="s">
        <v>1915</v>
      </c>
      <c r="L1037" s="2" t="str">
        <f>VLOOKUP(B1037, Course!$A$1:$O$933, 14, FALSE)</f>
        <v>NC</v>
      </c>
      <c r="M1037" s="2">
        <v>1</v>
      </c>
    </row>
    <row r="1038" spans="1:13" ht="15.75" hidden="1" customHeight="1" x14ac:dyDescent="0.2">
      <c r="A1038" s="2">
        <v>1047</v>
      </c>
      <c r="B1038" s="2">
        <v>106</v>
      </c>
      <c r="C1038" s="2">
        <v>123</v>
      </c>
      <c r="D1038" s="2" t="s">
        <v>633</v>
      </c>
      <c r="E1038" s="2" t="str">
        <f t="shared" si="4"/>
        <v>1223NC03PT</v>
      </c>
      <c r="F1038" s="2" t="str">
        <f>VLOOKUP(B1038,Course!$A$2:$R$329,2,FALSE)</f>
        <v>Basic New Testament Church History</v>
      </c>
      <c r="G1038" s="2">
        <f>VLOOKUP(B1038, Course!$A$2:$L$950, 8, FALSE)</f>
        <v>12</v>
      </c>
      <c r="H1038" s="2">
        <v>3</v>
      </c>
      <c r="I1038" s="2">
        <v>1</v>
      </c>
      <c r="K1038" s="2" t="s">
        <v>1915</v>
      </c>
      <c r="L1038" s="2" t="str">
        <f>VLOOKUP(B1038, Course!$A$1:$O$933, 14, FALSE)</f>
        <v>NC</v>
      </c>
      <c r="M1038" s="2">
        <v>1</v>
      </c>
    </row>
    <row r="1039" spans="1:13" ht="15.75" hidden="1" customHeight="1" x14ac:dyDescent="0.2">
      <c r="A1039" s="2">
        <v>1048</v>
      </c>
      <c r="B1039" s="2">
        <v>106</v>
      </c>
      <c r="C1039" s="2">
        <v>124</v>
      </c>
      <c r="D1039" s="2" t="s">
        <v>633</v>
      </c>
      <c r="E1039" s="2" t="str">
        <f t="shared" si="4"/>
        <v>1224NC03PT</v>
      </c>
      <c r="F1039" s="2" t="str">
        <f>VLOOKUP(B1039,Course!$A$2:$R$329,2,FALSE)</f>
        <v>Basic New Testament Church History</v>
      </c>
      <c r="G1039" s="2">
        <f>VLOOKUP(B1039, Course!$A$2:$L$950, 8, FALSE)</f>
        <v>12</v>
      </c>
      <c r="H1039" s="2">
        <v>3</v>
      </c>
      <c r="I1039" s="2">
        <v>1</v>
      </c>
      <c r="K1039" s="2" t="s">
        <v>1915</v>
      </c>
      <c r="L1039" s="2" t="str">
        <f>VLOOKUP(B1039, Course!$A$1:$O$933, 14, FALSE)</f>
        <v>NC</v>
      </c>
      <c r="M1039" s="2">
        <v>1</v>
      </c>
    </row>
    <row r="1040" spans="1:13" ht="15.75" hidden="1" customHeight="1" x14ac:dyDescent="0.2">
      <c r="A1040" s="2">
        <v>1049</v>
      </c>
      <c r="B1040" s="2">
        <v>106</v>
      </c>
      <c r="C1040" s="2">
        <v>125</v>
      </c>
      <c r="D1040" s="2" t="s">
        <v>633</v>
      </c>
      <c r="E1040" s="2" t="str">
        <f t="shared" si="4"/>
        <v>1225NC03PT</v>
      </c>
      <c r="F1040" s="2" t="str">
        <f>VLOOKUP(B1040,Course!$A$2:$R$329,2,FALSE)</f>
        <v>Basic New Testament Church History</v>
      </c>
      <c r="G1040" s="2">
        <f>VLOOKUP(B1040, Course!$A$2:$L$950, 8, FALSE)</f>
        <v>12</v>
      </c>
      <c r="H1040" s="2">
        <v>3</v>
      </c>
      <c r="I1040" s="2">
        <v>1</v>
      </c>
      <c r="K1040" s="2" t="s">
        <v>1915</v>
      </c>
      <c r="L1040" s="2" t="str">
        <f>VLOOKUP(B1040, Course!$A$1:$O$933, 14, FALSE)</f>
        <v>NC</v>
      </c>
      <c r="M1040" s="2">
        <v>1</v>
      </c>
    </row>
    <row r="1041" spans="1:13" ht="15.75" hidden="1" customHeight="1" x14ac:dyDescent="0.2">
      <c r="A1041" s="2">
        <v>1050</v>
      </c>
      <c r="B1041" s="2">
        <v>106</v>
      </c>
      <c r="C1041" s="2">
        <v>126</v>
      </c>
      <c r="D1041" s="2" t="s">
        <v>633</v>
      </c>
      <c r="E1041" s="2" t="str">
        <f t="shared" si="4"/>
        <v>1226NC03PT</v>
      </c>
      <c r="F1041" s="2" t="str">
        <f>VLOOKUP(B1041,Course!$A$2:$R$329,2,FALSE)</f>
        <v>Basic New Testament Church History</v>
      </c>
      <c r="G1041" s="2">
        <f>VLOOKUP(B1041, Course!$A$2:$L$950, 8, FALSE)</f>
        <v>12</v>
      </c>
      <c r="H1041" s="2">
        <v>3</v>
      </c>
      <c r="I1041" s="2">
        <v>1</v>
      </c>
      <c r="K1041" s="2" t="s">
        <v>1915</v>
      </c>
      <c r="L1041" s="2" t="str">
        <f>VLOOKUP(B1041, Course!$A$1:$O$933, 14, FALSE)</f>
        <v>NC</v>
      </c>
      <c r="M1041" s="2">
        <v>1</v>
      </c>
    </row>
    <row r="1042" spans="1:13" ht="15.75" hidden="1" customHeight="1" x14ac:dyDescent="0.2">
      <c r="A1042" s="2">
        <v>1051</v>
      </c>
      <c r="B1042" s="2">
        <v>106</v>
      </c>
      <c r="C1042" s="2">
        <v>127</v>
      </c>
      <c r="D1042" s="2" t="s">
        <v>633</v>
      </c>
      <c r="E1042" s="2" t="str">
        <f t="shared" si="4"/>
        <v>1227NC03PT</v>
      </c>
      <c r="F1042" s="2" t="str">
        <f>VLOOKUP(B1042,Course!$A$2:$R$329,2,FALSE)</f>
        <v>Basic New Testament Church History</v>
      </c>
      <c r="G1042" s="2">
        <f>VLOOKUP(B1042, Course!$A$2:$L$950, 8, FALSE)</f>
        <v>12</v>
      </c>
      <c r="H1042" s="2">
        <v>3</v>
      </c>
      <c r="I1042" s="2">
        <v>1</v>
      </c>
      <c r="K1042" s="2" t="s">
        <v>1915</v>
      </c>
      <c r="L1042" s="2" t="str">
        <f>VLOOKUP(B1042, Course!$A$1:$O$933, 14, FALSE)</f>
        <v>NC</v>
      </c>
      <c r="M1042" s="2">
        <v>1</v>
      </c>
    </row>
    <row r="1043" spans="1:13" ht="15.75" hidden="1" customHeight="1" x14ac:dyDescent="0.2">
      <c r="A1043" s="2">
        <v>1052</v>
      </c>
      <c r="B1043" s="2">
        <v>106</v>
      </c>
      <c r="C1043" s="2">
        <v>128</v>
      </c>
      <c r="D1043" s="2" t="s">
        <v>633</v>
      </c>
      <c r="E1043" s="2" t="str">
        <f t="shared" si="4"/>
        <v>1228NC03PT</v>
      </c>
      <c r="F1043" s="2" t="str">
        <f>VLOOKUP(B1043,Course!$A$2:$R$329,2,FALSE)</f>
        <v>Basic New Testament Church History</v>
      </c>
      <c r="G1043" s="2">
        <f>VLOOKUP(B1043, Course!$A$2:$L$950, 8, FALSE)</f>
        <v>12</v>
      </c>
      <c r="H1043" s="2">
        <v>3</v>
      </c>
      <c r="I1043" s="2">
        <v>1</v>
      </c>
      <c r="K1043" s="2" t="s">
        <v>1915</v>
      </c>
      <c r="L1043" s="2" t="str">
        <f>VLOOKUP(B1043, Course!$A$1:$O$933, 14, FALSE)</f>
        <v>NC</v>
      </c>
      <c r="M1043" s="2">
        <v>1</v>
      </c>
    </row>
    <row r="1044" spans="1:13" ht="15.75" hidden="1" customHeight="1" x14ac:dyDescent="0.2">
      <c r="A1044" s="2">
        <v>1053</v>
      </c>
      <c r="B1044" s="2">
        <v>106</v>
      </c>
      <c r="C1044" s="2">
        <v>129</v>
      </c>
      <c r="D1044" s="2" t="s">
        <v>633</v>
      </c>
      <c r="E1044" s="2" t="str">
        <f t="shared" si="4"/>
        <v>1229NC03PT</v>
      </c>
      <c r="F1044" s="2" t="str">
        <f>VLOOKUP(B1044,Course!$A$2:$R$329,2,FALSE)</f>
        <v>Basic New Testament Church History</v>
      </c>
      <c r="G1044" s="2">
        <f>VLOOKUP(B1044, Course!$A$2:$L$950, 8, FALSE)</f>
        <v>12</v>
      </c>
      <c r="H1044" s="2">
        <v>3</v>
      </c>
      <c r="I1044" s="2">
        <v>1</v>
      </c>
      <c r="K1044" s="2" t="s">
        <v>1915</v>
      </c>
      <c r="L1044" s="2" t="str">
        <f>VLOOKUP(B1044, Course!$A$1:$O$933, 14, FALSE)</f>
        <v>NC</v>
      </c>
      <c r="M1044" s="2">
        <v>1</v>
      </c>
    </row>
    <row r="1045" spans="1:13" ht="15.75" hidden="1" customHeight="1" x14ac:dyDescent="0.2">
      <c r="A1045" s="2">
        <v>1054</v>
      </c>
      <c r="B1045" s="2">
        <v>106</v>
      </c>
      <c r="C1045" s="2">
        <v>130</v>
      </c>
      <c r="D1045" s="2" t="s">
        <v>633</v>
      </c>
      <c r="E1045" s="2" t="str">
        <f t="shared" si="4"/>
        <v>1230NC03PT</v>
      </c>
      <c r="F1045" s="2" t="str">
        <f>VLOOKUP(B1045,Course!$A$2:$R$329,2,FALSE)</f>
        <v>Basic New Testament Church History</v>
      </c>
      <c r="G1045" s="2">
        <f>VLOOKUP(B1045, Course!$A$2:$L$950, 8, FALSE)</f>
        <v>12</v>
      </c>
      <c r="H1045" s="2">
        <v>3</v>
      </c>
      <c r="I1045" s="2">
        <v>1</v>
      </c>
      <c r="K1045" s="2" t="s">
        <v>1915</v>
      </c>
      <c r="L1045" s="2" t="str">
        <f>VLOOKUP(B1045, Course!$A$1:$O$933, 14, FALSE)</f>
        <v>NC</v>
      </c>
      <c r="M1045" s="2">
        <v>1</v>
      </c>
    </row>
    <row r="1046" spans="1:13" ht="15.75" hidden="1" customHeight="1" x14ac:dyDescent="0.2">
      <c r="A1046" s="2">
        <v>1055</v>
      </c>
      <c r="B1046" s="2">
        <v>106</v>
      </c>
      <c r="C1046" s="2">
        <v>131</v>
      </c>
      <c r="D1046" s="2" t="s">
        <v>633</v>
      </c>
      <c r="E1046" s="2" t="str">
        <f t="shared" si="4"/>
        <v>1231NC03PT</v>
      </c>
      <c r="F1046" s="2" t="str">
        <f>VLOOKUP(B1046,Course!$A$2:$R$329,2,FALSE)</f>
        <v>Basic New Testament Church History</v>
      </c>
      <c r="G1046" s="2">
        <f>VLOOKUP(B1046, Course!$A$2:$L$950, 8, FALSE)</f>
        <v>12</v>
      </c>
      <c r="H1046" s="2">
        <v>3</v>
      </c>
      <c r="I1046" s="2">
        <v>1</v>
      </c>
      <c r="K1046" s="2" t="s">
        <v>1915</v>
      </c>
      <c r="L1046" s="2" t="str">
        <f>VLOOKUP(B1046, Course!$A$1:$O$933, 14, FALSE)</f>
        <v>NC</v>
      </c>
      <c r="M1046" s="2">
        <v>1</v>
      </c>
    </row>
    <row r="1047" spans="1:13" ht="15.75" hidden="1" customHeight="1" x14ac:dyDescent="0.2">
      <c r="A1047" s="2">
        <v>1056</v>
      </c>
      <c r="B1047" s="2">
        <v>106</v>
      </c>
      <c r="C1047" s="2">
        <v>132</v>
      </c>
      <c r="D1047" s="2" t="s">
        <v>633</v>
      </c>
      <c r="E1047" s="2" t="str">
        <f t="shared" si="4"/>
        <v>1232NC03PT</v>
      </c>
      <c r="F1047" s="2" t="str">
        <f>VLOOKUP(B1047,Course!$A$2:$R$329,2,FALSE)</f>
        <v>Basic New Testament Church History</v>
      </c>
      <c r="G1047" s="2">
        <f>VLOOKUP(B1047, Course!$A$2:$L$950, 8, FALSE)</f>
        <v>12</v>
      </c>
      <c r="H1047" s="2">
        <v>3</v>
      </c>
      <c r="I1047" s="2">
        <v>1</v>
      </c>
      <c r="K1047" s="2" t="s">
        <v>1915</v>
      </c>
      <c r="L1047" s="2" t="str">
        <f>VLOOKUP(B1047, Course!$A$1:$O$933, 14, FALSE)</f>
        <v>NC</v>
      </c>
      <c r="M1047" s="2">
        <v>1</v>
      </c>
    </row>
    <row r="1048" spans="1:13" ht="15.75" hidden="1" customHeight="1" x14ac:dyDescent="0.2">
      <c r="A1048" s="2">
        <v>1057</v>
      </c>
      <c r="B1048" s="2">
        <v>107</v>
      </c>
      <c r="C1048" s="2">
        <v>121</v>
      </c>
      <c r="D1048" s="2" t="s">
        <v>581</v>
      </c>
      <c r="E1048" s="2" t="str">
        <f t="shared" si="4"/>
        <v>1221AC03PT</v>
      </c>
      <c r="F1048" s="2">
        <f>VLOOKUP(B1048,Course!$A$2:$R$329,2,FALSE)</f>
        <v>0</v>
      </c>
      <c r="G1048" s="2">
        <f>VLOOKUP(B1048, Course!$A$2:$L$950, 8, FALSE)</f>
        <v>12</v>
      </c>
      <c r="H1048" s="2">
        <v>3</v>
      </c>
      <c r="I1048" s="2">
        <v>1</v>
      </c>
      <c r="K1048" s="2" t="s">
        <v>1915</v>
      </c>
      <c r="L1048" s="2" t="str">
        <f>VLOOKUP(B1048, Course!$A$1:$O$933, 14, FALSE)</f>
        <v>AC</v>
      </c>
      <c r="M1048" s="2">
        <v>1</v>
      </c>
    </row>
    <row r="1049" spans="1:13" ht="15.75" hidden="1" customHeight="1" x14ac:dyDescent="0.2">
      <c r="A1049" s="2">
        <v>1058</v>
      </c>
      <c r="B1049" s="2">
        <v>107</v>
      </c>
      <c r="C1049" s="2">
        <v>122</v>
      </c>
      <c r="D1049" s="2" t="s">
        <v>581</v>
      </c>
      <c r="E1049" s="2" t="str">
        <f t="shared" si="4"/>
        <v>1222AC03PT</v>
      </c>
      <c r="F1049" s="2">
        <f>VLOOKUP(B1049,Course!$A$2:$R$329,2,FALSE)</f>
        <v>0</v>
      </c>
      <c r="G1049" s="2">
        <f>VLOOKUP(B1049, Course!$A$2:$L$950, 8, FALSE)</f>
        <v>12</v>
      </c>
      <c r="H1049" s="2">
        <v>3</v>
      </c>
      <c r="I1049" s="2">
        <v>1</v>
      </c>
      <c r="K1049" s="2" t="s">
        <v>1915</v>
      </c>
      <c r="L1049" s="2" t="str">
        <f>VLOOKUP(B1049, Course!$A$1:$O$933, 14, FALSE)</f>
        <v>AC</v>
      </c>
      <c r="M1049" s="2">
        <v>1</v>
      </c>
    </row>
    <row r="1050" spans="1:13" ht="15.75" hidden="1" customHeight="1" x14ac:dyDescent="0.2">
      <c r="A1050" s="2">
        <v>1059</v>
      </c>
      <c r="B1050" s="2">
        <v>107</v>
      </c>
      <c r="C1050" s="2">
        <v>123</v>
      </c>
      <c r="D1050" s="2" t="s">
        <v>581</v>
      </c>
      <c r="E1050" s="2" t="str">
        <f t="shared" si="4"/>
        <v>1223AC03PT</v>
      </c>
      <c r="F1050" s="2">
        <f>VLOOKUP(B1050,Course!$A$2:$R$329,2,FALSE)</f>
        <v>0</v>
      </c>
      <c r="G1050" s="2">
        <f>VLOOKUP(B1050, Course!$A$2:$L$950, 8, FALSE)</f>
        <v>12</v>
      </c>
      <c r="H1050" s="2">
        <v>3</v>
      </c>
      <c r="I1050" s="2">
        <v>1</v>
      </c>
      <c r="K1050" s="2" t="s">
        <v>1915</v>
      </c>
      <c r="L1050" s="2" t="str">
        <f>VLOOKUP(B1050, Course!$A$1:$O$933, 14, FALSE)</f>
        <v>AC</v>
      </c>
      <c r="M1050" s="2">
        <v>1</v>
      </c>
    </row>
    <row r="1051" spans="1:13" ht="15.75" hidden="1" customHeight="1" x14ac:dyDescent="0.2">
      <c r="A1051" s="2">
        <v>1060</v>
      </c>
      <c r="B1051" s="2">
        <v>107</v>
      </c>
      <c r="C1051" s="2">
        <v>124</v>
      </c>
      <c r="D1051" s="2" t="s">
        <v>581</v>
      </c>
      <c r="E1051" s="2" t="str">
        <f t="shared" si="4"/>
        <v>1224AC03PT</v>
      </c>
      <c r="F1051" s="2">
        <f>VLOOKUP(B1051,Course!$A$2:$R$329,2,FALSE)</f>
        <v>0</v>
      </c>
      <c r="G1051" s="2">
        <f>VLOOKUP(B1051, Course!$A$2:$L$950, 8, FALSE)</f>
        <v>12</v>
      </c>
      <c r="H1051" s="2">
        <v>3</v>
      </c>
      <c r="I1051" s="2">
        <v>1</v>
      </c>
      <c r="K1051" s="2" t="s">
        <v>1915</v>
      </c>
      <c r="L1051" s="2" t="str">
        <f>VLOOKUP(B1051, Course!$A$1:$O$933, 14, FALSE)</f>
        <v>AC</v>
      </c>
      <c r="M1051" s="2">
        <v>1</v>
      </c>
    </row>
    <row r="1052" spans="1:13" ht="15.75" hidden="1" customHeight="1" x14ac:dyDescent="0.2">
      <c r="A1052" s="2">
        <v>1061</v>
      </c>
      <c r="B1052" s="2">
        <v>107</v>
      </c>
      <c r="C1052" s="2">
        <v>125</v>
      </c>
      <c r="D1052" s="2" t="s">
        <v>581</v>
      </c>
      <c r="E1052" s="2" t="str">
        <f t="shared" si="4"/>
        <v>1225AC03PT</v>
      </c>
      <c r="F1052" s="2">
        <f>VLOOKUP(B1052,Course!$A$2:$R$329,2,FALSE)</f>
        <v>0</v>
      </c>
      <c r="G1052" s="2">
        <f>VLOOKUP(B1052, Course!$A$2:$L$950, 8, FALSE)</f>
        <v>12</v>
      </c>
      <c r="H1052" s="2">
        <v>3</v>
      </c>
      <c r="I1052" s="2">
        <v>1</v>
      </c>
      <c r="K1052" s="2" t="s">
        <v>1915</v>
      </c>
      <c r="L1052" s="2" t="str">
        <f>VLOOKUP(B1052, Course!$A$1:$O$933, 14, FALSE)</f>
        <v>AC</v>
      </c>
      <c r="M1052" s="2">
        <v>1</v>
      </c>
    </row>
    <row r="1053" spans="1:13" ht="15.75" hidden="1" customHeight="1" x14ac:dyDescent="0.2">
      <c r="A1053" s="2">
        <v>1062</v>
      </c>
      <c r="B1053" s="2">
        <v>107</v>
      </c>
      <c r="C1053" s="2">
        <v>126</v>
      </c>
      <c r="D1053" s="2" t="s">
        <v>581</v>
      </c>
      <c r="E1053" s="2" t="str">
        <f t="shared" si="4"/>
        <v>1226AC03PT</v>
      </c>
      <c r="F1053" s="2">
        <f>VLOOKUP(B1053,Course!$A$2:$R$329,2,FALSE)</f>
        <v>0</v>
      </c>
      <c r="G1053" s="2">
        <f>VLOOKUP(B1053, Course!$A$2:$L$950, 8, FALSE)</f>
        <v>12</v>
      </c>
      <c r="H1053" s="2">
        <v>3</v>
      </c>
      <c r="I1053" s="2">
        <v>1</v>
      </c>
      <c r="K1053" s="2" t="s">
        <v>1915</v>
      </c>
      <c r="L1053" s="2" t="str">
        <f>VLOOKUP(B1053, Course!$A$1:$O$933, 14, FALSE)</f>
        <v>AC</v>
      </c>
      <c r="M1053" s="2">
        <v>1</v>
      </c>
    </row>
    <row r="1054" spans="1:13" ht="15.75" hidden="1" customHeight="1" x14ac:dyDescent="0.2">
      <c r="A1054" s="2">
        <v>1063</v>
      </c>
      <c r="B1054" s="2">
        <v>107</v>
      </c>
      <c r="C1054" s="2">
        <v>127</v>
      </c>
      <c r="D1054" s="2" t="s">
        <v>581</v>
      </c>
      <c r="E1054" s="2" t="str">
        <f t="shared" si="4"/>
        <v>1227AC03PT</v>
      </c>
      <c r="F1054" s="2">
        <f>VLOOKUP(B1054,Course!$A$2:$R$329,2,FALSE)</f>
        <v>0</v>
      </c>
      <c r="G1054" s="2">
        <f>VLOOKUP(B1054, Course!$A$2:$L$950, 8, FALSE)</f>
        <v>12</v>
      </c>
      <c r="H1054" s="2">
        <v>3</v>
      </c>
      <c r="I1054" s="2">
        <v>1</v>
      </c>
      <c r="K1054" s="2" t="s">
        <v>1915</v>
      </c>
      <c r="L1054" s="2" t="str">
        <f>VLOOKUP(B1054, Course!$A$1:$O$933, 14, FALSE)</f>
        <v>AC</v>
      </c>
      <c r="M1054" s="2">
        <v>1</v>
      </c>
    </row>
    <row r="1055" spans="1:13" ht="15.75" hidden="1" customHeight="1" x14ac:dyDescent="0.2">
      <c r="A1055" s="2">
        <v>1064</v>
      </c>
      <c r="B1055" s="2">
        <v>107</v>
      </c>
      <c r="C1055" s="2">
        <v>128</v>
      </c>
      <c r="D1055" s="2" t="s">
        <v>581</v>
      </c>
      <c r="E1055" s="2" t="str">
        <f t="shared" si="4"/>
        <v>1228AC03PT</v>
      </c>
      <c r="F1055" s="2">
        <f>VLOOKUP(B1055,Course!$A$2:$R$329,2,FALSE)</f>
        <v>0</v>
      </c>
      <c r="G1055" s="2">
        <f>VLOOKUP(B1055, Course!$A$2:$L$950, 8, FALSE)</f>
        <v>12</v>
      </c>
      <c r="H1055" s="2">
        <v>3</v>
      </c>
      <c r="I1055" s="2">
        <v>1</v>
      </c>
      <c r="K1055" s="2" t="s">
        <v>1915</v>
      </c>
      <c r="L1055" s="2" t="str">
        <f>VLOOKUP(B1055, Course!$A$1:$O$933, 14, FALSE)</f>
        <v>AC</v>
      </c>
      <c r="M1055" s="2">
        <v>1</v>
      </c>
    </row>
    <row r="1056" spans="1:13" ht="15.75" hidden="1" customHeight="1" x14ac:dyDescent="0.2">
      <c r="A1056" s="2">
        <v>1065</v>
      </c>
      <c r="B1056" s="2">
        <v>107</v>
      </c>
      <c r="C1056" s="2">
        <v>129</v>
      </c>
      <c r="D1056" s="2" t="s">
        <v>581</v>
      </c>
      <c r="E1056" s="2" t="str">
        <f t="shared" si="4"/>
        <v>1229AC03PT</v>
      </c>
      <c r="F1056" s="2">
        <f>VLOOKUP(B1056,Course!$A$2:$R$329,2,FALSE)</f>
        <v>0</v>
      </c>
      <c r="G1056" s="2">
        <f>VLOOKUP(B1056, Course!$A$2:$L$950, 8, FALSE)</f>
        <v>12</v>
      </c>
      <c r="H1056" s="2">
        <v>3</v>
      </c>
      <c r="I1056" s="2">
        <v>1</v>
      </c>
      <c r="K1056" s="2" t="s">
        <v>1915</v>
      </c>
      <c r="L1056" s="2" t="str">
        <f>VLOOKUP(B1056, Course!$A$1:$O$933, 14, FALSE)</f>
        <v>AC</v>
      </c>
      <c r="M1056" s="2">
        <v>1</v>
      </c>
    </row>
    <row r="1057" spans="1:13" ht="15.75" hidden="1" customHeight="1" x14ac:dyDescent="0.2">
      <c r="A1057" s="2">
        <v>1066</v>
      </c>
      <c r="B1057" s="2">
        <v>107</v>
      </c>
      <c r="C1057" s="2">
        <v>130</v>
      </c>
      <c r="D1057" s="2" t="s">
        <v>581</v>
      </c>
      <c r="E1057" s="2" t="str">
        <f t="shared" si="4"/>
        <v>1230AC03PT</v>
      </c>
      <c r="F1057" s="2">
        <f>VLOOKUP(B1057,Course!$A$2:$R$329,2,FALSE)</f>
        <v>0</v>
      </c>
      <c r="G1057" s="2">
        <f>VLOOKUP(B1057, Course!$A$2:$L$950, 8, FALSE)</f>
        <v>12</v>
      </c>
      <c r="H1057" s="2">
        <v>3</v>
      </c>
      <c r="I1057" s="2">
        <v>1</v>
      </c>
      <c r="K1057" s="2" t="s">
        <v>1915</v>
      </c>
      <c r="L1057" s="2" t="str">
        <f>VLOOKUP(B1057, Course!$A$1:$O$933, 14, FALSE)</f>
        <v>AC</v>
      </c>
      <c r="M1057" s="2">
        <v>1</v>
      </c>
    </row>
    <row r="1058" spans="1:13" ht="15.75" hidden="1" customHeight="1" x14ac:dyDescent="0.2">
      <c r="A1058" s="2">
        <v>1067</v>
      </c>
      <c r="B1058" s="2">
        <v>107</v>
      </c>
      <c r="C1058" s="2">
        <v>131</v>
      </c>
      <c r="D1058" s="2" t="s">
        <v>581</v>
      </c>
      <c r="E1058" s="2" t="str">
        <f t="shared" si="4"/>
        <v>1231AC03PT</v>
      </c>
      <c r="F1058" s="2">
        <f>VLOOKUP(B1058,Course!$A$2:$R$329,2,FALSE)</f>
        <v>0</v>
      </c>
      <c r="G1058" s="2">
        <f>VLOOKUP(B1058, Course!$A$2:$L$950, 8, FALSE)</f>
        <v>12</v>
      </c>
      <c r="H1058" s="2">
        <v>3</v>
      </c>
      <c r="I1058" s="2">
        <v>1</v>
      </c>
      <c r="K1058" s="2" t="s">
        <v>1915</v>
      </c>
      <c r="L1058" s="2" t="str">
        <f>VLOOKUP(B1058, Course!$A$1:$O$933, 14, FALSE)</f>
        <v>AC</v>
      </c>
      <c r="M1058" s="2">
        <v>1</v>
      </c>
    </row>
    <row r="1059" spans="1:13" ht="15.75" hidden="1" customHeight="1" x14ac:dyDescent="0.2">
      <c r="A1059" s="2">
        <v>1068</v>
      </c>
      <c r="B1059" s="2">
        <v>107</v>
      </c>
      <c r="C1059" s="2">
        <v>132</v>
      </c>
      <c r="D1059" s="2" t="s">
        <v>581</v>
      </c>
      <c r="E1059" s="2" t="str">
        <f t="shared" si="4"/>
        <v>1232AC03PT</v>
      </c>
      <c r="F1059" s="2">
        <f>VLOOKUP(B1059,Course!$A$2:$R$329,2,FALSE)</f>
        <v>0</v>
      </c>
      <c r="G1059" s="2">
        <f>VLOOKUP(B1059, Course!$A$2:$L$950, 8, FALSE)</f>
        <v>12</v>
      </c>
      <c r="H1059" s="2">
        <v>3</v>
      </c>
      <c r="I1059" s="2">
        <v>1</v>
      </c>
      <c r="K1059" s="2" t="s">
        <v>1915</v>
      </c>
      <c r="L1059" s="2" t="str">
        <f>VLOOKUP(B1059, Course!$A$1:$O$933, 14, FALSE)</f>
        <v>AC</v>
      </c>
      <c r="M1059" s="2">
        <v>1</v>
      </c>
    </row>
    <row r="1060" spans="1:13" ht="15.75" hidden="1" customHeight="1" x14ac:dyDescent="0.2">
      <c r="A1060" s="2">
        <v>1069</v>
      </c>
      <c r="B1060" s="2">
        <v>108</v>
      </c>
      <c r="C1060" s="2">
        <v>1</v>
      </c>
      <c r="D1060" s="2" t="s">
        <v>636</v>
      </c>
      <c r="E1060" s="2" t="str">
        <f t="shared" si="4"/>
        <v>1001CM03PT</v>
      </c>
      <c r="F1060" s="2" t="str">
        <f>VLOOKUP(B1060,Course!$A$2:$R$329,2,FALSE)</f>
        <v>Basic Mathematics I</v>
      </c>
      <c r="G1060" s="2">
        <f>VLOOKUP(B1060, Course!$A$2:$L$950, 8, FALSE)</f>
        <v>10</v>
      </c>
      <c r="H1060" s="2">
        <v>3</v>
      </c>
      <c r="I1060" s="2">
        <v>1</v>
      </c>
      <c r="K1060" s="2" t="s">
        <v>1915</v>
      </c>
      <c r="L1060" s="2" t="str">
        <f>VLOOKUP(B1060, Course!$A$1:$O$933, 14, FALSE)</f>
        <v>CM</v>
      </c>
      <c r="M1060" s="2">
        <v>1</v>
      </c>
    </row>
    <row r="1061" spans="1:13" ht="15.75" hidden="1" customHeight="1" x14ac:dyDescent="0.2">
      <c r="A1061" s="2">
        <v>1070</v>
      </c>
      <c r="B1061" s="2">
        <v>108</v>
      </c>
      <c r="C1061" s="2">
        <v>2</v>
      </c>
      <c r="D1061" s="2" t="s">
        <v>636</v>
      </c>
      <c r="E1061" s="2" t="str">
        <f t="shared" si="4"/>
        <v>1002CM03PT</v>
      </c>
      <c r="F1061" s="2" t="str">
        <f>VLOOKUP(B1061,Course!$A$2:$R$329,2,FALSE)</f>
        <v>Basic Mathematics I</v>
      </c>
      <c r="G1061" s="2">
        <f>VLOOKUP(B1061, Course!$A$2:$L$950, 8, FALSE)</f>
        <v>10</v>
      </c>
      <c r="H1061" s="2">
        <v>3</v>
      </c>
      <c r="I1061" s="2">
        <v>1</v>
      </c>
      <c r="K1061" s="2" t="s">
        <v>1915</v>
      </c>
      <c r="L1061" s="2" t="str">
        <f>VLOOKUP(B1061, Course!$A$1:$O$933, 14, FALSE)</f>
        <v>CM</v>
      </c>
      <c r="M1061" s="2">
        <v>1</v>
      </c>
    </row>
    <row r="1062" spans="1:13" ht="15.75" hidden="1" customHeight="1" x14ac:dyDescent="0.2">
      <c r="A1062" s="2">
        <v>1071</v>
      </c>
      <c r="B1062" s="2">
        <v>108</v>
      </c>
      <c r="C1062" s="2">
        <v>3</v>
      </c>
      <c r="D1062" s="2" t="s">
        <v>636</v>
      </c>
      <c r="E1062" s="2" t="str">
        <f t="shared" si="4"/>
        <v>1003CM03PT</v>
      </c>
      <c r="F1062" s="2" t="str">
        <f>VLOOKUP(B1062,Course!$A$2:$R$329,2,FALSE)</f>
        <v>Basic Mathematics I</v>
      </c>
      <c r="G1062" s="2">
        <f>VLOOKUP(B1062, Course!$A$2:$L$950, 8, FALSE)</f>
        <v>10</v>
      </c>
      <c r="H1062" s="2">
        <v>3</v>
      </c>
      <c r="I1062" s="2">
        <v>1</v>
      </c>
      <c r="K1062" s="2" t="s">
        <v>1915</v>
      </c>
      <c r="L1062" s="2" t="str">
        <f>VLOOKUP(B1062, Course!$A$1:$O$933, 14, FALSE)</f>
        <v>CM</v>
      </c>
      <c r="M1062" s="2">
        <v>1</v>
      </c>
    </row>
    <row r="1063" spans="1:13" ht="15.75" hidden="1" customHeight="1" x14ac:dyDescent="0.2">
      <c r="A1063" s="2">
        <v>1072</v>
      </c>
      <c r="B1063" s="2">
        <v>108</v>
      </c>
      <c r="C1063" s="2">
        <v>4</v>
      </c>
      <c r="D1063" s="2" t="s">
        <v>636</v>
      </c>
      <c r="E1063" s="2" t="str">
        <f t="shared" si="4"/>
        <v>1004CM03PT</v>
      </c>
      <c r="F1063" s="2" t="str">
        <f>VLOOKUP(B1063,Course!$A$2:$R$329,2,FALSE)</f>
        <v>Basic Mathematics I</v>
      </c>
      <c r="G1063" s="2">
        <f>VLOOKUP(B1063, Course!$A$2:$L$950, 8, FALSE)</f>
        <v>10</v>
      </c>
      <c r="H1063" s="2">
        <v>3</v>
      </c>
      <c r="I1063" s="2">
        <v>1</v>
      </c>
      <c r="K1063" s="2" t="s">
        <v>1915</v>
      </c>
      <c r="L1063" s="2" t="str">
        <f>VLOOKUP(B1063, Course!$A$1:$O$933, 14, FALSE)</f>
        <v>CM</v>
      </c>
      <c r="M1063" s="2">
        <v>1</v>
      </c>
    </row>
    <row r="1064" spans="1:13" ht="15.75" hidden="1" customHeight="1" x14ac:dyDescent="0.2">
      <c r="A1064" s="2">
        <v>1073</v>
      </c>
      <c r="B1064" s="2">
        <v>108</v>
      </c>
      <c r="C1064" s="2">
        <v>5</v>
      </c>
      <c r="D1064" s="2" t="s">
        <v>636</v>
      </c>
      <c r="E1064" s="2" t="str">
        <f t="shared" si="4"/>
        <v>1005CM03PT</v>
      </c>
      <c r="F1064" s="2" t="str">
        <f>VLOOKUP(B1064,Course!$A$2:$R$329,2,FALSE)</f>
        <v>Basic Mathematics I</v>
      </c>
      <c r="G1064" s="2">
        <f>VLOOKUP(B1064, Course!$A$2:$L$950, 8, FALSE)</f>
        <v>10</v>
      </c>
      <c r="H1064" s="2">
        <v>3</v>
      </c>
      <c r="I1064" s="2">
        <v>1</v>
      </c>
      <c r="K1064" s="2" t="s">
        <v>1915</v>
      </c>
      <c r="L1064" s="2" t="str">
        <f>VLOOKUP(B1064, Course!$A$1:$O$933, 14, FALSE)</f>
        <v>CM</v>
      </c>
      <c r="M1064" s="2">
        <v>1</v>
      </c>
    </row>
    <row r="1065" spans="1:13" ht="15.75" hidden="1" customHeight="1" x14ac:dyDescent="0.2">
      <c r="A1065" s="2">
        <v>1074</v>
      </c>
      <c r="B1065" s="2">
        <v>108</v>
      </c>
      <c r="C1065" s="2">
        <v>6</v>
      </c>
      <c r="D1065" s="2" t="s">
        <v>636</v>
      </c>
      <c r="E1065" s="2" t="str">
        <f t="shared" si="4"/>
        <v>1006CM03PT</v>
      </c>
      <c r="F1065" s="2" t="str">
        <f>VLOOKUP(B1065,Course!$A$2:$R$329,2,FALSE)</f>
        <v>Basic Mathematics I</v>
      </c>
      <c r="G1065" s="2">
        <f>VLOOKUP(B1065, Course!$A$2:$L$950, 8, FALSE)</f>
        <v>10</v>
      </c>
      <c r="H1065" s="2">
        <v>3</v>
      </c>
      <c r="I1065" s="2">
        <v>1</v>
      </c>
      <c r="K1065" s="2" t="s">
        <v>1915</v>
      </c>
      <c r="L1065" s="2" t="str">
        <f>VLOOKUP(B1065, Course!$A$1:$O$933, 14, FALSE)</f>
        <v>CM</v>
      </c>
      <c r="M1065" s="2">
        <v>1</v>
      </c>
    </row>
    <row r="1066" spans="1:13" ht="15.75" hidden="1" customHeight="1" x14ac:dyDescent="0.2">
      <c r="A1066" s="2">
        <v>1075</v>
      </c>
      <c r="B1066" s="2">
        <v>108</v>
      </c>
      <c r="C1066" s="2">
        <v>7</v>
      </c>
      <c r="D1066" s="2" t="s">
        <v>636</v>
      </c>
      <c r="E1066" s="2" t="str">
        <f t="shared" si="4"/>
        <v>1007CM03PT</v>
      </c>
      <c r="F1066" s="2" t="str">
        <f>VLOOKUP(B1066,Course!$A$2:$R$329,2,FALSE)</f>
        <v>Basic Mathematics I</v>
      </c>
      <c r="G1066" s="2">
        <f>VLOOKUP(B1066, Course!$A$2:$L$950, 8, FALSE)</f>
        <v>10</v>
      </c>
      <c r="H1066" s="2">
        <v>3</v>
      </c>
      <c r="I1066" s="2">
        <v>1</v>
      </c>
      <c r="K1066" s="2" t="s">
        <v>1915</v>
      </c>
      <c r="L1066" s="2" t="str">
        <f>VLOOKUP(B1066, Course!$A$1:$O$933, 14, FALSE)</f>
        <v>CM</v>
      </c>
      <c r="M1066" s="2">
        <v>1</v>
      </c>
    </row>
    <row r="1067" spans="1:13" ht="15.75" hidden="1" customHeight="1" x14ac:dyDescent="0.2">
      <c r="A1067" s="2">
        <v>1076</v>
      </c>
      <c r="B1067" s="2">
        <v>108</v>
      </c>
      <c r="C1067" s="2">
        <v>8</v>
      </c>
      <c r="D1067" s="2" t="s">
        <v>636</v>
      </c>
      <c r="E1067" s="2" t="str">
        <f t="shared" si="4"/>
        <v>1008CM03PT</v>
      </c>
      <c r="F1067" s="2" t="str">
        <f>VLOOKUP(B1067,Course!$A$2:$R$329,2,FALSE)</f>
        <v>Basic Mathematics I</v>
      </c>
      <c r="G1067" s="2">
        <f>VLOOKUP(B1067, Course!$A$2:$L$950, 8, FALSE)</f>
        <v>10</v>
      </c>
      <c r="H1067" s="2">
        <v>3</v>
      </c>
      <c r="I1067" s="2">
        <v>1</v>
      </c>
      <c r="K1067" s="2" t="s">
        <v>1915</v>
      </c>
      <c r="L1067" s="2" t="str">
        <f>VLOOKUP(B1067, Course!$A$1:$O$933, 14, FALSE)</f>
        <v>CM</v>
      </c>
      <c r="M1067" s="2">
        <v>1</v>
      </c>
    </row>
    <row r="1068" spans="1:13" ht="15.75" hidden="1" customHeight="1" x14ac:dyDescent="0.2">
      <c r="A1068" s="2">
        <v>1077</v>
      </c>
      <c r="B1068" s="2">
        <v>108</v>
      </c>
      <c r="C1068" s="2">
        <v>9</v>
      </c>
      <c r="D1068" s="2" t="s">
        <v>636</v>
      </c>
      <c r="E1068" s="2" t="str">
        <f t="shared" si="4"/>
        <v>1009CM03PT</v>
      </c>
      <c r="F1068" s="2" t="str">
        <f>VLOOKUP(B1068,Course!$A$2:$R$329,2,FALSE)</f>
        <v>Basic Mathematics I</v>
      </c>
      <c r="G1068" s="2">
        <f>VLOOKUP(B1068, Course!$A$2:$L$950, 8, FALSE)</f>
        <v>10</v>
      </c>
      <c r="H1068" s="2">
        <v>3</v>
      </c>
      <c r="I1068" s="2">
        <v>1</v>
      </c>
      <c r="K1068" s="2" t="s">
        <v>1915</v>
      </c>
      <c r="L1068" s="2" t="str">
        <f>VLOOKUP(B1068, Course!$A$1:$O$933, 14, FALSE)</f>
        <v>CM</v>
      </c>
      <c r="M1068" s="2">
        <v>1</v>
      </c>
    </row>
    <row r="1069" spans="1:13" ht="15.75" hidden="1" customHeight="1" x14ac:dyDescent="0.2">
      <c r="A1069" s="2">
        <v>1078</v>
      </c>
      <c r="B1069" s="2">
        <v>108</v>
      </c>
      <c r="C1069" s="2">
        <v>10</v>
      </c>
      <c r="D1069" s="2" t="s">
        <v>636</v>
      </c>
      <c r="E1069" s="2" t="str">
        <f t="shared" si="4"/>
        <v>1010CM03PT</v>
      </c>
      <c r="F1069" s="2" t="str">
        <f>VLOOKUP(B1069,Course!$A$2:$R$329,2,FALSE)</f>
        <v>Basic Mathematics I</v>
      </c>
      <c r="G1069" s="2">
        <f>VLOOKUP(B1069, Course!$A$2:$L$950, 8, FALSE)</f>
        <v>10</v>
      </c>
      <c r="H1069" s="2">
        <v>3</v>
      </c>
      <c r="I1069" s="2">
        <v>1</v>
      </c>
      <c r="K1069" s="2" t="s">
        <v>1915</v>
      </c>
      <c r="L1069" s="2" t="str">
        <f>VLOOKUP(B1069, Course!$A$1:$O$933, 14, FALSE)</f>
        <v>CM</v>
      </c>
      <c r="M1069" s="2">
        <v>1</v>
      </c>
    </row>
    <row r="1070" spans="1:13" ht="15.75" hidden="1" customHeight="1" x14ac:dyDescent="0.2">
      <c r="A1070" s="2">
        <v>1079</v>
      </c>
      <c r="B1070" s="2">
        <v>109</v>
      </c>
      <c r="C1070" s="2">
        <v>11</v>
      </c>
      <c r="D1070" s="2" t="s">
        <v>636</v>
      </c>
      <c r="E1070" s="2" t="str">
        <f t="shared" si="4"/>
        <v>1011CM03PT</v>
      </c>
      <c r="F1070" s="2" t="str">
        <f>VLOOKUP(B1070,Course!$A$2:$R$329,2,FALSE)</f>
        <v>Basic Mathematics II Precalculus</v>
      </c>
      <c r="G1070" s="2">
        <f>VLOOKUP(B1070, Course!$A$2:$L$950, 8, FALSE)</f>
        <v>10</v>
      </c>
      <c r="H1070" s="2">
        <v>3</v>
      </c>
      <c r="I1070" s="2">
        <v>1</v>
      </c>
      <c r="K1070" s="2" t="s">
        <v>1915</v>
      </c>
      <c r="L1070" s="2" t="str">
        <f>VLOOKUP(B1070, Course!$A$1:$O$933, 14, FALSE)</f>
        <v>CM</v>
      </c>
      <c r="M1070" s="2">
        <v>1</v>
      </c>
    </row>
    <row r="1071" spans="1:13" ht="15.75" hidden="1" customHeight="1" x14ac:dyDescent="0.2">
      <c r="A1071" s="2">
        <v>1080</v>
      </c>
      <c r="B1071" s="2">
        <v>109</v>
      </c>
      <c r="C1071" s="2">
        <v>12</v>
      </c>
      <c r="D1071" s="2" t="s">
        <v>636</v>
      </c>
      <c r="E1071" s="2" t="str">
        <f t="shared" si="4"/>
        <v>1012CM03PT</v>
      </c>
      <c r="F1071" s="2" t="str">
        <f>VLOOKUP(B1071,Course!$A$2:$R$329,2,FALSE)</f>
        <v>Basic Mathematics II Precalculus</v>
      </c>
      <c r="G1071" s="2">
        <f>VLOOKUP(B1071, Course!$A$2:$L$950, 8, FALSE)</f>
        <v>10</v>
      </c>
      <c r="H1071" s="2">
        <v>3</v>
      </c>
      <c r="I1071" s="2">
        <v>1</v>
      </c>
      <c r="K1071" s="2" t="s">
        <v>1915</v>
      </c>
      <c r="L1071" s="2" t="str">
        <f>VLOOKUP(B1071, Course!$A$1:$O$933, 14, FALSE)</f>
        <v>CM</v>
      </c>
      <c r="M1071" s="2">
        <v>1</v>
      </c>
    </row>
    <row r="1072" spans="1:13" ht="15.75" hidden="1" customHeight="1" x14ac:dyDescent="0.2">
      <c r="A1072" s="2">
        <v>1081</v>
      </c>
      <c r="B1072" s="2">
        <v>109</v>
      </c>
      <c r="C1072" s="2">
        <v>13</v>
      </c>
      <c r="D1072" s="2" t="s">
        <v>636</v>
      </c>
      <c r="E1072" s="2" t="str">
        <f t="shared" si="4"/>
        <v>1013CM03PT</v>
      </c>
      <c r="F1072" s="2" t="str">
        <f>VLOOKUP(B1072,Course!$A$2:$R$329,2,FALSE)</f>
        <v>Basic Mathematics II Precalculus</v>
      </c>
      <c r="G1072" s="2">
        <f>VLOOKUP(B1072, Course!$A$2:$L$950, 8, FALSE)</f>
        <v>10</v>
      </c>
      <c r="H1072" s="2">
        <v>3</v>
      </c>
      <c r="I1072" s="2">
        <v>1</v>
      </c>
      <c r="K1072" s="2" t="s">
        <v>1915</v>
      </c>
      <c r="L1072" s="2" t="str">
        <f>VLOOKUP(B1072, Course!$A$1:$O$933, 14, FALSE)</f>
        <v>CM</v>
      </c>
      <c r="M1072" s="2">
        <v>1</v>
      </c>
    </row>
    <row r="1073" spans="1:13" ht="15.75" hidden="1" customHeight="1" x14ac:dyDescent="0.2">
      <c r="A1073" s="2">
        <v>1082</v>
      </c>
      <c r="B1073" s="2">
        <v>109</v>
      </c>
      <c r="C1073" s="2">
        <v>14</v>
      </c>
      <c r="D1073" s="2" t="s">
        <v>636</v>
      </c>
      <c r="E1073" s="2" t="str">
        <f t="shared" si="4"/>
        <v>1014CM03PT</v>
      </c>
      <c r="F1073" s="2" t="str">
        <f>VLOOKUP(B1073,Course!$A$2:$R$329,2,FALSE)</f>
        <v>Basic Mathematics II Precalculus</v>
      </c>
      <c r="G1073" s="2">
        <f>VLOOKUP(B1073, Course!$A$2:$L$950, 8, FALSE)</f>
        <v>10</v>
      </c>
      <c r="H1073" s="2">
        <v>3</v>
      </c>
      <c r="I1073" s="2">
        <v>1</v>
      </c>
      <c r="K1073" s="2" t="s">
        <v>1915</v>
      </c>
      <c r="L1073" s="2" t="str">
        <f>VLOOKUP(B1073, Course!$A$1:$O$933, 14, FALSE)</f>
        <v>CM</v>
      </c>
      <c r="M1073" s="2">
        <v>1</v>
      </c>
    </row>
    <row r="1074" spans="1:13" ht="15.75" hidden="1" customHeight="1" x14ac:dyDescent="0.2">
      <c r="A1074" s="2">
        <v>1083</v>
      </c>
      <c r="B1074" s="2">
        <v>109</v>
      </c>
      <c r="C1074" s="2">
        <v>15</v>
      </c>
      <c r="D1074" s="2" t="s">
        <v>636</v>
      </c>
      <c r="E1074" s="2" t="str">
        <f t="shared" si="4"/>
        <v>1015CM03PT</v>
      </c>
      <c r="F1074" s="2" t="str">
        <f>VLOOKUP(B1074,Course!$A$2:$R$329,2,FALSE)</f>
        <v>Basic Mathematics II Precalculus</v>
      </c>
      <c r="G1074" s="2">
        <f>VLOOKUP(B1074, Course!$A$2:$L$950, 8, FALSE)</f>
        <v>10</v>
      </c>
      <c r="H1074" s="2">
        <v>3</v>
      </c>
      <c r="I1074" s="2">
        <v>1</v>
      </c>
      <c r="K1074" s="2" t="s">
        <v>1915</v>
      </c>
      <c r="L1074" s="2" t="str">
        <f>VLOOKUP(B1074, Course!$A$1:$O$933, 14, FALSE)</f>
        <v>CM</v>
      </c>
      <c r="M1074" s="2">
        <v>1</v>
      </c>
    </row>
    <row r="1075" spans="1:13" ht="15.75" hidden="1" customHeight="1" x14ac:dyDescent="0.2">
      <c r="A1075" s="2">
        <v>1084</v>
      </c>
      <c r="B1075" s="2">
        <v>109</v>
      </c>
      <c r="C1075" s="2">
        <v>16</v>
      </c>
      <c r="D1075" s="2" t="s">
        <v>636</v>
      </c>
      <c r="E1075" s="2" t="str">
        <f t="shared" si="4"/>
        <v>1016CM03PT</v>
      </c>
      <c r="F1075" s="2" t="str">
        <f>VLOOKUP(B1075,Course!$A$2:$R$329,2,FALSE)</f>
        <v>Basic Mathematics II Precalculus</v>
      </c>
      <c r="G1075" s="2">
        <f>VLOOKUP(B1075, Course!$A$2:$L$950, 8, FALSE)</f>
        <v>10</v>
      </c>
      <c r="H1075" s="2">
        <v>3</v>
      </c>
      <c r="I1075" s="2">
        <v>1</v>
      </c>
      <c r="K1075" s="2" t="s">
        <v>1915</v>
      </c>
      <c r="L1075" s="2" t="str">
        <f>VLOOKUP(B1075, Course!$A$1:$O$933, 14, FALSE)</f>
        <v>CM</v>
      </c>
      <c r="M1075" s="2">
        <v>1</v>
      </c>
    </row>
    <row r="1076" spans="1:13" ht="15.75" hidden="1" customHeight="1" x14ac:dyDescent="0.2">
      <c r="A1076" s="2">
        <v>1085</v>
      </c>
      <c r="B1076" s="2">
        <v>109</v>
      </c>
      <c r="C1076" s="2">
        <v>17</v>
      </c>
      <c r="D1076" s="2" t="s">
        <v>636</v>
      </c>
      <c r="E1076" s="2" t="str">
        <f t="shared" si="4"/>
        <v>1017CM03PT</v>
      </c>
      <c r="F1076" s="2" t="str">
        <f>VLOOKUP(B1076,Course!$A$2:$R$329,2,FALSE)</f>
        <v>Basic Mathematics II Precalculus</v>
      </c>
      <c r="G1076" s="2">
        <f>VLOOKUP(B1076, Course!$A$2:$L$950, 8, FALSE)</f>
        <v>10</v>
      </c>
      <c r="H1076" s="2">
        <v>3</v>
      </c>
      <c r="I1076" s="2">
        <v>1</v>
      </c>
      <c r="K1076" s="2" t="s">
        <v>1915</v>
      </c>
      <c r="L1076" s="2" t="str">
        <f>VLOOKUP(B1076, Course!$A$1:$O$933, 14, FALSE)</f>
        <v>CM</v>
      </c>
      <c r="M1076" s="2">
        <v>1</v>
      </c>
    </row>
    <row r="1077" spans="1:13" ht="15.75" hidden="1" customHeight="1" x14ac:dyDescent="0.2">
      <c r="A1077" s="2">
        <v>1086</v>
      </c>
      <c r="B1077" s="2">
        <v>109</v>
      </c>
      <c r="C1077" s="2">
        <v>18</v>
      </c>
      <c r="D1077" s="2" t="s">
        <v>636</v>
      </c>
      <c r="E1077" s="2" t="str">
        <f t="shared" si="4"/>
        <v>1018CM03PT</v>
      </c>
      <c r="F1077" s="2" t="str">
        <f>VLOOKUP(B1077,Course!$A$2:$R$329,2,FALSE)</f>
        <v>Basic Mathematics II Precalculus</v>
      </c>
      <c r="G1077" s="2">
        <f>VLOOKUP(B1077, Course!$A$2:$L$950, 8, FALSE)</f>
        <v>10</v>
      </c>
      <c r="H1077" s="2">
        <v>3</v>
      </c>
      <c r="I1077" s="2">
        <v>1</v>
      </c>
      <c r="K1077" s="2" t="s">
        <v>1915</v>
      </c>
      <c r="L1077" s="2" t="str">
        <f>VLOOKUP(B1077, Course!$A$1:$O$933, 14, FALSE)</f>
        <v>CM</v>
      </c>
      <c r="M1077" s="2">
        <v>1</v>
      </c>
    </row>
    <row r="1078" spans="1:13" ht="15.75" hidden="1" customHeight="1" x14ac:dyDescent="0.2">
      <c r="A1078" s="2">
        <v>1087</v>
      </c>
      <c r="B1078" s="2">
        <v>109</v>
      </c>
      <c r="C1078" s="2">
        <v>19</v>
      </c>
      <c r="D1078" s="2" t="s">
        <v>636</v>
      </c>
      <c r="E1078" s="2" t="str">
        <f t="shared" si="4"/>
        <v>1019CM03PT</v>
      </c>
      <c r="F1078" s="2" t="str">
        <f>VLOOKUP(B1078,Course!$A$2:$R$329,2,FALSE)</f>
        <v>Basic Mathematics II Precalculus</v>
      </c>
      <c r="G1078" s="2">
        <f>VLOOKUP(B1078, Course!$A$2:$L$950, 8, FALSE)</f>
        <v>10</v>
      </c>
      <c r="H1078" s="2">
        <v>3</v>
      </c>
      <c r="I1078" s="2">
        <v>1</v>
      </c>
      <c r="K1078" s="2" t="s">
        <v>1915</v>
      </c>
      <c r="L1078" s="2" t="str">
        <f>VLOOKUP(B1078, Course!$A$1:$O$933, 14, FALSE)</f>
        <v>CM</v>
      </c>
      <c r="M1078" s="2">
        <v>1</v>
      </c>
    </row>
    <row r="1079" spans="1:13" ht="15.75" hidden="1" customHeight="1" x14ac:dyDescent="0.2">
      <c r="A1079" s="2">
        <v>1088</v>
      </c>
      <c r="B1079" s="2">
        <v>109</v>
      </c>
      <c r="C1079" s="2">
        <v>20</v>
      </c>
      <c r="D1079" s="2" t="s">
        <v>636</v>
      </c>
      <c r="E1079" s="2" t="str">
        <f t="shared" si="4"/>
        <v>1020CM03PT</v>
      </c>
      <c r="F1079" s="2" t="str">
        <f>VLOOKUP(B1079,Course!$A$2:$R$329,2,FALSE)</f>
        <v>Basic Mathematics II Precalculus</v>
      </c>
      <c r="G1079" s="2">
        <f>VLOOKUP(B1079, Course!$A$2:$L$950, 8, FALSE)</f>
        <v>10</v>
      </c>
      <c r="H1079" s="2">
        <v>3</v>
      </c>
      <c r="I1079" s="2">
        <v>1</v>
      </c>
      <c r="K1079" s="2" t="s">
        <v>1915</v>
      </c>
      <c r="L1079" s="2" t="str">
        <f>VLOOKUP(B1079, Course!$A$1:$O$933, 14, FALSE)</f>
        <v>CM</v>
      </c>
      <c r="M1079" s="2">
        <v>1</v>
      </c>
    </row>
    <row r="1080" spans="1:13" ht="15.75" hidden="1" customHeight="1" x14ac:dyDescent="0.2">
      <c r="A1080" s="2">
        <v>1089</v>
      </c>
      <c r="B1080" s="2">
        <v>110</v>
      </c>
      <c r="C1080" s="2">
        <v>139</v>
      </c>
      <c r="D1080" s="2" t="s">
        <v>638</v>
      </c>
      <c r="E1080" s="2" t="str">
        <f t="shared" si="4"/>
        <v>639HM03PT</v>
      </c>
      <c r="F1080" s="2">
        <f>VLOOKUP(B1080,Course!$A$2:$R$329,2,FALSE)</f>
        <v>0</v>
      </c>
      <c r="G1080" s="2">
        <f>VLOOKUP(B1080, Course!$A$2:$L$950, 8, FALSE)</f>
        <v>6</v>
      </c>
      <c r="H1080" s="2">
        <v>3</v>
      </c>
      <c r="I1080" s="2">
        <v>1</v>
      </c>
      <c r="K1080" s="2" t="s">
        <v>1915</v>
      </c>
      <c r="L1080" s="2" t="str">
        <f>VLOOKUP(B1080, Course!$A$1:$O$933, 14, FALSE)</f>
        <v>HM</v>
      </c>
      <c r="M1080" s="2">
        <v>1</v>
      </c>
    </row>
    <row r="1081" spans="1:13" ht="15.75" hidden="1" customHeight="1" x14ac:dyDescent="0.2">
      <c r="A1081" s="2">
        <v>1090</v>
      </c>
      <c r="B1081" s="2">
        <v>110</v>
      </c>
      <c r="C1081" s="2">
        <v>140</v>
      </c>
      <c r="D1081" s="2" t="s">
        <v>638</v>
      </c>
      <c r="E1081" s="2" t="str">
        <f t="shared" si="4"/>
        <v>640HM03PT</v>
      </c>
      <c r="F1081" s="2">
        <f>VLOOKUP(B1081,Course!$A$2:$R$329,2,FALSE)</f>
        <v>0</v>
      </c>
      <c r="G1081" s="2">
        <f>VLOOKUP(B1081, Course!$A$2:$L$950, 8, FALSE)</f>
        <v>6</v>
      </c>
      <c r="H1081" s="2">
        <v>3</v>
      </c>
      <c r="I1081" s="2">
        <v>1</v>
      </c>
      <c r="K1081" s="2" t="s">
        <v>1915</v>
      </c>
      <c r="L1081" s="2" t="str">
        <f>VLOOKUP(B1081, Course!$A$1:$O$933, 14, FALSE)</f>
        <v>HM</v>
      </c>
      <c r="M1081" s="2">
        <v>1</v>
      </c>
    </row>
    <row r="1082" spans="1:13" ht="15.75" hidden="1" customHeight="1" x14ac:dyDescent="0.2">
      <c r="A1082" s="2">
        <v>1091</v>
      </c>
      <c r="B1082" s="2">
        <v>110</v>
      </c>
      <c r="C1082" s="2">
        <v>141</v>
      </c>
      <c r="D1082" s="2" t="s">
        <v>638</v>
      </c>
      <c r="E1082" s="2" t="str">
        <f t="shared" si="4"/>
        <v>641HM03PT</v>
      </c>
      <c r="F1082" s="2">
        <f>VLOOKUP(B1082,Course!$A$2:$R$329,2,FALSE)</f>
        <v>0</v>
      </c>
      <c r="G1082" s="2">
        <f>VLOOKUP(B1082, Course!$A$2:$L$950, 8, FALSE)</f>
        <v>6</v>
      </c>
      <c r="H1082" s="2">
        <v>3</v>
      </c>
      <c r="I1082" s="2">
        <v>1</v>
      </c>
      <c r="K1082" s="2" t="s">
        <v>1915</v>
      </c>
      <c r="L1082" s="2" t="str">
        <f>VLOOKUP(B1082, Course!$A$1:$O$933, 14, FALSE)</f>
        <v>HM</v>
      </c>
      <c r="M1082" s="2">
        <v>1</v>
      </c>
    </row>
    <row r="1083" spans="1:13" ht="15.75" hidden="1" customHeight="1" x14ac:dyDescent="0.2">
      <c r="A1083" s="2">
        <v>1092</v>
      </c>
      <c r="B1083" s="2">
        <v>110</v>
      </c>
      <c r="C1083" s="2">
        <v>142</v>
      </c>
      <c r="D1083" s="2" t="s">
        <v>638</v>
      </c>
      <c r="E1083" s="2" t="str">
        <f t="shared" si="4"/>
        <v>642HM03PT</v>
      </c>
      <c r="F1083" s="2">
        <f>VLOOKUP(B1083,Course!$A$2:$R$329,2,FALSE)</f>
        <v>0</v>
      </c>
      <c r="G1083" s="2">
        <f>VLOOKUP(B1083, Course!$A$2:$L$950, 8, FALSE)</f>
        <v>6</v>
      </c>
      <c r="H1083" s="2">
        <v>3</v>
      </c>
      <c r="I1083" s="2">
        <v>1</v>
      </c>
      <c r="K1083" s="2" t="s">
        <v>1915</v>
      </c>
      <c r="L1083" s="2" t="str">
        <f>VLOOKUP(B1083, Course!$A$1:$O$933, 14, FALSE)</f>
        <v>HM</v>
      </c>
      <c r="M1083" s="2">
        <v>1</v>
      </c>
    </row>
    <row r="1084" spans="1:13" ht="15.75" hidden="1" customHeight="1" x14ac:dyDescent="0.2">
      <c r="A1084" s="2">
        <v>1093</v>
      </c>
      <c r="B1084" s="2">
        <v>110</v>
      </c>
      <c r="C1084" s="2">
        <v>143</v>
      </c>
      <c r="D1084" s="2" t="s">
        <v>638</v>
      </c>
      <c r="E1084" s="2" t="str">
        <f t="shared" si="4"/>
        <v>643HM03PT</v>
      </c>
      <c r="F1084" s="2">
        <f>VLOOKUP(B1084,Course!$A$2:$R$329,2,FALSE)</f>
        <v>0</v>
      </c>
      <c r="G1084" s="2">
        <f>VLOOKUP(B1084, Course!$A$2:$L$950, 8, FALSE)</f>
        <v>6</v>
      </c>
      <c r="H1084" s="2">
        <v>3</v>
      </c>
      <c r="I1084" s="2">
        <v>1</v>
      </c>
      <c r="K1084" s="2" t="s">
        <v>1915</v>
      </c>
      <c r="L1084" s="2" t="str">
        <f>VLOOKUP(B1084, Course!$A$1:$O$933, 14, FALSE)</f>
        <v>HM</v>
      </c>
      <c r="M1084" s="2">
        <v>1</v>
      </c>
    </row>
    <row r="1085" spans="1:13" ht="15.75" hidden="1" customHeight="1" x14ac:dyDescent="0.2">
      <c r="A1085" s="2">
        <v>1094</v>
      </c>
      <c r="B1085" s="2">
        <v>110</v>
      </c>
      <c r="C1085" s="2">
        <v>144</v>
      </c>
      <c r="D1085" s="2" t="s">
        <v>638</v>
      </c>
      <c r="E1085" s="2" t="str">
        <f t="shared" si="4"/>
        <v>644HM03PT</v>
      </c>
      <c r="F1085" s="2">
        <f>VLOOKUP(B1085,Course!$A$2:$R$329,2,FALSE)</f>
        <v>0</v>
      </c>
      <c r="G1085" s="2">
        <f>VLOOKUP(B1085, Course!$A$2:$L$950, 8, FALSE)</f>
        <v>6</v>
      </c>
      <c r="H1085" s="2">
        <v>3</v>
      </c>
      <c r="I1085" s="2">
        <v>1</v>
      </c>
      <c r="K1085" s="2" t="s">
        <v>1915</v>
      </c>
      <c r="L1085" s="2" t="str">
        <f>VLOOKUP(B1085, Course!$A$1:$O$933, 14, FALSE)</f>
        <v>HM</v>
      </c>
      <c r="M1085" s="2">
        <v>1</v>
      </c>
    </row>
    <row r="1086" spans="1:13" ht="15.75" hidden="1" customHeight="1" x14ac:dyDescent="0.2">
      <c r="A1086" s="2">
        <v>1095</v>
      </c>
      <c r="B1086" s="2">
        <v>111</v>
      </c>
      <c r="C1086" s="2">
        <v>133</v>
      </c>
      <c r="D1086" s="2" t="s">
        <v>639</v>
      </c>
      <c r="E1086" s="2" t="str">
        <f t="shared" si="4"/>
        <v>633TR03PT</v>
      </c>
      <c r="F1086" s="2">
        <f>VLOOKUP(B1086,Course!$A$2:$R$329,2,FALSE)</f>
        <v>0</v>
      </c>
      <c r="G1086" s="2">
        <f>VLOOKUP(B1086, Course!$A$2:$L$950, 8, FALSE)</f>
        <v>6</v>
      </c>
      <c r="H1086" s="2">
        <v>3</v>
      </c>
      <c r="I1086" s="2">
        <v>1</v>
      </c>
      <c r="K1086" s="2" t="s">
        <v>1915</v>
      </c>
      <c r="L1086" s="2" t="str">
        <f>VLOOKUP(B1086, Course!$A$1:$O$933, 14, FALSE)</f>
        <v>TR</v>
      </c>
      <c r="M1086" s="2">
        <v>1</v>
      </c>
    </row>
    <row r="1087" spans="1:13" ht="15.75" hidden="1" customHeight="1" x14ac:dyDescent="0.2">
      <c r="A1087" s="2">
        <v>1096</v>
      </c>
      <c r="B1087" s="2">
        <v>111</v>
      </c>
      <c r="C1087" s="2">
        <v>134</v>
      </c>
      <c r="D1087" s="2" t="s">
        <v>639</v>
      </c>
      <c r="E1087" s="2" t="str">
        <f t="shared" si="4"/>
        <v>634TR03PT</v>
      </c>
      <c r="F1087" s="2">
        <f>VLOOKUP(B1087,Course!$A$2:$R$329,2,FALSE)</f>
        <v>0</v>
      </c>
      <c r="G1087" s="2">
        <f>VLOOKUP(B1087, Course!$A$2:$L$950, 8, FALSE)</f>
        <v>6</v>
      </c>
      <c r="H1087" s="2">
        <v>3</v>
      </c>
      <c r="I1087" s="2">
        <v>1</v>
      </c>
      <c r="K1087" s="2" t="s">
        <v>1915</v>
      </c>
      <c r="L1087" s="2" t="str">
        <f>VLOOKUP(B1087, Course!$A$1:$O$933, 14, FALSE)</f>
        <v>TR</v>
      </c>
      <c r="M1087" s="2">
        <v>1</v>
      </c>
    </row>
    <row r="1088" spans="1:13" ht="15.75" hidden="1" customHeight="1" x14ac:dyDescent="0.2">
      <c r="A1088" s="2">
        <v>1097</v>
      </c>
      <c r="B1088" s="2">
        <v>111</v>
      </c>
      <c r="C1088" s="2">
        <v>135</v>
      </c>
      <c r="D1088" s="2" t="s">
        <v>639</v>
      </c>
      <c r="E1088" s="2" t="str">
        <f t="shared" si="4"/>
        <v>635TR03PT</v>
      </c>
      <c r="F1088" s="2">
        <f>VLOOKUP(B1088,Course!$A$2:$R$329,2,FALSE)</f>
        <v>0</v>
      </c>
      <c r="G1088" s="2">
        <f>VLOOKUP(B1088, Course!$A$2:$L$950, 8, FALSE)</f>
        <v>6</v>
      </c>
      <c r="H1088" s="2">
        <v>3</v>
      </c>
      <c r="I1088" s="2">
        <v>1</v>
      </c>
      <c r="K1088" s="2" t="s">
        <v>1915</v>
      </c>
      <c r="L1088" s="2" t="str">
        <f>VLOOKUP(B1088, Course!$A$1:$O$933, 14, FALSE)</f>
        <v>TR</v>
      </c>
      <c r="M1088" s="2">
        <v>1</v>
      </c>
    </row>
    <row r="1089" spans="1:13" ht="15.75" hidden="1" customHeight="1" x14ac:dyDescent="0.2">
      <c r="A1089" s="2">
        <v>1098</v>
      </c>
      <c r="B1089" s="2">
        <v>111</v>
      </c>
      <c r="C1089" s="2">
        <v>136</v>
      </c>
      <c r="D1089" s="2" t="s">
        <v>639</v>
      </c>
      <c r="E1089" s="2" t="str">
        <f t="shared" si="4"/>
        <v>636TR03PT</v>
      </c>
      <c r="F1089" s="2">
        <f>VLOOKUP(B1089,Course!$A$2:$R$329,2,FALSE)</f>
        <v>0</v>
      </c>
      <c r="G1089" s="2">
        <f>VLOOKUP(B1089, Course!$A$2:$L$950, 8, FALSE)</f>
        <v>6</v>
      </c>
      <c r="H1089" s="2">
        <v>3</v>
      </c>
      <c r="I1089" s="2">
        <v>1</v>
      </c>
      <c r="K1089" s="2" t="s">
        <v>1915</v>
      </c>
      <c r="L1089" s="2" t="str">
        <f>VLOOKUP(B1089, Course!$A$1:$O$933, 14, FALSE)</f>
        <v>TR</v>
      </c>
      <c r="M1089" s="2">
        <v>1</v>
      </c>
    </row>
    <row r="1090" spans="1:13" ht="15.75" hidden="1" customHeight="1" x14ac:dyDescent="0.2">
      <c r="A1090" s="2">
        <v>1099</v>
      </c>
      <c r="B1090" s="2">
        <v>111</v>
      </c>
      <c r="C1090" s="2">
        <v>137</v>
      </c>
      <c r="D1090" s="2" t="s">
        <v>639</v>
      </c>
      <c r="E1090" s="2" t="str">
        <f t="shared" si="4"/>
        <v>637TR03PT</v>
      </c>
      <c r="F1090" s="2">
        <f>VLOOKUP(B1090,Course!$A$2:$R$329,2,FALSE)</f>
        <v>0</v>
      </c>
      <c r="G1090" s="2">
        <f>VLOOKUP(B1090, Course!$A$2:$L$950, 8, FALSE)</f>
        <v>6</v>
      </c>
      <c r="H1090" s="2">
        <v>3</v>
      </c>
      <c r="I1090" s="2">
        <v>1</v>
      </c>
      <c r="K1090" s="2" t="s">
        <v>1915</v>
      </c>
      <c r="L1090" s="2" t="str">
        <f>VLOOKUP(B1090, Course!$A$1:$O$933, 14, FALSE)</f>
        <v>TR</v>
      </c>
      <c r="M1090" s="2">
        <v>1</v>
      </c>
    </row>
    <row r="1091" spans="1:13" ht="15.75" hidden="1" customHeight="1" x14ac:dyDescent="0.2">
      <c r="A1091" s="2">
        <v>1100</v>
      </c>
      <c r="B1091" s="2">
        <v>111</v>
      </c>
      <c r="C1091" s="2">
        <v>138</v>
      </c>
      <c r="D1091" s="2" t="s">
        <v>639</v>
      </c>
      <c r="E1091" s="2" t="str">
        <f t="shared" si="4"/>
        <v>638TR03PT</v>
      </c>
      <c r="F1091" s="2">
        <f>VLOOKUP(B1091,Course!$A$2:$R$329,2,FALSE)</f>
        <v>0</v>
      </c>
      <c r="G1091" s="2">
        <f>VLOOKUP(B1091, Course!$A$2:$L$950, 8, FALSE)</f>
        <v>6</v>
      </c>
      <c r="H1091" s="2">
        <v>3</v>
      </c>
      <c r="I1091" s="2">
        <v>1</v>
      </c>
      <c r="K1091" s="2" t="s">
        <v>1915</v>
      </c>
      <c r="L1091" s="2" t="str">
        <f>VLOOKUP(B1091, Course!$A$1:$O$933, 14, FALSE)</f>
        <v>TR</v>
      </c>
      <c r="M1091" s="2">
        <v>1</v>
      </c>
    </row>
    <row r="1092" spans="1:13" ht="15.75" hidden="1" customHeight="1" x14ac:dyDescent="0.2">
      <c r="A1092" s="2">
        <v>1101</v>
      </c>
      <c r="B1092" s="2">
        <v>112</v>
      </c>
      <c r="C1092" s="2">
        <v>11</v>
      </c>
      <c r="D1092" s="2" t="s">
        <v>641</v>
      </c>
      <c r="E1092" s="2" t="str">
        <f t="shared" si="4"/>
        <v>1011EC03PT</v>
      </c>
      <c r="F1092" s="2">
        <f>VLOOKUP(B1092,Course!$A$2:$R$329,2,FALSE)</f>
        <v>0</v>
      </c>
      <c r="G1092" s="2">
        <f>VLOOKUP(B1092, Course!$A$2:$L$950, 8, FALSE)</f>
        <v>10</v>
      </c>
      <c r="H1092" s="2">
        <v>3</v>
      </c>
      <c r="I1092" s="2">
        <v>1</v>
      </c>
      <c r="K1092" s="2" t="s">
        <v>1915</v>
      </c>
      <c r="L1092" s="2" t="str">
        <f>VLOOKUP(B1092, Course!$A$1:$O$933, 14, FALSE)</f>
        <v>EC</v>
      </c>
      <c r="M1092" s="2">
        <v>1</v>
      </c>
    </row>
    <row r="1093" spans="1:13" ht="15.75" hidden="1" customHeight="1" x14ac:dyDescent="0.2">
      <c r="A1093" s="2">
        <v>1102</v>
      </c>
      <c r="B1093" s="2">
        <v>112</v>
      </c>
      <c r="C1093" s="2">
        <v>12</v>
      </c>
      <c r="D1093" s="2" t="s">
        <v>641</v>
      </c>
      <c r="E1093" s="2" t="str">
        <f t="shared" si="4"/>
        <v>1012EC03PT</v>
      </c>
      <c r="F1093" s="2">
        <f>VLOOKUP(B1093,Course!$A$2:$R$329,2,FALSE)</f>
        <v>0</v>
      </c>
      <c r="G1093" s="2">
        <f>VLOOKUP(B1093, Course!$A$2:$L$950, 8, FALSE)</f>
        <v>10</v>
      </c>
      <c r="H1093" s="2">
        <v>3</v>
      </c>
      <c r="I1093" s="2">
        <v>1</v>
      </c>
      <c r="K1093" s="2" t="s">
        <v>1915</v>
      </c>
      <c r="L1093" s="2" t="str">
        <f>VLOOKUP(B1093, Course!$A$1:$O$933, 14, FALSE)</f>
        <v>EC</v>
      </c>
      <c r="M1093" s="2">
        <v>1</v>
      </c>
    </row>
    <row r="1094" spans="1:13" ht="15.75" hidden="1" customHeight="1" x14ac:dyDescent="0.2">
      <c r="A1094" s="2">
        <v>1103</v>
      </c>
      <c r="B1094" s="2">
        <v>112</v>
      </c>
      <c r="C1094" s="2">
        <v>13</v>
      </c>
      <c r="D1094" s="2" t="s">
        <v>641</v>
      </c>
      <c r="E1094" s="2" t="str">
        <f t="shared" si="4"/>
        <v>1013EC03PT</v>
      </c>
      <c r="F1094" s="2">
        <f>VLOOKUP(B1094,Course!$A$2:$R$329,2,FALSE)</f>
        <v>0</v>
      </c>
      <c r="G1094" s="2">
        <f>VLOOKUP(B1094, Course!$A$2:$L$950, 8, FALSE)</f>
        <v>10</v>
      </c>
      <c r="H1094" s="2">
        <v>3</v>
      </c>
      <c r="I1094" s="2">
        <v>1</v>
      </c>
      <c r="K1094" s="2" t="s">
        <v>1915</v>
      </c>
      <c r="L1094" s="2" t="str">
        <f>VLOOKUP(B1094, Course!$A$1:$O$933, 14, FALSE)</f>
        <v>EC</v>
      </c>
      <c r="M1094" s="2">
        <v>1</v>
      </c>
    </row>
    <row r="1095" spans="1:13" ht="15.75" hidden="1" customHeight="1" x14ac:dyDescent="0.2">
      <c r="A1095" s="2">
        <v>1104</v>
      </c>
      <c r="B1095" s="2">
        <v>112</v>
      </c>
      <c r="C1095" s="2">
        <v>14</v>
      </c>
      <c r="D1095" s="2" t="s">
        <v>641</v>
      </c>
      <c r="E1095" s="2" t="str">
        <f t="shared" si="4"/>
        <v>1014EC03PT</v>
      </c>
      <c r="F1095" s="2">
        <f>VLOOKUP(B1095,Course!$A$2:$R$329,2,FALSE)</f>
        <v>0</v>
      </c>
      <c r="G1095" s="2">
        <f>VLOOKUP(B1095, Course!$A$2:$L$950, 8, FALSE)</f>
        <v>10</v>
      </c>
      <c r="H1095" s="2">
        <v>3</v>
      </c>
      <c r="I1095" s="2">
        <v>1</v>
      </c>
      <c r="K1095" s="2" t="s">
        <v>1915</v>
      </c>
      <c r="L1095" s="2" t="str">
        <f>VLOOKUP(B1095, Course!$A$1:$O$933, 14, FALSE)</f>
        <v>EC</v>
      </c>
      <c r="M1095" s="2">
        <v>1</v>
      </c>
    </row>
    <row r="1096" spans="1:13" ht="15.75" hidden="1" customHeight="1" x14ac:dyDescent="0.2">
      <c r="A1096" s="2">
        <v>1105</v>
      </c>
      <c r="B1096" s="2">
        <v>112</v>
      </c>
      <c r="C1096" s="2">
        <v>15</v>
      </c>
      <c r="D1096" s="2" t="s">
        <v>641</v>
      </c>
      <c r="E1096" s="2" t="str">
        <f t="shared" si="4"/>
        <v>1015EC03PT</v>
      </c>
      <c r="F1096" s="2">
        <f>VLOOKUP(B1096,Course!$A$2:$R$329,2,FALSE)</f>
        <v>0</v>
      </c>
      <c r="G1096" s="2">
        <f>VLOOKUP(B1096, Course!$A$2:$L$950, 8, FALSE)</f>
        <v>10</v>
      </c>
      <c r="H1096" s="2">
        <v>3</v>
      </c>
      <c r="I1096" s="2">
        <v>1</v>
      </c>
      <c r="K1096" s="2" t="s">
        <v>1915</v>
      </c>
      <c r="L1096" s="2" t="str">
        <f>VLOOKUP(B1096, Course!$A$1:$O$933, 14, FALSE)</f>
        <v>EC</v>
      </c>
      <c r="M1096" s="2">
        <v>1</v>
      </c>
    </row>
    <row r="1097" spans="1:13" ht="15.75" hidden="1" customHeight="1" x14ac:dyDescent="0.2">
      <c r="A1097" s="2">
        <v>1106</v>
      </c>
      <c r="B1097" s="2">
        <v>112</v>
      </c>
      <c r="C1097" s="2">
        <v>16</v>
      </c>
      <c r="D1097" s="2" t="s">
        <v>641</v>
      </c>
      <c r="E1097" s="2" t="str">
        <f t="shared" si="4"/>
        <v>1016EC03PT</v>
      </c>
      <c r="F1097" s="2">
        <f>VLOOKUP(B1097,Course!$A$2:$R$329,2,FALSE)</f>
        <v>0</v>
      </c>
      <c r="G1097" s="2">
        <f>VLOOKUP(B1097, Course!$A$2:$L$950, 8, FALSE)</f>
        <v>10</v>
      </c>
      <c r="H1097" s="2">
        <v>3</v>
      </c>
      <c r="I1097" s="2">
        <v>1</v>
      </c>
      <c r="K1097" s="2" t="s">
        <v>1915</v>
      </c>
      <c r="L1097" s="2" t="str">
        <f>VLOOKUP(B1097, Course!$A$1:$O$933, 14, FALSE)</f>
        <v>EC</v>
      </c>
      <c r="M1097" s="2">
        <v>1</v>
      </c>
    </row>
    <row r="1098" spans="1:13" ht="15.75" hidden="1" customHeight="1" x14ac:dyDescent="0.2">
      <c r="A1098" s="2">
        <v>1107</v>
      </c>
      <c r="B1098" s="2">
        <v>112</v>
      </c>
      <c r="C1098" s="2">
        <v>17</v>
      </c>
      <c r="D1098" s="2" t="s">
        <v>641</v>
      </c>
      <c r="E1098" s="2" t="str">
        <f t="shared" si="4"/>
        <v>1017EC03PT</v>
      </c>
      <c r="F1098" s="2">
        <f>VLOOKUP(B1098,Course!$A$2:$R$329,2,FALSE)</f>
        <v>0</v>
      </c>
      <c r="G1098" s="2">
        <f>VLOOKUP(B1098, Course!$A$2:$L$950, 8, FALSE)</f>
        <v>10</v>
      </c>
      <c r="H1098" s="2">
        <v>3</v>
      </c>
      <c r="I1098" s="2">
        <v>1</v>
      </c>
      <c r="K1098" s="2" t="s">
        <v>1915</v>
      </c>
      <c r="L1098" s="2" t="str">
        <f>VLOOKUP(B1098, Course!$A$1:$O$933, 14, FALSE)</f>
        <v>EC</v>
      </c>
      <c r="M1098" s="2">
        <v>1</v>
      </c>
    </row>
    <row r="1099" spans="1:13" ht="15.75" hidden="1" customHeight="1" x14ac:dyDescent="0.2">
      <c r="A1099" s="2">
        <v>1108</v>
      </c>
      <c r="B1099" s="2">
        <v>112</v>
      </c>
      <c r="C1099" s="2">
        <v>18</v>
      </c>
      <c r="D1099" s="2" t="s">
        <v>641</v>
      </c>
      <c r="E1099" s="2" t="str">
        <f t="shared" si="4"/>
        <v>1018EC03PT</v>
      </c>
      <c r="F1099" s="2">
        <f>VLOOKUP(B1099,Course!$A$2:$R$329,2,FALSE)</f>
        <v>0</v>
      </c>
      <c r="G1099" s="2">
        <f>VLOOKUP(B1099, Course!$A$2:$L$950, 8, FALSE)</f>
        <v>10</v>
      </c>
      <c r="H1099" s="2">
        <v>3</v>
      </c>
      <c r="I1099" s="2">
        <v>1</v>
      </c>
      <c r="K1099" s="2" t="s">
        <v>1915</v>
      </c>
      <c r="L1099" s="2" t="str">
        <f>VLOOKUP(B1099, Course!$A$1:$O$933, 14, FALSE)</f>
        <v>EC</v>
      </c>
      <c r="M1099" s="2">
        <v>1</v>
      </c>
    </row>
    <row r="1100" spans="1:13" ht="15.75" hidden="1" customHeight="1" x14ac:dyDescent="0.2">
      <c r="A1100" s="2">
        <v>1109</v>
      </c>
      <c r="B1100" s="2">
        <v>112</v>
      </c>
      <c r="C1100" s="2">
        <v>19</v>
      </c>
      <c r="D1100" s="2" t="s">
        <v>641</v>
      </c>
      <c r="E1100" s="2" t="str">
        <f t="shared" si="4"/>
        <v>1019EC03PT</v>
      </c>
      <c r="F1100" s="2">
        <f>VLOOKUP(B1100,Course!$A$2:$R$329,2,FALSE)</f>
        <v>0</v>
      </c>
      <c r="G1100" s="2">
        <f>VLOOKUP(B1100, Course!$A$2:$L$950, 8, FALSE)</f>
        <v>10</v>
      </c>
      <c r="H1100" s="2">
        <v>3</v>
      </c>
      <c r="I1100" s="2">
        <v>1</v>
      </c>
      <c r="K1100" s="2" t="s">
        <v>1915</v>
      </c>
      <c r="L1100" s="2" t="str">
        <f>VLOOKUP(B1100, Course!$A$1:$O$933, 14, FALSE)</f>
        <v>EC</v>
      </c>
      <c r="M1100" s="2">
        <v>1</v>
      </c>
    </row>
    <row r="1101" spans="1:13" ht="15.75" hidden="1" customHeight="1" x14ac:dyDescent="0.2">
      <c r="A1101" s="2">
        <v>1110</v>
      </c>
      <c r="B1101" s="2">
        <v>112</v>
      </c>
      <c r="C1101" s="2">
        <v>20</v>
      </c>
      <c r="D1101" s="2" t="s">
        <v>641</v>
      </c>
      <c r="E1101" s="2" t="str">
        <f t="shared" si="4"/>
        <v>1020EC03PT</v>
      </c>
      <c r="F1101" s="2">
        <f>VLOOKUP(B1101,Course!$A$2:$R$329,2,FALSE)</f>
        <v>0</v>
      </c>
      <c r="G1101" s="2">
        <f>VLOOKUP(B1101, Course!$A$2:$L$950, 8, FALSE)</f>
        <v>10</v>
      </c>
      <c r="H1101" s="2">
        <v>3</v>
      </c>
      <c r="I1101" s="2">
        <v>1</v>
      </c>
      <c r="K1101" s="2" t="s">
        <v>1915</v>
      </c>
      <c r="L1101" s="2" t="str">
        <f>VLOOKUP(B1101, Course!$A$1:$O$933, 14, FALSE)</f>
        <v>EC</v>
      </c>
      <c r="M1101" s="2">
        <v>1</v>
      </c>
    </row>
    <row r="1102" spans="1:13" ht="15.75" hidden="1" customHeight="1" x14ac:dyDescent="0.2">
      <c r="A1102" s="2">
        <v>1111</v>
      </c>
      <c r="B1102" s="2">
        <v>113</v>
      </c>
      <c r="C1102" s="2">
        <v>133</v>
      </c>
      <c r="D1102" s="2" t="s">
        <v>476</v>
      </c>
      <c r="E1102" s="2" t="str">
        <f t="shared" si="4"/>
        <v>1233EN03PT</v>
      </c>
      <c r="F1102" s="2">
        <f>VLOOKUP(B1102,Course!$A$2:$R$329,2,FALSE)</f>
        <v>0</v>
      </c>
      <c r="G1102" s="2">
        <f>VLOOKUP(B1102, Course!$A$2:$L$950, 8, FALSE)</f>
        <v>12</v>
      </c>
      <c r="H1102" s="2">
        <v>3</v>
      </c>
      <c r="I1102" s="2">
        <v>1</v>
      </c>
      <c r="K1102" s="2" t="s">
        <v>1915</v>
      </c>
      <c r="L1102" s="2" t="str">
        <f>VLOOKUP(B1102, Course!$A$1:$O$933, 14, FALSE)</f>
        <v>EN</v>
      </c>
      <c r="M1102" s="2">
        <v>1</v>
      </c>
    </row>
    <row r="1103" spans="1:13" ht="15.75" hidden="1" customHeight="1" x14ac:dyDescent="0.2">
      <c r="A1103" s="2">
        <v>1112</v>
      </c>
      <c r="B1103" s="2">
        <v>113</v>
      </c>
      <c r="C1103" s="2">
        <v>134</v>
      </c>
      <c r="D1103" s="2" t="s">
        <v>476</v>
      </c>
      <c r="E1103" s="2" t="str">
        <f t="shared" si="4"/>
        <v>1234EN03PT</v>
      </c>
      <c r="F1103" s="2">
        <f>VLOOKUP(B1103,Course!$A$2:$R$329,2,FALSE)</f>
        <v>0</v>
      </c>
      <c r="G1103" s="2">
        <f>VLOOKUP(B1103, Course!$A$2:$L$950, 8, FALSE)</f>
        <v>12</v>
      </c>
      <c r="H1103" s="2">
        <v>3</v>
      </c>
      <c r="I1103" s="2">
        <v>1</v>
      </c>
      <c r="K1103" s="2" t="s">
        <v>1915</v>
      </c>
      <c r="L1103" s="2" t="str">
        <f>VLOOKUP(B1103, Course!$A$1:$O$933, 14, FALSE)</f>
        <v>EN</v>
      </c>
      <c r="M1103" s="2">
        <v>1</v>
      </c>
    </row>
    <row r="1104" spans="1:13" ht="15.75" hidden="1" customHeight="1" x14ac:dyDescent="0.2">
      <c r="A1104" s="2">
        <v>1113</v>
      </c>
      <c r="B1104" s="2">
        <v>113</v>
      </c>
      <c r="C1104" s="2">
        <v>135</v>
      </c>
      <c r="D1104" s="2" t="s">
        <v>476</v>
      </c>
      <c r="E1104" s="2" t="str">
        <f t="shared" si="4"/>
        <v>1235EN03PT</v>
      </c>
      <c r="F1104" s="2">
        <f>VLOOKUP(B1104,Course!$A$2:$R$329,2,FALSE)</f>
        <v>0</v>
      </c>
      <c r="G1104" s="2">
        <f>VLOOKUP(B1104, Course!$A$2:$L$950, 8, FALSE)</f>
        <v>12</v>
      </c>
      <c r="H1104" s="2">
        <v>3</v>
      </c>
      <c r="I1104" s="2">
        <v>1</v>
      </c>
      <c r="K1104" s="2" t="s">
        <v>1915</v>
      </c>
      <c r="L1104" s="2" t="str">
        <f>VLOOKUP(B1104, Course!$A$1:$O$933, 14, FALSE)</f>
        <v>EN</v>
      </c>
      <c r="M1104" s="2">
        <v>1</v>
      </c>
    </row>
    <row r="1105" spans="1:13" ht="15.75" hidden="1" customHeight="1" x14ac:dyDescent="0.2">
      <c r="A1105" s="2">
        <v>1114</v>
      </c>
      <c r="B1105" s="2">
        <v>113</v>
      </c>
      <c r="C1105" s="2">
        <v>136</v>
      </c>
      <c r="D1105" s="2" t="s">
        <v>476</v>
      </c>
      <c r="E1105" s="2" t="str">
        <f t="shared" si="4"/>
        <v>1236EN03PT</v>
      </c>
      <c r="F1105" s="2">
        <f>VLOOKUP(B1105,Course!$A$2:$R$329,2,FALSE)</f>
        <v>0</v>
      </c>
      <c r="G1105" s="2">
        <f>VLOOKUP(B1105, Course!$A$2:$L$950, 8, FALSE)</f>
        <v>12</v>
      </c>
      <c r="H1105" s="2">
        <v>3</v>
      </c>
      <c r="I1105" s="2">
        <v>1</v>
      </c>
      <c r="K1105" s="2" t="s">
        <v>1915</v>
      </c>
      <c r="L1105" s="2" t="str">
        <f>VLOOKUP(B1105, Course!$A$1:$O$933, 14, FALSE)</f>
        <v>EN</v>
      </c>
      <c r="M1105" s="2">
        <v>1</v>
      </c>
    </row>
    <row r="1106" spans="1:13" ht="15.75" hidden="1" customHeight="1" x14ac:dyDescent="0.2">
      <c r="A1106" s="2">
        <v>1115</v>
      </c>
      <c r="B1106" s="2">
        <v>113</v>
      </c>
      <c r="C1106" s="2">
        <v>137</v>
      </c>
      <c r="D1106" s="2" t="s">
        <v>476</v>
      </c>
      <c r="E1106" s="2" t="str">
        <f t="shared" si="4"/>
        <v>1237EN03PT</v>
      </c>
      <c r="F1106" s="2">
        <f>VLOOKUP(B1106,Course!$A$2:$R$329,2,FALSE)</f>
        <v>0</v>
      </c>
      <c r="G1106" s="2">
        <f>VLOOKUP(B1106, Course!$A$2:$L$950, 8, FALSE)</f>
        <v>12</v>
      </c>
      <c r="H1106" s="2">
        <v>3</v>
      </c>
      <c r="I1106" s="2">
        <v>1</v>
      </c>
      <c r="K1106" s="2" t="s">
        <v>1915</v>
      </c>
      <c r="L1106" s="2" t="str">
        <f>VLOOKUP(B1106, Course!$A$1:$O$933, 14, FALSE)</f>
        <v>EN</v>
      </c>
      <c r="M1106" s="2">
        <v>1</v>
      </c>
    </row>
    <row r="1107" spans="1:13" ht="15.75" hidden="1" customHeight="1" x14ac:dyDescent="0.2">
      <c r="A1107" s="2">
        <v>1116</v>
      </c>
      <c r="B1107" s="2">
        <v>113</v>
      </c>
      <c r="C1107" s="2">
        <v>138</v>
      </c>
      <c r="D1107" s="2" t="s">
        <v>476</v>
      </c>
      <c r="E1107" s="2" t="str">
        <f t="shared" si="4"/>
        <v>1238EN03PT</v>
      </c>
      <c r="F1107" s="2">
        <f>VLOOKUP(B1107,Course!$A$2:$R$329,2,FALSE)</f>
        <v>0</v>
      </c>
      <c r="G1107" s="2">
        <f>VLOOKUP(B1107, Course!$A$2:$L$950, 8, FALSE)</f>
        <v>12</v>
      </c>
      <c r="H1107" s="2">
        <v>3</v>
      </c>
      <c r="I1107" s="2">
        <v>1</v>
      </c>
      <c r="K1107" s="2" t="s">
        <v>1915</v>
      </c>
      <c r="L1107" s="2" t="str">
        <f>VLOOKUP(B1107, Course!$A$1:$O$933, 14, FALSE)</f>
        <v>EN</v>
      </c>
      <c r="M1107" s="2">
        <v>1</v>
      </c>
    </row>
    <row r="1108" spans="1:13" ht="15.75" hidden="1" customHeight="1" x14ac:dyDescent="0.2">
      <c r="A1108" s="2">
        <v>1117</v>
      </c>
      <c r="B1108" s="2">
        <v>113</v>
      </c>
      <c r="C1108" s="2">
        <v>139</v>
      </c>
      <c r="D1108" s="2" t="s">
        <v>476</v>
      </c>
      <c r="E1108" s="2" t="str">
        <f t="shared" si="4"/>
        <v>1239EN03PT</v>
      </c>
      <c r="F1108" s="2">
        <f>VLOOKUP(B1108,Course!$A$2:$R$329,2,FALSE)</f>
        <v>0</v>
      </c>
      <c r="G1108" s="2">
        <f>VLOOKUP(B1108, Course!$A$2:$L$950, 8, FALSE)</f>
        <v>12</v>
      </c>
      <c r="H1108" s="2">
        <v>3</v>
      </c>
      <c r="I1108" s="2">
        <v>1</v>
      </c>
      <c r="K1108" s="2" t="s">
        <v>1915</v>
      </c>
      <c r="L1108" s="2" t="str">
        <f>VLOOKUP(B1108, Course!$A$1:$O$933, 14, FALSE)</f>
        <v>EN</v>
      </c>
      <c r="M1108" s="2">
        <v>1</v>
      </c>
    </row>
    <row r="1109" spans="1:13" ht="15.75" hidden="1" customHeight="1" x14ac:dyDescent="0.2">
      <c r="A1109" s="2">
        <v>1118</v>
      </c>
      <c r="B1109" s="2">
        <v>113</v>
      </c>
      <c r="C1109" s="2">
        <v>140</v>
      </c>
      <c r="D1109" s="2" t="s">
        <v>476</v>
      </c>
      <c r="E1109" s="2" t="str">
        <f t="shared" si="4"/>
        <v>1240EN03PT</v>
      </c>
      <c r="F1109" s="2">
        <f>VLOOKUP(B1109,Course!$A$2:$R$329,2,FALSE)</f>
        <v>0</v>
      </c>
      <c r="G1109" s="2">
        <f>VLOOKUP(B1109, Course!$A$2:$L$950, 8, FALSE)</f>
        <v>12</v>
      </c>
      <c r="H1109" s="2">
        <v>3</v>
      </c>
      <c r="I1109" s="2">
        <v>1</v>
      </c>
      <c r="K1109" s="2" t="s">
        <v>1915</v>
      </c>
      <c r="L1109" s="2" t="str">
        <f>VLOOKUP(B1109, Course!$A$1:$O$933, 14, FALSE)</f>
        <v>EN</v>
      </c>
      <c r="M1109" s="2">
        <v>1</v>
      </c>
    </row>
    <row r="1110" spans="1:13" ht="15.75" hidden="1" customHeight="1" x14ac:dyDescent="0.2">
      <c r="A1110" s="2">
        <v>1119</v>
      </c>
      <c r="B1110" s="2">
        <v>113</v>
      </c>
      <c r="C1110" s="2">
        <v>141</v>
      </c>
      <c r="D1110" s="2" t="s">
        <v>476</v>
      </c>
      <c r="E1110" s="2" t="str">
        <f t="shared" si="4"/>
        <v>1241EN03PT</v>
      </c>
      <c r="F1110" s="2">
        <f>VLOOKUP(B1110,Course!$A$2:$R$329,2,FALSE)</f>
        <v>0</v>
      </c>
      <c r="G1110" s="2">
        <f>VLOOKUP(B1110, Course!$A$2:$L$950, 8, FALSE)</f>
        <v>12</v>
      </c>
      <c r="H1110" s="2">
        <v>3</v>
      </c>
      <c r="I1110" s="2">
        <v>1</v>
      </c>
      <c r="K1110" s="2" t="s">
        <v>1915</v>
      </c>
      <c r="L1110" s="2" t="str">
        <f>VLOOKUP(B1110, Course!$A$1:$O$933, 14, FALSE)</f>
        <v>EN</v>
      </c>
      <c r="M1110" s="2">
        <v>1</v>
      </c>
    </row>
    <row r="1111" spans="1:13" ht="15.75" hidden="1" customHeight="1" x14ac:dyDescent="0.2">
      <c r="A1111" s="2">
        <v>1120</v>
      </c>
      <c r="B1111" s="2">
        <v>113</v>
      </c>
      <c r="C1111" s="2">
        <v>142</v>
      </c>
      <c r="D1111" s="2" t="s">
        <v>476</v>
      </c>
      <c r="E1111" s="2" t="str">
        <f t="shared" si="4"/>
        <v>1242EN03PT</v>
      </c>
      <c r="F1111" s="2">
        <f>VLOOKUP(B1111,Course!$A$2:$R$329,2,FALSE)</f>
        <v>0</v>
      </c>
      <c r="G1111" s="2">
        <f>VLOOKUP(B1111, Course!$A$2:$L$950, 8, FALSE)</f>
        <v>12</v>
      </c>
      <c r="H1111" s="2">
        <v>3</v>
      </c>
      <c r="I1111" s="2">
        <v>1</v>
      </c>
      <c r="K1111" s="2" t="s">
        <v>1915</v>
      </c>
      <c r="L1111" s="2" t="str">
        <f>VLOOKUP(B1111, Course!$A$1:$O$933, 14, FALSE)</f>
        <v>EN</v>
      </c>
      <c r="M1111" s="2">
        <v>1</v>
      </c>
    </row>
    <row r="1112" spans="1:13" ht="15.75" hidden="1" customHeight="1" x14ac:dyDescent="0.2">
      <c r="A1112" s="2">
        <v>1121</v>
      </c>
      <c r="B1112" s="2">
        <v>113</v>
      </c>
      <c r="C1112" s="2">
        <v>143</v>
      </c>
      <c r="D1112" s="2" t="s">
        <v>476</v>
      </c>
      <c r="E1112" s="2" t="str">
        <f t="shared" si="4"/>
        <v>1243EN03PT</v>
      </c>
      <c r="F1112" s="2">
        <f>VLOOKUP(B1112,Course!$A$2:$R$329,2,FALSE)</f>
        <v>0</v>
      </c>
      <c r="G1112" s="2">
        <f>VLOOKUP(B1112, Course!$A$2:$L$950, 8, FALSE)</f>
        <v>12</v>
      </c>
      <c r="H1112" s="2">
        <v>3</v>
      </c>
      <c r="I1112" s="2">
        <v>1</v>
      </c>
      <c r="K1112" s="2" t="s">
        <v>1915</v>
      </c>
      <c r="L1112" s="2" t="str">
        <f>VLOOKUP(B1112, Course!$A$1:$O$933, 14, FALSE)</f>
        <v>EN</v>
      </c>
      <c r="M1112" s="2">
        <v>1</v>
      </c>
    </row>
    <row r="1113" spans="1:13" ht="15.75" hidden="1" customHeight="1" x14ac:dyDescent="0.2">
      <c r="A1113" s="2">
        <v>1122</v>
      </c>
      <c r="B1113" s="2">
        <v>113</v>
      </c>
      <c r="C1113" s="2">
        <v>144</v>
      </c>
      <c r="D1113" s="2" t="s">
        <v>476</v>
      </c>
      <c r="E1113" s="2" t="str">
        <f t="shared" si="4"/>
        <v>1244EN03PT</v>
      </c>
      <c r="F1113" s="2">
        <f>VLOOKUP(B1113,Course!$A$2:$R$329,2,FALSE)</f>
        <v>0</v>
      </c>
      <c r="G1113" s="2">
        <f>VLOOKUP(B1113, Course!$A$2:$L$950, 8, FALSE)</f>
        <v>12</v>
      </c>
      <c r="H1113" s="2">
        <v>3</v>
      </c>
      <c r="I1113" s="2">
        <v>1</v>
      </c>
      <c r="K1113" s="2" t="s">
        <v>1915</v>
      </c>
      <c r="L1113" s="2" t="str">
        <f>VLOOKUP(B1113, Course!$A$1:$O$933, 14, FALSE)</f>
        <v>EN</v>
      </c>
      <c r="M1113" s="2">
        <v>1</v>
      </c>
    </row>
    <row r="1114" spans="1:13" ht="15.75" hidden="1" customHeight="1" x14ac:dyDescent="0.2">
      <c r="A1114" s="2">
        <v>1123</v>
      </c>
      <c r="B1114" s="2">
        <v>114</v>
      </c>
      <c r="C1114" s="2">
        <v>11</v>
      </c>
      <c r="D1114" s="2" t="s">
        <v>626</v>
      </c>
      <c r="E1114" s="2" t="str">
        <f t="shared" si="4"/>
        <v>1011GR03PT</v>
      </c>
      <c r="F1114" s="2">
        <f>VLOOKUP(B1114,Course!$A$2:$R$329,2,FALSE)</f>
        <v>0</v>
      </c>
      <c r="G1114" s="2">
        <f>VLOOKUP(B1114, Course!$A$2:$L$950, 8, FALSE)</f>
        <v>10</v>
      </c>
      <c r="H1114" s="2">
        <v>3</v>
      </c>
      <c r="I1114" s="2">
        <v>1</v>
      </c>
      <c r="K1114" s="2" t="s">
        <v>1915</v>
      </c>
      <c r="L1114" s="2" t="str">
        <f>VLOOKUP(B1114, Course!$A$1:$O$933, 14, FALSE)</f>
        <v>GR</v>
      </c>
      <c r="M1114" s="2">
        <v>1</v>
      </c>
    </row>
    <row r="1115" spans="1:13" ht="15.75" hidden="1" customHeight="1" x14ac:dyDescent="0.2">
      <c r="A1115" s="2">
        <v>1124</v>
      </c>
      <c r="B1115" s="2">
        <v>114</v>
      </c>
      <c r="C1115" s="2">
        <v>12</v>
      </c>
      <c r="D1115" s="2" t="s">
        <v>626</v>
      </c>
      <c r="E1115" s="2" t="str">
        <f t="shared" si="4"/>
        <v>1012GR03PT</v>
      </c>
      <c r="F1115" s="2">
        <f>VLOOKUP(B1115,Course!$A$2:$R$329,2,FALSE)</f>
        <v>0</v>
      </c>
      <c r="G1115" s="2">
        <f>VLOOKUP(B1115, Course!$A$2:$L$950, 8, FALSE)</f>
        <v>10</v>
      </c>
      <c r="H1115" s="2">
        <v>3</v>
      </c>
      <c r="I1115" s="2">
        <v>1</v>
      </c>
      <c r="K1115" s="2" t="s">
        <v>1915</v>
      </c>
      <c r="L1115" s="2" t="str">
        <f>VLOOKUP(B1115, Course!$A$1:$O$933, 14, FALSE)</f>
        <v>GR</v>
      </c>
      <c r="M1115" s="2">
        <v>1</v>
      </c>
    </row>
    <row r="1116" spans="1:13" ht="15.75" hidden="1" customHeight="1" x14ac:dyDescent="0.2">
      <c r="A1116" s="2">
        <v>1125</v>
      </c>
      <c r="B1116" s="2">
        <v>114</v>
      </c>
      <c r="C1116" s="2">
        <v>13</v>
      </c>
      <c r="D1116" s="2" t="s">
        <v>626</v>
      </c>
      <c r="E1116" s="2" t="str">
        <f t="shared" si="4"/>
        <v>1013GR03PT</v>
      </c>
      <c r="F1116" s="2">
        <f>VLOOKUP(B1116,Course!$A$2:$R$329,2,FALSE)</f>
        <v>0</v>
      </c>
      <c r="G1116" s="2">
        <f>VLOOKUP(B1116, Course!$A$2:$L$950, 8, FALSE)</f>
        <v>10</v>
      </c>
      <c r="H1116" s="2">
        <v>3</v>
      </c>
      <c r="I1116" s="2">
        <v>1</v>
      </c>
      <c r="K1116" s="2" t="s">
        <v>1915</v>
      </c>
      <c r="L1116" s="2" t="str">
        <f>VLOOKUP(B1116, Course!$A$1:$O$933, 14, FALSE)</f>
        <v>GR</v>
      </c>
      <c r="M1116" s="2">
        <v>1</v>
      </c>
    </row>
    <row r="1117" spans="1:13" ht="15.75" hidden="1" customHeight="1" x14ac:dyDescent="0.2">
      <c r="A1117" s="2">
        <v>1126</v>
      </c>
      <c r="B1117" s="2">
        <v>114</v>
      </c>
      <c r="C1117" s="2">
        <v>14</v>
      </c>
      <c r="D1117" s="2" t="s">
        <v>626</v>
      </c>
      <c r="E1117" s="2" t="str">
        <f t="shared" si="4"/>
        <v>1014GR03PT</v>
      </c>
      <c r="F1117" s="2">
        <f>VLOOKUP(B1117,Course!$A$2:$R$329,2,FALSE)</f>
        <v>0</v>
      </c>
      <c r="G1117" s="2">
        <f>VLOOKUP(B1117, Course!$A$2:$L$950, 8, FALSE)</f>
        <v>10</v>
      </c>
      <c r="H1117" s="2">
        <v>3</v>
      </c>
      <c r="I1117" s="2">
        <v>1</v>
      </c>
      <c r="K1117" s="2" t="s">
        <v>1915</v>
      </c>
      <c r="L1117" s="2" t="str">
        <f>VLOOKUP(B1117, Course!$A$1:$O$933, 14, FALSE)</f>
        <v>GR</v>
      </c>
      <c r="M1117" s="2">
        <v>1</v>
      </c>
    </row>
    <row r="1118" spans="1:13" ht="15.75" hidden="1" customHeight="1" x14ac:dyDescent="0.2">
      <c r="A1118" s="2">
        <v>1127</v>
      </c>
      <c r="B1118" s="2">
        <v>114</v>
      </c>
      <c r="C1118" s="2">
        <v>15</v>
      </c>
      <c r="D1118" s="2" t="s">
        <v>626</v>
      </c>
      <c r="E1118" s="2" t="str">
        <f t="shared" si="4"/>
        <v>1015GR03PT</v>
      </c>
      <c r="F1118" s="2">
        <f>VLOOKUP(B1118,Course!$A$2:$R$329,2,FALSE)</f>
        <v>0</v>
      </c>
      <c r="G1118" s="2">
        <f>VLOOKUP(B1118, Course!$A$2:$L$950, 8, FALSE)</f>
        <v>10</v>
      </c>
      <c r="H1118" s="2">
        <v>3</v>
      </c>
      <c r="I1118" s="2">
        <v>1</v>
      </c>
      <c r="K1118" s="2" t="s">
        <v>1915</v>
      </c>
      <c r="L1118" s="2" t="str">
        <f>VLOOKUP(B1118, Course!$A$1:$O$933, 14, FALSE)</f>
        <v>GR</v>
      </c>
      <c r="M1118" s="2">
        <v>1</v>
      </c>
    </row>
    <row r="1119" spans="1:13" ht="15.75" hidden="1" customHeight="1" x14ac:dyDescent="0.2">
      <c r="A1119" s="2">
        <v>1128</v>
      </c>
      <c r="B1119" s="2">
        <v>114</v>
      </c>
      <c r="C1119" s="2">
        <v>16</v>
      </c>
      <c r="D1119" s="2" t="s">
        <v>626</v>
      </c>
      <c r="E1119" s="2" t="str">
        <f t="shared" si="4"/>
        <v>1016GR03PT</v>
      </c>
      <c r="F1119" s="2">
        <f>VLOOKUP(B1119,Course!$A$2:$R$329,2,FALSE)</f>
        <v>0</v>
      </c>
      <c r="G1119" s="2">
        <f>VLOOKUP(B1119, Course!$A$2:$L$950, 8, FALSE)</f>
        <v>10</v>
      </c>
      <c r="H1119" s="2">
        <v>3</v>
      </c>
      <c r="I1119" s="2">
        <v>1</v>
      </c>
      <c r="K1119" s="2" t="s">
        <v>1915</v>
      </c>
      <c r="L1119" s="2" t="str">
        <f>VLOOKUP(B1119, Course!$A$1:$O$933, 14, FALSE)</f>
        <v>GR</v>
      </c>
      <c r="M1119" s="2">
        <v>1</v>
      </c>
    </row>
    <row r="1120" spans="1:13" ht="15.75" hidden="1" customHeight="1" x14ac:dyDescent="0.2">
      <c r="A1120" s="2">
        <v>1129</v>
      </c>
      <c r="B1120" s="2">
        <v>114</v>
      </c>
      <c r="C1120" s="2">
        <v>17</v>
      </c>
      <c r="D1120" s="2" t="s">
        <v>626</v>
      </c>
      <c r="E1120" s="2" t="str">
        <f t="shared" si="4"/>
        <v>1017GR03PT</v>
      </c>
      <c r="F1120" s="2">
        <f>VLOOKUP(B1120,Course!$A$2:$R$329,2,FALSE)</f>
        <v>0</v>
      </c>
      <c r="G1120" s="2">
        <f>VLOOKUP(B1120, Course!$A$2:$L$950, 8, FALSE)</f>
        <v>10</v>
      </c>
      <c r="H1120" s="2">
        <v>3</v>
      </c>
      <c r="I1120" s="2">
        <v>1</v>
      </c>
      <c r="K1120" s="2" t="s">
        <v>1915</v>
      </c>
      <c r="L1120" s="2" t="str">
        <f>VLOOKUP(B1120, Course!$A$1:$O$933, 14, FALSE)</f>
        <v>GR</v>
      </c>
      <c r="M1120" s="2">
        <v>1</v>
      </c>
    </row>
    <row r="1121" spans="1:13" ht="15.75" hidden="1" customHeight="1" x14ac:dyDescent="0.2">
      <c r="A1121" s="2">
        <v>1130</v>
      </c>
      <c r="B1121" s="2">
        <v>114</v>
      </c>
      <c r="C1121" s="2">
        <v>18</v>
      </c>
      <c r="D1121" s="2" t="s">
        <v>626</v>
      </c>
      <c r="E1121" s="2" t="str">
        <f t="shared" si="4"/>
        <v>1018GR03PT</v>
      </c>
      <c r="F1121" s="2">
        <f>VLOOKUP(B1121,Course!$A$2:$R$329,2,FALSE)</f>
        <v>0</v>
      </c>
      <c r="G1121" s="2">
        <f>VLOOKUP(B1121, Course!$A$2:$L$950, 8, FALSE)</f>
        <v>10</v>
      </c>
      <c r="H1121" s="2">
        <v>3</v>
      </c>
      <c r="I1121" s="2">
        <v>1</v>
      </c>
      <c r="K1121" s="2" t="s">
        <v>1915</v>
      </c>
      <c r="L1121" s="2" t="str">
        <f>VLOOKUP(B1121, Course!$A$1:$O$933, 14, FALSE)</f>
        <v>GR</v>
      </c>
      <c r="M1121" s="2">
        <v>1</v>
      </c>
    </row>
    <row r="1122" spans="1:13" ht="15.75" hidden="1" customHeight="1" x14ac:dyDescent="0.2">
      <c r="A1122" s="2">
        <v>1131</v>
      </c>
      <c r="B1122" s="2">
        <v>114</v>
      </c>
      <c r="C1122" s="2">
        <v>19</v>
      </c>
      <c r="D1122" s="2" t="s">
        <v>626</v>
      </c>
      <c r="E1122" s="2" t="str">
        <f t="shared" si="4"/>
        <v>1019GR03PT</v>
      </c>
      <c r="F1122" s="2">
        <f>VLOOKUP(B1122,Course!$A$2:$R$329,2,FALSE)</f>
        <v>0</v>
      </c>
      <c r="G1122" s="2">
        <f>VLOOKUP(B1122, Course!$A$2:$L$950, 8, FALSE)</f>
        <v>10</v>
      </c>
      <c r="H1122" s="2">
        <v>3</v>
      </c>
      <c r="I1122" s="2">
        <v>1</v>
      </c>
      <c r="K1122" s="2" t="s">
        <v>1915</v>
      </c>
      <c r="L1122" s="2" t="str">
        <f>VLOOKUP(B1122, Course!$A$1:$O$933, 14, FALSE)</f>
        <v>GR</v>
      </c>
      <c r="M1122" s="2">
        <v>1</v>
      </c>
    </row>
    <row r="1123" spans="1:13" ht="15.75" hidden="1" customHeight="1" x14ac:dyDescent="0.2">
      <c r="A1123" s="2">
        <v>1132</v>
      </c>
      <c r="B1123" s="2">
        <v>114</v>
      </c>
      <c r="C1123" s="2">
        <v>20</v>
      </c>
      <c r="D1123" s="2" t="s">
        <v>626</v>
      </c>
      <c r="E1123" s="2" t="str">
        <f t="shared" si="4"/>
        <v>1020GR03PT</v>
      </c>
      <c r="F1123" s="2">
        <f>VLOOKUP(B1123,Course!$A$2:$R$329,2,FALSE)</f>
        <v>0</v>
      </c>
      <c r="G1123" s="2">
        <f>VLOOKUP(B1123, Course!$A$2:$L$950, 8, FALSE)</f>
        <v>10</v>
      </c>
      <c r="H1123" s="2">
        <v>3</v>
      </c>
      <c r="I1123" s="2">
        <v>1</v>
      </c>
      <c r="K1123" s="2" t="s">
        <v>1915</v>
      </c>
      <c r="L1123" s="2" t="str">
        <f>VLOOKUP(B1123, Course!$A$1:$O$933, 14, FALSE)</f>
        <v>GR</v>
      </c>
      <c r="M1123" s="2">
        <v>1</v>
      </c>
    </row>
    <row r="1124" spans="1:13" ht="15.75" hidden="1" customHeight="1" x14ac:dyDescent="0.2">
      <c r="A1124" s="2">
        <v>1133</v>
      </c>
      <c r="B1124" s="2">
        <v>115</v>
      </c>
      <c r="C1124" s="2">
        <v>7</v>
      </c>
      <c r="D1124" s="2" t="s">
        <v>563</v>
      </c>
      <c r="E1124" s="2" t="str">
        <f t="shared" si="4"/>
        <v>207MT03PT</v>
      </c>
      <c r="F1124" s="2">
        <f>VLOOKUP(B1124,Course!$A$2:$R$329,2,FALSE)</f>
        <v>0</v>
      </c>
      <c r="G1124" s="2">
        <f>VLOOKUP(B1124, Course!$A$2:$L$950, 8, FALSE)</f>
        <v>2</v>
      </c>
      <c r="H1124" s="2">
        <v>3</v>
      </c>
      <c r="I1124" s="2">
        <v>1</v>
      </c>
      <c r="K1124" s="2" t="s">
        <v>1915</v>
      </c>
      <c r="L1124" s="2" t="str">
        <f>VLOOKUP(B1124, Course!$A$1:$O$933, 14, FALSE)</f>
        <v>MT</v>
      </c>
      <c r="M1124" s="2">
        <v>1</v>
      </c>
    </row>
    <row r="1125" spans="1:13" ht="15.75" hidden="1" customHeight="1" x14ac:dyDescent="0.2">
      <c r="A1125" s="2">
        <v>1134</v>
      </c>
      <c r="B1125" s="2">
        <v>115</v>
      </c>
      <c r="C1125" s="2">
        <v>8</v>
      </c>
      <c r="D1125" s="2" t="s">
        <v>563</v>
      </c>
      <c r="E1125" s="2" t="str">
        <f t="shared" si="4"/>
        <v>208MT03PT</v>
      </c>
      <c r="F1125" s="2">
        <f>VLOOKUP(B1125,Course!$A$2:$R$329,2,FALSE)</f>
        <v>0</v>
      </c>
      <c r="G1125" s="2">
        <f>VLOOKUP(B1125, Course!$A$2:$L$950, 8, FALSE)</f>
        <v>2</v>
      </c>
      <c r="H1125" s="2">
        <v>3</v>
      </c>
      <c r="I1125" s="2">
        <v>1</v>
      </c>
      <c r="K1125" s="2" t="s">
        <v>1915</v>
      </c>
      <c r="L1125" s="2" t="str">
        <f>VLOOKUP(B1125, Course!$A$1:$O$933, 14, FALSE)</f>
        <v>MT</v>
      </c>
      <c r="M1125" s="2">
        <v>1</v>
      </c>
    </row>
    <row r="1126" spans="1:13" ht="15.75" hidden="1" customHeight="1" x14ac:dyDescent="0.2">
      <c r="A1126" s="2">
        <v>1135</v>
      </c>
      <c r="B1126" s="2">
        <v>116</v>
      </c>
      <c r="C1126" s="2">
        <v>1</v>
      </c>
      <c r="D1126" s="2" t="s">
        <v>648</v>
      </c>
      <c r="E1126" s="2" t="str">
        <f t="shared" si="4"/>
        <v>1001CP03PT</v>
      </c>
      <c r="F1126" s="2" t="str">
        <f>VLOOKUP(B1126,Course!$A$2:$R$329,2,FALSE)</f>
        <v>Basic Intro. to Physical Science</v>
      </c>
      <c r="G1126" s="2">
        <f>VLOOKUP(B1126, Course!$A$2:$L$950, 8, FALSE)</f>
        <v>10</v>
      </c>
      <c r="H1126" s="2">
        <v>3</v>
      </c>
      <c r="I1126" s="2">
        <v>1</v>
      </c>
      <c r="K1126" s="2" t="s">
        <v>1915</v>
      </c>
      <c r="L1126" s="2" t="str">
        <f>VLOOKUP(B1126, Course!$A$1:$O$933, 14, FALSE)</f>
        <v>CP</v>
      </c>
      <c r="M1126" s="2">
        <v>1</v>
      </c>
    </row>
    <row r="1127" spans="1:13" ht="15.75" hidden="1" customHeight="1" x14ac:dyDescent="0.2">
      <c r="A1127" s="2">
        <v>1136</v>
      </c>
      <c r="B1127" s="2">
        <v>116</v>
      </c>
      <c r="C1127" s="2">
        <v>2</v>
      </c>
      <c r="D1127" s="2" t="s">
        <v>648</v>
      </c>
      <c r="E1127" s="2" t="str">
        <f t="shared" si="4"/>
        <v>1002CP03PT</v>
      </c>
      <c r="F1127" s="2" t="str">
        <f>VLOOKUP(B1127,Course!$A$2:$R$329,2,FALSE)</f>
        <v>Basic Intro. to Physical Science</v>
      </c>
      <c r="G1127" s="2">
        <f>VLOOKUP(B1127, Course!$A$2:$L$950, 8, FALSE)</f>
        <v>10</v>
      </c>
      <c r="H1127" s="2">
        <v>3</v>
      </c>
      <c r="I1127" s="2">
        <v>1</v>
      </c>
      <c r="K1127" s="2" t="s">
        <v>1915</v>
      </c>
      <c r="L1127" s="2" t="str">
        <f>VLOOKUP(B1127, Course!$A$1:$O$933, 14, FALSE)</f>
        <v>CP</v>
      </c>
      <c r="M1127" s="2">
        <v>1</v>
      </c>
    </row>
    <row r="1128" spans="1:13" ht="15.75" hidden="1" customHeight="1" x14ac:dyDescent="0.2">
      <c r="A1128" s="2">
        <v>1137</v>
      </c>
      <c r="B1128" s="2">
        <v>116</v>
      </c>
      <c r="C1128" s="2">
        <v>3</v>
      </c>
      <c r="D1128" s="2" t="s">
        <v>648</v>
      </c>
      <c r="E1128" s="2" t="str">
        <f t="shared" si="4"/>
        <v>1003CP03PT</v>
      </c>
      <c r="F1128" s="2" t="str">
        <f>VLOOKUP(B1128,Course!$A$2:$R$329,2,FALSE)</f>
        <v>Basic Intro. to Physical Science</v>
      </c>
      <c r="G1128" s="2">
        <f>VLOOKUP(B1128, Course!$A$2:$L$950, 8, FALSE)</f>
        <v>10</v>
      </c>
      <c r="H1128" s="2">
        <v>3</v>
      </c>
      <c r="I1128" s="2">
        <v>1</v>
      </c>
      <c r="K1128" s="2" t="s">
        <v>1915</v>
      </c>
      <c r="L1128" s="2" t="str">
        <f>VLOOKUP(B1128, Course!$A$1:$O$933, 14, FALSE)</f>
        <v>CP</v>
      </c>
      <c r="M1128" s="2">
        <v>1</v>
      </c>
    </row>
    <row r="1129" spans="1:13" ht="15.75" hidden="1" customHeight="1" x14ac:dyDescent="0.2">
      <c r="A1129" s="2">
        <v>1138</v>
      </c>
      <c r="B1129" s="2">
        <v>116</v>
      </c>
      <c r="C1129" s="2">
        <v>4</v>
      </c>
      <c r="D1129" s="2" t="s">
        <v>648</v>
      </c>
      <c r="E1129" s="2" t="str">
        <f t="shared" si="4"/>
        <v>1004CP03PT</v>
      </c>
      <c r="F1129" s="2" t="str">
        <f>VLOOKUP(B1129,Course!$A$2:$R$329,2,FALSE)</f>
        <v>Basic Intro. to Physical Science</v>
      </c>
      <c r="G1129" s="2">
        <f>VLOOKUP(B1129, Course!$A$2:$L$950, 8, FALSE)</f>
        <v>10</v>
      </c>
      <c r="H1129" s="2">
        <v>3</v>
      </c>
      <c r="I1129" s="2">
        <v>1</v>
      </c>
      <c r="K1129" s="2" t="s">
        <v>1915</v>
      </c>
      <c r="L1129" s="2" t="str">
        <f>VLOOKUP(B1129, Course!$A$1:$O$933, 14, FALSE)</f>
        <v>CP</v>
      </c>
      <c r="M1129" s="2">
        <v>1</v>
      </c>
    </row>
    <row r="1130" spans="1:13" ht="15.75" hidden="1" customHeight="1" x14ac:dyDescent="0.2">
      <c r="A1130" s="2">
        <v>1139</v>
      </c>
      <c r="B1130" s="2">
        <v>116</v>
      </c>
      <c r="C1130" s="2">
        <v>5</v>
      </c>
      <c r="D1130" s="2" t="s">
        <v>648</v>
      </c>
      <c r="E1130" s="2" t="str">
        <f t="shared" si="4"/>
        <v>1005CP03PT</v>
      </c>
      <c r="F1130" s="2" t="str">
        <f>VLOOKUP(B1130,Course!$A$2:$R$329,2,FALSE)</f>
        <v>Basic Intro. to Physical Science</v>
      </c>
      <c r="G1130" s="2">
        <f>VLOOKUP(B1130, Course!$A$2:$L$950, 8, FALSE)</f>
        <v>10</v>
      </c>
      <c r="H1130" s="2">
        <v>3</v>
      </c>
      <c r="I1130" s="2">
        <v>1</v>
      </c>
      <c r="K1130" s="2" t="s">
        <v>1915</v>
      </c>
      <c r="L1130" s="2" t="str">
        <f>VLOOKUP(B1130, Course!$A$1:$O$933, 14, FALSE)</f>
        <v>CP</v>
      </c>
      <c r="M1130" s="2">
        <v>2</v>
      </c>
    </row>
    <row r="1131" spans="1:13" ht="15.75" hidden="1" customHeight="1" x14ac:dyDescent="0.2">
      <c r="A1131" s="2">
        <v>1140</v>
      </c>
      <c r="B1131" s="2">
        <v>116</v>
      </c>
      <c r="C1131" s="2">
        <v>6</v>
      </c>
      <c r="D1131" s="2" t="s">
        <v>648</v>
      </c>
      <c r="E1131" s="2" t="str">
        <f t="shared" si="4"/>
        <v>1006CP03PT</v>
      </c>
      <c r="F1131" s="2" t="str">
        <f>VLOOKUP(B1131,Course!$A$2:$R$329,2,FALSE)</f>
        <v>Basic Intro. to Physical Science</v>
      </c>
      <c r="G1131" s="2">
        <f>VLOOKUP(B1131, Course!$A$2:$L$950, 8, FALSE)</f>
        <v>10</v>
      </c>
      <c r="H1131" s="2">
        <v>3</v>
      </c>
      <c r="I1131" s="2">
        <v>1</v>
      </c>
      <c r="K1131" s="2" t="s">
        <v>1915</v>
      </c>
      <c r="L1131" s="2" t="str">
        <f>VLOOKUP(B1131, Course!$A$1:$O$933, 14, FALSE)</f>
        <v>CP</v>
      </c>
      <c r="M1131" s="2">
        <v>1</v>
      </c>
    </row>
    <row r="1132" spans="1:13" ht="15.75" hidden="1" customHeight="1" x14ac:dyDescent="0.2">
      <c r="A1132" s="2">
        <v>1141</v>
      </c>
      <c r="B1132" s="2">
        <v>116</v>
      </c>
      <c r="C1132" s="2">
        <v>7</v>
      </c>
      <c r="D1132" s="2" t="s">
        <v>648</v>
      </c>
      <c r="E1132" s="2" t="str">
        <f t="shared" si="4"/>
        <v>1007CP03PT</v>
      </c>
      <c r="F1132" s="2" t="str">
        <f>VLOOKUP(B1132,Course!$A$2:$R$329,2,FALSE)</f>
        <v>Basic Intro. to Physical Science</v>
      </c>
      <c r="G1132" s="2">
        <f>VLOOKUP(B1132, Course!$A$2:$L$950, 8, FALSE)</f>
        <v>10</v>
      </c>
      <c r="H1132" s="2">
        <v>3</v>
      </c>
      <c r="I1132" s="2">
        <v>1</v>
      </c>
      <c r="K1132" s="2" t="s">
        <v>1915</v>
      </c>
      <c r="L1132" s="2" t="str">
        <f>VLOOKUP(B1132, Course!$A$1:$O$933, 14, FALSE)</f>
        <v>CP</v>
      </c>
      <c r="M1132" s="2">
        <v>1</v>
      </c>
    </row>
    <row r="1133" spans="1:13" ht="15.75" hidden="1" customHeight="1" x14ac:dyDescent="0.2">
      <c r="A1133" s="2">
        <v>1142</v>
      </c>
      <c r="B1133" s="2">
        <v>116</v>
      </c>
      <c r="C1133" s="2">
        <v>8</v>
      </c>
      <c r="D1133" s="2" t="s">
        <v>648</v>
      </c>
      <c r="E1133" s="2" t="str">
        <f t="shared" si="4"/>
        <v>1008CP03PT</v>
      </c>
      <c r="F1133" s="2" t="str">
        <f>VLOOKUP(B1133,Course!$A$2:$R$329,2,FALSE)</f>
        <v>Basic Intro. to Physical Science</v>
      </c>
      <c r="G1133" s="2">
        <f>VLOOKUP(B1133, Course!$A$2:$L$950, 8, FALSE)</f>
        <v>10</v>
      </c>
      <c r="H1133" s="2">
        <v>3</v>
      </c>
      <c r="I1133" s="2">
        <v>1</v>
      </c>
      <c r="K1133" s="2" t="s">
        <v>1915</v>
      </c>
      <c r="L1133" s="2" t="str">
        <f>VLOOKUP(B1133, Course!$A$1:$O$933, 14, FALSE)</f>
        <v>CP</v>
      </c>
      <c r="M1133" s="2">
        <v>1</v>
      </c>
    </row>
    <row r="1134" spans="1:13" ht="15.75" hidden="1" customHeight="1" x14ac:dyDescent="0.2">
      <c r="A1134" s="2">
        <v>1143</v>
      </c>
      <c r="B1134" s="2">
        <v>116</v>
      </c>
      <c r="C1134" s="2">
        <v>9</v>
      </c>
      <c r="D1134" s="2" t="s">
        <v>648</v>
      </c>
      <c r="E1134" s="2" t="str">
        <f t="shared" si="4"/>
        <v>1009CP03PT</v>
      </c>
      <c r="F1134" s="2" t="str">
        <f>VLOOKUP(B1134,Course!$A$2:$R$329,2,FALSE)</f>
        <v>Basic Intro. to Physical Science</v>
      </c>
      <c r="G1134" s="2">
        <f>VLOOKUP(B1134, Course!$A$2:$L$950, 8, FALSE)</f>
        <v>10</v>
      </c>
      <c r="H1134" s="2">
        <v>3</v>
      </c>
      <c r="I1134" s="2">
        <v>1</v>
      </c>
      <c r="K1134" s="2" t="s">
        <v>1915</v>
      </c>
      <c r="L1134" s="2" t="str">
        <f>VLOOKUP(B1134, Course!$A$1:$O$933, 14, FALSE)</f>
        <v>CP</v>
      </c>
      <c r="M1134" s="2">
        <v>1</v>
      </c>
    </row>
    <row r="1135" spans="1:13" ht="15.75" hidden="1" customHeight="1" x14ac:dyDescent="0.2">
      <c r="A1135" s="2">
        <v>1144</v>
      </c>
      <c r="B1135" s="2">
        <v>116</v>
      </c>
      <c r="C1135" s="2">
        <v>10</v>
      </c>
      <c r="D1135" s="2" t="s">
        <v>648</v>
      </c>
      <c r="E1135" s="2" t="str">
        <f t="shared" si="4"/>
        <v>1010CP03PT</v>
      </c>
      <c r="F1135" s="2" t="str">
        <f>VLOOKUP(B1135,Course!$A$2:$R$329,2,FALSE)</f>
        <v>Basic Intro. to Physical Science</v>
      </c>
      <c r="G1135" s="2">
        <f>VLOOKUP(B1135, Course!$A$2:$L$950, 8, FALSE)</f>
        <v>10</v>
      </c>
      <c r="H1135" s="2">
        <v>3</v>
      </c>
      <c r="I1135" s="2">
        <v>1</v>
      </c>
      <c r="K1135" s="2" t="s">
        <v>1915</v>
      </c>
      <c r="L1135" s="2" t="str">
        <f>VLOOKUP(B1135, Course!$A$1:$O$933, 14, FALSE)</f>
        <v>CP</v>
      </c>
      <c r="M1135" s="2">
        <v>2</v>
      </c>
    </row>
    <row r="1136" spans="1:13" ht="15.75" hidden="1" customHeight="1" x14ac:dyDescent="0.2">
      <c r="A1136" s="2">
        <v>1145</v>
      </c>
      <c r="B1136" s="2">
        <v>117</v>
      </c>
      <c r="C1136" s="2">
        <v>133</v>
      </c>
      <c r="D1136" s="2" t="s">
        <v>650</v>
      </c>
      <c r="E1136" s="2" t="str">
        <f t="shared" si="4"/>
        <v>1233PH03PT</v>
      </c>
      <c r="F1136" s="2" t="str">
        <f>VLOOKUP(B1136,Course!$A$2:$R$329,2,FALSE)</f>
        <v>Science 12</v>
      </c>
      <c r="G1136" s="2">
        <f>VLOOKUP(B1136, Course!$A$2:$L$950, 8, FALSE)</f>
        <v>12</v>
      </c>
      <c r="H1136" s="2">
        <v>3</v>
      </c>
      <c r="I1136" s="2">
        <v>1</v>
      </c>
      <c r="K1136" s="2" t="s">
        <v>1915</v>
      </c>
      <c r="L1136" s="2" t="str">
        <f>VLOOKUP(B1136, Course!$A$1:$O$933, 14, FALSE)</f>
        <v>PH</v>
      </c>
      <c r="M1136" s="2">
        <v>1</v>
      </c>
    </row>
    <row r="1137" spans="1:13" ht="15.75" hidden="1" customHeight="1" x14ac:dyDescent="0.2">
      <c r="A1137" s="2">
        <v>1146</v>
      </c>
      <c r="B1137" s="2">
        <v>117</v>
      </c>
      <c r="C1137" s="2">
        <v>134</v>
      </c>
      <c r="D1137" s="2" t="s">
        <v>650</v>
      </c>
      <c r="E1137" s="2" t="str">
        <f t="shared" si="4"/>
        <v>1234PH03PT</v>
      </c>
      <c r="F1137" s="2" t="str">
        <f>VLOOKUP(B1137,Course!$A$2:$R$329,2,FALSE)</f>
        <v>Science 12</v>
      </c>
      <c r="G1137" s="2">
        <f>VLOOKUP(B1137, Course!$A$2:$L$950, 8, FALSE)</f>
        <v>12</v>
      </c>
      <c r="H1137" s="2">
        <v>3</v>
      </c>
      <c r="I1137" s="2">
        <v>1</v>
      </c>
      <c r="K1137" s="2" t="s">
        <v>1915</v>
      </c>
      <c r="L1137" s="2" t="str">
        <f>VLOOKUP(B1137, Course!$A$1:$O$933, 14, FALSE)</f>
        <v>PH</v>
      </c>
      <c r="M1137" s="2">
        <v>1</v>
      </c>
    </row>
    <row r="1138" spans="1:13" ht="15.75" hidden="1" customHeight="1" x14ac:dyDescent="0.2">
      <c r="A1138" s="2">
        <v>1147</v>
      </c>
      <c r="B1138" s="2">
        <v>117</v>
      </c>
      <c r="C1138" s="2">
        <v>135</v>
      </c>
      <c r="D1138" s="2" t="s">
        <v>650</v>
      </c>
      <c r="E1138" s="2" t="str">
        <f t="shared" si="4"/>
        <v>1235PH03PT</v>
      </c>
      <c r="F1138" s="2" t="str">
        <f>VLOOKUP(B1138,Course!$A$2:$R$329,2,FALSE)</f>
        <v>Science 12</v>
      </c>
      <c r="G1138" s="2">
        <f>VLOOKUP(B1138, Course!$A$2:$L$950, 8, FALSE)</f>
        <v>12</v>
      </c>
      <c r="H1138" s="2">
        <v>3</v>
      </c>
      <c r="I1138" s="2">
        <v>1</v>
      </c>
      <c r="K1138" s="2" t="s">
        <v>1915</v>
      </c>
      <c r="L1138" s="2" t="str">
        <f>VLOOKUP(B1138, Course!$A$1:$O$933, 14, FALSE)</f>
        <v>PH</v>
      </c>
      <c r="M1138" s="2">
        <v>1</v>
      </c>
    </row>
    <row r="1139" spans="1:13" ht="15.75" hidden="1" customHeight="1" x14ac:dyDescent="0.2">
      <c r="A1139" s="2">
        <v>1148</v>
      </c>
      <c r="B1139" s="2">
        <v>117</v>
      </c>
      <c r="C1139" s="2">
        <v>136</v>
      </c>
      <c r="D1139" s="2" t="s">
        <v>650</v>
      </c>
      <c r="E1139" s="2" t="str">
        <f t="shared" si="4"/>
        <v>1236PH03PT</v>
      </c>
      <c r="F1139" s="2" t="str">
        <f>VLOOKUP(B1139,Course!$A$2:$R$329,2,FALSE)</f>
        <v>Science 12</v>
      </c>
      <c r="G1139" s="2">
        <f>VLOOKUP(B1139, Course!$A$2:$L$950, 8, FALSE)</f>
        <v>12</v>
      </c>
      <c r="H1139" s="2">
        <v>3</v>
      </c>
      <c r="I1139" s="2">
        <v>1</v>
      </c>
      <c r="K1139" s="2" t="s">
        <v>1915</v>
      </c>
      <c r="L1139" s="2" t="str">
        <f>VLOOKUP(B1139, Course!$A$1:$O$933, 14, FALSE)</f>
        <v>PH</v>
      </c>
      <c r="M1139" s="2">
        <v>1</v>
      </c>
    </row>
    <row r="1140" spans="1:13" ht="15.75" hidden="1" customHeight="1" x14ac:dyDescent="0.2">
      <c r="A1140" s="2">
        <v>1149</v>
      </c>
      <c r="B1140" s="2">
        <v>117</v>
      </c>
      <c r="C1140" s="2">
        <v>137</v>
      </c>
      <c r="D1140" s="2" t="s">
        <v>650</v>
      </c>
      <c r="E1140" s="2" t="str">
        <f t="shared" si="4"/>
        <v>1237PH03PT</v>
      </c>
      <c r="F1140" s="2" t="str">
        <f>VLOOKUP(B1140,Course!$A$2:$R$329,2,FALSE)</f>
        <v>Science 12</v>
      </c>
      <c r="G1140" s="2">
        <f>VLOOKUP(B1140, Course!$A$2:$L$950, 8, FALSE)</f>
        <v>12</v>
      </c>
      <c r="H1140" s="2">
        <v>3</v>
      </c>
      <c r="I1140" s="2">
        <v>1</v>
      </c>
      <c r="K1140" s="2" t="s">
        <v>1915</v>
      </c>
      <c r="L1140" s="2" t="str">
        <f>VLOOKUP(B1140, Course!$A$1:$O$933, 14, FALSE)</f>
        <v>PH</v>
      </c>
      <c r="M1140" s="2">
        <v>1</v>
      </c>
    </row>
    <row r="1141" spans="1:13" ht="15.75" hidden="1" customHeight="1" x14ac:dyDescent="0.2">
      <c r="A1141" s="2">
        <v>1150</v>
      </c>
      <c r="B1141" s="2">
        <v>117</v>
      </c>
      <c r="C1141" s="2">
        <v>138</v>
      </c>
      <c r="D1141" s="2" t="s">
        <v>650</v>
      </c>
      <c r="E1141" s="2" t="str">
        <f t="shared" si="4"/>
        <v>1238PH03PT</v>
      </c>
      <c r="F1141" s="2" t="str">
        <f>VLOOKUP(B1141,Course!$A$2:$R$329,2,FALSE)</f>
        <v>Science 12</v>
      </c>
      <c r="G1141" s="2">
        <f>VLOOKUP(B1141, Course!$A$2:$L$950, 8, FALSE)</f>
        <v>12</v>
      </c>
      <c r="H1141" s="2">
        <v>3</v>
      </c>
      <c r="I1141" s="2">
        <v>1</v>
      </c>
      <c r="K1141" s="2" t="s">
        <v>1915</v>
      </c>
      <c r="L1141" s="2" t="str">
        <f>VLOOKUP(B1141, Course!$A$1:$O$933, 14, FALSE)</f>
        <v>PH</v>
      </c>
      <c r="M1141" s="2">
        <v>1</v>
      </c>
    </row>
    <row r="1142" spans="1:13" ht="15.75" hidden="1" customHeight="1" x14ac:dyDescent="0.2">
      <c r="A1142" s="2">
        <v>1151</v>
      </c>
      <c r="B1142" s="2">
        <v>117</v>
      </c>
      <c r="C1142" s="2">
        <v>139</v>
      </c>
      <c r="D1142" s="2" t="s">
        <v>650</v>
      </c>
      <c r="E1142" s="2" t="str">
        <f t="shared" si="4"/>
        <v>1239PH03PT</v>
      </c>
      <c r="F1142" s="2" t="str">
        <f>VLOOKUP(B1142,Course!$A$2:$R$329,2,FALSE)</f>
        <v>Science 12</v>
      </c>
      <c r="G1142" s="2">
        <f>VLOOKUP(B1142, Course!$A$2:$L$950, 8, FALSE)</f>
        <v>12</v>
      </c>
      <c r="H1142" s="2">
        <v>3</v>
      </c>
      <c r="I1142" s="2">
        <v>1</v>
      </c>
      <c r="K1142" s="2" t="s">
        <v>1915</v>
      </c>
      <c r="L1142" s="2" t="str">
        <f>VLOOKUP(B1142, Course!$A$1:$O$933, 14, FALSE)</f>
        <v>PH</v>
      </c>
      <c r="M1142" s="2">
        <v>1</v>
      </c>
    </row>
    <row r="1143" spans="1:13" ht="15.75" hidden="1" customHeight="1" x14ac:dyDescent="0.2">
      <c r="A1143" s="2">
        <v>1152</v>
      </c>
      <c r="B1143" s="2">
        <v>117</v>
      </c>
      <c r="C1143" s="2">
        <v>140</v>
      </c>
      <c r="D1143" s="2" t="s">
        <v>650</v>
      </c>
      <c r="E1143" s="2" t="str">
        <f t="shared" si="4"/>
        <v>1240PH03PT</v>
      </c>
      <c r="F1143" s="2" t="str">
        <f>VLOOKUP(B1143,Course!$A$2:$R$329,2,FALSE)</f>
        <v>Science 12</v>
      </c>
      <c r="G1143" s="2">
        <f>VLOOKUP(B1143, Course!$A$2:$L$950, 8, FALSE)</f>
        <v>12</v>
      </c>
      <c r="H1143" s="2">
        <v>3</v>
      </c>
      <c r="I1143" s="2">
        <v>1</v>
      </c>
      <c r="K1143" s="2" t="s">
        <v>1915</v>
      </c>
      <c r="L1143" s="2" t="str">
        <f>VLOOKUP(B1143, Course!$A$1:$O$933, 14, FALSE)</f>
        <v>PH</v>
      </c>
      <c r="M1143" s="2">
        <v>1</v>
      </c>
    </row>
    <row r="1144" spans="1:13" ht="15.75" hidden="1" customHeight="1" x14ac:dyDescent="0.2">
      <c r="A1144" s="2">
        <v>1153</v>
      </c>
      <c r="B1144" s="2">
        <v>117</v>
      </c>
      <c r="C1144" s="2">
        <v>141</v>
      </c>
      <c r="D1144" s="2" t="s">
        <v>650</v>
      </c>
      <c r="E1144" s="2" t="str">
        <f t="shared" si="4"/>
        <v>1241PH03PT</v>
      </c>
      <c r="F1144" s="2" t="str">
        <f>VLOOKUP(B1144,Course!$A$2:$R$329,2,FALSE)</f>
        <v>Science 12</v>
      </c>
      <c r="G1144" s="2">
        <f>VLOOKUP(B1144, Course!$A$2:$L$950, 8, FALSE)</f>
        <v>12</v>
      </c>
      <c r="H1144" s="2">
        <v>3</v>
      </c>
      <c r="I1144" s="2">
        <v>1</v>
      </c>
      <c r="K1144" s="2" t="s">
        <v>1915</v>
      </c>
      <c r="L1144" s="2" t="str">
        <f>VLOOKUP(B1144, Course!$A$1:$O$933, 14, FALSE)</f>
        <v>PH</v>
      </c>
      <c r="M1144" s="2">
        <v>1</v>
      </c>
    </row>
    <row r="1145" spans="1:13" ht="15.75" hidden="1" customHeight="1" x14ac:dyDescent="0.2">
      <c r="A1145" s="2">
        <v>1154</v>
      </c>
      <c r="B1145" s="2">
        <v>117</v>
      </c>
      <c r="C1145" s="2">
        <v>142</v>
      </c>
      <c r="D1145" s="2" t="s">
        <v>650</v>
      </c>
      <c r="E1145" s="2" t="str">
        <f t="shared" si="4"/>
        <v>1242PH03PT</v>
      </c>
      <c r="F1145" s="2" t="str">
        <f>VLOOKUP(B1145,Course!$A$2:$R$329,2,FALSE)</f>
        <v>Science 12</v>
      </c>
      <c r="G1145" s="2">
        <f>VLOOKUP(B1145, Course!$A$2:$L$950, 8, FALSE)</f>
        <v>12</v>
      </c>
      <c r="H1145" s="2">
        <v>3</v>
      </c>
      <c r="I1145" s="2">
        <v>1</v>
      </c>
      <c r="K1145" s="2" t="s">
        <v>1915</v>
      </c>
      <c r="L1145" s="2" t="str">
        <f>VLOOKUP(B1145, Course!$A$1:$O$933, 14, FALSE)</f>
        <v>PH</v>
      </c>
      <c r="M1145" s="2">
        <v>1</v>
      </c>
    </row>
    <row r="1146" spans="1:13" ht="15.75" hidden="1" customHeight="1" x14ac:dyDescent="0.2">
      <c r="A1146" s="2">
        <v>1155</v>
      </c>
      <c r="B1146" s="2">
        <v>117</v>
      </c>
      <c r="C1146" s="2">
        <v>143</v>
      </c>
      <c r="D1146" s="2" t="s">
        <v>650</v>
      </c>
      <c r="E1146" s="2" t="str">
        <f t="shared" si="4"/>
        <v>1243PH03PT</v>
      </c>
      <c r="F1146" s="2" t="str">
        <f>VLOOKUP(B1146,Course!$A$2:$R$329,2,FALSE)</f>
        <v>Science 12</v>
      </c>
      <c r="G1146" s="2">
        <f>VLOOKUP(B1146, Course!$A$2:$L$950, 8, FALSE)</f>
        <v>12</v>
      </c>
      <c r="H1146" s="2">
        <v>3</v>
      </c>
      <c r="I1146" s="2">
        <v>1</v>
      </c>
      <c r="K1146" s="2" t="s">
        <v>1915</v>
      </c>
      <c r="L1146" s="2" t="str">
        <f>VLOOKUP(B1146, Course!$A$1:$O$933, 14, FALSE)</f>
        <v>PH</v>
      </c>
      <c r="M1146" s="2">
        <v>1</v>
      </c>
    </row>
    <row r="1147" spans="1:13" ht="15.75" hidden="1" customHeight="1" x14ac:dyDescent="0.2">
      <c r="A1147" s="2">
        <v>1156</v>
      </c>
      <c r="B1147" s="2">
        <v>117</v>
      </c>
      <c r="C1147" s="2">
        <v>144</v>
      </c>
      <c r="D1147" s="2" t="s">
        <v>650</v>
      </c>
      <c r="E1147" s="2" t="str">
        <f t="shared" si="4"/>
        <v>1244PH03PT</v>
      </c>
      <c r="F1147" s="2" t="str">
        <f>VLOOKUP(B1147,Course!$A$2:$R$329,2,FALSE)</f>
        <v>Science 12</v>
      </c>
      <c r="G1147" s="2">
        <f>VLOOKUP(B1147, Course!$A$2:$L$950, 8, FALSE)</f>
        <v>12</v>
      </c>
      <c r="H1147" s="2">
        <v>3</v>
      </c>
      <c r="I1147" s="2">
        <v>1</v>
      </c>
      <c r="K1147" s="2" t="s">
        <v>1915</v>
      </c>
      <c r="L1147" s="2" t="str">
        <f>VLOOKUP(B1147, Course!$A$1:$O$933, 14, FALSE)</f>
        <v>PH</v>
      </c>
      <c r="M1147" s="2">
        <v>1</v>
      </c>
    </row>
    <row r="1148" spans="1:13" ht="15.75" hidden="1" customHeight="1" x14ac:dyDescent="0.2">
      <c r="A1148" s="2">
        <v>1157</v>
      </c>
      <c r="B1148" s="2">
        <v>118</v>
      </c>
      <c r="C1148" s="2">
        <v>85</v>
      </c>
      <c r="D1148" s="2" t="s">
        <v>654</v>
      </c>
      <c r="E1148" s="2" t="str">
        <f t="shared" si="4"/>
        <v>1285AH03PT</v>
      </c>
      <c r="F1148" s="2">
        <f>VLOOKUP(B1148,Course!$A$2:$R$329,2,FALSE)</f>
        <v>0</v>
      </c>
      <c r="G1148" s="2">
        <f>VLOOKUP(B1148, Course!$A$2:$L$950, 8, FALSE)</f>
        <v>12</v>
      </c>
      <c r="H1148" s="2">
        <v>3</v>
      </c>
      <c r="I1148" s="2">
        <v>1</v>
      </c>
      <c r="K1148" s="2" t="s">
        <v>1915</v>
      </c>
      <c r="L1148" s="2" t="str">
        <f>VLOOKUP(B1148, Course!$A$1:$O$933, 14, FALSE)</f>
        <v>AH</v>
      </c>
      <c r="M1148" s="2">
        <v>1</v>
      </c>
    </row>
    <row r="1149" spans="1:13" ht="15.75" hidden="1" customHeight="1" x14ac:dyDescent="0.2">
      <c r="A1149" s="2">
        <v>1158</v>
      </c>
      <c r="B1149" s="2">
        <v>118</v>
      </c>
      <c r="C1149" s="2">
        <v>86</v>
      </c>
      <c r="D1149" s="2" t="s">
        <v>654</v>
      </c>
      <c r="E1149" s="2" t="str">
        <f t="shared" si="4"/>
        <v>1286AH03PT</v>
      </c>
      <c r="F1149" s="2">
        <f>VLOOKUP(B1149,Course!$A$2:$R$329,2,FALSE)</f>
        <v>0</v>
      </c>
      <c r="G1149" s="2">
        <f>VLOOKUP(B1149, Course!$A$2:$L$950, 8, FALSE)</f>
        <v>12</v>
      </c>
      <c r="H1149" s="2">
        <v>3</v>
      </c>
      <c r="I1149" s="2">
        <v>1</v>
      </c>
      <c r="K1149" s="2" t="s">
        <v>1915</v>
      </c>
      <c r="L1149" s="2" t="str">
        <f>VLOOKUP(B1149, Course!$A$1:$O$933, 14, FALSE)</f>
        <v>AH</v>
      </c>
      <c r="M1149" s="2">
        <v>1</v>
      </c>
    </row>
    <row r="1150" spans="1:13" ht="15.75" hidden="1" customHeight="1" x14ac:dyDescent="0.2">
      <c r="A1150" s="2">
        <v>1159</v>
      </c>
      <c r="B1150" s="2">
        <v>118</v>
      </c>
      <c r="C1150" s="2">
        <v>87</v>
      </c>
      <c r="D1150" s="2" t="s">
        <v>654</v>
      </c>
      <c r="E1150" s="2" t="str">
        <f t="shared" si="4"/>
        <v>1287AH03PT</v>
      </c>
      <c r="F1150" s="2">
        <f>VLOOKUP(B1150,Course!$A$2:$R$329,2,FALSE)</f>
        <v>0</v>
      </c>
      <c r="G1150" s="2">
        <f>VLOOKUP(B1150, Course!$A$2:$L$950, 8, FALSE)</f>
        <v>12</v>
      </c>
      <c r="H1150" s="2">
        <v>3</v>
      </c>
      <c r="I1150" s="2">
        <v>1</v>
      </c>
      <c r="K1150" s="2" t="s">
        <v>1915</v>
      </c>
      <c r="L1150" s="2" t="str">
        <f>VLOOKUP(B1150, Course!$A$1:$O$933, 14, FALSE)</f>
        <v>AH</v>
      </c>
      <c r="M1150" s="2">
        <v>1</v>
      </c>
    </row>
    <row r="1151" spans="1:13" ht="15.75" hidden="1" customHeight="1" x14ac:dyDescent="0.2">
      <c r="A1151" s="2">
        <v>1160</v>
      </c>
      <c r="B1151" s="2">
        <v>118</v>
      </c>
      <c r="C1151" s="2">
        <v>88</v>
      </c>
      <c r="D1151" s="2" t="s">
        <v>654</v>
      </c>
      <c r="E1151" s="2" t="str">
        <f t="shared" si="4"/>
        <v>1288AH03PT</v>
      </c>
      <c r="F1151" s="2">
        <f>VLOOKUP(B1151,Course!$A$2:$R$329,2,FALSE)</f>
        <v>0</v>
      </c>
      <c r="G1151" s="2">
        <f>VLOOKUP(B1151, Course!$A$2:$L$950, 8, FALSE)</f>
        <v>12</v>
      </c>
      <c r="H1151" s="2">
        <v>3</v>
      </c>
      <c r="I1151" s="2">
        <v>1</v>
      </c>
      <c r="K1151" s="2" t="s">
        <v>1915</v>
      </c>
      <c r="L1151" s="2" t="str">
        <f>VLOOKUP(B1151, Course!$A$1:$O$933, 14, FALSE)</f>
        <v>AH</v>
      </c>
      <c r="M1151" s="2">
        <v>1</v>
      </c>
    </row>
    <row r="1152" spans="1:13" ht="15.75" hidden="1" customHeight="1" x14ac:dyDescent="0.2">
      <c r="A1152" s="2">
        <v>1161</v>
      </c>
      <c r="B1152" s="2">
        <v>118</v>
      </c>
      <c r="C1152" s="2">
        <v>89</v>
      </c>
      <c r="D1152" s="2" t="s">
        <v>654</v>
      </c>
      <c r="E1152" s="2" t="str">
        <f t="shared" si="4"/>
        <v>1289AH03PT</v>
      </c>
      <c r="F1152" s="2">
        <f>VLOOKUP(B1152,Course!$A$2:$R$329,2,FALSE)</f>
        <v>0</v>
      </c>
      <c r="G1152" s="2">
        <f>VLOOKUP(B1152, Course!$A$2:$L$950, 8, FALSE)</f>
        <v>12</v>
      </c>
      <c r="H1152" s="2">
        <v>3</v>
      </c>
      <c r="I1152" s="2">
        <v>1</v>
      </c>
      <c r="K1152" s="2" t="s">
        <v>1915</v>
      </c>
      <c r="L1152" s="2" t="str">
        <f>VLOOKUP(B1152, Course!$A$1:$O$933, 14, FALSE)</f>
        <v>AH</v>
      </c>
      <c r="M1152" s="2">
        <v>1</v>
      </c>
    </row>
    <row r="1153" spans="1:13" ht="15.75" hidden="1" customHeight="1" x14ac:dyDescent="0.2">
      <c r="A1153" s="2">
        <v>1162</v>
      </c>
      <c r="B1153" s="2">
        <v>118</v>
      </c>
      <c r="C1153" s="2">
        <v>90</v>
      </c>
      <c r="D1153" s="2" t="s">
        <v>654</v>
      </c>
      <c r="E1153" s="2" t="str">
        <f t="shared" si="4"/>
        <v>1290AH03PT</v>
      </c>
      <c r="F1153" s="2">
        <f>VLOOKUP(B1153,Course!$A$2:$R$329,2,FALSE)</f>
        <v>0</v>
      </c>
      <c r="G1153" s="2">
        <f>VLOOKUP(B1153, Course!$A$2:$L$950, 8, FALSE)</f>
        <v>12</v>
      </c>
      <c r="H1153" s="2">
        <v>3</v>
      </c>
      <c r="I1153" s="2">
        <v>1</v>
      </c>
      <c r="K1153" s="2" t="s">
        <v>1915</v>
      </c>
      <c r="L1153" s="2" t="str">
        <f>VLOOKUP(B1153, Course!$A$1:$O$933, 14, FALSE)</f>
        <v>AH</v>
      </c>
      <c r="M1153" s="2">
        <v>1</v>
      </c>
    </row>
    <row r="1154" spans="1:13" ht="15.75" hidden="1" customHeight="1" x14ac:dyDescent="0.2">
      <c r="A1154" s="2">
        <v>1163</v>
      </c>
      <c r="B1154" s="2">
        <v>118</v>
      </c>
      <c r="C1154" s="2">
        <v>91</v>
      </c>
      <c r="D1154" s="2" t="s">
        <v>654</v>
      </c>
      <c r="E1154" s="2" t="str">
        <f t="shared" si="4"/>
        <v>1291AH03PT</v>
      </c>
      <c r="F1154" s="2">
        <f>VLOOKUP(B1154,Course!$A$2:$R$329,2,FALSE)</f>
        <v>0</v>
      </c>
      <c r="G1154" s="2">
        <f>VLOOKUP(B1154, Course!$A$2:$L$950, 8, FALSE)</f>
        <v>12</v>
      </c>
      <c r="H1154" s="2">
        <v>3</v>
      </c>
      <c r="I1154" s="2">
        <v>1</v>
      </c>
      <c r="K1154" s="2" t="s">
        <v>1915</v>
      </c>
      <c r="L1154" s="2" t="str">
        <f>VLOOKUP(B1154, Course!$A$1:$O$933, 14, FALSE)</f>
        <v>AH</v>
      </c>
      <c r="M1154" s="2">
        <v>1</v>
      </c>
    </row>
    <row r="1155" spans="1:13" ht="15.75" hidden="1" customHeight="1" x14ac:dyDescent="0.2">
      <c r="A1155" s="2">
        <v>1164</v>
      </c>
      <c r="B1155" s="2">
        <v>118</v>
      </c>
      <c r="C1155" s="2">
        <v>92</v>
      </c>
      <c r="D1155" s="2" t="s">
        <v>654</v>
      </c>
      <c r="E1155" s="2" t="str">
        <f t="shared" si="4"/>
        <v>1292AH03PT</v>
      </c>
      <c r="F1155" s="2">
        <f>VLOOKUP(B1155,Course!$A$2:$R$329,2,FALSE)</f>
        <v>0</v>
      </c>
      <c r="G1155" s="2">
        <f>VLOOKUP(B1155, Course!$A$2:$L$950, 8, FALSE)</f>
        <v>12</v>
      </c>
      <c r="H1155" s="2">
        <v>3</v>
      </c>
      <c r="I1155" s="2">
        <v>1</v>
      </c>
      <c r="K1155" s="2" t="s">
        <v>1915</v>
      </c>
      <c r="L1155" s="2" t="str">
        <f>VLOOKUP(B1155, Course!$A$1:$O$933, 14, FALSE)</f>
        <v>AH</v>
      </c>
      <c r="M1155" s="2">
        <v>1</v>
      </c>
    </row>
    <row r="1156" spans="1:13" ht="15.75" hidden="1" customHeight="1" x14ac:dyDescent="0.2">
      <c r="A1156" s="2">
        <v>1165</v>
      </c>
      <c r="B1156" s="2">
        <v>118</v>
      </c>
      <c r="C1156" s="2">
        <v>93</v>
      </c>
      <c r="D1156" s="2" t="s">
        <v>654</v>
      </c>
      <c r="E1156" s="2" t="str">
        <f t="shared" si="4"/>
        <v>1293AH03PT</v>
      </c>
      <c r="F1156" s="2">
        <f>VLOOKUP(B1156,Course!$A$2:$R$329,2,FALSE)</f>
        <v>0</v>
      </c>
      <c r="G1156" s="2">
        <f>VLOOKUP(B1156, Course!$A$2:$L$950, 8, FALSE)</f>
        <v>12</v>
      </c>
      <c r="H1156" s="2">
        <v>3</v>
      </c>
      <c r="I1156" s="2">
        <v>1</v>
      </c>
      <c r="K1156" s="2" t="s">
        <v>1915</v>
      </c>
      <c r="L1156" s="2" t="str">
        <f>VLOOKUP(B1156, Course!$A$1:$O$933, 14, FALSE)</f>
        <v>AH</v>
      </c>
      <c r="M1156" s="2">
        <v>1</v>
      </c>
    </row>
    <row r="1157" spans="1:13" ht="15.75" hidden="1" customHeight="1" x14ac:dyDescent="0.2">
      <c r="A1157" s="2">
        <v>1166</v>
      </c>
      <c r="B1157" s="2">
        <v>118</v>
      </c>
      <c r="C1157" s="2">
        <v>94</v>
      </c>
      <c r="D1157" s="2" t="s">
        <v>654</v>
      </c>
      <c r="E1157" s="2" t="str">
        <f t="shared" si="4"/>
        <v>1294AH03PT</v>
      </c>
      <c r="F1157" s="2">
        <f>VLOOKUP(B1157,Course!$A$2:$R$329,2,FALSE)</f>
        <v>0</v>
      </c>
      <c r="G1157" s="2">
        <f>VLOOKUP(B1157, Course!$A$2:$L$950, 8, FALSE)</f>
        <v>12</v>
      </c>
      <c r="H1157" s="2">
        <v>3</v>
      </c>
      <c r="I1157" s="2">
        <v>1</v>
      </c>
      <c r="K1157" s="2" t="s">
        <v>1915</v>
      </c>
      <c r="L1157" s="2" t="str">
        <f>VLOOKUP(B1157, Course!$A$1:$O$933, 14, FALSE)</f>
        <v>AH</v>
      </c>
      <c r="M1157" s="2">
        <v>1</v>
      </c>
    </row>
    <row r="1158" spans="1:13" ht="15.75" hidden="1" customHeight="1" x14ac:dyDescent="0.2">
      <c r="A1158" s="2">
        <v>1167</v>
      </c>
      <c r="B1158" s="2">
        <v>118</v>
      </c>
      <c r="C1158" s="2">
        <v>95</v>
      </c>
      <c r="D1158" s="2" t="s">
        <v>654</v>
      </c>
      <c r="E1158" s="2" t="str">
        <f t="shared" si="4"/>
        <v>1295AH03PT</v>
      </c>
      <c r="F1158" s="2">
        <f>VLOOKUP(B1158,Course!$A$2:$R$329,2,FALSE)</f>
        <v>0</v>
      </c>
      <c r="G1158" s="2">
        <f>VLOOKUP(B1158, Course!$A$2:$L$950, 8, FALSE)</f>
        <v>12</v>
      </c>
      <c r="H1158" s="2">
        <v>3</v>
      </c>
      <c r="I1158" s="2">
        <v>1</v>
      </c>
      <c r="K1158" s="2" t="s">
        <v>1915</v>
      </c>
      <c r="L1158" s="2" t="str">
        <f>VLOOKUP(B1158, Course!$A$1:$O$933, 14, FALSE)</f>
        <v>AH</v>
      </c>
      <c r="M1158" s="2">
        <v>1</v>
      </c>
    </row>
    <row r="1159" spans="1:13" ht="15.75" hidden="1" customHeight="1" x14ac:dyDescent="0.2">
      <c r="A1159" s="2">
        <v>1168</v>
      </c>
      <c r="B1159" s="2">
        <v>118</v>
      </c>
      <c r="C1159" s="2">
        <v>96</v>
      </c>
      <c r="D1159" s="2" t="s">
        <v>654</v>
      </c>
      <c r="E1159" s="2" t="str">
        <f t="shared" si="4"/>
        <v>1296AH03PT</v>
      </c>
      <c r="F1159" s="2">
        <f>VLOOKUP(B1159,Course!$A$2:$R$329,2,FALSE)</f>
        <v>0</v>
      </c>
      <c r="G1159" s="2">
        <f>VLOOKUP(B1159, Course!$A$2:$L$950, 8, FALSE)</f>
        <v>12</v>
      </c>
      <c r="H1159" s="2">
        <v>3</v>
      </c>
      <c r="I1159" s="2">
        <v>1</v>
      </c>
      <c r="K1159" s="2" t="s">
        <v>1915</v>
      </c>
      <c r="L1159" s="2" t="str">
        <f>VLOOKUP(B1159, Course!$A$1:$O$933, 14, FALSE)</f>
        <v>AH</v>
      </c>
      <c r="M1159" s="2">
        <v>1</v>
      </c>
    </row>
    <row r="1160" spans="1:13" ht="15.75" hidden="1" customHeight="1" x14ac:dyDescent="0.2">
      <c r="A1160" s="2">
        <v>1169</v>
      </c>
      <c r="B1160" s="2">
        <v>164</v>
      </c>
      <c r="C1160" s="2">
        <v>133</v>
      </c>
      <c r="D1160" s="2" t="s">
        <v>658</v>
      </c>
      <c r="E1160" s="2" t="str">
        <f t="shared" si="4"/>
        <v>633CE03PT</v>
      </c>
      <c r="F1160" s="2" t="str">
        <f>VLOOKUP(B1160,Course!$A$2:$R$329,2,FALSE)</f>
        <v>U.S. Civics</v>
      </c>
      <c r="G1160" s="2">
        <f>VLOOKUP(B1160, Course!$A$2:$L$950, 8, FALSE)</f>
        <v>6</v>
      </c>
      <c r="H1160" s="2">
        <v>3</v>
      </c>
      <c r="I1160" s="2">
        <v>1</v>
      </c>
      <c r="K1160" s="2" t="s">
        <v>1915</v>
      </c>
      <c r="L1160" s="2" t="str">
        <f>VLOOKUP(B1160, Course!$A$1:$O$933, 14, FALSE)</f>
        <v>USCI</v>
      </c>
      <c r="M1160" s="2">
        <v>1</v>
      </c>
    </row>
    <row r="1161" spans="1:13" ht="15.75" hidden="1" customHeight="1" x14ac:dyDescent="0.2">
      <c r="A1161" s="2">
        <v>1170</v>
      </c>
      <c r="B1161" s="2">
        <v>164</v>
      </c>
      <c r="C1161" s="2">
        <v>134</v>
      </c>
      <c r="D1161" s="2" t="s">
        <v>658</v>
      </c>
      <c r="E1161" s="2" t="str">
        <f t="shared" si="4"/>
        <v>634CE03PT</v>
      </c>
      <c r="F1161" s="2" t="str">
        <f>VLOOKUP(B1161,Course!$A$2:$R$329,2,FALSE)</f>
        <v>U.S. Civics</v>
      </c>
      <c r="G1161" s="2">
        <f>VLOOKUP(B1161, Course!$A$2:$L$950, 8, FALSE)</f>
        <v>6</v>
      </c>
      <c r="H1161" s="2">
        <v>3</v>
      </c>
      <c r="I1161" s="2">
        <v>1</v>
      </c>
      <c r="K1161" s="2" t="s">
        <v>1915</v>
      </c>
      <c r="L1161" s="2" t="str">
        <f>VLOOKUP(B1161, Course!$A$1:$O$933, 14, FALSE)</f>
        <v>USCI</v>
      </c>
      <c r="M1161" s="2">
        <v>1</v>
      </c>
    </row>
    <row r="1162" spans="1:13" ht="15.75" hidden="1" customHeight="1" x14ac:dyDescent="0.2">
      <c r="A1162" s="2">
        <v>1171</v>
      </c>
      <c r="B1162" s="2">
        <v>164</v>
      </c>
      <c r="C1162" s="2">
        <v>135</v>
      </c>
      <c r="D1162" s="2" t="s">
        <v>658</v>
      </c>
      <c r="E1162" s="2" t="str">
        <f t="shared" si="4"/>
        <v>635CE03PT</v>
      </c>
      <c r="F1162" s="2" t="str">
        <f>VLOOKUP(B1162,Course!$A$2:$R$329,2,FALSE)</f>
        <v>U.S. Civics</v>
      </c>
      <c r="G1162" s="2">
        <f>VLOOKUP(B1162, Course!$A$2:$L$950, 8, FALSE)</f>
        <v>6</v>
      </c>
      <c r="H1162" s="2">
        <v>3</v>
      </c>
      <c r="I1162" s="2">
        <v>1</v>
      </c>
      <c r="K1162" s="2" t="s">
        <v>1915</v>
      </c>
      <c r="L1162" s="2" t="str">
        <f>VLOOKUP(B1162, Course!$A$1:$O$933, 14, FALSE)</f>
        <v>USCI</v>
      </c>
      <c r="M1162" s="2">
        <v>1</v>
      </c>
    </row>
    <row r="1163" spans="1:13" ht="15.75" hidden="1" customHeight="1" x14ac:dyDescent="0.2">
      <c r="A1163" s="2">
        <v>1172</v>
      </c>
      <c r="B1163" s="2">
        <v>164</v>
      </c>
      <c r="C1163" s="2">
        <v>136</v>
      </c>
      <c r="D1163" s="2" t="s">
        <v>658</v>
      </c>
      <c r="E1163" s="2" t="str">
        <f t="shared" si="4"/>
        <v>636CE03PT</v>
      </c>
      <c r="F1163" s="2" t="str">
        <f>VLOOKUP(B1163,Course!$A$2:$R$329,2,FALSE)</f>
        <v>U.S. Civics</v>
      </c>
      <c r="G1163" s="2">
        <f>VLOOKUP(B1163, Course!$A$2:$L$950, 8, FALSE)</f>
        <v>6</v>
      </c>
      <c r="H1163" s="2">
        <v>3</v>
      </c>
      <c r="I1163" s="2">
        <v>1</v>
      </c>
      <c r="K1163" s="2" t="s">
        <v>1915</v>
      </c>
      <c r="L1163" s="2" t="str">
        <f>VLOOKUP(B1163, Course!$A$1:$O$933, 14, FALSE)</f>
        <v>USCI</v>
      </c>
      <c r="M1163" s="2">
        <v>1</v>
      </c>
    </row>
    <row r="1164" spans="1:13" ht="15.75" hidden="1" customHeight="1" x14ac:dyDescent="0.2">
      <c r="A1164" s="2">
        <v>1173</v>
      </c>
      <c r="B1164" s="2">
        <v>164</v>
      </c>
      <c r="C1164" s="2">
        <v>137</v>
      </c>
      <c r="D1164" s="2" t="s">
        <v>658</v>
      </c>
      <c r="E1164" s="2" t="str">
        <f t="shared" si="4"/>
        <v>637CE03PT</v>
      </c>
      <c r="F1164" s="2" t="str">
        <f>VLOOKUP(B1164,Course!$A$2:$R$329,2,FALSE)</f>
        <v>U.S. Civics</v>
      </c>
      <c r="G1164" s="2">
        <f>VLOOKUP(B1164, Course!$A$2:$L$950, 8, FALSE)</f>
        <v>6</v>
      </c>
      <c r="H1164" s="2">
        <v>3</v>
      </c>
      <c r="I1164" s="2">
        <v>1</v>
      </c>
      <c r="K1164" s="2" t="s">
        <v>1915</v>
      </c>
      <c r="L1164" s="2" t="str">
        <f>VLOOKUP(B1164, Course!$A$1:$O$933, 14, FALSE)</f>
        <v>USCI</v>
      </c>
      <c r="M1164" s="2">
        <v>1</v>
      </c>
    </row>
    <row r="1165" spans="1:13" ht="15.75" hidden="1" customHeight="1" x14ac:dyDescent="0.2">
      <c r="A1165" s="2">
        <v>1174</v>
      </c>
      <c r="B1165" s="2">
        <v>164</v>
      </c>
      <c r="C1165" s="2">
        <v>138</v>
      </c>
      <c r="D1165" s="2" t="s">
        <v>658</v>
      </c>
      <c r="E1165" s="2" t="str">
        <f t="shared" si="4"/>
        <v>638CE03PT</v>
      </c>
      <c r="F1165" s="2" t="str">
        <f>VLOOKUP(B1165,Course!$A$2:$R$329,2,FALSE)</f>
        <v>U.S. Civics</v>
      </c>
      <c r="G1165" s="2">
        <f>VLOOKUP(B1165, Course!$A$2:$L$950, 8, FALSE)</f>
        <v>6</v>
      </c>
      <c r="H1165" s="2">
        <v>3</v>
      </c>
      <c r="I1165" s="2">
        <v>1</v>
      </c>
      <c r="K1165" s="2" t="s">
        <v>1915</v>
      </c>
      <c r="L1165" s="2" t="str">
        <f>VLOOKUP(B1165, Course!$A$1:$O$933, 14, FALSE)</f>
        <v>USCI</v>
      </c>
      <c r="M1165" s="2">
        <v>1</v>
      </c>
    </row>
    <row r="1166" spans="1:13" ht="15.75" hidden="1" customHeight="1" x14ac:dyDescent="0.2">
      <c r="A1166" s="2">
        <v>1175</v>
      </c>
      <c r="B1166" s="2">
        <v>165</v>
      </c>
      <c r="C1166" s="2">
        <v>139</v>
      </c>
      <c r="D1166" s="2" t="s">
        <v>658</v>
      </c>
      <c r="E1166" s="2" t="str">
        <f t="shared" si="4"/>
        <v>639CE03PT</v>
      </c>
      <c r="F1166" s="2" t="str">
        <f>VLOOKUP(B1166,Course!$A$2:$R$329,2,FALSE)</f>
        <v>Economics</v>
      </c>
      <c r="G1166" s="2">
        <f>VLOOKUP(B1166, Course!$A$2:$L$950, 8, FALSE)</f>
        <v>6</v>
      </c>
      <c r="H1166" s="2">
        <v>3</v>
      </c>
      <c r="I1166" s="2">
        <v>1</v>
      </c>
      <c r="K1166" s="2" t="s">
        <v>1915</v>
      </c>
      <c r="L1166" s="2" t="str">
        <f>VLOOKUP(B1166, Course!$A$1:$O$933, 14, FALSE)</f>
        <v>ECON</v>
      </c>
      <c r="M1166" s="2">
        <v>1</v>
      </c>
    </row>
    <row r="1167" spans="1:13" ht="15.75" hidden="1" customHeight="1" x14ac:dyDescent="0.2">
      <c r="A1167" s="2">
        <v>1176</v>
      </c>
      <c r="B1167" s="2">
        <v>165</v>
      </c>
      <c r="C1167" s="2">
        <v>140</v>
      </c>
      <c r="D1167" s="2" t="s">
        <v>658</v>
      </c>
      <c r="E1167" s="2" t="str">
        <f t="shared" si="4"/>
        <v>640CE03PT</v>
      </c>
      <c r="F1167" s="2" t="str">
        <f>VLOOKUP(B1167,Course!$A$2:$R$329,2,FALSE)</f>
        <v>Economics</v>
      </c>
      <c r="G1167" s="2">
        <f>VLOOKUP(B1167, Course!$A$2:$L$950, 8, FALSE)</f>
        <v>6</v>
      </c>
      <c r="H1167" s="2">
        <v>3</v>
      </c>
      <c r="I1167" s="2">
        <v>1</v>
      </c>
      <c r="K1167" s="2" t="s">
        <v>1915</v>
      </c>
      <c r="L1167" s="2" t="str">
        <f>VLOOKUP(B1167, Course!$A$1:$O$933, 14, FALSE)</f>
        <v>ECON</v>
      </c>
      <c r="M1167" s="2">
        <v>1</v>
      </c>
    </row>
    <row r="1168" spans="1:13" ht="15.75" hidden="1" customHeight="1" x14ac:dyDescent="0.2">
      <c r="A1168" s="2">
        <v>1177</v>
      </c>
      <c r="B1168" s="2">
        <v>165</v>
      </c>
      <c r="C1168" s="2">
        <v>141</v>
      </c>
      <c r="D1168" s="2" t="s">
        <v>658</v>
      </c>
      <c r="E1168" s="2" t="str">
        <f t="shared" si="4"/>
        <v>641CE03PT</v>
      </c>
      <c r="F1168" s="2" t="str">
        <f>VLOOKUP(B1168,Course!$A$2:$R$329,2,FALSE)</f>
        <v>Economics</v>
      </c>
      <c r="G1168" s="2">
        <f>VLOOKUP(B1168, Course!$A$2:$L$950, 8, FALSE)</f>
        <v>6</v>
      </c>
      <c r="H1168" s="2">
        <v>3</v>
      </c>
      <c r="I1168" s="2">
        <v>1</v>
      </c>
      <c r="K1168" s="2" t="s">
        <v>1915</v>
      </c>
      <c r="L1168" s="2" t="str">
        <f>VLOOKUP(B1168, Course!$A$1:$O$933, 14, FALSE)</f>
        <v>ECON</v>
      </c>
      <c r="M1168" s="2">
        <v>1</v>
      </c>
    </row>
    <row r="1169" spans="1:13" ht="15.75" hidden="1" customHeight="1" x14ac:dyDescent="0.2">
      <c r="A1169" s="2">
        <v>1178</v>
      </c>
      <c r="B1169" s="2">
        <v>165</v>
      </c>
      <c r="C1169" s="2">
        <v>142</v>
      </c>
      <c r="D1169" s="2" t="s">
        <v>658</v>
      </c>
      <c r="E1169" s="2" t="str">
        <f t="shared" si="4"/>
        <v>642CE03PT</v>
      </c>
      <c r="F1169" s="2" t="str">
        <f>VLOOKUP(B1169,Course!$A$2:$R$329,2,FALSE)</f>
        <v>Economics</v>
      </c>
      <c r="G1169" s="2">
        <f>VLOOKUP(B1169, Course!$A$2:$L$950, 8, FALSE)</f>
        <v>6</v>
      </c>
      <c r="H1169" s="2">
        <v>3</v>
      </c>
      <c r="I1169" s="2">
        <v>1</v>
      </c>
      <c r="K1169" s="2" t="s">
        <v>1915</v>
      </c>
      <c r="L1169" s="2" t="str">
        <f>VLOOKUP(B1169, Course!$A$1:$O$933, 14, FALSE)</f>
        <v>ECON</v>
      </c>
      <c r="M1169" s="2">
        <v>1</v>
      </c>
    </row>
    <row r="1170" spans="1:13" ht="15.75" hidden="1" customHeight="1" x14ac:dyDescent="0.2">
      <c r="A1170" s="2">
        <v>1179</v>
      </c>
      <c r="B1170" s="2">
        <v>165</v>
      </c>
      <c r="C1170" s="2">
        <v>143</v>
      </c>
      <c r="D1170" s="2" t="s">
        <v>658</v>
      </c>
      <c r="E1170" s="2" t="str">
        <f t="shared" si="4"/>
        <v>643CE03PT</v>
      </c>
      <c r="F1170" s="2" t="str">
        <f>VLOOKUP(B1170,Course!$A$2:$R$329,2,FALSE)</f>
        <v>Economics</v>
      </c>
      <c r="G1170" s="2">
        <f>VLOOKUP(B1170, Course!$A$2:$L$950, 8, FALSE)</f>
        <v>6</v>
      </c>
      <c r="H1170" s="2">
        <v>3</v>
      </c>
      <c r="I1170" s="2">
        <v>1</v>
      </c>
      <c r="K1170" s="2" t="s">
        <v>1915</v>
      </c>
      <c r="L1170" s="2" t="str">
        <f>VLOOKUP(B1170, Course!$A$1:$O$933, 14, FALSE)</f>
        <v>ECON</v>
      </c>
      <c r="M1170" s="2">
        <v>1</v>
      </c>
    </row>
    <row r="1171" spans="1:13" ht="15.75" hidden="1" customHeight="1" x14ac:dyDescent="0.2">
      <c r="A1171" s="2">
        <v>1180</v>
      </c>
      <c r="B1171" s="2">
        <v>165</v>
      </c>
      <c r="C1171" s="2">
        <v>144</v>
      </c>
      <c r="D1171" s="2" t="s">
        <v>658</v>
      </c>
      <c r="E1171" s="2" t="str">
        <f t="shared" si="4"/>
        <v>644CE03PT</v>
      </c>
      <c r="F1171" s="2" t="str">
        <f>VLOOKUP(B1171,Course!$A$2:$R$329,2,FALSE)</f>
        <v>Economics</v>
      </c>
      <c r="G1171" s="2">
        <f>VLOOKUP(B1171, Course!$A$2:$L$950, 8, FALSE)</f>
        <v>6</v>
      </c>
      <c r="H1171" s="2">
        <v>3</v>
      </c>
      <c r="I1171" s="2">
        <v>1</v>
      </c>
      <c r="K1171" s="2" t="s">
        <v>1915</v>
      </c>
      <c r="L1171" s="2" t="str">
        <f>VLOOKUP(B1171, Course!$A$1:$O$933, 14, FALSE)</f>
        <v>ECON</v>
      </c>
      <c r="M1171" s="2">
        <v>1</v>
      </c>
    </row>
    <row r="1172" spans="1:13" ht="15.75" hidden="1" customHeight="1" x14ac:dyDescent="0.2">
      <c r="A1172" s="2">
        <v>1181</v>
      </c>
      <c r="B1172" s="2">
        <v>120</v>
      </c>
      <c r="C1172" s="2">
        <v>133</v>
      </c>
      <c r="D1172" s="2" t="s">
        <v>662</v>
      </c>
      <c r="E1172" s="2" t="str">
        <f t="shared" si="4"/>
        <v>633CO03PT</v>
      </c>
      <c r="F1172" s="2">
        <f>VLOOKUP(B1172,Course!$A$2:$R$329,2,FALSE)</f>
        <v>0</v>
      </c>
      <c r="G1172" s="2">
        <f>VLOOKUP(B1172, Course!$A$2:$L$950, 8, FALSE)</f>
        <v>6</v>
      </c>
      <c r="H1172" s="2">
        <v>3</v>
      </c>
      <c r="I1172" s="2">
        <v>1</v>
      </c>
      <c r="K1172" s="2" t="s">
        <v>1915</v>
      </c>
      <c r="L1172" s="2" t="str">
        <f>VLOOKUP(B1172, Course!$A$1:$O$933, 14, FALSE)</f>
        <v>CO</v>
      </c>
      <c r="M1172" s="2">
        <v>1</v>
      </c>
    </row>
    <row r="1173" spans="1:13" ht="15.75" hidden="1" customHeight="1" x14ac:dyDescent="0.2">
      <c r="A1173" s="2">
        <v>1182</v>
      </c>
      <c r="B1173" s="2">
        <v>120</v>
      </c>
      <c r="C1173" s="2">
        <v>134</v>
      </c>
      <c r="D1173" s="2" t="s">
        <v>662</v>
      </c>
      <c r="E1173" s="2" t="str">
        <f t="shared" si="4"/>
        <v>634CO03PT</v>
      </c>
      <c r="F1173" s="2">
        <f>VLOOKUP(B1173,Course!$A$2:$R$329,2,FALSE)</f>
        <v>0</v>
      </c>
      <c r="G1173" s="2">
        <f>VLOOKUP(B1173, Course!$A$2:$L$950, 8, FALSE)</f>
        <v>6</v>
      </c>
      <c r="H1173" s="2">
        <v>3</v>
      </c>
      <c r="I1173" s="2">
        <v>1</v>
      </c>
      <c r="K1173" s="2" t="s">
        <v>1915</v>
      </c>
      <c r="L1173" s="2" t="str">
        <f>VLOOKUP(B1173, Course!$A$1:$O$933, 14, FALSE)</f>
        <v>CO</v>
      </c>
      <c r="M1173" s="2">
        <v>1</v>
      </c>
    </row>
    <row r="1174" spans="1:13" ht="15.75" hidden="1" customHeight="1" x14ac:dyDescent="0.2">
      <c r="A1174" s="2">
        <v>1183</v>
      </c>
      <c r="B1174" s="2">
        <v>120</v>
      </c>
      <c r="C1174" s="2">
        <v>135</v>
      </c>
      <c r="D1174" s="2" t="s">
        <v>662</v>
      </c>
      <c r="E1174" s="2" t="str">
        <f t="shared" si="4"/>
        <v>635CO03PT</v>
      </c>
      <c r="F1174" s="2">
        <f>VLOOKUP(B1174,Course!$A$2:$R$329,2,FALSE)</f>
        <v>0</v>
      </c>
      <c r="G1174" s="2">
        <f>VLOOKUP(B1174, Course!$A$2:$L$950, 8, FALSE)</f>
        <v>6</v>
      </c>
      <c r="H1174" s="2">
        <v>3</v>
      </c>
      <c r="I1174" s="2">
        <v>1</v>
      </c>
      <c r="K1174" s="2" t="s">
        <v>1915</v>
      </c>
      <c r="L1174" s="2" t="str">
        <f>VLOOKUP(B1174, Course!$A$1:$O$933, 14, FALSE)</f>
        <v>CO</v>
      </c>
      <c r="M1174" s="2">
        <v>1</v>
      </c>
    </row>
    <row r="1175" spans="1:13" ht="15.75" hidden="1" customHeight="1" x14ac:dyDescent="0.2">
      <c r="A1175" s="2">
        <v>1184</v>
      </c>
      <c r="B1175" s="2">
        <v>120</v>
      </c>
      <c r="C1175" s="2">
        <v>136</v>
      </c>
      <c r="D1175" s="2" t="s">
        <v>662</v>
      </c>
      <c r="E1175" s="2" t="str">
        <f t="shared" si="4"/>
        <v>636CO03PT</v>
      </c>
      <c r="F1175" s="2">
        <f>VLOOKUP(B1175,Course!$A$2:$R$329,2,FALSE)</f>
        <v>0</v>
      </c>
      <c r="G1175" s="2">
        <f>VLOOKUP(B1175, Course!$A$2:$L$950, 8, FALSE)</f>
        <v>6</v>
      </c>
      <c r="H1175" s="2">
        <v>3</v>
      </c>
      <c r="I1175" s="2">
        <v>1</v>
      </c>
      <c r="K1175" s="2" t="s">
        <v>1915</v>
      </c>
      <c r="L1175" s="2" t="str">
        <f>VLOOKUP(B1175, Course!$A$1:$O$933, 14, FALSE)</f>
        <v>CO</v>
      </c>
      <c r="M1175" s="2">
        <v>1</v>
      </c>
    </row>
    <row r="1176" spans="1:13" ht="15.75" hidden="1" customHeight="1" x14ac:dyDescent="0.2">
      <c r="A1176" s="2">
        <v>1185</v>
      </c>
      <c r="B1176" s="2">
        <v>120</v>
      </c>
      <c r="C1176" s="2">
        <v>137</v>
      </c>
      <c r="D1176" s="2" t="s">
        <v>662</v>
      </c>
      <c r="E1176" s="2" t="str">
        <f t="shared" si="4"/>
        <v>637CO03PT</v>
      </c>
      <c r="F1176" s="2">
        <f>VLOOKUP(B1176,Course!$A$2:$R$329,2,FALSE)</f>
        <v>0</v>
      </c>
      <c r="G1176" s="2">
        <f>VLOOKUP(B1176, Course!$A$2:$L$950, 8, FALSE)</f>
        <v>6</v>
      </c>
      <c r="H1176" s="2">
        <v>3</v>
      </c>
      <c r="I1176" s="2">
        <v>1</v>
      </c>
      <c r="K1176" s="2" t="s">
        <v>1915</v>
      </c>
      <c r="L1176" s="2" t="str">
        <f>VLOOKUP(B1176, Course!$A$1:$O$933, 14, FALSE)</f>
        <v>CO</v>
      </c>
      <c r="M1176" s="2">
        <v>1</v>
      </c>
    </row>
    <row r="1177" spans="1:13" ht="15.75" hidden="1" customHeight="1" x14ac:dyDescent="0.2">
      <c r="A1177" s="2">
        <v>1186</v>
      </c>
      <c r="B1177" s="2">
        <v>120</v>
      </c>
      <c r="C1177" s="2">
        <v>138</v>
      </c>
      <c r="D1177" s="2" t="s">
        <v>662</v>
      </c>
      <c r="E1177" s="2" t="str">
        <f t="shared" si="4"/>
        <v>638CO03PT</v>
      </c>
      <c r="F1177" s="2">
        <f>VLOOKUP(B1177,Course!$A$2:$R$329,2,FALSE)</f>
        <v>0</v>
      </c>
      <c r="G1177" s="2">
        <f>VLOOKUP(B1177, Course!$A$2:$L$950, 8, FALSE)</f>
        <v>6</v>
      </c>
      <c r="H1177" s="2">
        <v>3</v>
      </c>
      <c r="I1177" s="2">
        <v>1</v>
      </c>
      <c r="K1177" s="2" t="s">
        <v>1915</v>
      </c>
      <c r="L1177" s="2" t="str">
        <f>VLOOKUP(B1177, Course!$A$1:$O$933, 14, FALSE)</f>
        <v>CO</v>
      </c>
      <c r="M1177" s="2">
        <v>1</v>
      </c>
    </row>
    <row r="1178" spans="1:13" ht="15.75" hidden="1" customHeight="1" x14ac:dyDescent="0.2">
      <c r="A1178" s="2">
        <v>1187</v>
      </c>
      <c r="B1178" s="2">
        <v>121</v>
      </c>
      <c r="C1178" s="2">
        <v>11</v>
      </c>
      <c r="D1178" s="2" t="s">
        <v>603</v>
      </c>
      <c r="E1178" s="2" t="str">
        <f t="shared" si="4"/>
        <v>1011HC03PT</v>
      </c>
      <c r="F1178" s="2" t="str">
        <f>VLOOKUP(B1178,Course!$A$2:$R$329,2,FALSE)</f>
        <v>History of Civilisation II</v>
      </c>
      <c r="G1178" s="2">
        <f>VLOOKUP(B1178, Course!$A$2:$L$950, 8, FALSE)</f>
        <v>10</v>
      </c>
      <c r="H1178" s="2">
        <v>3</v>
      </c>
      <c r="I1178" s="2">
        <v>1</v>
      </c>
      <c r="K1178" s="2" t="s">
        <v>1915</v>
      </c>
      <c r="L1178" s="2" t="str">
        <f>VLOOKUP(B1178, Course!$A$1:$O$933, 14, FALSE)</f>
        <v>HC</v>
      </c>
      <c r="M1178" s="2">
        <v>1</v>
      </c>
    </row>
    <row r="1179" spans="1:13" ht="15.75" hidden="1" customHeight="1" x14ac:dyDescent="0.2">
      <c r="A1179" s="2">
        <v>1188</v>
      </c>
      <c r="B1179" s="2">
        <v>121</v>
      </c>
      <c r="C1179" s="2">
        <v>12</v>
      </c>
      <c r="D1179" s="2" t="s">
        <v>603</v>
      </c>
      <c r="E1179" s="2" t="str">
        <f t="shared" si="4"/>
        <v>1012HC03PT</v>
      </c>
      <c r="F1179" s="2" t="str">
        <f>VLOOKUP(B1179,Course!$A$2:$R$329,2,FALSE)</f>
        <v>History of Civilisation II</v>
      </c>
      <c r="G1179" s="2">
        <f>VLOOKUP(B1179, Course!$A$2:$L$950, 8, FALSE)</f>
        <v>10</v>
      </c>
      <c r="H1179" s="2">
        <v>3</v>
      </c>
      <c r="I1179" s="2">
        <v>1</v>
      </c>
      <c r="K1179" s="2" t="s">
        <v>1915</v>
      </c>
      <c r="L1179" s="2" t="str">
        <f>VLOOKUP(B1179, Course!$A$1:$O$933, 14, FALSE)</f>
        <v>HC</v>
      </c>
      <c r="M1179" s="2">
        <v>1</v>
      </c>
    </row>
    <row r="1180" spans="1:13" ht="15.75" hidden="1" customHeight="1" x14ac:dyDescent="0.2">
      <c r="A1180" s="2">
        <v>1189</v>
      </c>
      <c r="B1180" s="2">
        <v>121</v>
      </c>
      <c r="C1180" s="2">
        <v>13</v>
      </c>
      <c r="D1180" s="2" t="s">
        <v>603</v>
      </c>
      <c r="E1180" s="2" t="str">
        <f t="shared" si="4"/>
        <v>1013HC03PT</v>
      </c>
      <c r="F1180" s="2" t="str">
        <f>VLOOKUP(B1180,Course!$A$2:$R$329,2,FALSE)</f>
        <v>History of Civilisation II</v>
      </c>
      <c r="G1180" s="2">
        <f>VLOOKUP(B1180, Course!$A$2:$L$950, 8, FALSE)</f>
        <v>10</v>
      </c>
      <c r="H1180" s="2">
        <v>3</v>
      </c>
      <c r="I1180" s="2">
        <v>1</v>
      </c>
      <c r="K1180" s="2" t="s">
        <v>1915</v>
      </c>
      <c r="L1180" s="2" t="str">
        <f>VLOOKUP(B1180, Course!$A$1:$O$933, 14, FALSE)</f>
        <v>HC</v>
      </c>
      <c r="M1180" s="2">
        <v>1</v>
      </c>
    </row>
    <row r="1181" spans="1:13" ht="15.75" hidden="1" customHeight="1" x14ac:dyDescent="0.2">
      <c r="A1181" s="2">
        <v>1190</v>
      </c>
      <c r="B1181" s="2">
        <v>121</v>
      </c>
      <c r="C1181" s="2">
        <v>14</v>
      </c>
      <c r="D1181" s="2" t="s">
        <v>603</v>
      </c>
      <c r="E1181" s="2" t="str">
        <f t="shared" si="4"/>
        <v>1014HC03PT</v>
      </c>
      <c r="F1181" s="2" t="str">
        <f>VLOOKUP(B1181,Course!$A$2:$R$329,2,FALSE)</f>
        <v>History of Civilisation II</v>
      </c>
      <c r="G1181" s="2">
        <f>VLOOKUP(B1181, Course!$A$2:$L$950, 8, FALSE)</f>
        <v>10</v>
      </c>
      <c r="H1181" s="2">
        <v>3</v>
      </c>
      <c r="I1181" s="2">
        <v>1</v>
      </c>
      <c r="K1181" s="2" t="s">
        <v>1915</v>
      </c>
      <c r="L1181" s="2" t="str">
        <f>VLOOKUP(B1181, Course!$A$1:$O$933, 14, FALSE)</f>
        <v>HC</v>
      </c>
      <c r="M1181" s="2">
        <v>1</v>
      </c>
    </row>
    <row r="1182" spans="1:13" ht="15.75" hidden="1" customHeight="1" x14ac:dyDescent="0.2">
      <c r="A1182" s="2">
        <v>1191</v>
      </c>
      <c r="B1182" s="2">
        <v>121</v>
      </c>
      <c r="C1182" s="2">
        <v>15</v>
      </c>
      <c r="D1182" s="2" t="s">
        <v>603</v>
      </c>
      <c r="E1182" s="2" t="str">
        <f t="shared" si="4"/>
        <v>1015HC03PT</v>
      </c>
      <c r="F1182" s="2" t="str">
        <f>VLOOKUP(B1182,Course!$A$2:$R$329,2,FALSE)</f>
        <v>History of Civilisation II</v>
      </c>
      <c r="G1182" s="2">
        <f>VLOOKUP(B1182, Course!$A$2:$L$950, 8, FALSE)</f>
        <v>10</v>
      </c>
      <c r="H1182" s="2">
        <v>3</v>
      </c>
      <c r="I1182" s="2">
        <v>1</v>
      </c>
      <c r="K1182" s="2" t="s">
        <v>1915</v>
      </c>
      <c r="L1182" s="2" t="str">
        <f>VLOOKUP(B1182, Course!$A$1:$O$933, 14, FALSE)</f>
        <v>HC</v>
      </c>
      <c r="M1182" s="2">
        <v>2</v>
      </c>
    </row>
    <row r="1183" spans="1:13" ht="15.75" hidden="1" customHeight="1" x14ac:dyDescent="0.2">
      <c r="A1183" s="2">
        <v>1192</v>
      </c>
      <c r="B1183" s="2">
        <v>121</v>
      </c>
      <c r="C1183" s="2">
        <v>16</v>
      </c>
      <c r="D1183" s="2" t="s">
        <v>603</v>
      </c>
      <c r="E1183" s="2" t="str">
        <f t="shared" si="4"/>
        <v>1016HC03PT</v>
      </c>
      <c r="F1183" s="2" t="str">
        <f>VLOOKUP(B1183,Course!$A$2:$R$329,2,FALSE)</f>
        <v>History of Civilisation II</v>
      </c>
      <c r="G1183" s="2">
        <f>VLOOKUP(B1183, Course!$A$2:$L$950, 8, FALSE)</f>
        <v>10</v>
      </c>
      <c r="H1183" s="2">
        <v>3</v>
      </c>
      <c r="I1183" s="2">
        <v>1</v>
      </c>
      <c r="K1183" s="2" t="s">
        <v>1915</v>
      </c>
      <c r="L1183" s="2" t="str">
        <f>VLOOKUP(B1183, Course!$A$1:$O$933, 14, FALSE)</f>
        <v>HC</v>
      </c>
      <c r="M1183" s="2">
        <v>1</v>
      </c>
    </row>
    <row r="1184" spans="1:13" ht="15.75" hidden="1" customHeight="1" x14ac:dyDescent="0.2">
      <c r="A1184" s="2">
        <v>1193</v>
      </c>
      <c r="B1184" s="2">
        <v>121</v>
      </c>
      <c r="C1184" s="2">
        <v>17</v>
      </c>
      <c r="D1184" s="2" t="s">
        <v>603</v>
      </c>
      <c r="E1184" s="2" t="str">
        <f t="shared" si="4"/>
        <v>1017HC03PT</v>
      </c>
      <c r="F1184" s="2" t="str">
        <f>VLOOKUP(B1184,Course!$A$2:$R$329,2,FALSE)</f>
        <v>History of Civilisation II</v>
      </c>
      <c r="G1184" s="2">
        <f>VLOOKUP(B1184, Course!$A$2:$L$950, 8, FALSE)</f>
        <v>10</v>
      </c>
      <c r="H1184" s="2">
        <v>3</v>
      </c>
      <c r="I1184" s="2">
        <v>1</v>
      </c>
      <c r="K1184" s="2" t="s">
        <v>1915</v>
      </c>
      <c r="L1184" s="2" t="str">
        <f>VLOOKUP(B1184, Course!$A$1:$O$933, 14, FALSE)</f>
        <v>HC</v>
      </c>
      <c r="M1184" s="2">
        <v>1</v>
      </c>
    </row>
    <row r="1185" spans="1:14" ht="15.75" hidden="1" customHeight="1" x14ac:dyDescent="0.2">
      <c r="A1185" s="2">
        <v>1194</v>
      </c>
      <c r="B1185" s="2">
        <v>121</v>
      </c>
      <c r="C1185" s="2">
        <v>18</v>
      </c>
      <c r="D1185" s="2" t="s">
        <v>603</v>
      </c>
      <c r="E1185" s="2" t="str">
        <f t="shared" si="4"/>
        <v>1018HC03PT</v>
      </c>
      <c r="F1185" s="2" t="str">
        <f>VLOOKUP(B1185,Course!$A$2:$R$329,2,FALSE)</f>
        <v>History of Civilisation II</v>
      </c>
      <c r="G1185" s="2">
        <f>VLOOKUP(B1185, Course!$A$2:$L$950, 8, FALSE)</f>
        <v>10</v>
      </c>
      <c r="H1185" s="2">
        <v>3</v>
      </c>
      <c r="I1185" s="2">
        <v>1</v>
      </c>
      <c r="K1185" s="2" t="s">
        <v>1915</v>
      </c>
      <c r="L1185" s="2" t="str">
        <f>VLOOKUP(B1185, Course!$A$1:$O$933, 14, FALSE)</f>
        <v>HC</v>
      </c>
      <c r="M1185" s="2">
        <v>1</v>
      </c>
    </row>
    <row r="1186" spans="1:14" ht="15.75" hidden="1" customHeight="1" x14ac:dyDescent="0.2">
      <c r="A1186" s="2">
        <v>1195</v>
      </c>
      <c r="B1186" s="2">
        <v>121</v>
      </c>
      <c r="C1186" s="2">
        <v>19</v>
      </c>
      <c r="D1186" s="2" t="s">
        <v>603</v>
      </c>
      <c r="E1186" s="2" t="str">
        <f t="shared" si="4"/>
        <v>1019HC03PT</v>
      </c>
      <c r="F1186" s="2" t="str">
        <f>VLOOKUP(B1186,Course!$A$2:$R$329,2,FALSE)</f>
        <v>History of Civilisation II</v>
      </c>
      <c r="G1186" s="2">
        <f>VLOOKUP(B1186, Course!$A$2:$L$950, 8, FALSE)</f>
        <v>10</v>
      </c>
      <c r="H1186" s="2">
        <v>3</v>
      </c>
      <c r="I1186" s="2">
        <v>1</v>
      </c>
      <c r="K1186" s="2" t="s">
        <v>1915</v>
      </c>
      <c r="L1186" s="2" t="str">
        <f>VLOOKUP(B1186, Course!$A$1:$O$933, 14, FALSE)</f>
        <v>HC</v>
      </c>
      <c r="M1186" s="2">
        <v>1</v>
      </c>
    </row>
    <row r="1187" spans="1:14" ht="15.75" hidden="1" customHeight="1" x14ac:dyDescent="0.2">
      <c r="A1187" s="2">
        <v>1196</v>
      </c>
      <c r="B1187" s="2">
        <v>121</v>
      </c>
      <c r="C1187" s="2">
        <v>20</v>
      </c>
      <c r="D1187" s="2" t="s">
        <v>603</v>
      </c>
      <c r="E1187" s="2" t="str">
        <f t="shared" si="4"/>
        <v>1020HC03PT</v>
      </c>
      <c r="F1187" s="2" t="str">
        <f>VLOOKUP(B1187,Course!$A$2:$R$329,2,FALSE)</f>
        <v>History of Civilisation II</v>
      </c>
      <c r="G1187" s="2">
        <f>VLOOKUP(B1187, Course!$A$2:$L$950, 8, FALSE)</f>
        <v>10</v>
      </c>
      <c r="H1187" s="2">
        <v>3</v>
      </c>
      <c r="I1187" s="2">
        <v>1</v>
      </c>
      <c r="K1187" s="2" t="s">
        <v>1915</v>
      </c>
      <c r="L1187" s="2" t="str">
        <f>VLOOKUP(B1187, Course!$A$1:$O$933, 14, FALSE)</f>
        <v>HC</v>
      </c>
      <c r="M1187" s="2">
        <v>2</v>
      </c>
    </row>
    <row r="1188" spans="1:14" ht="15.75" hidden="1" customHeight="1" x14ac:dyDescent="0.2">
      <c r="A1188" s="2">
        <v>1197</v>
      </c>
      <c r="B1188" s="2">
        <v>122</v>
      </c>
      <c r="C1188" s="2">
        <v>133</v>
      </c>
      <c r="D1188" s="2" t="s">
        <v>667</v>
      </c>
      <c r="E1188" s="2" t="str">
        <f t="shared" si="4"/>
        <v>433UC03PT</v>
      </c>
      <c r="F1188" s="2">
        <f>VLOOKUP(B1188,Course!$A$2:$R$329,2,FALSE)</f>
        <v>0</v>
      </c>
      <c r="G1188" s="2">
        <f>VLOOKUP(B1188, Course!$A$2:$L$950, 8, FALSE)</f>
        <v>4</v>
      </c>
      <c r="H1188" s="2">
        <v>3</v>
      </c>
      <c r="I1188" s="2">
        <v>1</v>
      </c>
      <c r="K1188" s="2" t="s">
        <v>1915</v>
      </c>
      <c r="L1188" s="2" t="str">
        <f>VLOOKUP(B1188, Course!$A$1:$O$933, 14, FALSE)</f>
        <v>UC</v>
      </c>
      <c r="M1188" s="2">
        <v>1</v>
      </c>
    </row>
    <row r="1189" spans="1:14" ht="15.75" hidden="1" customHeight="1" x14ac:dyDescent="0.2">
      <c r="A1189" s="2">
        <v>1198</v>
      </c>
      <c r="B1189" s="2">
        <v>122</v>
      </c>
      <c r="C1189" s="2">
        <v>134</v>
      </c>
      <c r="D1189" s="2" t="s">
        <v>667</v>
      </c>
      <c r="E1189" s="2" t="str">
        <f t="shared" si="4"/>
        <v>434UC03PT</v>
      </c>
      <c r="F1189" s="2">
        <f>VLOOKUP(B1189,Course!$A$2:$R$329,2,FALSE)</f>
        <v>0</v>
      </c>
      <c r="G1189" s="2">
        <f>VLOOKUP(B1189, Course!$A$2:$L$950, 8, FALSE)</f>
        <v>4</v>
      </c>
      <c r="H1189" s="2">
        <v>3</v>
      </c>
      <c r="I1189" s="2">
        <v>1</v>
      </c>
      <c r="K1189" s="2" t="s">
        <v>1915</v>
      </c>
      <c r="L1189" s="2" t="str">
        <f>VLOOKUP(B1189, Course!$A$1:$O$933, 14, FALSE)</f>
        <v>UC</v>
      </c>
      <c r="M1189" s="2">
        <v>1</v>
      </c>
    </row>
    <row r="1190" spans="1:14" ht="15.75" hidden="1" customHeight="1" x14ac:dyDescent="0.2">
      <c r="A1190" s="2">
        <v>1199</v>
      </c>
      <c r="B1190" s="2">
        <v>122</v>
      </c>
      <c r="C1190" s="2">
        <v>135</v>
      </c>
      <c r="D1190" s="2" t="s">
        <v>667</v>
      </c>
      <c r="E1190" s="2" t="str">
        <f t="shared" si="4"/>
        <v>435UC03PT</v>
      </c>
      <c r="F1190" s="2">
        <f>VLOOKUP(B1190,Course!$A$2:$R$329,2,FALSE)</f>
        <v>0</v>
      </c>
      <c r="G1190" s="2">
        <f>VLOOKUP(B1190, Course!$A$2:$L$950, 8, FALSE)</f>
        <v>4</v>
      </c>
      <c r="H1190" s="2">
        <v>3</v>
      </c>
      <c r="I1190" s="2">
        <v>1</v>
      </c>
      <c r="K1190" s="2" t="s">
        <v>1915</v>
      </c>
      <c r="L1190" s="2" t="str">
        <f>VLOOKUP(B1190, Course!$A$1:$O$933, 14, FALSE)</f>
        <v>UC</v>
      </c>
      <c r="M1190" s="2">
        <v>1</v>
      </c>
    </row>
    <row r="1191" spans="1:14" ht="15.75" hidden="1" customHeight="1" x14ac:dyDescent="0.2">
      <c r="A1191" s="2">
        <v>1200</v>
      </c>
      <c r="B1191" s="2">
        <v>122</v>
      </c>
      <c r="C1191" s="2">
        <v>136</v>
      </c>
      <c r="D1191" s="2" t="s">
        <v>667</v>
      </c>
      <c r="E1191" s="2" t="str">
        <f t="shared" si="4"/>
        <v>436UC03PT</v>
      </c>
      <c r="F1191" s="2">
        <f>VLOOKUP(B1191,Course!$A$2:$R$329,2,FALSE)</f>
        <v>0</v>
      </c>
      <c r="G1191" s="2">
        <f>VLOOKUP(B1191, Course!$A$2:$L$950, 8, FALSE)</f>
        <v>4</v>
      </c>
      <c r="H1191" s="2">
        <v>3</v>
      </c>
      <c r="I1191" s="2">
        <v>1</v>
      </c>
      <c r="K1191" s="2" t="s">
        <v>1915</v>
      </c>
      <c r="L1191" s="2" t="str">
        <f>VLOOKUP(B1191, Course!$A$1:$O$933, 14, FALSE)</f>
        <v>UC</v>
      </c>
      <c r="M1191" s="2">
        <v>1</v>
      </c>
    </row>
    <row r="1192" spans="1:14" ht="15.75" hidden="1" customHeight="1" x14ac:dyDescent="0.2">
      <c r="A1192" s="2">
        <v>1201</v>
      </c>
      <c r="B1192" s="2">
        <v>123</v>
      </c>
      <c r="C1192" s="2">
        <v>6</v>
      </c>
      <c r="D1192" s="2" t="s">
        <v>607</v>
      </c>
      <c r="E1192" s="2" t="str">
        <f t="shared" si="4"/>
        <v>506CC03PT</v>
      </c>
      <c r="F1192" s="2">
        <f>VLOOKUP(B1192,Course!$A$2:$R$329,2,FALSE)</f>
        <v>0</v>
      </c>
      <c r="G1192" s="2">
        <f>VLOOKUP(B1192, Course!$A$2:$L$950, 8, FALSE)</f>
        <v>5</v>
      </c>
      <c r="H1192" s="2">
        <v>3</v>
      </c>
      <c r="I1192" s="2">
        <v>1</v>
      </c>
      <c r="K1192" s="2" t="s">
        <v>1915</v>
      </c>
      <c r="L1192" s="2" t="str">
        <f>VLOOKUP(B1192, Course!$A$1:$O$933, 14, FALSE)</f>
        <v>CC</v>
      </c>
      <c r="M1192" s="2">
        <v>1</v>
      </c>
    </row>
    <row r="1193" spans="1:14" ht="15.75" hidden="1" customHeight="1" x14ac:dyDescent="0.2">
      <c r="A1193" s="2">
        <v>1202</v>
      </c>
      <c r="B1193" s="2">
        <v>123</v>
      </c>
      <c r="C1193" s="2">
        <v>7</v>
      </c>
      <c r="D1193" s="2" t="s">
        <v>607</v>
      </c>
      <c r="E1193" s="2" t="str">
        <f t="shared" si="4"/>
        <v>507CC03PT</v>
      </c>
      <c r="F1193" s="2">
        <f>VLOOKUP(B1193,Course!$A$2:$R$329,2,FALSE)</f>
        <v>0</v>
      </c>
      <c r="G1193" s="2">
        <f>VLOOKUP(B1193, Course!$A$2:$L$950, 8, FALSE)</f>
        <v>5</v>
      </c>
      <c r="H1193" s="2">
        <v>3</v>
      </c>
      <c r="I1193" s="2">
        <v>1</v>
      </c>
      <c r="K1193" s="2" t="s">
        <v>1915</v>
      </c>
      <c r="L1193" s="2" t="str">
        <f>VLOOKUP(B1193, Course!$A$1:$O$933, 14, FALSE)</f>
        <v>CC</v>
      </c>
      <c r="M1193" s="2">
        <v>1</v>
      </c>
    </row>
    <row r="1194" spans="1:14" ht="15.75" hidden="1" customHeight="1" x14ac:dyDescent="0.2">
      <c r="A1194" s="2">
        <v>1203</v>
      </c>
      <c r="B1194" s="2">
        <v>123</v>
      </c>
      <c r="C1194" s="2">
        <v>8</v>
      </c>
      <c r="D1194" s="2" t="s">
        <v>607</v>
      </c>
      <c r="E1194" s="2" t="str">
        <f t="shared" si="4"/>
        <v>508CC03PT</v>
      </c>
      <c r="F1194" s="2">
        <f>VLOOKUP(B1194,Course!$A$2:$R$329,2,FALSE)</f>
        <v>0</v>
      </c>
      <c r="G1194" s="2">
        <f>VLOOKUP(B1194, Course!$A$2:$L$950, 8, FALSE)</f>
        <v>5</v>
      </c>
      <c r="H1194" s="2">
        <v>3</v>
      </c>
      <c r="I1194" s="2">
        <v>1</v>
      </c>
      <c r="K1194" s="2" t="s">
        <v>1915</v>
      </c>
      <c r="L1194" s="2" t="str">
        <f>VLOOKUP(B1194, Course!$A$1:$O$933, 14, FALSE)</f>
        <v>CC</v>
      </c>
      <c r="M1194" s="2">
        <v>1</v>
      </c>
    </row>
    <row r="1195" spans="1:14" ht="15.75" hidden="1" customHeight="1" x14ac:dyDescent="0.2">
      <c r="A1195" s="2">
        <v>1204</v>
      </c>
      <c r="B1195" s="2">
        <v>123</v>
      </c>
      <c r="C1195" s="2">
        <v>9</v>
      </c>
      <c r="D1195" s="2" t="s">
        <v>607</v>
      </c>
      <c r="E1195" s="2" t="str">
        <f t="shared" si="4"/>
        <v>509CC03PT</v>
      </c>
      <c r="F1195" s="2">
        <f>VLOOKUP(B1195,Course!$A$2:$R$329,2,FALSE)</f>
        <v>0</v>
      </c>
      <c r="G1195" s="2">
        <f>VLOOKUP(B1195, Course!$A$2:$L$950, 8, FALSE)</f>
        <v>5</v>
      </c>
      <c r="H1195" s="2">
        <v>3</v>
      </c>
      <c r="I1195" s="2">
        <v>1</v>
      </c>
      <c r="K1195" s="2" t="s">
        <v>1915</v>
      </c>
      <c r="L1195" s="2" t="str">
        <f>VLOOKUP(B1195, Course!$A$1:$O$933, 14, FALSE)</f>
        <v>CC</v>
      </c>
      <c r="M1195" s="2">
        <v>1</v>
      </c>
    </row>
    <row r="1196" spans="1:14" ht="15.75" hidden="1" customHeight="1" x14ac:dyDescent="0.2">
      <c r="A1196" s="2">
        <v>1205</v>
      </c>
      <c r="B1196" s="2">
        <v>123</v>
      </c>
      <c r="C1196" s="2">
        <v>10</v>
      </c>
      <c r="D1196" s="2" t="s">
        <v>607</v>
      </c>
      <c r="E1196" s="2" t="str">
        <f t="shared" si="4"/>
        <v>510CC03PT</v>
      </c>
      <c r="F1196" s="2">
        <f>VLOOKUP(B1196,Course!$A$2:$R$329,2,FALSE)</f>
        <v>0</v>
      </c>
      <c r="G1196" s="2">
        <f>VLOOKUP(B1196, Course!$A$2:$L$950, 8, FALSE)</f>
        <v>5</v>
      </c>
      <c r="H1196" s="2">
        <v>3</v>
      </c>
      <c r="I1196" s="2">
        <v>1</v>
      </c>
      <c r="K1196" s="2" t="s">
        <v>1915</v>
      </c>
      <c r="L1196" s="2" t="str">
        <f>VLOOKUP(B1196, Course!$A$1:$O$933, 14, FALSE)</f>
        <v>CC</v>
      </c>
      <c r="M1196" s="9">
        <v>2</v>
      </c>
      <c r="N1196" s="2" t="s">
        <v>1922</v>
      </c>
    </row>
    <row r="1197" spans="1:14" ht="15.75" hidden="1" customHeight="1" x14ac:dyDescent="0.2">
      <c r="A1197" s="2">
        <v>1206</v>
      </c>
      <c r="B1197" s="2">
        <v>124</v>
      </c>
      <c r="C1197" s="2">
        <v>133</v>
      </c>
      <c r="D1197" s="2" t="s">
        <v>674</v>
      </c>
      <c r="E1197" s="2" t="str">
        <f t="shared" si="4"/>
        <v>633CG03PT</v>
      </c>
      <c r="F1197" s="2" t="str">
        <f>VLOOKUP(B1197,Course!$A$2:$R$329,2,FALSE)</f>
        <v>Basic Christian Growth</v>
      </c>
      <c r="G1197" s="2">
        <f>VLOOKUP(B1197, Course!$A$2:$L$950, 8, FALSE)</f>
        <v>6</v>
      </c>
      <c r="H1197" s="2">
        <v>3</v>
      </c>
      <c r="I1197" s="2">
        <v>1</v>
      </c>
      <c r="K1197" s="2" t="s">
        <v>1915</v>
      </c>
      <c r="L1197" s="2" t="str">
        <f>VLOOKUP(B1197, Course!$A$1:$O$933, 14, FALSE)</f>
        <v>CG</v>
      </c>
      <c r="M1197" s="2">
        <v>1</v>
      </c>
    </row>
    <row r="1198" spans="1:14" ht="15.75" hidden="1" customHeight="1" x14ac:dyDescent="0.2">
      <c r="A1198" s="2">
        <v>1207</v>
      </c>
      <c r="B1198" s="2">
        <v>124</v>
      </c>
      <c r="C1198" s="2">
        <v>134</v>
      </c>
      <c r="D1198" s="2" t="s">
        <v>674</v>
      </c>
      <c r="E1198" s="2" t="str">
        <f t="shared" si="4"/>
        <v>634CG03PT</v>
      </c>
      <c r="F1198" s="2" t="str">
        <f>VLOOKUP(B1198,Course!$A$2:$R$329,2,FALSE)</f>
        <v>Basic Christian Growth</v>
      </c>
      <c r="G1198" s="2">
        <f>VLOOKUP(B1198, Course!$A$2:$L$950, 8, FALSE)</f>
        <v>6</v>
      </c>
      <c r="H1198" s="2">
        <v>3</v>
      </c>
      <c r="I1198" s="2">
        <v>1</v>
      </c>
      <c r="K1198" s="2" t="s">
        <v>1915</v>
      </c>
      <c r="L1198" s="2" t="str">
        <f>VLOOKUP(B1198, Course!$A$1:$O$933, 14, FALSE)</f>
        <v>CG</v>
      </c>
      <c r="M1198" s="2">
        <v>1</v>
      </c>
    </row>
    <row r="1199" spans="1:14" ht="15.75" hidden="1" customHeight="1" x14ac:dyDescent="0.2">
      <c r="A1199" s="2">
        <v>1208</v>
      </c>
      <c r="B1199" s="2">
        <v>124</v>
      </c>
      <c r="C1199" s="2">
        <v>135</v>
      </c>
      <c r="D1199" s="2" t="s">
        <v>674</v>
      </c>
      <c r="E1199" s="2" t="str">
        <f t="shared" si="4"/>
        <v>635CG03PT</v>
      </c>
      <c r="F1199" s="2" t="str">
        <f>VLOOKUP(B1199,Course!$A$2:$R$329,2,FALSE)</f>
        <v>Basic Christian Growth</v>
      </c>
      <c r="G1199" s="2">
        <f>VLOOKUP(B1199, Course!$A$2:$L$950, 8, FALSE)</f>
        <v>6</v>
      </c>
      <c r="H1199" s="2">
        <v>3</v>
      </c>
      <c r="I1199" s="2">
        <v>1</v>
      </c>
      <c r="K1199" s="2" t="s">
        <v>1915</v>
      </c>
      <c r="L1199" s="2" t="str">
        <f>VLOOKUP(B1199, Course!$A$1:$O$933, 14, FALSE)</f>
        <v>CG</v>
      </c>
      <c r="M1199" s="2">
        <v>1</v>
      </c>
    </row>
    <row r="1200" spans="1:14" ht="15.75" hidden="1" customHeight="1" x14ac:dyDescent="0.2">
      <c r="A1200" s="2">
        <v>1209</v>
      </c>
      <c r="B1200" s="2">
        <v>124</v>
      </c>
      <c r="C1200" s="2">
        <v>136</v>
      </c>
      <c r="D1200" s="2" t="s">
        <v>674</v>
      </c>
      <c r="E1200" s="2" t="str">
        <f t="shared" si="4"/>
        <v>636CG03PT</v>
      </c>
      <c r="F1200" s="2" t="str">
        <f>VLOOKUP(B1200,Course!$A$2:$R$329,2,FALSE)</f>
        <v>Basic Christian Growth</v>
      </c>
      <c r="G1200" s="2">
        <f>VLOOKUP(B1200, Course!$A$2:$L$950, 8, FALSE)</f>
        <v>6</v>
      </c>
      <c r="H1200" s="2">
        <v>3</v>
      </c>
      <c r="I1200" s="2">
        <v>1</v>
      </c>
      <c r="K1200" s="2" t="s">
        <v>1915</v>
      </c>
      <c r="L1200" s="2" t="str">
        <f>VLOOKUP(B1200, Course!$A$1:$O$933, 14, FALSE)</f>
        <v>CG</v>
      </c>
      <c r="M1200" s="2">
        <v>1</v>
      </c>
    </row>
    <row r="1201" spans="1:13" ht="15.75" hidden="1" customHeight="1" x14ac:dyDescent="0.2">
      <c r="A1201" s="2">
        <v>1210</v>
      </c>
      <c r="B1201" s="2">
        <v>124</v>
      </c>
      <c r="C1201" s="2">
        <v>137</v>
      </c>
      <c r="D1201" s="2" t="s">
        <v>674</v>
      </c>
      <c r="E1201" s="2" t="str">
        <f t="shared" si="4"/>
        <v>637CG03PT</v>
      </c>
      <c r="F1201" s="2" t="str">
        <f>VLOOKUP(B1201,Course!$A$2:$R$329,2,FALSE)</f>
        <v>Basic Christian Growth</v>
      </c>
      <c r="G1201" s="2">
        <f>VLOOKUP(B1201, Course!$A$2:$L$950, 8, FALSE)</f>
        <v>6</v>
      </c>
      <c r="H1201" s="2">
        <v>3</v>
      </c>
      <c r="I1201" s="2">
        <v>1</v>
      </c>
      <c r="K1201" s="2" t="s">
        <v>1915</v>
      </c>
      <c r="L1201" s="2" t="str">
        <f>VLOOKUP(B1201, Course!$A$1:$O$933, 14, FALSE)</f>
        <v>CG</v>
      </c>
      <c r="M1201" s="2">
        <v>1</v>
      </c>
    </row>
    <row r="1202" spans="1:13" ht="15.75" hidden="1" customHeight="1" x14ac:dyDescent="0.2">
      <c r="A1202" s="2">
        <v>1211</v>
      </c>
      <c r="B1202" s="2">
        <v>124</v>
      </c>
      <c r="C1202" s="2">
        <v>138</v>
      </c>
      <c r="D1202" s="2" t="s">
        <v>674</v>
      </c>
      <c r="E1202" s="2" t="str">
        <f t="shared" si="4"/>
        <v>638CG03PT</v>
      </c>
      <c r="F1202" s="2" t="str">
        <f>VLOOKUP(B1202,Course!$A$2:$R$329,2,FALSE)</f>
        <v>Basic Christian Growth</v>
      </c>
      <c r="G1202" s="2">
        <f>VLOOKUP(B1202, Course!$A$2:$L$950, 8, FALSE)</f>
        <v>6</v>
      </c>
      <c r="H1202" s="2">
        <v>3</v>
      </c>
      <c r="I1202" s="2">
        <v>1</v>
      </c>
      <c r="K1202" s="2" t="s">
        <v>1915</v>
      </c>
      <c r="L1202" s="2" t="str">
        <f>VLOOKUP(B1202, Course!$A$1:$O$933, 14, FALSE)</f>
        <v>CG</v>
      </c>
      <c r="M1202" s="2">
        <v>1</v>
      </c>
    </row>
    <row r="1203" spans="1:13" ht="15.75" hidden="1" customHeight="1" x14ac:dyDescent="0.2">
      <c r="A1203" s="2">
        <v>1212</v>
      </c>
      <c r="B1203" s="2">
        <v>162</v>
      </c>
      <c r="C1203" s="2">
        <v>1</v>
      </c>
      <c r="D1203" s="2" t="s">
        <v>730</v>
      </c>
      <c r="E1203" s="2" t="str">
        <f t="shared" si="4"/>
        <v>1001BC03PT</v>
      </c>
      <c r="F1203" s="2" t="str">
        <f>VLOOKUP(B1203,Course!$A$2:$R$329,2,FALSE)</f>
        <v>Basic Biographies of Christians</v>
      </c>
      <c r="G1203" s="2">
        <f>VLOOKUP(B1203, Course!$A$2:$L$950, 8, FALSE)</f>
        <v>10</v>
      </c>
      <c r="H1203" s="2">
        <v>3</v>
      </c>
      <c r="I1203" s="2">
        <v>1</v>
      </c>
      <c r="K1203" s="2" t="s">
        <v>1915</v>
      </c>
      <c r="L1203" s="2" t="str">
        <f>VLOOKUP(B1203, Course!$A$1:$O$933, 14, FALSE)</f>
        <v>BC</v>
      </c>
      <c r="M1203" s="2">
        <v>1</v>
      </c>
    </row>
    <row r="1204" spans="1:13" ht="15.75" hidden="1" customHeight="1" x14ac:dyDescent="0.2">
      <c r="A1204" s="2">
        <v>1213</v>
      </c>
      <c r="B1204" s="2">
        <v>162</v>
      </c>
      <c r="C1204" s="2">
        <v>2</v>
      </c>
      <c r="D1204" s="2" t="s">
        <v>730</v>
      </c>
      <c r="E1204" s="2" t="str">
        <f t="shared" si="4"/>
        <v>1002BC03PT</v>
      </c>
      <c r="F1204" s="2" t="str">
        <f>VLOOKUP(B1204,Course!$A$2:$R$329,2,FALSE)</f>
        <v>Basic Biographies of Christians</v>
      </c>
      <c r="G1204" s="2">
        <f>VLOOKUP(B1204, Course!$A$2:$L$950, 8, FALSE)</f>
        <v>10</v>
      </c>
      <c r="H1204" s="2">
        <v>3</v>
      </c>
      <c r="I1204" s="2">
        <v>1</v>
      </c>
      <c r="K1204" s="2" t="s">
        <v>1915</v>
      </c>
      <c r="L1204" s="2" t="str">
        <f>VLOOKUP(B1204, Course!$A$1:$O$933, 14, FALSE)</f>
        <v>BC</v>
      </c>
      <c r="M1204" s="2">
        <v>1</v>
      </c>
    </row>
    <row r="1205" spans="1:13" ht="15.75" hidden="1" customHeight="1" x14ac:dyDescent="0.2">
      <c r="A1205" s="2">
        <v>1214</v>
      </c>
      <c r="B1205" s="2">
        <v>162</v>
      </c>
      <c r="C1205" s="2">
        <v>3</v>
      </c>
      <c r="D1205" s="2" t="s">
        <v>730</v>
      </c>
      <c r="E1205" s="2" t="str">
        <f t="shared" si="4"/>
        <v>1003BC03PT</v>
      </c>
      <c r="F1205" s="2" t="str">
        <f>VLOOKUP(B1205,Course!$A$2:$R$329,2,FALSE)</f>
        <v>Basic Biographies of Christians</v>
      </c>
      <c r="G1205" s="2">
        <f>VLOOKUP(B1205, Course!$A$2:$L$950, 8, FALSE)</f>
        <v>10</v>
      </c>
      <c r="H1205" s="2">
        <v>3</v>
      </c>
      <c r="I1205" s="2">
        <v>1</v>
      </c>
      <c r="K1205" s="2" t="s">
        <v>1915</v>
      </c>
      <c r="L1205" s="2" t="str">
        <f>VLOOKUP(B1205, Course!$A$1:$O$933, 14, FALSE)</f>
        <v>BC</v>
      </c>
      <c r="M1205" s="2">
        <v>1</v>
      </c>
    </row>
    <row r="1206" spans="1:13" ht="15.75" hidden="1" customHeight="1" x14ac:dyDescent="0.2">
      <c r="A1206" s="2">
        <v>1215</v>
      </c>
      <c r="B1206" s="2">
        <v>162</v>
      </c>
      <c r="C1206" s="2">
        <v>4</v>
      </c>
      <c r="D1206" s="2" t="s">
        <v>730</v>
      </c>
      <c r="E1206" s="2" t="str">
        <f t="shared" si="4"/>
        <v>1004BC03PT</v>
      </c>
      <c r="F1206" s="2" t="str">
        <f>VLOOKUP(B1206,Course!$A$2:$R$329,2,FALSE)</f>
        <v>Basic Biographies of Christians</v>
      </c>
      <c r="G1206" s="2">
        <f>VLOOKUP(B1206, Course!$A$2:$L$950, 8, FALSE)</f>
        <v>10</v>
      </c>
      <c r="H1206" s="2">
        <v>3</v>
      </c>
      <c r="I1206" s="2">
        <v>1</v>
      </c>
      <c r="K1206" s="2" t="s">
        <v>1915</v>
      </c>
      <c r="L1206" s="2" t="str">
        <f>VLOOKUP(B1206, Course!$A$1:$O$933, 14, FALSE)</f>
        <v>BC</v>
      </c>
      <c r="M1206" s="2">
        <v>1</v>
      </c>
    </row>
    <row r="1207" spans="1:13" ht="15.75" hidden="1" customHeight="1" x14ac:dyDescent="0.2">
      <c r="A1207" s="2">
        <v>1216</v>
      </c>
      <c r="B1207" s="2">
        <v>162</v>
      </c>
      <c r="C1207" s="2">
        <v>5</v>
      </c>
      <c r="D1207" s="2" t="s">
        <v>730</v>
      </c>
      <c r="E1207" s="2" t="str">
        <f t="shared" si="4"/>
        <v>1005BC03PT</v>
      </c>
      <c r="F1207" s="2" t="str">
        <f>VLOOKUP(B1207,Course!$A$2:$R$329,2,FALSE)</f>
        <v>Basic Biographies of Christians</v>
      </c>
      <c r="G1207" s="2">
        <f>VLOOKUP(B1207, Course!$A$2:$L$950, 8, FALSE)</f>
        <v>10</v>
      </c>
      <c r="H1207" s="2">
        <v>3</v>
      </c>
      <c r="I1207" s="2">
        <v>1</v>
      </c>
      <c r="K1207" s="2" t="s">
        <v>1915</v>
      </c>
      <c r="L1207" s="2" t="str">
        <f>VLOOKUP(B1207, Course!$A$1:$O$933, 14, FALSE)</f>
        <v>BC</v>
      </c>
      <c r="M1207" s="2">
        <v>1</v>
      </c>
    </row>
    <row r="1208" spans="1:13" ht="15.75" hidden="1" customHeight="1" x14ac:dyDescent="0.2">
      <c r="A1208" s="2">
        <v>1217</v>
      </c>
      <c r="B1208" s="2">
        <v>162</v>
      </c>
      <c r="C1208" s="2">
        <v>6</v>
      </c>
      <c r="D1208" s="2" t="s">
        <v>730</v>
      </c>
      <c r="E1208" s="2" t="str">
        <f t="shared" si="4"/>
        <v>1006BC03PT</v>
      </c>
      <c r="F1208" s="2" t="str">
        <f>VLOOKUP(B1208,Course!$A$2:$R$329,2,FALSE)</f>
        <v>Basic Biographies of Christians</v>
      </c>
      <c r="G1208" s="2">
        <f>VLOOKUP(B1208, Course!$A$2:$L$950, 8, FALSE)</f>
        <v>10</v>
      </c>
      <c r="H1208" s="2">
        <v>3</v>
      </c>
      <c r="I1208" s="2">
        <v>1</v>
      </c>
      <c r="K1208" s="2" t="s">
        <v>1915</v>
      </c>
      <c r="L1208" s="2" t="str">
        <f>VLOOKUP(B1208, Course!$A$1:$O$933, 14, FALSE)</f>
        <v>BC</v>
      </c>
      <c r="M1208" s="2">
        <v>1</v>
      </c>
    </row>
    <row r="1209" spans="1:13" ht="15.75" hidden="1" customHeight="1" x14ac:dyDescent="0.2">
      <c r="A1209" s="2">
        <v>1218</v>
      </c>
      <c r="B1209" s="2">
        <v>162</v>
      </c>
      <c r="C1209" s="2">
        <v>7</v>
      </c>
      <c r="D1209" s="2" t="s">
        <v>730</v>
      </c>
      <c r="E1209" s="2" t="str">
        <f t="shared" si="4"/>
        <v>1007BC03PT</v>
      </c>
      <c r="F1209" s="2" t="str">
        <f>VLOOKUP(B1209,Course!$A$2:$R$329,2,FALSE)</f>
        <v>Basic Biographies of Christians</v>
      </c>
      <c r="G1209" s="2">
        <f>VLOOKUP(B1209, Course!$A$2:$L$950, 8, FALSE)</f>
        <v>10</v>
      </c>
      <c r="H1209" s="2">
        <v>3</v>
      </c>
      <c r="I1209" s="2">
        <v>1</v>
      </c>
      <c r="K1209" s="2" t="s">
        <v>1915</v>
      </c>
      <c r="L1209" s="2" t="str">
        <f>VLOOKUP(B1209, Course!$A$1:$O$933, 14, FALSE)</f>
        <v>BC</v>
      </c>
      <c r="M1209" s="2">
        <v>1</v>
      </c>
    </row>
    <row r="1210" spans="1:13" ht="15.75" hidden="1" customHeight="1" x14ac:dyDescent="0.2">
      <c r="A1210" s="2">
        <v>1219</v>
      </c>
      <c r="B1210" s="2">
        <v>162</v>
      </c>
      <c r="C1210" s="2">
        <v>8</v>
      </c>
      <c r="D1210" s="2" t="s">
        <v>730</v>
      </c>
      <c r="E1210" s="2" t="str">
        <f t="shared" si="4"/>
        <v>1008BC03PT</v>
      </c>
      <c r="F1210" s="2" t="str">
        <f>VLOOKUP(B1210,Course!$A$2:$R$329,2,FALSE)</f>
        <v>Basic Biographies of Christians</v>
      </c>
      <c r="G1210" s="2">
        <f>VLOOKUP(B1210, Course!$A$2:$L$950, 8, FALSE)</f>
        <v>10</v>
      </c>
      <c r="H1210" s="2">
        <v>3</v>
      </c>
      <c r="I1210" s="2">
        <v>1</v>
      </c>
      <c r="K1210" s="2" t="s">
        <v>1915</v>
      </c>
      <c r="L1210" s="2" t="str">
        <f>VLOOKUP(B1210, Course!$A$1:$O$933, 14, FALSE)</f>
        <v>BC</v>
      </c>
      <c r="M1210" s="2">
        <v>1</v>
      </c>
    </row>
    <row r="1211" spans="1:13" ht="15.75" hidden="1" customHeight="1" x14ac:dyDescent="0.2">
      <c r="A1211" s="2">
        <v>1220</v>
      </c>
      <c r="B1211" s="2">
        <v>162</v>
      </c>
      <c r="C1211" s="2">
        <v>9</v>
      </c>
      <c r="D1211" s="2" t="s">
        <v>730</v>
      </c>
      <c r="E1211" s="2" t="str">
        <f t="shared" ref="E1211:E1212" si="5">UPPER(LEFT(G1211,2)) &amp; RIGHT("0" &amp; C1211, 2) &amp; D1211 &amp; RIGHT("0" &amp; H1211, 2) &amp; K1211</f>
        <v>1009BC03PT</v>
      </c>
      <c r="F1211" s="2" t="str">
        <f>VLOOKUP(B1211,Course!$A$2:$R$329,2,FALSE)</f>
        <v>Basic Biographies of Christians</v>
      </c>
      <c r="G1211" s="2">
        <f>VLOOKUP(B1211, Course!$A$2:$L$950, 8, FALSE)</f>
        <v>10</v>
      </c>
      <c r="H1211" s="2">
        <v>3</v>
      </c>
      <c r="I1211" s="2">
        <v>1</v>
      </c>
      <c r="K1211" s="2" t="s">
        <v>1915</v>
      </c>
      <c r="L1211" s="2" t="str">
        <f>VLOOKUP(B1211, Course!$A$1:$O$933, 14, FALSE)</f>
        <v>BC</v>
      </c>
      <c r="M1211" s="2">
        <v>1</v>
      </c>
    </row>
    <row r="1212" spans="1:13" ht="15.75" hidden="1" customHeight="1" x14ac:dyDescent="0.2">
      <c r="A1212" s="2">
        <v>1221</v>
      </c>
      <c r="B1212" s="2">
        <v>162</v>
      </c>
      <c r="C1212" s="2">
        <v>10</v>
      </c>
      <c r="D1212" s="2" t="s">
        <v>730</v>
      </c>
      <c r="E1212" s="2" t="str">
        <f t="shared" si="5"/>
        <v>1010BC03PT</v>
      </c>
      <c r="F1212" s="2" t="str">
        <f>VLOOKUP(B1212,Course!$A$2:$R$329,2,FALSE)</f>
        <v>Basic Biographies of Christians</v>
      </c>
      <c r="G1212" s="2">
        <f>VLOOKUP(B1212, Course!$A$2:$L$950, 8, FALSE)</f>
        <v>10</v>
      </c>
      <c r="H1212" s="2">
        <v>3</v>
      </c>
      <c r="I1212" s="2">
        <v>1</v>
      </c>
      <c r="K1212" s="2" t="s">
        <v>1915</v>
      </c>
      <c r="L1212" s="2" t="str">
        <f>VLOOKUP(B1212, Course!$A$1:$O$933, 14, FALSE)</f>
        <v>BC</v>
      </c>
      <c r="M1212" s="2">
        <v>1</v>
      </c>
    </row>
    <row r="1213" spans="1:13" ht="15.75" hidden="1" customHeight="1" x14ac:dyDescent="0.2">
      <c r="A1213" s="2">
        <v>1224</v>
      </c>
      <c r="B1213" s="2">
        <v>127</v>
      </c>
      <c r="C1213" s="2">
        <v>1</v>
      </c>
      <c r="D1213" s="2" t="s">
        <v>641</v>
      </c>
      <c r="E1213" s="2" t="str">
        <f t="shared" ref="E1213:E1346" si="6">UPPER(LEFT(G1213,2)) &amp; RIGHT("0" &amp; C1213, 2) &amp; D1213 &amp; RIGHT("0" &amp; H1213, 2) &amp; K1213</f>
        <v>1001EC03PT</v>
      </c>
      <c r="F1213" s="2">
        <f>VLOOKUP(B1213,Course!$A$2:$R$329,2,FALSE)</f>
        <v>0</v>
      </c>
      <c r="G1213" s="2">
        <f>VLOOKUP(B1213, Course!$A$2:$L$950, 8, FALSE)</f>
        <v>10</v>
      </c>
      <c r="H1213" s="2">
        <v>3</v>
      </c>
      <c r="I1213" s="2">
        <v>1</v>
      </c>
      <c r="K1213" s="2" t="s">
        <v>1915</v>
      </c>
      <c r="L1213" s="2" t="str">
        <f>VLOOKUP(B1213, Course!$A$1:$O$933, 14, FALSE)</f>
        <v>EC</v>
      </c>
      <c r="M1213" s="2">
        <v>1</v>
      </c>
    </row>
    <row r="1214" spans="1:13" ht="15.75" hidden="1" customHeight="1" x14ac:dyDescent="0.2">
      <c r="A1214" s="2">
        <v>1225</v>
      </c>
      <c r="B1214" s="2">
        <v>127</v>
      </c>
      <c r="C1214" s="2">
        <v>2</v>
      </c>
      <c r="D1214" s="2" t="s">
        <v>641</v>
      </c>
      <c r="E1214" s="2" t="str">
        <f t="shared" si="6"/>
        <v>1002EC03PT</v>
      </c>
      <c r="F1214" s="2">
        <f>VLOOKUP(B1214,Course!$A$2:$R$329,2,FALSE)</f>
        <v>0</v>
      </c>
      <c r="G1214" s="2">
        <f>VLOOKUP(B1214, Course!$A$2:$L$950, 8, FALSE)</f>
        <v>10</v>
      </c>
      <c r="H1214" s="2">
        <v>3</v>
      </c>
      <c r="I1214" s="2">
        <v>1</v>
      </c>
      <c r="K1214" s="2" t="s">
        <v>1915</v>
      </c>
      <c r="L1214" s="2" t="str">
        <f>VLOOKUP(B1214, Course!$A$1:$O$933, 14, FALSE)</f>
        <v>EC</v>
      </c>
      <c r="M1214" s="2">
        <v>1</v>
      </c>
    </row>
    <row r="1215" spans="1:13" ht="15.75" hidden="1" customHeight="1" x14ac:dyDescent="0.2">
      <c r="A1215" s="2">
        <v>1226</v>
      </c>
      <c r="B1215" s="2">
        <v>127</v>
      </c>
      <c r="C1215" s="2">
        <v>3</v>
      </c>
      <c r="D1215" s="2" t="s">
        <v>641</v>
      </c>
      <c r="E1215" s="2" t="str">
        <f t="shared" si="6"/>
        <v>1003EC03PT</v>
      </c>
      <c r="F1215" s="2">
        <f>VLOOKUP(B1215,Course!$A$2:$R$329,2,FALSE)</f>
        <v>0</v>
      </c>
      <c r="G1215" s="2">
        <f>VLOOKUP(B1215, Course!$A$2:$L$950, 8, FALSE)</f>
        <v>10</v>
      </c>
      <c r="H1215" s="2">
        <v>3</v>
      </c>
      <c r="I1215" s="2">
        <v>1</v>
      </c>
      <c r="K1215" s="2" t="s">
        <v>1915</v>
      </c>
      <c r="L1215" s="2" t="str">
        <f>VLOOKUP(B1215, Course!$A$1:$O$933, 14, FALSE)</f>
        <v>EC</v>
      </c>
      <c r="M1215" s="2">
        <v>1</v>
      </c>
    </row>
    <row r="1216" spans="1:13" ht="15.75" hidden="1" customHeight="1" x14ac:dyDescent="0.2">
      <c r="A1216" s="2">
        <v>1227</v>
      </c>
      <c r="B1216" s="2">
        <v>127</v>
      </c>
      <c r="C1216" s="2">
        <v>4</v>
      </c>
      <c r="D1216" s="2" t="s">
        <v>641</v>
      </c>
      <c r="E1216" s="2" t="str">
        <f t="shared" si="6"/>
        <v>1004EC03PT</v>
      </c>
      <c r="F1216" s="2">
        <f>VLOOKUP(B1216,Course!$A$2:$R$329,2,FALSE)</f>
        <v>0</v>
      </c>
      <c r="G1216" s="2">
        <f>VLOOKUP(B1216, Course!$A$2:$L$950, 8, FALSE)</f>
        <v>10</v>
      </c>
      <c r="H1216" s="2">
        <v>3</v>
      </c>
      <c r="I1216" s="2">
        <v>1</v>
      </c>
      <c r="K1216" s="2" t="s">
        <v>1915</v>
      </c>
      <c r="L1216" s="2" t="str">
        <f>VLOOKUP(B1216, Course!$A$1:$O$933, 14, FALSE)</f>
        <v>EC</v>
      </c>
      <c r="M1216" s="2">
        <v>1</v>
      </c>
    </row>
    <row r="1217" spans="1:13" ht="15.75" hidden="1" customHeight="1" x14ac:dyDescent="0.2">
      <c r="A1217" s="2">
        <v>1228</v>
      </c>
      <c r="B1217" s="2">
        <v>127</v>
      </c>
      <c r="C1217" s="2">
        <v>5</v>
      </c>
      <c r="D1217" s="2" t="s">
        <v>641</v>
      </c>
      <c r="E1217" s="2" t="str">
        <f t="shared" si="6"/>
        <v>1005EC03PT</v>
      </c>
      <c r="F1217" s="2">
        <f>VLOOKUP(B1217,Course!$A$2:$R$329,2,FALSE)</f>
        <v>0</v>
      </c>
      <c r="G1217" s="2">
        <f>VLOOKUP(B1217, Course!$A$2:$L$950, 8, FALSE)</f>
        <v>10</v>
      </c>
      <c r="H1217" s="2">
        <v>3</v>
      </c>
      <c r="I1217" s="2">
        <v>1</v>
      </c>
      <c r="K1217" s="2" t="s">
        <v>1915</v>
      </c>
      <c r="L1217" s="2" t="str">
        <f>VLOOKUP(B1217, Course!$A$1:$O$933, 14, FALSE)</f>
        <v>EC</v>
      </c>
      <c r="M1217" s="2">
        <v>1</v>
      </c>
    </row>
    <row r="1218" spans="1:13" ht="15.75" hidden="1" customHeight="1" x14ac:dyDescent="0.2">
      <c r="A1218" s="2">
        <v>1229</v>
      </c>
      <c r="B1218" s="2">
        <v>127</v>
      </c>
      <c r="C1218" s="2">
        <v>6</v>
      </c>
      <c r="D1218" s="2" t="s">
        <v>641</v>
      </c>
      <c r="E1218" s="2" t="str">
        <f t="shared" si="6"/>
        <v>1006EC03PT</v>
      </c>
      <c r="F1218" s="2">
        <f>VLOOKUP(B1218,Course!$A$2:$R$329,2,FALSE)</f>
        <v>0</v>
      </c>
      <c r="G1218" s="2">
        <f>VLOOKUP(B1218, Course!$A$2:$L$950, 8, FALSE)</f>
        <v>10</v>
      </c>
      <c r="H1218" s="2">
        <v>3</v>
      </c>
      <c r="I1218" s="2">
        <v>1</v>
      </c>
      <c r="K1218" s="2" t="s">
        <v>1915</v>
      </c>
      <c r="L1218" s="2" t="str">
        <f>VLOOKUP(B1218, Course!$A$1:$O$933, 14, FALSE)</f>
        <v>EC</v>
      </c>
      <c r="M1218" s="2">
        <v>1</v>
      </c>
    </row>
    <row r="1219" spans="1:13" ht="15.75" hidden="1" customHeight="1" x14ac:dyDescent="0.2">
      <c r="A1219" s="2">
        <v>1230</v>
      </c>
      <c r="B1219" s="2">
        <v>127</v>
      </c>
      <c r="C1219" s="2">
        <v>7</v>
      </c>
      <c r="D1219" s="2" t="s">
        <v>641</v>
      </c>
      <c r="E1219" s="2" t="str">
        <f t="shared" si="6"/>
        <v>1007EC03PT</v>
      </c>
      <c r="F1219" s="2">
        <f>VLOOKUP(B1219,Course!$A$2:$R$329,2,FALSE)</f>
        <v>0</v>
      </c>
      <c r="G1219" s="2">
        <f>VLOOKUP(B1219, Course!$A$2:$L$950, 8, FALSE)</f>
        <v>10</v>
      </c>
      <c r="H1219" s="2">
        <v>3</v>
      </c>
      <c r="I1219" s="2">
        <v>1</v>
      </c>
      <c r="K1219" s="2" t="s">
        <v>1915</v>
      </c>
      <c r="L1219" s="2" t="str">
        <f>VLOOKUP(B1219, Course!$A$1:$O$933, 14, FALSE)</f>
        <v>EC</v>
      </c>
      <c r="M1219" s="2">
        <v>1</v>
      </c>
    </row>
    <row r="1220" spans="1:13" ht="15.75" hidden="1" customHeight="1" x14ac:dyDescent="0.2">
      <c r="A1220" s="2">
        <v>1231</v>
      </c>
      <c r="B1220" s="2">
        <v>127</v>
      </c>
      <c r="C1220" s="2">
        <v>8</v>
      </c>
      <c r="D1220" s="2" t="s">
        <v>641</v>
      </c>
      <c r="E1220" s="2" t="str">
        <f t="shared" si="6"/>
        <v>1008EC03PT</v>
      </c>
      <c r="F1220" s="2">
        <f>VLOOKUP(B1220,Course!$A$2:$R$329,2,FALSE)</f>
        <v>0</v>
      </c>
      <c r="G1220" s="2">
        <f>VLOOKUP(B1220, Course!$A$2:$L$950, 8, FALSE)</f>
        <v>10</v>
      </c>
      <c r="H1220" s="2">
        <v>3</v>
      </c>
      <c r="I1220" s="2">
        <v>1</v>
      </c>
      <c r="K1220" s="2" t="s">
        <v>1915</v>
      </c>
      <c r="L1220" s="2" t="str">
        <f>VLOOKUP(B1220, Course!$A$1:$O$933, 14, FALSE)</f>
        <v>EC</v>
      </c>
      <c r="M1220" s="2">
        <v>1</v>
      </c>
    </row>
    <row r="1221" spans="1:13" ht="15.75" hidden="1" customHeight="1" x14ac:dyDescent="0.2">
      <c r="A1221" s="2">
        <v>1232</v>
      </c>
      <c r="B1221" s="2">
        <v>127</v>
      </c>
      <c r="C1221" s="2">
        <v>9</v>
      </c>
      <c r="D1221" s="2" t="s">
        <v>641</v>
      </c>
      <c r="E1221" s="2" t="str">
        <f t="shared" si="6"/>
        <v>1009EC03PT</v>
      </c>
      <c r="F1221" s="2">
        <f>VLOOKUP(B1221,Course!$A$2:$R$329,2,FALSE)</f>
        <v>0</v>
      </c>
      <c r="G1221" s="2">
        <f>VLOOKUP(B1221, Course!$A$2:$L$950, 8, FALSE)</f>
        <v>10</v>
      </c>
      <c r="H1221" s="2">
        <v>3</v>
      </c>
      <c r="I1221" s="2">
        <v>1</v>
      </c>
      <c r="K1221" s="2" t="s">
        <v>1915</v>
      </c>
      <c r="L1221" s="2" t="str">
        <f>VLOOKUP(B1221, Course!$A$1:$O$933, 14, FALSE)</f>
        <v>EC</v>
      </c>
      <c r="M1221" s="2">
        <v>1</v>
      </c>
    </row>
    <row r="1222" spans="1:13" ht="15.75" hidden="1" customHeight="1" x14ac:dyDescent="0.2">
      <c r="A1222" s="2">
        <v>1233</v>
      </c>
      <c r="B1222" s="2">
        <v>127</v>
      </c>
      <c r="C1222" s="2">
        <v>10</v>
      </c>
      <c r="D1222" s="2" t="s">
        <v>641</v>
      </c>
      <c r="E1222" s="2" t="str">
        <f t="shared" si="6"/>
        <v>1010EC03PT</v>
      </c>
      <c r="F1222" s="2">
        <f>VLOOKUP(B1222,Course!$A$2:$R$329,2,FALSE)</f>
        <v>0</v>
      </c>
      <c r="G1222" s="2">
        <f>VLOOKUP(B1222, Course!$A$2:$L$950, 8, FALSE)</f>
        <v>10</v>
      </c>
      <c r="H1222" s="2">
        <v>3</v>
      </c>
      <c r="I1222" s="2">
        <v>1</v>
      </c>
      <c r="K1222" s="2" t="s">
        <v>1915</v>
      </c>
      <c r="L1222" s="2" t="str">
        <f>VLOOKUP(B1222, Course!$A$1:$O$933, 14, FALSE)</f>
        <v>EC</v>
      </c>
      <c r="M1222" s="2">
        <v>1</v>
      </c>
    </row>
    <row r="1223" spans="1:13" ht="15.75" hidden="1" customHeight="1" x14ac:dyDescent="0.2">
      <c r="A1223" s="2">
        <v>1234</v>
      </c>
      <c r="B1223" s="2">
        <v>130</v>
      </c>
      <c r="C1223" s="2">
        <v>1</v>
      </c>
      <c r="D1223" s="2" t="s">
        <v>523</v>
      </c>
      <c r="E1223" s="2" t="str">
        <f t="shared" si="6"/>
        <v>1601BA03PT</v>
      </c>
      <c r="F1223" s="2">
        <f>VLOOKUP(B1223,Course!$A$2:$R$329,2,FALSE)</f>
        <v>0</v>
      </c>
      <c r="G1223" s="2">
        <f>VLOOKUP(B1223, Course!$A$2:$L$950, 8, FALSE)</f>
        <v>16</v>
      </c>
      <c r="H1223" s="2">
        <v>3</v>
      </c>
      <c r="I1223" s="2">
        <v>1</v>
      </c>
      <c r="K1223" s="2" t="s">
        <v>1915</v>
      </c>
      <c r="L1223" s="2" t="str">
        <f>VLOOKUP(B1223, Course!$A$1:$O$933, 14, FALSE)</f>
        <v>BA</v>
      </c>
      <c r="M1223" s="2">
        <v>1</v>
      </c>
    </row>
    <row r="1224" spans="1:13" ht="15.75" hidden="1" customHeight="1" x14ac:dyDescent="0.2">
      <c r="A1224" s="2">
        <v>1235</v>
      </c>
      <c r="B1224" s="2">
        <v>130</v>
      </c>
      <c r="C1224" s="2">
        <v>2</v>
      </c>
      <c r="D1224" s="2" t="s">
        <v>523</v>
      </c>
      <c r="E1224" s="2" t="str">
        <f t="shared" si="6"/>
        <v>1602BA03PT</v>
      </c>
      <c r="F1224" s="2">
        <f>VLOOKUP(B1224,Course!$A$2:$R$329,2,FALSE)</f>
        <v>0</v>
      </c>
      <c r="G1224" s="2">
        <f>VLOOKUP(B1224, Course!$A$2:$L$950, 8, FALSE)</f>
        <v>16</v>
      </c>
      <c r="H1224" s="2">
        <v>3</v>
      </c>
      <c r="I1224" s="2">
        <v>1</v>
      </c>
      <c r="K1224" s="2" t="s">
        <v>1915</v>
      </c>
      <c r="L1224" s="2" t="str">
        <f>VLOOKUP(B1224, Course!$A$1:$O$933, 14, FALSE)</f>
        <v>BA</v>
      </c>
      <c r="M1224" s="2">
        <v>1</v>
      </c>
    </row>
    <row r="1225" spans="1:13" ht="15.75" hidden="1" customHeight="1" x14ac:dyDescent="0.2">
      <c r="A1225" s="2">
        <v>1236</v>
      </c>
      <c r="B1225" s="2">
        <v>130</v>
      </c>
      <c r="C1225" s="2">
        <v>3</v>
      </c>
      <c r="D1225" s="2" t="s">
        <v>523</v>
      </c>
      <c r="E1225" s="2" t="str">
        <f t="shared" si="6"/>
        <v>1603BA03PT</v>
      </c>
      <c r="F1225" s="2">
        <f>VLOOKUP(B1225,Course!$A$2:$R$329,2,FALSE)</f>
        <v>0</v>
      </c>
      <c r="G1225" s="2">
        <f>VLOOKUP(B1225, Course!$A$2:$L$950, 8, FALSE)</f>
        <v>16</v>
      </c>
      <c r="H1225" s="2">
        <v>3</v>
      </c>
      <c r="I1225" s="2">
        <v>1</v>
      </c>
      <c r="K1225" s="2" t="s">
        <v>1915</v>
      </c>
      <c r="L1225" s="2" t="str">
        <f>VLOOKUP(B1225, Course!$A$1:$O$933, 14, FALSE)</f>
        <v>BA</v>
      </c>
      <c r="M1225" s="2">
        <v>1</v>
      </c>
    </row>
    <row r="1226" spans="1:13" ht="15.75" hidden="1" customHeight="1" x14ac:dyDescent="0.2">
      <c r="A1226" s="2">
        <v>1237</v>
      </c>
      <c r="B1226" s="2">
        <v>130</v>
      </c>
      <c r="C1226" s="2">
        <v>4</v>
      </c>
      <c r="D1226" s="2" t="s">
        <v>523</v>
      </c>
      <c r="E1226" s="2" t="str">
        <f t="shared" si="6"/>
        <v>1604BA03PT</v>
      </c>
      <c r="F1226" s="2">
        <f>VLOOKUP(B1226,Course!$A$2:$R$329,2,FALSE)</f>
        <v>0</v>
      </c>
      <c r="G1226" s="2">
        <f>VLOOKUP(B1226, Course!$A$2:$L$950, 8, FALSE)</f>
        <v>16</v>
      </c>
      <c r="H1226" s="2">
        <v>3</v>
      </c>
      <c r="I1226" s="2">
        <v>1</v>
      </c>
      <c r="K1226" s="2" t="s">
        <v>1915</v>
      </c>
      <c r="L1226" s="2" t="str">
        <f>VLOOKUP(B1226, Course!$A$1:$O$933, 14, FALSE)</f>
        <v>BA</v>
      </c>
      <c r="M1226" s="2">
        <v>1</v>
      </c>
    </row>
    <row r="1227" spans="1:13" ht="15.75" hidden="1" customHeight="1" x14ac:dyDescent="0.2">
      <c r="A1227" s="2">
        <v>1238</v>
      </c>
      <c r="B1227" s="2">
        <v>130</v>
      </c>
      <c r="C1227" s="2">
        <v>5</v>
      </c>
      <c r="D1227" s="2" t="s">
        <v>523</v>
      </c>
      <c r="E1227" s="2" t="str">
        <f t="shared" si="6"/>
        <v>1605BA03PT</v>
      </c>
      <c r="F1227" s="2">
        <f>VLOOKUP(B1227,Course!$A$2:$R$329,2,FALSE)</f>
        <v>0</v>
      </c>
      <c r="G1227" s="2">
        <f>VLOOKUP(B1227, Course!$A$2:$L$950, 8, FALSE)</f>
        <v>16</v>
      </c>
      <c r="H1227" s="2">
        <v>3</v>
      </c>
      <c r="I1227" s="2">
        <v>1</v>
      </c>
      <c r="K1227" s="2" t="s">
        <v>1915</v>
      </c>
      <c r="L1227" s="2" t="str">
        <f>VLOOKUP(B1227, Course!$A$1:$O$933, 14, FALSE)</f>
        <v>BA</v>
      </c>
      <c r="M1227" s="2">
        <v>1</v>
      </c>
    </row>
    <row r="1228" spans="1:13" ht="15.75" hidden="1" customHeight="1" x14ac:dyDescent="0.2">
      <c r="A1228" s="2">
        <v>1239</v>
      </c>
      <c r="B1228" s="2">
        <v>130</v>
      </c>
      <c r="C1228" s="2">
        <v>6</v>
      </c>
      <c r="D1228" s="2" t="s">
        <v>523</v>
      </c>
      <c r="E1228" s="2" t="str">
        <f t="shared" si="6"/>
        <v>1606BA03PT</v>
      </c>
      <c r="F1228" s="2">
        <f>VLOOKUP(B1228,Course!$A$2:$R$329,2,FALSE)</f>
        <v>0</v>
      </c>
      <c r="G1228" s="2">
        <f>VLOOKUP(B1228, Course!$A$2:$L$950, 8, FALSE)</f>
        <v>16</v>
      </c>
      <c r="H1228" s="2">
        <v>3</v>
      </c>
      <c r="I1228" s="2">
        <v>1</v>
      </c>
      <c r="K1228" s="2" t="s">
        <v>1915</v>
      </c>
      <c r="L1228" s="2" t="str">
        <f>VLOOKUP(B1228, Course!$A$1:$O$933, 14, FALSE)</f>
        <v>BA</v>
      </c>
      <c r="M1228" s="2">
        <v>1</v>
      </c>
    </row>
    <row r="1229" spans="1:13" ht="15.75" hidden="1" customHeight="1" x14ac:dyDescent="0.2">
      <c r="A1229" s="2">
        <v>1240</v>
      </c>
      <c r="B1229" s="2">
        <v>130</v>
      </c>
      <c r="C1229" s="2">
        <v>7</v>
      </c>
      <c r="D1229" s="2" t="s">
        <v>523</v>
      </c>
      <c r="E1229" s="2" t="str">
        <f t="shared" si="6"/>
        <v>1607BA03PT</v>
      </c>
      <c r="F1229" s="2">
        <f>VLOOKUP(B1229,Course!$A$2:$R$329,2,FALSE)</f>
        <v>0</v>
      </c>
      <c r="G1229" s="2">
        <f>VLOOKUP(B1229, Course!$A$2:$L$950, 8, FALSE)</f>
        <v>16</v>
      </c>
      <c r="H1229" s="2">
        <v>3</v>
      </c>
      <c r="I1229" s="2">
        <v>1</v>
      </c>
      <c r="K1229" s="2" t="s">
        <v>1915</v>
      </c>
      <c r="L1229" s="2" t="str">
        <f>VLOOKUP(B1229, Course!$A$1:$O$933, 14, FALSE)</f>
        <v>BA</v>
      </c>
      <c r="M1229" s="2">
        <v>1</v>
      </c>
    </row>
    <row r="1230" spans="1:13" ht="15.75" hidden="1" customHeight="1" x14ac:dyDescent="0.2">
      <c r="A1230" s="2">
        <v>1241</v>
      </c>
      <c r="B1230" s="2">
        <v>130</v>
      </c>
      <c r="C1230" s="2">
        <v>8</v>
      </c>
      <c r="D1230" s="2" t="s">
        <v>523</v>
      </c>
      <c r="E1230" s="2" t="str">
        <f t="shared" si="6"/>
        <v>1608BA03PT</v>
      </c>
      <c r="F1230" s="2">
        <f>VLOOKUP(B1230,Course!$A$2:$R$329,2,FALSE)</f>
        <v>0</v>
      </c>
      <c r="G1230" s="2">
        <f>VLOOKUP(B1230, Course!$A$2:$L$950, 8, FALSE)</f>
        <v>16</v>
      </c>
      <c r="H1230" s="2">
        <v>3</v>
      </c>
      <c r="I1230" s="2">
        <v>1</v>
      </c>
      <c r="K1230" s="2" t="s">
        <v>1915</v>
      </c>
      <c r="L1230" s="2" t="str">
        <f>VLOOKUP(B1230, Course!$A$1:$O$933, 14, FALSE)</f>
        <v>BA</v>
      </c>
      <c r="M1230" s="2">
        <v>1</v>
      </c>
    </row>
    <row r="1231" spans="1:13" ht="15.75" hidden="1" customHeight="1" x14ac:dyDescent="0.2">
      <c r="A1231" s="2">
        <v>1242</v>
      </c>
      <c r="B1231" s="2">
        <v>130</v>
      </c>
      <c r="C1231" s="2">
        <v>9</v>
      </c>
      <c r="D1231" s="2" t="s">
        <v>523</v>
      </c>
      <c r="E1231" s="2" t="str">
        <f t="shared" si="6"/>
        <v>1609BA03PT</v>
      </c>
      <c r="F1231" s="2">
        <f>VLOOKUP(B1231,Course!$A$2:$R$329,2,FALSE)</f>
        <v>0</v>
      </c>
      <c r="G1231" s="2">
        <f>VLOOKUP(B1231, Course!$A$2:$L$950, 8, FALSE)</f>
        <v>16</v>
      </c>
      <c r="H1231" s="2">
        <v>3</v>
      </c>
      <c r="I1231" s="2">
        <v>1</v>
      </c>
      <c r="K1231" s="2" t="s">
        <v>1915</v>
      </c>
      <c r="L1231" s="2" t="str">
        <f>VLOOKUP(B1231, Course!$A$1:$O$933, 14, FALSE)</f>
        <v>BA</v>
      </c>
      <c r="M1231" s="2">
        <v>1</v>
      </c>
    </row>
    <row r="1232" spans="1:13" ht="15.75" hidden="1" customHeight="1" x14ac:dyDescent="0.2">
      <c r="A1232" s="2">
        <v>1243</v>
      </c>
      <c r="B1232" s="2">
        <v>130</v>
      </c>
      <c r="C1232" s="2">
        <v>10</v>
      </c>
      <c r="D1232" s="2" t="s">
        <v>523</v>
      </c>
      <c r="E1232" s="2" t="str">
        <f t="shared" si="6"/>
        <v>1610BA03PT</v>
      </c>
      <c r="F1232" s="2">
        <f>VLOOKUP(B1232,Course!$A$2:$R$329,2,FALSE)</f>
        <v>0</v>
      </c>
      <c r="G1232" s="2">
        <f>VLOOKUP(B1232, Course!$A$2:$L$950, 8, FALSE)</f>
        <v>16</v>
      </c>
      <c r="H1232" s="2">
        <v>3</v>
      </c>
      <c r="I1232" s="2">
        <v>1</v>
      </c>
      <c r="K1232" s="2" t="s">
        <v>1915</v>
      </c>
      <c r="L1232" s="2" t="str">
        <f>VLOOKUP(B1232, Course!$A$1:$O$933, 14, FALSE)</f>
        <v>BA</v>
      </c>
      <c r="M1232" s="2">
        <v>1</v>
      </c>
    </row>
    <row r="1233" spans="1:13" ht="15.75" hidden="1" customHeight="1" x14ac:dyDescent="0.2">
      <c r="A1233" s="2">
        <v>1244</v>
      </c>
      <c r="B1233" s="2">
        <v>130</v>
      </c>
      <c r="C1233" s="2">
        <v>11</v>
      </c>
      <c r="D1233" s="2" t="s">
        <v>523</v>
      </c>
      <c r="E1233" s="2" t="str">
        <f t="shared" si="6"/>
        <v>1611BA03PT</v>
      </c>
      <c r="F1233" s="2">
        <f>VLOOKUP(B1233,Course!$A$2:$R$329,2,FALSE)</f>
        <v>0</v>
      </c>
      <c r="G1233" s="2">
        <f>VLOOKUP(B1233, Course!$A$2:$L$950, 8, FALSE)</f>
        <v>16</v>
      </c>
      <c r="H1233" s="2">
        <v>3</v>
      </c>
      <c r="I1233" s="2">
        <v>1</v>
      </c>
      <c r="K1233" s="2" t="s">
        <v>1915</v>
      </c>
      <c r="L1233" s="2" t="str">
        <f>VLOOKUP(B1233, Course!$A$1:$O$933, 14, FALSE)</f>
        <v>BA</v>
      </c>
      <c r="M1233" s="2">
        <v>1</v>
      </c>
    </row>
    <row r="1234" spans="1:13" ht="15.75" hidden="1" customHeight="1" x14ac:dyDescent="0.2">
      <c r="A1234" s="2">
        <v>1245</v>
      </c>
      <c r="B1234" s="2">
        <v>130</v>
      </c>
      <c r="C1234" s="2">
        <v>12</v>
      </c>
      <c r="D1234" s="2" t="s">
        <v>523</v>
      </c>
      <c r="E1234" s="2" t="str">
        <f t="shared" si="6"/>
        <v>1612BA03PT</v>
      </c>
      <c r="F1234" s="2">
        <f>VLOOKUP(B1234,Course!$A$2:$R$329,2,FALSE)</f>
        <v>0</v>
      </c>
      <c r="G1234" s="2">
        <f>VLOOKUP(B1234, Course!$A$2:$L$950, 8, FALSE)</f>
        <v>16</v>
      </c>
      <c r="H1234" s="2">
        <v>3</v>
      </c>
      <c r="I1234" s="2">
        <v>1</v>
      </c>
      <c r="K1234" s="2" t="s">
        <v>1915</v>
      </c>
      <c r="L1234" s="2" t="str">
        <f>VLOOKUP(B1234, Course!$A$1:$O$933, 14, FALSE)</f>
        <v>BA</v>
      </c>
      <c r="M1234" s="2">
        <v>1</v>
      </c>
    </row>
    <row r="1235" spans="1:13" ht="15.75" hidden="1" customHeight="1" x14ac:dyDescent="0.2">
      <c r="A1235" s="2">
        <v>1246</v>
      </c>
      <c r="B1235" s="2">
        <v>130</v>
      </c>
      <c r="C1235" s="2">
        <v>13</v>
      </c>
      <c r="D1235" s="2" t="s">
        <v>523</v>
      </c>
      <c r="E1235" s="2" t="str">
        <f t="shared" si="6"/>
        <v>1613BA03PT</v>
      </c>
      <c r="F1235" s="2">
        <f>VLOOKUP(B1235,Course!$A$2:$R$329,2,FALSE)</f>
        <v>0</v>
      </c>
      <c r="G1235" s="2">
        <f>VLOOKUP(B1235, Course!$A$2:$L$950, 8, FALSE)</f>
        <v>16</v>
      </c>
      <c r="H1235" s="2">
        <v>3</v>
      </c>
      <c r="I1235" s="2">
        <v>1</v>
      </c>
      <c r="K1235" s="2" t="s">
        <v>1915</v>
      </c>
      <c r="L1235" s="2" t="str">
        <f>VLOOKUP(B1235, Course!$A$1:$O$933, 14, FALSE)</f>
        <v>BA</v>
      </c>
      <c r="M1235" s="2">
        <v>1</v>
      </c>
    </row>
    <row r="1236" spans="1:13" ht="15.75" hidden="1" customHeight="1" x14ac:dyDescent="0.2">
      <c r="A1236" s="2">
        <v>1247</v>
      </c>
      <c r="B1236" s="2">
        <v>130</v>
      </c>
      <c r="C1236" s="2">
        <v>14</v>
      </c>
      <c r="D1236" s="2" t="s">
        <v>523</v>
      </c>
      <c r="E1236" s="2" t="str">
        <f t="shared" si="6"/>
        <v>1614BA03PT</v>
      </c>
      <c r="F1236" s="2">
        <f>VLOOKUP(B1236,Course!$A$2:$R$329,2,FALSE)</f>
        <v>0</v>
      </c>
      <c r="G1236" s="2">
        <f>VLOOKUP(B1236, Course!$A$2:$L$950, 8, FALSE)</f>
        <v>16</v>
      </c>
      <c r="H1236" s="2">
        <v>3</v>
      </c>
      <c r="I1236" s="2">
        <v>1</v>
      </c>
      <c r="K1236" s="2" t="s">
        <v>1915</v>
      </c>
      <c r="L1236" s="2" t="str">
        <f>VLOOKUP(B1236, Course!$A$1:$O$933, 14, FALSE)</f>
        <v>BA</v>
      </c>
      <c r="M1236" s="2">
        <v>1</v>
      </c>
    </row>
    <row r="1237" spans="1:13" ht="15.75" hidden="1" customHeight="1" x14ac:dyDescent="0.2">
      <c r="A1237" s="2">
        <v>1248</v>
      </c>
      <c r="B1237" s="2">
        <v>130</v>
      </c>
      <c r="C1237" s="2">
        <v>15</v>
      </c>
      <c r="D1237" s="2" t="s">
        <v>523</v>
      </c>
      <c r="E1237" s="2" t="str">
        <f t="shared" si="6"/>
        <v>1615BA03PT</v>
      </c>
      <c r="F1237" s="2">
        <f>VLOOKUP(B1237,Course!$A$2:$R$329,2,FALSE)</f>
        <v>0</v>
      </c>
      <c r="G1237" s="2">
        <f>VLOOKUP(B1237, Course!$A$2:$L$950, 8, FALSE)</f>
        <v>16</v>
      </c>
      <c r="H1237" s="2">
        <v>3</v>
      </c>
      <c r="I1237" s="2">
        <v>1</v>
      </c>
      <c r="K1237" s="2" t="s">
        <v>1915</v>
      </c>
      <c r="L1237" s="2" t="str">
        <f>VLOOKUP(B1237, Course!$A$1:$O$933, 14, FALSE)</f>
        <v>BA</v>
      </c>
      <c r="M1237" s="2">
        <v>1</v>
      </c>
    </row>
    <row r="1238" spans="1:13" ht="15.75" hidden="1" customHeight="1" x14ac:dyDescent="0.2">
      <c r="A1238" s="2">
        <v>1249</v>
      </c>
      <c r="B1238" s="2">
        <v>130</v>
      </c>
      <c r="C1238" s="2">
        <v>16</v>
      </c>
      <c r="D1238" s="2" t="s">
        <v>523</v>
      </c>
      <c r="E1238" s="2" t="str">
        <f t="shared" si="6"/>
        <v>1616BA03PT</v>
      </c>
      <c r="F1238" s="2">
        <f>VLOOKUP(B1238,Course!$A$2:$R$329,2,FALSE)</f>
        <v>0</v>
      </c>
      <c r="G1238" s="2">
        <f>VLOOKUP(B1238, Course!$A$2:$L$950, 8, FALSE)</f>
        <v>16</v>
      </c>
      <c r="H1238" s="2">
        <v>3</v>
      </c>
      <c r="I1238" s="2">
        <v>1</v>
      </c>
      <c r="K1238" s="2" t="s">
        <v>1915</v>
      </c>
      <c r="L1238" s="2" t="str">
        <f>VLOOKUP(B1238, Course!$A$1:$O$933, 14, FALSE)</f>
        <v>BA</v>
      </c>
      <c r="M1238" s="2">
        <v>1</v>
      </c>
    </row>
    <row r="1239" spans="1:13" ht="15.75" hidden="1" customHeight="1" x14ac:dyDescent="0.2">
      <c r="A1239" s="2">
        <v>1250</v>
      </c>
      <c r="B1239" s="2">
        <v>131</v>
      </c>
      <c r="C1239" s="2">
        <v>133</v>
      </c>
      <c r="D1239" s="2" t="s">
        <v>479</v>
      </c>
      <c r="E1239" s="2" t="str">
        <f t="shared" si="6"/>
        <v>1233LC03PT</v>
      </c>
      <c r="F1239" s="2">
        <f>VLOOKUP(B1239,Course!$A$2:$R$329,2,FALSE)</f>
        <v>0</v>
      </c>
      <c r="G1239" s="2">
        <f>VLOOKUP(B1239, Course!$A$2:$L$950, 8, FALSE)</f>
        <v>12</v>
      </c>
      <c r="H1239" s="2">
        <v>3</v>
      </c>
      <c r="I1239" s="2">
        <v>1</v>
      </c>
      <c r="K1239" s="2" t="s">
        <v>1915</v>
      </c>
      <c r="L1239" s="2" t="str">
        <f>VLOOKUP(B1239, Course!$A$1:$O$933, 14, FALSE)</f>
        <v>LC</v>
      </c>
      <c r="M1239" s="2">
        <v>1</v>
      </c>
    </row>
    <row r="1240" spans="1:13" ht="15.75" hidden="1" customHeight="1" x14ac:dyDescent="0.2">
      <c r="A1240" s="2">
        <v>1251</v>
      </c>
      <c r="B1240" s="2">
        <v>131</v>
      </c>
      <c r="C1240" s="2">
        <v>134</v>
      </c>
      <c r="D1240" s="2" t="s">
        <v>479</v>
      </c>
      <c r="E1240" s="2" t="str">
        <f t="shared" si="6"/>
        <v>1234LC03PT</v>
      </c>
      <c r="F1240" s="2">
        <f>VLOOKUP(B1240,Course!$A$2:$R$329,2,FALSE)</f>
        <v>0</v>
      </c>
      <c r="G1240" s="2">
        <f>VLOOKUP(B1240, Course!$A$2:$L$950, 8, FALSE)</f>
        <v>12</v>
      </c>
      <c r="H1240" s="2">
        <v>3</v>
      </c>
      <c r="I1240" s="2">
        <v>1</v>
      </c>
      <c r="K1240" s="2" t="s">
        <v>1915</v>
      </c>
      <c r="L1240" s="2" t="str">
        <f>VLOOKUP(B1240, Course!$A$1:$O$933, 14, FALSE)</f>
        <v>LC</v>
      </c>
      <c r="M1240" s="2">
        <v>1</v>
      </c>
    </row>
    <row r="1241" spans="1:13" ht="15.75" hidden="1" customHeight="1" x14ac:dyDescent="0.2">
      <c r="A1241" s="2">
        <v>1252</v>
      </c>
      <c r="B1241" s="2">
        <v>131</v>
      </c>
      <c r="C1241" s="2">
        <v>135</v>
      </c>
      <c r="D1241" s="2" t="s">
        <v>479</v>
      </c>
      <c r="E1241" s="2" t="str">
        <f t="shared" si="6"/>
        <v>1235LC03PT</v>
      </c>
      <c r="F1241" s="2">
        <f>VLOOKUP(B1241,Course!$A$2:$R$329,2,FALSE)</f>
        <v>0</v>
      </c>
      <c r="G1241" s="2">
        <f>VLOOKUP(B1241, Course!$A$2:$L$950, 8, FALSE)</f>
        <v>12</v>
      </c>
      <c r="H1241" s="2">
        <v>3</v>
      </c>
      <c r="I1241" s="2">
        <v>1</v>
      </c>
      <c r="K1241" s="2" t="s">
        <v>1915</v>
      </c>
      <c r="L1241" s="2" t="str">
        <f>VLOOKUP(B1241, Course!$A$1:$O$933, 14, FALSE)</f>
        <v>LC</v>
      </c>
      <c r="M1241" s="2">
        <v>1</v>
      </c>
    </row>
    <row r="1242" spans="1:13" ht="15.75" hidden="1" customHeight="1" x14ac:dyDescent="0.2">
      <c r="A1242" s="2">
        <v>1253</v>
      </c>
      <c r="B1242" s="2">
        <v>131</v>
      </c>
      <c r="C1242" s="2">
        <v>136</v>
      </c>
      <c r="D1242" s="2" t="s">
        <v>479</v>
      </c>
      <c r="E1242" s="2" t="str">
        <f t="shared" si="6"/>
        <v>1236LC03PT</v>
      </c>
      <c r="F1242" s="2">
        <f>VLOOKUP(B1242,Course!$A$2:$R$329,2,FALSE)</f>
        <v>0</v>
      </c>
      <c r="G1242" s="2">
        <f>VLOOKUP(B1242, Course!$A$2:$L$950, 8, FALSE)</f>
        <v>12</v>
      </c>
      <c r="H1242" s="2">
        <v>3</v>
      </c>
      <c r="I1242" s="2">
        <v>1</v>
      </c>
      <c r="K1242" s="2" t="s">
        <v>1915</v>
      </c>
      <c r="L1242" s="2" t="str">
        <f>VLOOKUP(B1242, Course!$A$1:$O$933, 14, FALSE)</f>
        <v>LC</v>
      </c>
      <c r="M1242" s="2">
        <v>1</v>
      </c>
    </row>
    <row r="1243" spans="1:13" ht="15.75" hidden="1" customHeight="1" x14ac:dyDescent="0.2">
      <c r="A1243" s="2">
        <v>1254</v>
      </c>
      <c r="B1243" s="2">
        <v>131</v>
      </c>
      <c r="C1243" s="2">
        <v>137</v>
      </c>
      <c r="D1243" s="2" t="s">
        <v>479</v>
      </c>
      <c r="E1243" s="2" t="str">
        <f t="shared" si="6"/>
        <v>1237LC03PT</v>
      </c>
      <c r="F1243" s="2">
        <f>VLOOKUP(B1243,Course!$A$2:$R$329,2,FALSE)</f>
        <v>0</v>
      </c>
      <c r="G1243" s="2">
        <f>VLOOKUP(B1243, Course!$A$2:$L$950, 8, FALSE)</f>
        <v>12</v>
      </c>
      <c r="H1243" s="2">
        <v>3</v>
      </c>
      <c r="I1243" s="2">
        <v>1</v>
      </c>
      <c r="K1243" s="2" t="s">
        <v>1915</v>
      </c>
      <c r="L1243" s="2" t="str">
        <f>VLOOKUP(B1243, Course!$A$1:$O$933, 14, FALSE)</f>
        <v>LC</v>
      </c>
      <c r="M1243" s="2">
        <v>1</v>
      </c>
    </row>
    <row r="1244" spans="1:13" ht="15.75" hidden="1" customHeight="1" x14ac:dyDescent="0.2">
      <c r="A1244" s="2">
        <v>1255</v>
      </c>
      <c r="B1244" s="2">
        <v>131</v>
      </c>
      <c r="C1244" s="2">
        <v>138</v>
      </c>
      <c r="D1244" s="2" t="s">
        <v>479</v>
      </c>
      <c r="E1244" s="2" t="str">
        <f t="shared" si="6"/>
        <v>1238LC03PT</v>
      </c>
      <c r="F1244" s="2">
        <f>VLOOKUP(B1244,Course!$A$2:$R$329,2,FALSE)</f>
        <v>0</v>
      </c>
      <c r="G1244" s="2">
        <f>VLOOKUP(B1244, Course!$A$2:$L$950, 8, FALSE)</f>
        <v>12</v>
      </c>
      <c r="H1244" s="2">
        <v>3</v>
      </c>
      <c r="I1244" s="2">
        <v>1</v>
      </c>
      <c r="K1244" s="2" t="s">
        <v>1915</v>
      </c>
      <c r="L1244" s="2" t="str">
        <f>VLOOKUP(B1244, Course!$A$1:$O$933, 14, FALSE)</f>
        <v>LC</v>
      </c>
      <c r="M1244" s="2">
        <v>1</v>
      </c>
    </row>
    <row r="1245" spans="1:13" ht="15.75" hidden="1" customHeight="1" x14ac:dyDescent="0.2">
      <c r="A1245" s="2">
        <v>1256</v>
      </c>
      <c r="B1245" s="2">
        <v>131</v>
      </c>
      <c r="C1245" s="2">
        <v>139</v>
      </c>
      <c r="D1245" s="2" t="s">
        <v>479</v>
      </c>
      <c r="E1245" s="2" t="str">
        <f t="shared" si="6"/>
        <v>1239LC03PT</v>
      </c>
      <c r="F1245" s="2">
        <f>VLOOKUP(B1245,Course!$A$2:$R$329,2,FALSE)</f>
        <v>0</v>
      </c>
      <c r="G1245" s="2">
        <f>VLOOKUP(B1245, Course!$A$2:$L$950, 8, FALSE)</f>
        <v>12</v>
      </c>
      <c r="H1245" s="2">
        <v>3</v>
      </c>
      <c r="I1245" s="2">
        <v>1</v>
      </c>
      <c r="K1245" s="2" t="s">
        <v>1915</v>
      </c>
      <c r="L1245" s="2" t="str">
        <f>VLOOKUP(B1245, Course!$A$1:$O$933, 14, FALSE)</f>
        <v>LC</v>
      </c>
      <c r="M1245" s="2">
        <v>1</v>
      </c>
    </row>
    <row r="1246" spans="1:13" ht="15.75" hidden="1" customHeight="1" x14ac:dyDescent="0.2">
      <c r="A1246" s="2">
        <v>1257</v>
      </c>
      <c r="B1246" s="2">
        <v>131</v>
      </c>
      <c r="C1246" s="2">
        <v>140</v>
      </c>
      <c r="D1246" s="2" t="s">
        <v>479</v>
      </c>
      <c r="E1246" s="2" t="str">
        <f t="shared" si="6"/>
        <v>1240LC03PT</v>
      </c>
      <c r="F1246" s="2">
        <f>VLOOKUP(B1246,Course!$A$2:$R$329,2,FALSE)</f>
        <v>0</v>
      </c>
      <c r="G1246" s="2">
        <f>VLOOKUP(B1246, Course!$A$2:$L$950, 8, FALSE)</f>
        <v>12</v>
      </c>
      <c r="H1246" s="2">
        <v>3</v>
      </c>
      <c r="I1246" s="2">
        <v>1</v>
      </c>
      <c r="K1246" s="2" t="s">
        <v>1915</v>
      </c>
      <c r="L1246" s="2" t="str">
        <f>VLOOKUP(B1246, Course!$A$1:$O$933, 14, FALSE)</f>
        <v>LC</v>
      </c>
      <c r="M1246" s="2">
        <v>1</v>
      </c>
    </row>
    <row r="1247" spans="1:13" ht="15.75" hidden="1" customHeight="1" x14ac:dyDescent="0.2">
      <c r="A1247" s="2">
        <v>1258</v>
      </c>
      <c r="B1247" s="2">
        <v>131</v>
      </c>
      <c r="C1247" s="2">
        <v>141</v>
      </c>
      <c r="D1247" s="2" t="s">
        <v>479</v>
      </c>
      <c r="E1247" s="2" t="str">
        <f t="shared" si="6"/>
        <v>1241LC03PT</v>
      </c>
      <c r="F1247" s="2">
        <f>VLOOKUP(B1247,Course!$A$2:$R$329,2,FALSE)</f>
        <v>0</v>
      </c>
      <c r="G1247" s="2">
        <f>VLOOKUP(B1247, Course!$A$2:$L$950, 8, FALSE)</f>
        <v>12</v>
      </c>
      <c r="H1247" s="2">
        <v>3</v>
      </c>
      <c r="I1247" s="2">
        <v>1</v>
      </c>
      <c r="K1247" s="2" t="s">
        <v>1915</v>
      </c>
      <c r="L1247" s="2" t="str">
        <f>VLOOKUP(B1247, Course!$A$1:$O$933, 14, FALSE)</f>
        <v>LC</v>
      </c>
      <c r="M1247" s="2">
        <v>1</v>
      </c>
    </row>
    <row r="1248" spans="1:13" ht="15.75" hidden="1" customHeight="1" x14ac:dyDescent="0.2">
      <c r="A1248" s="2">
        <v>1259</v>
      </c>
      <c r="B1248" s="2">
        <v>131</v>
      </c>
      <c r="C1248" s="2">
        <v>142</v>
      </c>
      <c r="D1248" s="2" t="s">
        <v>479</v>
      </c>
      <c r="E1248" s="2" t="str">
        <f t="shared" si="6"/>
        <v>1242LC03PT</v>
      </c>
      <c r="F1248" s="2">
        <f>VLOOKUP(B1248,Course!$A$2:$R$329,2,FALSE)</f>
        <v>0</v>
      </c>
      <c r="G1248" s="2">
        <f>VLOOKUP(B1248, Course!$A$2:$L$950, 8, FALSE)</f>
        <v>12</v>
      </c>
      <c r="H1248" s="2">
        <v>3</v>
      </c>
      <c r="I1248" s="2">
        <v>1</v>
      </c>
      <c r="K1248" s="2" t="s">
        <v>1915</v>
      </c>
      <c r="L1248" s="2" t="str">
        <f>VLOOKUP(B1248, Course!$A$1:$O$933, 14, FALSE)</f>
        <v>LC</v>
      </c>
      <c r="M1248" s="2">
        <v>1</v>
      </c>
    </row>
    <row r="1249" spans="1:14" ht="15.75" hidden="1" customHeight="1" x14ac:dyDescent="0.2">
      <c r="A1249" s="2">
        <v>1260</v>
      </c>
      <c r="B1249" s="2">
        <v>131</v>
      </c>
      <c r="C1249" s="2">
        <v>143</v>
      </c>
      <c r="D1249" s="2" t="s">
        <v>479</v>
      </c>
      <c r="E1249" s="2" t="str">
        <f t="shared" si="6"/>
        <v>1243LC03PT</v>
      </c>
      <c r="F1249" s="2">
        <f>VLOOKUP(B1249,Course!$A$2:$R$329,2,FALSE)</f>
        <v>0</v>
      </c>
      <c r="G1249" s="2">
        <f>VLOOKUP(B1249, Course!$A$2:$L$950, 8, FALSE)</f>
        <v>12</v>
      </c>
      <c r="H1249" s="2">
        <v>3</v>
      </c>
      <c r="I1249" s="2">
        <v>1</v>
      </c>
      <c r="K1249" s="2" t="s">
        <v>1915</v>
      </c>
      <c r="L1249" s="2" t="str">
        <f>VLOOKUP(B1249, Course!$A$1:$O$933, 14, FALSE)</f>
        <v>LC</v>
      </c>
      <c r="M1249" s="2">
        <v>1</v>
      </c>
    </row>
    <row r="1250" spans="1:14" ht="15.75" hidden="1" customHeight="1" x14ac:dyDescent="0.2">
      <c r="A1250" s="2">
        <v>1261</v>
      </c>
      <c r="B1250" s="2">
        <v>131</v>
      </c>
      <c r="C1250" s="2">
        <v>144</v>
      </c>
      <c r="D1250" s="2" t="s">
        <v>479</v>
      </c>
      <c r="E1250" s="2" t="str">
        <f t="shared" si="6"/>
        <v>1244LC03PT</v>
      </c>
      <c r="F1250" s="2">
        <f>VLOOKUP(B1250,Course!$A$2:$R$329,2,FALSE)</f>
        <v>0</v>
      </c>
      <c r="G1250" s="2">
        <f>VLOOKUP(B1250, Course!$A$2:$L$950, 8, FALSE)</f>
        <v>12</v>
      </c>
      <c r="H1250" s="2">
        <v>3</v>
      </c>
      <c r="I1250" s="2">
        <v>1</v>
      </c>
      <c r="K1250" s="2" t="s">
        <v>1915</v>
      </c>
      <c r="L1250" s="2" t="str">
        <f>VLOOKUP(B1250, Course!$A$1:$O$933, 14, FALSE)</f>
        <v>LC</v>
      </c>
      <c r="M1250" s="2">
        <v>1</v>
      </c>
    </row>
    <row r="1251" spans="1:14" ht="15.75" hidden="1" customHeight="1" x14ac:dyDescent="0.2">
      <c r="A1251" s="2">
        <v>1262</v>
      </c>
      <c r="B1251" s="2">
        <v>129</v>
      </c>
      <c r="C1251" s="2">
        <v>1</v>
      </c>
      <c r="D1251" s="2" t="s">
        <v>681</v>
      </c>
      <c r="E1251" s="2" t="str">
        <f t="shared" si="6"/>
        <v>601IB03PT</v>
      </c>
      <c r="F1251" s="2">
        <f>VLOOKUP(B1251,Course!$A$2:$R$329,2,FALSE)</f>
        <v>0</v>
      </c>
      <c r="G1251" s="2">
        <f>VLOOKUP(B1251, Course!$A$2:$L$950, 8, FALSE)</f>
        <v>6</v>
      </c>
      <c r="H1251" s="2">
        <v>3</v>
      </c>
      <c r="I1251" s="2">
        <v>1</v>
      </c>
      <c r="K1251" s="2" t="s">
        <v>1915</v>
      </c>
      <c r="L1251" s="2" t="str">
        <f>VLOOKUP(B1251, Course!$A$1:$O$933, 14, FALSE)</f>
        <v>IB</v>
      </c>
      <c r="M1251" s="2">
        <v>1</v>
      </c>
      <c r="N1251" s="2" t="s">
        <v>1923</v>
      </c>
    </row>
    <row r="1252" spans="1:14" ht="15.75" hidden="1" customHeight="1" x14ac:dyDescent="0.2">
      <c r="A1252" s="2">
        <v>1263</v>
      </c>
      <c r="B1252" s="2">
        <v>129</v>
      </c>
      <c r="C1252" s="2">
        <v>2</v>
      </c>
      <c r="D1252" s="2" t="s">
        <v>681</v>
      </c>
      <c r="E1252" s="2" t="str">
        <f t="shared" si="6"/>
        <v>602IB03PT</v>
      </c>
      <c r="F1252" s="2">
        <f>VLOOKUP(B1252,Course!$A$2:$R$329,2,FALSE)</f>
        <v>0</v>
      </c>
      <c r="G1252" s="2">
        <f>VLOOKUP(B1252, Course!$A$2:$L$950, 8, FALSE)</f>
        <v>6</v>
      </c>
      <c r="H1252" s="2">
        <v>3</v>
      </c>
      <c r="I1252" s="2">
        <v>1</v>
      </c>
      <c r="K1252" s="2" t="s">
        <v>1915</v>
      </c>
      <c r="L1252" s="2" t="str">
        <f>VLOOKUP(B1252, Course!$A$1:$O$933, 14, FALSE)</f>
        <v>IB</v>
      </c>
      <c r="M1252" s="2">
        <v>1</v>
      </c>
      <c r="N1252" s="2" t="s">
        <v>1923</v>
      </c>
    </row>
    <row r="1253" spans="1:14" ht="15.75" hidden="1" customHeight="1" x14ac:dyDescent="0.2">
      <c r="A1253" s="2">
        <v>1264</v>
      </c>
      <c r="B1253" s="2">
        <v>129</v>
      </c>
      <c r="C1253" s="2">
        <v>3</v>
      </c>
      <c r="D1253" s="2" t="s">
        <v>681</v>
      </c>
      <c r="E1253" s="2" t="str">
        <f t="shared" si="6"/>
        <v>603IB03PT</v>
      </c>
      <c r="F1253" s="2">
        <f>VLOOKUP(B1253,Course!$A$2:$R$329,2,FALSE)</f>
        <v>0</v>
      </c>
      <c r="G1253" s="2">
        <f>VLOOKUP(B1253, Course!$A$2:$L$950, 8, FALSE)</f>
        <v>6</v>
      </c>
      <c r="H1253" s="2">
        <v>3</v>
      </c>
      <c r="I1253" s="2">
        <v>1</v>
      </c>
      <c r="K1253" s="2" t="s">
        <v>1915</v>
      </c>
      <c r="L1253" s="2" t="str">
        <f>VLOOKUP(B1253, Course!$A$1:$O$933, 14, FALSE)</f>
        <v>IB</v>
      </c>
      <c r="M1253" s="2">
        <v>1</v>
      </c>
      <c r="N1253" s="2" t="s">
        <v>1923</v>
      </c>
    </row>
    <row r="1254" spans="1:14" ht="15.75" hidden="1" customHeight="1" x14ac:dyDescent="0.2">
      <c r="A1254" s="2">
        <v>1265</v>
      </c>
      <c r="B1254" s="2">
        <v>129</v>
      </c>
      <c r="C1254" s="2">
        <v>4</v>
      </c>
      <c r="D1254" s="2" t="s">
        <v>681</v>
      </c>
      <c r="E1254" s="2" t="str">
        <f t="shared" si="6"/>
        <v>604IB03PT</v>
      </c>
      <c r="F1254" s="2">
        <f>VLOOKUP(B1254,Course!$A$2:$R$329,2,FALSE)</f>
        <v>0</v>
      </c>
      <c r="G1254" s="2">
        <f>VLOOKUP(B1254, Course!$A$2:$L$950, 8, FALSE)</f>
        <v>6</v>
      </c>
      <c r="H1254" s="2">
        <v>3</v>
      </c>
      <c r="I1254" s="2">
        <v>1</v>
      </c>
      <c r="K1254" s="2" t="s">
        <v>1915</v>
      </c>
      <c r="L1254" s="2" t="str">
        <f>VLOOKUP(B1254, Course!$A$1:$O$933, 14, FALSE)</f>
        <v>IB</v>
      </c>
      <c r="M1254" s="2">
        <v>1</v>
      </c>
      <c r="N1254" s="2" t="s">
        <v>1923</v>
      </c>
    </row>
    <row r="1255" spans="1:14" ht="15.75" hidden="1" customHeight="1" x14ac:dyDescent="0.2">
      <c r="A1255" s="2">
        <v>1266</v>
      </c>
      <c r="B1255" s="2">
        <v>129</v>
      </c>
      <c r="C1255" s="2">
        <v>5</v>
      </c>
      <c r="D1255" s="2" t="s">
        <v>681</v>
      </c>
      <c r="E1255" s="2" t="str">
        <f t="shared" si="6"/>
        <v>605IB03PT</v>
      </c>
      <c r="F1255" s="2">
        <f>VLOOKUP(B1255,Course!$A$2:$R$329,2,FALSE)</f>
        <v>0</v>
      </c>
      <c r="G1255" s="2">
        <f>VLOOKUP(B1255, Course!$A$2:$L$950, 8, FALSE)</f>
        <v>6</v>
      </c>
      <c r="H1255" s="2">
        <v>3</v>
      </c>
      <c r="I1255" s="2">
        <v>1</v>
      </c>
      <c r="K1255" s="2" t="s">
        <v>1915</v>
      </c>
      <c r="L1255" s="2" t="str">
        <f>VLOOKUP(B1255, Course!$A$1:$O$933, 14, FALSE)</f>
        <v>IB</v>
      </c>
      <c r="M1255" s="2">
        <v>1</v>
      </c>
      <c r="N1255" s="2" t="s">
        <v>1923</v>
      </c>
    </row>
    <row r="1256" spans="1:14" ht="15.75" hidden="1" customHeight="1" x14ac:dyDescent="0.2">
      <c r="A1256" s="2">
        <v>1267</v>
      </c>
      <c r="B1256" s="2">
        <v>129</v>
      </c>
      <c r="C1256" s="2">
        <v>6</v>
      </c>
      <c r="D1256" s="2" t="s">
        <v>681</v>
      </c>
      <c r="E1256" s="2" t="str">
        <f t="shared" si="6"/>
        <v>606IB03PT</v>
      </c>
      <c r="F1256" s="2">
        <f>VLOOKUP(B1256,Course!$A$2:$R$329,2,FALSE)</f>
        <v>0</v>
      </c>
      <c r="G1256" s="2">
        <f>VLOOKUP(B1256, Course!$A$2:$L$950, 8, FALSE)</f>
        <v>6</v>
      </c>
      <c r="H1256" s="2">
        <v>3</v>
      </c>
      <c r="I1256" s="2">
        <v>1</v>
      </c>
      <c r="K1256" s="2" t="s">
        <v>1915</v>
      </c>
      <c r="L1256" s="2" t="str">
        <f>VLOOKUP(B1256, Course!$A$1:$O$933, 14, FALSE)</f>
        <v>IB</v>
      </c>
      <c r="M1256" s="2">
        <v>1</v>
      </c>
      <c r="N1256" s="2" t="s">
        <v>1923</v>
      </c>
    </row>
    <row r="1257" spans="1:14" ht="15.75" hidden="1" customHeight="1" x14ac:dyDescent="0.2">
      <c r="A1257" s="2">
        <v>1268</v>
      </c>
      <c r="B1257" s="2">
        <v>147</v>
      </c>
      <c r="C1257" s="2">
        <v>49</v>
      </c>
      <c r="D1257" s="2" t="s">
        <v>538</v>
      </c>
      <c r="E1257" s="2" t="str">
        <f t="shared" si="6"/>
        <v>1249UK03PT</v>
      </c>
      <c r="F1257" s="2">
        <f>VLOOKUP(B1257,Course!$A$2:$R$329,2,FALSE)</f>
        <v>0</v>
      </c>
      <c r="G1257" s="2">
        <f>VLOOKUP(B1257, Course!$A$2:$L$950, 8, FALSE)</f>
        <v>12</v>
      </c>
      <c r="H1257" s="2">
        <v>3</v>
      </c>
      <c r="I1257" s="2">
        <v>1</v>
      </c>
      <c r="K1257" s="2" t="s">
        <v>1915</v>
      </c>
      <c r="L1257" s="2" t="str">
        <f>VLOOKUP(B1257, Course!$A$1:$O$933, 14, FALSE)</f>
        <v>UK</v>
      </c>
      <c r="M1257" s="2">
        <v>1</v>
      </c>
    </row>
    <row r="1258" spans="1:14" ht="15.75" hidden="1" customHeight="1" x14ac:dyDescent="0.2">
      <c r="A1258" s="2">
        <v>1269</v>
      </c>
      <c r="B1258" s="2">
        <v>147</v>
      </c>
      <c r="C1258" s="2">
        <v>50</v>
      </c>
      <c r="D1258" s="2" t="s">
        <v>538</v>
      </c>
      <c r="E1258" s="2" t="str">
        <f t="shared" si="6"/>
        <v>1250UK03PT</v>
      </c>
      <c r="F1258" s="2">
        <f>VLOOKUP(B1258,Course!$A$2:$R$329,2,FALSE)</f>
        <v>0</v>
      </c>
      <c r="G1258" s="2">
        <f>VLOOKUP(B1258, Course!$A$2:$L$950, 8, FALSE)</f>
        <v>12</v>
      </c>
      <c r="H1258" s="2">
        <v>3</v>
      </c>
      <c r="I1258" s="2">
        <v>1</v>
      </c>
      <c r="K1258" s="2" t="s">
        <v>1915</v>
      </c>
      <c r="L1258" s="2" t="str">
        <f>VLOOKUP(B1258, Course!$A$1:$O$933, 14, FALSE)</f>
        <v>UK</v>
      </c>
      <c r="M1258" s="2">
        <v>1</v>
      </c>
    </row>
    <row r="1259" spans="1:14" ht="15.75" hidden="1" customHeight="1" x14ac:dyDescent="0.2">
      <c r="A1259" s="2">
        <v>1270</v>
      </c>
      <c r="B1259" s="2">
        <v>147</v>
      </c>
      <c r="C1259" s="2">
        <v>51</v>
      </c>
      <c r="D1259" s="2" t="s">
        <v>538</v>
      </c>
      <c r="E1259" s="2" t="str">
        <f t="shared" si="6"/>
        <v>1251UK03PT</v>
      </c>
      <c r="F1259" s="2">
        <f>VLOOKUP(B1259,Course!$A$2:$R$329,2,FALSE)</f>
        <v>0</v>
      </c>
      <c r="G1259" s="2">
        <f>VLOOKUP(B1259, Course!$A$2:$L$950, 8, FALSE)</f>
        <v>12</v>
      </c>
      <c r="H1259" s="2">
        <v>3</v>
      </c>
      <c r="I1259" s="2">
        <v>1</v>
      </c>
      <c r="K1259" s="2" t="s">
        <v>1915</v>
      </c>
      <c r="L1259" s="2" t="str">
        <f>VLOOKUP(B1259, Course!$A$1:$O$933, 14, FALSE)</f>
        <v>UK</v>
      </c>
      <c r="M1259" s="2">
        <v>1</v>
      </c>
    </row>
    <row r="1260" spans="1:14" ht="15.75" hidden="1" customHeight="1" x14ac:dyDescent="0.2">
      <c r="A1260" s="2">
        <v>1271</v>
      </c>
      <c r="B1260" s="2">
        <v>147</v>
      </c>
      <c r="C1260" s="2">
        <v>52</v>
      </c>
      <c r="D1260" s="2" t="s">
        <v>538</v>
      </c>
      <c r="E1260" s="2" t="str">
        <f t="shared" si="6"/>
        <v>1252UK03PT</v>
      </c>
      <c r="F1260" s="2">
        <f>VLOOKUP(B1260,Course!$A$2:$R$329,2,FALSE)</f>
        <v>0</v>
      </c>
      <c r="G1260" s="2">
        <f>VLOOKUP(B1260, Course!$A$2:$L$950, 8, FALSE)</f>
        <v>12</v>
      </c>
      <c r="H1260" s="2">
        <v>3</v>
      </c>
      <c r="I1260" s="2">
        <v>1</v>
      </c>
      <c r="K1260" s="2" t="s">
        <v>1915</v>
      </c>
      <c r="L1260" s="2" t="str">
        <f>VLOOKUP(B1260, Course!$A$1:$O$933, 14, FALSE)</f>
        <v>UK</v>
      </c>
      <c r="M1260" s="2">
        <v>1</v>
      </c>
    </row>
    <row r="1261" spans="1:14" ht="15.75" hidden="1" customHeight="1" x14ac:dyDescent="0.2">
      <c r="A1261" s="2">
        <v>1272</v>
      </c>
      <c r="B1261" s="2">
        <v>147</v>
      </c>
      <c r="C1261" s="2">
        <v>53</v>
      </c>
      <c r="D1261" s="2" t="s">
        <v>538</v>
      </c>
      <c r="E1261" s="2" t="str">
        <f t="shared" si="6"/>
        <v>1253UK03PT</v>
      </c>
      <c r="F1261" s="2">
        <f>VLOOKUP(B1261,Course!$A$2:$R$329,2,FALSE)</f>
        <v>0</v>
      </c>
      <c r="G1261" s="2">
        <f>VLOOKUP(B1261, Course!$A$2:$L$950, 8, FALSE)</f>
        <v>12</v>
      </c>
      <c r="H1261" s="2">
        <v>3</v>
      </c>
      <c r="I1261" s="2">
        <v>1</v>
      </c>
      <c r="K1261" s="2" t="s">
        <v>1915</v>
      </c>
      <c r="L1261" s="2" t="str">
        <f>VLOOKUP(B1261, Course!$A$1:$O$933, 14, FALSE)</f>
        <v>UK</v>
      </c>
      <c r="M1261" s="2">
        <v>1</v>
      </c>
    </row>
    <row r="1262" spans="1:14" ht="15.75" hidden="1" customHeight="1" x14ac:dyDescent="0.2">
      <c r="A1262" s="2">
        <v>1273</v>
      </c>
      <c r="B1262" s="2">
        <v>147</v>
      </c>
      <c r="C1262" s="2">
        <v>54</v>
      </c>
      <c r="D1262" s="2" t="s">
        <v>538</v>
      </c>
      <c r="E1262" s="2" t="str">
        <f t="shared" si="6"/>
        <v>1254UK03PT</v>
      </c>
      <c r="F1262" s="2">
        <f>VLOOKUP(B1262,Course!$A$2:$R$329,2,FALSE)</f>
        <v>0</v>
      </c>
      <c r="G1262" s="2">
        <f>VLOOKUP(B1262, Course!$A$2:$L$950, 8, FALSE)</f>
        <v>12</v>
      </c>
      <c r="H1262" s="2">
        <v>3</v>
      </c>
      <c r="I1262" s="2">
        <v>1</v>
      </c>
      <c r="K1262" s="2" t="s">
        <v>1915</v>
      </c>
      <c r="L1262" s="2" t="str">
        <f>VLOOKUP(B1262, Course!$A$1:$O$933, 14, FALSE)</f>
        <v>UK</v>
      </c>
      <c r="M1262" s="2">
        <v>1</v>
      </c>
    </row>
    <row r="1263" spans="1:14" ht="15.75" hidden="1" customHeight="1" x14ac:dyDescent="0.2">
      <c r="A1263" s="2">
        <v>1274</v>
      </c>
      <c r="B1263" s="2">
        <v>147</v>
      </c>
      <c r="C1263" s="2">
        <v>55</v>
      </c>
      <c r="D1263" s="2" t="s">
        <v>538</v>
      </c>
      <c r="E1263" s="2" t="str">
        <f t="shared" si="6"/>
        <v>1255UK03PT</v>
      </c>
      <c r="F1263" s="2">
        <f>VLOOKUP(B1263,Course!$A$2:$R$329,2,FALSE)</f>
        <v>0</v>
      </c>
      <c r="G1263" s="2">
        <f>VLOOKUP(B1263, Course!$A$2:$L$950, 8, FALSE)</f>
        <v>12</v>
      </c>
      <c r="H1263" s="2">
        <v>3</v>
      </c>
      <c r="I1263" s="2">
        <v>1</v>
      </c>
      <c r="K1263" s="2" t="s">
        <v>1915</v>
      </c>
      <c r="L1263" s="2" t="str">
        <f>VLOOKUP(B1263, Course!$A$1:$O$933, 14, FALSE)</f>
        <v>UK</v>
      </c>
      <c r="M1263" s="2">
        <v>1</v>
      </c>
    </row>
    <row r="1264" spans="1:14" ht="15.75" hidden="1" customHeight="1" x14ac:dyDescent="0.2">
      <c r="A1264" s="2">
        <v>1275</v>
      </c>
      <c r="B1264" s="2">
        <v>147</v>
      </c>
      <c r="C1264" s="2">
        <v>56</v>
      </c>
      <c r="D1264" s="2" t="s">
        <v>538</v>
      </c>
      <c r="E1264" s="2" t="str">
        <f t="shared" si="6"/>
        <v>1256UK03PT</v>
      </c>
      <c r="F1264" s="2">
        <f>VLOOKUP(B1264,Course!$A$2:$R$329,2,FALSE)</f>
        <v>0</v>
      </c>
      <c r="G1264" s="2">
        <f>VLOOKUP(B1264, Course!$A$2:$L$950, 8, FALSE)</f>
        <v>12</v>
      </c>
      <c r="H1264" s="2">
        <v>3</v>
      </c>
      <c r="I1264" s="2">
        <v>1</v>
      </c>
      <c r="K1264" s="2" t="s">
        <v>1915</v>
      </c>
      <c r="L1264" s="2" t="str">
        <f>VLOOKUP(B1264, Course!$A$1:$O$933, 14, FALSE)</f>
        <v>UK</v>
      </c>
      <c r="M1264" s="2">
        <v>1</v>
      </c>
    </row>
    <row r="1265" spans="1:13" ht="15.75" hidden="1" customHeight="1" x14ac:dyDescent="0.2">
      <c r="A1265" s="2">
        <v>1276</v>
      </c>
      <c r="B1265" s="2">
        <v>147</v>
      </c>
      <c r="C1265" s="2">
        <v>57</v>
      </c>
      <c r="D1265" s="2" t="s">
        <v>538</v>
      </c>
      <c r="E1265" s="2" t="str">
        <f t="shared" si="6"/>
        <v>1257UK03PT</v>
      </c>
      <c r="F1265" s="2">
        <f>VLOOKUP(B1265,Course!$A$2:$R$329,2,FALSE)</f>
        <v>0</v>
      </c>
      <c r="G1265" s="2">
        <f>VLOOKUP(B1265, Course!$A$2:$L$950, 8, FALSE)</f>
        <v>12</v>
      </c>
      <c r="H1265" s="2">
        <v>3</v>
      </c>
      <c r="I1265" s="2">
        <v>1</v>
      </c>
      <c r="K1265" s="2" t="s">
        <v>1915</v>
      </c>
      <c r="L1265" s="2" t="str">
        <f>VLOOKUP(B1265, Course!$A$1:$O$933, 14, FALSE)</f>
        <v>UK</v>
      </c>
      <c r="M1265" s="2">
        <v>1</v>
      </c>
    </row>
    <row r="1266" spans="1:13" ht="15.75" hidden="1" customHeight="1" x14ac:dyDescent="0.2">
      <c r="A1266" s="2">
        <v>1277</v>
      </c>
      <c r="B1266" s="2">
        <v>147</v>
      </c>
      <c r="C1266" s="2">
        <v>58</v>
      </c>
      <c r="D1266" s="2" t="s">
        <v>538</v>
      </c>
      <c r="E1266" s="2" t="str">
        <f t="shared" si="6"/>
        <v>1258UK03PT</v>
      </c>
      <c r="F1266" s="2">
        <f>VLOOKUP(B1266,Course!$A$2:$R$329,2,FALSE)</f>
        <v>0</v>
      </c>
      <c r="G1266" s="2">
        <f>VLOOKUP(B1266, Course!$A$2:$L$950, 8, FALSE)</f>
        <v>12</v>
      </c>
      <c r="H1266" s="2">
        <v>3</v>
      </c>
      <c r="I1266" s="2">
        <v>1</v>
      </c>
      <c r="K1266" s="2" t="s">
        <v>1915</v>
      </c>
      <c r="L1266" s="2" t="str">
        <f>VLOOKUP(B1266, Course!$A$1:$O$933, 14, FALSE)</f>
        <v>UK</v>
      </c>
      <c r="M1266" s="2">
        <v>1</v>
      </c>
    </row>
    <row r="1267" spans="1:13" ht="15.75" hidden="1" customHeight="1" x14ac:dyDescent="0.2">
      <c r="A1267" s="2">
        <v>1278</v>
      </c>
      <c r="B1267" s="2">
        <v>147</v>
      </c>
      <c r="C1267" s="2">
        <v>59</v>
      </c>
      <c r="D1267" s="2" t="s">
        <v>538</v>
      </c>
      <c r="E1267" s="2" t="str">
        <f t="shared" si="6"/>
        <v>1259UK03PT</v>
      </c>
      <c r="F1267" s="2">
        <f>VLOOKUP(B1267,Course!$A$2:$R$329,2,FALSE)</f>
        <v>0</v>
      </c>
      <c r="G1267" s="2">
        <f>VLOOKUP(B1267, Course!$A$2:$L$950, 8, FALSE)</f>
        <v>12</v>
      </c>
      <c r="H1267" s="2">
        <v>3</v>
      </c>
      <c r="I1267" s="2">
        <v>1</v>
      </c>
      <c r="K1267" s="2" t="s">
        <v>1915</v>
      </c>
      <c r="L1267" s="2" t="str">
        <f>VLOOKUP(B1267, Course!$A$1:$O$933, 14, FALSE)</f>
        <v>UK</v>
      </c>
      <c r="M1267" s="2">
        <v>1</v>
      </c>
    </row>
    <row r="1268" spans="1:13" ht="15.75" hidden="1" customHeight="1" x14ac:dyDescent="0.2">
      <c r="A1268" s="2">
        <v>1279</v>
      </c>
      <c r="B1268" s="2">
        <v>147</v>
      </c>
      <c r="C1268" s="2">
        <v>60</v>
      </c>
      <c r="D1268" s="2" t="s">
        <v>538</v>
      </c>
      <c r="E1268" s="2" t="str">
        <f t="shared" si="6"/>
        <v>1260UK03PT</v>
      </c>
      <c r="F1268" s="2">
        <f>VLOOKUP(B1268,Course!$A$2:$R$329,2,FALSE)</f>
        <v>0</v>
      </c>
      <c r="G1268" s="2">
        <f>VLOOKUP(B1268, Course!$A$2:$L$950, 8, FALSE)</f>
        <v>12</v>
      </c>
      <c r="H1268" s="2">
        <v>3</v>
      </c>
      <c r="I1268" s="2">
        <v>1</v>
      </c>
      <c r="K1268" s="2" t="s">
        <v>1915</v>
      </c>
      <c r="L1268" s="2" t="str">
        <f>VLOOKUP(B1268, Course!$A$1:$O$933, 14, FALSE)</f>
        <v>UK</v>
      </c>
      <c r="M1268" s="2">
        <v>1</v>
      </c>
    </row>
    <row r="1269" spans="1:13" ht="15.75" hidden="1" customHeight="1" x14ac:dyDescent="0.2">
      <c r="A1269" s="2">
        <v>1280</v>
      </c>
      <c r="B1269" s="2">
        <v>148</v>
      </c>
      <c r="C1269" s="2">
        <v>109</v>
      </c>
      <c r="D1269" s="2" t="s">
        <v>1924</v>
      </c>
      <c r="E1269" s="2" t="str">
        <f t="shared" si="6"/>
        <v>1209US03PT</v>
      </c>
      <c r="F1269" s="2">
        <f>VLOOKUP(B1269,Course!$A$2:$R$329,2,FALSE)</f>
        <v>0</v>
      </c>
      <c r="G1269" s="2">
        <f>VLOOKUP(B1269, Course!$A$2:$L$950, 8, FALSE)</f>
        <v>12</v>
      </c>
      <c r="H1269" s="2">
        <v>3</v>
      </c>
      <c r="I1269" s="2">
        <v>1</v>
      </c>
      <c r="K1269" s="2" t="s">
        <v>1915</v>
      </c>
      <c r="L1269" s="2" t="str">
        <f>VLOOKUP(B1269, Course!$A$1:$O$933, 14, FALSE)</f>
        <v>UH</v>
      </c>
      <c r="M1269" s="2">
        <v>1</v>
      </c>
    </row>
    <row r="1270" spans="1:13" ht="15.75" hidden="1" customHeight="1" x14ac:dyDescent="0.2">
      <c r="A1270" s="2">
        <v>1281</v>
      </c>
      <c r="B1270" s="2">
        <v>148</v>
      </c>
      <c r="C1270" s="2">
        <v>110</v>
      </c>
      <c r="D1270" s="2" t="s">
        <v>1924</v>
      </c>
      <c r="E1270" s="2" t="str">
        <f t="shared" si="6"/>
        <v>1210US03PT</v>
      </c>
      <c r="F1270" s="2">
        <f>VLOOKUP(B1270,Course!$A$2:$R$329,2,FALSE)</f>
        <v>0</v>
      </c>
      <c r="G1270" s="2">
        <f>VLOOKUP(B1270, Course!$A$2:$L$950, 8, FALSE)</f>
        <v>12</v>
      </c>
      <c r="H1270" s="2">
        <v>3</v>
      </c>
      <c r="I1270" s="2">
        <v>1</v>
      </c>
      <c r="K1270" s="2" t="s">
        <v>1915</v>
      </c>
      <c r="L1270" s="2" t="str">
        <f>VLOOKUP(B1270, Course!$A$1:$O$933, 14, FALSE)</f>
        <v>UH</v>
      </c>
      <c r="M1270" s="2">
        <v>1</v>
      </c>
    </row>
    <row r="1271" spans="1:13" ht="15.75" hidden="1" customHeight="1" x14ac:dyDescent="0.2">
      <c r="A1271" s="2">
        <v>1282</v>
      </c>
      <c r="B1271" s="2">
        <v>148</v>
      </c>
      <c r="C1271" s="2">
        <v>111</v>
      </c>
      <c r="D1271" s="2" t="s">
        <v>1924</v>
      </c>
      <c r="E1271" s="2" t="str">
        <f t="shared" si="6"/>
        <v>1211US03PT</v>
      </c>
      <c r="F1271" s="2">
        <f>VLOOKUP(B1271,Course!$A$2:$R$329,2,FALSE)</f>
        <v>0</v>
      </c>
      <c r="G1271" s="2">
        <f>VLOOKUP(B1271, Course!$A$2:$L$950, 8, FALSE)</f>
        <v>12</v>
      </c>
      <c r="H1271" s="2">
        <v>3</v>
      </c>
      <c r="I1271" s="2">
        <v>1</v>
      </c>
      <c r="K1271" s="2" t="s">
        <v>1915</v>
      </c>
      <c r="L1271" s="2" t="str">
        <f>VLOOKUP(B1271, Course!$A$1:$O$933, 14, FALSE)</f>
        <v>UH</v>
      </c>
      <c r="M1271" s="2">
        <v>1</v>
      </c>
    </row>
    <row r="1272" spans="1:13" ht="15.75" hidden="1" customHeight="1" x14ac:dyDescent="0.2">
      <c r="A1272" s="2">
        <v>1283</v>
      </c>
      <c r="B1272" s="2">
        <v>148</v>
      </c>
      <c r="C1272" s="2">
        <v>112</v>
      </c>
      <c r="D1272" s="2" t="s">
        <v>1924</v>
      </c>
      <c r="E1272" s="2" t="str">
        <f t="shared" si="6"/>
        <v>1212US03PT</v>
      </c>
      <c r="F1272" s="2">
        <f>VLOOKUP(B1272,Course!$A$2:$R$329,2,FALSE)</f>
        <v>0</v>
      </c>
      <c r="G1272" s="2">
        <f>VLOOKUP(B1272, Course!$A$2:$L$950, 8, FALSE)</f>
        <v>12</v>
      </c>
      <c r="H1272" s="2">
        <v>3</v>
      </c>
      <c r="I1272" s="2">
        <v>1</v>
      </c>
      <c r="K1272" s="2" t="s">
        <v>1915</v>
      </c>
      <c r="L1272" s="2" t="str">
        <f>VLOOKUP(B1272, Course!$A$1:$O$933, 14, FALSE)</f>
        <v>UH</v>
      </c>
      <c r="M1272" s="2">
        <v>1</v>
      </c>
    </row>
    <row r="1273" spans="1:13" ht="15.75" hidden="1" customHeight="1" x14ac:dyDescent="0.2">
      <c r="A1273" s="2">
        <v>1284</v>
      </c>
      <c r="B1273" s="2">
        <v>148</v>
      </c>
      <c r="C1273" s="2">
        <v>113</v>
      </c>
      <c r="D1273" s="2" t="s">
        <v>1924</v>
      </c>
      <c r="E1273" s="2" t="str">
        <f t="shared" si="6"/>
        <v>1213US03PT</v>
      </c>
      <c r="F1273" s="2">
        <f>VLOOKUP(B1273,Course!$A$2:$R$329,2,FALSE)</f>
        <v>0</v>
      </c>
      <c r="G1273" s="2">
        <f>VLOOKUP(B1273, Course!$A$2:$L$950, 8, FALSE)</f>
        <v>12</v>
      </c>
      <c r="H1273" s="2">
        <v>3</v>
      </c>
      <c r="I1273" s="2">
        <v>1</v>
      </c>
      <c r="K1273" s="2" t="s">
        <v>1915</v>
      </c>
      <c r="L1273" s="2" t="str">
        <f>VLOOKUP(B1273, Course!$A$1:$O$933, 14, FALSE)</f>
        <v>UH</v>
      </c>
      <c r="M1273" s="2">
        <v>1</v>
      </c>
    </row>
    <row r="1274" spans="1:13" ht="15.75" hidden="1" customHeight="1" x14ac:dyDescent="0.2">
      <c r="A1274" s="2">
        <v>1285</v>
      </c>
      <c r="B1274" s="2">
        <v>148</v>
      </c>
      <c r="C1274" s="2">
        <v>114</v>
      </c>
      <c r="D1274" s="2" t="s">
        <v>1924</v>
      </c>
      <c r="E1274" s="2" t="str">
        <f t="shared" si="6"/>
        <v>1214US03PT</v>
      </c>
      <c r="F1274" s="2">
        <f>VLOOKUP(B1274,Course!$A$2:$R$329,2,FALSE)</f>
        <v>0</v>
      </c>
      <c r="G1274" s="2">
        <f>VLOOKUP(B1274, Course!$A$2:$L$950, 8, FALSE)</f>
        <v>12</v>
      </c>
      <c r="H1274" s="2">
        <v>3</v>
      </c>
      <c r="I1274" s="2">
        <v>1</v>
      </c>
      <c r="K1274" s="2" t="s">
        <v>1915</v>
      </c>
      <c r="L1274" s="2" t="str">
        <f>VLOOKUP(B1274, Course!$A$1:$O$933, 14, FALSE)</f>
        <v>UH</v>
      </c>
      <c r="M1274" s="2">
        <v>1</v>
      </c>
    </row>
    <row r="1275" spans="1:13" ht="15.75" hidden="1" customHeight="1" x14ac:dyDescent="0.2">
      <c r="A1275" s="2">
        <v>1286</v>
      </c>
      <c r="B1275" s="2">
        <v>148</v>
      </c>
      <c r="C1275" s="2">
        <v>115</v>
      </c>
      <c r="D1275" s="2" t="s">
        <v>1924</v>
      </c>
      <c r="E1275" s="2" t="str">
        <f t="shared" si="6"/>
        <v>1215US03PT</v>
      </c>
      <c r="F1275" s="2">
        <f>VLOOKUP(B1275,Course!$A$2:$R$329,2,FALSE)</f>
        <v>0</v>
      </c>
      <c r="G1275" s="2">
        <f>VLOOKUP(B1275, Course!$A$2:$L$950, 8, FALSE)</f>
        <v>12</v>
      </c>
      <c r="H1275" s="2">
        <v>3</v>
      </c>
      <c r="I1275" s="2">
        <v>1</v>
      </c>
      <c r="K1275" s="2" t="s">
        <v>1915</v>
      </c>
      <c r="L1275" s="2" t="str">
        <f>VLOOKUP(B1275, Course!$A$1:$O$933, 14, FALSE)</f>
        <v>UH</v>
      </c>
      <c r="M1275" s="2">
        <v>1</v>
      </c>
    </row>
    <row r="1276" spans="1:13" ht="15.75" hidden="1" customHeight="1" x14ac:dyDescent="0.2">
      <c r="A1276" s="2">
        <v>1287</v>
      </c>
      <c r="B1276" s="2">
        <v>148</v>
      </c>
      <c r="C1276" s="2">
        <v>116</v>
      </c>
      <c r="D1276" s="2" t="s">
        <v>1924</v>
      </c>
      <c r="E1276" s="2" t="str">
        <f t="shared" si="6"/>
        <v>1216US03PT</v>
      </c>
      <c r="F1276" s="2">
        <f>VLOOKUP(B1276,Course!$A$2:$R$329,2,FALSE)</f>
        <v>0</v>
      </c>
      <c r="G1276" s="2">
        <f>VLOOKUP(B1276, Course!$A$2:$L$950, 8, FALSE)</f>
        <v>12</v>
      </c>
      <c r="H1276" s="2">
        <v>3</v>
      </c>
      <c r="I1276" s="2">
        <v>1</v>
      </c>
      <c r="K1276" s="2" t="s">
        <v>1915</v>
      </c>
      <c r="L1276" s="2" t="str">
        <f>VLOOKUP(B1276, Course!$A$1:$O$933, 14, FALSE)</f>
        <v>UH</v>
      </c>
      <c r="M1276" s="2">
        <v>1</v>
      </c>
    </row>
    <row r="1277" spans="1:13" ht="15.75" hidden="1" customHeight="1" x14ac:dyDescent="0.2">
      <c r="A1277" s="2">
        <v>1288</v>
      </c>
      <c r="B1277" s="2">
        <v>148</v>
      </c>
      <c r="C1277" s="2">
        <v>117</v>
      </c>
      <c r="D1277" s="2" t="s">
        <v>1924</v>
      </c>
      <c r="E1277" s="2" t="str">
        <f t="shared" si="6"/>
        <v>1217US03PT</v>
      </c>
      <c r="F1277" s="2">
        <f>VLOOKUP(B1277,Course!$A$2:$R$329,2,FALSE)</f>
        <v>0</v>
      </c>
      <c r="G1277" s="2">
        <f>VLOOKUP(B1277, Course!$A$2:$L$950, 8, FALSE)</f>
        <v>12</v>
      </c>
      <c r="H1277" s="2">
        <v>3</v>
      </c>
      <c r="I1277" s="2">
        <v>1</v>
      </c>
      <c r="K1277" s="2" t="s">
        <v>1915</v>
      </c>
      <c r="L1277" s="2" t="str">
        <f>VLOOKUP(B1277, Course!$A$1:$O$933, 14, FALSE)</f>
        <v>UH</v>
      </c>
      <c r="M1277" s="2">
        <v>1</v>
      </c>
    </row>
    <row r="1278" spans="1:13" ht="15.75" hidden="1" customHeight="1" x14ac:dyDescent="0.2">
      <c r="A1278" s="2">
        <v>1289</v>
      </c>
      <c r="B1278" s="2">
        <v>148</v>
      </c>
      <c r="C1278" s="2">
        <v>118</v>
      </c>
      <c r="D1278" s="2" t="s">
        <v>1924</v>
      </c>
      <c r="E1278" s="2" t="str">
        <f t="shared" si="6"/>
        <v>1218US03PT</v>
      </c>
      <c r="F1278" s="2">
        <f>VLOOKUP(B1278,Course!$A$2:$R$329,2,FALSE)</f>
        <v>0</v>
      </c>
      <c r="G1278" s="2">
        <f>VLOOKUP(B1278, Course!$A$2:$L$950, 8, FALSE)</f>
        <v>12</v>
      </c>
      <c r="H1278" s="2">
        <v>3</v>
      </c>
      <c r="I1278" s="2">
        <v>1</v>
      </c>
      <c r="K1278" s="2" t="s">
        <v>1915</v>
      </c>
      <c r="L1278" s="2" t="str">
        <f>VLOOKUP(B1278, Course!$A$1:$O$933, 14, FALSE)</f>
        <v>UH</v>
      </c>
      <c r="M1278" s="2">
        <v>1</v>
      </c>
    </row>
    <row r="1279" spans="1:13" ht="15.75" hidden="1" customHeight="1" x14ac:dyDescent="0.2">
      <c r="A1279" s="2">
        <v>1290</v>
      </c>
      <c r="B1279" s="2">
        <v>148</v>
      </c>
      <c r="C1279" s="2">
        <v>119</v>
      </c>
      <c r="D1279" s="2" t="s">
        <v>1924</v>
      </c>
      <c r="E1279" s="2" t="str">
        <f t="shared" si="6"/>
        <v>1219US03PT</v>
      </c>
      <c r="F1279" s="2">
        <f>VLOOKUP(B1279,Course!$A$2:$R$329,2,FALSE)</f>
        <v>0</v>
      </c>
      <c r="G1279" s="2">
        <f>VLOOKUP(B1279, Course!$A$2:$L$950, 8, FALSE)</f>
        <v>12</v>
      </c>
      <c r="H1279" s="2">
        <v>3</v>
      </c>
      <c r="I1279" s="2">
        <v>1</v>
      </c>
      <c r="K1279" s="2" t="s">
        <v>1915</v>
      </c>
      <c r="L1279" s="2" t="str">
        <f>VLOOKUP(B1279, Course!$A$1:$O$933, 14, FALSE)</f>
        <v>UH</v>
      </c>
      <c r="M1279" s="2">
        <v>1</v>
      </c>
    </row>
    <row r="1280" spans="1:13" ht="15.75" hidden="1" customHeight="1" x14ac:dyDescent="0.2">
      <c r="A1280" s="2">
        <v>1291</v>
      </c>
      <c r="B1280" s="2">
        <v>148</v>
      </c>
      <c r="C1280" s="2">
        <v>120</v>
      </c>
      <c r="D1280" s="2" t="s">
        <v>1924</v>
      </c>
      <c r="E1280" s="2" t="str">
        <f t="shared" si="6"/>
        <v>1220US03PT</v>
      </c>
      <c r="F1280" s="2">
        <f>VLOOKUP(B1280,Course!$A$2:$R$329,2,FALSE)</f>
        <v>0</v>
      </c>
      <c r="G1280" s="2">
        <f>VLOOKUP(B1280, Course!$A$2:$L$950, 8, FALSE)</f>
        <v>12</v>
      </c>
      <c r="H1280" s="2">
        <v>3</v>
      </c>
      <c r="I1280" s="2">
        <v>1</v>
      </c>
      <c r="K1280" s="2" t="s">
        <v>1915</v>
      </c>
      <c r="L1280" s="2" t="str">
        <f>VLOOKUP(B1280, Course!$A$1:$O$933, 14, FALSE)</f>
        <v>UH</v>
      </c>
      <c r="M1280" s="2">
        <v>1</v>
      </c>
    </row>
    <row r="1281" spans="1:13" ht="15.75" hidden="1" customHeight="1" x14ac:dyDescent="0.2">
      <c r="A1281" s="2">
        <v>1292</v>
      </c>
      <c r="B1281" s="2">
        <v>149</v>
      </c>
      <c r="C1281" s="2">
        <v>13</v>
      </c>
      <c r="D1281" s="2" t="s">
        <v>571</v>
      </c>
      <c r="E1281" s="2" t="str">
        <f t="shared" si="6"/>
        <v>1213AS03PT</v>
      </c>
      <c r="F1281" s="2">
        <f>VLOOKUP(B1281,Course!$A$2:$R$329,2,FALSE)</f>
        <v>0</v>
      </c>
      <c r="G1281" s="2">
        <f>VLOOKUP(B1281, Course!$A$2:$L$950, 8, FALSE)</f>
        <v>12</v>
      </c>
      <c r="H1281" s="2">
        <v>3</v>
      </c>
      <c r="I1281" s="2">
        <v>1</v>
      </c>
      <c r="K1281" s="2" t="s">
        <v>1915</v>
      </c>
      <c r="L1281" s="2" t="str">
        <f>VLOOKUP(B1281, Course!$A$1:$O$933, 14, FALSE)</f>
        <v>AS</v>
      </c>
      <c r="M1281" s="2">
        <v>1</v>
      </c>
    </row>
    <row r="1282" spans="1:13" ht="15.75" hidden="1" customHeight="1" x14ac:dyDescent="0.2">
      <c r="A1282" s="2">
        <v>1293</v>
      </c>
      <c r="B1282" s="2">
        <v>149</v>
      </c>
      <c r="C1282" s="2">
        <v>14</v>
      </c>
      <c r="D1282" s="2" t="s">
        <v>571</v>
      </c>
      <c r="E1282" s="2" t="str">
        <f t="shared" si="6"/>
        <v>1214AS03PT</v>
      </c>
      <c r="F1282" s="2">
        <f>VLOOKUP(B1282,Course!$A$2:$R$329,2,FALSE)</f>
        <v>0</v>
      </c>
      <c r="G1282" s="2">
        <f>VLOOKUP(B1282, Course!$A$2:$L$950, 8, FALSE)</f>
        <v>12</v>
      </c>
      <c r="H1282" s="2">
        <v>3</v>
      </c>
      <c r="I1282" s="2">
        <v>1</v>
      </c>
      <c r="K1282" s="2" t="s">
        <v>1915</v>
      </c>
      <c r="L1282" s="2" t="str">
        <f>VLOOKUP(B1282, Course!$A$1:$O$933, 14, FALSE)</f>
        <v>AS</v>
      </c>
      <c r="M1282" s="2">
        <v>1</v>
      </c>
    </row>
    <row r="1283" spans="1:13" ht="15.75" hidden="1" customHeight="1" x14ac:dyDescent="0.2">
      <c r="A1283" s="2">
        <v>1294</v>
      </c>
      <c r="B1283" s="2">
        <v>149</v>
      </c>
      <c r="C1283" s="2">
        <v>15</v>
      </c>
      <c r="D1283" s="2" t="s">
        <v>571</v>
      </c>
      <c r="E1283" s="2" t="str">
        <f t="shared" si="6"/>
        <v>1215AS03PT</v>
      </c>
      <c r="F1283" s="2">
        <f>VLOOKUP(B1283,Course!$A$2:$R$329,2,FALSE)</f>
        <v>0</v>
      </c>
      <c r="G1283" s="2">
        <f>VLOOKUP(B1283, Course!$A$2:$L$950, 8, FALSE)</f>
        <v>12</v>
      </c>
      <c r="H1283" s="2">
        <v>3</v>
      </c>
      <c r="I1283" s="2">
        <v>1</v>
      </c>
      <c r="K1283" s="2" t="s">
        <v>1915</v>
      </c>
      <c r="L1283" s="2" t="str">
        <f>VLOOKUP(B1283, Course!$A$1:$O$933, 14, FALSE)</f>
        <v>AS</v>
      </c>
      <c r="M1283" s="2">
        <v>1</v>
      </c>
    </row>
    <row r="1284" spans="1:13" ht="15.75" hidden="1" customHeight="1" x14ac:dyDescent="0.2">
      <c r="A1284" s="2">
        <v>1295</v>
      </c>
      <c r="B1284" s="2">
        <v>149</v>
      </c>
      <c r="C1284" s="2">
        <v>16</v>
      </c>
      <c r="D1284" s="2" t="s">
        <v>571</v>
      </c>
      <c r="E1284" s="2" t="str">
        <f t="shared" si="6"/>
        <v>1216AS03PT</v>
      </c>
      <c r="F1284" s="2">
        <f>VLOOKUP(B1284,Course!$A$2:$R$329,2,FALSE)</f>
        <v>0</v>
      </c>
      <c r="G1284" s="2">
        <f>VLOOKUP(B1284, Course!$A$2:$L$950, 8, FALSE)</f>
        <v>12</v>
      </c>
      <c r="H1284" s="2">
        <v>3</v>
      </c>
      <c r="I1284" s="2">
        <v>1</v>
      </c>
      <c r="K1284" s="2" t="s">
        <v>1915</v>
      </c>
      <c r="L1284" s="2" t="str">
        <f>VLOOKUP(B1284, Course!$A$1:$O$933, 14, FALSE)</f>
        <v>AS</v>
      </c>
      <c r="M1284" s="2">
        <v>1</v>
      </c>
    </row>
    <row r="1285" spans="1:13" ht="15.75" hidden="1" customHeight="1" x14ac:dyDescent="0.2">
      <c r="A1285" s="2">
        <v>1296</v>
      </c>
      <c r="B1285" s="2">
        <v>149</v>
      </c>
      <c r="C1285" s="2">
        <v>17</v>
      </c>
      <c r="D1285" s="2" t="s">
        <v>571</v>
      </c>
      <c r="E1285" s="2" t="str">
        <f t="shared" si="6"/>
        <v>1217AS03PT</v>
      </c>
      <c r="F1285" s="2">
        <f>VLOOKUP(B1285,Course!$A$2:$R$329,2,FALSE)</f>
        <v>0</v>
      </c>
      <c r="G1285" s="2">
        <f>VLOOKUP(B1285, Course!$A$2:$L$950, 8, FALSE)</f>
        <v>12</v>
      </c>
      <c r="H1285" s="2">
        <v>3</v>
      </c>
      <c r="I1285" s="2">
        <v>1</v>
      </c>
      <c r="K1285" s="2" t="s">
        <v>1915</v>
      </c>
      <c r="L1285" s="2" t="str">
        <f>VLOOKUP(B1285, Course!$A$1:$O$933, 14, FALSE)</f>
        <v>AS</v>
      </c>
      <c r="M1285" s="2">
        <v>1</v>
      </c>
    </row>
    <row r="1286" spans="1:13" ht="15.75" hidden="1" customHeight="1" x14ac:dyDescent="0.2">
      <c r="A1286" s="2">
        <v>1297</v>
      </c>
      <c r="B1286" s="2">
        <v>149</v>
      </c>
      <c r="C1286" s="2">
        <v>18</v>
      </c>
      <c r="D1286" s="2" t="s">
        <v>571</v>
      </c>
      <c r="E1286" s="2" t="str">
        <f t="shared" si="6"/>
        <v>1218AS03PT</v>
      </c>
      <c r="F1286" s="2">
        <f>VLOOKUP(B1286,Course!$A$2:$R$329,2,FALSE)</f>
        <v>0</v>
      </c>
      <c r="G1286" s="2">
        <f>VLOOKUP(B1286, Course!$A$2:$L$950, 8, FALSE)</f>
        <v>12</v>
      </c>
      <c r="H1286" s="2">
        <v>3</v>
      </c>
      <c r="I1286" s="2">
        <v>1</v>
      </c>
      <c r="K1286" s="2" t="s">
        <v>1915</v>
      </c>
      <c r="L1286" s="2" t="str">
        <f>VLOOKUP(B1286, Course!$A$1:$O$933, 14, FALSE)</f>
        <v>AS</v>
      </c>
      <c r="M1286" s="2">
        <v>1</v>
      </c>
    </row>
    <row r="1287" spans="1:13" ht="15.75" hidden="1" customHeight="1" x14ac:dyDescent="0.2">
      <c r="A1287" s="2">
        <v>1298</v>
      </c>
      <c r="B1287" s="2">
        <v>149</v>
      </c>
      <c r="C1287" s="2">
        <v>19</v>
      </c>
      <c r="D1287" s="2" t="s">
        <v>571</v>
      </c>
      <c r="E1287" s="2" t="str">
        <f t="shared" si="6"/>
        <v>1219AS03PT</v>
      </c>
      <c r="F1287" s="2">
        <f>VLOOKUP(B1287,Course!$A$2:$R$329,2,FALSE)</f>
        <v>0</v>
      </c>
      <c r="G1287" s="2">
        <f>VLOOKUP(B1287, Course!$A$2:$L$950, 8, FALSE)</f>
        <v>12</v>
      </c>
      <c r="H1287" s="2">
        <v>3</v>
      </c>
      <c r="I1287" s="2">
        <v>1</v>
      </c>
      <c r="K1287" s="2" t="s">
        <v>1915</v>
      </c>
      <c r="L1287" s="2" t="str">
        <f>VLOOKUP(B1287, Course!$A$1:$O$933, 14, FALSE)</f>
        <v>AS</v>
      </c>
      <c r="M1287" s="2">
        <v>1</v>
      </c>
    </row>
    <row r="1288" spans="1:13" ht="15.75" hidden="1" customHeight="1" x14ac:dyDescent="0.2">
      <c r="A1288" s="2">
        <v>1299</v>
      </c>
      <c r="B1288" s="2">
        <v>149</v>
      </c>
      <c r="C1288" s="2">
        <v>20</v>
      </c>
      <c r="D1288" s="2" t="s">
        <v>571</v>
      </c>
      <c r="E1288" s="2" t="str">
        <f t="shared" si="6"/>
        <v>1220AS03PT</v>
      </c>
      <c r="F1288" s="2">
        <f>VLOOKUP(B1288,Course!$A$2:$R$329,2,FALSE)</f>
        <v>0</v>
      </c>
      <c r="G1288" s="2">
        <f>VLOOKUP(B1288, Course!$A$2:$L$950, 8, FALSE)</f>
        <v>12</v>
      </c>
      <c r="H1288" s="2">
        <v>3</v>
      </c>
      <c r="I1288" s="2">
        <v>1</v>
      </c>
      <c r="K1288" s="2" t="s">
        <v>1915</v>
      </c>
      <c r="L1288" s="2" t="str">
        <f>VLOOKUP(B1288, Course!$A$1:$O$933, 14, FALSE)</f>
        <v>AS</v>
      </c>
      <c r="M1288" s="2">
        <v>1</v>
      </c>
    </row>
    <row r="1289" spans="1:13" ht="15.75" hidden="1" customHeight="1" x14ac:dyDescent="0.2">
      <c r="A1289" s="2">
        <v>1300</v>
      </c>
      <c r="B1289" s="2">
        <v>149</v>
      </c>
      <c r="C1289" s="2">
        <v>21</v>
      </c>
      <c r="D1289" s="2" t="s">
        <v>571</v>
      </c>
      <c r="E1289" s="2" t="str">
        <f t="shared" si="6"/>
        <v>1221AS03PT</v>
      </c>
      <c r="F1289" s="2">
        <f>VLOOKUP(B1289,Course!$A$2:$R$329,2,FALSE)</f>
        <v>0</v>
      </c>
      <c r="G1289" s="2">
        <f>VLOOKUP(B1289, Course!$A$2:$L$950, 8, FALSE)</f>
        <v>12</v>
      </c>
      <c r="H1289" s="2">
        <v>3</v>
      </c>
      <c r="I1289" s="2">
        <v>1</v>
      </c>
      <c r="K1289" s="2" t="s">
        <v>1915</v>
      </c>
      <c r="L1289" s="2" t="str">
        <f>VLOOKUP(B1289, Course!$A$1:$O$933, 14, FALSE)</f>
        <v>AS</v>
      </c>
      <c r="M1289" s="2">
        <v>1</v>
      </c>
    </row>
    <row r="1290" spans="1:13" ht="15.75" hidden="1" customHeight="1" x14ac:dyDescent="0.2">
      <c r="A1290" s="2">
        <v>1301</v>
      </c>
      <c r="B1290" s="2">
        <v>149</v>
      </c>
      <c r="C1290" s="2">
        <v>22</v>
      </c>
      <c r="D1290" s="2" t="s">
        <v>571</v>
      </c>
      <c r="E1290" s="2" t="str">
        <f t="shared" si="6"/>
        <v>1222AS03PT</v>
      </c>
      <c r="F1290" s="2">
        <f>VLOOKUP(B1290,Course!$A$2:$R$329,2,FALSE)</f>
        <v>0</v>
      </c>
      <c r="G1290" s="2">
        <f>VLOOKUP(B1290, Course!$A$2:$L$950, 8, FALSE)</f>
        <v>12</v>
      </c>
      <c r="H1290" s="2">
        <v>3</v>
      </c>
      <c r="I1290" s="2">
        <v>1</v>
      </c>
      <c r="K1290" s="2" t="s">
        <v>1915</v>
      </c>
      <c r="L1290" s="2" t="str">
        <f>VLOOKUP(B1290, Course!$A$1:$O$933, 14, FALSE)</f>
        <v>AS</v>
      </c>
      <c r="M1290" s="2">
        <v>1</v>
      </c>
    </row>
    <row r="1291" spans="1:13" ht="15.75" hidden="1" customHeight="1" x14ac:dyDescent="0.2">
      <c r="A1291" s="2">
        <v>1302</v>
      </c>
      <c r="B1291" s="2">
        <v>149</v>
      </c>
      <c r="C1291" s="2">
        <v>23</v>
      </c>
      <c r="D1291" s="2" t="s">
        <v>571</v>
      </c>
      <c r="E1291" s="2" t="str">
        <f t="shared" si="6"/>
        <v>1223AS03PT</v>
      </c>
      <c r="F1291" s="2">
        <f>VLOOKUP(B1291,Course!$A$2:$R$329,2,FALSE)</f>
        <v>0</v>
      </c>
      <c r="G1291" s="2">
        <f>VLOOKUP(B1291, Course!$A$2:$L$950, 8, FALSE)</f>
        <v>12</v>
      </c>
      <c r="H1291" s="2">
        <v>3</v>
      </c>
      <c r="I1291" s="2">
        <v>1</v>
      </c>
      <c r="K1291" s="2" t="s">
        <v>1915</v>
      </c>
      <c r="L1291" s="2" t="str">
        <f>VLOOKUP(B1291, Course!$A$1:$O$933, 14, FALSE)</f>
        <v>AS</v>
      </c>
      <c r="M1291" s="2">
        <v>1</v>
      </c>
    </row>
    <row r="1292" spans="1:13" ht="15.75" hidden="1" customHeight="1" x14ac:dyDescent="0.2">
      <c r="A1292" s="2">
        <v>1303</v>
      </c>
      <c r="B1292" s="2">
        <v>149</v>
      </c>
      <c r="C1292" s="2">
        <v>24</v>
      </c>
      <c r="D1292" s="2" t="s">
        <v>571</v>
      </c>
      <c r="E1292" s="2" t="str">
        <f t="shared" si="6"/>
        <v>1224AS03PT</v>
      </c>
      <c r="F1292" s="2">
        <f>VLOOKUP(B1292,Course!$A$2:$R$329,2,FALSE)</f>
        <v>0</v>
      </c>
      <c r="G1292" s="2">
        <f>VLOOKUP(B1292, Course!$A$2:$L$950, 8, FALSE)</f>
        <v>12</v>
      </c>
      <c r="H1292" s="2">
        <v>3</v>
      </c>
      <c r="I1292" s="2">
        <v>1</v>
      </c>
      <c r="K1292" s="2" t="s">
        <v>1915</v>
      </c>
      <c r="L1292" s="2" t="str">
        <f>VLOOKUP(B1292, Course!$A$1:$O$933, 14, FALSE)</f>
        <v>AS</v>
      </c>
      <c r="M1292" s="2">
        <v>1</v>
      </c>
    </row>
    <row r="1293" spans="1:13" ht="15.75" hidden="1" customHeight="1" x14ac:dyDescent="0.2">
      <c r="A1293" s="2">
        <v>1304</v>
      </c>
      <c r="B1293" s="2">
        <v>146</v>
      </c>
      <c r="C1293" s="2">
        <v>98</v>
      </c>
      <c r="D1293" s="2" t="s">
        <v>375</v>
      </c>
      <c r="E1293" s="2" t="str">
        <f t="shared" si="6"/>
        <v>1198LI03PT</v>
      </c>
      <c r="F1293" s="2">
        <f>VLOOKUP(B1293,Course!$A$2:$R$329,2,FALSE)</f>
        <v>0</v>
      </c>
      <c r="G1293" s="2">
        <f>VLOOKUP(B1293, Course!$A$2:$L$950, 8, FALSE)</f>
        <v>11</v>
      </c>
      <c r="H1293" s="2">
        <v>3</v>
      </c>
      <c r="I1293" s="2">
        <v>1</v>
      </c>
      <c r="K1293" s="2" t="s">
        <v>1915</v>
      </c>
      <c r="L1293" s="2" t="str">
        <f>VLOOKUP(B1293, Course!$A$1:$O$933, 14, FALSE)</f>
        <v>LC</v>
      </c>
      <c r="M1293" s="2">
        <v>1</v>
      </c>
    </row>
    <row r="1294" spans="1:13" ht="15.75" hidden="1" customHeight="1" x14ac:dyDescent="0.2">
      <c r="A1294" s="2">
        <v>1305</v>
      </c>
      <c r="B1294" s="2">
        <v>146</v>
      </c>
      <c r="C1294" s="2">
        <v>100</v>
      </c>
      <c r="D1294" s="2" t="s">
        <v>375</v>
      </c>
      <c r="E1294" s="2" t="str">
        <f t="shared" si="6"/>
        <v>1100LI03PT</v>
      </c>
      <c r="F1294" s="2">
        <f>VLOOKUP(B1294,Course!$A$2:$R$329,2,FALSE)</f>
        <v>0</v>
      </c>
      <c r="G1294" s="2">
        <f>VLOOKUP(B1294, Course!$A$2:$L$950, 8, FALSE)</f>
        <v>11</v>
      </c>
      <c r="H1294" s="2">
        <v>3</v>
      </c>
      <c r="I1294" s="2">
        <v>1</v>
      </c>
      <c r="K1294" s="2" t="s">
        <v>1915</v>
      </c>
      <c r="L1294" s="2" t="str">
        <f>VLOOKUP(B1294, Course!$A$1:$O$933, 14, FALSE)</f>
        <v>LC</v>
      </c>
      <c r="M1294" s="2">
        <v>1</v>
      </c>
    </row>
    <row r="1295" spans="1:13" ht="15.75" hidden="1" customHeight="1" x14ac:dyDescent="0.2">
      <c r="A1295" s="2">
        <v>1306</v>
      </c>
      <c r="B1295" s="2">
        <v>146</v>
      </c>
      <c r="C1295" s="2">
        <v>102</v>
      </c>
      <c r="D1295" s="2" t="s">
        <v>375</v>
      </c>
      <c r="E1295" s="2" t="str">
        <f t="shared" si="6"/>
        <v>1102LI03PT</v>
      </c>
      <c r="F1295" s="2">
        <f>VLOOKUP(B1295,Course!$A$2:$R$329,2,FALSE)</f>
        <v>0</v>
      </c>
      <c r="G1295" s="2">
        <f>VLOOKUP(B1295, Course!$A$2:$L$950, 8, FALSE)</f>
        <v>11</v>
      </c>
      <c r="H1295" s="2">
        <v>3</v>
      </c>
      <c r="I1295" s="2">
        <v>1</v>
      </c>
      <c r="K1295" s="2" t="s">
        <v>1915</v>
      </c>
      <c r="L1295" s="2" t="str">
        <f>VLOOKUP(B1295, Course!$A$1:$O$933, 14, FALSE)</f>
        <v>LC</v>
      </c>
      <c r="M1295" s="2">
        <v>1</v>
      </c>
    </row>
    <row r="1296" spans="1:13" ht="15.75" hidden="1" customHeight="1" x14ac:dyDescent="0.2">
      <c r="A1296" s="2">
        <v>1307</v>
      </c>
      <c r="B1296" s="2">
        <v>146</v>
      </c>
      <c r="C1296" s="2">
        <v>104</v>
      </c>
      <c r="D1296" s="2" t="s">
        <v>375</v>
      </c>
      <c r="E1296" s="2" t="str">
        <f t="shared" si="6"/>
        <v>1104LI03PT</v>
      </c>
      <c r="F1296" s="2">
        <f>VLOOKUP(B1296,Course!$A$2:$R$329,2,FALSE)</f>
        <v>0</v>
      </c>
      <c r="G1296" s="2">
        <f>VLOOKUP(B1296, Course!$A$2:$L$950, 8, FALSE)</f>
        <v>11</v>
      </c>
      <c r="H1296" s="2">
        <v>3</v>
      </c>
      <c r="I1296" s="2">
        <v>1</v>
      </c>
      <c r="K1296" s="2" t="s">
        <v>1915</v>
      </c>
      <c r="L1296" s="2" t="str">
        <f>VLOOKUP(B1296, Course!$A$1:$O$933, 14, FALSE)</f>
        <v>LC</v>
      </c>
      <c r="M1296" s="2">
        <v>1</v>
      </c>
    </row>
    <row r="1297" spans="1:14" ht="15.75" hidden="1" customHeight="1" x14ac:dyDescent="0.2">
      <c r="A1297" s="2">
        <v>1308</v>
      </c>
      <c r="B1297" s="2">
        <v>146</v>
      </c>
      <c r="C1297" s="2">
        <v>106</v>
      </c>
      <c r="D1297" s="2" t="s">
        <v>375</v>
      </c>
      <c r="E1297" s="2" t="str">
        <f t="shared" si="6"/>
        <v>1106LI03PT</v>
      </c>
      <c r="F1297" s="2">
        <f>VLOOKUP(B1297,Course!$A$2:$R$329,2,FALSE)</f>
        <v>0</v>
      </c>
      <c r="G1297" s="2">
        <f>VLOOKUP(B1297, Course!$A$2:$L$950, 8, FALSE)</f>
        <v>11</v>
      </c>
      <c r="H1297" s="2">
        <v>3</v>
      </c>
      <c r="I1297" s="2">
        <v>1</v>
      </c>
      <c r="K1297" s="2" t="s">
        <v>1915</v>
      </c>
      <c r="L1297" s="2" t="str">
        <f>VLOOKUP(B1297, Course!$A$1:$O$933, 14, FALSE)</f>
        <v>LC</v>
      </c>
      <c r="M1297" s="2">
        <v>1</v>
      </c>
      <c r="N1297" s="2" t="s">
        <v>1925</v>
      </c>
    </row>
    <row r="1298" spans="1:14" ht="15.75" hidden="1" customHeight="1" x14ac:dyDescent="0.2">
      <c r="A1298" s="2">
        <v>1309</v>
      </c>
      <c r="B1298" s="2">
        <v>146</v>
      </c>
      <c r="C1298" s="2">
        <v>108</v>
      </c>
      <c r="D1298" s="2" t="s">
        <v>375</v>
      </c>
      <c r="E1298" s="2" t="str">
        <f t="shared" si="6"/>
        <v>1108LI03PT</v>
      </c>
      <c r="F1298" s="2">
        <f>VLOOKUP(B1298,Course!$A$2:$R$329,2,FALSE)</f>
        <v>0</v>
      </c>
      <c r="G1298" s="2">
        <f>VLOOKUP(B1298, Course!$A$2:$L$950, 8, FALSE)</f>
        <v>11</v>
      </c>
      <c r="H1298" s="2">
        <v>3</v>
      </c>
      <c r="I1298" s="2">
        <v>1</v>
      </c>
      <c r="K1298" s="2" t="s">
        <v>1915</v>
      </c>
      <c r="L1298" s="2" t="str">
        <f>VLOOKUP(B1298, Course!$A$1:$O$933, 14, FALSE)</f>
        <v>LC</v>
      </c>
      <c r="M1298" s="2">
        <v>1</v>
      </c>
    </row>
    <row r="1299" spans="1:14" ht="15.75" hidden="1" customHeight="1" x14ac:dyDescent="0.2">
      <c r="A1299" s="2">
        <v>1310</v>
      </c>
      <c r="B1299" s="2">
        <v>159</v>
      </c>
      <c r="C1299" s="2">
        <v>85</v>
      </c>
      <c r="D1299" s="2" t="s">
        <v>601</v>
      </c>
      <c r="E1299" s="2" t="str">
        <f t="shared" si="6"/>
        <v>485PS03PT</v>
      </c>
      <c r="F1299" s="2" t="s">
        <v>721</v>
      </c>
      <c r="G1299" s="2">
        <f>VLOOKUP(B1299, Course!$A$2:$L$950, 8, FALSE)</f>
        <v>4</v>
      </c>
      <c r="H1299" s="2">
        <v>3</v>
      </c>
      <c r="I1299" s="2">
        <v>1</v>
      </c>
      <c r="K1299" s="2" t="s">
        <v>1915</v>
      </c>
      <c r="L1299" s="2" t="str">
        <f>VLOOKUP(B1299, Course!$A$1:$O$933, 14, FALSE)</f>
        <v>SC</v>
      </c>
      <c r="M1299" s="2">
        <v>1</v>
      </c>
    </row>
    <row r="1300" spans="1:14" ht="15.75" hidden="1" customHeight="1" x14ac:dyDescent="0.2">
      <c r="A1300" s="2">
        <v>1311</v>
      </c>
      <c r="B1300" s="2">
        <v>159</v>
      </c>
      <c r="C1300" s="2">
        <v>86</v>
      </c>
      <c r="D1300" s="2" t="s">
        <v>601</v>
      </c>
      <c r="E1300" s="2" t="str">
        <f t="shared" si="6"/>
        <v>486PS03PT</v>
      </c>
      <c r="F1300" s="2" t="s">
        <v>721</v>
      </c>
      <c r="G1300" s="2">
        <f>VLOOKUP(B1300, Course!$A$2:$L$950, 8, FALSE)</f>
        <v>4</v>
      </c>
      <c r="H1300" s="2">
        <v>3</v>
      </c>
      <c r="I1300" s="2">
        <v>1</v>
      </c>
      <c r="K1300" s="2" t="s">
        <v>1915</v>
      </c>
      <c r="L1300" s="2" t="str">
        <f>VLOOKUP(B1300, Course!$A$1:$O$933, 14, FALSE)</f>
        <v>SC</v>
      </c>
      <c r="M1300" s="2">
        <v>2</v>
      </c>
    </row>
    <row r="1301" spans="1:14" ht="15.75" hidden="1" customHeight="1" x14ac:dyDescent="0.2">
      <c r="A1301" s="2">
        <v>1312</v>
      </c>
      <c r="B1301" s="2">
        <v>159</v>
      </c>
      <c r="C1301" s="2">
        <v>87</v>
      </c>
      <c r="D1301" s="2" t="s">
        <v>601</v>
      </c>
      <c r="E1301" s="2" t="str">
        <f t="shared" si="6"/>
        <v>487PS03PT</v>
      </c>
      <c r="F1301" s="2" t="s">
        <v>721</v>
      </c>
      <c r="G1301" s="2">
        <f>VLOOKUP(B1301, Course!$A$2:$L$950, 8, FALSE)</f>
        <v>4</v>
      </c>
      <c r="H1301" s="2">
        <v>3</v>
      </c>
      <c r="I1301" s="2">
        <v>1</v>
      </c>
      <c r="K1301" s="2" t="s">
        <v>1915</v>
      </c>
      <c r="L1301" s="2" t="str">
        <f>VLOOKUP(B1301, Course!$A$1:$O$933, 14, FALSE)</f>
        <v>SC</v>
      </c>
      <c r="M1301" s="2">
        <v>1</v>
      </c>
    </row>
    <row r="1302" spans="1:14" ht="15.75" hidden="1" customHeight="1" x14ac:dyDescent="0.2">
      <c r="A1302" s="2">
        <v>1313</v>
      </c>
      <c r="B1302" s="2">
        <v>159</v>
      </c>
      <c r="C1302" s="2">
        <v>88</v>
      </c>
      <c r="D1302" s="2" t="s">
        <v>601</v>
      </c>
      <c r="E1302" s="2" t="str">
        <f t="shared" si="6"/>
        <v>488PS03PT</v>
      </c>
      <c r="F1302" s="2" t="s">
        <v>721</v>
      </c>
      <c r="G1302" s="2">
        <f>VLOOKUP(B1302, Course!$A$2:$L$950, 8, FALSE)</f>
        <v>4</v>
      </c>
      <c r="H1302" s="2">
        <v>3</v>
      </c>
      <c r="I1302" s="2">
        <v>1</v>
      </c>
      <c r="K1302" s="2" t="s">
        <v>1915</v>
      </c>
      <c r="L1302" s="2" t="str">
        <f>VLOOKUP(B1302, Course!$A$1:$O$933, 14, FALSE)</f>
        <v>SC</v>
      </c>
      <c r="M1302" s="2">
        <v>2</v>
      </c>
    </row>
    <row r="1303" spans="1:14" ht="15.75" hidden="1" customHeight="1" x14ac:dyDescent="0.2">
      <c r="A1303" s="2">
        <v>1314</v>
      </c>
      <c r="B1303" s="2">
        <v>160</v>
      </c>
      <c r="C1303" s="2">
        <v>97</v>
      </c>
      <c r="D1303" s="2" t="s">
        <v>601</v>
      </c>
      <c r="E1303" s="2" t="str">
        <f t="shared" si="6"/>
        <v>497PS03PT</v>
      </c>
      <c r="F1303" s="2" t="s">
        <v>721</v>
      </c>
      <c r="G1303" s="2">
        <f>VLOOKUP(B1303, Course!$A$2:$L$950, 8, FALSE)</f>
        <v>4</v>
      </c>
      <c r="H1303" s="2">
        <v>3</v>
      </c>
      <c r="I1303" s="2">
        <v>1</v>
      </c>
      <c r="K1303" s="2" t="s">
        <v>1915</v>
      </c>
      <c r="L1303" s="2" t="str">
        <f>VLOOKUP(B1303, Course!$A$1:$O$933, 14, FALSE)</f>
        <v>SC</v>
      </c>
      <c r="M1303" s="2">
        <v>1</v>
      </c>
    </row>
    <row r="1304" spans="1:14" ht="15.75" hidden="1" customHeight="1" x14ac:dyDescent="0.2">
      <c r="A1304" s="2">
        <v>1315</v>
      </c>
      <c r="B1304" s="2">
        <v>160</v>
      </c>
      <c r="C1304" s="2">
        <v>98</v>
      </c>
      <c r="D1304" s="2" t="s">
        <v>601</v>
      </c>
      <c r="E1304" s="2" t="str">
        <f t="shared" si="6"/>
        <v>498PS03PT</v>
      </c>
      <c r="F1304" s="2" t="s">
        <v>721</v>
      </c>
      <c r="G1304" s="2">
        <f>VLOOKUP(B1304, Course!$A$2:$L$950, 8, FALSE)</f>
        <v>4</v>
      </c>
      <c r="H1304" s="2">
        <v>3</v>
      </c>
      <c r="I1304" s="2">
        <v>1</v>
      </c>
      <c r="K1304" s="2" t="s">
        <v>1915</v>
      </c>
      <c r="L1304" s="2" t="str">
        <f>VLOOKUP(B1304, Course!$A$1:$O$933, 14, FALSE)</f>
        <v>SC</v>
      </c>
      <c r="M1304" s="2">
        <v>2</v>
      </c>
    </row>
    <row r="1305" spans="1:14" ht="15.75" hidden="1" customHeight="1" x14ac:dyDescent="0.2">
      <c r="A1305" s="2">
        <v>1316</v>
      </c>
      <c r="B1305" s="2">
        <v>160</v>
      </c>
      <c r="C1305" s="2">
        <v>99</v>
      </c>
      <c r="D1305" s="2" t="s">
        <v>601</v>
      </c>
      <c r="E1305" s="2" t="str">
        <f t="shared" si="6"/>
        <v>499PS03PT</v>
      </c>
      <c r="F1305" s="2" t="s">
        <v>721</v>
      </c>
      <c r="G1305" s="2">
        <f>VLOOKUP(B1305, Course!$A$2:$L$950, 8, FALSE)</f>
        <v>4</v>
      </c>
      <c r="H1305" s="2">
        <v>3</v>
      </c>
      <c r="I1305" s="2">
        <v>1</v>
      </c>
      <c r="K1305" s="2" t="s">
        <v>1915</v>
      </c>
      <c r="L1305" s="2" t="str">
        <f>VLOOKUP(B1305, Course!$A$1:$O$933, 14, FALSE)</f>
        <v>SC</v>
      </c>
      <c r="M1305" s="2">
        <v>1</v>
      </c>
    </row>
    <row r="1306" spans="1:14" ht="15.75" hidden="1" customHeight="1" x14ac:dyDescent="0.2">
      <c r="A1306" s="2">
        <v>1317</v>
      </c>
      <c r="B1306" s="2">
        <v>160</v>
      </c>
      <c r="C1306" s="2">
        <v>100</v>
      </c>
      <c r="D1306" s="2" t="s">
        <v>601</v>
      </c>
      <c r="E1306" s="2" t="str">
        <f t="shared" si="6"/>
        <v>400PS03PT</v>
      </c>
      <c r="F1306" s="2" t="s">
        <v>721</v>
      </c>
      <c r="G1306" s="2">
        <f>VLOOKUP(B1306, Course!$A$2:$L$950, 8, FALSE)</f>
        <v>4</v>
      </c>
      <c r="H1306" s="2">
        <v>3</v>
      </c>
      <c r="I1306" s="2">
        <v>1</v>
      </c>
      <c r="K1306" s="2" t="s">
        <v>1915</v>
      </c>
      <c r="L1306" s="2" t="str">
        <f>VLOOKUP(B1306, Course!$A$1:$O$933, 14, FALSE)</f>
        <v>SC</v>
      </c>
      <c r="M1306" s="2">
        <v>2</v>
      </c>
    </row>
    <row r="1307" spans="1:14" ht="15.75" hidden="1" customHeight="1" x14ac:dyDescent="0.2">
      <c r="A1307" s="2">
        <v>1318</v>
      </c>
      <c r="B1307" s="2">
        <v>97</v>
      </c>
      <c r="C1307" s="2">
        <v>1</v>
      </c>
      <c r="D1307" s="2" t="s">
        <v>1926</v>
      </c>
      <c r="E1307" s="2" t="str">
        <f t="shared" si="6"/>
        <v>101ICT03PT</v>
      </c>
      <c r="F1307" s="2" t="s">
        <v>1904</v>
      </c>
      <c r="G1307" s="2">
        <f>VLOOKUP(B1307, Course!$A$2:$L$950, 8, FALSE)</f>
        <v>1</v>
      </c>
      <c r="H1307" s="2">
        <v>3</v>
      </c>
      <c r="I1307" s="2">
        <v>1</v>
      </c>
      <c r="K1307" s="2" t="s">
        <v>1915</v>
      </c>
      <c r="L1307" s="2" t="str">
        <f>VLOOKUP(B1307, Course!$A$1:$O$933, 14, FALSE)</f>
        <v>IC</v>
      </c>
      <c r="M1307" s="2">
        <v>0</v>
      </c>
    </row>
    <row r="1308" spans="1:14" ht="15.75" hidden="1" customHeight="1" x14ac:dyDescent="0.2">
      <c r="A1308" s="2">
        <v>1319</v>
      </c>
      <c r="B1308" s="2">
        <v>97</v>
      </c>
      <c r="C1308" s="2">
        <v>2</v>
      </c>
      <c r="D1308" s="2" t="s">
        <v>1926</v>
      </c>
      <c r="E1308" s="2" t="str">
        <f t="shared" si="6"/>
        <v>102ICT03PT</v>
      </c>
      <c r="F1308" s="2" t="s">
        <v>1904</v>
      </c>
      <c r="G1308" s="2">
        <f>VLOOKUP(B1308, Course!$A$2:$L$950, 8, FALSE)</f>
        <v>1</v>
      </c>
      <c r="H1308" s="2">
        <v>3</v>
      </c>
      <c r="I1308" s="2">
        <v>1</v>
      </c>
      <c r="K1308" s="2" t="s">
        <v>1915</v>
      </c>
      <c r="L1308" s="2" t="str">
        <f>VLOOKUP(B1308, Course!$A$1:$O$933, 14, FALSE)</f>
        <v>IC</v>
      </c>
      <c r="M1308" s="2">
        <v>1</v>
      </c>
    </row>
    <row r="1309" spans="1:14" ht="15.75" hidden="1" customHeight="1" x14ac:dyDescent="0.2">
      <c r="A1309" s="2">
        <v>1320</v>
      </c>
      <c r="B1309" s="2">
        <v>97</v>
      </c>
      <c r="C1309" s="2">
        <v>3</v>
      </c>
      <c r="D1309" s="2" t="s">
        <v>1926</v>
      </c>
      <c r="E1309" s="2" t="str">
        <f t="shared" si="6"/>
        <v>103ICT03PT</v>
      </c>
      <c r="F1309" s="2" t="s">
        <v>1904</v>
      </c>
      <c r="G1309" s="2">
        <f>VLOOKUP(B1309, Course!$A$2:$L$950, 8, FALSE)</f>
        <v>1</v>
      </c>
      <c r="H1309" s="2">
        <v>3</v>
      </c>
      <c r="I1309" s="2">
        <v>1</v>
      </c>
      <c r="K1309" s="2" t="s">
        <v>1915</v>
      </c>
      <c r="L1309" s="2" t="str">
        <f>VLOOKUP(B1309, Course!$A$1:$O$933, 14, FALSE)</f>
        <v>IC</v>
      </c>
      <c r="M1309" s="2">
        <v>0</v>
      </c>
    </row>
    <row r="1310" spans="1:14" ht="15.75" hidden="1" customHeight="1" x14ac:dyDescent="0.2">
      <c r="A1310" s="2">
        <v>1321</v>
      </c>
      <c r="B1310" s="2">
        <v>97</v>
      </c>
      <c r="C1310" s="2">
        <v>4</v>
      </c>
      <c r="D1310" s="2" t="s">
        <v>1926</v>
      </c>
      <c r="E1310" s="2" t="str">
        <f t="shared" si="6"/>
        <v>104ICT03PT</v>
      </c>
      <c r="F1310" s="2" t="s">
        <v>1904</v>
      </c>
      <c r="G1310" s="2">
        <f>VLOOKUP(B1310, Course!$A$2:$L$950, 8, FALSE)</f>
        <v>1</v>
      </c>
      <c r="H1310" s="2">
        <v>3</v>
      </c>
      <c r="I1310" s="2">
        <v>1</v>
      </c>
      <c r="K1310" s="2" t="s">
        <v>1915</v>
      </c>
      <c r="L1310" s="2" t="str">
        <f>VLOOKUP(B1310, Course!$A$1:$O$933, 14, FALSE)</f>
        <v>IC</v>
      </c>
      <c r="M1310" s="2">
        <v>1</v>
      </c>
    </row>
    <row r="1311" spans="1:14" ht="15.75" hidden="1" customHeight="1" x14ac:dyDescent="0.2">
      <c r="A1311" s="2">
        <v>1322</v>
      </c>
      <c r="B1311" s="2">
        <v>97</v>
      </c>
      <c r="C1311" s="2">
        <v>5</v>
      </c>
      <c r="D1311" s="2" t="s">
        <v>1926</v>
      </c>
      <c r="E1311" s="2" t="str">
        <f t="shared" si="6"/>
        <v>105ICT03PT</v>
      </c>
      <c r="F1311" s="2" t="s">
        <v>1904</v>
      </c>
      <c r="G1311" s="2">
        <f>VLOOKUP(B1311, Course!$A$2:$L$950, 8, FALSE)</f>
        <v>1</v>
      </c>
      <c r="H1311" s="2">
        <v>3</v>
      </c>
      <c r="I1311" s="2">
        <v>1</v>
      </c>
      <c r="K1311" s="2" t="s">
        <v>1915</v>
      </c>
      <c r="L1311" s="2" t="str">
        <f>VLOOKUP(B1311, Course!$A$1:$O$933, 14, FALSE)</f>
        <v>IC</v>
      </c>
      <c r="M1311" s="2">
        <v>0</v>
      </c>
    </row>
    <row r="1312" spans="1:14" ht="15.75" hidden="1" customHeight="1" x14ac:dyDescent="0.2">
      <c r="A1312" s="2">
        <v>1323</v>
      </c>
      <c r="B1312" s="2">
        <v>97</v>
      </c>
      <c r="C1312" s="2">
        <v>6</v>
      </c>
      <c r="D1312" s="2" t="s">
        <v>1926</v>
      </c>
      <c r="E1312" s="2" t="str">
        <f t="shared" si="6"/>
        <v>106ICT03PT</v>
      </c>
      <c r="F1312" s="2" t="s">
        <v>1904</v>
      </c>
      <c r="G1312" s="2">
        <f>VLOOKUP(B1312, Course!$A$2:$L$950, 8, FALSE)</f>
        <v>1</v>
      </c>
      <c r="H1312" s="2">
        <v>3</v>
      </c>
      <c r="I1312" s="2">
        <v>1</v>
      </c>
      <c r="K1312" s="2" t="s">
        <v>1915</v>
      </c>
      <c r="L1312" s="2" t="str">
        <f>VLOOKUP(B1312, Course!$A$1:$O$933, 14, FALSE)</f>
        <v>IC</v>
      </c>
      <c r="M1312" s="2">
        <v>1</v>
      </c>
    </row>
    <row r="1313" spans="1:13" ht="15.75" hidden="1" customHeight="1" x14ac:dyDescent="0.2">
      <c r="A1313" s="2">
        <v>1324</v>
      </c>
      <c r="B1313" s="2">
        <v>97</v>
      </c>
      <c r="C1313" s="2">
        <v>7</v>
      </c>
      <c r="D1313" s="2" t="s">
        <v>1926</v>
      </c>
      <c r="E1313" s="2" t="str">
        <f t="shared" si="6"/>
        <v>107ICT03PT</v>
      </c>
      <c r="F1313" s="2" t="s">
        <v>1904</v>
      </c>
      <c r="G1313" s="2">
        <f>VLOOKUP(B1313, Course!$A$2:$L$950, 8, FALSE)</f>
        <v>1</v>
      </c>
      <c r="H1313" s="2">
        <v>3</v>
      </c>
      <c r="I1313" s="2">
        <v>1</v>
      </c>
      <c r="K1313" s="2" t="s">
        <v>1915</v>
      </c>
      <c r="L1313" s="2" t="str">
        <f>VLOOKUP(B1313, Course!$A$1:$O$933, 14, FALSE)</f>
        <v>IC</v>
      </c>
      <c r="M1313" s="2">
        <v>0</v>
      </c>
    </row>
    <row r="1314" spans="1:13" ht="15.75" hidden="1" customHeight="1" x14ac:dyDescent="0.2">
      <c r="A1314" s="2">
        <v>1325</v>
      </c>
      <c r="B1314" s="2">
        <v>97</v>
      </c>
      <c r="C1314" s="2">
        <v>8</v>
      </c>
      <c r="D1314" s="2" t="s">
        <v>1926</v>
      </c>
      <c r="E1314" s="2" t="str">
        <f t="shared" si="6"/>
        <v>108ICT03PT</v>
      </c>
      <c r="F1314" s="2" t="s">
        <v>1904</v>
      </c>
      <c r="G1314" s="2">
        <f>VLOOKUP(B1314, Course!$A$2:$L$950, 8, FALSE)</f>
        <v>1</v>
      </c>
      <c r="H1314" s="2">
        <v>3</v>
      </c>
      <c r="I1314" s="2">
        <v>1</v>
      </c>
      <c r="K1314" s="2" t="s">
        <v>1915</v>
      </c>
      <c r="L1314" s="2" t="str">
        <f>VLOOKUP(B1314, Course!$A$1:$O$933, 14, FALSE)</f>
        <v>IC</v>
      </c>
      <c r="M1314" s="2">
        <v>1</v>
      </c>
    </row>
    <row r="1315" spans="1:13" ht="15.75" hidden="1" customHeight="1" x14ac:dyDescent="0.2">
      <c r="A1315" s="2">
        <v>1326</v>
      </c>
      <c r="B1315" s="2">
        <v>97</v>
      </c>
      <c r="C1315" s="2">
        <v>9</v>
      </c>
      <c r="D1315" s="2" t="s">
        <v>1926</v>
      </c>
      <c r="E1315" s="2" t="str">
        <f t="shared" si="6"/>
        <v>109ICT03PT</v>
      </c>
      <c r="F1315" s="2" t="s">
        <v>1904</v>
      </c>
      <c r="G1315" s="2">
        <f>VLOOKUP(B1315, Course!$A$2:$L$950, 8, FALSE)</f>
        <v>1</v>
      </c>
      <c r="H1315" s="2">
        <v>3</v>
      </c>
      <c r="I1315" s="2">
        <v>1</v>
      </c>
      <c r="K1315" s="2" t="s">
        <v>1915</v>
      </c>
      <c r="L1315" s="2" t="str">
        <f>VLOOKUP(B1315, Course!$A$1:$O$933, 14, FALSE)</f>
        <v>IC</v>
      </c>
      <c r="M1315" s="2">
        <v>0</v>
      </c>
    </row>
    <row r="1316" spans="1:13" ht="15.75" hidden="1" customHeight="1" x14ac:dyDescent="0.2">
      <c r="A1316" s="2">
        <v>1327</v>
      </c>
      <c r="B1316" s="2">
        <v>97</v>
      </c>
      <c r="C1316" s="2">
        <v>10</v>
      </c>
      <c r="D1316" s="2" t="s">
        <v>1926</v>
      </c>
      <c r="E1316" s="2" t="str">
        <f t="shared" si="6"/>
        <v>110ICT03PT</v>
      </c>
      <c r="F1316" s="2" t="s">
        <v>1904</v>
      </c>
      <c r="G1316" s="2">
        <f>VLOOKUP(B1316, Course!$A$2:$L$950, 8, FALSE)</f>
        <v>1</v>
      </c>
      <c r="H1316" s="2">
        <v>3</v>
      </c>
      <c r="I1316" s="2">
        <v>1</v>
      </c>
      <c r="K1316" s="2" t="s">
        <v>1915</v>
      </c>
      <c r="L1316" s="2" t="str">
        <f>VLOOKUP(B1316, Course!$A$1:$O$933, 14, FALSE)</f>
        <v>IC</v>
      </c>
      <c r="M1316" s="2">
        <v>1</v>
      </c>
    </row>
    <row r="1317" spans="1:13" ht="15.75" hidden="1" customHeight="1" x14ac:dyDescent="0.2">
      <c r="A1317" s="2">
        <v>1328</v>
      </c>
      <c r="B1317" s="2">
        <v>97</v>
      </c>
      <c r="C1317" s="2">
        <v>11</v>
      </c>
      <c r="D1317" s="2" t="s">
        <v>1926</v>
      </c>
      <c r="E1317" s="2" t="str">
        <f t="shared" si="6"/>
        <v>111ICT03PT</v>
      </c>
      <c r="F1317" s="2" t="s">
        <v>1904</v>
      </c>
      <c r="G1317" s="2">
        <f>VLOOKUP(B1317, Course!$A$2:$L$950, 8, FALSE)</f>
        <v>1</v>
      </c>
      <c r="H1317" s="2">
        <v>3</v>
      </c>
      <c r="I1317" s="2">
        <v>1</v>
      </c>
      <c r="K1317" s="2" t="s">
        <v>1915</v>
      </c>
      <c r="L1317" s="2" t="str">
        <f>VLOOKUP(B1317, Course!$A$1:$O$933, 14, FALSE)</f>
        <v>IC</v>
      </c>
      <c r="M1317" s="2">
        <v>0</v>
      </c>
    </row>
    <row r="1318" spans="1:13" ht="15.75" hidden="1" customHeight="1" x14ac:dyDescent="0.2">
      <c r="A1318" s="2">
        <v>1329</v>
      </c>
      <c r="B1318" s="2">
        <v>97</v>
      </c>
      <c r="C1318" s="2">
        <v>12</v>
      </c>
      <c r="D1318" s="2" t="s">
        <v>1926</v>
      </c>
      <c r="E1318" s="2" t="str">
        <f t="shared" si="6"/>
        <v>112ICT03PT</v>
      </c>
      <c r="F1318" s="2" t="s">
        <v>1904</v>
      </c>
      <c r="G1318" s="2">
        <f>VLOOKUP(B1318, Course!$A$2:$L$950, 8, FALSE)</f>
        <v>1</v>
      </c>
      <c r="H1318" s="2">
        <v>3</v>
      </c>
      <c r="I1318" s="2">
        <v>1</v>
      </c>
      <c r="K1318" s="2" t="s">
        <v>1915</v>
      </c>
      <c r="L1318" s="2" t="str">
        <f>VLOOKUP(B1318, Course!$A$1:$O$933, 14, FALSE)</f>
        <v>IC</v>
      </c>
      <c r="M1318" s="2">
        <v>1</v>
      </c>
    </row>
    <row r="1319" spans="1:13" ht="15.75" hidden="1" customHeight="1" x14ac:dyDescent="0.2">
      <c r="A1319" s="2">
        <v>1330</v>
      </c>
      <c r="B1319" s="2">
        <v>97</v>
      </c>
      <c r="C1319" s="2">
        <v>13</v>
      </c>
      <c r="D1319" s="2" t="s">
        <v>1926</v>
      </c>
      <c r="E1319" s="2" t="str">
        <f t="shared" si="6"/>
        <v>113ICT03PT</v>
      </c>
      <c r="F1319" s="2" t="s">
        <v>1904</v>
      </c>
      <c r="G1319" s="2">
        <f>VLOOKUP(B1319, Course!$A$2:$L$950, 8, FALSE)</f>
        <v>1</v>
      </c>
      <c r="H1319" s="2">
        <v>3</v>
      </c>
      <c r="I1319" s="2">
        <v>1</v>
      </c>
      <c r="K1319" s="2" t="s">
        <v>1915</v>
      </c>
      <c r="L1319" s="2" t="str">
        <f>VLOOKUP(B1319, Course!$A$1:$O$933, 14, FALSE)</f>
        <v>IC</v>
      </c>
      <c r="M1319" s="2">
        <v>0</v>
      </c>
    </row>
    <row r="1320" spans="1:13" ht="15.75" hidden="1" customHeight="1" x14ac:dyDescent="0.2">
      <c r="A1320" s="2">
        <v>1331</v>
      </c>
      <c r="B1320" s="2">
        <v>97</v>
      </c>
      <c r="C1320" s="2">
        <v>14</v>
      </c>
      <c r="D1320" s="2" t="s">
        <v>1926</v>
      </c>
      <c r="E1320" s="2" t="str">
        <f t="shared" si="6"/>
        <v>114ICT03PT</v>
      </c>
      <c r="F1320" s="2" t="s">
        <v>1904</v>
      </c>
      <c r="G1320" s="2">
        <f>VLOOKUP(B1320, Course!$A$2:$L$950, 8, FALSE)</f>
        <v>1</v>
      </c>
      <c r="H1320" s="2">
        <v>3</v>
      </c>
      <c r="I1320" s="2">
        <v>1</v>
      </c>
      <c r="K1320" s="2" t="s">
        <v>1915</v>
      </c>
      <c r="L1320" s="2" t="str">
        <f>VLOOKUP(B1320, Course!$A$1:$O$933, 14, FALSE)</f>
        <v>IC</v>
      </c>
      <c r="M1320" s="2">
        <v>0</v>
      </c>
    </row>
    <row r="1321" spans="1:13" ht="15.75" hidden="1" customHeight="1" x14ac:dyDescent="0.2">
      <c r="A1321" s="2">
        <v>1332</v>
      </c>
      <c r="B1321" s="2">
        <v>97</v>
      </c>
      <c r="C1321" s="2">
        <v>15</v>
      </c>
      <c r="D1321" s="2" t="s">
        <v>1926</v>
      </c>
      <c r="E1321" s="2" t="str">
        <f t="shared" si="6"/>
        <v>115ICT03PT</v>
      </c>
      <c r="F1321" s="2" t="s">
        <v>1904</v>
      </c>
      <c r="G1321" s="2">
        <f>VLOOKUP(B1321, Course!$A$2:$L$950, 8, FALSE)</f>
        <v>1</v>
      </c>
      <c r="H1321" s="2">
        <v>3</v>
      </c>
      <c r="I1321" s="2">
        <v>1</v>
      </c>
      <c r="K1321" s="2" t="s">
        <v>1915</v>
      </c>
      <c r="L1321" s="2" t="str">
        <f>VLOOKUP(B1321, Course!$A$1:$O$933, 14, FALSE)</f>
        <v>IC</v>
      </c>
      <c r="M1321" s="2">
        <v>1</v>
      </c>
    </row>
    <row r="1322" spans="1:13" ht="15.75" hidden="1" customHeight="1" x14ac:dyDescent="0.2">
      <c r="A1322" s="2">
        <v>1333</v>
      </c>
      <c r="B1322" s="2">
        <v>97</v>
      </c>
      <c r="C1322" s="2">
        <v>16</v>
      </c>
      <c r="D1322" s="2" t="s">
        <v>1926</v>
      </c>
      <c r="E1322" s="2" t="str">
        <f t="shared" si="6"/>
        <v>116ICT03PT</v>
      </c>
      <c r="F1322" s="2" t="s">
        <v>1904</v>
      </c>
      <c r="G1322" s="2">
        <f>VLOOKUP(B1322, Course!$A$2:$L$950, 8, FALSE)</f>
        <v>1</v>
      </c>
      <c r="H1322" s="2">
        <v>3</v>
      </c>
      <c r="I1322" s="2">
        <v>1</v>
      </c>
      <c r="K1322" s="2" t="s">
        <v>1915</v>
      </c>
      <c r="L1322" s="2" t="str">
        <f>VLOOKUP(B1322, Course!$A$1:$O$933, 14, FALSE)</f>
        <v>IC</v>
      </c>
      <c r="M1322" s="2">
        <v>0</v>
      </c>
    </row>
    <row r="1323" spans="1:13" ht="15.75" hidden="1" customHeight="1" x14ac:dyDescent="0.2">
      <c r="A1323" s="2">
        <v>1334</v>
      </c>
      <c r="B1323" s="2">
        <v>97</v>
      </c>
      <c r="C1323" s="2">
        <v>17</v>
      </c>
      <c r="D1323" s="2" t="s">
        <v>1926</v>
      </c>
      <c r="E1323" s="2" t="str">
        <f t="shared" si="6"/>
        <v>117ICT03PT</v>
      </c>
      <c r="F1323" s="2" t="s">
        <v>1904</v>
      </c>
      <c r="G1323" s="2">
        <f>VLOOKUP(B1323, Course!$A$2:$L$950, 8, FALSE)</f>
        <v>1</v>
      </c>
      <c r="H1323" s="2">
        <v>3</v>
      </c>
      <c r="I1323" s="2">
        <v>1</v>
      </c>
      <c r="K1323" s="2" t="s">
        <v>1915</v>
      </c>
      <c r="L1323" s="2" t="str">
        <f>VLOOKUP(B1323, Course!$A$1:$O$933, 14, FALSE)</f>
        <v>IC</v>
      </c>
      <c r="M1323" s="2">
        <v>1</v>
      </c>
    </row>
    <row r="1324" spans="1:13" ht="15.75" hidden="1" customHeight="1" x14ac:dyDescent="0.2">
      <c r="A1324" s="2">
        <v>1335</v>
      </c>
      <c r="B1324" s="2">
        <v>97</v>
      </c>
      <c r="C1324" s="2">
        <v>18</v>
      </c>
      <c r="D1324" s="2" t="s">
        <v>1926</v>
      </c>
      <c r="E1324" s="2" t="str">
        <f t="shared" si="6"/>
        <v>118ICT03PT</v>
      </c>
      <c r="F1324" s="2" t="s">
        <v>1904</v>
      </c>
      <c r="G1324" s="2">
        <f>VLOOKUP(B1324, Course!$A$2:$L$950, 8, FALSE)</f>
        <v>1</v>
      </c>
      <c r="H1324" s="2">
        <v>3</v>
      </c>
      <c r="I1324" s="2">
        <v>1</v>
      </c>
      <c r="K1324" s="2" t="s">
        <v>1915</v>
      </c>
      <c r="L1324" s="2" t="str">
        <f>VLOOKUP(B1324, Course!$A$1:$O$933, 14, FALSE)</f>
        <v>IC</v>
      </c>
      <c r="M1324" s="2">
        <v>0</v>
      </c>
    </row>
    <row r="1325" spans="1:13" ht="15.75" hidden="1" customHeight="1" x14ac:dyDescent="0.2">
      <c r="A1325" s="2">
        <v>1336</v>
      </c>
      <c r="B1325" s="2">
        <v>97</v>
      </c>
      <c r="C1325" s="2">
        <v>19</v>
      </c>
      <c r="D1325" s="2" t="s">
        <v>1926</v>
      </c>
      <c r="E1325" s="2" t="str">
        <f t="shared" si="6"/>
        <v>119ICT03PT</v>
      </c>
      <c r="F1325" s="2" t="s">
        <v>1904</v>
      </c>
      <c r="G1325" s="2">
        <f>VLOOKUP(B1325, Course!$A$2:$L$950, 8, FALSE)</f>
        <v>1</v>
      </c>
      <c r="H1325" s="2">
        <v>3</v>
      </c>
      <c r="I1325" s="2">
        <v>1</v>
      </c>
      <c r="K1325" s="2" t="s">
        <v>1915</v>
      </c>
      <c r="L1325" s="2" t="str">
        <f>VLOOKUP(B1325, Course!$A$1:$O$933, 14, FALSE)</f>
        <v>IC</v>
      </c>
      <c r="M1325" s="2">
        <v>1</v>
      </c>
    </row>
    <row r="1326" spans="1:13" ht="15.75" hidden="1" customHeight="1" x14ac:dyDescent="0.2">
      <c r="A1326" s="2">
        <v>1337</v>
      </c>
      <c r="B1326" s="2">
        <v>97</v>
      </c>
      <c r="C1326" s="2">
        <v>20</v>
      </c>
      <c r="D1326" s="2" t="s">
        <v>1926</v>
      </c>
      <c r="E1326" s="2" t="str">
        <f t="shared" si="6"/>
        <v>120ICT03PT</v>
      </c>
      <c r="F1326" s="2" t="s">
        <v>1904</v>
      </c>
      <c r="G1326" s="2">
        <f>VLOOKUP(B1326, Course!$A$2:$L$950, 8, FALSE)</f>
        <v>1</v>
      </c>
      <c r="H1326" s="2">
        <v>3</v>
      </c>
      <c r="I1326" s="2">
        <v>1</v>
      </c>
      <c r="K1326" s="2" t="s">
        <v>1915</v>
      </c>
      <c r="L1326" s="2" t="str">
        <f>VLOOKUP(B1326, Course!$A$1:$O$933, 14, FALSE)</f>
        <v>IC</v>
      </c>
      <c r="M1326" s="2">
        <v>0</v>
      </c>
    </row>
    <row r="1327" spans="1:13" ht="15.75" hidden="1" customHeight="1" x14ac:dyDescent="0.2">
      <c r="A1327" s="2">
        <v>1338</v>
      </c>
      <c r="B1327" s="2">
        <v>97</v>
      </c>
      <c r="C1327" s="2">
        <v>21</v>
      </c>
      <c r="D1327" s="2" t="s">
        <v>1926</v>
      </c>
      <c r="E1327" s="2" t="str">
        <f t="shared" si="6"/>
        <v>121ICT03PT</v>
      </c>
      <c r="F1327" s="2" t="s">
        <v>1904</v>
      </c>
      <c r="G1327" s="2">
        <f>VLOOKUP(B1327, Course!$A$2:$L$950, 8, FALSE)</f>
        <v>1</v>
      </c>
      <c r="H1327" s="2">
        <v>3</v>
      </c>
      <c r="I1327" s="2">
        <v>1</v>
      </c>
      <c r="K1327" s="2" t="s">
        <v>1915</v>
      </c>
      <c r="L1327" s="2" t="str">
        <f>VLOOKUP(B1327, Course!$A$1:$O$933, 14, FALSE)</f>
        <v>IC</v>
      </c>
      <c r="M1327" s="2">
        <v>1</v>
      </c>
    </row>
    <row r="1328" spans="1:13" ht="15.75" hidden="1" customHeight="1" x14ac:dyDescent="0.2">
      <c r="A1328" s="2">
        <v>1339</v>
      </c>
      <c r="B1328" s="2">
        <v>97</v>
      </c>
      <c r="C1328" s="2">
        <v>22</v>
      </c>
      <c r="D1328" s="2" t="s">
        <v>1926</v>
      </c>
      <c r="E1328" s="2" t="str">
        <f t="shared" si="6"/>
        <v>122ICT03PT</v>
      </c>
      <c r="F1328" s="2" t="s">
        <v>1904</v>
      </c>
      <c r="G1328" s="2">
        <f>VLOOKUP(B1328, Course!$A$2:$L$950, 8, FALSE)</f>
        <v>1</v>
      </c>
      <c r="H1328" s="2">
        <v>3</v>
      </c>
      <c r="I1328" s="2">
        <v>1</v>
      </c>
      <c r="K1328" s="2" t="s">
        <v>1915</v>
      </c>
      <c r="L1328" s="2" t="str">
        <f>VLOOKUP(B1328, Course!$A$1:$O$933, 14, FALSE)</f>
        <v>IC</v>
      </c>
      <c r="M1328" s="2">
        <v>0</v>
      </c>
    </row>
    <row r="1329" spans="1:14" ht="15.75" hidden="1" customHeight="1" x14ac:dyDescent="0.2">
      <c r="A1329" s="2">
        <v>1340</v>
      </c>
      <c r="B1329" s="2">
        <v>97</v>
      </c>
      <c r="C1329" s="2">
        <v>23</v>
      </c>
      <c r="D1329" s="2" t="s">
        <v>1926</v>
      </c>
      <c r="E1329" s="2" t="str">
        <f t="shared" si="6"/>
        <v>123ICT03PT</v>
      </c>
      <c r="F1329" s="2" t="s">
        <v>1904</v>
      </c>
      <c r="G1329" s="2">
        <f>VLOOKUP(B1329, Course!$A$2:$L$950, 8, FALSE)</f>
        <v>1</v>
      </c>
      <c r="H1329" s="2">
        <v>3</v>
      </c>
      <c r="I1329" s="2">
        <v>1</v>
      </c>
      <c r="K1329" s="2" t="s">
        <v>1915</v>
      </c>
      <c r="L1329" s="2" t="str">
        <f>VLOOKUP(B1329, Course!$A$1:$O$933, 14, FALSE)</f>
        <v>IC</v>
      </c>
      <c r="M1329" s="2">
        <v>1</v>
      </c>
    </row>
    <row r="1330" spans="1:14" ht="15.75" hidden="1" customHeight="1" x14ac:dyDescent="0.2">
      <c r="A1330" s="2">
        <v>1341</v>
      </c>
      <c r="B1330" s="2">
        <v>97</v>
      </c>
      <c r="C1330" s="2">
        <v>24</v>
      </c>
      <c r="D1330" s="2" t="s">
        <v>1926</v>
      </c>
      <c r="E1330" s="2" t="str">
        <f t="shared" si="6"/>
        <v>124ICT03PT</v>
      </c>
      <c r="F1330" s="2" t="s">
        <v>1904</v>
      </c>
      <c r="G1330" s="2">
        <f>VLOOKUP(B1330, Course!$A$2:$L$950, 8, FALSE)</f>
        <v>1</v>
      </c>
      <c r="H1330" s="2">
        <v>3</v>
      </c>
      <c r="I1330" s="2">
        <v>1</v>
      </c>
      <c r="K1330" s="2" t="s">
        <v>1915</v>
      </c>
      <c r="L1330" s="2" t="str">
        <f>VLOOKUP(B1330, Course!$A$1:$O$933, 14, FALSE)</f>
        <v>IC</v>
      </c>
      <c r="M1330" s="2">
        <v>0</v>
      </c>
    </row>
    <row r="1331" spans="1:14" ht="15.75" hidden="1" customHeight="1" x14ac:dyDescent="0.2">
      <c r="A1331" s="2">
        <v>1342</v>
      </c>
      <c r="B1331" s="2">
        <v>97</v>
      </c>
      <c r="C1331" s="2">
        <v>25</v>
      </c>
      <c r="D1331" s="2" t="s">
        <v>1926</v>
      </c>
      <c r="E1331" s="2" t="str">
        <f t="shared" si="6"/>
        <v>125ICT03PT</v>
      </c>
      <c r="F1331" s="2" t="s">
        <v>1904</v>
      </c>
      <c r="G1331" s="2">
        <f>VLOOKUP(B1331, Course!$A$2:$L$950, 8, FALSE)</f>
        <v>1</v>
      </c>
      <c r="H1331" s="2">
        <v>3</v>
      </c>
      <c r="I1331" s="2">
        <v>1</v>
      </c>
      <c r="K1331" s="2" t="s">
        <v>1915</v>
      </c>
      <c r="L1331" s="2" t="str">
        <f>VLOOKUP(B1331, Course!$A$1:$O$933, 14, FALSE)</f>
        <v>IC</v>
      </c>
      <c r="M1331" s="2">
        <v>1</v>
      </c>
    </row>
    <row r="1332" spans="1:14" ht="15.75" customHeight="1" x14ac:dyDescent="0.2">
      <c r="A1332" s="2">
        <v>1343</v>
      </c>
      <c r="B1332" s="2">
        <v>152</v>
      </c>
      <c r="C1332" s="2">
        <v>9</v>
      </c>
      <c r="D1332" s="2" t="s">
        <v>1916</v>
      </c>
      <c r="E1332" s="2" t="str">
        <f t="shared" si="6"/>
        <v>409APv203PT</v>
      </c>
      <c r="F1332" s="2" t="s">
        <v>1920</v>
      </c>
      <c r="G1332" s="2">
        <f>VLOOKUP(B1332, Course!$A$2:$L$950, 8, FALSE)</f>
        <v>4</v>
      </c>
      <c r="H1332" s="2">
        <v>3</v>
      </c>
      <c r="I1332" s="2">
        <v>1</v>
      </c>
      <c r="J1332" s="2">
        <v>2022</v>
      </c>
      <c r="K1332" s="2" t="s">
        <v>1915</v>
      </c>
      <c r="L1332" s="2" t="str">
        <f>VLOOKUP(B1332, Course!$A$1:$O$933, 14, FALSE)</f>
        <v>AP</v>
      </c>
      <c r="M1332" s="2">
        <v>1</v>
      </c>
    </row>
    <row r="1333" spans="1:14" ht="15.75" customHeight="1" x14ac:dyDescent="0.2">
      <c r="A1333" s="2">
        <v>1344</v>
      </c>
      <c r="B1333" s="2">
        <v>152</v>
      </c>
      <c r="C1333" s="2">
        <v>10</v>
      </c>
      <c r="D1333" s="2" t="s">
        <v>1916</v>
      </c>
      <c r="E1333" s="2" t="str">
        <f t="shared" si="6"/>
        <v>410APv203PT</v>
      </c>
      <c r="F1333" s="2" t="s">
        <v>1920</v>
      </c>
      <c r="G1333" s="2">
        <f>VLOOKUP(B1333, Course!$A$2:$L$950, 8, FALSE)</f>
        <v>4</v>
      </c>
      <c r="H1333" s="2">
        <v>3</v>
      </c>
      <c r="I1333" s="2">
        <v>1</v>
      </c>
      <c r="J1333" s="2">
        <v>2022</v>
      </c>
      <c r="K1333" s="2" t="s">
        <v>1915</v>
      </c>
      <c r="L1333" s="2" t="str">
        <f>VLOOKUP(B1333, Course!$A$1:$O$933, 14, FALSE)</f>
        <v>AP</v>
      </c>
      <c r="M1333" s="2">
        <v>2</v>
      </c>
    </row>
    <row r="1334" spans="1:14" ht="15.75" hidden="1" customHeight="1" x14ac:dyDescent="0.2">
      <c r="A1334" s="2">
        <v>1345</v>
      </c>
      <c r="B1334" s="2">
        <v>81</v>
      </c>
      <c r="C1334" s="2" t="s">
        <v>1927</v>
      </c>
      <c r="D1334" s="2" t="s">
        <v>1916</v>
      </c>
      <c r="E1334" s="2" t="str">
        <f t="shared" si="6"/>
        <v>21EAPv203PT</v>
      </c>
      <c r="F1334" s="2">
        <f>VLOOKUP(B1334,Course!$A$2:$R$329,2,FALSE)</f>
        <v>0</v>
      </c>
      <c r="G1334" s="2">
        <f>VLOOKUP(B1334, Course!$A$2:$L$950, 8, FALSE)</f>
        <v>2</v>
      </c>
      <c r="H1334" s="2">
        <v>3</v>
      </c>
      <c r="I1334" s="2">
        <v>1</v>
      </c>
      <c r="J1334" s="2">
        <v>2022</v>
      </c>
      <c r="K1334" s="2" t="s">
        <v>1915</v>
      </c>
      <c r="L1334" s="2" t="str">
        <f>VLOOKUP(B1334, Course!$A$1:$O$933, 14, FALSE)</f>
        <v>AP</v>
      </c>
      <c r="M1334" s="2">
        <v>2</v>
      </c>
      <c r="N1334" s="2" t="s">
        <v>1928</v>
      </c>
    </row>
    <row r="1335" spans="1:14" ht="15.75" hidden="1" customHeight="1" x14ac:dyDescent="0.2">
      <c r="A1335" s="2">
        <v>1346</v>
      </c>
      <c r="B1335" s="2">
        <v>81</v>
      </c>
      <c r="C1335" s="2" t="s">
        <v>1929</v>
      </c>
      <c r="D1335" s="2" t="s">
        <v>585</v>
      </c>
      <c r="E1335" s="2" t="str">
        <f t="shared" si="6"/>
        <v>77EAP00Essay</v>
      </c>
      <c r="F1335" s="2" t="s">
        <v>1919</v>
      </c>
      <c r="G1335" s="2">
        <v>7</v>
      </c>
      <c r="H1335" s="2">
        <v>0</v>
      </c>
      <c r="I1335" s="2">
        <v>1</v>
      </c>
      <c r="J1335" s="2">
        <v>2019</v>
      </c>
      <c r="K1335" s="2" t="s">
        <v>2051</v>
      </c>
      <c r="L1335" s="2" t="str">
        <f>VLOOKUP(B1335, Course!$A$1:$O$933, 14, FALSE)</f>
        <v>AP</v>
      </c>
      <c r="M1335" s="2">
        <v>2</v>
      </c>
      <c r="N1335" s="2" t="s">
        <v>1928</v>
      </c>
    </row>
    <row r="1336" spans="1:14" ht="15.75" hidden="1" customHeight="1" x14ac:dyDescent="0.2">
      <c r="A1336" s="2">
        <v>1347</v>
      </c>
      <c r="B1336" s="2">
        <v>151</v>
      </c>
      <c r="C1336" s="2">
        <v>1</v>
      </c>
      <c r="D1336" s="2" t="s">
        <v>585</v>
      </c>
      <c r="E1336" s="2" t="str">
        <f t="shared" si="6"/>
        <v>701AP00PT</v>
      </c>
      <c r="F1336" s="2" t="s">
        <v>1919</v>
      </c>
      <c r="G1336" s="2">
        <v>7</v>
      </c>
      <c r="H1336" s="2">
        <v>0</v>
      </c>
      <c r="I1336" s="2">
        <v>1</v>
      </c>
      <c r="J1336" s="2">
        <v>2019</v>
      </c>
      <c r="K1336" s="2" t="s">
        <v>1915</v>
      </c>
      <c r="L1336" s="2" t="str">
        <f>VLOOKUP(B1336, Course!$A$1:$O$933, 14, FALSE)</f>
        <v>AP</v>
      </c>
      <c r="M1336" s="2">
        <v>2</v>
      </c>
      <c r="N1336" s="9" t="s">
        <v>1930</v>
      </c>
    </row>
    <row r="1337" spans="1:14" ht="15.75" hidden="1" customHeight="1" x14ac:dyDescent="0.2">
      <c r="A1337" s="2">
        <v>1348</v>
      </c>
      <c r="B1337" s="2">
        <v>151</v>
      </c>
      <c r="C1337" s="2">
        <v>2</v>
      </c>
      <c r="D1337" s="2" t="s">
        <v>585</v>
      </c>
      <c r="E1337" s="2" t="str">
        <f t="shared" si="6"/>
        <v>702AP00PT</v>
      </c>
      <c r="F1337" s="2" t="s">
        <v>1919</v>
      </c>
      <c r="G1337" s="2">
        <v>7</v>
      </c>
      <c r="H1337" s="2">
        <v>0</v>
      </c>
      <c r="I1337" s="2">
        <v>1</v>
      </c>
      <c r="J1337" s="2">
        <v>2019</v>
      </c>
      <c r="K1337" s="2" t="s">
        <v>1915</v>
      </c>
      <c r="L1337" s="2" t="str">
        <f>VLOOKUP(B1337, Course!$A$1:$O$933, 14, FALSE)</f>
        <v>AP</v>
      </c>
      <c r="M1337" s="2">
        <v>2</v>
      </c>
      <c r="N1337" s="2" t="s">
        <v>1928</v>
      </c>
    </row>
    <row r="1338" spans="1:14" ht="15.75" hidden="1" customHeight="1" x14ac:dyDescent="0.2">
      <c r="A1338" s="2">
        <v>1349</v>
      </c>
      <c r="B1338" s="2">
        <v>146</v>
      </c>
      <c r="C1338" s="2">
        <v>108</v>
      </c>
      <c r="D1338" s="2" t="s">
        <v>375</v>
      </c>
      <c r="E1338" s="2" t="str">
        <f t="shared" si="6"/>
        <v>1108LI0PT</v>
      </c>
      <c r="F1338" s="2">
        <f>VLOOKUP(B1338,Course!$A$2:$R$329,2,FALSE)</f>
        <v>0</v>
      </c>
      <c r="G1338" s="2">
        <f>VLOOKUP(B1338, Course!$A$2:$L$950, 8, FALSE)</f>
        <v>11</v>
      </c>
      <c r="K1338" s="2" t="s">
        <v>1915</v>
      </c>
      <c r="L1338" s="2" t="str">
        <f>VLOOKUP(B1338, Course!$A$1:$O$933, 14, FALSE)</f>
        <v>LC</v>
      </c>
      <c r="M1338" s="2">
        <v>1</v>
      </c>
      <c r="N1338" s="2" t="s">
        <v>1905</v>
      </c>
    </row>
    <row r="1339" spans="1:14" ht="15.75" hidden="1" customHeight="1" x14ac:dyDescent="0.2">
      <c r="A1339" s="2">
        <v>1350</v>
      </c>
      <c r="B1339" s="2">
        <v>146</v>
      </c>
      <c r="C1339" s="2">
        <v>108</v>
      </c>
      <c r="D1339" s="2" t="s">
        <v>375</v>
      </c>
      <c r="E1339" s="2" t="str">
        <f t="shared" si="6"/>
        <v>1108LI0PT</v>
      </c>
      <c r="F1339" s="2">
        <f>VLOOKUP(B1339,Course!$A$2:$R$329,2,FALSE)</f>
        <v>0</v>
      </c>
      <c r="G1339" s="2">
        <f>VLOOKUP(B1339, Course!$A$2:$L$950, 8, FALSE)</f>
        <v>11</v>
      </c>
      <c r="K1339" s="2" t="s">
        <v>1915</v>
      </c>
      <c r="L1339" s="2" t="str">
        <f>VLOOKUP(B1339, Course!$A$1:$O$933, 14, FALSE)</f>
        <v>LC</v>
      </c>
      <c r="M1339" s="2">
        <v>1</v>
      </c>
      <c r="N1339" s="2" t="s">
        <v>1906</v>
      </c>
    </row>
    <row r="1340" spans="1:14" ht="15.75" hidden="1" customHeight="1" x14ac:dyDescent="0.2">
      <c r="A1340" s="2">
        <v>1351</v>
      </c>
      <c r="B1340" s="2">
        <v>146</v>
      </c>
      <c r="C1340" s="2">
        <v>108</v>
      </c>
      <c r="D1340" s="2" t="s">
        <v>375</v>
      </c>
      <c r="E1340" s="2" t="str">
        <f t="shared" si="6"/>
        <v>1108LI0PT</v>
      </c>
      <c r="F1340" s="2">
        <f>VLOOKUP(B1340,Course!$A$2:$R$329,2,FALSE)</f>
        <v>0</v>
      </c>
      <c r="G1340" s="2">
        <f>VLOOKUP(B1340, Course!$A$2:$L$950, 8, FALSE)</f>
        <v>11</v>
      </c>
      <c r="K1340" s="2" t="s">
        <v>1915</v>
      </c>
      <c r="L1340" s="2" t="str">
        <f>VLOOKUP(B1340, Course!$A$1:$O$933, 14, FALSE)</f>
        <v>LC</v>
      </c>
      <c r="M1340" s="2">
        <v>1</v>
      </c>
      <c r="N1340" s="2" t="s">
        <v>1907</v>
      </c>
    </row>
    <row r="1341" spans="1:14" ht="15.75" hidden="1" customHeight="1" x14ac:dyDescent="0.2">
      <c r="A1341" s="2">
        <v>1352</v>
      </c>
      <c r="B1341" s="2">
        <v>150</v>
      </c>
      <c r="C1341" s="2">
        <v>1</v>
      </c>
      <c r="D1341" s="2" t="s">
        <v>710</v>
      </c>
      <c r="E1341" s="2" t="str">
        <f t="shared" si="6"/>
        <v>601EG0PT</v>
      </c>
      <c r="F1341" s="2" t="str">
        <f>VLOOKUP(B1341,Course!$A$2:$R$329,2,FALSE)</f>
        <v>English Grammar</v>
      </c>
      <c r="G1341" s="2">
        <f>VLOOKUP(B1341, Course!$A$2:$L$950, 8, FALSE)</f>
        <v>6</v>
      </c>
      <c r="K1341" s="2" t="s">
        <v>1915</v>
      </c>
      <c r="L1341" s="2" t="str">
        <f>VLOOKUP(B1341, Course!$A$1:$O$933, 14, FALSE)</f>
        <v>EG</v>
      </c>
      <c r="M1341" s="2">
        <v>1</v>
      </c>
    </row>
    <row r="1342" spans="1:14" ht="15.75" hidden="1" customHeight="1" x14ac:dyDescent="0.2">
      <c r="A1342" s="2">
        <v>1353</v>
      </c>
      <c r="B1342" s="2">
        <v>150</v>
      </c>
      <c r="C1342" s="2">
        <v>2</v>
      </c>
      <c r="D1342" s="2" t="s">
        <v>710</v>
      </c>
      <c r="E1342" s="2" t="str">
        <f t="shared" si="6"/>
        <v>602EG0PT</v>
      </c>
      <c r="F1342" s="2" t="str">
        <f>VLOOKUP(B1342,Course!$A$2:$R$329,2,FALSE)</f>
        <v>English Grammar</v>
      </c>
      <c r="G1342" s="2">
        <f>VLOOKUP(B1342, Course!$A$2:$L$950, 8, FALSE)</f>
        <v>6</v>
      </c>
      <c r="K1342" s="2" t="s">
        <v>1915</v>
      </c>
      <c r="L1342" s="2" t="str">
        <f>VLOOKUP(B1342, Course!$A$1:$O$933, 14, FALSE)</f>
        <v>EG</v>
      </c>
      <c r="M1342" s="2">
        <v>1</v>
      </c>
    </row>
    <row r="1343" spans="1:14" ht="15.75" hidden="1" customHeight="1" x14ac:dyDescent="0.2">
      <c r="A1343" s="2">
        <v>1354</v>
      </c>
      <c r="B1343" s="2">
        <v>150</v>
      </c>
      <c r="C1343" s="2">
        <v>3</v>
      </c>
      <c r="D1343" s="2" t="s">
        <v>710</v>
      </c>
      <c r="E1343" s="2" t="str">
        <f t="shared" si="6"/>
        <v>603EG0PT</v>
      </c>
      <c r="F1343" s="2" t="str">
        <f>VLOOKUP(B1343,Course!$A$2:$R$329,2,FALSE)</f>
        <v>English Grammar</v>
      </c>
      <c r="G1343" s="2">
        <f>VLOOKUP(B1343, Course!$A$2:$L$950, 8, FALSE)</f>
        <v>6</v>
      </c>
      <c r="K1343" s="2" t="s">
        <v>1915</v>
      </c>
      <c r="L1343" s="2" t="str">
        <f>VLOOKUP(B1343, Course!$A$1:$O$933, 14, FALSE)</f>
        <v>EG</v>
      </c>
      <c r="M1343" s="2">
        <v>1</v>
      </c>
    </row>
    <row r="1344" spans="1:14" ht="15.75" hidden="1" customHeight="1" x14ac:dyDescent="0.2">
      <c r="A1344" s="2">
        <v>1355</v>
      </c>
      <c r="B1344" s="2">
        <v>150</v>
      </c>
      <c r="C1344" s="2">
        <v>4</v>
      </c>
      <c r="D1344" s="2" t="s">
        <v>710</v>
      </c>
      <c r="E1344" s="2" t="str">
        <f t="shared" si="6"/>
        <v>604EG0PT</v>
      </c>
      <c r="F1344" s="2" t="str">
        <f>VLOOKUP(B1344,Course!$A$2:$R$329,2,FALSE)</f>
        <v>English Grammar</v>
      </c>
      <c r="G1344" s="2">
        <f>VLOOKUP(B1344, Course!$A$2:$L$950, 8, FALSE)</f>
        <v>6</v>
      </c>
      <c r="K1344" s="2" t="s">
        <v>1915</v>
      </c>
      <c r="L1344" s="2" t="str">
        <f>VLOOKUP(B1344, Course!$A$1:$O$933, 14, FALSE)</f>
        <v>EG</v>
      </c>
      <c r="M1344" s="2">
        <v>1</v>
      </c>
    </row>
    <row r="1345" spans="1:13" ht="15.75" hidden="1" customHeight="1" x14ac:dyDescent="0.2">
      <c r="A1345" s="2">
        <v>1356</v>
      </c>
      <c r="B1345" s="2">
        <v>150</v>
      </c>
      <c r="C1345" s="2">
        <v>5</v>
      </c>
      <c r="D1345" s="2" t="s">
        <v>710</v>
      </c>
      <c r="E1345" s="2" t="str">
        <f t="shared" si="6"/>
        <v>605EG0PT</v>
      </c>
      <c r="F1345" s="2" t="str">
        <f>VLOOKUP(B1345,Course!$A$2:$R$329,2,FALSE)</f>
        <v>English Grammar</v>
      </c>
      <c r="G1345" s="2">
        <f>VLOOKUP(B1345, Course!$A$2:$L$950, 8, FALSE)</f>
        <v>6</v>
      </c>
      <c r="K1345" s="2" t="s">
        <v>1915</v>
      </c>
      <c r="L1345" s="2" t="str">
        <f>VLOOKUP(B1345, Course!$A$1:$O$933, 14, FALSE)</f>
        <v>EG</v>
      </c>
      <c r="M1345" s="2">
        <v>1</v>
      </c>
    </row>
    <row r="1346" spans="1:13" ht="15.75" hidden="1" customHeight="1" x14ac:dyDescent="0.2">
      <c r="A1346" s="2">
        <v>1357</v>
      </c>
      <c r="B1346" s="2">
        <v>150</v>
      </c>
      <c r="C1346" s="2">
        <v>6</v>
      </c>
      <c r="D1346" s="2" t="s">
        <v>710</v>
      </c>
      <c r="E1346" s="2" t="str">
        <f t="shared" si="6"/>
        <v>606EG0PT</v>
      </c>
      <c r="F1346" s="2" t="str">
        <f>VLOOKUP(B1346,Course!$A$2:$R$329,2,FALSE)</f>
        <v>English Grammar</v>
      </c>
      <c r="G1346" s="2">
        <f>VLOOKUP(B1346, Course!$A$2:$L$950, 8, FALSE)</f>
        <v>6</v>
      </c>
      <c r="K1346" s="2" t="s">
        <v>1915</v>
      </c>
      <c r="L1346" s="2" t="str">
        <f>VLOOKUP(B1346, Course!$A$1:$O$933, 14, FALSE)</f>
        <v>EG</v>
      </c>
      <c r="M1346" s="2">
        <v>1</v>
      </c>
    </row>
    <row r="1347" spans="1:13" ht="15" hidden="1" customHeight="1" x14ac:dyDescent="0.2">
      <c r="A1347" s="2">
        <v>1358</v>
      </c>
      <c r="B1347" s="2">
        <v>166</v>
      </c>
      <c r="C1347" s="2">
        <v>1</v>
      </c>
      <c r="F1347" s="2" t="s">
        <v>6</v>
      </c>
      <c r="G1347">
        <v>12</v>
      </c>
      <c r="H1347">
        <v>4</v>
      </c>
      <c r="I1347">
        <v>1</v>
      </c>
      <c r="K1347" s="2" t="s">
        <v>1915</v>
      </c>
      <c r="L1347" s="2" t="s">
        <v>369</v>
      </c>
      <c r="M1347" s="2">
        <v>1</v>
      </c>
    </row>
    <row r="1348" spans="1:13" ht="15" hidden="1" customHeight="1" x14ac:dyDescent="0.2">
      <c r="A1348" s="2">
        <v>1359</v>
      </c>
      <c r="B1348" s="2">
        <v>166</v>
      </c>
      <c r="C1348" s="2">
        <v>2</v>
      </c>
      <c r="F1348" s="2" t="s">
        <v>6</v>
      </c>
      <c r="G1348">
        <v>12</v>
      </c>
      <c r="H1348">
        <v>4</v>
      </c>
      <c r="I1348">
        <v>1</v>
      </c>
      <c r="K1348" s="2" t="s">
        <v>1915</v>
      </c>
      <c r="L1348" s="2" t="s">
        <v>369</v>
      </c>
      <c r="M1348" s="2">
        <v>1</v>
      </c>
    </row>
    <row r="1349" spans="1:13" ht="15" hidden="1" customHeight="1" x14ac:dyDescent="0.2">
      <c r="A1349" s="2">
        <v>1360</v>
      </c>
      <c r="B1349" s="2">
        <v>166</v>
      </c>
      <c r="C1349" s="2">
        <v>3</v>
      </c>
      <c r="F1349" s="2" t="s">
        <v>6</v>
      </c>
      <c r="G1349">
        <v>12</v>
      </c>
      <c r="H1349">
        <v>4</v>
      </c>
      <c r="I1349">
        <v>1</v>
      </c>
      <c r="J1349">
        <v>2012</v>
      </c>
      <c r="K1349" s="2" t="s">
        <v>1915</v>
      </c>
      <c r="L1349" s="2" t="s">
        <v>369</v>
      </c>
      <c r="M1349" s="2">
        <v>1</v>
      </c>
    </row>
    <row r="1350" spans="1:13" ht="15" hidden="1" customHeight="1" x14ac:dyDescent="0.2">
      <c r="A1350" s="2">
        <v>1361</v>
      </c>
      <c r="B1350" s="2">
        <v>166</v>
      </c>
      <c r="C1350" s="2">
        <v>4</v>
      </c>
      <c r="F1350" s="2" t="s">
        <v>6</v>
      </c>
      <c r="G1350">
        <v>12</v>
      </c>
      <c r="H1350">
        <v>4</v>
      </c>
      <c r="I1350">
        <v>1</v>
      </c>
      <c r="J1350">
        <v>2012</v>
      </c>
      <c r="K1350" s="2" t="s">
        <v>1915</v>
      </c>
      <c r="L1350" s="2" t="s">
        <v>369</v>
      </c>
      <c r="M1350" s="2">
        <v>1</v>
      </c>
    </row>
    <row r="1351" spans="1:13" ht="15" hidden="1" customHeight="1" x14ac:dyDescent="0.2">
      <c r="A1351" s="2">
        <v>1362</v>
      </c>
      <c r="B1351" s="2">
        <v>166</v>
      </c>
      <c r="C1351" s="2">
        <v>5</v>
      </c>
      <c r="F1351" s="2" t="s">
        <v>6</v>
      </c>
      <c r="G1351">
        <v>12</v>
      </c>
      <c r="H1351">
        <v>4</v>
      </c>
      <c r="I1351">
        <v>1</v>
      </c>
      <c r="J1351">
        <v>2012</v>
      </c>
      <c r="K1351" s="2" t="s">
        <v>1915</v>
      </c>
      <c r="L1351" s="2" t="s">
        <v>369</v>
      </c>
      <c r="M1351" s="2">
        <v>1</v>
      </c>
    </row>
    <row r="1352" spans="1:13" ht="15" hidden="1" customHeight="1" x14ac:dyDescent="0.2">
      <c r="A1352" s="2">
        <v>1363</v>
      </c>
      <c r="B1352" s="2">
        <v>166</v>
      </c>
      <c r="C1352" s="2">
        <v>6</v>
      </c>
      <c r="F1352" s="2" t="s">
        <v>6</v>
      </c>
      <c r="G1352">
        <v>12</v>
      </c>
      <c r="H1352">
        <v>4</v>
      </c>
      <c r="I1352">
        <v>1</v>
      </c>
      <c r="J1352">
        <v>2012</v>
      </c>
      <c r="K1352" s="2" t="s">
        <v>1915</v>
      </c>
      <c r="L1352" s="2" t="s">
        <v>369</v>
      </c>
      <c r="M1352" s="2">
        <v>1</v>
      </c>
    </row>
    <row r="1353" spans="1:13" ht="15" hidden="1" customHeight="1" x14ac:dyDescent="0.2">
      <c r="A1353" s="2">
        <v>1364</v>
      </c>
      <c r="B1353" s="2">
        <v>166</v>
      </c>
      <c r="C1353" s="2">
        <v>7</v>
      </c>
      <c r="F1353" s="2" t="s">
        <v>6</v>
      </c>
      <c r="G1353">
        <v>12</v>
      </c>
      <c r="H1353">
        <v>4</v>
      </c>
      <c r="I1353">
        <v>1</v>
      </c>
      <c r="J1353">
        <v>2012</v>
      </c>
      <c r="K1353" s="2" t="s">
        <v>1915</v>
      </c>
      <c r="L1353" s="2" t="s">
        <v>369</v>
      </c>
      <c r="M1353" s="2">
        <v>1</v>
      </c>
    </row>
    <row r="1354" spans="1:13" ht="15" hidden="1" customHeight="1" x14ac:dyDescent="0.2">
      <c r="A1354" s="2">
        <v>1365</v>
      </c>
      <c r="B1354" s="2">
        <v>166</v>
      </c>
      <c r="C1354" s="2">
        <v>8</v>
      </c>
      <c r="F1354" s="2" t="s">
        <v>6</v>
      </c>
      <c r="G1354">
        <v>12</v>
      </c>
      <c r="H1354">
        <v>4</v>
      </c>
      <c r="I1354">
        <v>1</v>
      </c>
      <c r="J1354">
        <v>2012</v>
      </c>
      <c r="K1354" s="2" t="s">
        <v>1915</v>
      </c>
      <c r="L1354" s="2" t="s">
        <v>369</v>
      </c>
      <c r="M1354" s="2">
        <v>1</v>
      </c>
    </row>
    <row r="1355" spans="1:13" ht="15" hidden="1" customHeight="1" x14ac:dyDescent="0.2">
      <c r="A1355" s="2">
        <v>1366</v>
      </c>
      <c r="B1355" s="2">
        <v>166</v>
      </c>
      <c r="C1355" s="2">
        <v>9</v>
      </c>
      <c r="F1355" s="2" t="s">
        <v>6</v>
      </c>
      <c r="G1355">
        <v>12</v>
      </c>
      <c r="H1355">
        <v>4</v>
      </c>
      <c r="I1355">
        <v>1</v>
      </c>
      <c r="J1355">
        <v>2012</v>
      </c>
      <c r="K1355" s="2" t="s">
        <v>1915</v>
      </c>
      <c r="L1355" s="2" t="s">
        <v>369</v>
      </c>
      <c r="M1355" s="2">
        <v>1</v>
      </c>
    </row>
    <row r="1356" spans="1:13" ht="15" hidden="1" customHeight="1" x14ac:dyDescent="0.2">
      <c r="A1356" s="2">
        <v>1367</v>
      </c>
      <c r="B1356" s="2">
        <v>166</v>
      </c>
      <c r="C1356" s="2">
        <v>10</v>
      </c>
      <c r="F1356" s="2" t="s">
        <v>6</v>
      </c>
      <c r="G1356">
        <v>12</v>
      </c>
      <c r="H1356">
        <v>4</v>
      </c>
      <c r="I1356">
        <v>1</v>
      </c>
      <c r="J1356">
        <v>2012</v>
      </c>
      <c r="K1356" s="2" t="s">
        <v>1915</v>
      </c>
      <c r="L1356" s="2" t="s">
        <v>369</v>
      </c>
      <c r="M1356" s="2">
        <v>1</v>
      </c>
    </row>
    <row r="1357" spans="1:13" ht="15" hidden="1" customHeight="1" x14ac:dyDescent="0.2">
      <c r="A1357" s="2">
        <v>1368</v>
      </c>
      <c r="B1357" s="2">
        <v>166</v>
      </c>
      <c r="C1357" s="2">
        <v>11</v>
      </c>
      <c r="F1357" s="2" t="s">
        <v>6</v>
      </c>
      <c r="G1357">
        <v>12</v>
      </c>
      <c r="H1357">
        <v>4</v>
      </c>
      <c r="I1357">
        <v>1</v>
      </c>
      <c r="J1357">
        <v>2012</v>
      </c>
      <c r="K1357" s="2" t="s">
        <v>1915</v>
      </c>
      <c r="L1357" s="2" t="s">
        <v>369</v>
      </c>
      <c r="M1357" s="2">
        <v>1</v>
      </c>
    </row>
    <row r="1358" spans="1:13" ht="15" hidden="1" customHeight="1" x14ac:dyDescent="0.2">
      <c r="A1358" s="2">
        <v>1369</v>
      </c>
      <c r="B1358" s="2">
        <v>166</v>
      </c>
      <c r="C1358" s="2">
        <v>12</v>
      </c>
      <c r="F1358" s="2" t="s">
        <v>6</v>
      </c>
      <c r="G1358">
        <v>12</v>
      </c>
      <c r="H1358">
        <v>4</v>
      </c>
      <c r="I1358">
        <v>1</v>
      </c>
      <c r="J1358">
        <v>2012</v>
      </c>
      <c r="K1358" s="2" t="s">
        <v>1915</v>
      </c>
      <c r="L1358" s="2" t="s">
        <v>369</v>
      </c>
      <c r="M1358" s="2">
        <v>1</v>
      </c>
    </row>
    <row r="1359" spans="1:13" ht="15" hidden="1" customHeight="1" x14ac:dyDescent="0.2">
      <c r="A1359">
        <v>1370</v>
      </c>
      <c r="B1359">
        <v>153</v>
      </c>
      <c r="C1359">
        <v>109</v>
      </c>
      <c r="F1359" t="s">
        <v>2043</v>
      </c>
      <c r="H1359">
        <v>4</v>
      </c>
      <c r="I1359">
        <v>1</v>
      </c>
      <c r="J1359">
        <v>2022</v>
      </c>
      <c r="K1359" t="s">
        <v>2045</v>
      </c>
      <c r="L1359" s="2" t="s">
        <v>379</v>
      </c>
      <c r="M1359" s="2">
        <v>1</v>
      </c>
    </row>
    <row r="1360" spans="1:13" ht="15" hidden="1" customHeight="1" x14ac:dyDescent="0.2">
      <c r="A1360">
        <v>1371</v>
      </c>
      <c r="B1360">
        <v>153</v>
      </c>
      <c r="C1360">
        <v>110</v>
      </c>
      <c r="F1360" t="s">
        <v>2043</v>
      </c>
      <c r="H1360">
        <v>4</v>
      </c>
      <c r="I1360">
        <v>1</v>
      </c>
      <c r="J1360">
        <v>2022</v>
      </c>
      <c r="K1360" t="s">
        <v>2045</v>
      </c>
      <c r="L1360" s="2" t="s">
        <v>379</v>
      </c>
      <c r="M1360" s="2">
        <v>1</v>
      </c>
    </row>
    <row r="1361" spans="1:13" ht="15" hidden="1" customHeight="1" x14ac:dyDescent="0.2">
      <c r="A1361">
        <v>1372</v>
      </c>
      <c r="B1361">
        <v>153</v>
      </c>
      <c r="C1361">
        <v>111</v>
      </c>
      <c r="F1361" t="s">
        <v>2043</v>
      </c>
      <c r="H1361">
        <v>4</v>
      </c>
      <c r="I1361">
        <v>1</v>
      </c>
      <c r="J1361">
        <v>2022</v>
      </c>
      <c r="K1361" t="s">
        <v>2045</v>
      </c>
      <c r="L1361" s="2" t="s">
        <v>379</v>
      </c>
      <c r="M1361" s="2">
        <v>1</v>
      </c>
    </row>
    <row r="1362" spans="1:13" ht="15" hidden="1" customHeight="1" x14ac:dyDescent="0.2">
      <c r="A1362">
        <v>1373</v>
      </c>
      <c r="B1362">
        <v>153</v>
      </c>
      <c r="C1362">
        <v>112</v>
      </c>
      <c r="F1362" t="s">
        <v>2043</v>
      </c>
      <c r="H1362">
        <v>4</v>
      </c>
      <c r="I1362">
        <v>1</v>
      </c>
      <c r="J1362">
        <v>2022</v>
      </c>
      <c r="K1362" t="s">
        <v>2045</v>
      </c>
      <c r="L1362" s="2" t="s">
        <v>379</v>
      </c>
      <c r="M1362" s="2">
        <v>1</v>
      </c>
    </row>
    <row r="1363" spans="1:13" ht="15" hidden="1" customHeight="1" x14ac:dyDescent="0.2">
      <c r="A1363">
        <v>1374</v>
      </c>
      <c r="B1363">
        <v>153</v>
      </c>
      <c r="C1363">
        <v>113</v>
      </c>
      <c r="F1363" t="s">
        <v>2043</v>
      </c>
      <c r="H1363">
        <v>4</v>
      </c>
      <c r="I1363">
        <v>1</v>
      </c>
      <c r="J1363">
        <v>2022</v>
      </c>
      <c r="K1363" t="s">
        <v>2045</v>
      </c>
      <c r="L1363" s="2" t="s">
        <v>379</v>
      </c>
      <c r="M1363" s="2">
        <v>1</v>
      </c>
    </row>
    <row r="1364" spans="1:13" ht="15" hidden="1" customHeight="1" x14ac:dyDescent="0.2">
      <c r="A1364">
        <v>1375</v>
      </c>
      <c r="B1364">
        <v>153</v>
      </c>
      <c r="C1364">
        <v>114</v>
      </c>
      <c r="F1364" t="s">
        <v>2043</v>
      </c>
      <c r="H1364">
        <v>4</v>
      </c>
      <c r="I1364">
        <v>1</v>
      </c>
      <c r="J1364">
        <v>2022</v>
      </c>
      <c r="K1364" t="s">
        <v>2045</v>
      </c>
      <c r="L1364" s="2" t="s">
        <v>379</v>
      </c>
      <c r="M1364" s="2">
        <v>1</v>
      </c>
    </row>
    <row r="1365" spans="1:13" ht="15" hidden="1" customHeight="1" x14ac:dyDescent="0.2">
      <c r="A1365">
        <v>1376</v>
      </c>
      <c r="B1365">
        <v>153</v>
      </c>
      <c r="C1365">
        <v>115</v>
      </c>
      <c r="F1365" t="s">
        <v>2043</v>
      </c>
      <c r="H1365">
        <v>4</v>
      </c>
      <c r="I1365">
        <v>1</v>
      </c>
      <c r="J1365">
        <v>2022</v>
      </c>
      <c r="K1365" t="s">
        <v>2045</v>
      </c>
      <c r="L1365" s="2" t="s">
        <v>379</v>
      </c>
      <c r="M1365" s="2">
        <v>1</v>
      </c>
    </row>
    <row r="1366" spans="1:13" ht="15" hidden="1" customHeight="1" x14ac:dyDescent="0.2">
      <c r="A1366">
        <v>1377</v>
      </c>
      <c r="B1366">
        <v>153</v>
      </c>
      <c r="C1366">
        <v>116</v>
      </c>
      <c r="F1366" t="s">
        <v>2043</v>
      </c>
      <c r="H1366">
        <v>4</v>
      </c>
      <c r="I1366">
        <v>1</v>
      </c>
      <c r="J1366">
        <v>2022</v>
      </c>
      <c r="K1366" t="s">
        <v>2045</v>
      </c>
      <c r="L1366" s="2" t="s">
        <v>379</v>
      </c>
      <c r="M1366" s="2">
        <v>1</v>
      </c>
    </row>
    <row r="1367" spans="1:13" ht="15" hidden="1" customHeight="1" x14ac:dyDescent="0.2">
      <c r="A1367">
        <v>1378</v>
      </c>
      <c r="B1367">
        <v>153</v>
      </c>
      <c r="C1367">
        <v>117</v>
      </c>
      <c r="F1367" t="s">
        <v>2043</v>
      </c>
      <c r="H1367">
        <v>4</v>
      </c>
      <c r="I1367">
        <v>1</v>
      </c>
      <c r="J1367">
        <v>2022</v>
      </c>
      <c r="K1367" t="s">
        <v>2045</v>
      </c>
      <c r="L1367" s="2" t="s">
        <v>379</v>
      </c>
      <c r="M1367" s="2">
        <v>1</v>
      </c>
    </row>
    <row r="1368" spans="1:13" ht="15" hidden="1" customHeight="1" x14ac:dyDescent="0.2">
      <c r="A1368">
        <v>1379</v>
      </c>
      <c r="B1368">
        <v>153</v>
      </c>
      <c r="C1368">
        <v>118</v>
      </c>
      <c r="F1368" t="s">
        <v>2043</v>
      </c>
      <c r="H1368">
        <v>4</v>
      </c>
      <c r="I1368">
        <v>1</v>
      </c>
      <c r="J1368">
        <v>2022</v>
      </c>
      <c r="K1368" t="s">
        <v>2045</v>
      </c>
      <c r="L1368" s="2" t="s">
        <v>379</v>
      </c>
      <c r="M1368" s="2">
        <v>1</v>
      </c>
    </row>
    <row r="1369" spans="1:13" ht="15" hidden="1" customHeight="1" x14ac:dyDescent="0.2">
      <c r="A1369">
        <v>1380</v>
      </c>
      <c r="B1369">
        <v>153</v>
      </c>
      <c r="C1369">
        <v>119</v>
      </c>
      <c r="F1369" t="s">
        <v>2043</v>
      </c>
      <c r="H1369">
        <v>4</v>
      </c>
      <c r="I1369">
        <v>1</v>
      </c>
      <c r="J1369">
        <v>2022</v>
      </c>
      <c r="K1369" t="s">
        <v>2045</v>
      </c>
      <c r="L1369" s="2" t="s">
        <v>379</v>
      </c>
      <c r="M1369" s="2">
        <v>1</v>
      </c>
    </row>
    <row r="1370" spans="1:13" ht="15" hidden="1" customHeight="1" x14ac:dyDescent="0.2">
      <c r="A1370">
        <v>1381</v>
      </c>
      <c r="B1370">
        <v>153</v>
      </c>
      <c r="C1370">
        <v>120</v>
      </c>
      <c r="F1370" t="s">
        <v>2043</v>
      </c>
      <c r="H1370">
        <v>4</v>
      </c>
      <c r="I1370">
        <v>1</v>
      </c>
      <c r="J1370">
        <v>2023</v>
      </c>
      <c r="K1370" t="s">
        <v>2045</v>
      </c>
      <c r="L1370" s="2" t="s">
        <v>379</v>
      </c>
      <c r="M1370" s="2">
        <v>1</v>
      </c>
    </row>
    <row r="1371" spans="1:13" ht="15" hidden="1" customHeight="1" x14ac:dyDescent="0.2">
      <c r="A1371">
        <v>1382</v>
      </c>
      <c r="B1371" s="2">
        <v>152</v>
      </c>
      <c r="C1371" s="2">
        <v>7</v>
      </c>
      <c r="D1371" s="2" t="s">
        <v>585</v>
      </c>
      <c r="E1371" s="2" t="str">
        <f t="shared" ref="E1371:E1374" si="7">UPPER(LEFT(G1371,2)) &amp; RIGHT("0" &amp; C1371, 2) &amp; D1371 &amp; RIGHT("0" &amp; H1371, 2) &amp; K1371</f>
        <v>707AP00PT</v>
      </c>
      <c r="F1371" s="2" t="s">
        <v>1920</v>
      </c>
      <c r="G1371" s="2">
        <v>7</v>
      </c>
      <c r="H1371" s="2">
        <v>0</v>
      </c>
      <c r="I1371" s="2">
        <v>1</v>
      </c>
      <c r="J1371" s="2">
        <v>2019</v>
      </c>
      <c r="K1371" s="2" t="s">
        <v>1915</v>
      </c>
      <c r="L1371" s="2" t="str">
        <f>VLOOKUP(B1371, Course!$A$1:$O$933, 14, FALSE)</f>
        <v>AP</v>
      </c>
      <c r="M1371" s="2" t="s">
        <v>347</v>
      </c>
    </row>
    <row r="1372" spans="1:13" ht="15" hidden="1" customHeight="1" x14ac:dyDescent="0.2">
      <c r="A1372">
        <v>1383</v>
      </c>
      <c r="B1372" s="2">
        <v>152</v>
      </c>
      <c r="C1372" s="2">
        <v>8</v>
      </c>
      <c r="D1372" s="2" t="s">
        <v>585</v>
      </c>
      <c r="E1372" s="2" t="str">
        <f t="shared" si="7"/>
        <v>708AP00PT</v>
      </c>
      <c r="F1372" s="2" t="s">
        <v>1920</v>
      </c>
      <c r="G1372" s="2">
        <v>7</v>
      </c>
      <c r="H1372" s="2">
        <v>0</v>
      </c>
      <c r="I1372" s="2">
        <v>1</v>
      </c>
      <c r="J1372" s="2">
        <v>2019</v>
      </c>
      <c r="K1372" s="2" t="s">
        <v>1915</v>
      </c>
      <c r="L1372" s="2" t="str">
        <f>VLOOKUP(B1372, Course!$A$1:$O$933, 14, FALSE)</f>
        <v>AP</v>
      </c>
      <c r="M1372" s="2" t="s">
        <v>347</v>
      </c>
    </row>
    <row r="1373" spans="1:13" ht="15" hidden="1" customHeight="1" x14ac:dyDescent="0.2">
      <c r="A1373">
        <v>1384</v>
      </c>
      <c r="B1373" s="2">
        <v>152</v>
      </c>
      <c r="C1373" s="2">
        <v>9</v>
      </c>
      <c r="D1373" s="2" t="s">
        <v>585</v>
      </c>
      <c r="E1373" s="2" t="str">
        <f t="shared" si="7"/>
        <v>709AP00PT</v>
      </c>
      <c r="F1373" s="2" t="s">
        <v>1920</v>
      </c>
      <c r="G1373" s="2">
        <v>7</v>
      </c>
      <c r="H1373" s="2">
        <v>0</v>
      </c>
      <c r="I1373" s="2">
        <v>1</v>
      </c>
      <c r="J1373" s="2">
        <v>2019</v>
      </c>
      <c r="K1373" s="2" t="s">
        <v>1915</v>
      </c>
      <c r="L1373" s="2" t="str">
        <f>VLOOKUP(B1373, Course!$A$1:$O$933, 14, FALSE)</f>
        <v>AP</v>
      </c>
      <c r="M1373" s="2" t="s">
        <v>347</v>
      </c>
    </row>
    <row r="1374" spans="1:13" ht="15" hidden="1" customHeight="1" x14ac:dyDescent="0.2">
      <c r="A1374">
        <v>1385</v>
      </c>
      <c r="B1374" s="2">
        <v>152</v>
      </c>
      <c r="C1374" s="2">
        <v>10</v>
      </c>
      <c r="D1374" s="2" t="s">
        <v>585</v>
      </c>
      <c r="E1374" s="2" t="str">
        <f t="shared" si="7"/>
        <v>710AP00PT</v>
      </c>
      <c r="F1374" s="2" t="s">
        <v>1920</v>
      </c>
      <c r="G1374" s="2">
        <v>7</v>
      </c>
      <c r="H1374" s="2">
        <v>0</v>
      </c>
      <c r="I1374" s="2">
        <v>1</v>
      </c>
      <c r="J1374" s="2">
        <v>2019</v>
      </c>
      <c r="K1374" s="2" t="s">
        <v>1915</v>
      </c>
      <c r="L1374" s="2" t="str">
        <f>VLOOKUP(B1374, Course!$A$1:$O$933, 14, FALSE)</f>
        <v>AP</v>
      </c>
      <c r="M1374" s="2" t="s">
        <v>347</v>
      </c>
    </row>
  </sheetData>
  <autoFilter ref="A1:N1374" xr:uid="{00000000-0001-0000-1100-000000000000}">
    <filterColumn colId="1">
      <filters>
        <filter val="92"/>
      </filters>
    </filterColumn>
  </autoFilter>
  <pageMargins left="0.7" right="0.7" top="0.75" bottom="0.75" header="0" footer="0"/>
  <pageSetup paperSize="9" orientation="portrait"/>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1000"/>
  <sheetViews>
    <sheetView workbookViewId="0"/>
  </sheetViews>
  <sheetFormatPr baseColWidth="10" defaultColWidth="14.5" defaultRowHeight="15" customHeight="1" x14ac:dyDescent="0.2"/>
  <cols>
    <col min="1" max="26" width="8.83203125" customWidth="1"/>
  </cols>
  <sheetData>
    <row r="1" spans="1:1" x14ac:dyDescent="0.2">
      <c r="A1" s="2" t="s">
        <v>1931</v>
      </c>
    </row>
    <row r="2" spans="1:1" x14ac:dyDescent="0.2">
      <c r="A2" s="2" t="s">
        <v>1932</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E1000"/>
  <sheetViews>
    <sheetView workbookViewId="0"/>
  </sheetViews>
  <sheetFormatPr baseColWidth="10" defaultColWidth="14.5" defaultRowHeight="15" customHeight="1" x14ac:dyDescent="0.2"/>
  <cols>
    <col min="1" max="1" width="5.33203125" customWidth="1"/>
    <col min="2" max="2" width="13.5" customWidth="1"/>
    <col min="3" max="3" width="22.83203125" customWidth="1"/>
    <col min="4" max="4" width="10.6640625" customWidth="1"/>
    <col min="5" max="5" width="27.5" customWidth="1"/>
    <col min="6" max="26" width="11.5" customWidth="1"/>
  </cols>
  <sheetData>
    <row r="1" spans="1:5" x14ac:dyDescent="0.2">
      <c r="A1" s="1" t="s">
        <v>56</v>
      </c>
      <c r="B1" s="1" t="s">
        <v>408</v>
      </c>
      <c r="C1" s="1" t="s">
        <v>1933</v>
      </c>
      <c r="D1" s="1" t="s">
        <v>740</v>
      </c>
      <c r="E1" s="1" t="s">
        <v>1934</v>
      </c>
    </row>
    <row r="2" spans="1:5" x14ac:dyDescent="0.2">
      <c r="A2" s="2">
        <v>1</v>
      </c>
      <c r="B2" s="2">
        <v>2</v>
      </c>
      <c r="C2" s="2" t="str">
        <f>VLOOKUP(B2,ICCE_Certificate!$A$2:$B$9, 2, FALSE)</f>
        <v>General Level 9</v>
      </c>
      <c r="D2" s="2">
        <v>133</v>
      </c>
      <c r="E2" s="2">
        <f>VLOOKUP(D2,Course!$A$1:$C$147, 2, FALSE)</f>
        <v>0</v>
      </c>
    </row>
    <row r="3" spans="1:5" x14ac:dyDescent="0.2">
      <c r="A3" s="2">
        <v>2</v>
      </c>
      <c r="B3" s="2">
        <v>2</v>
      </c>
      <c r="C3" s="2" t="str">
        <f>VLOOKUP(B3,ICCE_Certificate!$A$2:$B$9, 2, FALSE)</f>
        <v>General Level 9</v>
      </c>
      <c r="D3" s="2">
        <v>134</v>
      </c>
      <c r="E3" s="2">
        <f>VLOOKUP(D3,Course!$A$1:$C$147, 2, FALSE)</f>
        <v>0</v>
      </c>
    </row>
    <row r="4" spans="1:5" x14ac:dyDescent="0.2">
      <c r="A4" s="2">
        <v>3</v>
      </c>
      <c r="B4" s="2">
        <v>3</v>
      </c>
      <c r="C4" s="2" t="str">
        <f>VLOOKUP(B4,ICCE_Certificate!$A$2:$B$9, 2, FALSE)</f>
        <v>Intermediate</v>
      </c>
      <c r="D4" s="2">
        <v>135</v>
      </c>
      <c r="E4" s="2">
        <f>VLOOKUP(D4,Course!$A$1:$C$147, 2, FALSE)</f>
        <v>0</v>
      </c>
    </row>
    <row r="5" spans="1:5" x14ac:dyDescent="0.2">
      <c r="A5" s="2">
        <v>4</v>
      </c>
      <c r="B5" s="2">
        <v>3</v>
      </c>
      <c r="C5" s="2" t="str">
        <f>VLOOKUP(B5,ICCE_Certificate!$A$2:$B$9, 2, FALSE)</f>
        <v>Intermediate</v>
      </c>
      <c r="D5" s="2">
        <v>136</v>
      </c>
      <c r="E5" s="2">
        <f>VLOOKUP(D5,Course!$A$1:$C$147, 2, FALSE)</f>
        <v>0</v>
      </c>
    </row>
    <row r="6" spans="1:5" x14ac:dyDescent="0.2">
      <c r="A6" s="2">
        <v>5</v>
      </c>
      <c r="B6" s="2">
        <v>3</v>
      </c>
      <c r="C6" s="2" t="str">
        <f>VLOOKUP(B6,ICCE_Certificate!$A$2:$B$9, 2, FALSE)</f>
        <v>Intermediate</v>
      </c>
      <c r="D6" s="2">
        <v>137</v>
      </c>
      <c r="E6" s="2">
        <f>VLOOKUP(D6,Course!$A$1:$C$147, 2, FALSE)</f>
        <v>0</v>
      </c>
    </row>
    <row r="7" spans="1:5" x14ac:dyDescent="0.2">
      <c r="A7" s="2">
        <v>6</v>
      </c>
      <c r="B7" s="2">
        <v>3</v>
      </c>
      <c r="C7" s="2" t="str">
        <f>VLOOKUP(B7,ICCE_Certificate!$A$2:$B$9, 2, FALSE)</f>
        <v>Intermediate</v>
      </c>
      <c r="D7" s="2">
        <v>138</v>
      </c>
      <c r="E7" s="2">
        <f>VLOOKUP(D7,Course!$A$1:$C$147, 2, FALSE)</f>
        <v>0</v>
      </c>
    </row>
    <row r="8" spans="1:5" x14ac:dyDescent="0.2">
      <c r="A8" s="2">
        <v>7</v>
      </c>
      <c r="B8" s="2">
        <v>4</v>
      </c>
      <c r="C8" s="2" t="str">
        <f>VLOOKUP(B8,ICCE_Certificate!$A$2:$B$9, 2, FALSE)</f>
        <v>Advanced</v>
      </c>
      <c r="D8" s="2">
        <v>139</v>
      </c>
      <c r="E8" s="2">
        <f>VLOOKUP(D8,Course!$A$1:$C$147, 2, FALSE)</f>
        <v>0</v>
      </c>
    </row>
    <row r="9" spans="1:5" x14ac:dyDescent="0.2">
      <c r="A9" s="2">
        <v>8</v>
      </c>
      <c r="B9" s="2">
        <v>4</v>
      </c>
      <c r="C9" s="2" t="str">
        <f>VLOOKUP(B9,ICCE_Certificate!$A$2:$B$9, 2, FALSE)</f>
        <v>Advanced</v>
      </c>
      <c r="D9" s="2">
        <v>140</v>
      </c>
      <c r="E9" s="2">
        <f>VLOOKUP(D9,Course!$A$1:$C$147, 2, FALSE)</f>
        <v>0</v>
      </c>
    </row>
    <row r="10" spans="1:5" x14ac:dyDescent="0.2">
      <c r="A10" s="2">
        <v>9</v>
      </c>
      <c r="B10" s="2">
        <v>4</v>
      </c>
      <c r="C10" s="2" t="str">
        <f>VLOOKUP(B10,ICCE_Certificate!$A$2:$B$9, 2, FALSE)</f>
        <v>Advanced</v>
      </c>
      <c r="D10" s="2">
        <v>141</v>
      </c>
      <c r="E10" s="2">
        <f>VLOOKUP(D10,Course!$A$1:$C$147, 2, FALSE)</f>
        <v>0</v>
      </c>
    </row>
    <row r="11" spans="1:5" x14ac:dyDescent="0.2">
      <c r="A11" s="2">
        <v>10</v>
      </c>
      <c r="B11" s="2">
        <v>4</v>
      </c>
      <c r="C11" s="2" t="str">
        <f>VLOOKUP(B11,ICCE_Certificate!$A$2:$B$9, 2, FALSE)</f>
        <v>Advanced</v>
      </c>
      <c r="D11" s="2">
        <v>142</v>
      </c>
      <c r="E11" s="2">
        <f>VLOOKUP(D11,Course!$A$1:$C$147, 2, FALSE)</f>
        <v>0</v>
      </c>
    </row>
    <row r="12" spans="1:5" x14ac:dyDescent="0.2">
      <c r="A12" s="2">
        <v>11</v>
      </c>
      <c r="B12" s="2">
        <v>4</v>
      </c>
      <c r="C12" s="2" t="str">
        <f>VLOOKUP(B12,ICCE_Certificate!$A$2:$B$9, 2, FALSE)</f>
        <v>Advanced</v>
      </c>
      <c r="D12" s="2">
        <v>143</v>
      </c>
      <c r="E12" s="2">
        <f>VLOOKUP(D12,Course!$A$1:$C$147, 2, FALSE)</f>
        <v>0</v>
      </c>
    </row>
    <row r="13" spans="1:5" x14ac:dyDescent="0.2">
      <c r="A13" s="2">
        <v>12</v>
      </c>
      <c r="B13" s="2">
        <v>4</v>
      </c>
      <c r="C13" s="2" t="str">
        <f>VLOOKUP(B13,ICCE_Certificate!$A$2:$B$9, 2, FALSE)</f>
        <v>Advanced</v>
      </c>
      <c r="D13" s="2">
        <v>144</v>
      </c>
      <c r="E13" s="2">
        <f>VLOOKUP(D13,Course!$A$1:$C$147, 2, FALSE)</f>
        <v>0</v>
      </c>
    </row>
    <row r="14" spans="1:5" x14ac:dyDescent="0.2">
      <c r="A14" s="2">
        <v>13</v>
      </c>
      <c r="B14" s="2">
        <v>4</v>
      </c>
      <c r="C14" s="2" t="str">
        <f>VLOOKUP(B14,ICCE_Certificate!$A$2:$B$9, 2, FALSE)</f>
        <v>Advanced</v>
      </c>
      <c r="D14" s="2">
        <v>145</v>
      </c>
      <c r="E14" s="2">
        <f>VLOOKUP(D14,Course!$A$1:$C$147, 2, FALSE)</f>
        <v>0</v>
      </c>
    </row>
    <row r="15" spans="1:5" x14ac:dyDescent="0.2">
      <c r="A15" s="2">
        <v>14</v>
      </c>
      <c r="B15" s="2">
        <v>6</v>
      </c>
      <c r="C15" s="2" t="str">
        <f>VLOOKUP(B15,ICCE_Certificate!$A$2:$B$9, 2, FALSE)</f>
        <v>Advanced Maths Bias</v>
      </c>
      <c r="D15" s="2">
        <v>139</v>
      </c>
      <c r="E15" s="2">
        <f>VLOOKUP(D15,Course!$A$1:$C$147, 2, FALSE)</f>
        <v>0</v>
      </c>
    </row>
    <row r="16" spans="1:5" x14ac:dyDescent="0.2">
      <c r="A16" s="2">
        <v>15</v>
      </c>
      <c r="B16" s="2">
        <v>6</v>
      </c>
      <c r="C16" s="2" t="str">
        <f>VLOOKUP(B16,ICCE_Certificate!$A$2:$B$9, 2, FALSE)</f>
        <v>Advanced Maths Bias</v>
      </c>
      <c r="D16" s="2">
        <v>140</v>
      </c>
      <c r="E16" s="2">
        <f>VLOOKUP(D16,Course!$A$1:$C$147, 2, FALSE)</f>
        <v>0</v>
      </c>
    </row>
    <row r="17" spans="1:5" x14ac:dyDescent="0.2">
      <c r="A17" s="2">
        <v>16</v>
      </c>
      <c r="B17" s="2">
        <v>6</v>
      </c>
      <c r="C17" s="2" t="str">
        <f>VLOOKUP(B17,ICCE_Certificate!$A$2:$B$9, 2, FALSE)</f>
        <v>Advanced Maths Bias</v>
      </c>
      <c r="D17" s="2">
        <v>143</v>
      </c>
      <c r="E17" s="2">
        <f>VLOOKUP(D17,Course!$A$1:$C$147, 2, FALSE)</f>
        <v>0</v>
      </c>
    </row>
    <row r="18" spans="1:5" x14ac:dyDescent="0.2">
      <c r="A18" s="2">
        <v>17</v>
      </c>
      <c r="B18" s="2">
        <v>6</v>
      </c>
      <c r="C18" s="2" t="str">
        <f>VLOOKUP(B18,ICCE_Certificate!$A$2:$B$9, 2, FALSE)</f>
        <v>Advanced Maths Bias</v>
      </c>
      <c r="D18" s="2">
        <v>144</v>
      </c>
      <c r="E18" s="2">
        <f>VLOOKUP(D18,Course!$A$1:$C$147, 2, FALSE)</f>
        <v>0</v>
      </c>
    </row>
    <row r="19" spans="1:5" x14ac:dyDescent="0.2">
      <c r="A19" s="2">
        <v>18</v>
      </c>
      <c r="B19" s="2">
        <v>7</v>
      </c>
      <c r="C19" s="2" t="str">
        <f>VLOOKUP(B19,ICCE_Certificate!$A$2:$B$9, 2, FALSE)</f>
        <v>Advanced Social Studies Bias</v>
      </c>
      <c r="D19" s="2">
        <v>139</v>
      </c>
      <c r="E19" s="2">
        <f>VLOOKUP(D19,Course!$A$1:$C$147, 2, FALSE)</f>
        <v>0</v>
      </c>
    </row>
    <row r="20" spans="1:5" x14ac:dyDescent="0.2">
      <c r="A20" s="2">
        <v>19</v>
      </c>
      <c r="B20" s="2">
        <v>7</v>
      </c>
      <c r="C20" s="2" t="str">
        <f>VLOOKUP(B20,ICCE_Certificate!$A$2:$B$9, 2, FALSE)</f>
        <v>Advanced Social Studies Bias</v>
      </c>
      <c r="D20" s="2">
        <v>141</v>
      </c>
      <c r="E20" s="2">
        <f>VLOOKUP(D20,Course!$A$1:$C$147, 2, FALSE)</f>
        <v>0</v>
      </c>
    </row>
    <row r="21" spans="1:5" ht="15.75" customHeight="1" x14ac:dyDescent="0.2">
      <c r="A21" s="2">
        <v>20</v>
      </c>
      <c r="B21" s="2">
        <v>7</v>
      </c>
      <c r="C21" s="2" t="str">
        <f>VLOOKUP(B21,ICCE_Certificate!$A$2:$B$9, 2, FALSE)</f>
        <v>Advanced Social Studies Bias</v>
      </c>
      <c r="D21" s="2">
        <v>142</v>
      </c>
      <c r="E21" s="2">
        <f>VLOOKUP(D21,Course!$A$1:$C$147, 2, FALSE)</f>
        <v>0</v>
      </c>
    </row>
    <row r="22" spans="1:5" ht="15.75" customHeight="1" x14ac:dyDescent="0.2">
      <c r="A22" s="2">
        <v>21</v>
      </c>
      <c r="B22" s="2">
        <v>7</v>
      </c>
      <c r="C22" s="2" t="str">
        <f>VLOOKUP(B22,ICCE_Certificate!$A$2:$B$9, 2, FALSE)</f>
        <v>Advanced Social Studies Bias</v>
      </c>
      <c r="D22" s="2">
        <v>145</v>
      </c>
      <c r="E22" s="2">
        <f>VLOOKUP(D22,Course!$A$1:$C$147, 2, FALSE)</f>
        <v>0</v>
      </c>
    </row>
    <row r="23" spans="1:5" ht="15.75" customHeight="1" x14ac:dyDescent="0.2">
      <c r="A23" s="2">
        <v>22</v>
      </c>
      <c r="B23" s="2">
        <v>8</v>
      </c>
      <c r="C23" s="2" t="str">
        <f>VLOOKUP(B23,ICCE_Certificate!$A$2:$B$9, 2, FALSE)</f>
        <v>Advanced Science Bias</v>
      </c>
      <c r="D23" s="2">
        <v>139</v>
      </c>
      <c r="E23" s="2">
        <f>VLOOKUP(D23,Course!$A$1:$C$147, 2, FALSE)</f>
        <v>0</v>
      </c>
    </row>
    <row r="24" spans="1:5" ht="15.75" customHeight="1" x14ac:dyDescent="0.2">
      <c r="A24" s="2">
        <v>23</v>
      </c>
      <c r="B24" s="2">
        <v>8</v>
      </c>
      <c r="C24" s="2" t="str">
        <f>VLOOKUP(B24,ICCE_Certificate!$A$2:$B$9, 2, FALSE)</f>
        <v>Advanced Science Bias</v>
      </c>
      <c r="D24" s="2">
        <v>140</v>
      </c>
      <c r="E24" s="2">
        <f>VLOOKUP(D24,Course!$A$1:$C$147, 2, FALSE)</f>
        <v>0</v>
      </c>
    </row>
    <row r="25" spans="1:5" ht="15.75" customHeight="1" x14ac:dyDescent="0.2">
      <c r="A25" s="2">
        <v>24</v>
      </c>
      <c r="B25" s="2">
        <v>8</v>
      </c>
      <c r="C25" s="2" t="str">
        <f>VLOOKUP(B25,ICCE_Certificate!$A$2:$B$9, 2, FALSE)</f>
        <v>Advanced Science Bias</v>
      </c>
      <c r="D25" s="2">
        <v>143</v>
      </c>
      <c r="E25" s="2">
        <f>VLOOKUP(D25,Course!$A$1:$C$147, 2, FALSE)</f>
        <v>0</v>
      </c>
    </row>
    <row r="26" spans="1:5" ht="15.75" customHeight="1" x14ac:dyDescent="0.2">
      <c r="A26" s="2">
        <v>25</v>
      </c>
      <c r="B26" s="2">
        <v>8</v>
      </c>
      <c r="C26" s="2" t="str">
        <f>VLOOKUP(B26,ICCE_Certificate!$A$2:$B$9, 2, FALSE)</f>
        <v>Advanced Science Bias</v>
      </c>
      <c r="D26" s="2">
        <v>144</v>
      </c>
      <c r="E26" s="2">
        <f>VLOOKUP(D26,Course!$A$1:$C$147, 2, FALSE)</f>
        <v>0</v>
      </c>
    </row>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E26" xr:uid="{00000000-0009-0000-0000-000013000000}"/>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G1000"/>
  <sheetViews>
    <sheetView workbookViewId="0"/>
  </sheetViews>
  <sheetFormatPr baseColWidth="10" defaultColWidth="14.5" defaultRowHeight="15" customHeight="1" x14ac:dyDescent="0.2"/>
  <cols>
    <col min="1" max="1" width="2.83203125" customWidth="1"/>
    <col min="2" max="2" width="11.5" customWidth="1"/>
    <col min="3" max="3" width="27.1640625" customWidth="1"/>
    <col min="4" max="4" width="11.5" customWidth="1"/>
    <col min="5" max="5" width="24.6640625" customWidth="1"/>
    <col min="6" max="26" width="11.5" customWidth="1"/>
  </cols>
  <sheetData>
    <row r="1" spans="1:7" x14ac:dyDescent="0.2">
      <c r="A1" s="1" t="s">
        <v>56</v>
      </c>
      <c r="B1" s="1" t="s">
        <v>1935</v>
      </c>
      <c r="C1" s="1" t="s">
        <v>1936</v>
      </c>
      <c r="D1" s="1" t="s">
        <v>740</v>
      </c>
      <c r="E1" s="1" t="s">
        <v>336</v>
      </c>
      <c r="F1" s="1" t="s">
        <v>237</v>
      </c>
      <c r="G1" s="1" t="s">
        <v>408</v>
      </c>
    </row>
    <row r="2" spans="1:7" x14ac:dyDescent="0.2">
      <c r="A2" s="2">
        <v>1</v>
      </c>
      <c r="B2" s="2">
        <v>11</v>
      </c>
      <c r="C2" s="2" t="str">
        <f>VLOOKUP(B2, Enrollment!$A$2:$D$101, 4, FALSE)</f>
        <v>NT Church History / Life of Christ</v>
      </c>
      <c r="E2" s="2" t="e">
        <f>VLOOKUP(D2, Course!$A$2:$C$136, 2, FALSE)</f>
        <v>#N/A</v>
      </c>
      <c r="F2" s="2">
        <v>2</v>
      </c>
      <c r="G2" s="2">
        <v>6</v>
      </c>
    </row>
    <row r="3" spans="1:7" x14ac:dyDescent="0.2">
      <c r="A3" s="2">
        <v>2</v>
      </c>
      <c r="B3" s="2">
        <v>12</v>
      </c>
      <c r="C3" s="2" t="str">
        <f>VLOOKUP(B3, Enrollment!$A$2:$D$101, 4, FALSE)</f>
        <v>Apologetics III</v>
      </c>
      <c r="E3" s="2" t="e">
        <f>VLOOKUP(D3, Course!$A$2:$C$136, 2, FALSE)</f>
        <v>#N/A</v>
      </c>
      <c r="F3" s="2">
        <v>2</v>
      </c>
      <c r="G3" s="2">
        <v>6</v>
      </c>
    </row>
    <row r="4" spans="1:7" x14ac:dyDescent="0.2">
      <c r="A4" s="2">
        <v>3</v>
      </c>
      <c r="B4" s="2">
        <v>13</v>
      </c>
      <c r="C4" s="2" t="str">
        <f>VLOOKUP(B4, Enrollment!$A$2:$D$101, 4, FALSE)</f>
        <v>Algebra II</v>
      </c>
      <c r="E4" s="2" t="e">
        <f>VLOOKUP(D4, Course!$A$2:$C$136, 2, FALSE)</f>
        <v>#N/A</v>
      </c>
      <c r="F4" s="2">
        <v>2</v>
      </c>
      <c r="G4" s="2">
        <v>6</v>
      </c>
    </row>
    <row r="5" spans="1:7" x14ac:dyDescent="0.2">
      <c r="A5" s="2">
        <v>4</v>
      </c>
      <c r="B5" s="2">
        <v>14</v>
      </c>
      <c r="C5" s="2" t="str">
        <f>VLOOKUP(B5, Enrollment!$A$2:$D$101, 4, FALSE)</f>
        <v>Trigonometry</v>
      </c>
      <c r="E5" s="2" t="e">
        <f>VLOOKUP(D5, Course!$A$2:$C$136, 2, FALSE)</f>
        <v>#N/A</v>
      </c>
      <c r="F5" s="2">
        <v>2</v>
      </c>
      <c r="G5" s="2">
        <v>6</v>
      </c>
    </row>
    <row r="6" spans="1:7" x14ac:dyDescent="0.2">
      <c r="A6" s="2">
        <v>5</v>
      </c>
      <c r="B6" s="2">
        <v>15</v>
      </c>
      <c r="C6" s="2" t="str">
        <f>VLOOKUP(B6, Enrollment!$A$2:$D$101, 4, FALSE)</f>
        <v>Higher Maths</v>
      </c>
      <c r="E6" s="2" t="e">
        <f>VLOOKUP(D6, Course!$A$2:$C$136, 2, FALSE)</f>
        <v>#N/A</v>
      </c>
      <c r="F6" s="2">
        <v>2</v>
      </c>
      <c r="G6" s="2">
        <v>6</v>
      </c>
    </row>
    <row r="7" spans="1:7" x14ac:dyDescent="0.2">
      <c r="A7" s="2">
        <v>6</v>
      </c>
      <c r="B7" s="2">
        <v>16</v>
      </c>
      <c r="C7" s="2" t="str">
        <f>VLOOKUP(B7, Enrollment!$A$2:$D$101, 4, FALSE)</f>
        <v>College Maths I</v>
      </c>
      <c r="E7" s="2" t="e">
        <f>VLOOKUP(D7, Course!$A$2:$C$136, 2, FALSE)</f>
        <v>#N/A</v>
      </c>
      <c r="F7" s="2">
        <v>2</v>
      </c>
      <c r="G7" s="2">
        <v>6</v>
      </c>
    </row>
    <row r="8" spans="1:7" x14ac:dyDescent="0.2">
      <c r="A8" s="2">
        <v>7</v>
      </c>
      <c r="B8" s="2">
        <v>17</v>
      </c>
      <c r="C8" s="2" t="str">
        <f>VLOOKUP(B8, Enrollment!$A$2:$D$101, 4, FALSE)</f>
        <v>College Maths II</v>
      </c>
      <c r="E8" s="2" t="e">
        <f>VLOOKUP(D8, Course!$A$2:$C$136, 2, FALSE)</f>
        <v>#N/A</v>
      </c>
      <c r="F8" s="2">
        <v>2</v>
      </c>
      <c r="G8" s="2">
        <v>6</v>
      </c>
    </row>
    <row r="9" spans="1:7" x14ac:dyDescent="0.2">
      <c r="A9" s="2">
        <v>8</v>
      </c>
      <c r="B9" s="2">
        <v>18</v>
      </c>
      <c r="C9" s="2" t="str">
        <f>VLOOKUP(B9, Enrollment!$A$2:$D$101, 4, FALSE)</f>
        <v>Physics</v>
      </c>
      <c r="E9" s="2" t="e">
        <f>VLOOKUP(D9, Course!$A$2:$C$136, 2, FALSE)</f>
        <v>#N/A</v>
      </c>
      <c r="F9" s="2">
        <v>2</v>
      </c>
      <c r="G9" s="2">
        <v>6</v>
      </c>
    </row>
    <row r="10" spans="1:7" x14ac:dyDescent="0.2">
      <c r="A10" s="2">
        <v>9</v>
      </c>
      <c r="B10" s="2">
        <v>19</v>
      </c>
      <c r="C10" s="2" t="str">
        <f>VLOOKUP(B10, Enrollment!$A$2:$D$101, 4, FALSE)</f>
        <v>ICT Course</v>
      </c>
      <c r="E10" s="2" t="e">
        <f>VLOOKUP(D10, Course!$A$2:$C$136, 2, FALSE)</f>
        <v>#N/A</v>
      </c>
      <c r="F10" s="2">
        <v>2</v>
      </c>
      <c r="G10" s="2">
        <v>6</v>
      </c>
    </row>
    <row r="11" spans="1:7" x14ac:dyDescent="0.2">
      <c r="A11" s="2">
        <v>10</v>
      </c>
      <c r="B11" s="2">
        <v>20</v>
      </c>
      <c r="C11" s="2" t="str">
        <f>VLOOKUP(B11, Enrollment!$A$2:$D$101, 4, FALSE)</f>
        <v>Further Credit Option</v>
      </c>
      <c r="E11" s="2" t="e">
        <f>VLOOKUP(D11, Course!$A$2:$C$136, 2, FALSE)</f>
        <v>#N/A</v>
      </c>
      <c r="F11" s="2">
        <v>2</v>
      </c>
      <c r="G11" s="2">
        <v>6</v>
      </c>
    </row>
    <row r="12" spans="1:7" x14ac:dyDescent="0.2">
      <c r="A12" s="2">
        <v>11</v>
      </c>
      <c r="B12" s="2">
        <v>21</v>
      </c>
      <c r="C12" s="2" t="str">
        <f>VLOOKUP(B12, Enrollment!$A$2:$D$101, 4, FALSE)</f>
        <v>Coursework 1</v>
      </c>
      <c r="E12" s="2" t="e">
        <f>VLOOKUP(D12, Course!$A$2:$C$136, 2, FALSE)</f>
        <v>#N/A</v>
      </c>
      <c r="F12" s="2">
        <v>2</v>
      </c>
      <c r="G12" s="2">
        <v>6</v>
      </c>
    </row>
    <row r="13" spans="1:7" x14ac:dyDescent="0.2">
      <c r="A13" s="2">
        <v>12</v>
      </c>
      <c r="B13" s="2">
        <v>22</v>
      </c>
      <c r="C13" s="2" t="str">
        <f>VLOOKUP(B13, Enrollment!$A$2:$D$101, 4, FALSE)</f>
        <v>Coursework 2</v>
      </c>
      <c r="E13" s="2" t="e">
        <f>VLOOKUP(D13, Course!$A$2:$C$136, 2, FALSE)</f>
        <v>#N/A</v>
      </c>
      <c r="F13" s="2">
        <v>2</v>
      </c>
      <c r="G13" s="2">
        <v>6</v>
      </c>
    </row>
    <row r="14" spans="1:7" x14ac:dyDescent="0.2">
      <c r="A14" s="2">
        <v>13</v>
      </c>
      <c r="B14" s="2">
        <v>23</v>
      </c>
      <c r="C14" s="2" t="str">
        <f>VLOOKUP(B14, Enrollment!$A$2:$D$101, 4, FALSE)</f>
        <v>Coursework 3</v>
      </c>
      <c r="E14" s="2" t="e">
        <f>VLOOKUP(D14, Course!$A$2:$C$136, 2, FALSE)</f>
        <v>#N/A</v>
      </c>
      <c r="F14" s="2">
        <v>2</v>
      </c>
      <c r="G14" s="2">
        <v>6</v>
      </c>
    </row>
    <row r="15" spans="1:7" x14ac:dyDescent="0.2">
      <c r="A15" s="2">
        <v>14</v>
      </c>
      <c r="C15" s="2" t="e">
        <f>VLOOKUP(B15, Enrollment!$A$2:$D$101, 4, FALSE)</f>
        <v>#N/A</v>
      </c>
      <c r="E15" s="2" t="e">
        <f>VLOOKUP(D15, Course!$A$2:$C$136, 2, FALSE)</f>
        <v>#N/A</v>
      </c>
    </row>
    <row r="16" spans="1:7" x14ac:dyDescent="0.2">
      <c r="A16" s="2">
        <v>15</v>
      </c>
      <c r="C16" s="2" t="e">
        <f>VLOOKUP(B16, Enrollment!$A$2:$D$101, 4, FALSE)</f>
        <v>#N/A</v>
      </c>
      <c r="E16" s="2" t="e">
        <f>VLOOKUP(D16, Course!$A$2:$C$136, 2, FALSE)</f>
        <v>#N/A</v>
      </c>
    </row>
    <row r="17" spans="1:5" x14ac:dyDescent="0.2">
      <c r="A17" s="2">
        <v>16</v>
      </c>
      <c r="C17" s="2" t="e">
        <f>VLOOKUP(B17, Enrollment!$A$2:$D$101, 4, FALSE)</f>
        <v>#N/A</v>
      </c>
      <c r="E17" s="2" t="e">
        <f>VLOOKUP(D17, Course!$A$2:$C$136, 2, FALSE)</f>
        <v>#N/A</v>
      </c>
    </row>
    <row r="18" spans="1:5" x14ac:dyDescent="0.2">
      <c r="A18" s="2">
        <v>17</v>
      </c>
      <c r="C18" s="2" t="e">
        <f>VLOOKUP(B18, Enrollment!$A$2:$D$101, 4, FALSE)</f>
        <v>#N/A</v>
      </c>
      <c r="E18" s="2" t="e">
        <f>VLOOKUP(D18, Course!$A$2:$C$136, 2, FALSE)</f>
        <v>#N/A</v>
      </c>
    </row>
    <row r="19" spans="1:5" x14ac:dyDescent="0.2">
      <c r="A19" s="2">
        <v>18</v>
      </c>
      <c r="C19" s="2" t="e">
        <f>VLOOKUP(B19, Enrollment!$A$2:$D$101, 4, FALSE)</f>
        <v>#N/A</v>
      </c>
      <c r="E19" s="2" t="e">
        <f>VLOOKUP(D19, Course!$A$2:$C$136, 2, FALSE)</f>
        <v>#N/A</v>
      </c>
    </row>
    <row r="20" spans="1:5" x14ac:dyDescent="0.2">
      <c r="A20" s="2">
        <v>19</v>
      </c>
      <c r="C20" s="2" t="e">
        <f>VLOOKUP(B20, Enrollment!$A$2:$D$101, 4, FALSE)</f>
        <v>#N/A</v>
      </c>
      <c r="E20" s="2" t="e">
        <f>VLOOKUP(D20, Course!$A$2:$C$136, 2, FALSE)</f>
        <v>#N/A</v>
      </c>
    </row>
    <row r="21" spans="1:5" ht="15.75" customHeight="1" x14ac:dyDescent="0.2">
      <c r="A21" s="2">
        <v>20</v>
      </c>
      <c r="C21" s="2" t="e">
        <f>VLOOKUP(B21, Enrollment!$A$2:$D$101, 4, FALSE)</f>
        <v>#N/A</v>
      </c>
      <c r="E21" s="2" t="e">
        <f>VLOOKUP(D21, Course!$A$2:$C$136, 2, FALSE)</f>
        <v>#N/A</v>
      </c>
    </row>
    <row r="22" spans="1:5" ht="15.75" customHeight="1" x14ac:dyDescent="0.2">
      <c r="A22" s="2">
        <v>21</v>
      </c>
      <c r="C22" s="2" t="e">
        <f>VLOOKUP(B22, Enrollment!$A$2:$D$101, 4, FALSE)</f>
        <v>#N/A</v>
      </c>
      <c r="E22" s="2" t="e">
        <f>VLOOKUP(D22, Course!$A$2:$C$136, 2, FALSE)</f>
        <v>#N/A</v>
      </c>
    </row>
    <row r="23" spans="1:5" ht="15.75" customHeight="1" x14ac:dyDescent="0.2">
      <c r="A23" s="2">
        <v>22</v>
      </c>
      <c r="C23" s="2" t="e">
        <f>VLOOKUP(B23, Enrollment!$A$2:$D$101, 4, FALSE)</f>
        <v>#N/A</v>
      </c>
      <c r="E23" s="2" t="e">
        <f>VLOOKUP(D23, Course!$A$2:$C$136, 2, FALSE)</f>
        <v>#N/A</v>
      </c>
    </row>
    <row r="24" spans="1:5" ht="15.75" customHeight="1" x14ac:dyDescent="0.2">
      <c r="A24" s="2">
        <v>23</v>
      </c>
      <c r="C24" s="2" t="e">
        <f>VLOOKUP(B24, Enrollment!$A$2:$D$101, 4, FALSE)</f>
        <v>#N/A</v>
      </c>
      <c r="E24" s="2" t="e">
        <f>VLOOKUP(D24, Course!$A$2:$C$136, 2, FALSE)</f>
        <v>#N/A</v>
      </c>
    </row>
    <row r="25" spans="1:5" ht="15.75" customHeight="1" x14ac:dyDescent="0.2">
      <c r="A25" s="2">
        <v>24</v>
      </c>
      <c r="C25" s="2" t="e">
        <f>VLOOKUP(B25, Enrollment!$A$2:$D$101, 4, FALSE)</f>
        <v>#N/A</v>
      </c>
      <c r="E25" s="2" t="e">
        <f>VLOOKUP(D25, Course!$A$2:$C$136, 2, FALSE)</f>
        <v>#N/A</v>
      </c>
    </row>
    <row r="26" spans="1:5" ht="15.75" customHeight="1" x14ac:dyDescent="0.2">
      <c r="A26" s="2">
        <v>25</v>
      </c>
      <c r="C26" s="2" t="e">
        <f>VLOOKUP(B26, Enrollment!$A$2:$D$101, 4, FALSE)</f>
        <v>#N/A</v>
      </c>
      <c r="E26" s="2" t="e">
        <f>VLOOKUP(D26, Course!$A$2:$C$136, 2, FALSE)</f>
        <v>#N/A</v>
      </c>
    </row>
    <row r="27" spans="1:5" ht="15.75" customHeight="1" x14ac:dyDescent="0.2">
      <c r="A27" s="2">
        <v>26</v>
      </c>
      <c r="C27" s="2" t="e">
        <f>VLOOKUP(B27, Enrollment!$A$2:$D$101, 4, FALSE)</f>
        <v>#N/A</v>
      </c>
      <c r="E27" s="2" t="e">
        <f>VLOOKUP(D27, Course!$A$2:$C$136, 2, FALSE)</f>
        <v>#N/A</v>
      </c>
    </row>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48135"/>
  </sheetPr>
  <dimension ref="A1:J1000"/>
  <sheetViews>
    <sheetView workbookViewId="0"/>
  </sheetViews>
  <sheetFormatPr baseColWidth="10" defaultColWidth="14.5" defaultRowHeight="15" customHeight="1" x14ac:dyDescent="0.2"/>
  <cols>
    <col min="1" max="2" width="8.83203125" customWidth="1"/>
    <col min="3" max="3" width="11.6640625" customWidth="1"/>
    <col min="4" max="4" width="5.33203125" customWidth="1"/>
    <col min="5" max="5" width="10.33203125" customWidth="1"/>
    <col min="6" max="6" width="13" customWidth="1"/>
    <col min="7" max="7" width="10.33203125" customWidth="1"/>
    <col min="8" max="26" width="8.83203125" customWidth="1"/>
  </cols>
  <sheetData>
    <row r="1" spans="1:10" x14ac:dyDescent="0.2">
      <c r="A1" s="1" t="s">
        <v>56</v>
      </c>
      <c r="B1" s="1" t="s">
        <v>1937</v>
      </c>
      <c r="C1" s="25" t="s">
        <v>60</v>
      </c>
      <c r="D1" s="25" t="s">
        <v>56</v>
      </c>
      <c r="E1" s="1" t="s">
        <v>739</v>
      </c>
      <c r="F1" s="20" t="s">
        <v>1938</v>
      </c>
      <c r="G1" s="1" t="s">
        <v>237</v>
      </c>
      <c r="H1" s="1" t="s">
        <v>60</v>
      </c>
      <c r="I1" s="1"/>
      <c r="J1" s="1"/>
    </row>
    <row r="2" spans="1:10" x14ac:dyDescent="0.2">
      <c r="A2" s="2">
        <v>1</v>
      </c>
      <c r="B2" s="2">
        <v>35</v>
      </c>
      <c r="C2" s="26">
        <v>41352</v>
      </c>
      <c r="D2" s="2">
        <v>1</v>
      </c>
      <c r="F2" s="21">
        <v>0.91500000000000004</v>
      </c>
      <c r="G2" s="2">
        <v>11</v>
      </c>
    </row>
    <row r="3" spans="1:10" x14ac:dyDescent="0.2">
      <c r="A3" s="2">
        <v>2</v>
      </c>
      <c r="B3" s="2">
        <v>37</v>
      </c>
      <c r="C3" s="26">
        <v>41585</v>
      </c>
      <c r="D3" s="2">
        <v>2</v>
      </c>
      <c r="F3" s="21">
        <v>0.97</v>
      </c>
      <c r="G3" s="2">
        <v>11</v>
      </c>
    </row>
    <row r="4" spans="1:10" x14ac:dyDescent="0.2">
      <c r="A4" s="2">
        <v>3</v>
      </c>
      <c r="B4" s="2">
        <v>38</v>
      </c>
      <c r="C4" s="26">
        <v>41612</v>
      </c>
      <c r="D4" s="26"/>
      <c r="F4" s="21">
        <v>1</v>
      </c>
      <c r="G4" s="2">
        <v>11</v>
      </c>
    </row>
    <row r="5" spans="1:10" x14ac:dyDescent="0.2">
      <c r="A5" s="2">
        <v>4</v>
      </c>
      <c r="B5" s="2">
        <v>39</v>
      </c>
      <c r="C5" s="26">
        <v>41681</v>
      </c>
      <c r="D5" s="26"/>
      <c r="F5" s="21">
        <v>1</v>
      </c>
      <c r="G5" s="2">
        <v>11</v>
      </c>
    </row>
    <row r="6" spans="1:10" x14ac:dyDescent="0.2">
      <c r="A6" s="2">
        <v>5</v>
      </c>
      <c r="B6" s="2">
        <v>40</v>
      </c>
      <c r="C6" s="26">
        <v>41736</v>
      </c>
      <c r="D6" s="26"/>
      <c r="F6" s="21">
        <v>0.995</v>
      </c>
      <c r="G6" s="2">
        <v>11</v>
      </c>
    </row>
    <row r="7" spans="1:10" x14ac:dyDescent="0.2">
      <c r="A7" s="2">
        <v>6</v>
      </c>
      <c r="B7" s="2">
        <v>41</v>
      </c>
      <c r="C7" s="26">
        <v>41792</v>
      </c>
      <c r="D7" s="26"/>
      <c r="F7" s="21">
        <v>0.9</v>
      </c>
      <c r="G7" s="2">
        <v>11</v>
      </c>
    </row>
    <row r="8" spans="1:10" x14ac:dyDescent="0.2">
      <c r="A8" s="2">
        <v>7</v>
      </c>
      <c r="B8" s="2">
        <v>42</v>
      </c>
      <c r="C8" s="26">
        <v>41820</v>
      </c>
      <c r="D8" s="26"/>
      <c r="F8" s="21">
        <v>0.88</v>
      </c>
      <c r="G8" s="2">
        <v>11</v>
      </c>
    </row>
    <row r="9" spans="1:10" x14ac:dyDescent="0.2">
      <c r="A9" s="2">
        <v>8</v>
      </c>
      <c r="B9" s="2">
        <v>43</v>
      </c>
      <c r="C9" s="26">
        <v>41900</v>
      </c>
      <c r="D9" s="26"/>
      <c r="F9" s="21">
        <v>0.88</v>
      </c>
      <c r="G9" s="2">
        <v>11</v>
      </c>
    </row>
    <row r="10" spans="1:10" x14ac:dyDescent="0.2">
      <c r="A10" s="2">
        <v>9</v>
      </c>
      <c r="B10" s="2">
        <v>44</v>
      </c>
      <c r="C10" s="26">
        <v>41919</v>
      </c>
      <c r="D10" s="26"/>
      <c r="F10" s="21">
        <v>1</v>
      </c>
      <c r="G10" s="2">
        <v>11</v>
      </c>
    </row>
    <row r="11" spans="1:10" x14ac:dyDescent="0.2">
      <c r="A11" s="2">
        <v>10</v>
      </c>
      <c r="B11" s="2">
        <v>45</v>
      </c>
      <c r="C11" s="26">
        <v>41922</v>
      </c>
      <c r="D11" s="26"/>
      <c r="F11" s="21">
        <v>0.96</v>
      </c>
      <c r="G11" s="2">
        <v>11</v>
      </c>
    </row>
    <row r="12" spans="1:10" x14ac:dyDescent="0.2">
      <c r="A12" s="2">
        <v>11</v>
      </c>
      <c r="B12" s="2">
        <v>46</v>
      </c>
      <c r="C12" s="26">
        <v>41961</v>
      </c>
      <c r="D12" s="26"/>
      <c r="F12" s="21">
        <v>0.92</v>
      </c>
      <c r="G12" s="2">
        <v>11</v>
      </c>
    </row>
    <row r="13" spans="1:10" x14ac:dyDescent="0.2">
      <c r="A13" s="2">
        <v>12</v>
      </c>
      <c r="B13" s="2">
        <v>47</v>
      </c>
      <c r="C13" s="26">
        <v>41982</v>
      </c>
      <c r="D13" s="26"/>
      <c r="F13" s="21">
        <v>0.96</v>
      </c>
      <c r="G13" s="2">
        <v>11</v>
      </c>
    </row>
    <row r="14" spans="1:10" x14ac:dyDescent="0.2">
      <c r="A14" s="2">
        <v>13</v>
      </c>
      <c r="B14" s="2">
        <v>49</v>
      </c>
      <c r="C14" s="26">
        <v>42039</v>
      </c>
      <c r="D14" s="26"/>
      <c r="F14" s="21">
        <v>0.96</v>
      </c>
      <c r="G14" s="2">
        <v>11</v>
      </c>
    </row>
    <row r="15" spans="1:10" x14ac:dyDescent="0.2">
      <c r="A15" s="2">
        <v>14</v>
      </c>
      <c r="B15" s="2">
        <v>50</v>
      </c>
      <c r="C15" s="26">
        <v>42082</v>
      </c>
      <c r="D15" s="26"/>
      <c r="F15" s="21">
        <v>0.91</v>
      </c>
      <c r="G15" s="2">
        <v>11</v>
      </c>
    </row>
    <row r="16" spans="1:10" x14ac:dyDescent="0.2">
      <c r="A16" s="2">
        <v>15</v>
      </c>
      <c r="B16" s="2">
        <v>51</v>
      </c>
      <c r="C16" s="26">
        <v>42124</v>
      </c>
      <c r="D16" s="26"/>
      <c r="F16" s="21">
        <v>0.97</v>
      </c>
      <c r="G16" s="2">
        <v>11</v>
      </c>
    </row>
    <row r="17" spans="1:7" x14ac:dyDescent="0.2">
      <c r="A17" s="2">
        <v>16</v>
      </c>
      <c r="B17" s="2">
        <v>52</v>
      </c>
      <c r="C17" s="26">
        <v>42157</v>
      </c>
      <c r="D17" s="26"/>
      <c r="F17" s="21">
        <v>0.9</v>
      </c>
      <c r="G17" s="2">
        <v>11</v>
      </c>
    </row>
    <row r="18" spans="1:7" x14ac:dyDescent="0.2">
      <c r="A18" s="2">
        <v>17</v>
      </c>
      <c r="B18" s="2">
        <v>53</v>
      </c>
      <c r="C18" s="26">
        <v>42268</v>
      </c>
      <c r="D18" s="26"/>
      <c r="F18" s="21">
        <v>0.95499999999999996</v>
      </c>
      <c r="G18" s="2">
        <v>11</v>
      </c>
    </row>
    <row r="19" spans="1:7" x14ac:dyDescent="0.2">
      <c r="A19" s="2">
        <v>18</v>
      </c>
      <c r="B19" s="2">
        <v>54</v>
      </c>
      <c r="C19" s="26">
        <v>42304</v>
      </c>
      <c r="D19" s="26"/>
      <c r="F19" s="21">
        <v>0.96</v>
      </c>
      <c r="G19" s="2">
        <v>11</v>
      </c>
    </row>
    <row r="20" spans="1:7" x14ac:dyDescent="0.2">
      <c r="A20" s="2">
        <v>19</v>
      </c>
      <c r="B20" s="2">
        <v>55</v>
      </c>
      <c r="C20" s="26">
        <v>42325</v>
      </c>
      <c r="D20" s="26"/>
      <c r="F20" s="21">
        <v>0.97499999999999998</v>
      </c>
      <c r="G20" s="2">
        <v>11</v>
      </c>
    </row>
    <row r="21" spans="1:7" ht="15.75" customHeight="1" x14ac:dyDescent="0.2">
      <c r="A21" s="2">
        <v>20</v>
      </c>
      <c r="B21" s="2">
        <v>56</v>
      </c>
      <c r="C21" s="26">
        <v>42347</v>
      </c>
      <c r="D21" s="26"/>
      <c r="F21" s="21">
        <v>0.89</v>
      </c>
      <c r="G21" s="2">
        <v>11</v>
      </c>
    </row>
    <row r="22" spans="1:7" ht="15.75" customHeight="1" x14ac:dyDescent="0.2">
      <c r="A22" s="2">
        <v>21</v>
      </c>
      <c r="B22" s="2">
        <v>57</v>
      </c>
      <c r="C22" s="26">
        <v>42389</v>
      </c>
      <c r="D22" s="26"/>
      <c r="F22" s="21">
        <v>0.97</v>
      </c>
      <c r="G22" s="2">
        <v>11</v>
      </c>
    </row>
    <row r="23" spans="1:7" ht="15.75" customHeight="1" x14ac:dyDescent="0.2">
      <c r="A23" s="2">
        <v>22</v>
      </c>
      <c r="B23" s="2">
        <v>58</v>
      </c>
      <c r="C23" s="26">
        <v>42411</v>
      </c>
      <c r="D23" s="26"/>
      <c r="F23" s="21">
        <v>0.94</v>
      </c>
      <c r="G23" s="2">
        <v>11</v>
      </c>
    </row>
    <row r="24" spans="1:7" ht="15.75" customHeight="1" x14ac:dyDescent="0.2">
      <c r="A24" s="2">
        <v>23</v>
      </c>
      <c r="B24" s="2">
        <v>59</v>
      </c>
      <c r="C24" s="26">
        <v>42444</v>
      </c>
      <c r="D24" s="26"/>
      <c r="F24" s="21">
        <v>0.97</v>
      </c>
      <c r="G24" s="2">
        <v>11</v>
      </c>
    </row>
    <row r="25" spans="1:7" ht="15.75" customHeight="1" x14ac:dyDescent="0.2">
      <c r="A25" s="2">
        <v>24</v>
      </c>
      <c r="B25" s="2">
        <v>60</v>
      </c>
      <c r="C25" s="26">
        <v>42460</v>
      </c>
      <c r="D25" s="26"/>
      <c r="F25" s="21">
        <v>0.995</v>
      </c>
      <c r="G25" s="2">
        <v>11</v>
      </c>
    </row>
    <row r="26" spans="1:7" ht="15.75" customHeight="1" x14ac:dyDescent="0.2">
      <c r="A26" s="2">
        <v>25</v>
      </c>
      <c r="B26" s="2">
        <v>61</v>
      </c>
      <c r="C26" s="26">
        <v>42508</v>
      </c>
      <c r="D26" s="26"/>
      <c r="F26" s="21">
        <v>0.91500000000000004</v>
      </c>
      <c r="G26" s="2">
        <v>11</v>
      </c>
    </row>
    <row r="27" spans="1:7" ht="15.75" customHeight="1" x14ac:dyDescent="0.2">
      <c r="A27" s="2">
        <v>26</v>
      </c>
      <c r="B27" s="2">
        <v>62</v>
      </c>
      <c r="C27" s="26">
        <v>42544</v>
      </c>
      <c r="D27" s="26"/>
      <c r="F27" s="21">
        <v>0.98499999999999999</v>
      </c>
      <c r="G27" s="2">
        <v>11</v>
      </c>
    </row>
    <row r="28" spans="1:7" ht="15.75" customHeight="1" x14ac:dyDescent="0.2">
      <c r="A28" s="2">
        <v>27</v>
      </c>
      <c r="B28" s="2">
        <v>63</v>
      </c>
      <c r="C28" s="26">
        <v>42641</v>
      </c>
      <c r="D28" s="26"/>
      <c r="F28" s="21">
        <v>0.92</v>
      </c>
      <c r="G28" s="2">
        <v>11</v>
      </c>
    </row>
    <row r="29" spans="1:7" ht="15.75" customHeight="1" x14ac:dyDescent="0.2">
      <c r="A29" s="2">
        <v>28</v>
      </c>
      <c r="B29" s="2">
        <v>64</v>
      </c>
      <c r="C29" s="26">
        <v>42684</v>
      </c>
      <c r="D29" s="26"/>
      <c r="F29" s="21">
        <v>0.96</v>
      </c>
      <c r="G29" s="2">
        <v>11</v>
      </c>
    </row>
    <row r="30" spans="1:7" ht="15.75" customHeight="1" x14ac:dyDescent="0.2">
      <c r="A30" s="2">
        <v>29</v>
      </c>
      <c r="B30" s="2">
        <v>65</v>
      </c>
      <c r="C30" s="26">
        <v>42710</v>
      </c>
      <c r="D30" s="26"/>
      <c r="F30" s="21">
        <v>0.96</v>
      </c>
      <c r="G30" s="2">
        <v>11</v>
      </c>
    </row>
    <row r="31" spans="1:7" ht="15.75" customHeight="1" x14ac:dyDescent="0.2">
      <c r="A31" s="2">
        <v>30</v>
      </c>
      <c r="B31" s="2">
        <v>66</v>
      </c>
      <c r="C31" s="26">
        <v>42753</v>
      </c>
      <c r="D31" s="26"/>
      <c r="F31" s="21">
        <v>0.97</v>
      </c>
      <c r="G31" s="2">
        <v>11</v>
      </c>
    </row>
    <row r="32" spans="1:7" ht="15.75" customHeight="1" x14ac:dyDescent="0.2">
      <c r="A32" s="2">
        <v>31</v>
      </c>
      <c r="B32" s="2">
        <v>67</v>
      </c>
      <c r="C32" s="26">
        <v>42780</v>
      </c>
      <c r="D32" s="26"/>
      <c r="F32" s="21">
        <v>0.995</v>
      </c>
      <c r="G32" s="2">
        <v>11</v>
      </c>
    </row>
    <row r="33" spans="1:7" ht="15.75" customHeight="1" x14ac:dyDescent="0.2">
      <c r="A33" s="2">
        <v>32</v>
      </c>
      <c r="B33" s="2">
        <v>68</v>
      </c>
      <c r="C33" s="26">
        <v>42817</v>
      </c>
      <c r="D33" s="26"/>
      <c r="F33" s="21">
        <v>0.93</v>
      </c>
      <c r="G33" s="2">
        <v>11</v>
      </c>
    </row>
    <row r="34" spans="1:7" ht="15.75" customHeight="1" x14ac:dyDescent="0.2">
      <c r="A34" s="2">
        <v>33</v>
      </c>
      <c r="B34" s="2">
        <v>69</v>
      </c>
      <c r="C34" s="26">
        <v>42838</v>
      </c>
      <c r="D34" s="26"/>
      <c r="F34" s="21">
        <v>0.995</v>
      </c>
      <c r="G34" s="2">
        <v>11</v>
      </c>
    </row>
    <row r="35" spans="1:7" ht="15.75" customHeight="1" x14ac:dyDescent="0.2">
      <c r="A35" s="2">
        <v>34</v>
      </c>
      <c r="B35" s="2">
        <v>70</v>
      </c>
      <c r="C35" s="26">
        <v>42872</v>
      </c>
      <c r="D35" s="26"/>
      <c r="F35" s="21">
        <v>0.97499999999999998</v>
      </c>
      <c r="G35" s="2">
        <v>11</v>
      </c>
    </row>
    <row r="36" spans="1:7" ht="15.75" customHeight="1" x14ac:dyDescent="0.2">
      <c r="A36" s="2">
        <v>35</v>
      </c>
      <c r="B36" s="2">
        <v>71</v>
      </c>
      <c r="C36" s="26">
        <v>42893</v>
      </c>
      <c r="D36" s="26"/>
      <c r="F36" s="21">
        <v>0.94</v>
      </c>
      <c r="G36" s="2">
        <v>11</v>
      </c>
    </row>
    <row r="37" spans="1:7" ht="15.75" customHeight="1" x14ac:dyDescent="0.2">
      <c r="A37" s="2">
        <v>36</v>
      </c>
      <c r="B37" s="2">
        <v>72</v>
      </c>
      <c r="C37" s="26">
        <v>42913</v>
      </c>
      <c r="D37" s="26"/>
      <c r="F37" s="21">
        <v>0.96</v>
      </c>
      <c r="G37" s="2">
        <v>11</v>
      </c>
    </row>
    <row r="38" spans="1:7" ht="15.75" customHeight="1" x14ac:dyDescent="0.2">
      <c r="A38" s="2">
        <v>37</v>
      </c>
      <c r="B38" s="2">
        <v>199</v>
      </c>
      <c r="C38" s="26">
        <v>42985</v>
      </c>
      <c r="D38" s="26"/>
      <c r="F38" s="21">
        <v>0.96499999999999997</v>
      </c>
      <c r="G38" s="2">
        <v>11</v>
      </c>
    </row>
    <row r="39" spans="1:7" ht="15.75" customHeight="1" x14ac:dyDescent="0.2">
      <c r="A39" s="2">
        <v>38</v>
      </c>
      <c r="B39" s="2">
        <v>200</v>
      </c>
      <c r="C39" s="26">
        <v>43011</v>
      </c>
      <c r="D39" s="26"/>
      <c r="F39" s="21">
        <v>0.96499999999999997</v>
      </c>
      <c r="G39" s="2">
        <v>11</v>
      </c>
    </row>
    <row r="40" spans="1:7" ht="15.75" customHeight="1" x14ac:dyDescent="0.2">
      <c r="A40" s="2">
        <v>39</v>
      </c>
      <c r="B40" s="2">
        <v>201</v>
      </c>
      <c r="C40" s="26">
        <v>43047</v>
      </c>
      <c r="D40" s="26"/>
      <c r="F40" s="21">
        <v>0.92</v>
      </c>
      <c r="G40" s="2">
        <v>11</v>
      </c>
    </row>
    <row r="41" spans="1:7" ht="15.75" customHeight="1" x14ac:dyDescent="0.2">
      <c r="A41" s="2">
        <v>40</v>
      </c>
      <c r="B41" s="2">
        <v>202</v>
      </c>
      <c r="C41" s="26">
        <v>43090</v>
      </c>
      <c r="D41" s="26"/>
      <c r="F41" s="21">
        <v>0.94</v>
      </c>
      <c r="G41" s="2">
        <v>11</v>
      </c>
    </row>
    <row r="42" spans="1:7" ht="15.75" customHeight="1" x14ac:dyDescent="0.2">
      <c r="A42" s="2">
        <v>41</v>
      </c>
      <c r="B42" s="2">
        <v>203</v>
      </c>
      <c r="C42" s="26">
        <v>43124</v>
      </c>
      <c r="D42" s="26"/>
      <c r="F42" s="21">
        <v>0.91</v>
      </c>
      <c r="G42" s="2">
        <v>11</v>
      </c>
    </row>
    <row r="43" spans="1:7" ht="15.75" customHeight="1" x14ac:dyDescent="0.2">
      <c r="A43" s="2">
        <v>42</v>
      </c>
      <c r="B43" s="2">
        <v>204</v>
      </c>
      <c r="C43" s="26">
        <v>43154</v>
      </c>
      <c r="D43" s="26"/>
      <c r="F43" s="21">
        <v>0.84499999999999997</v>
      </c>
      <c r="G43" s="2">
        <v>11</v>
      </c>
    </row>
    <row r="44" spans="1:7" ht="15.75" customHeight="1" x14ac:dyDescent="0.2">
      <c r="A44" s="2">
        <v>43</v>
      </c>
      <c r="B44" s="2">
        <v>204</v>
      </c>
      <c r="C44" s="26">
        <v>43140</v>
      </c>
      <c r="D44" s="26"/>
      <c r="F44" s="21">
        <v>0.79</v>
      </c>
      <c r="G44" s="2">
        <v>11</v>
      </c>
    </row>
    <row r="45" spans="1:7" ht="15.75" customHeight="1" x14ac:dyDescent="0.2">
      <c r="A45" s="2">
        <v>44</v>
      </c>
      <c r="B45" s="2">
        <v>205</v>
      </c>
      <c r="C45" s="26">
        <v>43181</v>
      </c>
      <c r="D45" s="26"/>
      <c r="F45" s="21">
        <v>0.89</v>
      </c>
      <c r="G45" s="2">
        <v>11</v>
      </c>
    </row>
    <row r="46" spans="1:7" ht="15.75" customHeight="1" x14ac:dyDescent="0.2">
      <c r="A46" s="2">
        <v>45</v>
      </c>
      <c r="B46" s="2">
        <v>206</v>
      </c>
      <c r="C46" s="26">
        <v>43196</v>
      </c>
      <c r="D46" s="26"/>
      <c r="F46" s="21">
        <v>0.94</v>
      </c>
      <c r="G46" s="2">
        <v>11</v>
      </c>
    </row>
    <row r="47" spans="1:7" ht="15.75" customHeight="1" x14ac:dyDescent="0.2">
      <c r="A47" s="2">
        <v>46</v>
      </c>
      <c r="B47" s="2">
        <v>207</v>
      </c>
      <c r="C47" s="26">
        <v>43209</v>
      </c>
      <c r="D47" s="26"/>
      <c r="F47" s="21">
        <v>0.93500000000000005</v>
      </c>
      <c r="G47" s="2">
        <v>11</v>
      </c>
    </row>
    <row r="48" spans="1:7" ht="15.75" customHeight="1" x14ac:dyDescent="0.2">
      <c r="A48" s="2">
        <v>47</v>
      </c>
      <c r="B48" s="2">
        <v>208</v>
      </c>
      <c r="C48" s="26">
        <v>43245</v>
      </c>
      <c r="D48" s="26"/>
      <c r="F48" s="21">
        <v>0.98499999999999999</v>
      </c>
      <c r="G48" s="2">
        <v>11</v>
      </c>
    </row>
    <row r="49" spans="1:7" ht="15.75" customHeight="1" x14ac:dyDescent="0.2">
      <c r="A49" s="2">
        <v>48</v>
      </c>
      <c r="B49" s="2">
        <v>209</v>
      </c>
      <c r="C49" s="26">
        <v>43264</v>
      </c>
      <c r="D49" s="26"/>
      <c r="F49" s="21">
        <v>0.94499999999999995</v>
      </c>
      <c r="G49" s="2">
        <v>11</v>
      </c>
    </row>
    <row r="50" spans="1:7" ht="15.75" customHeight="1" x14ac:dyDescent="0.2">
      <c r="A50" s="2">
        <v>49</v>
      </c>
      <c r="B50" s="2">
        <v>210</v>
      </c>
      <c r="C50" s="26">
        <v>43278</v>
      </c>
      <c r="D50" s="26"/>
      <c r="F50" s="21">
        <v>0.92</v>
      </c>
      <c r="G50" s="2">
        <v>11</v>
      </c>
    </row>
    <row r="51" spans="1:7" ht="15.75" customHeight="1" x14ac:dyDescent="0.2">
      <c r="A51" s="2">
        <v>50</v>
      </c>
      <c r="B51" s="2">
        <v>211</v>
      </c>
      <c r="C51" s="26">
        <v>43361</v>
      </c>
      <c r="D51" s="26"/>
      <c r="F51" s="21">
        <v>0.94</v>
      </c>
      <c r="G51" s="2">
        <v>11</v>
      </c>
    </row>
    <row r="52" spans="1:7" ht="15.75" customHeight="1" x14ac:dyDescent="0.2">
      <c r="A52" s="2">
        <v>51</v>
      </c>
      <c r="B52" s="2">
        <v>212</v>
      </c>
      <c r="C52" s="26">
        <v>43378</v>
      </c>
      <c r="D52" s="26"/>
      <c r="F52" s="21">
        <v>0.93</v>
      </c>
      <c r="G52" s="2">
        <v>11</v>
      </c>
    </row>
    <row r="53" spans="1:7" ht="15.75" customHeight="1" x14ac:dyDescent="0.2">
      <c r="A53" s="2">
        <v>52</v>
      </c>
      <c r="B53" s="2">
        <v>213</v>
      </c>
      <c r="C53" s="26">
        <v>43398</v>
      </c>
      <c r="D53" s="26"/>
      <c r="F53" s="21">
        <v>0.89500000000000002</v>
      </c>
      <c r="G53" s="2">
        <v>11</v>
      </c>
    </row>
    <row r="54" spans="1:7" ht="15.75" customHeight="1" x14ac:dyDescent="0.2">
      <c r="A54" s="2">
        <v>53</v>
      </c>
      <c r="B54" s="2">
        <v>214</v>
      </c>
      <c r="C54" s="26">
        <v>43426</v>
      </c>
      <c r="D54" s="26"/>
      <c r="F54" s="21">
        <v>0.98</v>
      </c>
      <c r="G54" s="2">
        <v>11</v>
      </c>
    </row>
    <row r="55" spans="1:7" ht="15.75" customHeight="1" x14ac:dyDescent="0.2">
      <c r="A55" s="2">
        <v>54</v>
      </c>
      <c r="B55" s="2">
        <v>215</v>
      </c>
      <c r="C55" s="26">
        <v>43448</v>
      </c>
      <c r="D55" s="26"/>
      <c r="F55" s="21">
        <v>0.99</v>
      </c>
      <c r="G55" s="2">
        <v>11</v>
      </c>
    </row>
    <row r="56" spans="1:7" ht="15.75" customHeight="1" x14ac:dyDescent="0.2">
      <c r="A56" s="2">
        <v>55</v>
      </c>
      <c r="B56" s="2">
        <v>216</v>
      </c>
      <c r="C56" s="26">
        <v>43489</v>
      </c>
      <c r="D56" s="26"/>
      <c r="F56" s="21">
        <v>0.98499999999999999</v>
      </c>
      <c r="G56" s="2">
        <v>11</v>
      </c>
    </row>
    <row r="57" spans="1:7" ht="15.75" customHeight="1" x14ac:dyDescent="0.2">
      <c r="A57" s="2">
        <v>56</v>
      </c>
      <c r="B57" s="2">
        <v>217</v>
      </c>
      <c r="C57" s="26">
        <v>43510</v>
      </c>
      <c r="D57" s="26"/>
      <c r="F57" s="21">
        <v>0.875</v>
      </c>
      <c r="G57" s="2">
        <v>11</v>
      </c>
    </row>
    <row r="58" spans="1:7" ht="15.75" customHeight="1" x14ac:dyDescent="0.2">
      <c r="A58" s="2">
        <v>57</v>
      </c>
      <c r="B58" s="2">
        <v>218</v>
      </c>
      <c r="C58" s="26">
        <v>43543</v>
      </c>
      <c r="D58" s="26"/>
      <c r="F58" s="21">
        <v>0.97</v>
      </c>
      <c r="G58" s="2">
        <v>11</v>
      </c>
    </row>
    <row r="59" spans="1:7" ht="15.75" customHeight="1" x14ac:dyDescent="0.2">
      <c r="A59" s="2">
        <v>58</v>
      </c>
      <c r="B59" s="2">
        <v>219</v>
      </c>
      <c r="C59" s="26">
        <v>43559</v>
      </c>
      <c r="D59" s="26"/>
      <c r="F59" s="21">
        <v>0.99</v>
      </c>
      <c r="G59" s="2">
        <v>11</v>
      </c>
    </row>
    <row r="60" spans="1:7" ht="15.75" customHeight="1" x14ac:dyDescent="0.2">
      <c r="A60" s="2">
        <v>59</v>
      </c>
      <c r="B60" s="2">
        <v>220</v>
      </c>
      <c r="C60" s="26">
        <v>43580</v>
      </c>
      <c r="D60" s="26"/>
      <c r="F60" s="21">
        <v>0.91500000000000004</v>
      </c>
      <c r="G60" s="2">
        <v>11</v>
      </c>
    </row>
    <row r="61" spans="1:7" ht="15.75" customHeight="1" x14ac:dyDescent="0.2">
      <c r="A61" s="2">
        <v>60</v>
      </c>
      <c r="B61" s="2">
        <v>221</v>
      </c>
      <c r="C61" s="26">
        <v>43607</v>
      </c>
      <c r="D61" s="26"/>
      <c r="F61" s="21">
        <v>0.93500000000000005</v>
      </c>
      <c r="G61" s="2">
        <v>11</v>
      </c>
    </row>
    <row r="62" spans="1:7" ht="15.75" customHeight="1" x14ac:dyDescent="0.2">
      <c r="A62" s="2">
        <v>61</v>
      </c>
      <c r="B62" s="2">
        <v>222</v>
      </c>
      <c r="C62" s="26">
        <v>43641</v>
      </c>
      <c r="D62" s="26"/>
      <c r="F62" s="21">
        <v>0.98</v>
      </c>
      <c r="G62" s="2">
        <v>11</v>
      </c>
    </row>
    <row r="63" spans="1:7" ht="15.75" customHeight="1" x14ac:dyDescent="0.2">
      <c r="A63" s="2">
        <v>62</v>
      </c>
      <c r="B63" s="2">
        <v>97</v>
      </c>
      <c r="C63" s="26">
        <v>43727</v>
      </c>
      <c r="D63" s="26"/>
      <c r="F63" s="21">
        <v>0.91</v>
      </c>
      <c r="G63" s="2">
        <v>11</v>
      </c>
    </row>
    <row r="64" spans="1:7" ht="15.75" customHeight="1" x14ac:dyDescent="0.2">
      <c r="A64" s="2">
        <v>63</v>
      </c>
      <c r="B64" s="2">
        <v>98</v>
      </c>
      <c r="C64" s="26">
        <v>43748</v>
      </c>
      <c r="D64" s="26"/>
      <c r="F64" s="21">
        <v>0.95499999999999996</v>
      </c>
      <c r="G64" s="2">
        <v>11</v>
      </c>
    </row>
    <row r="65" spans="1:7" ht="15.75" customHeight="1" x14ac:dyDescent="0.2">
      <c r="A65" s="2">
        <v>64</v>
      </c>
      <c r="B65" s="2">
        <v>99</v>
      </c>
      <c r="C65" s="26">
        <v>43783</v>
      </c>
      <c r="D65" s="26"/>
      <c r="F65" s="21">
        <v>0.88</v>
      </c>
      <c r="G65" s="2">
        <v>11</v>
      </c>
    </row>
    <row r="66" spans="1:7" ht="15.75" customHeight="1" x14ac:dyDescent="0.2">
      <c r="A66" s="2">
        <v>65</v>
      </c>
      <c r="B66" s="2">
        <v>100</v>
      </c>
      <c r="C66" s="26">
        <v>43805</v>
      </c>
      <c r="D66" s="26"/>
      <c r="F66" s="21">
        <v>0.96</v>
      </c>
      <c r="G66" s="2">
        <v>11</v>
      </c>
    </row>
    <row r="67" spans="1:7" ht="15.75" customHeight="1" x14ac:dyDescent="0.2">
      <c r="A67" s="2">
        <v>66</v>
      </c>
      <c r="B67" s="2">
        <v>101</v>
      </c>
      <c r="C67" s="26">
        <v>43840</v>
      </c>
      <c r="D67" s="26"/>
      <c r="F67" s="21">
        <v>0.92500000000000004</v>
      </c>
      <c r="G67" s="2">
        <v>11</v>
      </c>
    </row>
    <row r="68" spans="1:7" ht="15.75" customHeight="1" x14ac:dyDescent="0.2">
      <c r="A68" s="2">
        <v>67</v>
      </c>
      <c r="B68" s="2">
        <v>102</v>
      </c>
      <c r="C68" s="26">
        <v>43861</v>
      </c>
      <c r="D68" s="26"/>
      <c r="F68" s="21">
        <v>1</v>
      </c>
      <c r="G68" s="2">
        <v>11</v>
      </c>
    </row>
    <row r="69" spans="1:7" ht="15.75" customHeight="1" x14ac:dyDescent="0.2">
      <c r="A69" s="2">
        <v>68</v>
      </c>
      <c r="B69" s="2">
        <v>103</v>
      </c>
      <c r="C69" s="26">
        <v>43879</v>
      </c>
      <c r="D69" s="26"/>
      <c r="F69" s="21">
        <v>0.82499999999999996</v>
      </c>
      <c r="G69" s="2">
        <v>11</v>
      </c>
    </row>
    <row r="70" spans="1:7" ht="15.75" customHeight="1" x14ac:dyDescent="0.2">
      <c r="A70" s="2">
        <v>69</v>
      </c>
      <c r="B70" s="2">
        <v>104</v>
      </c>
      <c r="C70" s="26">
        <v>43921</v>
      </c>
      <c r="D70" s="26"/>
      <c r="F70" s="21">
        <v>0.89</v>
      </c>
      <c r="G70" s="2">
        <v>11</v>
      </c>
    </row>
    <row r="71" spans="1:7" ht="15.75" customHeight="1" x14ac:dyDescent="0.2">
      <c r="A71" s="2">
        <v>70</v>
      </c>
      <c r="B71" s="2">
        <v>105</v>
      </c>
      <c r="C71" s="26">
        <v>43943</v>
      </c>
      <c r="D71" s="26"/>
      <c r="F71" s="21">
        <v>0.93</v>
      </c>
      <c r="G71" s="2">
        <v>11</v>
      </c>
    </row>
    <row r="72" spans="1:7" ht="15.75" customHeight="1" x14ac:dyDescent="0.2">
      <c r="A72" s="2">
        <v>71</v>
      </c>
      <c r="B72" s="2">
        <v>106</v>
      </c>
      <c r="C72" s="26">
        <v>43979</v>
      </c>
      <c r="D72" s="26"/>
      <c r="F72" s="21">
        <v>0.94499999999999995</v>
      </c>
      <c r="G72" s="2">
        <v>11</v>
      </c>
    </row>
    <row r="73" spans="1:7" ht="15.75" customHeight="1" x14ac:dyDescent="0.2">
      <c r="A73" s="2">
        <v>72</v>
      </c>
      <c r="B73" s="2">
        <v>107</v>
      </c>
      <c r="C73" s="26">
        <v>43993</v>
      </c>
      <c r="D73" s="26"/>
      <c r="F73" s="21">
        <v>0.95</v>
      </c>
      <c r="G73" s="2">
        <v>11</v>
      </c>
    </row>
    <row r="74" spans="1:7" ht="15.75" customHeight="1" x14ac:dyDescent="0.2">
      <c r="A74" s="2">
        <v>73</v>
      </c>
      <c r="B74" s="2">
        <v>108</v>
      </c>
      <c r="C74" s="26">
        <v>44012</v>
      </c>
      <c r="D74" s="26"/>
      <c r="F74" s="21">
        <v>0.93</v>
      </c>
      <c r="G74" s="2">
        <v>11</v>
      </c>
    </row>
    <row r="75" spans="1:7" ht="15.75" customHeight="1" x14ac:dyDescent="0.2">
      <c r="A75" s="2">
        <v>74</v>
      </c>
      <c r="B75" s="2">
        <v>109</v>
      </c>
      <c r="C75" s="26">
        <v>44169</v>
      </c>
      <c r="D75" s="26"/>
      <c r="F75" s="21">
        <v>0.79500000000000004</v>
      </c>
      <c r="G75" s="2">
        <v>11</v>
      </c>
    </row>
    <row r="76" spans="1:7" ht="15.75" customHeight="1" x14ac:dyDescent="0.2">
      <c r="A76" s="2">
        <v>75</v>
      </c>
      <c r="B76" s="2">
        <v>109</v>
      </c>
      <c r="C76" s="26">
        <v>44215</v>
      </c>
      <c r="D76" s="26"/>
      <c r="F76" s="21">
        <v>0.92500000000000004</v>
      </c>
      <c r="G76" s="2">
        <v>11</v>
      </c>
    </row>
    <row r="77" spans="1:7" ht="15.75" customHeight="1" x14ac:dyDescent="0.2">
      <c r="A77" s="2">
        <v>76</v>
      </c>
      <c r="B77" s="2">
        <v>110</v>
      </c>
      <c r="C77" s="26">
        <v>44183</v>
      </c>
      <c r="D77" s="26"/>
      <c r="F77" s="21">
        <v>0.94</v>
      </c>
      <c r="G77" s="2">
        <v>11</v>
      </c>
    </row>
    <row r="78" spans="1:7" ht="15.75" customHeight="1" x14ac:dyDescent="0.2">
      <c r="A78" s="2">
        <v>77</v>
      </c>
      <c r="B78" s="2">
        <v>111</v>
      </c>
      <c r="C78" s="26">
        <v>44229</v>
      </c>
      <c r="D78" s="26"/>
      <c r="F78" s="21">
        <v>0.96</v>
      </c>
      <c r="G78" s="2">
        <v>11</v>
      </c>
    </row>
    <row r="79" spans="1:7" ht="15.75" customHeight="1" x14ac:dyDescent="0.2">
      <c r="A79" s="2">
        <v>78</v>
      </c>
      <c r="B79" s="2">
        <v>112</v>
      </c>
      <c r="C79" s="26">
        <v>44245</v>
      </c>
      <c r="D79" s="26"/>
      <c r="F79" s="21">
        <v>0.88</v>
      </c>
      <c r="G79" s="2">
        <v>11</v>
      </c>
    </row>
    <row r="80" spans="1:7" ht="15.75" customHeight="1" x14ac:dyDescent="0.2">
      <c r="A80" s="2">
        <v>79</v>
      </c>
      <c r="B80" s="2">
        <v>113</v>
      </c>
      <c r="C80" s="26">
        <v>44271</v>
      </c>
      <c r="D80" s="26"/>
      <c r="F80" s="21">
        <v>0.98</v>
      </c>
      <c r="G80" s="2">
        <v>11</v>
      </c>
    </row>
    <row r="81" spans="1:7" ht="15.75" customHeight="1" x14ac:dyDescent="0.2">
      <c r="A81" s="2">
        <v>80</v>
      </c>
      <c r="B81" s="2">
        <v>114</v>
      </c>
      <c r="C81" s="26">
        <v>44287</v>
      </c>
      <c r="D81" s="26"/>
      <c r="F81" s="21">
        <v>0.63</v>
      </c>
      <c r="G81" s="2">
        <v>11</v>
      </c>
    </row>
    <row r="82" spans="1:7" ht="15.75" customHeight="1" x14ac:dyDescent="0.2">
      <c r="A82" s="2">
        <v>81</v>
      </c>
      <c r="B82" s="2">
        <v>114</v>
      </c>
      <c r="C82" s="26">
        <v>44294</v>
      </c>
      <c r="D82" s="26"/>
      <c r="F82" s="21">
        <v>0.94</v>
      </c>
      <c r="G82" s="2">
        <v>11</v>
      </c>
    </row>
    <row r="83" spans="1:7" ht="15.75" customHeight="1" x14ac:dyDescent="0.2">
      <c r="A83" s="2">
        <v>82</v>
      </c>
      <c r="C83" s="26"/>
      <c r="D83" s="26"/>
      <c r="F83" s="21"/>
    </row>
    <row r="84" spans="1:7" ht="15.75" customHeight="1" x14ac:dyDescent="0.2">
      <c r="A84" s="2">
        <v>83</v>
      </c>
      <c r="C84" s="26"/>
      <c r="D84" s="26"/>
      <c r="F84" s="21"/>
    </row>
    <row r="85" spans="1:7" ht="15.75" customHeight="1" x14ac:dyDescent="0.2">
      <c r="C85" s="26"/>
      <c r="D85" s="26"/>
      <c r="F85" s="21"/>
    </row>
    <row r="86" spans="1:7" ht="15.75" customHeight="1" x14ac:dyDescent="0.2">
      <c r="C86" s="26"/>
      <c r="D86" s="26"/>
      <c r="F86" s="21"/>
    </row>
    <row r="87" spans="1:7" ht="15.75" customHeight="1" x14ac:dyDescent="0.2">
      <c r="C87" s="26"/>
      <c r="D87" s="26"/>
      <c r="F87" s="21"/>
    </row>
    <row r="88" spans="1:7" ht="15.75" customHeight="1" x14ac:dyDescent="0.2">
      <c r="C88" s="26"/>
      <c r="D88" s="26"/>
      <c r="F88" s="21"/>
    </row>
    <row r="89" spans="1:7" ht="15.75" customHeight="1" x14ac:dyDescent="0.2">
      <c r="C89" s="26"/>
      <c r="D89" s="26"/>
      <c r="F89" s="21"/>
    </row>
    <row r="90" spans="1:7" ht="15.75" customHeight="1" x14ac:dyDescent="0.2">
      <c r="C90" s="26"/>
      <c r="D90" s="26"/>
      <c r="F90" s="21"/>
    </row>
    <row r="91" spans="1:7" ht="15.75" customHeight="1" x14ac:dyDescent="0.2">
      <c r="C91" s="26"/>
      <c r="D91" s="26"/>
      <c r="F91" s="21"/>
    </row>
    <row r="92" spans="1:7" ht="15.75" customHeight="1" x14ac:dyDescent="0.2">
      <c r="C92" s="26"/>
      <c r="D92" s="26"/>
      <c r="F92" s="21"/>
    </row>
    <row r="93" spans="1:7" ht="15.75" customHeight="1" x14ac:dyDescent="0.2">
      <c r="C93" s="26"/>
      <c r="D93" s="26"/>
      <c r="F93" s="21"/>
    </row>
    <row r="94" spans="1:7" ht="15.75" customHeight="1" x14ac:dyDescent="0.2">
      <c r="C94" s="26"/>
      <c r="D94" s="26"/>
      <c r="F94" s="21"/>
    </row>
    <row r="95" spans="1:7" ht="15.75" customHeight="1" x14ac:dyDescent="0.2">
      <c r="C95" s="26"/>
      <c r="D95" s="26"/>
      <c r="F95" s="21"/>
    </row>
    <row r="96" spans="1:7" ht="15.75" customHeight="1" x14ac:dyDescent="0.2">
      <c r="C96" s="26"/>
      <c r="D96" s="26"/>
      <c r="F96" s="21"/>
    </row>
    <row r="97" spans="3:6" ht="15.75" customHeight="1" x14ac:dyDescent="0.2">
      <c r="C97" s="26"/>
      <c r="D97" s="26"/>
      <c r="F97" s="21"/>
    </row>
    <row r="98" spans="3:6" ht="15.75" customHeight="1" x14ac:dyDescent="0.2">
      <c r="C98" s="26"/>
      <c r="D98" s="26"/>
      <c r="F98" s="21"/>
    </row>
    <row r="99" spans="3:6" ht="15.75" customHeight="1" x14ac:dyDescent="0.2">
      <c r="C99" s="26"/>
      <c r="D99" s="26"/>
      <c r="F99" s="21"/>
    </row>
    <row r="100" spans="3:6" ht="15.75" customHeight="1" x14ac:dyDescent="0.2">
      <c r="C100" s="26"/>
      <c r="D100" s="26"/>
      <c r="F100" s="21"/>
    </row>
    <row r="101" spans="3:6" ht="15.75" customHeight="1" x14ac:dyDescent="0.2">
      <c r="C101" s="26"/>
      <c r="D101" s="26"/>
      <c r="F101" s="21"/>
    </row>
    <row r="102" spans="3:6" ht="15.75" customHeight="1" x14ac:dyDescent="0.2">
      <c r="C102" s="26"/>
      <c r="D102" s="26"/>
      <c r="F102" s="21"/>
    </row>
    <row r="103" spans="3:6" ht="15.75" customHeight="1" x14ac:dyDescent="0.2">
      <c r="C103" s="26"/>
      <c r="D103" s="26"/>
      <c r="F103" s="21"/>
    </row>
    <row r="104" spans="3:6" ht="15.75" customHeight="1" x14ac:dyDescent="0.2">
      <c r="C104" s="26"/>
      <c r="D104" s="26"/>
      <c r="F104" s="21"/>
    </row>
    <row r="105" spans="3:6" ht="15.75" customHeight="1" x14ac:dyDescent="0.2">
      <c r="C105" s="26"/>
      <c r="D105" s="26"/>
      <c r="F105" s="21"/>
    </row>
    <row r="106" spans="3:6" ht="15.75" customHeight="1" x14ac:dyDescent="0.2">
      <c r="C106" s="26"/>
      <c r="D106" s="26"/>
      <c r="F106" s="21"/>
    </row>
    <row r="107" spans="3:6" ht="15.75" customHeight="1" x14ac:dyDescent="0.2">
      <c r="C107" s="26"/>
      <c r="D107" s="26"/>
      <c r="F107" s="21"/>
    </row>
    <row r="108" spans="3:6" ht="15.75" customHeight="1" x14ac:dyDescent="0.2">
      <c r="C108" s="26"/>
      <c r="D108" s="26"/>
      <c r="F108" s="21"/>
    </row>
    <row r="109" spans="3:6" ht="15.75" customHeight="1" x14ac:dyDescent="0.2">
      <c r="C109" s="26"/>
      <c r="D109" s="26"/>
      <c r="F109" s="21"/>
    </row>
    <row r="110" spans="3:6" ht="15.75" customHeight="1" x14ac:dyDescent="0.2">
      <c r="C110" s="26"/>
      <c r="D110" s="26"/>
      <c r="F110" s="21"/>
    </row>
    <row r="111" spans="3:6" ht="15.75" customHeight="1" x14ac:dyDescent="0.2">
      <c r="C111" s="26"/>
      <c r="D111" s="26"/>
      <c r="F111" s="21"/>
    </row>
    <row r="112" spans="3:6" ht="15.75" customHeight="1" x14ac:dyDescent="0.2">
      <c r="C112" s="26"/>
      <c r="D112" s="26"/>
      <c r="F112" s="21"/>
    </row>
    <row r="113" spans="3:6" ht="15.75" customHeight="1" x14ac:dyDescent="0.2">
      <c r="C113" s="26"/>
      <c r="D113" s="26"/>
      <c r="F113" s="21"/>
    </row>
    <row r="114" spans="3:6" ht="15.75" customHeight="1" x14ac:dyDescent="0.2">
      <c r="C114" s="26"/>
      <c r="D114" s="26"/>
      <c r="F114" s="21"/>
    </row>
    <row r="115" spans="3:6" ht="15.75" customHeight="1" x14ac:dyDescent="0.2">
      <c r="C115" s="26"/>
      <c r="D115" s="26"/>
      <c r="F115" s="21"/>
    </row>
    <row r="116" spans="3:6" ht="15.75" customHeight="1" x14ac:dyDescent="0.2">
      <c r="C116" s="26"/>
      <c r="D116" s="26"/>
      <c r="F116" s="21"/>
    </row>
    <row r="117" spans="3:6" ht="15.75" customHeight="1" x14ac:dyDescent="0.2">
      <c r="C117" s="26"/>
      <c r="D117" s="26"/>
      <c r="F117" s="21"/>
    </row>
    <row r="118" spans="3:6" ht="15.75" customHeight="1" x14ac:dyDescent="0.2">
      <c r="C118" s="26"/>
      <c r="D118" s="26"/>
      <c r="F118" s="21"/>
    </row>
    <row r="119" spans="3:6" ht="15.75" customHeight="1" x14ac:dyDescent="0.2">
      <c r="C119" s="26"/>
      <c r="D119" s="26"/>
      <c r="F119" s="21"/>
    </row>
    <row r="120" spans="3:6" ht="15.75" customHeight="1" x14ac:dyDescent="0.2">
      <c r="C120" s="26"/>
      <c r="D120" s="26"/>
      <c r="F120" s="21"/>
    </row>
    <row r="121" spans="3:6" ht="15.75" customHeight="1" x14ac:dyDescent="0.2">
      <c r="C121" s="26"/>
      <c r="D121" s="26"/>
      <c r="F121" s="21"/>
    </row>
    <row r="122" spans="3:6" ht="15.75" customHeight="1" x14ac:dyDescent="0.2">
      <c r="C122" s="26"/>
      <c r="D122" s="26"/>
      <c r="F122" s="21"/>
    </row>
    <row r="123" spans="3:6" ht="15.75" customHeight="1" x14ac:dyDescent="0.2">
      <c r="C123" s="26"/>
      <c r="D123" s="26"/>
      <c r="F123" s="21"/>
    </row>
    <row r="124" spans="3:6" ht="15.75" customHeight="1" x14ac:dyDescent="0.2">
      <c r="C124" s="26"/>
      <c r="D124" s="26"/>
      <c r="F124" s="21"/>
    </row>
    <row r="125" spans="3:6" ht="15.75" customHeight="1" x14ac:dyDescent="0.2">
      <c r="C125" s="26"/>
      <c r="D125" s="26"/>
      <c r="F125" s="21"/>
    </row>
    <row r="126" spans="3:6" ht="15.75" customHeight="1" x14ac:dyDescent="0.2">
      <c r="C126" s="26"/>
      <c r="D126" s="26"/>
      <c r="F126" s="21"/>
    </row>
    <row r="127" spans="3:6" ht="15.75" customHeight="1" x14ac:dyDescent="0.2">
      <c r="C127" s="26"/>
      <c r="D127" s="26"/>
      <c r="F127" s="21"/>
    </row>
    <row r="128" spans="3:6" ht="15.75" customHeight="1" x14ac:dyDescent="0.2">
      <c r="C128" s="26"/>
      <c r="D128" s="26"/>
      <c r="F128" s="21"/>
    </row>
    <row r="129" spans="3:6" ht="15.75" customHeight="1" x14ac:dyDescent="0.2">
      <c r="C129" s="26"/>
      <c r="D129" s="26"/>
      <c r="F129" s="21"/>
    </row>
    <row r="130" spans="3:6" ht="15.75" customHeight="1" x14ac:dyDescent="0.2">
      <c r="C130" s="26"/>
      <c r="D130" s="26"/>
      <c r="F130" s="21"/>
    </row>
    <row r="131" spans="3:6" ht="15.75" customHeight="1" x14ac:dyDescent="0.2">
      <c r="C131" s="26"/>
      <c r="D131" s="26"/>
      <c r="F131" s="21"/>
    </row>
    <row r="132" spans="3:6" ht="15.75" customHeight="1" x14ac:dyDescent="0.2">
      <c r="C132" s="26"/>
      <c r="D132" s="26"/>
      <c r="F132" s="21"/>
    </row>
    <row r="133" spans="3:6" ht="15.75" customHeight="1" x14ac:dyDescent="0.2">
      <c r="C133" s="26"/>
      <c r="D133" s="26"/>
      <c r="F133" s="21"/>
    </row>
    <row r="134" spans="3:6" ht="15.75" customHeight="1" x14ac:dyDescent="0.2">
      <c r="C134" s="26"/>
      <c r="D134" s="26"/>
      <c r="F134" s="21"/>
    </row>
    <row r="135" spans="3:6" ht="15.75" customHeight="1" x14ac:dyDescent="0.2">
      <c r="C135" s="26"/>
      <c r="D135" s="26"/>
      <c r="F135" s="21"/>
    </row>
    <row r="136" spans="3:6" ht="15.75" customHeight="1" x14ac:dyDescent="0.2">
      <c r="C136" s="26"/>
      <c r="D136" s="26"/>
      <c r="F136" s="21"/>
    </row>
    <row r="137" spans="3:6" ht="15.75" customHeight="1" x14ac:dyDescent="0.2">
      <c r="C137" s="26"/>
      <c r="D137" s="26"/>
      <c r="F137" s="21"/>
    </row>
    <row r="138" spans="3:6" ht="15.75" customHeight="1" x14ac:dyDescent="0.2">
      <c r="C138" s="26"/>
      <c r="D138" s="26"/>
      <c r="F138" s="21"/>
    </row>
    <row r="139" spans="3:6" ht="15.75" customHeight="1" x14ac:dyDescent="0.2">
      <c r="C139" s="26"/>
      <c r="D139" s="26"/>
      <c r="F139" s="21"/>
    </row>
    <row r="140" spans="3:6" ht="15.75" customHeight="1" x14ac:dyDescent="0.2">
      <c r="C140" s="26"/>
      <c r="D140" s="26"/>
      <c r="F140" s="21"/>
    </row>
    <row r="141" spans="3:6" ht="15.75" customHeight="1" x14ac:dyDescent="0.2">
      <c r="C141" s="26"/>
      <c r="D141" s="26"/>
      <c r="F141" s="21"/>
    </row>
    <row r="142" spans="3:6" ht="15.75" customHeight="1" x14ac:dyDescent="0.2">
      <c r="C142" s="26"/>
      <c r="D142" s="26"/>
      <c r="F142" s="21"/>
    </row>
    <row r="143" spans="3:6" ht="15.75" customHeight="1" x14ac:dyDescent="0.2">
      <c r="C143" s="26"/>
      <c r="D143" s="26"/>
      <c r="F143" s="21"/>
    </row>
    <row r="144" spans="3:6" ht="15.75" customHeight="1" x14ac:dyDescent="0.2">
      <c r="C144" s="26"/>
      <c r="D144" s="26"/>
      <c r="F144" s="21"/>
    </row>
    <row r="145" spans="3:6" ht="15.75" customHeight="1" x14ac:dyDescent="0.2">
      <c r="C145" s="26"/>
      <c r="D145" s="26"/>
      <c r="F145" s="21"/>
    </row>
    <row r="146" spans="3:6" ht="15.75" customHeight="1" x14ac:dyDescent="0.2">
      <c r="C146" s="26"/>
      <c r="D146" s="26"/>
      <c r="F146" s="21"/>
    </row>
    <row r="147" spans="3:6" ht="15.75" customHeight="1" x14ac:dyDescent="0.2">
      <c r="C147" s="26"/>
      <c r="D147" s="26"/>
      <c r="F147" s="21"/>
    </row>
    <row r="148" spans="3:6" ht="15.75" customHeight="1" x14ac:dyDescent="0.2">
      <c r="C148" s="26"/>
      <c r="D148" s="26"/>
      <c r="F148" s="21"/>
    </row>
    <row r="149" spans="3:6" ht="15.75" customHeight="1" x14ac:dyDescent="0.2">
      <c r="C149" s="26"/>
      <c r="D149" s="26"/>
      <c r="F149" s="21"/>
    </row>
    <row r="150" spans="3:6" ht="15.75" customHeight="1" x14ac:dyDescent="0.2">
      <c r="C150" s="26"/>
      <c r="D150" s="26"/>
      <c r="F150" s="21"/>
    </row>
    <row r="151" spans="3:6" ht="15.75" customHeight="1" x14ac:dyDescent="0.2">
      <c r="C151" s="26"/>
      <c r="D151" s="26"/>
      <c r="F151" s="21"/>
    </row>
    <row r="152" spans="3:6" ht="15.75" customHeight="1" x14ac:dyDescent="0.2">
      <c r="C152" s="26"/>
      <c r="D152" s="26"/>
      <c r="F152" s="21"/>
    </row>
    <row r="153" spans="3:6" ht="15.75" customHeight="1" x14ac:dyDescent="0.2">
      <c r="C153" s="26"/>
      <c r="D153" s="26"/>
      <c r="F153" s="21"/>
    </row>
    <row r="154" spans="3:6" ht="15.75" customHeight="1" x14ac:dyDescent="0.2">
      <c r="C154" s="26"/>
      <c r="D154" s="26"/>
      <c r="F154" s="21"/>
    </row>
    <row r="155" spans="3:6" ht="15.75" customHeight="1" x14ac:dyDescent="0.2">
      <c r="C155" s="26"/>
      <c r="D155" s="26"/>
      <c r="F155" s="21"/>
    </row>
    <row r="156" spans="3:6" ht="15.75" customHeight="1" x14ac:dyDescent="0.2">
      <c r="C156" s="26"/>
      <c r="D156" s="26"/>
      <c r="F156" s="21"/>
    </row>
    <row r="157" spans="3:6" ht="15.75" customHeight="1" x14ac:dyDescent="0.2">
      <c r="C157" s="26"/>
      <c r="D157" s="26"/>
      <c r="F157" s="21"/>
    </row>
    <row r="158" spans="3:6" ht="15.75" customHeight="1" x14ac:dyDescent="0.2">
      <c r="C158" s="26"/>
      <c r="D158" s="26"/>
      <c r="F158" s="21"/>
    </row>
    <row r="159" spans="3:6" ht="15.75" customHeight="1" x14ac:dyDescent="0.2">
      <c r="C159" s="26"/>
      <c r="D159" s="26"/>
      <c r="F159" s="21"/>
    </row>
    <row r="160" spans="3:6" ht="15.75" customHeight="1" x14ac:dyDescent="0.2">
      <c r="C160" s="26"/>
      <c r="D160" s="26"/>
      <c r="F160" s="21"/>
    </row>
    <row r="161" spans="3:6" ht="15.75" customHeight="1" x14ac:dyDescent="0.2">
      <c r="C161" s="26"/>
      <c r="D161" s="26"/>
      <c r="F161" s="21"/>
    </row>
    <row r="162" spans="3:6" ht="15.75" customHeight="1" x14ac:dyDescent="0.2">
      <c r="C162" s="26"/>
      <c r="D162" s="26"/>
      <c r="F162" s="21"/>
    </row>
    <row r="163" spans="3:6" ht="15.75" customHeight="1" x14ac:dyDescent="0.2">
      <c r="C163" s="26"/>
      <c r="D163" s="26"/>
      <c r="F163" s="21"/>
    </row>
    <row r="164" spans="3:6" ht="15.75" customHeight="1" x14ac:dyDescent="0.2">
      <c r="C164" s="26"/>
      <c r="D164" s="26"/>
      <c r="F164" s="21"/>
    </row>
    <row r="165" spans="3:6" ht="15.75" customHeight="1" x14ac:dyDescent="0.2">
      <c r="C165" s="26"/>
      <c r="D165" s="26"/>
      <c r="F165" s="21"/>
    </row>
    <row r="166" spans="3:6" ht="15.75" customHeight="1" x14ac:dyDescent="0.2">
      <c r="C166" s="26"/>
      <c r="D166" s="26"/>
      <c r="F166" s="21"/>
    </row>
    <row r="167" spans="3:6" ht="15.75" customHeight="1" x14ac:dyDescent="0.2">
      <c r="C167" s="26"/>
      <c r="D167" s="26"/>
      <c r="F167" s="21"/>
    </row>
    <row r="168" spans="3:6" ht="15.75" customHeight="1" x14ac:dyDescent="0.2">
      <c r="C168" s="26"/>
      <c r="D168" s="26"/>
      <c r="F168" s="21"/>
    </row>
    <row r="169" spans="3:6" ht="15.75" customHeight="1" x14ac:dyDescent="0.2">
      <c r="C169" s="26"/>
      <c r="D169" s="26"/>
      <c r="F169" s="21"/>
    </row>
    <row r="170" spans="3:6" ht="15.75" customHeight="1" x14ac:dyDescent="0.2">
      <c r="C170" s="26"/>
      <c r="D170" s="26"/>
      <c r="F170" s="21"/>
    </row>
    <row r="171" spans="3:6" ht="15.75" customHeight="1" x14ac:dyDescent="0.2">
      <c r="C171" s="26"/>
      <c r="D171" s="26"/>
      <c r="F171" s="21"/>
    </row>
    <row r="172" spans="3:6" ht="15.75" customHeight="1" x14ac:dyDescent="0.2">
      <c r="C172" s="26"/>
      <c r="D172" s="26"/>
      <c r="F172" s="21"/>
    </row>
    <row r="173" spans="3:6" ht="15.75" customHeight="1" x14ac:dyDescent="0.2">
      <c r="C173" s="26"/>
      <c r="D173" s="26"/>
      <c r="F173" s="21"/>
    </row>
    <row r="174" spans="3:6" ht="15.75" customHeight="1" x14ac:dyDescent="0.2">
      <c r="C174" s="26"/>
      <c r="D174" s="26"/>
      <c r="F174" s="21"/>
    </row>
    <row r="175" spans="3:6" ht="15.75" customHeight="1" x14ac:dyDescent="0.2">
      <c r="C175" s="26"/>
      <c r="D175" s="26"/>
      <c r="F175" s="21"/>
    </row>
    <row r="176" spans="3:6" ht="15.75" customHeight="1" x14ac:dyDescent="0.2">
      <c r="C176" s="26"/>
      <c r="D176" s="26"/>
      <c r="F176" s="21"/>
    </row>
    <row r="177" spans="3:6" ht="15.75" customHeight="1" x14ac:dyDescent="0.2">
      <c r="C177" s="26"/>
      <c r="D177" s="26"/>
      <c r="F177" s="21"/>
    </row>
    <row r="178" spans="3:6" ht="15.75" customHeight="1" x14ac:dyDescent="0.2">
      <c r="C178" s="26"/>
      <c r="D178" s="26"/>
      <c r="F178" s="21"/>
    </row>
    <row r="179" spans="3:6" ht="15.75" customHeight="1" x14ac:dyDescent="0.2">
      <c r="C179" s="26"/>
      <c r="D179" s="26"/>
      <c r="F179" s="21"/>
    </row>
    <row r="180" spans="3:6" ht="15.75" customHeight="1" x14ac:dyDescent="0.2">
      <c r="C180" s="26"/>
      <c r="D180" s="26"/>
      <c r="F180" s="21"/>
    </row>
    <row r="181" spans="3:6" ht="15.75" customHeight="1" x14ac:dyDescent="0.2">
      <c r="C181" s="26"/>
      <c r="D181" s="26"/>
      <c r="F181" s="21"/>
    </row>
    <row r="182" spans="3:6" ht="15.75" customHeight="1" x14ac:dyDescent="0.2">
      <c r="C182" s="26"/>
      <c r="D182" s="26"/>
      <c r="F182" s="21"/>
    </row>
    <row r="183" spans="3:6" ht="15.75" customHeight="1" x14ac:dyDescent="0.2">
      <c r="C183" s="26"/>
      <c r="D183" s="26"/>
      <c r="F183" s="21"/>
    </row>
    <row r="184" spans="3:6" ht="15.75" customHeight="1" x14ac:dyDescent="0.2">
      <c r="C184" s="26"/>
      <c r="D184" s="26"/>
      <c r="F184" s="21"/>
    </row>
    <row r="185" spans="3:6" ht="15.75" customHeight="1" x14ac:dyDescent="0.2">
      <c r="C185" s="26"/>
      <c r="D185" s="26"/>
      <c r="F185" s="21"/>
    </row>
    <row r="186" spans="3:6" ht="15.75" customHeight="1" x14ac:dyDescent="0.2">
      <c r="C186" s="26"/>
      <c r="D186" s="26"/>
      <c r="F186" s="21"/>
    </row>
    <row r="187" spans="3:6" ht="15.75" customHeight="1" x14ac:dyDescent="0.2">
      <c r="C187" s="26"/>
      <c r="D187" s="26"/>
      <c r="F187" s="21"/>
    </row>
    <row r="188" spans="3:6" ht="15.75" customHeight="1" x14ac:dyDescent="0.2">
      <c r="C188" s="26"/>
      <c r="D188" s="26"/>
      <c r="F188" s="21"/>
    </row>
    <row r="189" spans="3:6" ht="15.75" customHeight="1" x14ac:dyDescent="0.2">
      <c r="C189" s="26"/>
      <c r="D189" s="26"/>
      <c r="F189" s="21"/>
    </row>
    <row r="190" spans="3:6" ht="15.75" customHeight="1" x14ac:dyDescent="0.2">
      <c r="C190" s="26"/>
      <c r="D190" s="26"/>
      <c r="F190" s="21"/>
    </row>
    <row r="191" spans="3:6" ht="15.75" customHeight="1" x14ac:dyDescent="0.2">
      <c r="C191" s="26"/>
      <c r="D191" s="26"/>
      <c r="F191" s="21"/>
    </row>
    <row r="192" spans="3:6" ht="15.75" customHeight="1" x14ac:dyDescent="0.2">
      <c r="C192" s="26"/>
      <c r="D192" s="26"/>
      <c r="F192" s="21"/>
    </row>
    <row r="193" spans="3:6" ht="15.75" customHeight="1" x14ac:dyDescent="0.2">
      <c r="C193" s="26"/>
      <c r="D193" s="26"/>
      <c r="F193" s="21"/>
    </row>
    <row r="194" spans="3:6" ht="15.75" customHeight="1" x14ac:dyDescent="0.2">
      <c r="C194" s="26"/>
      <c r="D194" s="26"/>
      <c r="F194" s="21"/>
    </row>
    <row r="195" spans="3:6" ht="15.75" customHeight="1" x14ac:dyDescent="0.2">
      <c r="C195" s="26"/>
      <c r="D195" s="26"/>
      <c r="F195" s="21"/>
    </row>
    <row r="196" spans="3:6" ht="15.75" customHeight="1" x14ac:dyDescent="0.2">
      <c r="C196" s="26"/>
      <c r="D196" s="26"/>
      <c r="F196" s="21"/>
    </row>
    <row r="197" spans="3:6" ht="15.75" customHeight="1" x14ac:dyDescent="0.2">
      <c r="C197" s="26"/>
      <c r="D197" s="26"/>
      <c r="F197" s="21"/>
    </row>
    <row r="198" spans="3:6" ht="15.75" customHeight="1" x14ac:dyDescent="0.2">
      <c r="C198" s="26"/>
      <c r="D198" s="26"/>
      <c r="F198" s="21"/>
    </row>
    <row r="199" spans="3:6" ht="15.75" customHeight="1" x14ac:dyDescent="0.2">
      <c r="C199" s="26"/>
      <c r="D199" s="26"/>
      <c r="F199" s="21"/>
    </row>
    <row r="200" spans="3:6" ht="15.75" customHeight="1" x14ac:dyDescent="0.2">
      <c r="C200" s="26"/>
      <c r="D200" s="26"/>
      <c r="F200" s="21"/>
    </row>
    <row r="201" spans="3:6" ht="15.75" customHeight="1" x14ac:dyDescent="0.2">
      <c r="C201" s="26"/>
      <c r="D201" s="26"/>
      <c r="F201" s="21"/>
    </row>
    <row r="202" spans="3:6" ht="15.75" customHeight="1" x14ac:dyDescent="0.2">
      <c r="C202" s="26"/>
      <c r="D202" s="26"/>
      <c r="F202" s="21"/>
    </row>
    <row r="203" spans="3:6" ht="15.75" customHeight="1" x14ac:dyDescent="0.2">
      <c r="C203" s="26"/>
      <c r="D203" s="26"/>
      <c r="F203" s="21"/>
    </row>
    <row r="204" spans="3:6" ht="15.75" customHeight="1" x14ac:dyDescent="0.2">
      <c r="C204" s="26"/>
      <c r="D204" s="26"/>
      <c r="F204" s="21"/>
    </row>
    <row r="205" spans="3:6" ht="15.75" customHeight="1" x14ac:dyDescent="0.2">
      <c r="C205" s="26"/>
      <c r="D205" s="26"/>
      <c r="F205" s="21"/>
    </row>
    <row r="206" spans="3:6" ht="15.75" customHeight="1" x14ac:dyDescent="0.2">
      <c r="C206" s="26"/>
      <c r="D206" s="26"/>
      <c r="F206" s="21"/>
    </row>
    <row r="207" spans="3:6" ht="15.75" customHeight="1" x14ac:dyDescent="0.2">
      <c r="C207" s="26"/>
      <c r="D207" s="26"/>
      <c r="F207" s="21"/>
    </row>
    <row r="208" spans="3:6" ht="15.75" customHeight="1" x14ac:dyDescent="0.2">
      <c r="C208" s="26"/>
      <c r="D208" s="26"/>
      <c r="F208" s="21"/>
    </row>
    <row r="209" spans="3:6" ht="15.75" customHeight="1" x14ac:dyDescent="0.2">
      <c r="C209" s="26"/>
      <c r="D209" s="26"/>
      <c r="F209" s="21"/>
    </row>
    <row r="210" spans="3:6" ht="15.75" customHeight="1" x14ac:dyDescent="0.2">
      <c r="C210" s="26"/>
      <c r="D210" s="26"/>
      <c r="F210" s="21"/>
    </row>
    <row r="211" spans="3:6" ht="15.75" customHeight="1" x14ac:dyDescent="0.2">
      <c r="C211" s="26"/>
      <c r="D211" s="26"/>
      <c r="F211" s="21"/>
    </row>
    <row r="212" spans="3:6" ht="15.75" customHeight="1" x14ac:dyDescent="0.2">
      <c r="C212" s="26"/>
      <c r="D212" s="26"/>
      <c r="F212" s="21"/>
    </row>
    <row r="213" spans="3:6" ht="15.75" customHeight="1" x14ac:dyDescent="0.2">
      <c r="C213" s="26"/>
      <c r="D213" s="26"/>
      <c r="F213" s="21"/>
    </row>
    <row r="214" spans="3:6" ht="15.75" customHeight="1" x14ac:dyDescent="0.2">
      <c r="C214" s="26"/>
      <c r="D214" s="26"/>
      <c r="F214" s="21"/>
    </row>
    <row r="215" spans="3:6" ht="15.75" customHeight="1" x14ac:dyDescent="0.2">
      <c r="C215" s="26"/>
      <c r="D215" s="26"/>
      <c r="F215" s="21"/>
    </row>
    <row r="216" spans="3:6" ht="15.75" customHeight="1" x14ac:dyDescent="0.2">
      <c r="C216" s="26"/>
      <c r="D216" s="26"/>
      <c r="F216" s="21"/>
    </row>
    <row r="217" spans="3:6" ht="15.75" customHeight="1" x14ac:dyDescent="0.2">
      <c r="C217" s="26"/>
      <c r="D217" s="26"/>
      <c r="F217" s="21"/>
    </row>
    <row r="218" spans="3:6" ht="15.75" customHeight="1" x14ac:dyDescent="0.2">
      <c r="C218" s="26"/>
      <c r="D218" s="26"/>
      <c r="F218" s="21"/>
    </row>
    <row r="219" spans="3:6" ht="15.75" customHeight="1" x14ac:dyDescent="0.2">
      <c r="C219" s="26"/>
      <c r="D219" s="26"/>
      <c r="F219" s="21"/>
    </row>
    <row r="220" spans="3:6" ht="15.75" customHeight="1" x14ac:dyDescent="0.2">
      <c r="C220" s="26"/>
      <c r="D220" s="26"/>
      <c r="F220" s="21"/>
    </row>
    <row r="221" spans="3:6" ht="15.75" customHeight="1" x14ac:dyDescent="0.2">
      <c r="C221" s="26"/>
      <c r="D221" s="26"/>
      <c r="F221" s="21"/>
    </row>
    <row r="222" spans="3:6" ht="15.75" customHeight="1" x14ac:dyDescent="0.2">
      <c r="C222" s="26"/>
      <c r="D222" s="26"/>
      <c r="F222" s="21"/>
    </row>
    <row r="223" spans="3:6" ht="15.75" customHeight="1" x14ac:dyDescent="0.2">
      <c r="C223" s="26"/>
      <c r="D223" s="26"/>
      <c r="F223" s="21"/>
    </row>
    <row r="224" spans="3:6" ht="15.75" customHeight="1" x14ac:dyDescent="0.2">
      <c r="C224" s="26"/>
      <c r="D224" s="26"/>
      <c r="F224" s="21"/>
    </row>
    <row r="225" spans="3:6" ht="15.75" customHeight="1" x14ac:dyDescent="0.2">
      <c r="C225" s="26"/>
      <c r="D225" s="26"/>
      <c r="F225" s="21"/>
    </row>
    <row r="226" spans="3:6" ht="15.75" customHeight="1" x14ac:dyDescent="0.2">
      <c r="C226" s="26"/>
      <c r="D226" s="26"/>
      <c r="F226" s="21"/>
    </row>
    <row r="227" spans="3:6" ht="15.75" customHeight="1" x14ac:dyDescent="0.2">
      <c r="C227" s="26"/>
      <c r="D227" s="26"/>
      <c r="F227" s="21"/>
    </row>
    <row r="228" spans="3:6" ht="15.75" customHeight="1" x14ac:dyDescent="0.2">
      <c r="C228" s="26"/>
      <c r="D228" s="26"/>
      <c r="F228" s="21"/>
    </row>
    <row r="229" spans="3:6" ht="15.75" customHeight="1" x14ac:dyDescent="0.2">
      <c r="C229" s="26"/>
      <c r="D229" s="26"/>
      <c r="F229" s="21"/>
    </row>
    <row r="230" spans="3:6" ht="15.75" customHeight="1" x14ac:dyDescent="0.2">
      <c r="C230" s="26"/>
      <c r="D230" s="26"/>
      <c r="F230" s="21"/>
    </row>
    <row r="231" spans="3:6" ht="15.75" customHeight="1" x14ac:dyDescent="0.2">
      <c r="C231" s="26"/>
      <c r="D231" s="26"/>
      <c r="F231" s="21"/>
    </row>
    <row r="232" spans="3:6" ht="15.75" customHeight="1" x14ac:dyDescent="0.2">
      <c r="C232" s="26"/>
      <c r="D232" s="26"/>
      <c r="F232" s="21"/>
    </row>
    <row r="233" spans="3:6" ht="15.75" customHeight="1" x14ac:dyDescent="0.2">
      <c r="C233" s="26"/>
      <c r="D233" s="26"/>
      <c r="F233" s="21"/>
    </row>
    <row r="234" spans="3:6" ht="15.75" customHeight="1" x14ac:dyDescent="0.2">
      <c r="C234" s="26"/>
      <c r="D234" s="26"/>
      <c r="F234" s="21"/>
    </row>
    <row r="235" spans="3:6" ht="15.75" customHeight="1" x14ac:dyDescent="0.2">
      <c r="C235" s="26"/>
      <c r="D235" s="26"/>
      <c r="F235" s="21"/>
    </row>
    <row r="236" spans="3:6" ht="15.75" customHeight="1" x14ac:dyDescent="0.2">
      <c r="C236" s="26"/>
      <c r="D236" s="26"/>
      <c r="F236" s="21"/>
    </row>
    <row r="237" spans="3:6" ht="15.75" customHeight="1" x14ac:dyDescent="0.2">
      <c r="C237" s="26"/>
      <c r="D237" s="26"/>
      <c r="F237" s="21"/>
    </row>
    <row r="238" spans="3:6" ht="15.75" customHeight="1" x14ac:dyDescent="0.2">
      <c r="C238" s="26"/>
      <c r="D238" s="26"/>
      <c r="F238" s="21"/>
    </row>
    <row r="239" spans="3:6" ht="15.75" customHeight="1" x14ac:dyDescent="0.2">
      <c r="C239" s="26"/>
      <c r="D239" s="26"/>
      <c r="F239" s="21"/>
    </row>
    <row r="240" spans="3:6" ht="15.75" customHeight="1" x14ac:dyDescent="0.2">
      <c r="C240" s="26"/>
      <c r="D240" s="26"/>
      <c r="F240" s="21"/>
    </row>
    <row r="241" spans="3:6" ht="15.75" customHeight="1" x14ac:dyDescent="0.2">
      <c r="C241" s="26"/>
      <c r="D241" s="26"/>
      <c r="F241" s="21"/>
    </row>
    <row r="242" spans="3:6" ht="15.75" customHeight="1" x14ac:dyDescent="0.2">
      <c r="C242" s="26"/>
      <c r="D242" s="26"/>
      <c r="F242" s="21"/>
    </row>
    <row r="243" spans="3:6" ht="15.75" customHeight="1" x14ac:dyDescent="0.2">
      <c r="C243" s="26"/>
      <c r="D243" s="26"/>
      <c r="F243" s="21"/>
    </row>
    <row r="244" spans="3:6" ht="15.75" customHeight="1" x14ac:dyDescent="0.2">
      <c r="C244" s="26"/>
      <c r="D244" s="26"/>
      <c r="F244" s="21"/>
    </row>
    <row r="245" spans="3:6" ht="15.75" customHeight="1" x14ac:dyDescent="0.2">
      <c r="C245" s="26"/>
      <c r="D245" s="26"/>
      <c r="F245" s="21"/>
    </row>
    <row r="246" spans="3:6" ht="15.75" customHeight="1" x14ac:dyDescent="0.2">
      <c r="C246" s="26"/>
      <c r="D246" s="26"/>
      <c r="F246" s="21"/>
    </row>
    <row r="247" spans="3:6" ht="15.75" customHeight="1" x14ac:dyDescent="0.2">
      <c r="C247" s="26"/>
      <c r="D247" s="26"/>
      <c r="F247" s="21"/>
    </row>
    <row r="248" spans="3:6" ht="15.75" customHeight="1" x14ac:dyDescent="0.2">
      <c r="C248" s="26"/>
      <c r="D248" s="26"/>
      <c r="F248" s="21"/>
    </row>
    <row r="249" spans="3:6" ht="15.75" customHeight="1" x14ac:dyDescent="0.2">
      <c r="C249" s="26"/>
      <c r="D249" s="26"/>
      <c r="F249" s="21"/>
    </row>
    <row r="250" spans="3:6" ht="15.75" customHeight="1" x14ac:dyDescent="0.2">
      <c r="C250" s="26"/>
      <c r="D250" s="26"/>
      <c r="F250" s="21"/>
    </row>
    <row r="251" spans="3:6" ht="15.75" customHeight="1" x14ac:dyDescent="0.2">
      <c r="C251" s="26"/>
      <c r="D251" s="26"/>
      <c r="F251" s="21"/>
    </row>
    <row r="252" spans="3:6" ht="15.75" customHeight="1" x14ac:dyDescent="0.2">
      <c r="C252" s="26"/>
      <c r="D252" s="26"/>
      <c r="F252" s="21"/>
    </row>
    <row r="253" spans="3:6" ht="15.75" customHeight="1" x14ac:dyDescent="0.2">
      <c r="C253" s="26"/>
      <c r="D253" s="26"/>
      <c r="F253" s="21"/>
    </row>
    <row r="254" spans="3:6" ht="15.75" customHeight="1" x14ac:dyDescent="0.2">
      <c r="C254" s="26"/>
      <c r="D254" s="26"/>
      <c r="F254" s="21"/>
    </row>
    <row r="255" spans="3:6" ht="15.75" customHeight="1" x14ac:dyDescent="0.2">
      <c r="C255" s="26"/>
      <c r="D255" s="26"/>
      <c r="F255" s="21"/>
    </row>
    <row r="256" spans="3:6" ht="15.75" customHeight="1" x14ac:dyDescent="0.2">
      <c r="C256" s="26"/>
      <c r="D256" s="26"/>
      <c r="F256" s="21"/>
    </row>
    <row r="257" spans="3:6" ht="15.75" customHeight="1" x14ac:dyDescent="0.2">
      <c r="C257" s="26"/>
      <c r="D257" s="26"/>
      <c r="F257" s="21"/>
    </row>
    <row r="258" spans="3:6" ht="15.75" customHeight="1" x14ac:dyDescent="0.2">
      <c r="C258" s="26"/>
      <c r="D258" s="26"/>
      <c r="F258" s="21"/>
    </row>
    <row r="259" spans="3:6" ht="15.75" customHeight="1" x14ac:dyDescent="0.2">
      <c r="C259" s="26"/>
      <c r="D259" s="26"/>
      <c r="F259" s="21"/>
    </row>
    <row r="260" spans="3:6" ht="15.75" customHeight="1" x14ac:dyDescent="0.2">
      <c r="C260" s="26"/>
      <c r="D260" s="26"/>
      <c r="F260" s="21"/>
    </row>
    <row r="261" spans="3:6" ht="15.75" customHeight="1" x14ac:dyDescent="0.2">
      <c r="C261" s="26"/>
      <c r="D261" s="26"/>
      <c r="F261" s="21"/>
    </row>
    <row r="262" spans="3:6" ht="15.75" customHeight="1" x14ac:dyDescent="0.2">
      <c r="C262" s="26"/>
      <c r="D262" s="26"/>
      <c r="F262" s="21"/>
    </row>
    <row r="263" spans="3:6" ht="15.75" customHeight="1" x14ac:dyDescent="0.2">
      <c r="C263" s="26"/>
      <c r="D263" s="26"/>
      <c r="F263" s="21"/>
    </row>
    <row r="264" spans="3:6" ht="15.75" customHeight="1" x14ac:dyDescent="0.2">
      <c r="C264" s="26"/>
      <c r="D264" s="26"/>
      <c r="F264" s="21"/>
    </row>
    <row r="265" spans="3:6" ht="15.75" customHeight="1" x14ac:dyDescent="0.2">
      <c r="C265" s="26"/>
      <c r="D265" s="26"/>
      <c r="F265" s="21"/>
    </row>
    <row r="266" spans="3:6" ht="15.75" customHeight="1" x14ac:dyDescent="0.2">
      <c r="C266" s="26"/>
      <c r="D266" s="26"/>
      <c r="F266" s="21"/>
    </row>
    <row r="267" spans="3:6" ht="15.75" customHeight="1" x14ac:dyDescent="0.2">
      <c r="C267" s="26"/>
      <c r="D267" s="26"/>
      <c r="F267" s="21"/>
    </row>
    <row r="268" spans="3:6" ht="15.75" customHeight="1" x14ac:dyDescent="0.2">
      <c r="C268" s="26"/>
      <c r="D268" s="26"/>
      <c r="F268" s="21"/>
    </row>
    <row r="269" spans="3:6" ht="15.75" customHeight="1" x14ac:dyDescent="0.2">
      <c r="C269" s="26"/>
      <c r="D269" s="26"/>
      <c r="F269" s="21"/>
    </row>
    <row r="270" spans="3:6" ht="15.75" customHeight="1" x14ac:dyDescent="0.2">
      <c r="C270" s="26"/>
      <c r="D270" s="26"/>
      <c r="F270" s="21"/>
    </row>
    <row r="271" spans="3:6" ht="15.75" customHeight="1" x14ac:dyDescent="0.2">
      <c r="C271" s="26"/>
      <c r="D271" s="26"/>
      <c r="F271" s="21"/>
    </row>
    <row r="272" spans="3:6" ht="15.75" customHeight="1" x14ac:dyDescent="0.2">
      <c r="C272" s="26"/>
      <c r="D272" s="26"/>
      <c r="F272" s="21"/>
    </row>
    <row r="273" spans="3:6" ht="15.75" customHeight="1" x14ac:dyDescent="0.2">
      <c r="C273" s="26"/>
      <c r="D273" s="26"/>
      <c r="F273" s="21"/>
    </row>
    <row r="274" spans="3:6" ht="15.75" customHeight="1" x14ac:dyDescent="0.2">
      <c r="C274" s="26"/>
      <c r="D274" s="26"/>
      <c r="F274" s="21"/>
    </row>
    <row r="275" spans="3:6" ht="15.75" customHeight="1" x14ac:dyDescent="0.2">
      <c r="C275" s="26"/>
      <c r="D275" s="26"/>
      <c r="F275" s="21"/>
    </row>
    <row r="276" spans="3:6" ht="15.75" customHeight="1" x14ac:dyDescent="0.2">
      <c r="C276" s="26"/>
      <c r="D276" s="26"/>
      <c r="F276" s="21"/>
    </row>
    <row r="277" spans="3:6" ht="15.75" customHeight="1" x14ac:dyDescent="0.2">
      <c r="C277" s="26"/>
      <c r="D277" s="26"/>
      <c r="F277" s="21"/>
    </row>
    <row r="278" spans="3:6" ht="15.75" customHeight="1" x14ac:dyDescent="0.2">
      <c r="C278" s="26"/>
      <c r="D278" s="26"/>
      <c r="F278" s="21"/>
    </row>
    <row r="279" spans="3:6" ht="15.75" customHeight="1" x14ac:dyDescent="0.2">
      <c r="C279" s="26"/>
      <c r="D279" s="26"/>
      <c r="F279" s="21"/>
    </row>
    <row r="280" spans="3:6" ht="15.75" customHeight="1" x14ac:dyDescent="0.2">
      <c r="C280" s="26"/>
      <c r="D280" s="26"/>
      <c r="F280" s="21"/>
    </row>
    <row r="281" spans="3:6" ht="15.75" customHeight="1" x14ac:dyDescent="0.2">
      <c r="C281" s="26"/>
      <c r="D281" s="26"/>
      <c r="F281" s="21"/>
    </row>
    <row r="282" spans="3:6" ht="15.75" customHeight="1" x14ac:dyDescent="0.2">
      <c r="C282" s="26"/>
      <c r="D282" s="26"/>
      <c r="F282" s="21"/>
    </row>
    <row r="283" spans="3:6" ht="15.75" customHeight="1" x14ac:dyDescent="0.2">
      <c r="C283" s="26"/>
      <c r="D283" s="26"/>
      <c r="F283" s="21"/>
    </row>
    <row r="284" spans="3:6" ht="15.75" customHeight="1" x14ac:dyDescent="0.2">
      <c r="C284" s="26"/>
      <c r="D284" s="26"/>
      <c r="F284" s="21"/>
    </row>
    <row r="285" spans="3:6" ht="15.75" customHeight="1" x14ac:dyDescent="0.2">
      <c r="C285" s="26"/>
      <c r="D285" s="26"/>
      <c r="F285" s="21"/>
    </row>
    <row r="286" spans="3:6" ht="15.75" customHeight="1" x14ac:dyDescent="0.2">
      <c r="C286" s="26"/>
      <c r="D286" s="26"/>
      <c r="F286" s="21"/>
    </row>
    <row r="287" spans="3:6" ht="15.75" customHeight="1" x14ac:dyDescent="0.2">
      <c r="C287" s="26"/>
      <c r="D287" s="26"/>
      <c r="F287" s="21"/>
    </row>
    <row r="288" spans="3:6" ht="15.75" customHeight="1" x14ac:dyDescent="0.2">
      <c r="C288" s="26"/>
      <c r="D288" s="26"/>
      <c r="F288" s="21"/>
    </row>
    <row r="289" spans="3:6" ht="15.75" customHeight="1" x14ac:dyDescent="0.2">
      <c r="C289" s="26"/>
      <c r="D289" s="26"/>
      <c r="F289" s="21"/>
    </row>
    <row r="290" spans="3:6" ht="15.75" customHeight="1" x14ac:dyDescent="0.2">
      <c r="C290" s="26"/>
      <c r="D290" s="26"/>
      <c r="F290" s="21"/>
    </row>
    <row r="291" spans="3:6" ht="15.75" customHeight="1" x14ac:dyDescent="0.2">
      <c r="C291" s="26"/>
      <c r="D291" s="26"/>
      <c r="F291" s="21"/>
    </row>
    <row r="292" spans="3:6" ht="15.75" customHeight="1" x14ac:dyDescent="0.2">
      <c r="C292" s="26"/>
      <c r="D292" s="26"/>
      <c r="F292" s="21"/>
    </row>
    <row r="293" spans="3:6" ht="15.75" customHeight="1" x14ac:dyDescent="0.2">
      <c r="C293" s="26"/>
      <c r="D293" s="26"/>
      <c r="F293" s="21"/>
    </row>
    <row r="294" spans="3:6" ht="15.75" customHeight="1" x14ac:dyDescent="0.2">
      <c r="C294" s="26"/>
      <c r="D294" s="26"/>
      <c r="F294" s="21"/>
    </row>
    <row r="295" spans="3:6" ht="15.75" customHeight="1" x14ac:dyDescent="0.2">
      <c r="C295" s="26"/>
      <c r="D295" s="26"/>
      <c r="F295" s="21"/>
    </row>
    <row r="296" spans="3:6" ht="15.75" customHeight="1" x14ac:dyDescent="0.2">
      <c r="C296" s="26"/>
      <c r="D296" s="26"/>
      <c r="F296" s="21"/>
    </row>
    <row r="297" spans="3:6" ht="15.75" customHeight="1" x14ac:dyDescent="0.2">
      <c r="C297" s="26"/>
      <c r="D297" s="26"/>
      <c r="F297" s="21"/>
    </row>
    <row r="298" spans="3:6" ht="15.75" customHeight="1" x14ac:dyDescent="0.2">
      <c r="C298" s="26"/>
      <c r="D298" s="26"/>
      <c r="F298" s="21"/>
    </row>
    <row r="299" spans="3:6" ht="15.75" customHeight="1" x14ac:dyDescent="0.2">
      <c r="C299" s="26"/>
      <c r="D299" s="26"/>
      <c r="F299" s="21"/>
    </row>
    <row r="300" spans="3:6" ht="15.75" customHeight="1" x14ac:dyDescent="0.2">
      <c r="C300" s="26"/>
      <c r="D300" s="26"/>
      <c r="F300" s="21"/>
    </row>
    <row r="301" spans="3:6" ht="15.75" customHeight="1" x14ac:dyDescent="0.2">
      <c r="C301" s="26"/>
      <c r="D301" s="26"/>
      <c r="F301" s="21"/>
    </row>
    <row r="302" spans="3:6" ht="15.75" customHeight="1" x14ac:dyDescent="0.2">
      <c r="C302" s="26"/>
      <c r="D302" s="26"/>
      <c r="F302" s="21"/>
    </row>
    <row r="303" spans="3:6" ht="15.75" customHeight="1" x14ac:dyDescent="0.2">
      <c r="C303" s="26"/>
      <c r="D303" s="26"/>
      <c r="F303" s="21"/>
    </row>
    <row r="304" spans="3:6" ht="15.75" customHeight="1" x14ac:dyDescent="0.2">
      <c r="C304" s="26"/>
      <c r="D304" s="26"/>
      <c r="F304" s="21"/>
    </row>
    <row r="305" spans="3:6" ht="15.75" customHeight="1" x14ac:dyDescent="0.2">
      <c r="C305" s="26"/>
      <c r="D305" s="26"/>
      <c r="F305" s="21"/>
    </row>
    <row r="306" spans="3:6" ht="15.75" customHeight="1" x14ac:dyDescent="0.2">
      <c r="C306" s="26"/>
      <c r="D306" s="26"/>
      <c r="F306" s="21"/>
    </row>
    <row r="307" spans="3:6" ht="15.75" customHeight="1" x14ac:dyDescent="0.2">
      <c r="C307" s="26"/>
      <c r="D307" s="26"/>
      <c r="F307" s="21"/>
    </row>
    <row r="308" spans="3:6" ht="15.75" customHeight="1" x14ac:dyDescent="0.2">
      <c r="C308" s="26"/>
      <c r="D308" s="26"/>
      <c r="F308" s="21"/>
    </row>
    <row r="309" spans="3:6" ht="15.75" customHeight="1" x14ac:dyDescent="0.2">
      <c r="C309" s="26"/>
      <c r="D309" s="26"/>
      <c r="F309" s="21"/>
    </row>
    <row r="310" spans="3:6" ht="15.75" customHeight="1" x14ac:dyDescent="0.2">
      <c r="C310" s="26"/>
      <c r="D310" s="26"/>
      <c r="F310" s="21"/>
    </row>
    <row r="311" spans="3:6" ht="15.75" customHeight="1" x14ac:dyDescent="0.2">
      <c r="C311" s="26"/>
      <c r="D311" s="26"/>
      <c r="F311" s="21"/>
    </row>
    <row r="312" spans="3:6" ht="15.75" customHeight="1" x14ac:dyDescent="0.2">
      <c r="C312" s="26"/>
      <c r="D312" s="26"/>
      <c r="F312" s="21"/>
    </row>
    <row r="313" spans="3:6" ht="15.75" customHeight="1" x14ac:dyDescent="0.2">
      <c r="C313" s="26"/>
      <c r="D313" s="26"/>
      <c r="F313" s="21"/>
    </row>
    <row r="314" spans="3:6" ht="15.75" customHeight="1" x14ac:dyDescent="0.2">
      <c r="C314" s="26"/>
      <c r="D314" s="26"/>
      <c r="F314" s="21"/>
    </row>
    <row r="315" spans="3:6" ht="15.75" customHeight="1" x14ac:dyDescent="0.2">
      <c r="C315" s="26"/>
      <c r="D315" s="26"/>
      <c r="F315" s="21"/>
    </row>
    <row r="316" spans="3:6" ht="15.75" customHeight="1" x14ac:dyDescent="0.2">
      <c r="C316" s="26"/>
      <c r="D316" s="26"/>
      <c r="F316" s="21"/>
    </row>
    <row r="317" spans="3:6" ht="15.75" customHeight="1" x14ac:dyDescent="0.2">
      <c r="C317" s="26"/>
      <c r="D317" s="26"/>
      <c r="F317" s="21"/>
    </row>
    <row r="318" spans="3:6" ht="15.75" customHeight="1" x14ac:dyDescent="0.2">
      <c r="C318" s="26"/>
      <c r="D318" s="26"/>
      <c r="F318" s="21"/>
    </row>
    <row r="319" spans="3:6" ht="15.75" customHeight="1" x14ac:dyDescent="0.2">
      <c r="C319" s="26"/>
      <c r="D319" s="26"/>
      <c r="F319" s="21"/>
    </row>
    <row r="320" spans="3:6" ht="15.75" customHeight="1" x14ac:dyDescent="0.2">
      <c r="C320" s="26"/>
      <c r="D320" s="26"/>
      <c r="F320" s="21"/>
    </row>
    <row r="321" spans="3:6" ht="15.75" customHeight="1" x14ac:dyDescent="0.2">
      <c r="C321" s="26"/>
      <c r="D321" s="26"/>
      <c r="F321" s="21"/>
    </row>
    <row r="322" spans="3:6" ht="15.75" customHeight="1" x14ac:dyDescent="0.2">
      <c r="C322" s="26"/>
      <c r="D322" s="26"/>
      <c r="F322" s="21"/>
    </row>
    <row r="323" spans="3:6" ht="15.75" customHeight="1" x14ac:dyDescent="0.2">
      <c r="C323" s="26"/>
      <c r="D323" s="26"/>
      <c r="F323" s="21"/>
    </row>
    <row r="324" spans="3:6" ht="15.75" customHeight="1" x14ac:dyDescent="0.2">
      <c r="C324" s="26"/>
      <c r="D324" s="26"/>
      <c r="F324" s="21"/>
    </row>
    <row r="325" spans="3:6" ht="15.75" customHeight="1" x14ac:dyDescent="0.2">
      <c r="C325" s="26"/>
      <c r="D325" s="26"/>
      <c r="F325" s="21"/>
    </row>
    <row r="326" spans="3:6" ht="15.75" customHeight="1" x14ac:dyDescent="0.2">
      <c r="C326" s="26"/>
      <c r="D326" s="26"/>
      <c r="F326" s="21"/>
    </row>
    <row r="327" spans="3:6" ht="15.75" customHeight="1" x14ac:dyDescent="0.2">
      <c r="C327" s="26"/>
      <c r="D327" s="26"/>
      <c r="F327" s="21"/>
    </row>
    <row r="328" spans="3:6" ht="15.75" customHeight="1" x14ac:dyDescent="0.2">
      <c r="C328" s="26"/>
      <c r="D328" s="26"/>
      <c r="F328" s="21"/>
    </row>
    <row r="329" spans="3:6" ht="15.75" customHeight="1" x14ac:dyDescent="0.2">
      <c r="C329" s="26"/>
      <c r="D329" s="26"/>
      <c r="F329" s="21"/>
    </row>
    <row r="330" spans="3:6" ht="15.75" customHeight="1" x14ac:dyDescent="0.2">
      <c r="C330" s="26"/>
      <c r="D330" s="26"/>
      <c r="F330" s="21"/>
    </row>
    <row r="331" spans="3:6" ht="15.75" customHeight="1" x14ac:dyDescent="0.2">
      <c r="C331" s="26"/>
      <c r="D331" s="26"/>
      <c r="F331" s="21"/>
    </row>
    <row r="332" spans="3:6" ht="15.75" customHeight="1" x14ac:dyDescent="0.2">
      <c r="C332" s="26"/>
      <c r="D332" s="26"/>
      <c r="F332" s="21"/>
    </row>
    <row r="333" spans="3:6" ht="15.75" customHeight="1" x14ac:dyDescent="0.2">
      <c r="C333" s="26"/>
      <c r="D333" s="26"/>
      <c r="F333" s="21"/>
    </row>
    <row r="334" spans="3:6" ht="15.75" customHeight="1" x14ac:dyDescent="0.2">
      <c r="C334" s="26"/>
      <c r="D334" s="26"/>
      <c r="F334" s="21"/>
    </row>
    <row r="335" spans="3:6" ht="15.75" customHeight="1" x14ac:dyDescent="0.2">
      <c r="C335" s="26"/>
      <c r="D335" s="26"/>
      <c r="F335" s="21"/>
    </row>
    <row r="336" spans="3:6" ht="15.75" customHeight="1" x14ac:dyDescent="0.2">
      <c r="C336" s="26"/>
      <c r="D336" s="26"/>
      <c r="F336" s="21"/>
    </row>
    <row r="337" spans="3:6" ht="15.75" customHeight="1" x14ac:dyDescent="0.2">
      <c r="C337" s="26"/>
      <c r="D337" s="26"/>
      <c r="F337" s="21"/>
    </row>
    <row r="338" spans="3:6" ht="15.75" customHeight="1" x14ac:dyDescent="0.2">
      <c r="C338" s="26"/>
      <c r="D338" s="26"/>
      <c r="F338" s="21"/>
    </row>
    <row r="339" spans="3:6" ht="15.75" customHeight="1" x14ac:dyDescent="0.2">
      <c r="C339" s="26"/>
      <c r="D339" s="26"/>
      <c r="F339" s="21"/>
    </row>
    <row r="340" spans="3:6" ht="15.75" customHeight="1" x14ac:dyDescent="0.2">
      <c r="C340" s="26"/>
      <c r="D340" s="26"/>
      <c r="F340" s="21"/>
    </row>
    <row r="341" spans="3:6" ht="15.75" customHeight="1" x14ac:dyDescent="0.2">
      <c r="C341" s="26"/>
      <c r="D341" s="26"/>
      <c r="F341" s="21"/>
    </row>
    <row r="342" spans="3:6" ht="15.75" customHeight="1" x14ac:dyDescent="0.2">
      <c r="C342" s="26"/>
      <c r="D342" s="26"/>
      <c r="F342" s="21"/>
    </row>
    <row r="343" spans="3:6" ht="15.75" customHeight="1" x14ac:dyDescent="0.2">
      <c r="C343" s="26"/>
      <c r="D343" s="26"/>
      <c r="F343" s="21"/>
    </row>
    <row r="344" spans="3:6" ht="15.75" customHeight="1" x14ac:dyDescent="0.2">
      <c r="C344" s="26"/>
      <c r="D344" s="26"/>
      <c r="F344" s="21"/>
    </row>
    <row r="345" spans="3:6" ht="15.75" customHeight="1" x14ac:dyDescent="0.2">
      <c r="C345" s="26"/>
      <c r="D345" s="26"/>
      <c r="F345" s="21"/>
    </row>
    <row r="346" spans="3:6" ht="15.75" customHeight="1" x14ac:dyDescent="0.2">
      <c r="C346" s="26"/>
      <c r="D346" s="26"/>
      <c r="F346" s="21"/>
    </row>
    <row r="347" spans="3:6" ht="15.75" customHeight="1" x14ac:dyDescent="0.2">
      <c r="C347" s="26"/>
      <c r="D347" s="26"/>
      <c r="F347" s="21"/>
    </row>
    <row r="348" spans="3:6" ht="15.75" customHeight="1" x14ac:dyDescent="0.2">
      <c r="C348" s="26"/>
      <c r="D348" s="26"/>
      <c r="F348" s="21"/>
    </row>
    <row r="349" spans="3:6" ht="15.75" customHeight="1" x14ac:dyDescent="0.2">
      <c r="C349" s="26"/>
      <c r="D349" s="26"/>
      <c r="F349" s="21"/>
    </row>
    <row r="350" spans="3:6" ht="15.75" customHeight="1" x14ac:dyDescent="0.2">
      <c r="C350" s="26"/>
      <c r="D350" s="26"/>
      <c r="F350" s="21"/>
    </row>
    <row r="351" spans="3:6" ht="15.75" customHeight="1" x14ac:dyDescent="0.2">
      <c r="C351" s="26"/>
      <c r="D351" s="26"/>
      <c r="F351" s="21"/>
    </row>
    <row r="352" spans="3:6" ht="15.75" customHeight="1" x14ac:dyDescent="0.2">
      <c r="C352" s="26"/>
      <c r="D352" s="26"/>
      <c r="F352" s="21"/>
    </row>
    <row r="353" spans="3:6" ht="15.75" customHeight="1" x14ac:dyDescent="0.2">
      <c r="C353" s="26"/>
      <c r="D353" s="26"/>
      <c r="F353" s="21"/>
    </row>
    <row r="354" spans="3:6" ht="15.75" customHeight="1" x14ac:dyDescent="0.2">
      <c r="C354" s="26"/>
      <c r="D354" s="26"/>
      <c r="F354" s="21"/>
    </row>
    <row r="355" spans="3:6" ht="15.75" customHeight="1" x14ac:dyDescent="0.2">
      <c r="C355" s="26"/>
      <c r="D355" s="26"/>
      <c r="F355" s="21"/>
    </row>
    <row r="356" spans="3:6" ht="15.75" customHeight="1" x14ac:dyDescent="0.2">
      <c r="C356" s="26"/>
      <c r="D356" s="26"/>
      <c r="F356" s="21"/>
    </row>
    <row r="357" spans="3:6" ht="15.75" customHeight="1" x14ac:dyDescent="0.2">
      <c r="C357" s="26"/>
      <c r="D357" s="26"/>
      <c r="F357" s="21"/>
    </row>
    <row r="358" spans="3:6" ht="15.75" customHeight="1" x14ac:dyDescent="0.2">
      <c r="C358" s="26"/>
      <c r="D358" s="26"/>
      <c r="F358" s="21"/>
    </row>
    <row r="359" spans="3:6" ht="15.75" customHeight="1" x14ac:dyDescent="0.2">
      <c r="C359" s="26"/>
      <c r="D359" s="26"/>
      <c r="F359" s="21"/>
    </row>
    <row r="360" spans="3:6" ht="15.75" customHeight="1" x14ac:dyDescent="0.2">
      <c r="C360" s="26"/>
      <c r="D360" s="26"/>
      <c r="F360" s="21"/>
    </row>
    <row r="361" spans="3:6" ht="15.75" customHeight="1" x14ac:dyDescent="0.2">
      <c r="C361" s="26"/>
      <c r="D361" s="26"/>
      <c r="F361" s="21"/>
    </row>
    <row r="362" spans="3:6" ht="15.75" customHeight="1" x14ac:dyDescent="0.2">
      <c r="C362" s="26"/>
      <c r="D362" s="26"/>
      <c r="F362" s="21"/>
    </row>
    <row r="363" spans="3:6" ht="15.75" customHeight="1" x14ac:dyDescent="0.2">
      <c r="C363" s="26"/>
      <c r="D363" s="26"/>
      <c r="F363" s="21"/>
    </row>
    <row r="364" spans="3:6" ht="15.75" customHeight="1" x14ac:dyDescent="0.2">
      <c r="C364" s="26"/>
      <c r="D364" s="26"/>
      <c r="F364" s="21"/>
    </row>
    <row r="365" spans="3:6" ht="15.75" customHeight="1" x14ac:dyDescent="0.2">
      <c r="C365" s="26"/>
      <c r="D365" s="26"/>
      <c r="F365" s="21"/>
    </row>
    <row r="366" spans="3:6" ht="15.75" customHeight="1" x14ac:dyDescent="0.2">
      <c r="C366" s="26"/>
      <c r="D366" s="26"/>
      <c r="F366" s="21"/>
    </row>
    <row r="367" spans="3:6" ht="15.75" customHeight="1" x14ac:dyDescent="0.2">
      <c r="C367" s="26"/>
      <c r="D367" s="26"/>
      <c r="F367" s="21"/>
    </row>
    <row r="368" spans="3:6" ht="15.75" customHeight="1" x14ac:dyDescent="0.2">
      <c r="C368" s="26"/>
      <c r="D368" s="26"/>
      <c r="F368" s="21"/>
    </row>
    <row r="369" spans="3:6" ht="15.75" customHeight="1" x14ac:dyDescent="0.2">
      <c r="C369" s="26"/>
      <c r="D369" s="26"/>
      <c r="F369" s="21"/>
    </row>
    <row r="370" spans="3:6" ht="15.75" customHeight="1" x14ac:dyDescent="0.2">
      <c r="C370" s="26"/>
      <c r="D370" s="26"/>
      <c r="F370" s="21"/>
    </row>
    <row r="371" spans="3:6" ht="15.75" customHeight="1" x14ac:dyDescent="0.2">
      <c r="C371" s="26"/>
      <c r="D371" s="26"/>
      <c r="F371" s="21"/>
    </row>
    <row r="372" spans="3:6" ht="15.75" customHeight="1" x14ac:dyDescent="0.2">
      <c r="C372" s="26"/>
      <c r="D372" s="26"/>
      <c r="F372" s="21"/>
    </row>
    <row r="373" spans="3:6" ht="15.75" customHeight="1" x14ac:dyDescent="0.2">
      <c r="C373" s="26"/>
      <c r="D373" s="26"/>
      <c r="F373" s="21"/>
    </row>
    <row r="374" spans="3:6" ht="15.75" customHeight="1" x14ac:dyDescent="0.2">
      <c r="C374" s="26"/>
      <c r="D374" s="26"/>
      <c r="F374" s="21"/>
    </row>
    <row r="375" spans="3:6" ht="15.75" customHeight="1" x14ac:dyDescent="0.2">
      <c r="C375" s="26"/>
      <c r="D375" s="26"/>
      <c r="F375" s="21"/>
    </row>
    <row r="376" spans="3:6" ht="15.75" customHeight="1" x14ac:dyDescent="0.2">
      <c r="C376" s="26"/>
      <c r="D376" s="26"/>
      <c r="F376" s="21"/>
    </row>
    <row r="377" spans="3:6" ht="15.75" customHeight="1" x14ac:dyDescent="0.2">
      <c r="C377" s="26"/>
      <c r="D377" s="26"/>
      <c r="F377" s="21"/>
    </row>
    <row r="378" spans="3:6" ht="15.75" customHeight="1" x14ac:dyDescent="0.2">
      <c r="C378" s="26"/>
      <c r="D378" s="26"/>
      <c r="F378" s="21"/>
    </row>
    <row r="379" spans="3:6" ht="15.75" customHeight="1" x14ac:dyDescent="0.2">
      <c r="C379" s="26"/>
      <c r="D379" s="26"/>
      <c r="F379" s="21"/>
    </row>
    <row r="380" spans="3:6" ht="15.75" customHeight="1" x14ac:dyDescent="0.2">
      <c r="C380" s="26"/>
      <c r="D380" s="26"/>
      <c r="F380" s="21"/>
    </row>
    <row r="381" spans="3:6" ht="15.75" customHeight="1" x14ac:dyDescent="0.2">
      <c r="C381" s="26"/>
      <c r="D381" s="26"/>
      <c r="F381" s="21"/>
    </row>
    <row r="382" spans="3:6" ht="15.75" customHeight="1" x14ac:dyDescent="0.2">
      <c r="C382" s="26"/>
      <c r="D382" s="26"/>
      <c r="F382" s="21"/>
    </row>
    <row r="383" spans="3:6" ht="15.75" customHeight="1" x14ac:dyDescent="0.2">
      <c r="C383" s="26"/>
      <c r="D383" s="26"/>
      <c r="F383" s="21"/>
    </row>
    <row r="384" spans="3:6" ht="15.75" customHeight="1" x14ac:dyDescent="0.2">
      <c r="C384" s="26"/>
      <c r="D384" s="26"/>
      <c r="F384" s="21"/>
    </row>
    <row r="385" spans="3:6" ht="15.75" customHeight="1" x14ac:dyDescent="0.2">
      <c r="C385" s="26"/>
      <c r="D385" s="26"/>
      <c r="F385" s="21"/>
    </row>
    <row r="386" spans="3:6" ht="15.75" customHeight="1" x14ac:dyDescent="0.2">
      <c r="C386" s="26"/>
      <c r="D386" s="26"/>
      <c r="F386" s="21"/>
    </row>
    <row r="387" spans="3:6" ht="15.75" customHeight="1" x14ac:dyDescent="0.2">
      <c r="C387" s="26"/>
      <c r="D387" s="26"/>
      <c r="F387" s="21"/>
    </row>
    <row r="388" spans="3:6" ht="15.75" customHeight="1" x14ac:dyDescent="0.2">
      <c r="C388" s="26"/>
      <c r="D388" s="26"/>
      <c r="F388" s="21"/>
    </row>
    <row r="389" spans="3:6" ht="15.75" customHeight="1" x14ac:dyDescent="0.2">
      <c r="C389" s="26"/>
      <c r="D389" s="26"/>
      <c r="F389" s="21"/>
    </row>
    <row r="390" spans="3:6" ht="15.75" customHeight="1" x14ac:dyDescent="0.2">
      <c r="C390" s="26"/>
      <c r="D390" s="26"/>
      <c r="F390" s="21"/>
    </row>
    <row r="391" spans="3:6" ht="15.75" customHeight="1" x14ac:dyDescent="0.2">
      <c r="C391" s="26"/>
      <c r="D391" s="26"/>
      <c r="F391" s="21"/>
    </row>
    <row r="392" spans="3:6" ht="15.75" customHeight="1" x14ac:dyDescent="0.2">
      <c r="C392" s="26"/>
      <c r="D392" s="26"/>
      <c r="F392" s="21"/>
    </row>
    <row r="393" spans="3:6" ht="15.75" customHeight="1" x14ac:dyDescent="0.2">
      <c r="C393" s="26"/>
      <c r="D393" s="26"/>
      <c r="F393" s="21"/>
    </row>
    <row r="394" spans="3:6" ht="15.75" customHeight="1" x14ac:dyDescent="0.2">
      <c r="C394" s="26"/>
      <c r="D394" s="26"/>
      <c r="F394" s="21"/>
    </row>
    <row r="395" spans="3:6" ht="15.75" customHeight="1" x14ac:dyDescent="0.2">
      <c r="C395" s="26"/>
      <c r="D395" s="26"/>
      <c r="F395" s="21"/>
    </row>
    <row r="396" spans="3:6" ht="15.75" customHeight="1" x14ac:dyDescent="0.2">
      <c r="C396" s="26"/>
      <c r="D396" s="26"/>
      <c r="F396" s="21"/>
    </row>
    <row r="397" spans="3:6" ht="15.75" customHeight="1" x14ac:dyDescent="0.2">
      <c r="C397" s="26"/>
      <c r="D397" s="26"/>
      <c r="F397" s="21"/>
    </row>
    <row r="398" spans="3:6" ht="15.75" customHeight="1" x14ac:dyDescent="0.2">
      <c r="C398" s="26"/>
      <c r="D398" s="26"/>
      <c r="F398" s="21"/>
    </row>
    <row r="399" spans="3:6" ht="15.75" customHeight="1" x14ac:dyDescent="0.2">
      <c r="C399" s="26"/>
      <c r="D399" s="26"/>
      <c r="F399" s="21"/>
    </row>
    <row r="400" spans="3:6" ht="15.75" customHeight="1" x14ac:dyDescent="0.2">
      <c r="C400" s="26"/>
      <c r="D400" s="26"/>
      <c r="F400" s="21"/>
    </row>
    <row r="401" spans="3:6" ht="15.75" customHeight="1" x14ac:dyDescent="0.2">
      <c r="C401" s="26"/>
      <c r="D401" s="26"/>
      <c r="F401" s="21"/>
    </row>
    <row r="402" spans="3:6" ht="15.75" customHeight="1" x14ac:dyDescent="0.2">
      <c r="C402" s="26"/>
      <c r="D402" s="26"/>
      <c r="F402" s="21"/>
    </row>
    <row r="403" spans="3:6" ht="15.75" customHeight="1" x14ac:dyDescent="0.2">
      <c r="C403" s="26"/>
      <c r="D403" s="26"/>
      <c r="F403" s="21"/>
    </row>
    <row r="404" spans="3:6" ht="15.75" customHeight="1" x14ac:dyDescent="0.2">
      <c r="C404" s="26"/>
      <c r="D404" s="26"/>
      <c r="F404" s="21"/>
    </row>
    <row r="405" spans="3:6" ht="15.75" customHeight="1" x14ac:dyDescent="0.2">
      <c r="C405" s="26"/>
      <c r="D405" s="26"/>
      <c r="F405" s="21"/>
    </row>
    <row r="406" spans="3:6" ht="15.75" customHeight="1" x14ac:dyDescent="0.2">
      <c r="C406" s="26"/>
      <c r="D406" s="26"/>
      <c r="F406" s="21"/>
    </row>
    <row r="407" spans="3:6" ht="15.75" customHeight="1" x14ac:dyDescent="0.2">
      <c r="C407" s="26"/>
      <c r="D407" s="26"/>
      <c r="F407" s="21"/>
    </row>
    <row r="408" spans="3:6" ht="15.75" customHeight="1" x14ac:dyDescent="0.2">
      <c r="C408" s="26"/>
      <c r="D408" s="26"/>
      <c r="F408" s="21"/>
    </row>
    <row r="409" spans="3:6" ht="15.75" customHeight="1" x14ac:dyDescent="0.2">
      <c r="C409" s="26"/>
      <c r="D409" s="26"/>
      <c r="F409" s="21"/>
    </row>
    <row r="410" spans="3:6" ht="15.75" customHeight="1" x14ac:dyDescent="0.2">
      <c r="C410" s="26"/>
      <c r="D410" s="26"/>
      <c r="F410" s="21"/>
    </row>
    <row r="411" spans="3:6" ht="15.75" customHeight="1" x14ac:dyDescent="0.2">
      <c r="C411" s="26"/>
      <c r="D411" s="26"/>
      <c r="F411" s="21"/>
    </row>
    <row r="412" spans="3:6" ht="15.75" customHeight="1" x14ac:dyDescent="0.2">
      <c r="C412" s="26"/>
      <c r="D412" s="26"/>
      <c r="F412" s="21"/>
    </row>
    <row r="413" spans="3:6" ht="15.75" customHeight="1" x14ac:dyDescent="0.2">
      <c r="C413" s="26"/>
      <c r="D413" s="26"/>
      <c r="F413" s="21"/>
    </row>
    <row r="414" spans="3:6" ht="15.75" customHeight="1" x14ac:dyDescent="0.2">
      <c r="C414" s="26"/>
      <c r="D414" s="26"/>
      <c r="F414" s="21"/>
    </row>
    <row r="415" spans="3:6" ht="15.75" customHeight="1" x14ac:dyDescent="0.2">
      <c r="C415" s="26"/>
      <c r="D415" s="26"/>
      <c r="F415" s="21"/>
    </row>
    <row r="416" spans="3:6" ht="15.75" customHeight="1" x14ac:dyDescent="0.2">
      <c r="C416" s="26"/>
      <c r="D416" s="26"/>
      <c r="F416" s="21"/>
    </row>
    <row r="417" spans="3:6" ht="15.75" customHeight="1" x14ac:dyDescent="0.2">
      <c r="C417" s="26"/>
      <c r="D417" s="26"/>
      <c r="F417" s="21"/>
    </row>
    <row r="418" spans="3:6" ht="15.75" customHeight="1" x14ac:dyDescent="0.2">
      <c r="C418" s="26"/>
      <c r="D418" s="26"/>
      <c r="F418" s="21"/>
    </row>
    <row r="419" spans="3:6" ht="15.75" customHeight="1" x14ac:dyDescent="0.2">
      <c r="C419" s="26"/>
      <c r="D419" s="26"/>
      <c r="F419" s="21"/>
    </row>
    <row r="420" spans="3:6" ht="15.75" customHeight="1" x14ac:dyDescent="0.2">
      <c r="C420" s="26"/>
      <c r="D420" s="26"/>
      <c r="F420" s="21"/>
    </row>
    <row r="421" spans="3:6" ht="15.75" customHeight="1" x14ac:dyDescent="0.2">
      <c r="C421" s="26"/>
      <c r="D421" s="26"/>
      <c r="F421" s="21"/>
    </row>
    <row r="422" spans="3:6" ht="15.75" customHeight="1" x14ac:dyDescent="0.2">
      <c r="C422" s="26"/>
      <c r="D422" s="26"/>
      <c r="F422" s="21"/>
    </row>
    <row r="423" spans="3:6" ht="15.75" customHeight="1" x14ac:dyDescent="0.2">
      <c r="C423" s="26"/>
      <c r="D423" s="26"/>
      <c r="F423" s="21"/>
    </row>
    <row r="424" spans="3:6" ht="15.75" customHeight="1" x14ac:dyDescent="0.2">
      <c r="C424" s="26"/>
      <c r="D424" s="26"/>
      <c r="F424" s="21"/>
    </row>
    <row r="425" spans="3:6" ht="15.75" customHeight="1" x14ac:dyDescent="0.2">
      <c r="C425" s="26"/>
      <c r="D425" s="26"/>
      <c r="F425" s="21"/>
    </row>
    <row r="426" spans="3:6" ht="15.75" customHeight="1" x14ac:dyDescent="0.2">
      <c r="C426" s="26"/>
      <c r="D426" s="26"/>
      <c r="F426" s="21"/>
    </row>
    <row r="427" spans="3:6" ht="15.75" customHeight="1" x14ac:dyDescent="0.2">
      <c r="C427" s="26"/>
      <c r="D427" s="26"/>
      <c r="F427" s="21"/>
    </row>
    <row r="428" spans="3:6" ht="15.75" customHeight="1" x14ac:dyDescent="0.2">
      <c r="C428" s="26"/>
      <c r="D428" s="26"/>
      <c r="F428" s="21"/>
    </row>
    <row r="429" spans="3:6" ht="15.75" customHeight="1" x14ac:dyDescent="0.2">
      <c r="C429" s="26"/>
      <c r="D429" s="26"/>
      <c r="F429" s="21"/>
    </row>
    <row r="430" spans="3:6" ht="15.75" customHeight="1" x14ac:dyDescent="0.2">
      <c r="C430" s="26"/>
      <c r="D430" s="26"/>
      <c r="F430" s="21"/>
    </row>
    <row r="431" spans="3:6" ht="15.75" customHeight="1" x14ac:dyDescent="0.2">
      <c r="C431" s="26"/>
      <c r="D431" s="26"/>
      <c r="F431" s="21"/>
    </row>
    <row r="432" spans="3:6" ht="15.75" customHeight="1" x14ac:dyDescent="0.2">
      <c r="C432" s="26"/>
      <c r="D432" s="26"/>
      <c r="F432" s="21"/>
    </row>
    <row r="433" spans="3:6" ht="15.75" customHeight="1" x14ac:dyDescent="0.2">
      <c r="C433" s="26"/>
      <c r="D433" s="26"/>
      <c r="F433" s="21"/>
    </row>
    <row r="434" spans="3:6" ht="15.75" customHeight="1" x14ac:dyDescent="0.2">
      <c r="C434" s="26"/>
      <c r="D434" s="26"/>
      <c r="F434" s="21"/>
    </row>
    <row r="435" spans="3:6" ht="15.75" customHeight="1" x14ac:dyDescent="0.2">
      <c r="C435" s="26"/>
      <c r="D435" s="26"/>
      <c r="F435" s="21"/>
    </row>
    <row r="436" spans="3:6" ht="15.75" customHeight="1" x14ac:dyDescent="0.2">
      <c r="C436" s="26"/>
      <c r="D436" s="26"/>
      <c r="F436" s="21"/>
    </row>
    <row r="437" spans="3:6" ht="15.75" customHeight="1" x14ac:dyDescent="0.2">
      <c r="C437" s="26"/>
      <c r="D437" s="26"/>
      <c r="F437" s="21"/>
    </row>
    <row r="438" spans="3:6" ht="15.75" customHeight="1" x14ac:dyDescent="0.2">
      <c r="C438" s="26"/>
      <c r="D438" s="26"/>
      <c r="F438" s="21"/>
    </row>
    <row r="439" spans="3:6" ht="15.75" customHeight="1" x14ac:dyDescent="0.2">
      <c r="C439" s="26"/>
      <c r="D439" s="26"/>
      <c r="F439" s="21"/>
    </row>
    <row r="440" spans="3:6" ht="15.75" customHeight="1" x14ac:dyDescent="0.2">
      <c r="C440" s="26"/>
      <c r="D440" s="26"/>
      <c r="F440" s="21"/>
    </row>
    <row r="441" spans="3:6" ht="15.75" customHeight="1" x14ac:dyDescent="0.2">
      <c r="C441" s="26"/>
      <c r="D441" s="26"/>
      <c r="F441" s="21"/>
    </row>
    <row r="442" spans="3:6" ht="15.75" customHeight="1" x14ac:dyDescent="0.2">
      <c r="C442" s="26"/>
      <c r="D442" s="26"/>
      <c r="F442" s="21"/>
    </row>
    <row r="443" spans="3:6" ht="15.75" customHeight="1" x14ac:dyDescent="0.2">
      <c r="C443" s="26"/>
      <c r="D443" s="26"/>
      <c r="F443" s="21"/>
    </row>
    <row r="444" spans="3:6" ht="15.75" customHeight="1" x14ac:dyDescent="0.2">
      <c r="C444" s="26"/>
      <c r="D444" s="26"/>
      <c r="F444" s="21"/>
    </row>
    <row r="445" spans="3:6" ht="15.75" customHeight="1" x14ac:dyDescent="0.2">
      <c r="C445" s="26"/>
      <c r="D445" s="26"/>
      <c r="F445" s="21"/>
    </row>
    <row r="446" spans="3:6" ht="15.75" customHeight="1" x14ac:dyDescent="0.2">
      <c r="C446" s="26"/>
      <c r="D446" s="26"/>
      <c r="F446" s="21"/>
    </row>
    <row r="447" spans="3:6" ht="15.75" customHeight="1" x14ac:dyDescent="0.2">
      <c r="C447" s="26"/>
      <c r="D447" s="26"/>
      <c r="F447" s="21"/>
    </row>
    <row r="448" spans="3:6" ht="15.75" customHeight="1" x14ac:dyDescent="0.2">
      <c r="C448" s="26"/>
      <c r="D448" s="26"/>
      <c r="F448" s="21"/>
    </row>
    <row r="449" spans="3:6" ht="15.75" customHeight="1" x14ac:dyDescent="0.2">
      <c r="C449" s="26"/>
      <c r="D449" s="26"/>
      <c r="F449" s="21"/>
    </row>
    <row r="450" spans="3:6" ht="15.75" customHeight="1" x14ac:dyDescent="0.2">
      <c r="C450" s="26"/>
      <c r="D450" s="26"/>
      <c r="F450" s="21"/>
    </row>
    <row r="451" spans="3:6" ht="15.75" customHeight="1" x14ac:dyDescent="0.2">
      <c r="C451" s="26"/>
      <c r="D451" s="26"/>
      <c r="F451" s="21"/>
    </row>
    <row r="452" spans="3:6" ht="15.75" customHeight="1" x14ac:dyDescent="0.2">
      <c r="C452" s="26"/>
      <c r="D452" s="26"/>
      <c r="F452" s="21"/>
    </row>
    <row r="453" spans="3:6" ht="15.75" customHeight="1" x14ac:dyDescent="0.2">
      <c r="C453" s="26"/>
      <c r="D453" s="26"/>
      <c r="F453" s="21"/>
    </row>
    <row r="454" spans="3:6" ht="15.75" customHeight="1" x14ac:dyDescent="0.2">
      <c r="C454" s="26"/>
      <c r="D454" s="26"/>
      <c r="F454" s="21"/>
    </row>
    <row r="455" spans="3:6" ht="15.75" customHeight="1" x14ac:dyDescent="0.2">
      <c r="C455" s="26"/>
      <c r="D455" s="26"/>
      <c r="F455" s="21"/>
    </row>
    <row r="456" spans="3:6" ht="15.75" customHeight="1" x14ac:dyDescent="0.2">
      <c r="C456" s="26"/>
      <c r="D456" s="26"/>
      <c r="F456" s="21"/>
    </row>
    <row r="457" spans="3:6" ht="15.75" customHeight="1" x14ac:dyDescent="0.2">
      <c r="C457" s="26"/>
      <c r="D457" s="26"/>
      <c r="F457" s="21"/>
    </row>
    <row r="458" spans="3:6" ht="15.75" customHeight="1" x14ac:dyDescent="0.2">
      <c r="C458" s="26"/>
      <c r="D458" s="26"/>
      <c r="F458" s="21"/>
    </row>
    <row r="459" spans="3:6" ht="15.75" customHeight="1" x14ac:dyDescent="0.2">
      <c r="C459" s="26"/>
      <c r="D459" s="26"/>
      <c r="F459" s="21"/>
    </row>
    <row r="460" spans="3:6" ht="15.75" customHeight="1" x14ac:dyDescent="0.2">
      <c r="C460" s="26"/>
      <c r="D460" s="26"/>
      <c r="F460" s="21"/>
    </row>
    <row r="461" spans="3:6" ht="15.75" customHeight="1" x14ac:dyDescent="0.2">
      <c r="C461" s="26"/>
      <c r="D461" s="26"/>
      <c r="F461" s="21"/>
    </row>
    <row r="462" spans="3:6" ht="15.75" customHeight="1" x14ac:dyDescent="0.2">
      <c r="C462" s="26"/>
      <c r="D462" s="26"/>
      <c r="F462" s="21"/>
    </row>
    <row r="463" spans="3:6" ht="15.75" customHeight="1" x14ac:dyDescent="0.2">
      <c r="C463" s="26"/>
      <c r="D463" s="26"/>
      <c r="F463" s="21"/>
    </row>
    <row r="464" spans="3:6" ht="15.75" customHeight="1" x14ac:dyDescent="0.2">
      <c r="C464" s="26"/>
      <c r="D464" s="26"/>
      <c r="F464" s="21"/>
    </row>
    <row r="465" spans="3:6" ht="15.75" customHeight="1" x14ac:dyDescent="0.2">
      <c r="C465" s="26"/>
      <c r="D465" s="26"/>
      <c r="F465" s="21"/>
    </row>
    <row r="466" spans="3:6" ht="15.75" customHeight="1" x14ac:dyDescent="0.2">
      <c r="C466" s="26"/>
      <c r="D466" s="26"/>
      <c r="F466" s="21"/>
    </row>
    <row r="467" spans="3:6" ht="15.75" customHeight="1" x14ac:dyDescent="0.2">
      <c r="C467" s="26"/>
      <c r="D467" s="26"/>
      <c r="F467" s="21"/>
    </row>
    <row r="468" spans="3:6" ht="15.75" customHeight="1" x14ac:dyDescent="0.2">
      <c r="C468" s="26"/>
      <c r="D468" s="26"/>
      <c r="F468" s="21"/>
    </row>
    <row r="469" spans="3:6" ht="15.75" customHeight="1" x14ac:dyDescent="0.2">
      <c r="C469" s="26"/>
      <c r="D469" s="26"/>
      <c r="F469" s="21"/>
    </row>
    <row r="470" spans="3:6" ht="15.75" customHeight="1" x14ac:dyDescent="0.2">
      <c r="C470" s="26"/>
      <c r="D470" s="26"/>
      <c r="F470" s="21"/>
    </row>
    <row r="471" spans="3:6" ht="15.75" customHeight="1" x14ac:dyDescent="0.2">
      <c r="C471" s="26"/>
      <c r="D471" s="26"/>
      <c r="F471" s="21"/>
    </row>
    <row r="472" spans="3:6" ht="15.75" customHeight="1" x14ac:dyDescent="0.2">
      <c r="C472" s="26"/>
      <c r="D472" s="26"/>
      <c r="F472" s="21"/>
    </row>
    <row r="473" spans="3:6" ht="15.75" customHeight="1" x14ac:dyDescent="0.2">
      <c r="C473" s="26"/>
      <c r="D473" s="26"/>
      <c r="F473" s="21"/>
    </row>
    <row r="474" spans="3:6" ht="15.75" customHeight="1" x14ac:dyDescent="0.2">
      <c r="C474" s="26"/>
      <c r="D474" s="26"/>
      <c r="F474" s="21"/>
    </row>
    <row r="475" spans="3:6" ht="15.75" customHeight="1" x14ac:dyDescent="0.2">
      <c r="C475" s="26"/>
      <c r="D475" s="26"/>
      <c r="F475" s="21"/>
    </row>
    <row r="476" spans="3:6" ht="15.75" customHeight="1" x14ac:dyDescent="0.2">
      <c r="C476" s="26"/>
      <c r="D476" s="26"/>
      <c r="F476" s="21"/>
    </row>
    <row r="477" spans="3:6" ht="15.75" customHeight="1" x14ac:dyDescent="0.2">
      <c r="C477" s="26"/>
      <c r="D477" s="26"/>
      <c r="F477" s="21"/>
    </row>
    <row r="478" spans="3:6" ht="15.75" customHeight="1" x14ac:dyDescent="0.2">
      <c r="C478" s="26"/>
      <c r="D478" s="26"/>
      <c r="F478" s="21"/>
    </row>
    <row r="479" spans="3:6" ht="15.75" customHeight="1" x14ac:dyDescent="0.2">
      <c r="C479" s="26"/>
      <c r="D479" s="26"/>
      <c r="F479" s="21"/>
    </row>
    <row r="480" spans="3:6" ht="15.75" customHeight="1" x14ac:dyDescent="0.2">
      <c r="C480" s="26"/>
      <c r="D480" s="26"/>
      <c r="F480" s="21"/>
    </row>
    <row r="481" spans="3:6" ht="15.75" customHeight="1" x14ac:dyDescent="0.2">
      <c r="C481" s="26"/>
      <c r="D481" s="26"/>
      <c r="F481" s="21"/>
    </row>
    <row r="482" spans="3:6" ht="15.75" customHeight="1" x14ac:dyDescent="0.2">
      <c r="C482" s="26"/>
      <c r="D482" s="26"/>
      <c r="F482" s="21"/>
    </row>
    <row r="483" spans="3:6" ht="15.75" customHeight="1" x14ac:dyDescent="0.2">
      <c r="C483" s="26"/>
      <c r="D483" s="26"/>
      <c r="F483" s="21"/>
    </row>
    <row r="484" spans="3:6" ht="15.75" customHeight="1" x14ac:dyDescent="0.2">
      <c r="C484" s="26"/>
      <c r="D484" s="26"/>
      <c r="F484" s="21"/>
    </row>
    <row r="485" spans="3:6" ht="15.75" customHeight="1" x14ac:dyDescent="0.2">
      <c r="C485" s="26"/>
      <c r="D485" s="26"/>
      <c r="F485" s="21"/>
    </row>
    <row r="486" spans="3:6" ht="15.75" customHeight="1" x14ac:dyDescent="0.2">
      <c r="C486" s="26"/>
      <c r="D486" s="26"/>
      <c r="F486" s="21"/>
    </row>
    <row r="487" spans="3:6" ht="15.75" customHeight="1" x14ac:dyDescent="0.2">
      <c r="C487" s="26"/>
      <c r="D487" s="26"/>
      <c r="F487" s="21"/>
    </row>
    <row r="488" spans="3:6" ht="15.75" customHeight="1" x14ac:dyDescent="0.2">
      <c r="C488" s="26"/>
      <c r="D488" s="26"/>
      <c r="F488" s="21"/>
    </row>
    <row r="489" spans="3:6" ht="15.75" customHeight="1" x14ac:dyDescent="0.2">
      <c r="C489" s="26"/>
      <c r="D489" s="26"/>
      <c r="F489" s="21"/>
    </row>
    <row r="490" spans="3:6" ht="15.75" customHeight="1" x14ac:dyDescent="0.2">
      <c r="C490" s="26"/>
      <c r="D490" s="26"/>
      <c r="F490" s="21"/>
    </row>
    <row r="491" spans="3:6" ht="15.75" customHeight="1" x14ac:dyDescent="0.2">
      <c r="C491" s="26"/>
      <c r="D491" s="26"/>
      <c r="F491" s="21"/>
    </row>
    <row r="492" spans="3:6" ht="15.75" customHeight="1" x14ac:dyDescent="0.2">
      <c r="C492" s="26"/>
      <c r="D492" s="26"/>
      <c r="F492" s="21"/>
    </row>
    <row r="493" spans="3:6" ht="15.75" customHeight="1" x14ac:dyDescent="0.2">
      <c r="C493" s="26"/>
      <c r="D493" s="26"/>
      <c r="F493" s="21"/>
    </row>
    <row r="494" spans="3:6" ht="15.75" customHeight="1" x14ac:dyDescent="0.2">
      <c r="C494" s="26"/>
      <c r="D494" s="26"/>
      <c r="F494" s="21"/>
    </row>
    <row r="495" spans="3:6" ht="15.75" customHeight="1" x14ac:dyDescent="0.2">
      <c r="C495" s="26"/>
      <c r="D495" s="26"/>
      <c r="F495" s="21"/>
    </row>
    <row r="496" spans="3:6" ht="15.75" customHeight="1" x14ac:dyDescent="0.2">
      <c r="C496" s="26"/>
      <c r="D496" s="26"/>
      <c r="F496" s="21"/>
    </row>
    <row r="497" spans="3:6" ht="15.75" customHeight="1" x14ac:dyDescent="0.2">
      <c r="C497" s="26"/>
      <c r="D497" s="26"/>
      <c r="F497" s="21"/>
    </row>
    <row r="498" spans="3:6" ht="15.75" customHeight="1" x14ac:dyDescent="0.2">
      <c r="C498" s="26"/>
      <c r="D498" s="26"/>
      <c r="F498" s="21"/>
    </row>
    <row r="499" spans="3:6" ht="15.75" customHeight="1" x14ac:dyDescent="0.2">
      <c r="C499" s="26"/>
      <c r="D499" s="26"/>
      <c r="F499" s="21"/>
    </row>
    <row r="500" spans="3:6" ht="15.75" customHeight="1" x14ac:dyDescent="0.2">
      <c r="C500" s="26"/>
      <c r="D500" s="26"/>
      <c r="F500" s="21"/>
    </row>
    <row r="501" spans="3:6" ht="15.75" customHeight="1" x14ac:dyDescent="0.2">
      <c r="C501" s="26"/>
      <c r="D501" s="26"/>
      <c r="F501" s="21"/>
    </row>
    <row r="502" spans="3:6" ht="15.75" customHeight="1" x14ac:dyDescent="0.2">
      <c r="C502" s="26"/>
      <c r="D502" s="26"/>
      <c r="F502" s="21"/>
    </row>
    <row r="503" spans="3:6" ht="15.75" customHeight="1" x14ac:dyDescent="0.2">
      <c r="C503" s="26"/>
      <c r="D503" s="26"/>
      <c r="F503" s="21"/>
    </row>
    <row r="504" spans="3:6" ht="15.75" customHeight="1" x14ac:dyDescent="0.2">
      <c r="C504" s="26"/>
      <c r="D504" s="26"/>
      <c r="F504" s="21"/>
    </row>
    <row r="505" spans="3:6" ht="15.75" customHeight="1" x14ac:dyDescent="0.2">
      <c r="C505" s="26"/>
      <c r="D505" s="26"/>
      <c r="F505" s="21"/>
    </row>
    <row r="506" spans="3:6" ht="15.75" customHeight="1" x14ac:dyDescent="0.2">
      <c r="C506" s="26"/>
      <c r="D506" s="26"/>
      <c r="F506" s="21"/>
    </row>
    <row r="507" spans="3:6" ht="15.75" customHeight="1" x14ac:dyDescent="0.2">
      <c r="C507" s="26"/>
      <c r="D507" s="26"/>
      <c r="F507" s="21"/>
    </row>
    <row r="508" spans="3:6" ht="15.75" customHeight="1" x14ac:dyDescent="0.2">
      <c r="C508" s="26"/>
      <c r="D508" s="26"/>
      <c r="F508" s="21"/>
    </row>
    <row r="509" spans="3:6" ht="15.75" customHeight="1" x14ac:dyDescent="0.2">
      <c r="C509" s="26"/>
      <c r="D509" s="26"/>
      <c r="F509" s="21"/>
    </row>
    <row r="510" spans="3:6" ht="15.75" customHeight="1" x14ac:dyDescent="0.2">
      <c r="C510" s="26"/>
      <c r="D510" s="26"/>
      <c r="F510" s="21"/>
    </row>
    <row r="511" spans="3:6" ht="15.75" customHeight="1" x14ac:dyDescent="0.2">
      <c r="C511" s="26"/>
      <c r="D511" s="26"/>
      <c r="F511" s="21"/>
    </row>
    <row r="512" spans="3:6" ht="15.75" customHeight="1" x14ac:dyDescent="0.2">
      <c r="C512" s="26"/>
      <c r="D512" s="26"/>
      <c r="F512" s="21"/>
    </row>
    <row r="513" spans="3:6" ht="15.75" customHeight="1" x14ac:dyDescent="0.2">
      <c r="C513" s="26"/>
      <c r="D513" s="26"/>
      <c r="F513" s="21"/>
    </row>
    <row r="514" spans="3:6" ht="15.75" customHeight="1" x14ac:dyDescent="0.2">
      <c r="C514" s="26"/>
      <c r="D514" s="26"/>
      <c r="F514" s="21"/>
    </row>
    <row r="515" spans="3:6" ht="15.75" customHeight="1" x14ac:dyDescent="0.2">
      <c r="C515" s="26"/>
      <c r="D515" s="26"/>
      <c r="F515" s="21"/>
    </row>
    <row r="516" spans="3:6" ht="15.75" customHeight="1" x14ac:dyDescent="0.2">
      <c r="C516" s="26"/>
      <c r="D516" s="26"/>
      <c r="F516" s="21"/>
    </row>
    <row r="517" spans="3:6" ht="15.75" customHeight="1" x14ac:dyDescent="0.2">
      <c r="C517" s="26"/>
      <c r="D517" s="26"/>
      <c r="F517" s="21"/>
    </row>
    <row r="518" spans="3:6" ht="15.75" customHeight="1" x14ac:dyDescent="0.2">
      <c r="C518" s="26"/>
      <c r="D518" s="26"/>
      <c r="F518" s="21"/>
    </row>
    <row r="519" spans="3:6" ht="15.75" customHeight="1" x14ac:dyDescent="0.2">
      <c r="C519" s="26"/>
      <c r="D519" s="26"/>
      <c r="F519" s="21"/>
    </row>
    <row r="520" spans="3:6" ht="15.75" customHeight="1" x14ac:dyDescent="0.2">
      <c r="C520" s="26"/>
      <c r="D520" s="26"/>
      <c r="F520" s="21"/>
    </row>
    <row r="521" spans="3:6" ht="15.75" customHeight="1" x14ac:dyDescent="0.2">
      <c r="C521" s="26"/>
      <c r="D521" s="26"/>
      <c r="F521" s="21"/>
    </row>
    <row r="522" spans="3:6" ht="15.75" customHeight="1" x14ac:dyDescent="0.2">
      <c r="C522" s="26"/>
      <c r="D522" s="26"/>
      <c r="F522" s="21"/>
    </row>
    <row r="523" spans="3:6" ht="15.75" customHeight="1" x14ac:dyDescent="0.2">
      <c r="C523" s="26"/>
      <c r="D523" s="26"/>
      <c r="F523" s="21"/>
    </row>
    <row r="524" spans="3:6" ht="15.75" customHeight="1" x14ac:dyDescent="0.2">
      <c r="C524" s="26"/>
      <c r="D524" s="26"/>
      <c r="F524" s="21"/>
    </row>
    <row r="525" spans="3:6" ht="15.75" customHeight="1" x14ac:dyDescent="0.2">
      <c r="C525" s="26"/>
      <c r="D525" s="26"/>
      <c r="F525" s="21"/>
    </row>
    <row r="526" spans="3:6" ht="15.75" customHeight="1" x14ac:dyDescent="0.2">
      <c r="C526" s="26"/>
      <c r="D526" s="26"/>
      <c r="F526" s="21"/>
    </row>
    <row r="527" spans="3:6" ht="15.75" customHeight="1" x14ac:dyDescent="0.2">
      <c r="C527" s="26"/>
      <c r="D527" s="26"/>
      <c r="F527" s="21"/>
    </row>
    <row r="528" spans="3:6" ht="15.75" customHeight="1" x14ac:dyDescent="0.2">
      <c r="C528" s="26"/>
      <c r="D528" s="26"/>
      <c r="F528" s="21"/>
    </row>
    <row r="529" spans="3:6" ht="15.75" customHeight="1" x14ac:dyDescent="0.2">
      <c r="C529" s="26"/>
      <c r="D529" s="26"/>
      <c r="F529" s="21"/>
    </row>
    <row r="530" spans="3:6" ht="15.75" customHeight="1" x14ac:dyDescent="0.2">
      <c r="C530" s="26"/>
      <c r="D530" s="26"/>
      <c r="F530" s="21"/>
    </row>
    <row r="531" spans="3:6" ht="15.75" customHeight="1" x14ac:dyDescent="0.2">
      <c r="C531" s="26"/>
      <c r="D531" s="26"/>
      <c r="F531" s="21"/>
    </row>
    <row r="532" spans="3:6" ht="15.75" customHeight="1" x14ac:dyDescent="0.2">
      <c r="C532" s="26"/>
      <c r="D532" s="26"/>
      <c r="F532" s="21"/>
    </row>
    <row r="533" spans="3:6" ht="15.75" customHeight="1" x14ac:dyDescent="0.2">
      <c r="C533" s="26"/>
      <c r="D533" s="26"/>
      <c r="F533" s="21"/>
    </row>
    <row r="534" spans="3:6" ht="15.75" customHeight="1" x14ac:dyDescent="0.2">
      <c r="C534" s="26"/>
      <c r="D534" s="26"/>
      <c r="F534" s="21"/>
    </row>
    <row r="535" spans="3:6" ht="15.75" customHeight="1" x14ac:dyDescent="0.2">
      <c r="C535" s="26"/>
      <c r="D535" s="26"/>
      <c r="F535" s="21"/>
    </row>
    <row r="536" spans="3:6" ht="15.75" customHeight="1" x14ac:dyDescent="0.2">
      <c r="C536" s="26"/>
      <c r="D536" s="26"/>
      <c r="F536" s="21"/>
    </row>
    <row r="537" spans="3:6" ht="15.75" customHeight="1" x14ac:dyDescent="0.2">
      <c r="C537" s="26"/>
      <c r="D537" s="26"/>
      <c r="F537" s="21"/>
    </row>
    <row r="538" spans="3:6" ht="15.75" customHeight="1" x14ac:dyDescent="0.2">
      <c r="C538" s="26"/>
      <c r="D538" s="26"/>
      <c r="F538" s="21"/>
    </row>
    <row r="539" spans="3:6" ht="15.75" customHeight="1" x14ac:dyDescent="0.2">
      <c r="C539" s="26"/>
      <c r="D539" s="26"/>
      <c r="F539" s="21"/>
    </row>
    <row r="540" spans="3:6" ht="15.75" customHeight="1" x14ac:dyDescent="0.2">
      <c r="C540" s="26"/>
      <c r="D540" s="26"/>
      <c r="F540" s="21"/>
    </row>
    <row r="541" spans="3:6" ht="15.75" customHeight="1" x14ac:dyDescent="0.2">
      <c r="C541" s="26"/>
      <c r="D541" s="26"/>
      <c r="F541" s="21"/>
    </row>
    <row r="542" spans="3:6" ht="15.75" customHeight="1" x14ac:dyDescent="0.2">
      <c r="C542" s="26"/>
      <c r="D542" s="26"/>
      <c r="F542" s="21"/>
    </row>
    <row r="543" spans="3:6" ht="15.75" customHeight="1" x14ac:dyDescent="0.2">
      <c r="C543" s="26"/>
      <c r="D543" s="26"/>
      <c r="F543" s="21"/>
    </row>
    <row r="544" spans="3:6" ht="15.75" customHeight="1" x14ac:dyDescent="0.2">
      <c r="C544" s="26"/>
      <c r="D544" s="26"/>
      <c r="F544" s="21"/>
    </row>
    <row r="545" spans="3:6" ht="15.75" customHeight="1" x14ac:dyDescent="0.2">
      <c r="C545" s="26"/>
      <c r="D545" s="26"/>
      <c r="F545" s="21"/>
    </row>
    <row r="546" spans="3:6" ht="15.75" customHeight="1" x14ac:dyDescent="0.2">
      <c r="C546" s="26"/>
      <c r="D546" s="26"/>
      <c r="F546" s="21"/>
    </row>
    <row r="547" spans="3:6" ht="15.75" customHeight="1" x14ac:dyDescent="0.2">
      <c r="C547" s="26"/>
      <c r="D547" s="26"/>
      <c r="F547" s="21"/>
    </row>
    <row r="548" spans="3:6" ht="15.75" customHeight="1" x14ac:dyDescent="0.2">
      <c r="C548" s="26"/>
      <c r="D548" s="26"/>
      <c r="F548" s="21"/>
    </row>
    <row r="549" spans="3:6" ht="15.75" customHeight="1" x14ac:dyDescent="0.2">
      <c r="C549" s="26"/>
      <c r="D549" s="26"/>
      <c r="F549" s="21"/>
    </row>
    <row r="550" spans="3:6" ht="15.75" customHeight="1" x14ac:dyDescent="0.2">
      <c r="C550" s="26"/>
      <c r="D550" s="26"/>
      <c r="F550" s="21"/>
    </row>
    <row r="551" spans="3:6" ht="15.75" customHeight="1" x14ac:dyDescent="0.2">
      <c r="C551" s="26"/>
      <c r="D551" s="26"/>
      <c r="F551" s="21"/>
    </row>
    <row r="552" spans="3:6" ht="15.75" customHeight="1" x14ac:dyDescent="0.2">
      <c r="C552" s="26"/>
      <c r="D552" s="26"/>
      <c r="F552" s="21"/>
    </row>
    <row r="553" spans="3:6" ht="15.75" customHeight="1" x14ac:dyDescent="0.2">
      <c r="C553" s="26"/>
      <c r="D553" s="26"/>
      <c r="F553" s="21"/>
    </row>
    <row r="554" spans="3:6" ht="15.75" customHeight="1" x14ac:dyDescent="0.2">
      <c r="C554" s="26"/>
      <c r="D554" s="26"/>
      <c r="F554" s="21"/>
    </row>
    <row r="555" spans="3:6" ht="15.75" customHeight="1" x14ac:dyDescent="0.2">
      <c r="C555" s="26"/>
      <c r="D555" s="26"/>
      <c r="F555" s="21"/>
    </row>
    <row r="556" spans="3:6" ht="15.75" customHeight="1" x14ac:dyDescent="0.2">
      <c r="C556" s="26"/>
      <c r="D556" s="26"/>
      <c r="F556" s="21"/>
    </row>
    <row r="557" spans="3:6" ht="15.75" customHeight="1" x14ac:dyDescent="0.2">
      <c r="C557" s="26"/>
      <c r="D557" s="26"/>
      <c r="F557" s="21"/>
    </row>
    <row r="558" spans="3:6" ht="15.75" customHeight="1" x14ac:dyDescent="0.2">
      <c r="C558" s="26"/>
      <c r="D558" s="26"/>
      <c r="F558" s="21"/>
    </row>
    <row r="559" spans="3:6" ht="15.75" customHeight="1" x14ac:dyDescent="0.2">
      <c r="C559" s="26"/>
      <c r="D559" s="26"/>
      <c r="F559" s="21"/>
    </row>
    <row r="560" spans="3:6" ht="15.75" customHeight="1" x14ac:dyDescent="0.2">
      <c r="C560" s="26"/>
      <c r="D560" s="26"/>
      <c r="F560" s="21"/>
    </row>
    <row r="561" spans="3:6" ht="15.75" customHeight="1" x14ac:dyDescent="0.2">
      <c r="C561" s="26"/>
      <c r="D561" s="26"/>
      <c r="F561" s="21"/>
    </row>
    <row r="562" spans="3:6" ht="15.75" customHeight="1" x14ac:dyDescent="0.2">
      <c r="C562" s="26"/>
      <c r="D562" s="26"/>
      <c r="F562" s="21"/>
    </row>
    <row r="563" spans="3:6" ht="15.75" customHeight="1" x14ac:dyDescent="0.2">
      <c r="C563" s="26"/>
      <c r="D563" s="26"/>
      <c r="F563" s="21"/>
    </row>
    <row r="564" spans="3:6" ht="15.75" customHeight="1" x14ac:dyDescent="0.2">
      <c r="C564" s="26"/>
      <c r="D564" s="26"/>
      <c r="F564" s="21"/>
    </row>
    <row r="565" spans="3:6" ht="15.75" customHeight="1" x14ac:dyDescent="0.2">
      <c r="C565" s="26"/>
      <c r="D565" s="26"/>
      <c r="F565" s="21"/>
    </row>
    <row r="566" spans="3:6" ht="15.75" customHeight="1" x14ac:dyDescent="0.2">
      <c r="C566" s="26"/>
      <c r="D566" s="26"/>
      <c r="F566" s="21"/>
    </row>
    <row r="567" spans="3:6" ht="15.75" customHeight="1" x14ac:dyDescent="0.2">
      <c r="C567" s="26"/>
      <c r="D567" s="26"/>
      <c r="F567" s="21"/>
    </row>
    <row r="568" spans="3:6" ht="15.75" customHeight="1" x14ac:dyDescent="0.2">
      <c r="C568" s="26"/>
      <c r="D568" s="26"/>
      <c r="F568" s="21"/>
    </row>
    <row r="569" spans="3:6" ht="15.75" customHeight="1" x14ac:dyDescent="0.2">
      <c r="C569" s="26"/>
      <c r="D569" s="26"/>
      <c r="F569" s="21"/>
    </row>
    <row r="570" spans="3:6" ht="15.75" customHeight="1" x14ac:dyDescent="0.2">
      <c r="C570" s="26"/>
      <c r="D570" s="26"/>
      <c r="F570" s="21"/>
    </row>
    <row r="571" spans="3:6" ht="15.75" customHeight="1" x14ac:dyDescent="0.2">
      <c r="C571" s="26"/>
      <c r="D571" s="26"/>
      <c r="F571" s="21"/>
    </row>
    <row r="572" spans="3:6" ht="15.75" customHeight="1" x14ac:dyDescent="0.2">
      <c r="C572" s="26"/>
      <c r="D572" s="26"/>
      <c r="F572" s="21"/>
    </row>
    <row r="573" spans="3:6" ht="15.75" customHeight="1" x14ac:dyDescent="0.2">
      <c r="C573" s="26"/>
      <c r="D573" s="26"/>
      <c r="F573" s="21"/>
    </row>
    <row r="574" spans="3:6" ht="15.75" customHeight="1" x14ac:dyDescent="0.2">
      <c r="C574" s="26"/>
      <c r="D574" s="26"/>
      <c r="F574" s="21"/>
    </row>
    <row r="575" spans="3:6" ht="15.75" customHeight="1" x14ac:dyDescent="0.2">
      <c r="C575" s="26"/>
      <c r="D575" s="26"/>
      <c r="F575" s="21"/>
    </row>
    <row r="576" spans="3:6" ht="15.75" customHeight="1" x14ac:dyDescent="0.2">
      <c r="C576" s="26"/>
      <c r="D576" s="26"/>
      <c r="F576" s="21"/>
    </row>
    <row r="577" spans="3:6" ht="15.75" customHeight="1" x14ac:dyDescent="0.2">
      <c r="C577" s="26"/>
      <c r="D577" s="26"/>
      <c r="F577" s="21"/>
    </row>
    <row r="578" spans="3:6" ht="15.75" customHeight="1" x14ac:dyDescent="0.2">
      <c r="C578" s="26"/>
      <c r="D578" s="26"/>
      <c r="F578" s="21"/>
    </row>
    <row r="579" spans="3:6" ht="15.75" customHeight="1" x14ac:dyDescent="0.2">
      <c r="C579" s="26"/>
      <c r="D579" s="26"/>
      <c r="F579" s="21"/>
    </row>
    <row r="580" spans="3:6" ht="15.75" customHeight="1" x14ac:dyDescent="0.2">
      <c r="C580" s="26"/>
      <c r="D580" s="26"/>
      <c r="F580" s="21"/>
    </row>
    <row r="581" spans="3:6" ht="15.75" customHeight="1" x14ac:dyDescent="0.2">
      <c r="C581" s="26"/>
      <c r="D581" s="26"/>
      <c r="F581" s="21"/>
    </row>
    <row r="582" spans="3:6" ht="15.75" customHeight="1" x14ac:dyDescent="0.2">
      <c r="C582" s="26"/>
      <c r="D582" s="26"/>
      <c r="F582" s="21"/>
    </row>
    <row r="583" spans="3:6" ht="15.75" customHeight="1" x14ac:dyDescent="0.2">
      <c r="C583" s="26"/>
      <c r="D583" s="26"/>
      <c r="F583" s="21"/>
    </row>
    <row r="584" spans="3:6" ht="15.75" customHeight="1" x14ac:dyDescent="0.2">
      <c r="C584" s="26"/>
      <c r="D584" s="26"/>
      <c r="F584" s="21"/>
    </row>
    <row r="585" spans="3:6" ht="15.75" customHeight="1" x14ac:dyDescent="0.2">
      <c r="C585" s="26"/>
      <c r="D585" s="26"/>
      <c r="F585" s="21"/>
    </row>
    <row r="586" spans="3:6" ht="15.75" customHeight="1" x14ac:dyDescent="0.2">
      <c r="C586" s="26"/>
      <c r="D586" s="26"/>
      <c r="F586" s="21"/>
    </row>
    <row r="587" spans="3:6" ht="15.75" customHeight="1" x14ac:dyDescent="0.2">
      <c r="C587" s="26"/>
      <c r="D587" s="26"/>
      <c r="F587" s="21"/>
    </row>
    <row r="588" spans="3:6" ht="15.75" customHeight="1" x14ac:dyDescent="0.2">
      <c r="C588" s="26"/>
      <c r="D588" s="26"/>
      <c r="F588" s="21"/>
    </row>
    <row r="589" spans="3:6" ht="15.75" customHeight="1" x14ac:dyDescent="0.2">
      <c r="C589" s="26"/>
      <c r="D589" s="26"/>
      <c r="F589" s="21"/>
    </row>
    <row r="590" spans="3:6" ht="15.75" customHeight="1" x14ac:dyDescent="0.2">
      <c r="C590" s="26"/>
      <c r="D590" s="26"/>
      <c r="F590" s="21"/>
    </row>
    <row r="591" spans="3:6" ht="15.75" customHeight="1" x14ac:dyDescent="0.2">
      <c r="C591" s="26"/>
      <c r="D591" s="26"/>
      <c r="F591" s="21"/>
    </row>
    <row r="592" spans="3:6" ht="15.75" customHeight="1" x14ac:dyDescent="0.2">
      <c r="C592" s="26"/>
      <c r="D592" s="26"/>
      <c r="F592" s="21"/>
    </row>
    <row r="593" spans="3:6" ht="15.75" customHeight="1" x14ac:dyDescent="0.2">
      <c r="C593" s="26"/>
      <c r="D593" s="26"/>
      <c r="F593" s="21"/>
    </row>
    <row r="594" spans="3:6" ht="15.75" customHeight="1" x14ac:dyDescent="0.2">
      <c r="C594" s="26"/>
      <c r="D594" s="26"/>
      <c r="F594" s="21"/>
    </row>
    <row r="595" spans="3:6" ht="15.75" customHeight="1" x14ac:dyDescent="0.2">
      <c r="C595" s="26"/>
      <c r="D595" s="26"/>
      <c r="F595" s="21"/>
    </row>
    <row r="596" spans="3:6" ht="15.75" customHeight="1" x14ac:dyDescent="0.2">
      <c r="C596" s="26"/>
      <c r="D596" s="26"/>
      <c r="F596" s="21"/>
    </row>
    <row r="597" spans="3:6" ht="15.75" customHeight="1" x14ac:dyDescent="0.2">
      <c r="C597" s="26"/>
      <c r="D597" s="26"/>
      <c r="F597" s="21"/>
    </row>
    <row r="598" spans="3:6" ht="15.75" customHeight="1" x14ac:dyDescent="0.2">
      <c r="C598" s="26"/>
      <c r="D598" s="26"/>
      <c r="F598" s="21"/>
    </row>
    <row r="599" spans="3:6" ht="15.75" customHeight="1" x14ac:dyDescent="0.2">
      <c r="C599" s="26"/>
      <c r="D599" s="26"/>
      <c r="F599" s="21"/>
    </row>
    <row r="600" spans="3:6" ht="15.75" customHeight="1" x14ac:dyDescent="0.2">
      <c r="C600" s="26"/>
      <c r="D600" s="26"/>
      <c r="F600" s="21"/>
    </row>
    <row r="601" spans="3:6" ht="15.75" customHeight="1" x14ac:dyDescent="0.2">
      <c r="C601" s="26"/>
      <c r="D601" s="26"/>
      <c r="F601" s="21"/>
    </row>
    <row r="602" spans="3:6" ht="15.75" customHeight="1" x14ac:dyDescent="0.2">
      <c r="C602" s="26"/>
      <c r="D602" s="26"/>
      <c r="F602" s="21"/>
    </row>
    <row r="603" spans="3:6" ht="15.75" customHeight="1" x14ac:dyDescent="0.2">
      <c r="C603" s="26"/>
      <c r="D603" s="26"/>
      <c r="F603" s="21"/>
    </row>
    <row r="604" spans="3:6" ht="15.75" customHeight="1" x14ac:dyDescent="0.2">
      <c r="C604" s="26"/>
      <c r="D604" s="26"/>
      <c r="F604" s="21"/>
    </row>
    <row r="605" spans="3:6" ht="15.75" customHeight="1" x14ac:dyDescent="0.2">
      <c r="C605" s="26"/>
      <c r="D605" s="26"/>
      <c r="F605" s="21"/>
    </row>
    <row r="606" spans="3:6" ht="15.75" customHeight="1" x14ac:dyDescent="0.2">
      <c r="C606" s="26"/>
      <c r="D606" s="26"/>
      <c r="F606" s="21"/>
    </row>
    <row r="607" spans="3:6" ht="15.75" customHeight="1" x14ac:dyDescent="0.2">
      <c r="C607" s="26"/>
      <c r="D607" s="26"/>
      <c r="F607" s="21"/>
    </row>
    <row r="608" spans="3:6" ht="15.75" customHeight="1" x14ac:dyDescent="0.2">
      <c r="C608" s="26"/>
      <c r="D608" s="26"/>
      <c r="F608" s="21"/>
    </row>
    <row r="609" spans="3:6" ht="15.75" customHeight="1" x14ac:dyDescent="0.2">
      <c r="C609" s="26"/>
      <c r="D609" s="26"/>
      <c r="F609" s="21"/>
    </row>
    <row r="610" spans="3:6" ht="15.75" customHeight="1" x14ac:dyDescent="0.2">
      <c r="C610" s="26"/>
      <c r="D610" s="26"/>
      <c r="F610" s="21"/>
    </row>
    <row r="611" spans="3:6" ht="15.75" customHeight="1" x14ac:dyDescent="0.2">
      <c r="C611" s="26"/>
      <c r="D611" s="26"/>
      <c r="F611" s="21"/>
    </row>
    <row r="612" spans="3:6" ht="15.75" customHeight="1" x14ac:dyDescent="0.2">
      <c r="C612" s="26"/>
      <c r="D612" s="26"/>
      <c r="F612" s="21"/>
    </row>
    <row r="613" spans="3:6" ht="15.75" customHeight="1" x14ac:dyDescent="0.2">
      <c r="C613" s="26"/>
      <c r="D613" s="26"/>
      <c r="F613" s="21"/>
    </row>
    <row r="614" spans="3:6" ht="15.75" customHeight="1" x14ac:dyDescent="0.2">
      <c r="C614" s="26"/>
      <c r="D614" s="26"/>
      <c r="F614" s="21"/>
    </row>
    <row r="615" spans="3:6" ht="15.75" customHeight="1" x14ac:dyDescent="0.2">
      <c r="C615" s="26"/>
      <c r="D615" s="26"/>
      <c r="F615" s="21"/>
    </row>
    <row r="616" spans="3:6" ht="15.75" customHeight="1" x14ac:dyDescent="0.2">
      <c r="C616" s="26"/>
      <c r="D616" s="26"/>
      <c r="F616" s="21"/>
    </row>
    <row r="617" spans="3:6" ht="15.75" customHeight="1" x14ac:dyDescent="0.2">
      <c r="C617" s="26"/>
      <c r="D617" s="26"/>
      <c r="F617" s="21"/>
    </row>
    <row r="618" spans="3:6" ht="15.75" customHeight="1" x14ac:dyDescent="0.2">
      <c r="C618" s="26"/>
      <c r="D618" s="26"/>
      <c r="F618" s="21"/>
    </row>
    <row r="619" spans="3:6" ht="15.75" customHeight="1" x14ac:dyDescent="0.2">
      <c r="C619" s="26"/>
      <c r="D619" s="26"/>
      <c r="F619" s="21"/>
    </row>
    <row r="620" spans="3:6" ht="15.75" customHeight="1" x14ac:dyDescent="0.2">
      <c r="C620" s="26"/>
      <c r="D620" s="26"/>
      <c r="F620" s="21"/>
    </row>
    <row r="621" spans="3:6" ht="15.75" customHeight="1" x14ac:dyDescent="0.2">
      <c r="C621" s="26"/>
      <c r="D621" s="26"/>
      <c r="F621" s="21"/>
    </row>
    <row r="622" spans="3:6" ht="15.75" customHeight="1" x14ac:dyDescent="0.2">
      <c r="C622" s="26"/>
      <c r="D622" s="26"/>
      <c r="F622" s="21"/>
    </row>
    <row r="623" spans="3:6" ht="15.75" customHeight="1" x14ac:dyDescent="0.2">
      <c r="C623" s="26"/>
      <c r="D623" s="26"/>
      <c r="F623" s="21"/>
    </row>
    <row r="624" spans="3:6" ht="15.75" customHeight="1" x14ac:dyDescent="0.2">
      <c r="C624" s="26"/>
      <c r="D624" s="26"/>
      <c r="F624" s="21"/>
    </row>
    <row r="625" spans="3:6" ht="15.75" customHeight="1" x14ac:dyDescent="0.2">
      <c r="C625" s="26"/>
      <c r="D625" s="26"/>
      <c r="F625" s="21"/>
    </row>
    <row r="626" spans="3:6" ht="15.75" customHeight="1" x14ac:dyDescent="0.2">
      <c r="C626" s="26"/>
      <c r="D626" s="26"/>
      <c r="F626" s="21"/>
    </row>
    <row r="627" spans="3:6" ht="15.75" customHeight="1" x14ac:dyDescent="0.2">
      <c r="C627" s="26"/>
      <c r="D627" s="26"/>
      <c r="F627" s="21"/>
    </row>
    <row r="628" spans="3:6" ht="15.75" customHeight="1" x14ac:dyDescent="0.2">
      <c r="C628" s="26"/>
      <c r="D628" s="26"/>
      <c r="F628" s="21"/>
    </row>
    <row r="629" spans="3:6" ht="15.75" customHeight="1" x14ac:dyDescent="0.2">
      <c r="C629" s="26"/>
      <c r="D629" s="26"/>
      <c r="F629" s="21"/>
    </row>
    <row r="630" spans="3:6" ht="15.75" customHeight="1" x14ac:dyDescent="0.2">
      <c r="C630" s="26"/>
      <c r="D630" s="26"/>
      <c r="F630" s="21"/>
    </row>
    <row r="631" spans="3:6" ht="15.75" customHeight="1" x14ac:dyDescent="0.2">
      <c r="C631" s="26"/>
      <c r="D631" s="26"/>
      <c r="F631" s="21"/>
    </row>
    <row r="632" spans="3:6" ht="15.75" customHeight="1" x14ac:dyDescent="0.2">
      <c r="C632" s="26"/>
      <c r="D632" s="26"/>
      <c r="F632" s="21"/>
    </row>
    <row r="633" spans="3:6" ht="15.75" customHeight="1" x14ac:dyDescent="0.2">
      <c r="C633" s="26"/>
      <c r="D633" s="26"/>
      <c r="F633" s="21"/>
    </row>
    <row r="634" spans="3:6" ht="15.75" customHeight="1" x14ac:dyDescent="0.2">
      <c r="C634" s="26"/>
      <c r="D634" s="26"/>
      <c r="F634" s="21"/>
    </row>
    <row r="635" spans="3:6" ht="15.75" customHeight="1" x14ac:dyDescent="0.2">
      <c r="C635" s="26"/>
      <c r="D635" s="26"/>
      <c r="F635" s="21"/>
    </row>
    <row r="636" spans="3:6" ht="15.75" customHeight="1" x14ac:dyDescent="0.2">
      <c r="C636" s="26"/>
      <c r="D636" s="26"/>
      <c r="F636" s="21"/>
    </row>
    <row r="637" spans="3:6" ht="15.75" customHeight="1" x14ac:dyDescent="0.2">
      <c r="C637" s="26"/>
      <c r="D637" s="26"/>
      <c r="F637" s="21"/>
    </row>
    <row r="638" spans="3:6" ht="15.75" customHeight="1" x14ac:dyDescent="0.2">
      <c r="C638" s="26"/>
      <c r="D638" s="26"/>
      <c r="F638" s="21"/>
    </row>
    <row r="639" spans="3:6" ht="15.75" customHeight="1" x14ac:dyDescent="0.2">
      <c r="C639" s="26"/>
      <c r="D639" s="26"/>
      <c r="F639" s="21"/>
    </row>
    <row r="640" spans="3:6" ht="15.75" customHeight="1" x14ac:dyDescent="0.2">
      <c r="C640" s="26"/>
      <c r="D640" s="26"/>
      <c r="F640" s="21"/>
    </row>
    <row r="641" spans="3:6" ht="15.75" customHeight="1" x14ac:dyDescent="0.2">
      <c r="C641" s="26"/>
      <c r="D641" s="26"/>
      <c r="F641" s="21"/>
    </row>
    <row r="642" spans="3:6" ht="15.75" customHeight="1" x14ac:dyDescent="0.2">
      <c r="C642" s="26"/>
      <c r="D642" s="26"/>
      <c r="F642" s="21"/>
    </row>
    <row r="643" spans="3:6" ht="15.75" customHeight="1" x14ac:dyDescent="0.2">
      <c r="C643" s="26"/>
      <c r="D643" s="26"/>
      <c r="F643" s="21"/>
    </row>
    <row r="644" spans="3:6" ht="15.75" customHeight="1" x14ac:dyDescent="0.2">
      <c r="C644" s="26"/>
      <c r="D644" s="26"/>
      <c r="F644" s="21"/>
    </row>
    <row r="645" spans="3:6" ht="15.75" customHeight="1" x14ac:dyDescent="0.2">
      <c r="C645" s="26"/>
      <c r="D645" s="26"/>
      <c r="F645" s="21"/>
    </row>
    <row r="646" spans="3:6" ht="15.75" customHeight="1" x14ac:dyDescent="0.2">
      <c r="C646" s="26"/>
      <c r="D646" s="26"/>
      <c r="F646" s="21"/>
    </row>
    <row r="647" spans="3:6" ht="15.75" customHeight="1" x14ac:dyDescent="0.2">
      <c r="C647" s="26"/>
      <c r="D647" s="26"/>
      <c r="F647" s="21"/>
    </row>
    <row r="648" spans="3:6" ht="15.75" customHeight="1" x14ac:dyDescent="0.2">
      <c r="C648" s="26"/>
      <c r="D648" s="26"/>
      <c r="F648" s="21"/>
    </row>
    <row r="649" spans="3:6" ht="15.75" customHeight="1" x14ac:dyDescent="0.2">
      <c r="C649" s="26"/>
      <c r="D649" s="26"/>
      <c r="F649" s="21"/>
    </row>
    <row r="650" spans="3:6" ht="15.75" customHeight="1" x14ac:dyDescent="0.2">
      <c r="C650" s="26"/>
      <c r="D650" s="26"/>
      <c r="F650" s="21"/>
    </row>
    <row r="651" spans="3:6" ht="15.75" customHeight="1" x14ac:dyDescent="0.2">
      <c r="C651" s="26"/>
      <c r="D651" s="26"/>
      <c r="F651" s="21"/>
    </row>
    <row r="652" spans="3:6" ht="15.75" customHeight="1" x14ac:dyDescent="0.2">
      <c r="C652" s="26"/>
      <c r="D652" s="26"/>
      <c r="F652" s="21"/>
    </row>
    <row r="653" spans="3:6" ht="15.75" customHeight="1" x14ac:dyDescent="0.2">
      <c r="C653" s="26"/>
      <c r="D653" s="26"/>
      <c r="F653" s="21"/>
    </row>
    <row r="654" spans="3:6" ht="15.75" customHeight="1" x14ac:dyDescent="0.2">
      <c r="C654" s="26"/>
      <c r="D654" s="26"/>
      <c r="F654" s="21"/>
    </row>
    <row r="655" spans="3:6" ht="15.75" customHeight="1" x14ac:dyDescent="0.2">
      <c r="C655" s="26"/>
      <c r="D655" s="26"/>
      <c r="F655" s="21"/>
    </row>
    <row r="656" spans="3:6" ht="15.75" customHeight="1" x14ac:dyDescent="0.2">
      <c r="C656" s="26"/>
      <c r="D656" s="26"/>
      <c r="F656" s="21"/>
    </row>
    <row r="657" spans="3:6" ht="15.75" customHeight="1" x14ac:dyDescent="0.2">
      <c r="C657" s="26"/>
      <c r="D657" s="26"/>
      <c r="F657" s="21"/>
    </row>
    <row r="658" spans="3:6" ht="15.75" customHeight="1" x14ac:dyDescent="0.2">
      <c r="C658" s="26"/>
      <c r="D658" s="26"/>
      <c r="F658" s="21"/>
    </row>
    <row r="659" spans="3:6" ht="15.75" customHeight="1" x14ac:dyDescent="0.2">
      <c r="C659" s="26"/>
      <c r="D659" s="26"/>
      <c r="F659" s="21"/>
    </row>
    <row r="660" spans="3:6" ht="15.75" customHeight="1" x14ac:dyDescent="0.2">
      <c r="C660" s="26"/>
      <c r="D660" s="26"/>
      <c r="F660" s="21"/>
    </row>
    <row r="661" spans="3:6" ht="15.75" customHeight="1" x14ac:dyDescent="0.2">
      <c r="C661" s="26"/>
      <c r="D661" s="26"/>
      <c r="F661" s="21"/>
    </row>
    <row r="662" spans="3:6" ht="15.75" customHeight="1" x14ac:dyDescent="0.2">
      <c r="C662" s="26"/>
      <c r="D662" s="26"/>
      <c r="F662" s="21"/>
    </row>
    <row r="663" spans="3:6" ht="15.75" customHeight="1" x14ac:dyDescent="0.2">
      <c r="C663" s="26"/>
      <c r="D663" s="26"/>
      <c r="F663" s="21"/>
    </row>
    <row r="664" spans="3:6" ht="15.75" customHeight="1" x14ac:dyDescent="0.2">
      <c r="C664" s="26"/>
      <c r="D664" s="26"/>
      <c r="F664" s="21"/>
    </row>
    <row r="665" spans="3:6" ht="15.75" customHeight="1" x14ac:dyDescent="0.2">
      <c r="C665" s="26"/>
      <c r="D665" s="26"/>
      <c r="F665" s="21"/>
    </row>
    <row r="666" spans="3:6" ht="15.75" customHeight="1" x14ac:dyDescent="0.2">
      <c r="C666" s="26"/>
      <c r="D666" s="26"/>
      <c r="F666" s="21"/>
    </row>
    <row r="667" spans="3:6" ht="15.75" customHeight="1" x14ac:dyDescent="0.2">
      <c r="C667" s="26"/>
      <c r="D667" s="26"/>
      <c r="F667" s="21"/>
    </row>
    <row r="668" spans="3:6" ht="15.75" customHeight="1" x14ac:dyDescent="0.2">
      <c r="C668" s="26"/>
      <c r="D668" s="26"/>
      <c r="F668" s="21"/>
    </row>
    <row r="669" spans="3:6" ht="15.75" customHeight="1" x14ac:dyDescent="0.2">
      <c r="C669" s="26"/>
      <c r="D669" s="26"/>
      <c r="F669" s="21"/>
    </row>
    <row r="670" spans="3:6" ht="15.75" customHeight="1" x14ac:dyDescent="0.2">
      <c r="C670" s="26"/>
      <c r="D670" s="26"/>
      <c r="F670" s="21"/>
    </row>
    <row r="671" spans="3:6" ht="15.75" customHeight="1" x14ac:dyDescent="0.2">
      <c r="C671" s="26"/>
      <c r="D671" s="26"/>
      <c r="F671" s="21"/>
    </row>
    <row r="672" spans="3:6" ht="15.75" customHeight="1" x14ac:dyDescent="0.2">
      <c r="C672" s="26"/>
      <c r="D672" s="26"/>
      <c r="F672" s="21"/>
    </row>
    <row r="673" spans="3:6" ht="15.75" customHeight="1" x14ac:dyDescent="0.2">
      <c r="C673" s="26"/>
      <c r="D673" s="26"/>
      <c r="F673" s="21"/>
    </row>
    <row r="674" spans="3:6" ht="15.75" customHeight="1" x14ac:dyDescent="0.2">
      <c r="C674" s="26"/>
      <c r="D674" s="26"/>
      <c r="F674" s="21"/>
    </row>
    <row r="675" spans="3:6" ht="15.75" customHeight="1" x14ac:dyDescent="0.2">
      <c r="C675" s="26"/>
      <c r="D675" s="26"/>
      <c r="F675" s="21"/>
    </row>
    <row r="676" spans="3:6" ht="15.75" customHeight="1" x14ac:dyDescent="0.2">
      <c r="C676" s="26"/>
      <c r="D676" s="26"/>
      <c r="F676" s="21"/>
    </row>
    <row r="677" spans="3:6" ht="15.75" customHeight="1" x14ac:dyDescent="0.2">
      <c r="C677" s="26"/>
      <c r="D677" s="26"/>
      <c r="F677" s="21"/>
    </row>
    <row r="678" spans="3:6" ht="15.75" customHeight="1" x14ac:dyDescent="0.2">
      <c r="C678" s="26"/>
      <c r="D678" s="26"/>
      <c r="F678" s="21"/>
    </row>
    <row r="679" spans="3:6" ht="15.75" customHeight="1" x14ac:dyDescent="0.2">
      <c r="C679" s="26"/>
      <c r="D679" s="26"/>
      <c r="F679" s="21"/>
    </row>
    <row r="680" spans="3:6" ht="15.75" customHeight="1" x14ac:dyDescent="0.2">
      <c r="C680" s="26"/>
      <c r="D680" s="26"/>
      <c r="F680" s="21"/>
    </row>
    <row r="681" spans="3:6" ht="15.75" customHeight="1" x14ac:dyDescent="0.2">
      <c r="C681" s="26"/>
      <c r="D681" s="26"/>
      <c r="F681" s="21"/>
    </row>
    <row r="682" spans="3:6" ht="15.75" customHeight="1" x14ac:dyDescent="0.2">
      <c r="C682" s="26"/>
      <c r="D682" s="26"/>
      <c r="F682" s="21"/>
    </row>
    <row r="683" spans="3:6" ht="15.75" customHeight="1" x14ac:dyDescent="0.2">
      <c r="C683" s="26"/>
      <c r="D683" s="26"/>
      <c r="F683" s="21"/>
    </row>
    <row r="684" spans="3:6" ht="15.75" customHeight="1" x14ac:dyDescent="0.2">
      <c r="C684" s="26"/>
      <c r="D684" s="26"/>
      <c r="F684" s="21"/>
    </row>
    <row r="685" spans="3:6" ht="15.75" customHeight="1" x14ac:dyDescent="0.2">
      <c r="C685" s="26"/>
      <c r="D685" s="26"/>
      <c r="F685" s="21"/>
    </row>
    <row r="686" spans="3:6" ht="15.75" customHeight="1" x14ac:dyDescent="0.2">
      <c r="C686" s="26"/>
      <c r="D686" s="26"/>
      <c r="F686" s="21"/>
    </row>
    <row r="687" spans="3:6" ht="15.75" customHeight="1" x14ac:dyDescent="0.2">
      <c r="C687" s="26"/>
      <c r="D687" s="26"/>
      <c r="F687" s="21"/>
    </row>
    <row r="688" spans="3:6" ht="15.75" customHeight="1" x14ac:dyDescent="0.2">
      <c r="C688" s="26"/>
      <c r="D688" s="26"/>
      <c r="F688" s="21"/>
    </row>
    <row r="689" spans="3:6" ht="15.75" customHeight="1" x14ac:dyDescent="0.2">
      <c r="C689" s="26"/>
      <c r="D689" s="26"/>
      <c r="F689" s="21"/>
    </row>
    <row r="690" spans="3:6" ht="15.75" customHeight="1" x14ac:dyDescent="0.2">
      <c r="C690" s="26"/>
      <c r="D690" s="26"/>
      <c r="F690" s="21"/>
    </row>
    <row r="691" spans="3:6" ht="15.75" customHeight="1" x14ac:dyDescent="0.2">
      <c r="C691" s="26"/>
      <c r="D691" s="26"/>
      <c r="F691" s="21"/>
    </row>
    <row r="692" spans="3:6" ht="15.75" customHeight="1" x14ac:dyDescent="0.2">
      <c r="C692" s="26"/>
      <c r="D692" s="26"/>
      <c r="F692" s="21"/>
    </row>
    <row r="693" spans="3:6" ht="15.75" customHeight="1" x14ac:dyDescent="0.2">
      <c r="C693" s="26"/>
      <c r="D693" s="26"/>
      <c r="F693" s="21"/>
    </row>
    <row r="694" spans="3:6" ht="15.75" customHeight="1" x14ac:dyDescent="0.2">
      <c r="C694" s="26"/>
      <c r="D694" s="26"/>
      <c r="F694" s="21"/>
    </row>
    <row r="695" spans="3:6" ht="15.75" customHeight="1" x14ac:dyDescent="0.2">
      <c r="C695" s="26"/>
      <c r="D695" s="26"/>
      <c r="F695" s="21"/>
    </row>
    <row r="696" spans="3:6" ht="15.75" customHeight="1" x14ac:dyDescent="0.2">
      <c r="C696" s="26"/>
      <c r="D696" s="26"/>
      <c r="F696" s="21"/>
    </row>
    <row r="697" spans="3:6" ht="15.75" customHeight="1" x14ac:dyDescent="0.2">
      <c r="C697" s="26"/>
      <c r="D697" s="26"/>
      <c r="F697" s="21"/>
    </row>
    <row r="698" spans="3:6" ht="15.75" customHeight="1" x14ac:dyDescent="0.2">
      <c r="C698" s="26"/>
      <c r="D698" s="26"/>
      <c r="F698" s="21"/>
    </row>
    <row r="699" spans="3:6" ht="15.75" customHeight="1" x14ac:dyDescent="0.2">
      <c r="C699" s="26"/>
      <c r="D699" s="26"/>
      <c r="F699" s="21"/>
    </row>
    <row r="700" spans="3:6" ht="15.75" customHeight="1" x14ac:dyDescent="0.2">
      <c r="C700" s="26"/>
      <c r="D700" s="26"/>
      <c r="F700" s="21"/>
    </row>
    <row r="701" spans="3:6" ht="15.75" customHeight="1" x14ac:dyDescent="0.2">
      <c r="C701" s="26"/>
      <c r="D701" s="26"/>
      <c r="F701" s="21"/>
    </row>
    <row r="702" spans="3:6" ht="15.75" customHeight="1" x14ac:dyDescent="0.2">
      <c r="C702" s="26"/>
      <c r="D702" s="26"/>
      <c r="F702" s="21"/>
    </row>
    <row r="703" spans="3:6" ht="15.75" customHeight="1" x14ac:dyDescent="0.2">
      <c r="C703" s="26"/>
      <c r="D703" s="26"/>
      <c r="F703" s="21"/>
    </row>
    <row r="704" spans="3:6" ht="15.75" customHeight="1" x14ac:dyDescent="0.2">
      <c r="C704" s="26"/>
      <c r="D704" s="26"/>
      <c r="F704" s="21"/>
    </row>
    <row r="705" spans="3:6" ht="15.75" customHeight="1" x14ac:dyDescent="0.2">
      <c r="C705" s="26"/>
      <c r="D705" s="26"/>
      <c r="F705" s="21"/>
    </row>
    <row r="706" spans="3:6" ht="15.75" customHeight="1" x14ac:dyDescent="0.2">
      <c r="C706" s="26"/>
      <c r="D706" s="26"/>
      <c r="F706" s="21"/>
    </row>
    <row r="707" spans="3:6" ht="15.75" customHeight="1" x14ac:dyDescent="0.2">
      <c r="C707" s="26"/>
      <c r="D707" s="26"/>
      <c r="F707" s="21"/>
    </row>
    <row r="708" spans="3:6" ht="15.75" customHeight="1" x14ac:dyDescent="0.2">
      <c r="C708" s="26"/>
      <c r="D708" s="26"/>
      <c r="F708" s="21"/>
    </row>
    <row r="709" spans="3:6" ht="15.75" customHeight="1" x14ac:dyDescent="0.2">
      <c r="C709" s="26"/>
      <c r="D709" s="26"/>
      <c r="F709" s="21"/>
    </row>
    <row r="710" spans="3:6" ht="15.75" customHeight="1" x14ac:dyDescent="0.2">
      <c r="C710" s="26"/>
      <c r="D710" s="26"/>
      <c r="F710" s="21"/>
    </row>
    <row r="711" spans="3:6" ht="15.75" customHeight="1" x14ac:dyDescent="0.2">
      <c r="C711" s="26"/>
      <c r="D711" s="26"/>
      <c r="F711" s="21"/>
    </row>
    <row r="712" spans="3:6" ht="15.75" customHeight="1" x14ac:dyDescent="0.2">
      <c r="C712" s="26"/>
      <c r="D712" s="26"/>
      <c r="F712" s="21"/>
    </row>
    <row r="713" spans="3:6" ht="15.75" customHeight="1" x14ac:dyDescent="0.2">
      <c r="C713" s="26"/>
      <c r="D713" s="26"/>
      <c r="F713" s="21"/>
    </row>
    <row r="714" spans="3:6" ht="15.75" customHeight="1" x14ac:dyDescent="0.2">
      <c r="C714" s="26"/>
      <c r="D714" s="26"/>
      <c r="F714" s="21"/>
    </row>
    <row r="715" spans="3:6" ht="15.75" customHeight="1" x14ac:dyDescent="0.2">
      <c r="C715" s="26"/>
      <c r="D715" s="26"/>
      <c r="F715" s="21"/>
    </row>
    <row r="716" spans="3:6" ht="15.75" customHeight="1" x14ac:dyDescent="0.2">
      <c r="C716" s="26"/>
      <c r="D716" s="26"/>
      <c r="F716" s="21"/>
    </row>
    <row r="717" spans="3:6" ht="15.75" customHeight="1" x14ac:dyDescent="0.2">
      <c r="C717" s="26"/>
      <c r="D717" s="26"/>
      <c r="F717" s="21"/>
    </row>
    <row r="718" spans="3:6" ht="15.75" customHeight="1" x14ac:dyDescent="0.2">
      <c r="C718" s="26"/>
      <c r="D718" s="26"/>
      <c r="F718" s="21"/>
    </row>
    <row r="719" spans="3:6" ht="15.75" customHeight="1" x14ac:dyDescent="0.2">
      <c r="C719" s="26"/>
      <c r="D719" s="26"/>
      <c r="F719" s="21"/>
    </row>
    <row r="720" spans="3:6" ht="15.75" customHeight="1" x14ac:dyDescent="0.2">
      <c r="C720" s="26"/>
      <c r="D720" s="26"/>
      <c r="F720" s="21"/>
    </row>
    <row r="721" spans="3:6" ht="15.75" customHeight="1" x14ac:dyDescent="0.2">
      <c r="C721" s="26"/>
      <c r="D721" s="26"/>
      <c r="F721" s="21"/>
    </row>
    <row r="722" spans="3:6" ht="15.75" customHeight="1" x14ac:dyDescent="0.2">
      <c r="C722" s="26"/>
      <c r="D722" s="26"/>
      <c r="F722" s="21"/>
    </row>
    <row r="723" spans="3:6" ht="15.75" customHeight="1" x14ac:dyDescent="0.2">
      <c r="C723" s="26"/>
      <c r="D723" s="26"/>
      <c r="F723" s="21"/>
    </row>
    <row r="724" spans="3:6" ht="15.75" customHeight="1" x14ac:dyDescent="0.2">
      <c r="C724" s="26"/>
      <c r="D724" s="26"/>
      <c r="F724" s="21"/>
    </row>
    <row r="725" spans="3:6" ht="15.75" customHeight="1" x14ac:dyDescent="0.2">
      <c r="C725" s="26"/>
      <c r="D725" s="26"/>
      <c r="F725" s="21"/>
    </row>
    <row r="726" spans="3:6" ht="15.75" customHeight="1" x14ac:dyDescent="0.2">
      <c r="C726" s="26"/>
      <c r="D726" s="26"/>
      <c r="F726" s="21"/>
    </row>
    <row r="727" spans="3:6" ht="15.75" customHeight="1" x14ac:dyDescent="0.2">
      <c r="C727" s="26"/>
      <c r="D727" s="26"/>
      <c r="F727" s="21"/>
    </row>
    <row r="728" spans="3:6" ht="15.75" customHeight="1" x14ac:dyDescent="0.2">
      <c r="C728" s="26"/>
      <c r="D728" s="26"/>
      <c r="F728" s="21"/>
    </row>
    <row r="729" spans="3:6" ht="15.75" customHeight="1" x14ac:dyDescent="0.2">
      <c r="C729" s="26"/>
      <c r="D729" s="26"/>
      <c r="F729" s="21"/>
    </row>
    <row r="730" spans="3:6" ht="15.75" customHeight="1" x14ac:dyDescent="0.2">
      <c r="C730" s="26"/>
      <c r="D730" s="26"/>
      <c r="F730" s="21"/>
    </row>
    <row r="731" spans="3:6" ht="15.75" customHeight="1" x14ac:dyDescent="0.2">
      <c r="C731" s="26"/>
      <c r="D731" s="26"/>
      <c r="F731" s="21"/>
    </row>
    <row r="732" spans="3:6" ht="15.75" customHeight="1" x14ac:dyDescent="0.2">
      <c r="C732" s="26"/>
      <c r="D732" s="26"/>
      <c r="F732" s="21"/>
    </row>
    <row r="733" spans="3:6" ht="15.75" customHeight="1" x14ac:dyDescent="0.2">
      <c r="C733" s="26"/>
      <c r="D733" s="26"/>
      <c r="F733" s="21"/>
    </row>
    <row r="734" spans="3:6" ht="15.75" customHeight="1" x14ac:dyDescent="0.2">
      <c r="C734" s="26"/>
      <c r="D734" s="26"/>
      <c r="F734" s="21"/>
    </row>
    <row r="735" spans="3:6" ht="15.75" customHeight="1" x14ac:dyDescent="0.2">
      <c r="C735" s="26"/>
      <c r="D735" s="26"/>
      <c r="F735" s="21"/>
    </row>
    <row r="736" spans="3:6" ht="15.75" customHeight="1" x14ac:dyDescent="0.2">
      <c r="C736" s="26"/>
      <c r="D736" s="26"/>
      <c r="F736" s="21"/>
    </row>
    <row r="737" spans="3:6" ht="15.75" customHeight="1" x14ac:dyDescent="0.2">
      <c r="C737" s="26"/>
      <c r="D737" s="26"/>
      <c r="F737" s="21"/>
    </row>
    <row r="738" spans="3:6" ht="15.75" customHeight="1" x14ac:dyDescent="0.2">
      <c r="C738" s="26"/>
      <c r="D738" s="26"/>
      <c r="F738" s="21"/>
    </row>
    <row r="739" spans="3:6" ht="15.75" customHeight="1" x14ac:dyDescent="0.2">
      <c r="C739" s="26"/>
      <c r="D739" s="26"/>
      <c r="F739" s="21"/>
    </row>
    <row r="740" spans="3:6" ht="15.75" customHeight="1" x14ac:dyDescent="0.2">
      <c r="C740" s="26"/>
      <c r="D740" s="26"/>
      <c r="F740" s="21"/>
    </row>
    <row r="741" spans="3:6" ht="15.75" customHeight="1" x14ac:dyDescent="0.2">
      <c r="C741" s="26"/>
      <c r="D741" s="26"/>
      <c r="F741" s="21"/>
    </row>
    <row r="742" spans="3:6" ht="15.75" customHeight="1" x14ac:dyDescent="0.2">
      <c r="C742" s="26"/>
      <c r="D742" s="26"/>
      <c r="F742" s="21"/>
    </row>
    <row r="743" spans="3:6" ht="15.75" customHeight="1" x14ac:dyDescent="0.2">
      <c r="C743" s="26"/>
      <c r="D743" s="26"/>
      <c r="F743" s="21"/>
    </row>
    <row r="744" spans="3:6" ht="15.75" customHeight="1" x14ac:dyDescent="0.2">
      <c r="C744" s="26"/>
      <c r="D744" s="26"/>
      <c r="F744" s="21"/>
    </row>
    <row r="745" spans="3:6" ht="15.75" customHeight="1" x14ac:dyDescent="0.2">
      <c r="C745" s="26"/>
      <c r="D745" s="26"/>
      <c r="F745" s="21"/>
    </row>
    <row r="746" spans="3:6" ht="15.75" customHeight="1" x14ac:dyDescent="0.2">
      <c r="C746" s="26"/>
      <c r="D746" s="26"/>
      <c r="F746" s="21"/>
    </row>
    <row r="747" spans="3:6" ht="15.75" customHeight="1" x14ac:dyDescent="0.2">
      <c r="C747" s="26"/>
      <c r="D747" s="26"/>
      <c r="F747" s="21"/>
    </row>
    <row r="748" spans="3:6" ht="15.75" customHeight="1" x14ac:dyDescent="0.2">
      <c r="C748" s="26"/>
      <c r="D748" s="26"/>
      <c r="F748" s="21"/>
    </row>
    <row r="749" spans="3:6" ht="15.75" customHeight="1" x14ac:dyDescent="0.2">
      <c r="C749" s="26"/>
      <c r="D749" s="26"/>
      <c r="F749" s="21"/>
    </row>
    <row r="750" spans="3:6" ht="15.75" customHeight="1" x14ac:dyDescent="0.2">
      <c r="C750" s="26"/>
      <c r="D750" s="26"/>
      <c r="F750" s="21"/>
    </row>
    <row r="751" spans="3:6" ht="15.75" customHeight="1" x14ac:dyDescent="0.2">
      <c r="C751" s="26"/>
      <c r="D751" s="26"/>
      <c r="F751" s="21"/>
    </row>
    <row r="752" spans="3:6" ht="15.75" customHeight="1" x14ac:dyDescent="0.2">
      <c r="C752" s="26"/>
      <c r="D752" s="26"/>
      <c r="F752" s="21"/>
    </row>
    <row r="753" spans="3:6" ht="15.75" customHeight="1" x14ac:dyDescent="0.2">
      <c r="C753" s="26"/>
      <c r="D753" s="26"/>
      <c r="F753" s="21"/>
    </row>
    <row r="754" spans="3:6" ht="15.75" customHeight="1" x14ac:dyDescent="0.2">
      <c r="C754" s="26"/>
      <c r="D754" s="26"/>
      <c r="F754" s="21"/>
    </row>
    <row r="755" spans="3:6" ht="15.75" customHeight="1" x14ac:dyDescent="0.2">
      <c r="C755" s="26"/>
      <c r="D755" s="26"/>
      <c r="F755" s="21"/>
    </row>
    <row r="756" spans="3:6" ht="15.75" customHeight="1" x14ac:dyDescent="0.2">
      <c r="C756" s="26"/>
      <c r="D756" s="26"/>
      <c r="F756" s="21"/>
    </row>
    <row r="757" spans="3:6" ht="15.75" customHeight="1" x14ac:dyDescent="0.2">
      <c r="C757" s="26"/>
      <c r="D757" s="26"/>
      <c r="F757" s="21"/>
    </row>
    <row r="758" spans="3:6" ht="15.75" customHeight="1" x14ac:dyDescent="0.2">
      <c r="C758" s="26"/>
      <c r="D758" s="26"/>
      <c r="F758" s="21"/>
    </row>
    <row r="759" spans="3:6" ht="15.75" customHeight="1" x14ac:dyDescent="0.2">
      <c r="C759" s="26"/>
      <c r="D759" s="26"/>
      <c r="F759" s="21"/>
    </row>
    <row r="760" spans="3:6" ht="15.75" customHeight="1" x14ac:dyDescent="0.2">
      <c r="C760" s="26"/>
      <c r="D760" s="26"/>
      <c r="F760" s="21"/>
    </row>
    <row r="761" spans="3:6" ht="15.75" customHeight="1" x14ac:dyDescent="0.2">
      <c r="C761" s="26"/>
      <c r="D761" s="26"/>
      <c r="F761" s="21"/>
    </row>
    <row r="762" spans="3:6" ht="15.75" customHeight="1" x14ac:dyDescent="0.2">
      <c r="C762" s="26"/>
      <c r="D762" s="26"/>
      <c r="F762" s="21"/>
    </row>
    <row r="763" spans="3:6" ht="15.75" customHeight="1" x14ac:dyDescent="0.2">
      <c r="C763" s="26"/>
      <c r="D763" s="26"/>
      <c r="F763" s="21"/>
    </row>
    <row r="764" spans="3:6" ht="15.75" customHeight="1" x14ac:dyDescent="0.2">
      <c r="C764" s="26"/>
      <c r="D764" s="26"/>
      <c r="F764" s="21"/>
    </row>
    <row r="765" spans="3:6" ht="15.75" customHeight="1" x14ac:dyDescent="0.2">
      <c r="C765" s="26"/>
      <c r="D765" s="26"/>
      <c r="F765" s="21"/>
    </row>
    <row r="766" spans="3:6" ht="15.75" customHeight="1" x14ac:dyDescent="0.2">
      <c r="C766" s="26"/>
      <c r="D766" s="26"/>
      <c r="F766" s="21"/>
    </row>
    <row r="767" spans="3:6" ht="15.75" customHeight="1" x14ac:dyDescent="0.2">
      <c r="C767" s="26"/>
      <c r="D767" s="26"/>
      <c r="F767" s="21"/>
    </row>
    <row r="768" spans="3:6" ht="15.75" customHeight="1" x14ac:dyDescent="0.2">
      <c r="C768" s="26"/>
      <c r="D768" s="26"/>
      <c r="F768" s="21"/>
    </row>
    <row r="769" spans="3:6" ht="15.75" customHeight="1" x14ac:dyDescent="0.2">
      <c r="C769" s="26"/>
      <c r="D769" s="26"/>
      <c r="F769" s="21"/>
    </row>
    <row r="770" spans="3:6" ht="15.75" customHeight="1" x14ac:dyDescent="0.2">
      <c r="C770" s="26"/>
      <c r="D770" s="26"/>
      <c r="F770" s="21"/>
    </row>
    <row r="771" spans="3:6" ht="15.75" customHeight="1" x14ac:dyDescent="0.2">
      <c r="C771" s="26"/>
      <c r="D771" s="26"/>
      <c r="F771" s="21"/>
    </row>
    <row r="772" spans="3:6" ht="15.75" customHeight="1" x14ac:dyDescent="0.2">
      <c r="C772" s="26"/>
      <c r="D772" s="26"/>
      <c r="F772" s="21"/>
    </row>
    <row r="773" spans="3:6" ht="15.75" customHeight="1" x14ac:dyDescent="0.2">
      <c r="C773" s="26"/>
      <c r="D773" s="26"/>
      <c r="F773" s="21"/>
    </row>
    <row r="774" spans="3:6" ht="15.75" customHeight="1" x14ac:dyDescent="0.2">
      <c r="C774" s="26"/>
      <c r="D774" s="26"/>
      <c r="F774" s="21"/>
    </row>
    <row r="775" spans="3:6" ht="15.75" customHeight="1" x14ac:dyDescent="0.2">
      <c r="C775" s="26"/>
      <c r="D775" s="26"/>
      <c r="F775" s="21"/>
    </row>
    <row r="776" spans="3:6" ht="15.75" customHeight="1" x14ac:dyDescent="0.2">
      <c r="C776" s="26"/>
      <c r="D776" s="26"/>
      <c r="F776" s="21"/>
    </row>
    <row r="777" spans="3:6" ht="15.75" customHeight="1" x14ac:dyDescent="0.2">
      <c r="C777" s="26"/>
      <c r="D777" s="26"/>
      <c r="F777" s="21"/>
    </row>
    <row r="778" spans="3:6" ht="15.75" customHeight="1" x14ac:dyDescent="0.2">
      <c r="C778" s="26"/>
      <c r="D778" s="26"/>
      <c r="F778" s="21"/>
    </row>
    <row r="779" spans="3:6" ht="15.75" customHeight="1" x14ac:dyDescent="0.2">
      <c r="C779" s="26"/>
      <c r="D779" s="26"/>
      <c r="F779" s="21"/>
    </row>
    <row r="780" spans="3:6" ht="15.75" customHeight="1" x14ac:dyDescent="0.2">
      <c r="C780" s="26"/>
      <c r="D780" s="26"/>
      <c r="F780" s="21"/>
    </row>
    <row r="781" spans="3:6" ht="15.75" customHeight="1" x14ac:dyDescent="0.2">
      <c r="C781" s="26"/>
      <c r="D781" s="26"/>
      <c r="F781" s="21"/>
    </row>
    <row r="782" spans="3:6" ht="15.75" customHeight="1" x14ac:dyDescent="0.2">
      <c r="C782" s="26"/>
      <c r="D782" s="26"/>
      <c r="F782" s="21"/>
    </row>
    <row r="783" spans="3:6" ht="15.75" customHeight="1" x14ac:dyDescent="0.2">
      <c r="C783" s="26"/>
      <c r="D783" s="26"/>
      <c r="F783" s="21"/>
    </row>
    <row r="784" spans="3:6" ht="15.75" customHeight="1" x14ac:dyDescent="0.2">
      <c r="C784" s="26"/>
      <c r="D784" s="26"/>
      <c r="F784" s="21"/>
    </row>
    <row r="785" spans="3:6" ht="15.75" customHeight="1" x14ac:dyDescent="0.2">
      <c r="C785" s="26"/>
      <c r="D785" s="26"/>
      <c r="F785" s="21"/>
    </row>
    <row r="786" spans="3:6" ht="15.75" customHeight="1" x14ac:dyDescent="0.2">
      <c r="C786" s="26"/>
      <c r="D786" s="26"/>
      <c r="F786" s="21"/>
    </row>
    <row r="787" spans="3:6" ht="15.75" customHeight="1" x14ac:dyDescent="0.2">
      <c r="C787" s="26"/>
      <c r="D787" s="26"/>
      <c r="F787" s="21"/>
    </row>
    <row r="788" spans="3:6" ht="15.75" customHeight="1" x14ac:dyDescent="0.2">
      <c r="C788" s="26"/>
      <c r="D788" s="26"/>
      <c r="F788" s="21"/>
    </row>
    <row r="789" spans="3:6" ht="15.75" customHeight="1" x14ac:dyDescent="0.2">
      <c r="C789" s="26"/>
      <c r="D789" s="26"/>
      <c r="F789" s="21"/>
    </row>
    <row r="790" spans="3:6" ht="15.75" customHeight="1" x14ac:dyDescent="0.2">
      <c r="C790" s="26"/>
      <c r="D790" s="26"/>
      <c r="F790" s="21"/>
    </row>
    <row r="791" spans="3:6" ht="15.75" customHeight="1" x14ac:dyDescent="0.2">
      <c r="C791" s="26"/>
      <c r="D791" s="26"/>
      <c r="F791" s="21"/>
    </row>
    <row r="792" spans="3:6" ht="15.75" customHeight="1" x14ac:dyDescent="0.2">
      <c r="C792" s="26"/>
      <c r="D792" s="26"/>
      <c r="F792" s="21"/>
    </row>
    <row r="793" spans="3:6" ht="15.75" customHeight="1" x14ac:dyDescent="0.2">
      <c r="C793" s="26"/>
      <c r="D793" s="26"/>
      <c r="F793" s="21"/>
    </row>
    <row r="794" spans="3:6" ht="15.75" customHeight="1" x14ac:dyDescent="0.2">
      <c r="C794" s="26"/>
      <c r="D794" s="26"/>
      <c r="F794" s="21"/>
    </row>
    <row r="795" spans="3:6" ht="15.75" customHeight="1" x14ac:dyDescent="0.2">
      <c r="C795" s="26"/>
      <c r="D795" s="26"/>
      <c r="F795" s="21"/>
    </row>
    <row r="796" spans="3:6" ht="15.75" customHeight="1" x14ac:dyDescent="0.2">
      <c r="C796" s="26"/>
      <c r="D796" s="26"/>
      <c r="F796" s="21"/>
    </row>
    <row r="797" spans="3:6" ht="15.75" customHeight="1" x14ac:dyDescent="0.2">
      <c r="C797" s="26"/>
      <c r="D797" s="26"/>
      <c r="F797" s="21"/>
    </row>
    <row r="798" spans="3:6" ht="15.75" customHeight="1" x14ac:dyDescent="0.2">
      <c r="C798" s="26"/>
      <c r="D798" s="26"/>
      <c r="F798" s="21"/>
    </row>
    <row r="799" spans="3:6" ht="15.75" customHeight="1" x14ac:dyDescent="0.2">
      <c r="C799" s="26"/>
      <c r="D799" s="26"/>
      <c r="F799" s="21"/>
    </row>
    <row r="800" spans="3:6" ht="15.75" customHeight="1" x14ac:dyDescent="0.2">
      <c r="C800" s="26"/>
      <c r="D800" s="26"/>
      <c r="F800" s="21"/>
    </row>
    <row r="801" spans="3:6" ht="15.75" customHeight="1" x14ac:dyDescent="0.2">
      <c r="C801" s="26"/>
      <c r="D801" s="26"/>
      <c r="F801" s="21"/>
    </row>
    <row r="802" spans="3:6" ht="15.75" customHeight="1" x14ac:dyDescent="0.2">
      <c r="C802" s="26"/>
      <c r="D802" s="26"/>
      <c r="F802" s="21"/>
    </row>
    <row r="803" spans="3:6" ht="15.75" customHeight="1" x14ac:dyDescent="0.2">
      <c r="C803" s="26"/>
      <c r="D803" s="26"/>
      <c r="F803" s="21"/>
    </row>
    <row r="804" spans="3:6" ht="15.75" customHeight="1" x14ac:dyDescent="0.2">
      <c r="C804" s="26"/>
      <c r="D804" s="26"/>
      <c r="F804" s="21"/>
    </row>
    <row r="805" spans="3:6" ht="15.75" customHeight="1" x14ac:dyDescent="0.2">
      <c r="C805" s="26"/>
      <c r="D805" s="26"/>
      <c r="F805" s="21"/>
    </row>
    <row r="806" spans="3:6" ht="15.75" customHeight="1" x14ac:dyDescent="0.2">
      <c r="C806" s="26"/>
      <c r="D806" s="26"/>
      <c r="F806" s="21"/>
    </row>
    <row r="807" spans="3:6" ht="15.75" customHeight="1" x14ac:dyDescent="0.2">
      <c r="C807" s="26"/>
      <c r="D807" s="26"/>
      <c r="F807" s="21"/>
    </row>
    <row r="808" spans="3:6" ht="15.75" customHeight="1" x14ac:dyDescent="0.2">
      <c r="C808" s="26"/>
      <c r="D808" s="26"/>
      <c r="F808" s="21"/>
    </row>
    <row r="809" spans="3:6" ht="15.75" customHeight="1" x14ac:dyDescent="0.2">
      <c r="C809" s="26"/>
      <c r="D809" s="26"/>
      <c r="F809" s="21"/>
    </row>
    <row r="810" spans="3:6" ht="15.75" customHeight="1" x14ac:dyDescent="0.2">
      <c r="C810" s="26"/>
      <c r="D810" s="26"/>
      <c r="F810" s="21"/>
    </row>
    <row r="811" spans="3:6" ht="15.75" customHeight="1" x14ac:dyDescent="0.2">
      <c r="C811" s="26"/>
      <c r="D811" s="26"/>
      <c r="F811" s="21"/>
    </row>
    <row r="812" spans="3:6" ht="15.75" customHeight="1" x14ac:dyDescent="0.2">
      <c r="C812" s="26"/>
      <c r="D812" s="26"/>
      <c r="F812" s="21"/>
    </row>
    <row r="813" spans="3:6" ht="15.75" customHeight="1" x14ac:dyDescent="0.2">
      <c r="C813" s="26"/>
      <c r="D813" s="26"/>
      <c r="F813" s="21"/>
    </row>
    <row r="814" spans="3:6" ht="15.75" customHeight="1" x14ac:dyDescent="0.2">
      <c r="C814" s="26"/>
      <c r="D814" s="26"/>
      <c r="F814" s="21"/>
    </row>
    <row r="815" spans="3:6" ht="15.75" customHeight="1" x14ac:dyDescent="0.2">
      <c r="C815" s="26"/>
      <c r="D815" s="26"/>
      <c r="F815" s="21"/>
    </row>
    <row r="816" spans="3:6" ht="15.75" customHeight="1" x14ac:dyDescent="0.2">
      <c r="C816" s="26"/>
      <c r="D816" s="26"/>
      <c r="F816" s="21"/>
    </row>
    <row r="817" spans="3:6" ht="15.75" customHeight="1" x14ac:dyDescent="0.2">
      <c r="C817" s="26"/>
      <c r="D817" s="26"/>
      <c r="F817" s="21"/>
    </row>
    <row r="818" spans="3:6" ht="15.75" customHeight="1" x14ac:dyDescent="0.2">
      <c r="C818" s="26"/>
      <c r="D818" s="26"/>
      <c r="F818" s="21"/>
    </row>
    <row r="819" spans="3:6" ht="15.75" customHeight="1" x14ac:dyDescent="0.2">
      <c r="C819" s="26"/>
      <c r="D819" s="26"/>
      <c r="F819" s="21"/>
    </row>
    <row r="820" spans="3:6" ht="15.75" customHeight="1" x14ac:dyDescent="0.2">
      <c r="C820" s="26"/>
      <c r="D820" s="26"/>
      <c r="F820" s="21"/>
    </row>
    <row r="821" spans="3:6" ht="15.75" customHeight="1" x14ac:dyDescent="0.2">
      <c r="C821" s="26"/>
      <c r="D821" s="26"/>
      <c r="F821" s="21"/>
    </row>
    <row r="822" spans="3:6" ht="15.75" customHeight="1" x14ac:dyDescent="0.2">
      <c r="C822" s="26"/>
      <c r="D822" s="26"/>
      <c r="F822" s="21"/>
    </row>
    <row r="823" spans="3:6" ht="15.75" customHeight="1" x14ac:dyDescent="0.2">
      <c r="C823" s="26"/>
      <c r="D823" s="26"/>
      <c r="F823" s="21"/>
    </row>
    <row r="824" spans="3:6" ht="15.75" customHeight="1" x14ac:dyDescent="0.2">
      <c r="C824" s="26"/>
      <c r="D824" s="26"/>
      <c r="F824" s="21"/>
    </row>
    <row r="825" spans="3:6" ht="15.75" customHeight="1" x14ac:dyDescent="0.2">
      <c r="C825" s="26"/>
      <c r="D825" s="26"/>
      <c r="F825" s="21"/>
    </row>
    <row r="826" spans="3:6" ht="15.75" customHeight="1" x14ac:dyDescent="0.2">
      <c r="C826" s="26"/>
      <c r="D826" s="26"/>
      <c r="F826" s="21"/>
    </row>
    <row r="827" spans="3:6" ht="15.75" customHeight="1" x14ac:dyDescent="0.2">
      <c r="C827" s="26"/>
      <c r="D827" s="26"/>
      <c r="F827" s="21"/>
    </row>
    <row r="828" spans="3:6" ht="15.75" customHeight="1" x14ac:dyDescent="0.2">
      <c r="C828" s="26"/>
      <c r="D828" s="26"/>
      <c r="F828" s="21"/>
    </row>
    <row r="829" spans="3:6" ht="15.75" customHeight="1" x14ac:dyDescent="0.2">
      <c r="C829" s="26"/>
      <c r="D829" s="26"/>
      <c r="F829" s="21"/>
    </row>
    <row r="830" spans="3:6" ht="15.75" customHeight="1" x14ac:dyDescent="0.2">
      <c r="C830" s="26"/>
      <c r="D830" s="26"/>
      <c r="F830" s="21"/>
    </row>
    <row r="831" spans="3:6" ht="15.75" customHeight="1" x14ac:dyDescent="0.2">
      <c r="C831" s="26"/>
      <c r="D831" s="26"/>
      <c r="F831" s="21"/>
    </row>
    <row r="832" spans="3:6" ht="15.75" customHeight="1" x14ac:dyDescent="0.2">
      <c r="C832" s="26"/>
      <c r="D832" s="26"/>
      <c r="F832" s="21"/>
    </row>
    <row r="833" spans="3:6" ht="15.75" customHeight="1" x14ac:dyDescent="0.2">
      <c r="C833" s="26"/>
      <c r="D833" s="26"/>
      <c r="F833" s="21"/>
    </row>
    <row r="834" spans="3:6" ht="15.75" customHeight="1" x14ac:dyDescent="0.2">
      <c r="C834" s="26"/>
      <c r="D834" s="26"/>
      <c r="F834" s="21"/>
    </row>
    <row r="835" spans="3:6" ht="15.75" customHeight="1" x14ac:dyDescent="0.2">
      <c r="C835" s="26"/>
      <c r="D835" s="26"/>
      <c r="F835" s="21"/>
    </row>
    <row r="836" spans="3:6" ht="15.75" customHeight="1" x14ac:dyDescent="0.2">
      <c r="C836" s="26"/>
      <c r="D836" s="26"/>
      <c r="F836" s="21"/>
    </row>
    <row r="837" spans="3:6" ht="15.75" customHeight="1" x14ac:dyDescent="0.2">
      <c r="C837" s="26"/>
      <c r="D837" s="26"/>
      <c r="F837" s="21"/>
    </row>
    <row r="838" spans="3:6" ht="15.75" customHeight="1" x14ac:dyDescent="0.2">
      <c r="C838" s="26"/>
      <c r="D838" s="26"/>
      <c r="F838" s="21"/>
    </row>
    <row r="839" spans="3:6" ht="15.75" customHeight="1" x14ac:dyDescent="0.2">
      <c r="C839" s="26"/>
      <c r="D839" s="26"/>
      <c r="F839" s="21"/>
    </row>
    <row r="840" spans="3:6" ht="15.75" customHeight="1" x14ac:dyDescent="0.2">
      <c r="C840" s="26"/>
      <c r="D840" s="26"/>
      <c r="F840" s="21"/>
    </row>
    <row r="841" spans="3:6" ht="15.75" customHeight="1" x14ac:dyDescent="0.2">
      <c r="C841" s="26"/>
      <c r="D841" s="26"/>
      <c r="F841" s="21"/>
    </row>
    <row r="842" spans="3:6" ht="15.75" customHeight="1" x14ac:dyDescent="0.2">
      <c r="C842" s="26"/>
      <c r="D842" s="26"/>
      <c r="F842" s="21"/>
    </row>
    <row r="843" spans="3:6" ht="15.75" customHeight="1" x14ac:dyDescent="0.2">
      <c r="C843" s="26"/>
      <c r="D843" s="26"/>
      <c r="F843" s="21"/>
    </row>
    <row r="844" spans="3:6" ht="15.75" customHeight="1" x14ac:dyDescent="0.2">
      <c r="C844" s="26"/>
      <c r="D844" s="26"/>
      <c r="F844" s="21"/>
    </row>
    <row r="845" spans="3:6" ht="15.75" customHeight="1" x14ac:dyDescent="0.2">
      <c r="C845" s="26"/>
      <c r="D845" s="26"/>
      <c r="F845" s="21"/>
    </row>
    <row r="846" spans="3:6" ht="15.75" customHeight="1" x14ac:dyDescent="0.2">
      <c r="C846" s="26"/>
      <c r="D846" s="26"/>
      <c r="F846" s="21"/>
    </row>
    <row r="847" spans="3:6" ht="15.75" customHeight="1" x14ac:dyDescent="0.2">
      <c r="C847" s="26"/>
      <c r="D847" s="26"/>
      <c r="F847" s="21"/>
    </row>
    <row r="848" spans="3:6" ht="15.75" customHeight="1" x14ac:dyDescent="0.2">
      <c r="C848" s="26"/>
      <c r="D848" s="26"/>
      <c r="F848" s="21"/>
    </row>
    <row r="849" spans="3:6" ht="15.75" customHeight="1" x14ac:dyDescent="0.2">
      <c r="C849" s="26"/>
      <c r="D849" s="26"/>
      <c r="F849" s="21"/>
    </row>
    <row r="850" spans="3:6" ht="15.75" customHeight="1" x14ac:dyDescent="0.2">
      <c r="C850" s="26"/>
      <c r="D850" s="26"/>
      <c r="F850" s="21"/>
    </row>
    <row r="851" spans="3:6" ht="15.75" customHeight="1" x14ac:dyDescent="0.2">
      <c r="C851" s="26"/>
      <c r="D851" s="26"/>
      <c r="F851" s="21"/>
    </row>
    <row r="852" spans="3:6" ht="15.75" customHeight="1" x14ac:dyDescent="0.2">
      <c r="C852" s="26"/>
      <c r="D852" s="26"/>
      <c r="F852" s="21"/>
    </row>
    <row r="853" spans="3:6" ht="15.75" customHeight="1" x14ac:dyDescent="0.2">
      <c r="C853" s="26"/>
      <c r="D853" s="26"/>
      <c r="F853" s="21"/>
    </row>
    <row r="854" spans="3:6" ht="15.75" customHeight="1" x14ac:dyDescent="0.2">
      <c r="C854" s="26"/>
      <c r="D854" s="26"/>
      <c r="F854" s="21"/>
    </row>
    <row r="855" spans="3:6" ht="15.75" customHeight="1" x14ac:dyDescent="0.2">
      <c r="C855" s="26"/>
      <c r="D855" s="26"/>
      <c r="F855" s="21"/>
    </row>
    <row r="856" spans="3:6" ht="15.75" customHeight="1" x14ac:dyDescent="0.2">
      <c r="C856" s="26"/>
      <c r="D856" s="26"/>
      <c r="F856" s="21"/>
    </row>
    <row r="857" spans="3:6" ht="15.75" customHeight="1" x14ac:dyDescent="0.2">
      <c r="C857" s="26"/>
      <c r="D857" s="26"/>
      <c r="F857" s="21"/>
    </row>
    <row r="858" spans="3:6" ht="15.75" customHeight="1" x14ac:dyDescent="0.2">
      <c r="C858" s="26"/>
      <c r="D858" s="26"/>
      <c r="F858" s="21"/>
    </row>
    <row r="859" spans="3:6" ht="15.75" customHeight="1" x14ac:dyDescent="0.2">
      <c r="C859" s="26"/>
      <c r="D859" s="26"/>
      <c r="F859" s="21"/>
    </row>
    <row r="860" spans="3:6" ht="15.75" customHeight="1" x14ac:dyDescent="0.2">
      <c r="C860" s="26"/>
      <c r="D860" s="26"/>
      <c r="F860" s="21"/>
    </row>
    <row r="861" spans="3:6" ht="15.75" customHeight="1" x14ac:dyDescent="0.2">
      <c r="C861" s="26"/>
      <c r="D861" s="26"/>
      <c r="F861" s="21"/>
    </row>
    <row r="862" spans="3:6" ht="15.75" customHeight="1" x14ac:dyDescent="0.2">
      <c r="C862" s="26"/>
      <c r="D862" s="26"/>
      <c r="F862" s="21"/>
    </row>
    <row r="863" spans="3:6" ht="15.75" customHeight="1" x14ac:dyDescent="0.2">
      <c r="C863" s="26"/>
      <c r="D863" s="26"/>
      <c r="F863" s="21"/>
    </row>
    <row r="864" spans="3:6" ht="15.75" customHeight="1" x14ac:dyDescent="0.2">
      <c r="C864" s="26"/>
      <c r="D864" s="26"/>
      <c r="F864" s="21"/>
    </row>
    <row r="865" spans="3:6" ht="15.75" customHeight="1" x14ac:dyDescent="0.2">
      <c r="C865" s="26"/>
      <c r="D865" s="26"/>
      <c r="F865" s="21"/>
    </row>
    <row r="866" spans="3:6" ht="15.75" customHeight="1" x14ac:dyDescent="0.2">
      <c r="C866" s="26"/>
      <c r="D866" s="26"/>
      <c r="F866" s="21"/>
    </row>
    <row r="867" spans="3:6" ht="15.75" customHeight="1" x14ac:dyDescent="0.2">
      <c r="C867" s="26"/>
      <c r="D867" s="26"/>
      <c r="F867" s="21"/>
    </row>
    <row r="868" spans="3:6" ht="15.75" customHeight="1" x14ac:dyDescent="0.2">
      <c r="C868" s="26"/>
      <c r="D868" s="26"/>
      <c r="F868" s="21"/>
    </row>
    <row r="869" spans="3:6" ht="15.75" customHeight="1" x14ac:dyDescent="0.2">
      <c r="C869" s="26"/>
      <c r="D869" s="26"/>
      <c r="F869" s="21"/>
    </row>
    <row r="870" spans="3:6" ht="15.75" customHeight="1" x14ac:dyDescent="0.2">
      <c r="C870" s="26"/>
      <c r="D870" s="26"/>
      <c r="F870" s="21"/>
    </row>
    <row r="871" spans="3:6" ht="15.75" customHeight="1" x14ac:dyDescent="0.2">
      <c r="C871" s="26"/>
      <c r="D871" s="26"/>
      <c r="F871" s="21"/>
    </row>
    <row r="872" spans="3:6" ht="15.75" customHeight="1" x14ac:dyDescent="0.2">
      <c r="C872" s="26"/>
      <c r="D872" s="26"/>
      <c r="F872" s="21"/>
    </row>
    <row r="873" spans="3:6" ht="15.75" customHeight="1" x14ac:dyDescent="0.2">
      <c r="C873" s="26"/>
      <c r="D873" s="26"/>
      <c r="F873" s="21"/>
    </row>
    <row r="874" spans="3:6" ht="15.75" customHeight="1" x14ac:dyDescent="0.2">
      <c r="C874" s="26"/>
      <c r="D874" s="26"/>
      <c r="F874" s="21"/>
    </row>
    <row r="875" spans="3:6" ht="15.75" customHeight="1" x14ac:dyDescent="0.2">
      <c r="C875" s="26"/>
      <c r="D875" s="26"/>
      <c r="F875" s="21"/>
    </row>
    <row r="876" spans="3:6" ht="15.75" customHeight="1" x14ac:dyDescent="0.2">
      <c r="C876" s="26"/>
      <c r="D876" s="26"/>
      <c r="F876" s="21"/>
    </row>
    <row r="877" spans="3:6" ht="15.75" customHeight="1" x14ac:dyDescent="0.2">
      <c r="C877" s="26"/>
      <c r="D877" s="26"/>
      <c r="F877" s="21"/>
    </row>
    <row r="878" spans="3:6" ht="15.75" customHeight="1" x14ac:dyDescent="0.2">
      <c r="C878" s="26"/>
      <c r="D878" s="26"/>
      <c r="F878" s="21"/>
    </row>
    <row r="879" spans="3:6" ht="15.75" customHeight="1" x14ac:dyDescent="0.2">
      <c r="C879" s="26"/>
      <c r="D879" s="26"/>
      <c r="F879" s="21"/>
    </row>
    <row r="880" spans="3:6" ht="15.75" customHeight="1" x14ac:dyDescent="0.2">
      <c r="C880" s="26"/>
      <c r="D880" s="26"/>
      <c r="F880" s="21"/>
    </row>
    <row r="881" spans="3:6" ht="15.75" customHeight="1" x14ac:dyDescent="0.2">
      <c r="C881" s="26"/>
      <c r="D881" s="26"/>
      <c r="F881" s="21"/>
    </row>
    <row r="882" spans="3:6" ht="15.75" customHeight="1" x14ac:dyDescent="0.2">
      <c r="C882" s="26"/>
      <c r="D882" s="26"/>
      <c r="F882" s="21"/>
    </row>
    <row r="883" spans="3:6" ht="15.75" customHeight="1" x14ac:dyDescent="0.2">
      <c r="C883" s="26"/>
      <c r="D883" s="26"/>
      <c r="F883" s="21"/>
    </row>
    <row r="884" spans="3:6" ht="15.75" customHeight="1" x14ac:dyDescent="0.2">
      <c r="C884" s="26"/>
      <c r="D884" s="26"/>
      <c r="F884" s="21"/>
    </row>
    <row r="885" spans="3:6" ht="15.75" customHeight="1" x14ac:dyDescent="0.2">
      <c r="C885" s="26"/>
      <c r="D885" s="26"/>
      <c r="F885" s="21"/>
    </row>
    <row r="886" spans="3:6" ht="15.75" customHeight="1" x14ac:dyDescent="0.2">
      <c r="C886" s="26"/>
      <c r="D886" s="26"/>
      <c r="F886" s="21"/>
    </row>
    <row r="887" spans="3:6" ht="15.75" customHeight="1" x14ac:dyDescent="0.2">
      <c r="C887" s="26"/>
      <c r="D887" s="26"/>
      <c r="F887" s="21"/>
    </row>
    <row r="888" spans="3:6" ht="15.75" customHeight="1" x14ac:dyDescent="0.2">
      <c r="C888" s="26"/>
      <c r="D888" s="26"/>
      <c r="F888" s="21"/>
    </row>
    <row r="889" spans="3:6" ht="15.75" customHeight="1" x14ac:dyDescent="0.2">
      <c r="C889" s="26"/>
      <c r="D889" s="26"/>
      <c r="F889" s="21"/>
    </row>
    <row r="890" spans="3:6" ht="15.75" customHeight="1" x14ac:dyDescent="0.2">
      <c r="C890" s="26"/>
      <c r="D890" s="26"/>
      <c r="F890" s="21"/>
    </row>
    <row r="891" spans="3:6" ht="15.75" customHeight="1" x14ac:dyDescent="0.2">
      <c r="C891" s="26"/>
      <c r="D891" s="26"/>
      <c r="F891" s="21"/>
    </row>
    <row r="892" spans="3:6" ht="15.75" customHeight="1" x14ac:dyDescent="0.2">
      <c r="C892" s="26"/>
      <c r="D892" s="26"/>
      <c r="F892" s="21"/>
    </row>
    <row r="893" spans="3:6" ht="15.75" customHeight="1" x14ac:dyDescent="0.2">
      <c r="C893" s="26"/>
      <c r="D893" s="26"/>
      <c r="F893" s="21"/>
    </row>
    <row r="894" spans="3:6" ht="15.75" customHeight="1" x14ac:dyDescent="0.2">
      <c r="C894" s="26"/>
      <c r="D894" s="26"/>
      <c r="F894" s="21"/>
    </row>
    <row r="895" spans="3:6" ht="15.75" customHeight="1" x14ac:dyDescent="0.2">
      <c r="C895" s="26"/>
      <c r="D895" s="26"/>
      <c r="F895" s="21"/>
    </row>
    <row r="896" spans="3:6" ht="15.75" customHeight="1" x14ac:dyDescent="0.2">
      <c r="C896" s="26"/>
      <c r="D896" s="26"/>
      <c r="F896" s="21"/>
    </row>
    <row r="897" spans="3:6" ht="15.75" customHeight="1" x14ac:dyDescent="0.2">
      <c r="C897" s="26"/>
      <c r="D897" s="26"/>
      <c r="F897" s="21"/>
    </row>
    <row r="898" spans="3:6" ht="15.75" customHeight="1" x14ac:dyDescent="0.2">
      <c r="C898" s="26"/>
      <c r="D898" s="26"/>
      <c r="F898" s="21"/>
    </row>
    <row r="899" spans="3:6" ht="15.75" customHeight="1" x14ac:dyDescent="0.2">
      <c r="C899" s="26"/>
      <c r="D899" s="26"/>
      <c r="F899" s="21"/>
    </row>
    <row r="900" spans="3:6" ht="15.75" customHeight="1" x14ac:dyDescent="0.2">
      <c r="C900" s="26"/>
      <c r="D900" s="26"/>
      <c r="F900" s="21"/>
    </row>
    <row r="901" spans="3:6" ht="15.75" customHeight="1" x14ac:dyDescent="0.2">
      <c r="C901" s="26"/>
      <c r="D901" s="26"/>
      <c r="F901" s="21"/>
    </row>
    <row r="902" spans="3:6" ht="15.75" customHeight="1" x14ac:dyDescent="0.2">
      <c r="C902" s="26"/>
      <c r="D902" s="26"/>
      <c r="F902" s="21"/>
    </row>
    <row r="903" spans="3:6" ht="15.75" customHeight="1" x14ac:dyDescent="0.2">
      <c r="C903" s="26"/>
      <c r="D903" s="26"/>
      <c r="F903" s="21"/>
    </row>
    <row r="904" spans="3:6" ht="15.75" customHeight="1" x14ac:dyDescent="0.2">
      <c r="C904" s="26"/>
      <c r="D904" s="26"/>
      <c r="F904" s="21"/>
    </row>
    <row r="905" spans="3:6" ht="15.75" customHeight="1" x14ac:dyDescent="0.2">
      <c r="C905" s="26"/>
      <c r="D905" s="26"/>
      <c r="F905" s="21"/>
    </row>
    <row r="906" spans="3:6" ht="15.75" customHeight="1" x14ac:dyDescent="0.2">
      <c r="C906" s="26"/>
      <c r="D906" s="26"/>
      <c r="F906" s="21"/>
    </row>
    <row r="907" spans="3:6" ht="15.75" customHeight="1" x14ac:dyDescent="0.2">
      <c r="C907" s="26"/>
      <c r="D907" s="26"/>
      <c r="F907" s="21"/>
    </row>
    <row r="908" spans="3:6" ht="15.75" customHeight="1" x14ac:dyDescent="0.2">
      <c r="C908" s="26"/>
      <c r="D908" s="26"/>
      <c r="F908" s="21"/>
    </row>
    <row r="909" spans="3:6" ht="15.75" customHeight="1" x14ac:dyDescent="0.2">
      <c r="C909" s="26"/>
      <c r="D909" s="26"/>
      <c r="F909" s="21"/>
    </row>
    <row r="910" spans="3:6" ht="15.75" customHeight="1" x14ac:dyDescent="0.2">
      <c r="C910" s="26"/>
      <c r="D910" s="26"/>
      <c r="F910" s="21"/>
    </row>
    <row r="911" spans="3:6" ht="15.75" customHeight="1" x14ac:dyDescent="0.2">
      <c r="C911" s="26"/>
      <c r="D911" s="26"/>
      <c r="F911" s="21"/>
    </row>
    <row r="912" spans="3:6" ht="15.75" customHeight="1" x14ac:dyDescent="0.2">
      <c r="C912" s="26"/>
      <c r="D912" s="26"/>
      <c r="F912" s="21"/>
    </row>
    <row r="913" spans="3:6" ht="15.75" customHeight="1" x14ac:dyDescent="0.2">
      <c r="C913" s="26"/>
      <c r="D913" s="26"/>
      <c r="F913" s="21"/>
    </row>
    <row r="914" spans="3:6" ht="15.75" customHeight="1" x14ac:dyDescent="0.2">
      <c r="C914" s="26"/>
      <c r="D914" s="26"/>
      <c r="F914" s="21"/>
    </row>
    <row r="915" spans="3:6" ht="15.75" customHeight="1" x14ac:dyDescent="0.2">
      <c r="C915" s="26"/>
      <c r="D915" s="26"/>
      <c r="F915" s="21"/>
    </row>
    <row r="916" spans="3:6" ht="15.75" customHeight="1" x14ac:dyDescent="0.2">
      <c r="C916" s="26"/>
      <c r="D916" s="26"/>
      <c r="F916" s="21"/>
    </row>
    <row r="917" spans="3:6" ht="15.75" customHeight="1" x14ac:dyDescent="0.2">
      <c r="C917" s="26"/>
      <c r="D917" s="26"/>
      <c r="F917" s="21"/>
    </row>
    <row r="918" spans="3:6" ht="15.75" customHeight="1" x14ac:dyDescent="0.2">
      <c r="C918" s="26"/>
      <c r="D918" s="26"/>
      <c r="F918" s="21"/>
    </row>
    <row r="919" spans="3:6" ht="15.75" customHeight="1" x14ac:dyDescent="0.2">
      <c r="C919" s="26"/>
      <c r="D919" s="26"/>
      <c r="F919" s="21"/>
    </row>
    <row r="920" spans="3:6" ht="15.75" customHeight="1" x14ac:dyDescent="0.2">
      <c r="C920" s="26"/>
      <c r="D920" s="26"/>
      <c r="F920" s="21"/>
    </row>
    <row r="921" spans="3:6" ht="15.75" customHeight="1" x14ac:dyDescent="0.2">
      <c r="C921" s="26"/>
      <c r="D921" s="26"/>
      <c r="F921" s="21"/>
    </row>
    <row r="922" spans="3:6" ht="15.75" customHeight="1" x14ac:dyDescent="0.2">
      <c r="C922" s="26"/>
      <c r="D922" s="26"/>
      <c r="F922" s="21"/>
    </row>
    <row r="923" spans="3:6" ht="15.75" customHeight="1" x14ac:dyDescent="0.2">
      <c r="C923" s="26"/>
      <c r="D923" s="26"/>
      <c r="F923" s="21"/>
    </row>
    <row r="924" spans="3:6" ht="15.75" customHeight="1" x14ac:dyDescent="0.2">
      <c r="C924" s="26"/>
      <c r="D924" s="26"/>
      <c r="F924" s="21"/>
    </row>
    <row r="925" spans="3:6" ht="15.75" customHeight="1" x14ac:dyDescent="0.2">
      <c r="C925" s="26"/>
      <c r="D925" s="26"/>
      <c r="F925" s="21"/>
    </row>
    <row r="926" spans="3:6" ht="15.75" customHeight="1" x14ac:dyDescent="0.2">
      <c r="C926" s="26"/>
      <c r="D926" s="26"/>
      <c r="F926" s="21"/>
    </row>
    <row r="927" spans="3:6" ht="15.75" customHeight="1" x14ac:dyDescent="0.2">
      <c r="C927" s="26"/>
      <c r="D927" s="26"/>
      <c r="F927" s="21"/>
    </row>
    <row r="928" spans="3:6" ht="15.75" customHeight="1" x14ac:dyDescent="0.2">
      <c r="C928" s="26"/>
      <c r="D928" s="26"/>
      <c r="F928" s="21"/>
    </row>
    <row r="929" spans="3:6" ht="15.75" customHeight="1" x14ac:dyDescent="0.2">
      <c r="C929" s="26"/>
      <c r="D929" s="26"/>
      <c r="F929" s="21"/>
    </row>
    <row r="930" spans="3:6" ht="15.75" customHeight="1" x14ac:dyDescent="0.2">
      <c r="C930" s="26"/>
      <c r="D930" s="26"/>
      <c r="F930" s="21"/>
    </row>
    <row r="931" spans="3:6" ht="15.75" customHeight="1" x14ac:dyDescent="0.2">
      <c r="C931" s="26"/>
      <c r="D931" s="26"/>
      <c r="F931" s="21"/>
    </row>
    <row r="932" spans="3:6" ht="15.75" customHeight="1" x14ac:dyDescent="0.2">
      <c r="C932" s="26"/>
      <c r="D932" s="26"/>
      <c r="F932" s="21"/>
    </row>
    <row r="933" spans="3:6" ht="15.75" customHeight="1" x14ac:dyDescent="0.2">
      <c r="C933" s="26"/>
      <c r="D933" s="26"/>
      <c r="F933" s="21"/>
    </row>
    <row r="934" spans="3:6" ht="15.75" customHeight="1" x14ac:dyDescent="0.2">
      <c r="C934" s="26"/>
      <c r="D934" s="26"/>
      <c r="F934" s="21"/>
    </row>
    <row r="935" spans="3:6" ht="15.75" customHeight="1" x14ac:dyDescent="0.2">
      <c r="C935" s="26"/>
      <c r="D935" s="26"/>
      <c r="F935" s="21"/>
    </row>
    <row r="936" spans="3:6" ht="15.75" customHeight="1" x14ac:dyDescent="0.2">
      <c r="C936" s="26"/>
      <c r="D936" s="26"/>
      <c r="F936" s="21"/>
    </row>
    <row r="937" spans="3:6" ht="15.75" customHeight="1" x14ac:dyDescent="0.2">
      <c r="C937" s="26"/>
      <c r="D937" s="26"/>
      <c r="F937" s="21"/>
    </row>
    <row r="938" spans="3:6" ht="15.75" customHeight="1" x14ac:dyDescent="0.2">
      <c r="C938" s="26"/>
      <c r="D938" s="26"/>
      <c r="F938" s="21"/>
    </row>
    <row r="939" spans="3:6" ht="15.75" customHeight="1" x14ac:dyDescent="0.2">
      <c r="C939" s="26"/>
      <c r="D939" s="26"/>
      <c r="F939" s="21"/>
    </row>
    <row r="940" spans="3:6" ht="15.75" customHeight="1" x14ac:dyDescent="0.2">
      <c r="C940" s="26"/>
      <c r="D940" s="26"/>
      <c r="F940" s="21"/>
    </row>
    <row r="941" spans="3:6" ht="15.75" customHeight="1" x14ac:dyDescent="0.2">
      <c r="C941" s="26"/>
      <c r="D941" s="26"/>
      <c r="F941" s="21"/>
    </row>
    <row r="942" spans="3:6" ht="15.75" customHeight="1" x14ac:dyDescent="0.2">
      <c r="C942" s="26"/>
      <c r="D942" s="26"/>
      <c r="F942" s="21"/>
    </row>
    <row r="943" spans="3:6" ht="15.75" customHeight="1" x14ac:dyDescent="0.2">
      <c r="C943" s="26"/>
      <c r="D943" s="26"/>
      <c r="F943" s="21"/>
    </row>
    <row r="944" spans="3:6" ht="15.75" customHeight="1" x14ac:dyDescent="0.2">
      <c r="C944" s="26"/>
      <c r="D944" s="26"/>
      <c r="F944" s="21"/>
    </row>
    <row r="945" spans="3:6" ht="15.75" customHeight="1" x14ac:dyDescent="0.2">
      <c r="C945" s="26"/>
      <c r="D945" s="26"/>
      <c r="F945" s="21"/>
    </row>
    <row r="946" spans="3:6" ht="15.75" customHeight="1" x14ac:dyDescent="0.2">
      <c r="C946" s="26"/>
      <c r="D946" s="26"/>
      <c r="F946" s="21"/>
    </row>
    <row r="947" spans="3:6" ht="15.75" customHeight="1" x14ac:dyDescent="0.2">
      <c r="C947" s="26"/>
      <c r="D947" s="26"/>
      <c r="F947" s="21"/>
    </row>
    <row r="948" spans="3:6" ht="15.75" customHeight="1" x14ac:dyDescent="0.2">
      <c r="C948" s="26"/>
      <c r="D948" s="26"/>
      <c r="F948" s="21"/>
    </row>
    <row r="949" spans="3:6" ht="15.75" customHeight="1" x14ac:dyDescent="0.2">
      <c r="C949" s="26"/>
      <c r="D949" s="26"/>
      <c r="F949" s="21"/>
    </row>
    <row r="950" spans="3:6" ht="15.75" customHeight="1" x14ac:dyDescent="0.2">
      <c r="C950" s="26"/>
      <c r="D950" s="26"/>
      <c r="F950" s="21"/>
    </row>
    <row r="951" spans="3:6" ht="15.75" customHeight="1" x14ac:dyDescent="0.2">
      <c r="C951" s="26"/>
      <c r="D951" s="26"/>
      <c r="F951" s="21"/>
    </row>
    <row r="952" spans="3:6" ht="15.75" customHeight="1" x14ac:dyDescent="0.2">
      <c r="C952" s="26"/>
      <c r="D952" s="26"/>
      <c r="F952" s="21"/>
    </row>
    <row r="953" spans="3:6" ht="15.75" customHeight="1" x14ac:dyDescent="0.2">
      <c r="C953" s="26"/>
      <c r="D953" s="26"/>
      <c r="F953" s="21"/>
    </row>
    <row r="954" spans="3:6" ht="15.75" customHeight="1" x14ac:dyDescent="0.2">
      <c r="C954" s="26"/>
      <c r="D954" s="26"/>
      <c r="F954" s="21"/>
    </row>
    <row r="955" spans="3:6" ht="15.75" customHeight="1" x14ac:dyDescent="0.2">
      <c r="C955" s="26"/>
      <c r="D955" s="26"/>
      <c r="F955" s="21"/>
    </row>
    <row r="956" spans="3:6" ht="15.75" customHeight="1" x14ac:dyDescent="0.2">
      <c r="C956" s="26"/>
      <c r="D956" s="26"/>
      <c r="F956" s="21"/>
    </row>
    <row r="957" spans="3:6" ht="15.75" customHeight="1" x14ac:dyDescent="0.2">
      <c r="C957" s="26"/>
      <c r="D957" s="26"/>
      <c r="F957" s="21"/>
    </row>
    <row r="958" spans="3:6" ht="15.75" customHeight="1" x14ac:dyDescent="0.2">
      <c r="C958" s="26"/>
      <c r="D958" s="26"/>
      <c r="F958" s="21"/>
    </row>
    <row r="959" spans="3:6" ht="15.75" customHeight="1" x14ac:dyDescent="0.2">
      <c r="C959" s="26"/>
      <c r="D959" s="26"/>
      <c r="F959" s="21"/>
    </row>
    <row r="960" spans="3:6" ht="15.75" customHeight="1" x14ac:dyDescent="0.2">
      <c r="C960" s="26"/>
      <c r="D960" s="26"/>
      <c r="F960" s="21"/>
    </row>
    <row r="961" spans="3:6" ht="15.75" customHeight="1" x14ac:dyDescent="0.2">
      <c r="C961" s="26"/>
      <c r="D961" s="26"/>
      <c r="F961" s="21"/>
    </row>
    <row r="962" spans="3:6" ht="15.75" customHeight="1" x14ac:dyDescent="0.2">
      <c r="C962" s="26"/>
      <c r="D962" s="26"/>
      <c r="F962" s="21"/>
    </row>
    <row r="963" spans="3:6" ht="15.75" customHeight="1" x14ac:dyDescent="0.2">
      <c r="C963" s="26"/>
      <c r="D963" s="26"/>
      <c r="F963" s="21"/>
    </row>
    <row r="964" spans="3:6" ht="15.75" customHeight="1" x14ac:dyDescent="0.2">
      <c r="C964" s="26"/>
      <c r="D964" s="26"/>
      <c r="F964" s="21"/>
    </row>
    <row r="965" spans="3:6" ht="15.75" customHeight="1" x14ac:dyDescent="0.2">
      <c r="C965" s="26"/>
      <c r="D965" s="26"/>
      <c r="F965" s="21"/>
    </row>
    <row r="966" spans="3:6" ht="15.75" customHeight="1" x14ac:dyDescent="0.2">
      <c r="C966" s="26"/>
      <c r="D966" s="26"/>
      <c r="F966" s="21"/>
    </row>
    <row r="967" spans="3:6" ht="15.75" customHeight="1" x14ac:dyDescent="0.2">
      <c r="C967" s="26"/>
      <c r="D967" s="26"/>
      <c r="F967" s="21"/>
    </row>
    <row r="968" spans="3:6" ht="15.75" customHeight="1" x14ac:dyDescent="0.2">
      <c r="C968" s="26"/>
      <c r="D968" s="26"/>
      <c r="F968" s="21"/>
    </row>
    <row r="969" spans="3:6" ht="15.75" customHeight="1" x14ac:dyDescent="0.2">
      <c r="C969" s="26"/>
      <c r="D969" s="26"/>
      <c r="F969" s="21"/>
    </row>
    <row r="970" spans="3:6" ht="15.75" customHeight="1" x14ac:dyDescent="0.2">
      <c r="C970" s="26"/>
      <c r="D970" s="26"/>
      <c r="F970" s="21"/>
    </row>
    <row r="971" spans="3:6" ht="15.75" customHeight="1" x14ac:dyDescent="0.2">
      <c r="C971" s="26"/>
      <c r="D971" s="26"/>
      <c r="F971" s="21"/>
    </row>
    <row r="972" spans="3:6" ht="15.75" customHeight="1" x14ac:dyDescent="0.2">
      <c r="C972" s="26"/>
      <c r="D972" s="26"/>
      <c r="F972" s="21"/>
    </row>
    <row r="973" spans="3:6" ht="15.75" customHeight="1" x14ac:dyDescent="0.2">
      <c r="C973" s="26"/>
      <c r="D973" s="26"/>
      <c r="F973" s="21"/>
    </row>
    <row r="974" spans="3:6" ht="15.75" customHeight="1" x14ac:dyDescent="0.2">
      <c r="C974" s="26"/>
      <c r="D974" s="26"/>
      <c r="F974" s="21"/>
    </row>
    <row r="975" spans="3:6" ht="15.75" customHeight="1" x14ac:dyDescent="0.2">
      <c r="C975" s="26"/>
      <c r="D975" s="26"/>
      <c r="F975" s="21"/>
    </row>
    <row r="976" spans="3:6" ht="15.75" customHeight="1" x14ac:dyDescent="0.2">
      <c r="C976" s="26"/>
      <c r="D976" s="26"/>
      <c r="F976" s="21"/>
    </row>
    <row r="977" spans="3:6" ht="15.75" customHeight="1" x14ac:dyDescent="0.2">
      <c r="C977" s="26"/>
      <c r="D977" s="26"/>
      <c r="F977" s="21"/>
    </row>
    <row r="978" spans="3:6" ht="15.75" customHeight="1" x14ac:dyDescent="0.2">
      <c r="C978" s="26"/>
      <c r="D978" s="26"/>
      <c r="F978" s="21"/>
    </row>
    <row r="979" spans="3:6" ht="15.75" customHeight="1" x14ac:dyDescent="0.2">
      <c r="C979" s="26"/>
      <c r="D979" s="26"/>
      <c r="F979" s="21"/>
    </row>
    <row r="980" spans="3:6" ht="15.75" customHeight="1" x14ac:dyDescent="0.2">
      <c r="C980" s="26"/>
      <c r="D980" s="26"/>
      <c r="F980" s="21"/>
    </row>
    <row r="981" spans="3:6" ht="15.75" customHeight="1" x14ac:dyDescent="0.2">
      <c r="C981" s="26"/>
      <c r="D981" s="26"/>
      <c r="F981" s="21"/>
    </row>
    <row r="982" spans="3:6" ht="15.75" customHeight="1" x14ac:dyDescent="0.2">
      <c r="C982" s="26"/>
      <c r="D982" s="26"/>
      <c r="F982" s="21"/>
    </row>
    <row r="983" spans="3:6" ht="15.75" customHeight="1" x14ac:dyDescent="0.2">
      <c r="C983" s="26"/>
      <c r="D983" s="26"/>
      <c r="F983" s="21"/>
    </row>
    <row r="984" spans="3:6" ht="15.75" customHeight="1" x14ac:dyDescent="0.2">
      <c r="C984" s="26"/>
      <c r="D984" s="26"/>
      <c r="F984" s="21"/>
    </row>
    <row r="985" spans="3:6" ht="15.75" customHeight="1" x14ac:dyDescent="0.2">
      <c r="C985" s="26"/>
      <c r="D985" s="26"/>
      <c r="F985" s="21"/>
    </row>
    <row r="986" spans="3:6" ht="15.75" customHeight="1" x14ac:dyDescent="0.2">
      <c r="C986" s="26"/>
      <c r="D986" s="26"/>
      <c r="F986" s="21"/>
    </row>
    <row r="987" spans="3:6" ht="15.75" customHeight="1" x14ac:dyDescent="0.2">
      <c r="C987" s="26"/>
      <c r="D987" s="26"/>
      <c r="F987" s="21"/>
    </row>
    <row r="988" spans="3:6" ht="15.75" customHeight="1" x14ac:dyDescent="0.2">
      <c r="C988" s="26"/>
      <c r="D988" s="26"/>
      <c r="F988" s="21"/>
    </row>
    <row r="989" spans="3:6" ht="15.75" customHeight="1" x14ac:dyDescent="0.2">
      <c r="C989" s="26"/>
      <c r="D989" s="26"/>
      <c r="F989" s="21"/>
    </row>
    <row r="990" spans="3:6" ht="15.75" customHeight="1" x14ac:dyDescent="0.2">
      <c r="C990" s="26"/>
      <c r="D990" s="26"/>
      <c r="F990" s="21"/>
    </row>
    <row r="991" spans="3:6" ht="15.75" customHeight="1" x14ac:dyDescent="0.2">
      <c r="C991" s="26"/>
      <c r="D991" s="26"/>
      <c r="F991" s="21"/>
    </row>
    <row r="992" spans="3:6" ht="15.75" customHeight="1" x14ac:dyDescent="0.2">
      <c r="C992" s="26"/>
      <c r="D992" s="26"/>
      <c r="F992" s="21"/>
    </row>
    <row r="993" spans="3:6" ht="15.75" customHeight="1" x14ac:dyDescent="0.2">
      <c r="C993" s="26"/>
      <c r="D993" s="26"/>
      <c r="F993" s="21"/>
    </row>
    <row r="994" spans="3:6" ht="15.75" customHeight="1" x14ac:dyDescent="0.2">
      <c r="C994" s="26"/>
      <c r="D994" s="26"/>
      <c r="F994" s="21"/>
    </row>
    <row r="995" spans="3:6" ht="15.75" customHeight="1" x14ac:dyDescent="0.2">
      <c r="C995" s="26"/>
      <c r="D995" s="26"/>
      <c r="F995" s="21"/>
    </row>
    <row r="996" spans="3:6" ht="15.75" customHeight="1" x14ac:dyDescent="0.2">
      <c r="C996" s="26"/>
      <c r="D996" s="26"/>
      <c r="F996" s="21"/>
    </row>
    <row r="997" spans="3:6" ht="15.75" customHeight="1" x14ac:dyDescent="0.2">
      <c r="C997" s="26"/>
      <c r="D997" s="26"/>
      <c r="F997" s="21"/>
    </row>
    <row r="998" spans="3:6" ht="15.75" customHeight="1" x14ac:dyDescent="0.2">
      <c r="C998" s="26"/>
      <c r="D998" s="26"/>
      <c r="F998" s="21"/>
    </row>
    <row r="999" spans="3:6" ht="15.75" customHeight="1" x14ac:dyDescent="0.2">
      <c r="C999" s="26"/>
      <c r="D999" s="26"/>
      <c r="F999" s="21"/>
    </row>
    <row r="1000" spans="3:6" ht="15.75" customHeight="1" x14ac:dyDescent="0.2">
      <c r="C1000" s="26"/>
      <c r="D1000" s="26"/>
      <c r="F1000" s="21"/>
    </row>
  </sheetData>
  <autoFilter ref="A1:H84" xr:uid="{00000000-0009-0000-0000-000015000000}"/>
  <pageMargins left="0.7" right="0.7" top="0.75" bottom="0.75"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sheetPr>
  <dimension ref="A1:Z1000"/>
  <sheetViews>
    <sheetView workbookViewId="0"/>
  </sheetViews>
  <sheetFormatPr baseColWidth="10" defaultColWidth="14.5" defaultRowHeight="15" customHeight="1" x14ac:dyDescent="0.2"/>
  <cols>
    <col min="1" max="1" width="8.83203125" customWidth="1"/>
    <col min="2" max="2" width="15.6640625" customWidth="1"/>
    <col min="3" max="3" width="26.5" customWidth="1"/>
    <col min="4" max="4" width="8.83203125" customWidth="1"/>
    <col min="5" max="5" width="11.5" customWidth="1"/>
    <col min="6" max="6" width="10.1640625" customWidth="1"/>
    <col min="7" max="26" width="8.83203125" customWidth="1"/>
  </cols>
  <sheetData>
    <row r="1" spans="1:26" x14ac:dyDescent="0.2">
      <c r="A1" s="1" t="s">
        <v>56</v>
      </c>
      <c r="B1" s="1" t="s">
        <v>354</v>
      </c>
      <c r="C1" s="1" t="s">
        <v>3</v>
      </c>
      <c r="D1" s="1" t="s">
        <v>1939</v>
      </c>
      <c r="E1" s="1" t="s">
        <v>1940</v>
      </c>
      <c r="F1" s="1" t="s">
        <v>1941</v>
      </c>
      <c r="G1" s="1"/>
      <c r="H1" s="1"/>
      <c r="I1" s="1"/>
      <c r="J1" s="1"/>
      <c r="K1" s="1"/>
      <c r="L1" s="1"/>
      <c r="M1" s="1"/>
      <c r="N1" s="1"/>
      <c r="O1" s="1"/>
      <c r="P1" s="1"/>
      <c r="Q1" s="1"/>
      <c r="R1" s="1"/>
      <c r="S1" s="1"/>
      <c r="T1" s="1"/>
      <c r="U1" s="1"/>
      <c r="V1" s="1"/>
      <c r="W1" s="1"/>
      <c r="X1" s="1"/>
      <c r="Y1" s="1"/>
      <c r="Z1" s="1"/>
    </row>
    <row r="2" spans="1:26" x14ac:dyDescent="0.2">
      <c r="A2" s="2">
        <v>1</v>
      </c>
      <c r="B2" s="2">
        <v>7.1</v>
      </c>
      <c r="C2" s="2" t="s">
        <v>64</v>
      </c>
      <c r="D2" s="2">
        <v>6</v>
      </c>
      <c r="E2" s="2">
        <v>0.5</v>
      </c>
      <c r="F2" s="2" t="s">
        <v>1942</v>
      </c>
    </row>
    <row r="3" spans="1:26" x14ac:dyDescent="0.2">
      <c r="A3" s="2">
        <v>2</v>
      </c>
      <c r="B3" s="2">
        <v>9</v>
      </c>
      <c r="C3" s="2" t="s">
        <v>1943</v>
      </c>
      <c r="D3" s="2">
        <v>2</v>
      </c>
      <c r="E3" s="2">
        <v>1</v>
      </c>
      <c r="F3" s="2" t="s">
        <v>1944</v>
      </c>
    </row>
    <row r="4" spans="1:26" x14ac:dyDescent="0.2">
      <c r="A4" s="2">
        <v>3</v>
      </c>
      <c r="B4" s="2">
        <v>9.1</v>
      </c>
      <c r="C4" s="2" t="s">
        <v>1945</v>
      </c>
      <c r="D4" s="2">
        <v>9</v>
      </c>
      <c r="E4" s="2">
        <v>1</v>
      </c>
      <c r="F4" s="2" t="s">
        <v>1946</v>
      </c>
    </row>
    <row r="5" spans="1:26" x14ac:dyDescent="0.2">
      <c r="A5" s="2">
        <v>4</v>
      </c>
      <c r="B5" s="2">
        <v>10.1</v>
      </c>
      <c r="C5" s="2" t="s">
        <v>1947</v>
      </c>
      <c r="D5" s="2">
        <v>9</v>
      </c>
      <c r="E5" s="2">
        <v>1.5</v>
      </c>
      <c r="F5" s="2" t="s">
        <v>1946</v>
      </c>
    </row>
    <row r="6" spans="1:26" x14ac:dyDescent="0.2">
      <c r="A6" s="2">
        <v>5</v>
      </c>
      <c r="B6" s="2">
        <v>11.1</v>
      </c>
      <c r="C6" s="2" t="s">
        <v>1948</v>
      </c>
      <c r="D6" s="2">
        <v>9</v>
      </c>
      <c r="E6" s="2">
        <v>2</v>
      </c>
      <c r="F6" s="2" t="s">
        <v>1946</v>
      </c>
    </row>
    <row r="7" spans="1:26" x14ac:dyDescent="0.2">
      <c r="A7" s="2">
        <v>6</v>
      </c>
      <c r="B7" s="2">
        <v>10.1</v>
      </c>
      <c r="C7" s="2" t="s">
        <v>1949</v>
      </c>
      <c r="D7" s="2">
        <v>2</v>
      </c>
      <c r="E7" s="2">
        <v>0.5</v>
      </c>
      <c r="F7" s="2" t="s">
        <v>1942</v>
      </c>
    </row>
    <row r="8" spans="1:26" x14ac:dyDescent="0.2">
      <c r="A8" s="2">
        <v>7</v>
      </c>
      <c r="B8" s="2">
        <v>10.199999999999999</v>
      </c>
      <c r="C8" s="2" t="s">
        <v>1950</v>
      </c>
      <c r="D8" s="2">
        <v>2</v>
      </c>
      <c r="E8" s="2">
        <v>0.5</v>
      </c>
      <c r="F8" s="2" t="s">
        <v>1942</v>
      </c>
    </row>
    <row r="9" spans="1:26" x14ac:dyDescent="0.2">
      <c r="A9" s="2">
        <v>8</v>
      </c>
      <c r="B9" s="2">
        <v>10.3</v>
      </c>
      <c r="C9" s="2" t="s">
        <v>1951</v>
      </c>
      <c r="D9" s="2">
        <v>2</v>
      </c>
      <c r="E9" s="2">
        <v>0.5</v>
      </c>
      <c r="F9" s="2" t="s">
        <v>1942</v>
      </c>
    </row>
    <row r="10" spans="1:26" x14ac:dyDescent="0.2">
      <c r="A10" s="2">
        <v>9</v>
      </c>
      <c r="B10" s="2">
        <v>9</v>
      </c>
      <c r="C10" s="2" t="s">
        <v>1952</v>
      </c>
      <c r="D10" s="2">
        <v>8</v>
      </c>
      <c r="E10" s="2">
        <v>0.5</v>
      </c>
      <c r="F10" s="2" t="s">
        <v>1944</v>
      </c>
    </row>
    <row r="11" spans="1:26" x14ac:dyDescent="0.2">
      <c r="A11" s="2">
        <v>10</v>
      </c>
      <c r="B11" s="2">
        <v>9.1</v>
      </c>
      <c r="C11" s="2" t="s">
        <v>1953</v>
      </c>
      <c r="D11" s="2">
        <v>6</v>
      </c>
      <c r="E11" s="2">
        <v>0.25</v>
      </c>
      <c r="F11" s="2" t="s">
        <v>1954</v>
      </c>
    </row>
    <row r="12" spans="1:26" x14ac:dyDescent="0.2">
      <c r="A12" s="2">
        <v>11</v>
      </c>
      <c r="B12" s="2">
        <v>9.1999999999999993</v>
      </c>
      <c r="C12" s="2" t="s">
        <v>1955</v>
      </c>
      <c r="D12" s="2">
        <v>5</v>
      </c>
      <c r="E12" s="2">
        <v>0.25</v>
      </c>
      <c r="F12" s="2" t="s">
        <v>1954</v>
      </c>
    </row>
    <row r="13" spans="1:26" x14ac:dyDescent="0.2">
      <c r="A13" s="2">
        <v>12</v>
      </c>
      <c r="B13" s="2">
        <v>10.1</v>
      </c>
      <c r="C13" s="2" t="s">
        <v>1953</v>
      </c>
      <c r="D13" s="2">
        <v>6</v>
      </c>
      <c r="E13" s="2">
        <v>0.17</v>
      </c>
      <c r="F13" s="2" t="s">
        <v>1954</v>
      </c>
    </row>
    <row r="14" spans="1:26" x14ac:dyDescent="0.2">
      <c r="A14" s="2">
        <v>13</v>
      </c>
      <c r="B14" s="2">
        <v>10.199999999999999</v>
      </c>
      <c r="C14" s="2" t="s">
        <v>1955</v>
      </c>
      <c r="D14" s="2">
        <v>5</v>
      </c>
      <c r="E14" s="2">
        <v>0.17</v>
      </c>
      <c r="F14" s="2" t="s">
        <v>1954</v>
      </c>
      <c r="G14" s="21"/>
    </row>
    <row r="15" spans="1:26" x14ac:dyDescent="0.2">
      <c r="A15" s="2">
        <v>14</v>
      </c>
      <c r="B15" s="2">
        <v>10.3</v>
      </c>
      <c r="C15" s="2" t="s">
        <v>1956</v>
      </c>
      <c r="D15" s="2">
        <v>7</v>
      </c>
      <c r="E15" s="2">
        <v>0.17</v>
      </c>
      <c r="F15" s="2" t="s">
        <v>1954</v>
      </c>
    </row>
    <row r="16" spans="1:26" x14ac:dyDescent="0.2">
      <c r="A16" s="2">
        <v>15</v>
      </c>
      <c r="B16" s="2">
        <v>10.4</v>
      </c>
      <c r="C16" s="2" t="s">
        <v>1955</v>
      </c>
      <c r="D16" s="2">
        <v>5</v>
      </c>
      <c r="E16" s="2">
        <v>0.17</v>
      </c>
      <c r="F16" s="2" t="s">
        <v>1954</v>
      </c>
      <c r="G16" s="21"/>
    </row>
    <row r="17" spans="1:7" x14ac:dyDescent="0.2">
      <c r="A17" s="2">
        <v>16</v>
      </c>
      <c r="B17" s="2">
        <v>11.1</v>
      </c>
      <c r="C17" s="2" t="s">
        <v>1953</v>
      </c>
      <c r="D17" s="2">
        <v>6</v>
      </c>
      <c r="E17" s="2">
        <v>0.17</v>
      </c>
      <c r="F17" s="2" t="s">
        <v>1954</v>
      </c>
      <c r="G17" s="21"/>
    </row>
    <row r="18" spans="1:7" x14ac:dyDescent="0.2">
      <c r="A18" s="2">
        <v>17</v>
      </c>
      <c r="B18" s="2">
        <v>11.2</v>
      </c>
      <c r="C18" s="2" t="s">
        <v>1957</v>
      </c>
      <c r="D18" s="2">
        <v>2</v>
      </c>
      <c r="E18" s="2">
        <v>0.17</v>
      </c>
      <c r="F18" s="2" t="s">
        <v>1954</v>
      </c>
      <c r="G18" s="21"/>
    </row>
    <row r="19" spans="1:7" x14ac:dyDescent="0.2">
      <c r="A19" s="2">
        <v>18</v>
      </c>
      <c r="B19" s="2">
        <v>11.3</v>
      </c>
      <c r="C19" s="2" t="s">
        <v>1956</v>
      </c>
      <c r="D19" s="2">
        <v>7</v>
      </c>
      <c r="E19" s="2">
        <v>0.17</v>
      </c>
      <c r="F19" s="2" t="s">
        <v>1954</v>
      </c>
      <c r="G19" s="21"/>
    </row>
    <row r="20" spans="1:7" x14ac:dyDescent="0.2">
      <c r="A20" s="2">
        <v>19</v>
      </c>
      <c r="B20" s="2">
        <v>11.4</v>
      </c>
      <c r="C20" s="2" t="s">
        <v>1955</v>
      </c>
      <c r="D20" s="2">
        <v>5</v>
      </c>
      <c r="E20" s="2">
        <v>0.17</v>
      </c>
      <c r="F20" s="2" t="s">
        <v>1954</v>
      </c>
    </row>
    <row r="21" spans="1:7" ht="15.75" customHeight="1" x14ac:dyDescent="0.2">
      <c r="A21" s="2">
        <v>20</v>
      </c>
      <c r="B21" s="2">
        <v>11.5</v>
      </c>
      <c r="C21" s="2" t="s">
        <v>1958</v>
      </c>
      <c r="D21" s="2">
        <v>5</v>
      </c>
      <c r="E21" s="2">
        <v>0.17</v>
      </c>
      <c r="F21" s="2" t="s">
        <v>1954</v>
      </c>
      <c r="G21" s="21"/>
    </row>
    <row r="22" spans="1:7" ht="15.75" customHeight="1" x14ac:dyDescent="0.2">
      <c r="A22" s="2">
        <v>21</v>
      </c>
      <c r="B22" s="2">
        <v>11.6</v>
      </c>
      <c r="C22" s="2" t="s">
        <v>1959</v>
      </c>
      <c r="D22" s="2">
        <v>1</v>
      </c>
      <c r="E22" s="2">
        <v>0.17</v>
      </c>
      <c r="F22" s="2" t="s">
        <v>1954</v>
      </c>
      <c r="G22" s="21"/>
    </row>
    <row r="23" spans="1:7" ht="15.75" customHeight="1" x14ac:dyDescent="0.2">
      <c r="A23" s="2">
        <v>22</v>
      </c>
      <c r="B23" s="2">
        <v>11.7</v>
      </c>
      <c r="C23" s="2" t="s">
        <v>1960</v>
      </c>
      <c r="D23" s="2">
        <v>2</v>
      </c>
      <c r="E23" s="2">
        <v>0</v>
      </c>
      <c r="F23" s="2" t="s">
        <v>1954</v>
      </c>
      <c r="G23" s="21"/>
    </row>
    <row r="24" spans="1:7" ht="15.75" customHeight="1" x14ac:dyDescent="0.2">
      <c r="A24" s="2">
        <v>23</v>
      </c>
      <c r="B24" s="2">
        <v>12.1</v>
      </c>
      <c r="C24" s="2" t="s">
        <v>1953</v>
      </c>
      <c r="D24" s="2">
        <v>6</v>
      </c>
      <c r="E24" s="2">
        <v>0.17</v>
      </c>
      <c r="F24" s="2" t="s">
        <v>1954</v>
      </c>
    </row>
    <row r="25" spans="1:7" ht="15.75" customHeight="1" x14ac:dyDescent="0.2">
      <c r="A25" s="2">
        <v>24</v>
      </c>
      <c r="B25" s="2">
        <v>12.2</v>
      </c>
      <c r="C25" s="2" t="s">
        <v>1957</v>
      </c>
      <c r="D25" s="2">
        <v>2</v>
      </c>
      <c r="E25" s="2">
        <v>0.17</v>
      </c>
      <c r="F25" s="2" t="s">
        <v>1954</v>
      </c>
    </row>
    <row r="26" spans="1:7" ht="15.75" customHeight="1" x14ac:dyDescent="0.2">
      <c r="A26" s="2">
        <v>25</v>
      </c>
      <c r="B26" s="2">
        <v>12.3</v>
      </c>
      <c r="C26" s="2" t="s">
        <v>1956</v>
      </c>
      <c r="D26" s="2">
        <v>7</v>
      </c>
      <c r="E26" s="2">
        <v>0.17</v>
      </c>
      <c r="F26" s="2" t="s">
        <v>1954</v>
      </c>
    </row>
    <row r="27" spans="1:7" ht="15.75" customHeight="1" x14ac:dyDescent="0.2">
      <c r="A27" s="2">
        <v>26</v>
      </c>
      <c r="B27" s="2">
        <v>12.4</v>
      </c>
      <c r="C27" s="2" t="s">
        <v>1955</v>
      </c>
      <c r="D27" s="2">
        <v>5</v>
      </c>
      <c r="E27" s="2">
        <v>0.17</v>
      </c>
      <c r="F27" s="2" t="s">
        <v>1954</v>
      </c>
    </row>
    <row r="28" spans="1:7" ht="15.75" customHeight="1" x14ac:dyDescent="0.2">
      <c r="A28" s="2">
        <v>27</v>
      </c>
      <c r="B28" s="2">
        <v>12.5</v>
      </c>
      <c r="C28" s="2" t="s">
        <v>1958</v>
      </c>
      <c r="D28" s="2">
        <v>5</v>
      </c>
      <c r="E28" s="2">
        <v>0.17</v>
      </c>
      <c r="F28" s="2" t="s">
        <v>1954</v>
      </c>
    </row>
    <row r="29" spans="1:7" ht="15.75" customHeight="1" x14ac:dyDescent="0.2">
      <c r="A29" s="2">
        <v>28</v>
      </c>
      <c r="B29" s="2">
        <v>12.6</v>
      </c>
      <c r="C29" s="2" t="s">
        <v>1959</v>
      </c>
      <c r="D29" s="2">
        <v>1</v>
      </c>
      <c r="E29" s="2">
        <v>0.17</v>
      </c>
      <c r="F29" s="2" t="s">
        <v>1954</v>
      </c>
    </row>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sheetPr>
  <dimension ref="A1:G1000"/>
  <sheetViews>
    <sheetView workbookViewId="0"/>
  </sheetViews>
  <sheetFormatPr baseColWidth="10" defaultColWidth="14.5" defaultRowHeight="15" customHeight="1" x14ac:dyDescent="0.2"/>
  <cols>
    <col min="1" max="1" width="6.83203125" customWidth="1"/>
    <col min="2" max="3" width="8.83203125" customWidth="1"/>
    <col min="4" max="4" width="12.5" customWidth="1"/>
    <col min="5" max="6" width="8.83203125" customWidth="1"/>
    <col min="7" max="7" width="13.1640625" customWidth="1"/>
    <col min="8" max="26" width="8.83203125" customWidth="1"/>
  </cols>
  <sheetData>
    <row r="1" spans="1:7" x14ac:dyDescent="0.2">
      <c r="A1" s="1" t="s">
        <v>56</v>
      </c>
      <c r="B1" s="1" t="s">
        <v>1</v>
      </c>
      <c r="C1" s="1" t="s">
        <v>740</v>
      </c>
      <c r="D1" s="1" t="s">
        <v>1912</v>
      </c>
      <c r="E1" s="1" t="s">
        <v>3</v>
      </c>
      <c r="F1" s="1" t="s">
        <v>1961</v>
      </c>
      <c r="G1" s="1" t="s">
        <v>1962</v>
      </c>
    </row>
    <row r="2" spans="1:7" x14ac:dyDescent="0.2">
      <c r="A2" s="2">
        <v>1</v>
      </c>
      <c r="B2" s="2">
        <v>80</v>
      </c>
      <c r="C2" s="2">
        <v>1</v>
      </c>
      <c r="D2" s="2">
        <v>1</v>
      </c>
      <c r="E2" s="2" t="s">
        <v>389</v>
      </c>
      <c r="F2" s="2">
        <v>1</v>
      </c>
    </row>
    <row r="3" spans="1:7" x14ac:dyDescent="0.2">
      <c r="A3" s="2">
        <v>2</v>
      </c>
      <c r="B3" s="2">
        <v>82</v>
      </c>
      <c r="C3" s="2">
        <v>1</v>
      </c>
      <c r="D3" s="2">
        <v>1</v>
      </c>
      <c r="E3" s="2" t="s">
        <v>389</v>
      </c>
      <c r="F3" s="2">
        <v>1</v>
      </c>
    </row>
    <row r="4" spans="1:7" x14ac:dyDescent="0.2">
      <c r="A4" s="2">
        <v>3</v>
      </c>
      <c r="B4" s="2">
        <v>84</v>
      </c>
      <c r="C4" s="2">
        <v>1</v>
      </c>
      <c r="D4" s="2">
        <v>1</v>
      </c>
      <c r="E4" s="2" t="s">
        <v>389</v>
      </c>
      <c r="F4" s="2">
        <v>1</v>
      </c>
    </row>
    <row r="5" spans="1:7" x14ac:dyDescent="0.2">
      <c r="A5" s="2">
        <v>4</v>
      </c>
      <c r="B5" s="2" t="s">
        <v>1963</v>
      </c>
      <c r="C5" s="2">
        <v>2</v>
      </c>
      <c r="D5" s="2">
        <v>1</v>
      </c>
      <c r="E5" s="2" t="s">
        <v>1964</v>
      </c>
      <c r="F5" s="2">
        <v>1</v>
      </c>
    </row>
    <row r="6" spans="1:7" x14ac:dyDescent="0.2">
      <c r="A6" s="2">
        <v>5</v>
      </c>
      <c r="B6" s="2" t="s">
        <v>1965</v>
      </c>
      <c r="C6" s="2">
        <v>2</v>
      </c>
      <c r="D6" s="2">
        <v>1</v>
      </c>
      <c r="E6" s="2" t="s">
        <v>1964</v>
      </c>
      <c r="F6" s="2">
        <v>2</v>
      </c>
    </row>
    <row r="7" spans="1:7" x14ac:dyDescent="0.2">
      <c r="A7" s="2">
        <v>6</v>
      </c>
      <c r="B7" s="2" t="s">
        <v>1966</v>
      </c>
      <c r="C7" s="2">
        <v>2</v>
      </c>
      <c r="D7" s="2">
        <v>1</v>
      </c>
      <c r="E7" s="2" t="s">
        <v>1964</v>
      </c>
      <c r="F7" s="2">
        <v>1</v>
      </c>
    </row>
    <row r="8" spans="1:7" x14ac:dyDescent="0.2">
      <c r="A8" s="2">
        <v>7</v>
      </c>
      <c r="B8" s="2" t="s">
        <v>1967</v>
      </c>
      <c r="C8" s="2">
        <v>2</v>
      </c>
      <c r="D8" s="2">
        <v>1</v>
      </c>
      <c r="E8" s="2" t="s">
        <v>1964</v>
      </c>
      <c r="F8" s="2">
        <v>2</v>
      </c>
    </row>
    <row r="9" spans="1:7" x14ac:dyDescent="0.2">
      <c r="A9" s="2">
        <v>8</v>
      </c>
      <c r="B9" s="2" t="s">
        <v>1968</v>
      </c>
      <c r="C9" s="2">
        <v>2</v>
      </c>
      <c r="D9" s="2">
        <v>1</v>
      </c>
      <c r="E9" s="2" t="s">
        <v>1964</v>
      </c>
      <c r="F9" s="2">
        <v>1</v>
      </c>
    </row>
    <row r="10" spans="1:7" x14ac:dyDescent="0.2">
      <c r="A10" s="2">
        <v>9</v>
      </c>
      <c r="B10" s="2" t="s">
        <v>1969</v>
      </c>
      <c r="C10" s="2">
        <v>2</v>
      </c>
      <c r="D10" s="2">
        <v>1</v>
      </c>
      <c r="E10" s="2" t="s">
        <v>1964</v>
      </c>
      <c r="F10" s="2">
        <v>2</v>
      </c>
    </row>
    <row r="11" spans="1:7" x14ac:dyDescent="0.2">
      <c r="A11" s="2">
        <v>10</v>
      </c>
      <c r="B11" s="2" t="s">
        <v>1970</v>
      </c>
      <c r="C11" s="2">
        <v>2</v>
      </c>
      <c r="D11" s="2">
        <v>1</v>
      </c>
      <c r="E11" s="2" t="s">
        <v>1964</v>
      </c>
      <c r="F11" s="2">
        <v>1</v>
      </c>
    </row>
    <row r="12" spans="1:7" x14ac:dyDescent="0.2">
      <c r="A12" s="2">
        <v>11</v>
      </c>
      <c r="B12" s="2" t="s">
        <v>1971</v>
      </c>
      <c r="C12" s="2">
        <v>2</v>
      </c>
      <c r="D12" s="2">
        <v>1</v>
      </c>
      <c r="E12" s="2" t="s">
        <v>1964</v>
      </c>
      <c r="F12" s="2">
        <v>2</v>
      </c>
    </row>
    <row r="13" spans="1:7" x14ac:dyDescent="0.2">
      <c r="A13" s="2">
        <v>12</v>
      </c>
      <c r="B13" s="2" t="s">
        <v>1972</v>
      </c>
      <c r="C13" s="2">
        <v>6</v>
      </c>
      <c r="D13" s="2">
        <v>1</v>
      </c>
      <c r="E13" s="2" t="s">
        <v>1964</v>
      </c>
      <c r="F13" s="2">
        <v>1</v>
      </c>
    </row>
    <row r="14" spans="1:7" x14ac:dyDescent="0.2">
      <c r="A14" s="2">
        <v>13</v>
      </c>
      <c r="B14" s="2" t="s">
        <v>1973</v>
      </c>
      <c r="C14" s="2">
        <v>6</v>
      </c>
      <c r="D14" s="2">
        <v>1</v>
      </c>
      <c r="E14" s="2" t="s">
        <v>1964</v>
      </c>
      <c r="F14" s="2">
        <v>2</v>
      </c>
    </row>
    <row r="15" spans="1:7" x14ac:dyDescent="0.2">
      <c r="A15" s="2">
        <v>14</v>
      </c>
      <c r="B15" s="2" t="s">
        <v>1974</v>
      </c>
      <c r="C15" s="2">
        <v>6</v>
      </c>
      <c r="D15" s="2">
        <v>1</v>
      </c>
      <c r="E15" s="2" t="s">
        <v>1964</v>
      </c>
      <c r="F15" s="2">
        <v>1</v>
      </c>
    </row>
    <row r="16" spans="1:7" x14ac:dyDescent="0.2">
      <c r="A16" s="2">
        <v>15</v>
      </c>
      <c r="B16" s="2" t="s">
        <v>1975</v>
      </c>
      <c r="C16" s="2">
        <v>6</v>
      </c>
      <c r="D16" s="2">
        <v>1</v>
      </c>
      <c r="E16" s="2" t="s">
        <v>1964</v>
      </c>
      <c r="F16" s="2">
        <v>2</v>
      </c>
    </row>
    <row r="17" spans="1:6" x14ac:dyDescent="0.2">
      <c r="A17" s="2">
        <v>16</v>
      </c>
      <c r="B17" s="2" t="s">
        <v>1976</v>
      </c>
      <c r="C17" s="2">
        <v>7</v>
      </c>
      <c r="D17" s="2">
        <v>1</v>
      </c>
      <c r="E17" s="2" t="s">
        <v>1964</v>
      </c>
      <c r="F17" s="2">
        <v>1</v>
      </c>
    </row>
    <row r="18" spans="1:6" x14ac:dyDescent="0.2">
      <c r="A18" s="2">
        <v>17</v>
      </c>
      <c r="B18" s="2" t="s">
        <v>1977</v>
      </c>
      <c r="C18" s="2">
        <v>7</v>
      </c>
      <c r="D18" s="2">
        <v>1</v>
      </c>
      <c r="E18" s="2" t="s">
        <v>1964</v>
      </c>
      <c r="F18" s="2">
        <v>2</v>
      </c>
    </row>
    <row r="19" spans="1:6" x14ac:dyDescent="0.2">
      <c r="A19" s="2">
        <v>18</v>
      </c>
      <c r="B19" s="2" t="s">
        <v>1978</v>
      </c>
      <c r="C19" s="2">
        <v>7</v>
      </c>
      <c r="D19" s="2">
        <v>1</v>
      </c>
      <c r="E19" s="2" t="s">
        <v>1964</v>
      </c>
      <c r="F19" s="2">
        <v>1</v>
      </c>
    </row>
    <row r="20" spans="1:6" x14ac:dyDescent="0.2">
      <c r="A20" s="2">
        <v>19</v>
      </c>
      <c r="B20" s="2" t="s">
        <v>1979</v>
      </c>
      <c r="C20" s="2">
        <v>7</v>
      </c>
      <c r="D20" s="2">
        <v>1</v>
      </c>
      <c r="E20" s="2" t="s">
        <v>1964</v>
      </c>
      <c r="F20" s="2">
        <v>2</v>
      </c>
    </row>
    <row r="21" spans="1:6" ht="15.75" customHeight="1" x14ac:dyDescent="0.2">
      <c r="A21" s="2">
        <v>20</v>
      </c>
      <c r="B21" s="2" t="s">
        <v>1980</v>
      </c>
      <c r="C21" s="2">
        <v>8</v>
      </c>
      <c r="D21" s="2">
        <v>1</v>
      </c>
      <c r="E21" s="2" t="s">
        <v>1964</v>
      </c>
      <c r="F21" s="2">
        <v>1</v>
      </c>
    </row>
    <row r="22" spans="1:6" ht="15.75" customHeight="1" x14ac:dyDescent="0.2">
      <c r="A22" s="2">
        <v>21</v>
      </c>
      <c r="B22" s="2" t="s">
        <v>1981</v>
      </c>
      <c r="C22" s="2">
        <v>8</v>
      </c>
      <c r="D22" s="2">
        <v>1</v>
      </c>
      <c r="E22" s="2" t="s">
        <v>1964</v>
      </c>
      <c r="F22" s="2">
        <v>2</v>
      </c>
    </row>
    <row r="23" spans="1:6" ht="15.75" customHeight="1" x14ac:dyDescent="0.2">
      <c r="A23" s="2">
        <v>22</v>
      </c>
      <c r="B23" s="2" t="s">
        <v>1982</v>
      </c>
      <c r="C23" s="2">
        <v>8</v>
      </c>
      <c r="D23" s="2">
        <v>1</v>
      </c>
      <c r="E23" s="2" t="s">
        <v>1964</v>
      </c>
      <c r="F23" s="2">
        <v>1</v>
      </c>
    </row>
    <row r="24" spans="1:6" ht="15.75" customHeight="1" x14ac:dyDescent="0.2">
      <c r="A24" s="2">
        <v>23</v>
      </c>
      <c r="B24" s="2" t="s">
        <v>1983</v>
      </c>
      <c r="C24" s="2">
        <v>8</v>
      </c>
      <c r="D24" s="2">
        <v>1</v>
      </c>
      <c r="E24" s="2" t="s">
        <v>1964</v>
      </c>
      <c r="F24" s="2">
        <v>2</v>
      </c>
    </row>
    <row r="25" spans="1:6" ht="15.75" customHeight="1" x14ac:dyDescent="0.2">
      <c r="A25" s="2">
        <v>24</v>
      </c>
      <c r="B25" s="2" t="s">
        <v>1984</v>
      </c>
      <c r="C25" s="2">
        <v>3</v>
      </c>
      <c r="D25" s="2">
        <v>1</v>
      </c>
      <c r="E25" s="2" t="s">
        <v>389</v>
      </c>
      <c r="F25" s="2">
        <v>12</v>
      </c>
    </row>
    <row r="26" spans="1:6" ht="15.75" customHeight="1" x14ac:dyDescent="0.2">
      <c r="A26" s="2">
        <v>25</v>
      </c>
      <c r="B26" s="2" t="s">
        <v>1985</v>
      </c>
      <c r="C26" s="2">
        <v>4</v>
      </c>
      <c r="D26" s="2">
        <v>1</v>
      </c>
      <c r="E26" s="2" t="s">
        <v>389</v>
      </c>
      <c r="F26" s="2">
        <v>18</v>
      </c>
    </row>
    <row r="27" spans="1:6" ht="15.75" customHeight="1" x14ac:dyDescent="0.2">
      <c r="A27" s="2">
        <v>26</v>
      </c>
      <c r="B27" s="2" t="s">
        <v>1986</v>
      </c>
      <c r="C27" s="2">
        <v>5</v>
      </c>
      <c r="D27" s="2">
        <v>1</v>
      </c>
      <c r="E27" s="2" t="s">
        <v>389</v>
      </c>
      <c r="F27" s="2">
        <v>24</v>
      </c>
    </row>
    <row r="28" spans="1:6" ht="15.75" customHeight="1" x14ac:dyDescent="0.2">
      <c r="A28" s="2">
        <v>27</v>
      </c>
      <c r="B28" s="2" t="s">
        <v>1987</v>
      </c>
      <c r="C28" s="2">
        <v>9</v>
      </c>
      <c r="D28" s="2">
        <v>1</v>
      </c>
      <c r="F28" s="2">
        <v>6</v>
      </c>
    </row>
    <row r="29" spans="1:6" ht="15.75" customHeight="1" x14ac:dyDescent="0.2">
      <c r="A29" s="2">
        <v>28</v>
      </c>
      <c r="B29" s="2" t="s">
        <v>1988</v>
      </c>
      <c r="C29" s="2">
        <v>10</v>
      </c>
      <c r="D29" s="2">
        <v>1</v>
      </c>
      <c r="E29" s="2" t="s">
        <v>1989</v>
      </c>
      <c r="F29" s="2">
        <v>3</v>
      </c>
    </row>
    <row r="30" spans="1:6" ht="15.75" customHeight="1" x14ac:dyDescent="0.2">
      <c r="A30" s="2">
        <v>29</v>
      </c>
      <c r="B30" s="2" t="s">
        <v>1990</v>
      </c>
      <c r="C30" s="2">
        <v>11</v>
      </c>
      <c r="D30" s="2">
        <v>1</v>
      </c>
      <c r="E30" s="2" t="s">
        <v>1989</v>
      </c>
      <c r="F30" s="2">
        <v>3</v>
      </c>
    </row>
    <row r="31" spans="1:6" ht="15.75" customHeight="1" x14ac:dyDescent="0.2">
      <c r="A31" s="2">
        <v>30</v>
      </c>
      <c r="B31" s="2" t="s">
        <v>1988</v>
      </c>
      <c r="C31" s="2">
        <v>12</v>
      </c>
      <c r="D31" s="2">
        <v>1</v>
      </c>
      <c r="E31" s="2" t="s">
        <v>1989</v>
      </c>
      <c r="F31" s="2">
        <v>2</v>
      </c>
    </row>
    <row r="32" spans="1:6" ht="15.75" customHeight="1" x14ac:dyDescent="0.2">
      <c r="A32" s="2">
        <v>31</v>
      </c>
      <c r="B32" s="2" t="s">
        <v>1990</v>
      </c>
      <c r="C32" s="2">
        <v>13</v>
      </c>
      <c r="D32" s="2">
        <v>1</v>
      </c>
      <c r="E32" s="2" t="s">
        <v>1989</v>
      </c>
      <c r="F32" s="2">
        <v>2</v>
      </c>
    </row>
    <row r="33" spans="1:6" ht="15.75" customHeight="1" x14ac:dyDescent="0.2">
      <c r="A33" s="2">
        <v>32</v>
      </c>
      <c r="B33" s="2" t="s">
        <v>1991</v>
      </c>
      <c r="C33" s="2">
        <v>14</v>
      </c>
      <c r="D33" s="2">
        <v>1</v>
      </c>
      <c r="E33" s="2" t="s">
        <v>1989</v>
      </c>
      <c r="F33" s="2">
        <v>2</v>
      </c>
    </row>
    <row r="34" spans="1:6" ht="15.75" customHeight="1" x14ac:dyDescent="0.2">
      <c r="A34" s="2">
        <v>33</v>
      </c>
      <c r="B34" s="2" t="s">
        <v>1990</v>
      </c>
      <c r="C34" s="2">
        <v>15</v>
      </c>
      <c r="D34" s="2">
        <v>1</v>
      </c>
      <c r="E34" s="2" t="s">
        <v>1989</v>
      </c>
      <c r="F34" s="2">
        <v>2</v>
      </c>
    </row>
    <row r="35" spans="1:6" ht="15.75" customHeight="1" x14ac:dyDescent="0.2">
      <c r="A35" s="2">
        <v>34</v>
      </c>
      <c r="B35" s="2" t="s">
        <v>1988</v>
      </c>
      <c r="C35" s="2">
        <v>16</v>
      </c>
      <c r="D35" s="2">
        <v>1</v>
      </c>
      <c r="E35" s="2" t="s">
        <v>1989</v>
      </c>
      <c r="F35" s="2">
        <v>2</v>
      </c>
    </row>
    <row r="36" spans="1:6" ht="15.75" customHeight="1" x14ac:dyDescent="0.2">
      <c r="A36" s="2">
        <v>35</v>
      </c>
      <c r="B36" s="2" t="s">
        <v>1992</v>
      </c>
      <c r="C36" s="2">
        <v>17</v>
      </c>
      <c r="D36" s="2">
        <v>1</v>
      </c>
      <c r="E36" s="2" t="s">
        <v>1989</v>
      </c>
      <c r="F36" s="2">
        <v>2</v>
      </c>
    </row>
    <row r="37" spans="1:6" ht="15.75" customHeight="1" x14ac:dyDescent="0.2">
      <c r="A37" s="2">
        <v>36</v>
      </c>
      <c r="B37" s="2" t="s">
        <v>1991</v>
      </c>
      <c r="C37" s="2">
        <v>18</v>
      </c>
      <c r="D37" s="2">
        <v>1</v>
      </c>
      <c r="E37" s="2" t="s">
        <v>1989</v>
      </c>
      <c r="F37" s="2">
        <v>2</v>
      </c>
    </row>
    <row r="38" spans="1:6" ht="15.75" customHeight="1" x14ac:dyDescent="0.2">
      <c r="A38" s="2">
        <v>37</v>
      </c>
      <c r="B38" s="2" t="s">
        <v>1990</v>
      </c>
      <c r="C38" s="2">
        <v>19</v>
      </c>
      <c r="D38" s="2">
        <v>1</v>
      </c>
      <c r="E38" s="2" t="s">
        <v>1989</v>
      </c>
      <c r="F38" s="2">
        <v>2</v>
      </c>
    </row>
    <row r="39" spans="1:6" ht="15.75" customHeight="1" x14ac:dyDescent="0.2">
      <c r="A39" s="2">
        <v>38</v>
      </c>
      <c r="B39" s="2" t="s">
        <v>1993</v>
      </c>
      <c r="C39" s="2">
        <v>20</v>
      </c>
      <c r="D39" s="2">
        <v>1</v>
      </c>
      <c r="E39" s="2" t="s">
        <v>1989</v>
      </c>
      <c r="F39" s="2">
        <v>2</v>
      </c>
    </row>
    <row r="40" spans="1:6" ht="15.75" customHeight="1" x14ac:dyDescent="0.2">
      <c r="A40" s="2">
        <v>39</v>
      </c>
      <c r="B40" s="2" t="s">
        <v>1994</v>
      </c>
      <c r="C40" s="2">
        <v>21</v>
      </c>
      <c r="D40" s="2">
        <v>1</v>
      </c>
      <c r="E40" s="2" t="s">
        <v>1989</v>
      </c>
      <c r="F40" s="2">
        <v>2</v>
      </c>
    </row>
    <row r="41" spans="1:6" ht="15.75" customHeight="1" x14ac:dyDescent="0.2">
      <c r="A41" s="2">
        <v>40</v>
      </c>
      <c r="B41" s="2" t="s">
        <v>1995</v>
      </c>
      <c r="C41" s="2">
        <v>22</v>
      </c>
      <c r="D41" s="2">
        <v>1</v>
      </c>
      <c r="E41" s="2" t="s">
        <v>1989</v>
      </c>
      <c r="F41" s="2">
        <v>0</v>
      </c>
    </row>
    <row r="42" spans="1:6" ht="15.75" customHeight="1" x14ac:dyDescent="0.2">
      <c r="A42" s="2">
        <v>41</v>
      </c>
      <c r="B42" s="2" t="s">
        <v>1993</v>
      </c>
      <c r="C42" s="2">
        <v>23</v>
      </c>
      <c r="D42" s="2">
        <v>1</v>
      </c>
      <c r="E42" s="2" t="s">
        <v>1989</v>
      </c>
      <c r="F42" s="2">
        <v>2</v>
      </c>
    </row>
    <row r="43" spans="1:6" ht="15.75" customHeight="1" x14ac:dyDescent="0.2">
      <c r="A43" s="2">
        <v>42</v>
      </c>
      <c r="B43" s="2" t="s">
        <v>1992</v>
      </c>
      <c r="C43" s="2">
        <v>24</v>
      </c>
      <c r="D43" s="2">
        <v>1</v>
      </c>
      <c r="E43" s="2" t="s">
        <v>1989</v>
      </c>
      <c r="F43" s="2">
        <v>2</v>
      </c>
    </row>
    <row r="44" spans="1:6" ht="15.75" customHeight="1" x14ac:dyDescent="0.2">
      <c r="A44" s="2">
        <v>43</v>
      </c>
      <c r="B44" s="2" t="s">
        <v>1991</v>
      </c>
      <c r="C44" s="2">
        <v>25</v>
      </c>
      <c r="D44" s="2">
        <v>1</v>
      </c>
      <c r="E44" s="2" t="s">
        <v>1989</v>
      </c>
      <c r="F44" s="2">
        <v>2</v>
      </c>
    </row>
    <row r="45" spans="1:6" ht="15.75" customHeight="1" x14ac:dyDescent="0.2">
      <c r="A45" s="2">
        <v>44</v>
      </c>
      <c r="B45" s="2" t="s">
        <v>1990</v>
      </c>
      <c r="C45" s="2">
        <v>26</v>
      </c>
      <c r="D45" s="2">
        <v>1</v>
      </c>
      <c r="E45" s="2" t="s">
        <v>1989</v>
      </c>
      <c r="F45" s="2">
        <v>2</v>
      </c>
    </row>
    <row r="46" spans="1:6" ht="15.75" customHeight="1" x14ac:dyDescent="0.2">
      <c r="A46" s="2">
        <v>45</v>
      </c>
      <c r="B46" s="2" t="s">
        <v>1993</v>
      </c>
      <c r="C46" s="2">
        <v>27</v>
      </c>
      <c r="D46" s="2">
        <v>1</v>
      </c>
      <c r="E46" s="2" t="s">
        <v>1989</v>
      </c>
      <c r="F46" s="2">
        <v>2</v>
      </c>
    </row>
    <row r="47" spans="1:6" ht="15.75" customHeight="1" x14ac:dyDescent="0.2">
      <c r="A47" s="2">
        <v>46</v>
      </c>
      <c r="B47" s="2" t="s">
        <v>1994</v>
      </c>
      <c r="C47" s="2">
        <v>28</v>
      </c>
      <c r="D47" s="2">
        <v>1</v>
      </c>
      <c r="E47" s="2" t="s">
        <v>1989</v>
      </c>
      <c r="F47" s="2">
        <v>2</v>
      </c>
    </row>
    <row r="48" spans="1:6" ht="15.75" customHeight="1" x14ac:dyDescent="0.2">
      <c r="A48" s="2">
        <v>47</v>
      </c>
    </row>
    <row r="49" spans="1:1" ht="15.75" customHeight="1" x14ac:dyDescent="0.2">
      <c r="A49" s="2">
        <v>48</v>
      </c>
    </row>
    <row r="50" spans="1:1" ht="15.75" customHeight="1" x14ac:dyDescent="0.2">
      <c r="A50" s="2">
        <v>49</v>
      </c>
    </row>
    <row r="51" spans="1:1" ht="15.75" customHeight="1" x14ac:dyDescent="0.2">
      <c r="A51" s="2">
        <v>50</v>
      </c>
    </row>
    <row r="52" spans="1:1" ht="15.75" customHeight="1" x14ac:dyDescent="0.2">
      <c r="A52" s="2">
        <v>51</v>
      </c>
    </row>
    <row r="53" spans="1:1" ht="15.75" customHeight="1" x14ac:dyDescent="0.2">
      <c r="A53" s="2">
        <v>52</v>
      </c>
    </row>
    <row r="54" spans="1:1" ht="15.75" customHeight="1" x14ac:dyDescent="0.2">
      <c r="A54" s="2">
        <v>53</v>
      </c>
    </row>
    <row r="55" spans="1:1" ht="15.75" customHeight="1" x14ac:dyDescent="0.2">
      <c r="A55" s="2">
        <v>54</v>
      </c>
    </row>
    <row r="56" spans="1:1" ht="15.75" customHeight="1" x14ac:dyDescent="0.2">
      <c r="A56" s="2">
        <v>55</v>
      </c>
    </row>
    <row r="57" spans="1:1" ht="15.75" customHeight="1" x14ac:dyDescent="0.2">
      <c r="A57" s="2">
        <v>56</v>
      </c>
    </row>
    <row r="58" spans="1:1" ht="15.75" customHeight="1" x14ac:dyDescent="0.2">
      <c r="A58" s="2">
        <v>57</v>
      </c>
    </row>
    <row r="59" spans="1:1" ht="15.75" customHeight="1" x14ac:dyDescent="0.2">
      <c r="A59" s="2">
        <v>58</v>
      </c>
    </row>
    <row r="60" spans="1:1" ht="15.75" customHeight="1" x14ac:dyDescent="0.2">
      <c r="A60" s="2">
        <v>59</v>
      </c>
    </row>
    <row r="61" spans="1:1" ht="15.75" customHeight="1" x14ac:dyDescent="0.2">
      <c r="A61" s="2">
        <v>60</v>
      </c>
    </row>
    <row r="62" spans="1:1" ht="15.75" customHeight="1" x14ac:dyDescent="0.2">
      <c r="A62" s="2">
        <v>61</v>
      </c>
    </row>
    <row r="63" spans="1:1" ht="15.75" customHeight="1" x14ac:dyDescent="0.2">
      <c r="A63" s="2">
        <v>62</v>
      </c>
    </row>
    <row r="64" spans="1:1" ht="15.75" customHeight="1" x14ac:dyDescent="0.2">
      <c r="A64" s="2">
        <v>63</v>
      </c>
    </row>
    <row r="65" spans="1:1" ht="15.75" customHeight="1" x14ac:dyDescent="0.2">
      <c r="A65" s="2">
        <v>64</v>
      </c>
    </row>
    <row r="66" spans="1:1" ht="15.75" customHeight="1" x14ac:dyDescent="0.2">
      <c r="A66" s="2">
        <v>65</v>
      </c>
    </row>
    <row r="67" spans="1:1" ht="15.75" customHeight="1" x14ac:dyDescent="0.2">
      <c r="A67" s="2">
        <v>66</v>
      </c>
    </row>
    <row r="68" spans="1:1" ht="15.75" customHeight="1" x14ac:dyDescent="0.2">
      <c r="A68" s="2">
        <v>67</v>
      </c>
    </row>
    <row r="69" spans="1:1" ht="15.75" customHeight="1" x14ac:dyDescent="0.2">
      <c r="A69" s="2">
        <v>68</v>
      </c>
    </row>
    <row r="70" spans="1:1" ht="15.75" customHeight="1" x14ac:dyDescent="0.2">
      <c r="A70" s="2">
        <v>69</v>
      </c>
    </row>
    <row r="71" spans="1:1" ht="15.75" customHeight="1" x14ac:dyDescent="0.2">
      <c r="A71" s="2">
        <v>70</v>
      </c>
    </row>
    <row r="72" spans="1:1" ht="15.75" customHeight="1" x14ac:dyDescent="0.2">
      <c r="A72" s="2">
        <v>71</v>
      </c>
    </row>
    <row r="73" spans="1:1" ht="15.75" customHeight="1" x14ac:dyDescent="0.2">
      <c r="A73" s="2">
        <v>72</v>
      </c>
    </row>
    <row r="74" spans="1:1" ht="15.75" customHeight="1" x14ac:dyDescent="0.2">
      <c r="A74" s="2">
        <v>73</v>
      </c>
    </row>
    <row r="75" spans="1:1" ht="15.75" customHeight="1" x14ac:dyDescent="0.2">
      <c r="A75" s="2">
        <v>74</v>
      </c>
    </row>
    <row r="76" spans="1:1" ht="15.75" customHeight="1" x14ac:dyDescent="0.2">
      <c r="A76" s="2">
        <v>75</v>
      </c>
    </row>
    <row r="77" spans="1:1" ht="15.75" customHeight="1" x14ac:dyDescent="0.2">
      <c r="A77" s="2">
        <v>76</v>
      </c>
    </row>
    <row r="78" spans="1:1" ht="15.75" customHeight="1" x14ac:dyDescent="0.2">
      <c r="A78" s="2">
        <v>77</v>
      </c>
    </row>
    <row r="79" spans="1:1" ht="15.75" customHeight="1" x14ac:dyDescent="0.2">
      <c r="A79" s="2">
        <v>78</v>
      </c>
    </row>
    <row r="80" spans="1:1" ht="15.75" customHeight="1" x14ac:dyDescent="0.2">
      <c r="A80" s="2">
        <v>79</v>
      </c>
    </row>
    <row r="81" spans="1:1" ht="15.75" customHeight="1" x14ac:dyDescent="0.2">
      <c r="A81" s="2">
        <v>80</v>
      </c>
    </row>
    <row r="82" spans="1:1" ht="15.75" customHeight="1" x14ac:dyDescent="0.2">
      <c r="A82" s="2">
        <v>81</v>
      </c>
    </row>
    <row r="83" spans="1:1" ht="15.75" customHeight="1" x14ac:dyDescent="0.2">
      <c r="A83" s="2">
        <v>82</v>
      </c>
    </row>
    <row r="84" spans="1:1" ht="15.75" customHeight="1" x14ac:dyDescent="0.2">
      <c r="A84" s="2">
        <v>83</v>
      </c>
    </row>
    <row r="85" spans="1:1" ht="15.75" customHeight="1" x14ac:dyDescent="0.2">
      <c r="A85" s="2">
        <v>84</v>
      </c>
    </row>
    <row r="86" spans="1:1" ht="15.75" customHeight="1" x14ac:dyDescent="0.2">
      <c r="A86" s="2">
        <v>85</v>
      </c>
    </row>
    <row r="87" spans="1:1" ht="15.75" customHeight="1" x14ac:dyDescent="0.2">
      <c r="A87" s="2">
        <v>86</v>
      </c>
    </row>
    <row r="88" spans="1:1" ht="15.75" customHeight="1" x14ac:dyDescent="0.2">
      <c r="A88" s="2">
        <v>87</v>
      </c>
    </row>
    <row r="89" spans="1:1" ht="15.75" customHeight="1" x14ac:dyDescent="0.2">
      <c r="A89" s="2">
        <v>88</v>
      </c>
    </row>
    <row r="90" spans="1:1" ht="15.75" customHeight="1" x14ac:dyDescent="0.2"/>
    <row r="91" spans="1:1" ht="15.75" customHeight="1" x14ac:dyDescent="0.2"/>
    <row r="92" spans="1:1" ht="15.75" customHeight="1" x14ac:dyDescent="0.2"/>
    <row r="93" spans="1:1" ht="15.75" customHeight="1" x14ac:dyDescent="0.2"/>
    <row r="94" spans="1:1" ht="15.75" customHeight="1" x14ac:dyDescent="0.2"/>
    <row r="95" spans="1:1" ht="15.75" customHeight="1" x14ac:dyDescent="0.2"/>
    <row r="96" spans="1:1"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sheetPr>
  <dimension ref="A1:Z1000"/>
  <sheetViews>
    <sheetView workbookViewId="0"/>
  </sheetViews>
  <sheetFormatPr baseColWidth="10" defaultColWidth="14.5" defaultRowHeight="15" customHeight="1" x14ac:dyDescent="0.2"/>
  <cols>
    <col min="1" max="3" width="8.83203125" customWidth="1"/>
    <col min="4" max="4" width="18" customWidth="1"/>
    <col min="5" max="26" width="8.83203125" customWidth="1"/>
  </cols>
  <sheetData>
    <row r="1" spans="1:26" x14ac:dyDescent="0.2">
      <c r="A1" s="1" t="s">
        <v>56</v>
      </c>
      <c r="B1" s="1" t="s">
        <v>1937</v>
      </c>
      <c r="C1" s="25" t="s">
        <v>60</v>
      </c>
      <c r="D1" s="20" t="s">
        <v>1938</v>
      </c>
      <c r="E1" s="1" t="s">
        <v>237</v>
      </c>
      <c r="F1" s="1"/>
      <c r="G1" s="1"/>
      <c r="H1" s="1"/>
      <c r="I1" s="1"/>
      <c r="J1" s="1"/>
      <c r="K1" s="1"/>
      <c r="L1" s="1"/>
      <c r="M1" s="1"/>
      <c r="N1" s="1"/>
      <c r="O1" s="1"/>
      <c r="P1" s="1"/>
      <c r="Q1" s="1"/>
      <c r="R1" s="1"/>
      <c r="S1" s="1"/>
      <c r="T1" s="1"/>
      <c r="U1" s="1"/>
      <c r="V1" s="1"/>
      <c r="W1" s="1"/>
      <c r="X1" s="1"/>
      <c r="Y1" s="1"/>
      <c r="Z1" s="1"/>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sheetPr>
  <dimension ref="A1:Z1000"/>
  <sheetViews>
    <sheetView workbookViewId="0"/>
  </sheetViews>
  <sheetFormatPr baseColWidth="10" defaultColWidth="14.5" defaultRowHeight="15" customHeight="1" x14ac:dyDescent="0.2"/>
  <cols>
    <col min="1" max="1" width="8.83203125" customWidth="1"/>
    <col min="2" max="2" width="15.6640625" customWidth="1"/>
    <col min="3" max="3" width="8.83203125" customWidth="1"/>
    <col min="4" max="4" width="10.1640625" customWidth="1"/>
    <col min="5" max="26" width="8.83203125" customWidth="1"/>
  </cols>
  <sheetData>
    <row r="1" spans="1:26" x14ac:dyDescent="0.2">
      <c r="A1" s="1" t="s">
        <v>56</v>
      </c>
      <c r="B1" s="1" t="s">
        <v>354</v>
      </c>
      <c r="C1" s="1" t="s">
        <v>1939</v>
      </c>
      <c r="D1" s="1" t="s">
        <v>1941</v>
      </c>
      <c r="E1" s="1"/>
      <c r="F1" s="1"/>
      <c r="G1" s="1"/>
      <c r="H1" s="1"/>
      <c r="I1" s="1"/>
      <c r="J1" s="1"/>
      <c r="K1" s="1"/>
      <c r="L1" s="1"/>
      <c r="M1" s="1"/>
      <c r="N1" s="1"/>
      <c r="O1" s="1"/>
      <c r="P1" s="1"/>
      <c r="Q1" s="1"/>
      <c r="R1" s="1"/>
      <c r="S1" s="1"/>
      <c r="T1" s="1"/>
      <c r="U1" s="1"/>
      <c r="V1" s="1"/>
      <c r="W1" s="1"/>
      <c r="X1" s="1"/>
      <c r="Y1" s="1"/>
      <c r="Z1" s="1"/>
    </row>
    <row r="2" spans="1:26" x14ac:dyDescent="0.2">
      <c r="A2" s="2">
        <v>1</v>
      </c>
      <c r="B2" s="2" t="s">
        <v>1996</v>
      </c>
      <c r="C2" s="2">
        <v>10</v>
      </c>
      <c r="D2" s="2" t="s">
        <v>1997</v>
      </c>
    </row>
    <row r="3" spans="1:26" x14ac:dyDescent="0.2">
      <c r="A3" s="2">
        <v>2</v>
      </c>
      <c r="B3" s="2" t="s">
        <v>1998</v>
      </c>
      <c r="C3" s="2">
        <v>10</v>
      </c>
      <c r="D3" s="2" t="s">
        <v>1997</v>
      </c>
    </row>
    <row r="4" spans="1:26" x14ac:dyDescent="0.2">
      <c r="A4" s="2">
        <v>3</v>
      </c>
      <c r="B4" s="2" t="s">
        <v>70</v>
      </c>
      <c r="C4" s="2">
        <v>10</v>
      </c>
      <c r="D4" s="2" t="s">
        <v>1997</v>
      </c>
    </row>
    <row r="5" spans="1:26" x14ac:dyDescent="0.2">
      <c r="A5" s="2">
        <v>4</v>
      </c>
    </row>
    <row r="14" spans="1:26" x14ac:dyDescent="0.2">
      <c r="E14" s="21"/>
    </row>
    <row r="16" spans="1:26" x14ac:dyDescent="0.2">
      <c r="E16" s="21"/>
    </row>
    <row r="17" spans="5:5" x14ac:dyDescent="0.2">
      <c r="E17" s="21"/>
    </row>
    <row r="18" spans="5:5" x14ac:dyDescent="0.2">
      <c r="E18" s="21"/>
    </row>
    <row r="19" spans="5:5" x14ac:dyDescent="0.2">
      <c r="E19" s="21"/>
    </row>
    <row r="21" spans="5:5" ht="15.75" customHeight="1" x14ac:dyDescent="0.2">
      <c r="E21" s="21"/>
    </row>
    <row r="22" spans="5:5" ht="15.75" customHeight="1" x14ac:dyDescent="0.2">
      <c r="E22" s="21"/>
    </row>
    <row r="23" spans="5:5" ht="15.75" customHeight="1" x14ac:dyDescent="0.2">
      <c r="E23" s="21"/>
    </row>
    <row r="24" spans="5:5" ht="15.75" customHeight="1" x14ac:dyDescent="0.2"/>
    <row r="25" spans="5:5" ht="15.75" customHeight="1" x14ac:dyDescent="0.2"/>
    <row r="26" spans="5:5" ht="15.75" customHeight="1" x14ac:dyDescent="0.2"/>
    <row r="27" spans="5:5" ht="15.75" customHeight="1" x14ac:dyDescent="0.2"/>
    <row r="28" spans="5:5" ht="15.75" customHeight="1" x14ac:dyDescent="0.2"/>
    <row r="29" spans="5:5" ht="15.75" customHeight="1" x14ac:dyDescent="0.2"/>
    <row r="30" spans="5:5" ht="15.75" customHeight="1" x14ac:dyDescent="0.2"/>
    <row r="31" spans="5:5" ht="15.75" customHeight="1" x14ac:dyDescent="0.2"/>
    <row r="32" spans="5: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30A0"/>
  </sheetPr>
  <dimension ref="A1:I1000"/>
  <sheetViews>
    <sheetView workbookViewId="0"/>
  </sheetViews>
  <sheetFormatPr baseColWidth="10" defaultColWidth="14.5" defaultRowHeight="15" customHeight="1" x14ac:dyDescent="0.2"/>
  <cols>
    <col min="1" max="1" width="8.83203125" customWidth="1"/>
    <col min="2" max="2" width="19.5" customWidth="1"/>
    <col min="3" max="4" width="11.6640625" customWidth="1"/>
    <col min="5" max="5" width="13" customWidth="1"/>
    <col min="6" max="6" width="10.33203125" customWidth="1"/>
    <col min="7" max="26" width="8.83203125" customWidth="1"/>
  </cols>
  <sheetData>
    <row r="1" spans="1:9" x14ac:dyDescent="0.2">
      <c r="A1" s="1" t="s">
        <v>56</v>
      </c>
      <c r="B1" s="1" t="s">
        <v>1999</v>
      </c>
      <c r="C1" s="25" t="s">
        <v>2000</v>
      </c>
      <c r="D1" s="27" t="s">
        <v>325</v>
      </c>
      <c r="E1" s="20" t="s">
        <v>1938</v>
      </c>
      <c r="F1" s="1" t="s">
        <v>237</v>
      </c>
      <c r="G1" s="1"/>
      <c r="H1" s="1"/>
      <c r="I1" s="1"/>
    </row>
    <row r="2" spans="1:9" x14ac:dyDescent="0.2">
      <c r="A2" s="2">
        <v>1</v>
      </c>
      <c r="B2" s="2">
        <v>1</v>
      </c>
      <c r="C2" s="26" t="s">
        <v>2001</v>
      </c>
      <c r="D2" s="28">
        <v>1</v>
      </c>
      <c r="E2" s="21" t="s">
        <v>2002</v>
      </c>
      <c r="F2" s="2">
        <v>11</v>
      </c>
    </row>
    <row r="3" spans="1:9" x14ac:dyDescent="0.2">
      <c r="A3" s="2">
        <v>2</v>
      </c>
      <c r="B3" s="2">
        <v>1</v>
      </c>
      <c r="C3" s="26" t="s">
        <v>2001</v>
      </c>
      <c r="D3" s="28">
        <v>2</v>
      </c>
      <c r="E3" s="21" t="s">
        <v>2003</v>
      </c>
      <c r="F3" s="2">
        <v>11</v>
      </c>
    </row>
    <row r="4" spans="1:9" x14ac:dyDescent="0.2">
      <c r="A4" s="2">
        <v>3</v>
      </c>
      <c r="B4" s="2">
        <v>1</v>
      </c>
      <c r="C4" s="26" t="s">
        <v>2001</v>
      </c>
      <c r="D4" s="28">
        <v>3</v>
      </c>
      <c r="E4" s="21" t="s">
        <v>2004</v>
      </c>
      <c r="F4" s="2">
        <v>11</v>
      </c>
    </row>
    <row r="5" spans="1:9" x14ac:dyDescent="0.2">
      <c r="C5" s="26"/>
      <c r="D5" s="28"/>
      <c r="E5" s="21"/>
    </row>
    <row r="6" spans="1:9" x14ac:dyDescent="0.2">
      <c r="C6" s="26"/>
      <c r="D6" s="28"/>
      <c r="E6" s="21"/>
    </row>
    <row r="7" spans="1:9" x14ac:dyDescent="0.2">
      <c r="C7" s="26"/>
      <c r="D7" s="28"/>
      <c r="E7" s="21"/>
    </row>
    <row r="8" spans="1:9" x14ac:dyDescent="0.2">
      <c r="C8" s="26"/>
      <c r="D8" s="28"/>
      <c r="E8" s="21"/>
    </row>
    <row r="9" spans="1:9" x14ac:dyDescent="0.2">
      <c r="C9" s="26"/>
      <c r="D9" s="28"/>
      <c r="E9" s="21"/>
    </row>
    <row r="10" spans="1:9" x14ac:dyDescent="0.2">
      <c r="C10" s="26"/>
      <c r="D10" s="28"/>
      <c r="E10" s="21"/>
    </row>
    <row r="11" spans="1:9" x14ac:dyDescent="0.2">
      <c r="C11" s="26"/>
      <c r="D11" s="28"/>
      <c r="E11" s="21"/>
    </row>
    <row r="12" spans="1:9" x14ac:dyDescent="0.2">
      <c r="C12" s="26"/>
      <c r="D12" s="28"/>
      <c r="E12" s="21"/>
    </row>
    <row r="13" spans="1:9" x14ac:dyDescent="0.2">
      <c r="C13" s="26"/>
      <c r="D13" s="28"/>
      <c r="E13" s="21"/>
    </row>
    <row r="14" spans="1:9" x14ac:dyDescent="0.2">
      <c r="C14" s="26"/>
      <c r="D14" s="28"/>
      <c r="E14" s="21"/>
    </row>
    <row r="15" spans="1:9" x14ac:dyDescent="0.2">
      <c r="C15" s="26"/>
      <c r="D15" s="28"/>
      <c r="E15" s="21"/>
    </row>
    <row r="16" spans="1:9" x14ac:dyDescent="0.2">
      <c r="C16" s="26"/>
      <c r="D16" s="28"/>
      <c r="E16" s="21"/>
    </row>
    <row r="17" spans="3:5" x14ac:dyDescent="0.2">
      <c r="C17" s="26"/>
      <c r="D17" s="28"/>
      <c r="E17" s="21"/>
    </row>
    <row r="18" spans="3:5" x14ac:dyDescent="0.2">
      <c r="C18" s="26"/>
      <c r="D18" s="28"/>
      <c r="E18" s="21"/>
    </row>
    <row r="19" spans="3:5" x14ac:dyDescent="0.2">
      <c r="C19" s="26"/>
      <c r="D19" s="28"/>
      <c r="E19" s="21"/>
    </row>
    <row r="20" spans="3:5" x14ac:dyDescent="0.2">
      <c r="C20" s="26"/>
      <c r="D20" s="28"/>
      <c r="E20" s="21"/>
    </row>
    <row r="21" spans="3:5" ht="15.75" customHeight="1" x14ac:dyDescent="0.2">
      <c r="C21" s="26"/>
      <c r="D21" s="28"/>
      <c r="E21" s="21"/>
    </row>
    <row r="22" spans="3:5" ht="15.75" customHeight="1" x14ac:dyDescent="0.2">
      <c r="C22" s="26"/>
      <c r="D22" s="28"/>
      <c r="E22" s="21"/>
    </row>
    <row r="23" spans="3:5" ht="15.75" customHeight="1" x14ac:dyDescent="0.2">
      <c r="C23" s="26"/>
      <c r="D23" s="28"/>
      <c r="E23" s="21"/>
    </row>
    <row r="24" spans="3:5" ht="15.75" customHeight="1" x14ac:dyDescent="0.2">
      <c r="C24" s="26"/>
      <c r="D24" s="28"/>
      <c r="E24" s="21"/>
    </row>
    <row r="25" spans="3:5" ht="15.75" customHeight="1" x14ac:dyDescent="0.2">
      <c r="C25" s="26"/>
      <c r="D25" s="28"/>
      <c r="E25" s="21"/>
    </row>
    <row r="26" spans="3:5" ht="15.75" customHeight="1" x14ac:dyDescent="0.2">
      <c r="C26" s="26"/>
      <c r="D26" s="28"/>
      <c r="E26" s="21"/>
    </row>
    <row r="27" spans="3:5" ht="15.75" customHeight="1" x14ac:dyDescent="0.2">
      <c r="C27" s="26"/>
      <c r="D27" s="28"/>
      <c r="E27" s="21"/>
    </row>
    <row r="28" spans="3:5" ht="15.75" customHeight="1" x14ac:dyDescent="0.2">
      <c r="C28" s="26"/>
      <c r="D28" s="28"/>
      <c r="E28" s="21"/>
    </row>
    <row r="29" spans="3:5" ht="15.75" customHeight="1" x14ac:dyDescent="0.2">
      <c r="C29" s="26"/>
      <c r="D29" s="28"/>
      <c r="E29" s="21"/>
    </row>
    <row r="30" spans="3:5" ht="15.75" customHeight="1" x14ac:dyDescent="0.2">
      <c r="C30" s="26"/>
      <c r="D30" s="28"/>
      <c r="E30" s="21"/>
    </row>
    <row r="31" spans="3:5" ht="15.75" customHeight="1" x14ac:dyDescent="0.2">
      <c r="C31" s="26"/>
      <c r="D31" s="28"/>
      <c r="E31" s="21"/>
    </row>
    <row r="32" spans="3:5" ht="15.75" customHeight="1" x14ac:dyDescent="0.2">
      <c r="C32" s="26"/>
      <c r="D32" s="28"/>
      <c r="E32" s="21"/>
    </row>
    <row r="33" spans="3:5" ht="15.75" customHeight="1" x14ac:dyDescent="0.2">
      <c r="C33" s="26"/>
      <c r="D33" s="28"/>
      <c r="E33" s="21"/>
    </row>
    <row r="34" spans="3:5" ht="15.75" customHeight="1" x14ac:dyDescent="0.2">
      <c r="C34" s="26"/>
      <c r="D34" s="28"/>
      <c r="E34" s="21"/>
    </row>
    <row r="35" spans="3:5" ht="15.75" customHeight="1" x14ac:dyDescent="0.2">
      <c r="C35" s="26"/>
      <c r="D35" s="28"/>
      <c r="E35" s="21"/>
    </row>
    <row r="36" spans="3:5" ht="15.75" customHeight="1" x14ac:dyDescent="0.2">
      <c r="C36" s="26"/>
      <c r="D36" s="28"/>
      <c r="E36" s="21"/>
    </row>
    <row r="37" spans="3:5" ht="15.75" customHeight="1" x14ac:dyDescent="0.2">
      <c r="C37" s="26"/>
      <c r="D37" s="28"/>
      <c r="E37" s="21"/>
    </row>
    <row r="38" spans="3:5" ht="15.75" customHeight="1" x14ac:dyDescent="0.2">
      <c r="C38" s="26"/>
      <c r="D38" s="28"/>
      <c r="E38" s="21"/>
    </row>
    <row r="39" spans="3:5" ht="15.75" customHeight="1" x14ac:dyDescent="0.2">
      <c r="C39" s="26"/>
      <c r="D39" s="28"/>
      <c r="E39" s="21"/>
    </row>
    <row r="40" spans="3:5" ht="15.75" customHeight="1" x14ac:dyDescent="0.2">
      <c r="C40" s="26"/>
      <c r="D40" s="28"/>
      <c r="E40" s="21"/>
    </row>
    <row r="41" spans="3:5" ht="15.75" customHeight="1" x14ac:dyDescent="0.2">
      <c r="C41" s="26"/>
      <c r="D41" s="28"/>
      <c r="E41" s="21"/>
    </row>
    <row r="42" spans="3:5" ht="15.75" customHeight="1" x14ac:dyDescent="0.2">
      <c r="C42" s="26"/>
      <c r="D42" s="28"/>
      <c r="E42" s="21"/>
    </row>
    <row r="43" spans="3:5" ht="15.75" customHeight="1" x14ac:dyDescent="0.2">
      <c r="C43" s="26"/>
      <c r="D43" s="28"/>
      <c r="E43" s="21"/>
    </row>
    <row r="44" spans="3:5" ht="15.75" customHeight="1" x14ac:dyDescent="0.2">
      <c r="C44" s="26"/>
      <c r="D44" s="28"/>
      <c r="E44" s="21"/>
    </row>
    <row r="45" spans="3:5" ht="15.75" customHeight="1" x14ac:dyDescent="0.2">
      <c r="C45" s="26"/>
      <c r="D45" s="28"/>
      <c r="E45" s="21"/>
    </row>
    <row r="46" spans="3:5" ht="15.75" customHeight="1" x14ac:dyDescent="0.2">
      <c r="C46" s="26"/>
      <c r="D46" s="28"/>
      <c r="E46" s="21"/>
    </row>
    <row r="47" spans="3:5" ht="15.75" customHeight="1" x14ac:dyDescent="0.2">
      <c r="C47" s="26"/>
      <c r="D47" s="28"/>
      <c r="E47" s="21"/>
    </row>
    <row r="48" spans="3:5" ht="15.75" customHeight="1" x14ac:dyDescent="0.2">
      <c r="C48" s="26"/>
      <c r="D48" s="28"/>
      <c r="E48" s="21"/>
    </row>
    <row r="49" spans="3:5" ht="15.75" customHeight="1" x14ac:dyDescent="0.2">
      <c r="C49" s="26"/>
      <c r="D49" s="28"/>
      <c r="E49" s="21"/>
    </row>
    <row r="50" spans="3:5" ht="15.75" customHeight="1" x14ac:dyDescent="0.2">
      <c r="C50" s="26"/>
      <c r="D50" s="28"/>
      <c r="E50" s="21"/>
    </row>
    <row r="51" spans="3:5" ht="15.75" customHeight="1" x14ac:dyDescent="0.2">
      <c r="C51" s="26"/>
      <c r="D51" s="28"/>
      <c r="E51" s="21"/>
    </row>
    <row r="52" spans="3:5" ht="15.75" customHeight="1" x14ac:dyDescent="0.2">
      <c r="C52" s="26"/>
      <c r="D52" s="28"/>
      <c r="E52" s="21"/>
    </row>
    <row r="53" spans="3:5" ht="15.75" customHeight="1" x14ac:dyDescent="0.2">
      <c r="C53" s="26"/>
      <c r="D53" s="28"/>
      <c r="E53" s="21"/>
    </row>
    <row r="54" spans="3:5" ht="15.75" customHeight="1" x14ac:dyDescent="0.2">
      <c r="C54" s="26"/>
      <c r="D54" s="28"/>
      <c r="E54" s="21"/>
    </row>
    <row r="55" spans="3:5" ht="15.75" customHeight="1" x14ac:dyDescent="0.2">
      <c r="C55" s="26"/>
      <c r="D55" s="28"/>
      <c r="E55" s="21"/>
    </row>
    <row r="56" spans="3:5" ht="15.75" customHeight="1" x14ac:dyDescent="0.2">
      <c r="C56" s="26"/>
      <c r="D56" s="28"/>
      <c r="E56" s="21"/>
    </row>
    <row r="57" spans="3:5" ht="15.75" customHeight="1" x14ac:dyDescent="0.2">
      <c r="C57" s="26"/>
      <c r="D57" s="28"/>
      <c r="E57" s="21"/>
    </row>
    <row r="58" spans="3:5" ht="15.75" customHeight="1" x14ac:dyDescent="0.2">
      <c r="C58" s="26"/>
      <c r="D58" s="28"/>
      <c r="E58" s="21"/>
    </row>
    <row r="59" spans="3:5" ht="15.75" customHeight="1" x14ac:dyDescent="0.2">
      <c r="C59" s="26"/>
      <c r="D59" s="28"/>
      <c r="E59" s="21"/>
    </row>
    <row r="60" spans="3:5" ht="15.75" customHeight="1" x14ac:dyDescent="0.2">
      <c r="C60" s="26"/>
      <c r="D60" s="28"/>
      <c r="E60" s="21"/>
    </row>
    <row r="61" spans="3:5" ht="15.75" customHeight="1" x14ac:dyDescent="0.2">
      <c r="C61" s="26"/>
      <c r="D61" s="28"/>
      <c r="E61" s="21"/>
    </row>
    <row r="62" spans="3:5" ht="15.75" customHeight="1" x14ac:dyDescent="0.2">
      <c r="C62" s="26"/>
      <c r="D62" s="28"/>
      <c r="E62" s="21"/>
    </row>
    <row r="63" spans="3:5" ht="15.75" customHeight="1" x14ac:dyDescent="0.2">
      <c r="C63" s="26"/>
      <c r="D63" s="28"/>
      <c r="E63" s="21"/>
    </row>
    <row r="64" spans="3:5" ht="15.75" customHeight="1" x14ac:dyDescent="0.2">
      <c r="C64" s="26"/>
      <c r="D64" s="28"/>
      <c r="E64" s="21"/>
    </row>
    <row r="65" spans="3:5" ht="15.75" customHeight="1" x14ac:dyDescent="0.2">
      <c r="C65" s="26"/>
      <c r="D65" s="28"/>
      <c r="E65" s="21"/>
    </row>
    <row r="66" spans="3:5" ht="15.75" customHeight="1" x14ac:dyDescent="0.2">
      <c r="C66" s="26"/>
      <c r="D66" s="28"/>
      <c r="E66" s="21"/>
    </row>
    <row r="67" spans="3:5" ht="15.75" customHeight="1" x14ac:dyDescent="0.2">
      <c r="C67" s="26"/>
      <c r="D67" s="28"/>
      <c r="E67" s="21"/>
    </row>
    <row r="68" spans="3:5" ht="15.75" customHeight="1" x14ac:dyDescent="0.2">
      <c r="C68" s="26"/>
      <c r="D68" s="28"/>
      <c r="E68" s="21"/>
    </row>
    <row r="69" spans="3:5" ht="15.75" customHeight="1" x14ac:dyDescent="0.2">
      <c r="C69" s="26"/>
      <c r="D69" s="28"/>
      <c r="E69" s="21"/>
    </row>
    <row r="70" spans="3:5" ht="15.75" customHeight="1" x14ac:dyDescent="0.2">
      <c r="C70" s="26"/>
      <c r="D70" s="28"/>
      <c r="E70" s="21"/>
    </row>
    <row r="71" spans="3:5" ht="15.75" customHeight="1" x14ac:dyDescent="0.2">
      <c r="C71" s="26"/>
      <c r="D71" s="28"/>
      <c r="E71" s="21"/>
    </row>
    <row r="72" spans="3:5" ht="15.75" customHeight="1" x14ac:dyDescent="0.2">
      <c r="C72" s="26"/>
      <c r="D72" s="28"/>
      <c r="E72" s="21"/>
    </row>
    <row r="73" spans="3:5" ht="15.75" customHeight="1" x14ac:dyDescent="0.2">
      <c r="C73" s="26"/>
      <c r="D73" s="28"/>
      <c r="E73" s="21"/>
    </row>
    <row r="74" spans="3:5" ht="15.75" customHeight="1" x14ac:dyDescent="0.2">
      <c r="C74" s="26"/>
      <c r="D74" s="28"/>
      <c r="E74" s="21"/>
    </row>
    <row r="75" spans="3:5" ht="15.75" customHeight="1" x14ac:dyDescent="0.2">
      <c r="C75" s="26"/>
      <c r="D75" s="28"/>
      <c r="E75" s="21"/>
    </row>
    <row r="76" spans="3:5" ht="15.75" customHeight="1" x14ac:dyDescent="0.2">
      <c r="C76" s="26"/>
      <c r="D76" s="28"/>
      <c r="E76" s="21"/>
    </row>
    <row r="77" spans="3:5" ht="15.75" customHeight="1" x14ac:dyDescent="0.2">
      <c r="C77" s="26"/>
      <c r="D77" s="28"/>
      <c r="E77" s="21"/>
    </row>
    <row r="78" spans="3:5" ht="15.75" customHeight="1" x14ac:dyDescent="0.2">
      <c r="C78" s="26"/>
      <c r="D78" s="28"/>
      <c r="E78" s="21"/>
    </row>
    <row r="79" spans="3:5" ht="15.75" customHeight="1" x14ac:dyDescent="0.2">
      <c r="C79" s="26"/>
      <c r="D79" s="28"/>
      <c r="E79" s="21"/>
    </row>
    <row r="80" spans="3:5" ht="15.75" customHeight="1" x14ac:dyDescent="0.2">
      <c r="C80" s="26"/>
      <c r="D80" s="28"/>
      <c r="E80" s="21"/>
    </row>
    <row r="81" spans="3:5" ht="15.75" customHeight="1" x14ac:dyDescent="0.2">
      <c r="C81" s="26"/>
      <c r="D81" s="28"/>
      <c r="E81" s="21"/>
    </row>
    <row r="82" spans="3:5" ht="15.75" customHeight="1" x14ac:dyDescent="0.2">
      <c r="C82" s="26"/>
      <c r="D82" s="28"/>
      <c r="E82" s="21"/>
    </row>
    <row r="83" spans="3:5" ht="15.75" customHeight="1" x14ac:dyDescent="0.2">
      <c r="C83" s="26"/>
      <c r="D83" s="28"/>
      <c r="E83" s="21"/>
    </row>
    <row r="84" spans="3:5" ht="15.75" customHeight="1" x14ac:dyDescent="0.2">
      <c r="C84" s="26"/>
      <c r="D84" s="28"/>
      <c r="E84" s="21"/>
    </row>
    <row r="85" spans="3:5" ht="15.75" customHeight="1" x14ac:dyDescent="0.2">
      <c r="C85" s="26"/>
      <c r="D85" s="28"/>
      <c r="E85" s="21"/>
    </row>
    <row r="86" spans="3:5" ht="15.75" customHeight="1" x14ac:dyDescent="0.2">
      <c r="C86" s="26"/>
      <c r="D86" s="28"/>
      <c r="E86" s="21"/>
    </row>
    <row r="87" spans="3:5" ht="15.75" customHeight="1" x14ac:dyDescent="0.2">
      <c r="C87" s="26"/>
      <c r="D87" s="28"/>
      <c r="E87" s="21"/>
    </row>
    <row r="88" spans="3:5" ht="15.75" customHeight="1" x14ac:dyDescent="0.2">
      <c r="C88" s="26"/>
      <c r="D88" s="28"/>
      <c r="E88" s="21"/>
    </row>
    <row r="89" spans="3:5" ht="15.75" customHeight="1" x14ac:dyDescent="0.2">
      <c r="C89" s="26"/>
      <c r="D89" s="28"/>
      <c r="E89" s="21"/>
    </row>
    <row r="90" spans="3:5" ht="15.75" customHeight="1" x14ac:dyDescent="0.2">
      <c r="C90" s="26"/>
      <c r="D90" s="28"/>
      <c r="E90" s="21"/>
    </row>
    <row r="91" spans="3:5" ht="15.75" customHeight="1" x14ac:dyDescent="0.2">
      <c r="C91" s="26"/>
      <c r="D91" s="28"/>
      <c r="E91" s="21"/>
    </row>
    <row r="92" spans="3:5" ht="15.75" customHeight="1" x14ac:dyDescent="0.2">
      <c r="C92" s="26"/>
      <c r="D92" s="28"/>
      <c r="E92" s="21"/>
    </row>
    <row r="93" spans="3:5" ht="15.75" customHeight="1" x14ac:dyDescent="0.2">
      <c r="C93" s="26"/>
      <c r="D93" s="28"/>
      <c r="E93" s="21"/>
    </row>
    <row r="94" spans="3:5" ht="15.75" customHeight="1" x14ac:dyDescent="0.2">
      <c r="C94" s="26"/>
      <c r="D94" s="28"/>
      <c r="E94" s="21"/>
    </row>
    <row r="95" spans="3:5" ht="15.75" customHeight="1" x14ac:dyDescent="0.2">
      <c r="C95" s="26"/>
      <c r="D95" s="28"/>
      <c r="E95" s="21"/>
    </row>
    <row r="96" spans="3:5" ht="15.75" customHeight="1" x14ac:dyDescent="0.2">
      <c r="C96" s="26"/>
      <c r="D96" s="28"/>
      <c r="E96" s="21"/>
    </row>
    <row r="97" spans="3:5" ht="15.75" customHeight="1" x14ac:dyDescent="0.2">
      <c r="C97" s="26"/>
      <c r="D97" s="28"/>
      <c r="E97" s="21"/>
    </row>
    <row r="98" spans="3:5" ht="15.75" customHeight="1" x14ac:dyDescent="0.2">
      <c r="C98" s="26"/>
      <c r="D98" s="28"/>
      <c r="E98" s="21"/>
    </row>
    <row r="99" spans="3:5" ht="15.75" customHeight="1" x14ac:dyDescent="0.2">
      <c r="C99" s="26"/>
      <c r="D99" s="28"/>
      <c r="E99" s="21"/>
    </row>
    <row r="100" spans="3:5" ht="15.75" customHeight="1" x14ac:dyDescent="0.2">
      <c r="C100" s="26"/>
      <c r="D100" s="28"/>
      <c r="E100" s="21"/>
    </row>
    <row r="101" spans="3:5" ht="15.75" customHeight="1" x14ac:dyDescent="0.2">
      <c r="C101" s="26"/>
      <c r="D101" s="28"/>
      <c r="E101" s="21"/>
    </row>
    <row r="102" spans="3:5" ht="15.75" customHeight="1" x14ac:dyDescent="0.2">
      <c r="C102" s="26"/>
      <c r="D102" s="28"/>
      <c r="E102" s="21"/>
    </row>
    <row r="103" spans="3:5" ht="15.75" customHeight="1" x14ac:dyDescent="0.2">
      <c r="C103" s="26"/>
      <c r="D103" s="28"/>
      <c r="E103" s="21"/>
    </row>
    <row r="104" spans="3:5" ht="15.75" customHeight="1" x14ac:dyDescent="0.2">
      <c r="C104" s="26"/>
      <c r="D104" s="28"/>
      <c r="E104" s="21"/>
    </row>
    <row r="105" spans="3:5" ht="15.75" customHeight="1" x14ac:dyDescent="0.2">
      <c r="C105" s="26"/>
      <c r="D105" s="28"/>
      <c r="E105" s="21"/>
    </row>
    <row r="106" spans="3:5" ht="15.75" customHeight="1" x14ac:dyDescent="0.2">
      <c r="C106" s="26"/>
      <c r="D106" s="28"/>
      <c r="E106" s="21"/>
    </row>
    <row r="107" spans="3:5" ht="15.75" customHeight="1" x14ac:dyDescent="0.2">
      <c r="C107" s="26"/>
      <c r="D107" s="28"/>
      <c r="E107" s="21"/>
    </row>
    <row r="108" spans="3:5" ht="15.75" customHeight="1" x14ac:dyDescent="0.2">
      <c r="C108" s="26"/>
      <c r="D108" s="28"/>
      <c r="E108" s="21"/>
    </row>
    <row r="109" spans="3:5" ht="15.75" customHeight="1" x14ac:dyDescent="0.2">
      <c r="C109" s="26"/>
      <c r="D109" s="28"/>
      <c r="E109" s="21"/>
    </row>
    <row r="110" spans="3:5" ht="15.75" customHeight="1" x14ac:dyDescent="0.2">
      <c r="C110" s="26"/>
      <c r="D110" s="28"/>
      <c r="E110" s="21"/>
    </row>
    <row r="111" spans="3:5" ht="15.75" customHeight="1" x14ac:dyDescent="0.2">
      <c r="C111" s="26"/>
      <c r="D111" s="28"/>
      <c r="E111" s="21"/>
    </row>
    <row r="112" spans="3:5" ht="15.75" customHeight="1" x14ac:dyDescent="0.2">
      <c r="C112" s="26"/>
      <c r="D112" s="28"/>
      <c r="E112" s="21"/>
    </row>
    <row r="113" spans="3:5" ht="15.75" customHeight="1" x14ac:dyDescent="0.2">
      <c r="C113" s="26"/>
      <c r="D113" s="28"/>
      <c r="E113" s="21"/>
    </row>
    <row r="114" spans="3:5" ht="15.75" customHeight="1" x14ac:dyDescent="0.2">
      <c r="C114" s="26"/>
      <c r="D114" s="28"/>
      <c r="E114" s="21"/>
    </row>
    <row r="115" spans="3:5" ht="15.75" customHeight="1" x14ac:dyDescent="0.2">
      <c r="C115" s="26"/>
      <c r="D115" s="28"/>
      <c r="E115" s="21"/>
    </row>
    <row r="116" spans="3:5" ht="15.75" customHeight="1" x14ac:dyDescent="0.2">
      <c r="C116" s="26"/>
      <c r="D116" s="28"/>
      <c r="E116" s="21"/>
    </row>
    <row r="117" spans="3:5" ht="15.75" customHeight="1" x14ac:dyDescent="0.2">
      <c r="C117" s="26"/>
      <c r="D117" s="28"/>
      <c r="E117" s="21"/>
    </row>
    <row r="118" spans="3:5" ht="15.75" customHeight="1" x14ac:dyDescent="0.2">
      <c r="C118" s="26"/>
      <c r="D118" s="28"/>
      <c r="E118" s="21"/>
    </row>
    <row r="119" spans="3:5" ht="15.75" customHeight="1" x14ac:dyDescent="0.2">
      <c r="C119" s="26"/>
      <c r="D119" s="28"/>
      <c r="E119" s="21"/>
    </row>
    <row r="120" spans="3:5" ht="15.75" customHeight="1" x14ac:dyDescent="0.2">
      <c r="C120" s="26"/>
      <c r="D120" s="28"/>
      <c r="E120" s="21"/>
    </row>
    <row r="121" spans="3:5" ht="15.75" customHeight="1" x14ac:dyDescent="0.2">
      <c r="C121" s="26"/>
      <c r="D121" s="28"/>
      <c r="E121" s="21"/>
    </row>
    <row r="122" spans="3:5" ht="15.75" customHeight="1" x14ac:dyDescent="0.2">
      <c r="C122" s="26"/>
      <c r="D122" s="28"/>
      <c r="E122" s="21"/>
    </row>
    <row r="123" spans="3:5" ht="15.75" customHeight="1" x14ac:dyDescent="0.2">
      <c r="C123" s="26"/>
      <c r="D123" s="28"/>
      <c r="E123" s="21"/>
    </row>
    <row r="124" spans="3:5" ht="15.75" customHeight="1" x14ac:dyDescent="0.2">
      <c r="C124" s="26"/>
      <c r="D124" s="28"/>
      <c r="E124" s="21"/>
    </row>
    <row r="125" spans="3:5" ht="15.75" customHeight="1" x14ac:dyDescent="0.2">
      <c r="C125" s="26"/>
      <c r="D125" s="28"/>
      <c r="E125" s="21"/>
    </row>
    <row r="126" spans="3:5" ht="15.75" customHeight="1" x14ac:dyDescent="0.2">
      <c r="C126" s="26"/>
      <c r="D126" s="28"/>
      <c r="E126" s="21"/>
    </row>
    <row r="127" spans="3:5" ht="15.75" customHeight="1" x14ac:dyDescent="0.2">
      <c r="C127" s="26"/>
      <c r="D127" s="28"/>
      <c r="E127" s="21"/>
    </row>
    <row r="128" spans="3:5" ht="15.75" customHeight="1" x14ac:dyDescent="0.2">
      <c r="C128" s="26"/>
      <c r="D128" s="28"/>
      <c r="E128" s="21"/>
    </row>
    <row r="129" spans="3:5" ht="15.75" customHeight="1" x14ac:dyDescent="0.2">
      <c r="C129" s="26"/>
      <c r="D129" s="28"/>
      <c r="E129" s="21"/>
    </row>
    <row r="130" spans="3:5" ht="15.75" customHeight="1" x14ac:dyDescent="0.2">
      <c r="C130" s="26"/>
      <c r="D130" s="28"/>
      <c r="E130" s="21"/>
    </row>
    <row r="131" spans="3:5" ht="15.75" customHeight="1" x14ac:dyDescent="0.2">
      <c r="C131" s="26"/>
      <c r="D131" s="28"/>
      <c r="E131" s="21"/>
    </row>
    <row r="132" spans="3:5" ht="15.75" customHeight="1" x14ac:dyDescent="0.2">
      <c r="C132" s="26"/>
      <c r="D132" s="28"/>
      <c r="E132" s="21"/>
    </row>
    <row r="133" spans="3:5" ht="15.75" customHeight="1" x14ac:dyDescent="0.2">
      <c r="C133" s="26"/>
      <c r="D133" s="28"/>
      <c r="E133" s="21"/>
    </row>
    <row r="134" spans="3:5" ht="15.75" customHeight="1" x14ac:dyDescent="0.2">
      <c r="C134" s="26"/>
      <c r="D134" s="28"/>
      <c r="E134" s="21"/>
    </row>
    <row r="135" spans="3:5" ht="15.75" customHeight="1" x14ac:dyDescent="0.2">
      <c r="C135" s="26"/>
      <c r="D135" s="28"/>
      <c r="E135" s="21"/>
    </row>
    <row r="136" spans="3:5" ht="15.75" customHeight="1" x14ac:dyDescent="0.2">
      <c r="C136" s="26"/>
      <c r="D136" s="28"/>
      <c r="E136" s="21"/>
    </row>
    <row r="137" spans="3:5" ht="15.75" customHeight="1" x14ac:dyDescent="0.2">
      <c r="C137" s="26"/>
      <c r="D137" s="28"/>
      <c r="E137" s="21"/>
    </row>
    <row r="138" spans="3:5" ht="15.75" customHeight="1" x14ac:dyDescent="0.2">
      <c r="C138" s="26"/>
      <c r="D138" s="28"/>
      <c r="E138" s="21"/>
    </row>
    <row r="139" spans="3:5" ht="15.75" customHeight="1" x14ac:dyDescent="0.2">
      <c r="C139" s="26"/>
      <c r="D139" s="28"/>
      <c r="E139" s="21"/>
    </row>
    <row r="140" spans="3:5" ht="15.75" customHeight="1" x14ac:dyDescent="0.2">
      <c r="C140" s="26"/>
      <c r="D140" s="28"/>
      <c r="E140" s="21"/>
    </row>
    <row r="141" spans="3:5" ht="15.75" customHeight="1" x14ac:dyDescent="0.2">
      <c r="C141" s="26"/>
      <c r="D141" s="28"/>
      <c r="E141" s="21"/>
    </row>
    <row r="142" spans="3:5" ht="15.75" customHeight="1" x14ac:dyDescent="0.2">
      <c r="C142" s="26"/>
      <c r="D142" s="28"/>
      <c r="E142" s="21"/>
    </row>
    <row r="143" spans="3:5" ht="15.75" customHeight="1" x14ac:dyDescent="0.2">
      <c r="C143" s="26"/>
      <c r="D143" s="28"/>
      <c r="E143" s="21"/>
    </row>
    <row r="144" spans="3:5" ht="15.75" customHeight="1" x14ac:dyDescent="0.2">
      <c r="C144" s="26"/>
      <c r="D144" s="28"/>
      <c r="E144" s="21"/>
    </row>
    <row r="145" spans="3:5" ht="15.75" customHeight="1" x14ac:dyDescent="0.2">
      <c r="C145" s="26"/>
      <c r="D145" s="28"/>
      <c r="E145" s="21"/>
    </row>
    <row r="146" spans="3:5" ht="15.75" customHeight="1" x14ac:dyDescent="0.2">
      <c r="C146" s="26"/>
      <c r="D146" s="28"/>
      <c r="E146" s="21"/>
    </row>
    <row r="147" spans="3:5" ht="15.75" customHeight="1" x14ac:dyDescent="0.2">
      <c r="C147" s="26"/>
      <c r="D147" s="28"/>
      <c r="E147" s="21"/>
    </row>
    <row r="148" spans="3:5" ht="15.75" customHeight="1" x14ac:dyDescent="0.2">
      <c r="C148" s="26"/>
      <c r="D148" s="28"/>
      <c r="E148" s="21"/>
    </row>
    <row r="149" spans="3:5" ht="15.75" customHeight="1" x14ac:dyDescent="0.2">
      <c r="C149" s="26"/>
      <c r="D149" s="28"/>
      <c r="E149" s="21"/>
    </row>
    <row r="150" spans="3:5" ht="15.75" customHeight="1" x14ac:dyDescent="0.2">
      <c r="C150" s="26"/>
      <c r="D150" s="28"/>
      <c r="E150" s="21"/>
    </row>
    <row r="151" spans="3:5" ht="15.75" customHeight="1" x14ac:dyDescent="0.2">
      <c r="C151" s="26"/>
      <c r="D151" s="28"/>
      <c r="E151" s="21"/>
    </row>
    <row r="152" spans="3:5" ht="15.75" customHeight="1" x14ac:dyDescent="0.2">
      <c r="C152" s="26"/>
      <c r="D152" s="28"/>
      <c r="E152" s="21"/>
    </row>
    <row r="153" spans="3:5" ht="15.75" customHeight="1" x14ac:dyDescent="0.2">
      <c r="C153" s="26"/>
      <c r="D153" s="28"/>
      <c r="E153" s="21"/>
    </row>
    <row r="154" spans="3:5" ht="15.75" customHeight="1" x14ac:dyDescent="0.2">
      <c r="C154" s="26"/>
      <c r="D154" s="28"/>
      <c r="E154" s="21"/>
    </row>
    <row r="155" spans="3:5" ht="15.75" customHeight="1" x14ac:dyDescent="0.2">
      <c r="C155" s="26"/>
      <c r="D155" s="28"/>
      <c r="E155" s="21"/>
    </row>
    <row r="156" spans="3:5" ht="15.75" customHeight="1" x14ac:dyDescent="0.2">
      <c r="C156" s="26"/>
      <c r="D156" s="28"/>
      <c r="E156" s="21"/>
    </row>
    <row r="157" spans="3:5" ht="15.75" customHeight="1" x14ac:dyDescent="0.2">
      <c r="C157" s="26"/>
      <c r="D157" s="28"/>
      <c r="E157" s="21"/>
    </row>
    <row r="158" spans="3:5" ht="15.75" customHeight="1" x14ac:dyDescent="0.2">
      <c r="C158" s="26"/>
      <c r="D158" s="28"/>
      <c r="E158" s="21"/>
    </row>
    <row r="159" spans="3:5" ht="15.75" customHeight="1" x14ac:dyDescent="0.2">
      <c r="C159" s="26"/>
      <c r="D159" s="28"/>
      <c r="E159" s="21"/>
    </row>
    <row r="160" spans="3:5" ht="15.75" customHeight="1" x14ac:dyDescent="0.2">
      <c r="C160" s="26"/>
      <c r="D160" s="28"/>
      <c r="E160" s="21"/>
    </row>
    <row r="161" spans="3:5" ht="15.75" customHeight="1" x14ac:dyDescent="0.2">
      <c r="C161" s="26"/>
      <c r="D161" s="28"/>
      <c r="E161" s="21"/>
    </row>
    <row r="162" spans="3:5" ht="15.75" customHeight="1" x14ac:dyDescent="0.2">
      <c r="C162" s="26"/>
      <c r="D162" s="28"/>
      <c r="E162" s="21"/>
    </row>
    <row r="163" spans="3:5" ht="15.75" customHeight="1" x14ac:dyDescent="0.2">
      <c r="C163" s="26"/>
      <c r="D163" s="28"/>
      <c r="E163" s="21"/>
    </row>
    <row r="164" spans="3:5" ht="15.75" customHeight="1" x14ac:dyDescent="0.2">
      <c r="C164" s="26"/>
      <c r="D164" s="28"/>
      <c r="E164" s="21"/>
    </row>
    <row r="165" spans="3:5" ht="15.75" customHeight="1" x14ac:dyDescent="0.2">
      <c r="C165" s="26"/>
      <c r="D165" s="28"/>
      <c r="E165" s="21"/>
    </row>
    <row r="166" spans="3:5" ht="15.75" customHeight="1" x14ac:dyDescent="0.2">
      <c r="C166" s="26"/>
      <c r="D166" s="28"/>
      <c r="E166" s="21"/>
    </row>
    <row r="167" spans="3:5" ht="15.75" customHeight="1" x14ac:dyDescent="0.2">
      <c r="C167" s="26"/>
      <c r="D167" s="28"/>
      <c r="E167" s="21"/>
    </row>
    <row r="168" spans="3:5" ht="15.75" customHeight="1" x14ac:dyDescent="0.2">
      <c r="C168" s="26"/>
      <c r="D168" s="28"/>
      <c r="E168" s="21"/>
    </row>
    <row r="169" spans="3:5" ht="15.75" customHeight="1" x14ac:dyDescent="0.2">
      <c r="C169" s="26"/>
      <c r="D169" s="28"/>
      <c r="E169" s="21"/>
    </row>
    <row r="170" spans="3:5" ht="15.75" customHeight="1" x14ac:dyDescent="0.2">
      <c r="C170" s="26"/>
      <c r="D170" s="28"/>
      <c r="E170" s="21"/>
    </row>
    <row r="171" spans="3:5" ht="15.75" customHeight="1" x14ac:dyDescent="0.2">
      <c r="C171" s="26"/>
      <c r="D171" s="28"/>
      <c r="E171" s="21"/>
    </row>
    <row r="172" spans="3:5" ht="15.75" customHeight="1" x14ac:dyDescent="0.2">
      <c r="C172" s="26"/>
      <c r="D172" s="28"/>
      <c r="E172" s="21"/>
    </row>
    <row r="173" spans="3:5" ht="15.75" customHeight="1" x14ac:dyDescent="0.2">
      <c r="C173" s="26"/>
      <c r="D173" s="28"/>
      <c r="E173" s="21"/>
    </row>
    <row r="174" spans="3:5" ht="15.75" customHeight="1" x14ac:dyDescent="0.2">
      <c r="C174" s="26"/>
      <c r="D174" s="28"/>
      <c r="E174" s="21"/>
    </row>
    <row r="175" spans="3:5" ht="15.75" customHeight="1" x14ac:dyDescent="0.2">
      <c r="C175" s="26"/>
      <c r="D175" s="28"/>
      <c r="E175" s="21"/>
    </row>
    <row r="176" spans="3:5" ht="15.75" customHeight="1" x14ac:dyDescent="0.2">
      <c r="C176" s="26"/>
      <c r="D176" s="28"/>
      <c r="E176" s="21"/>
    </row>
    <row r="177" spans="3:5" ht="15.75" customHeight="1" x14ac:dyDescent="0.2">
      <c r="C177" s="26"/>
      <c r="D177" s="28"/>
      <c r="E177" s="21"/>
    </row>
    <row r="178" spans="3:5" ht="15.75" customHeight="1" x14ac:dyDescent="0.2">
      <c r="C178" s="26"/>
      <c r="D178" s="28"/>
      <c r="E178" s="21"/>
    </row>
    <row r="179" spans="3:5" ht="15.75" customHeight="1" x14ac:dyDescent="0.2">
      <c r="C179" s="26"/>
      <c r="D179" s="28"/>
      <c r="E179" s="21"/>
    </row>
    <row r="180" spans="3:5" ht="15.75" customHeight="1" x14ac:dyDescent="0.2">
      <c r="C180" s="26"/>
      <c r="D180" s="28"/>
      <c r="E180" s="21"/>
    </row>
    <row r="181" spans="3:5" ht="15.75" customHeight="1" x14ac:dyDescent="0.2">
      <c r="C181" s="26"/>
      <c r="D181" s="28"/>
      <c r="E181" s="21"/>
    </row>
    <row r="182" spans="3:5" ht="15.75" customHeight="1" x14ac:dyDescent="0.2">
      <c r="C182" s="26"/>
      <c r="D182" s="28"/>
      <c r="E182" s="21"/>
    </row>
    <row r="183" spans="3:5" ht="15.75" customHeight="1" x14ac:dyDescent="0.2">
      <c r="C183" s="26"/>
      <c r="D183" s="28"/>
      <c r="E183" s="21"/>
    </row>
    <row r="184" spans="3:5" ht="15.75" customHeight="1" x14ac:dyDescent="0.2">
      <c r="C184" s="26"/>
      <c r="D184" s="28"/>
      <c r="E184" s="21"/>
    </row>
    <row r="185" spans="3:5" ht="15.75" customHeight="1" x14ac:dyDescent="0.2">
      <c r="C185" s="26"/>
      <c r="D185" s="28"/>
      <c r="E185" s="21"/>
    </row>
    <row r="186" spans="3:5" ht="15.75" customHeight="1" x14ac:dyDescent="0.2">
      <c r="C186" s="26"/>
      <c r="D186" s="28"/>
      <c r="E186" s="21"/>
    </row>
    <row r="187" spans="3:5" ht="15.75" customHeight="1" x14ac:dyDescent="0.2">
      <c r="C187" s="26"/>
      <c r="D187" s="28"/>
      <c r="E187" s="21"/>
    </row>
    <row r="188" spans="3:5" ht="15.75" customHeight="1" x14ac:dyDescent="0.2">
      <c r="C188" s="26"/>
      <c r="D188" s="28"/>
      <c r="E188" s="21"/>
    </row>
    <row r="189" spans="3:5" ht="15.75" customHeight="1" x14ac:dyDescent="0.2">
      <c r="C189" s="26"/>
      <c r="D189" s="28"/>
      <c r="E189" s="21"/>
    </row>
    <row r="190" spans="3:5" ht="15.75" customHeight="1" x14ac:dyDescent="0.2">
      <c r="C190" s="26"/>
      <c r="D190" s="28"/>
      <c r="E190" s="21"/>
    </row>
    <row r="191" spans="3:5" ht="15.75" customHeight="1" x14ac:dyDescent="0.2">
      <c r="C191" s="26"/>
      <c r="D191" s="28"/>
      <c r="E191" s="21"/>
    </row>
    <row r="192" spans="3:5" ht="15.75" customHeight="1" x14ac:dyDescent="0.2">
      <c r="C192" s="26"/>
      <c r="D192" s="28"/>
      <c r="E192" s="21"/>
    </row>
    <row r="193" spans="3:5" ht="15.75" customHeight="1" x14ac:dyDescent="0.2">
      <c r="C193" s="26"/>
      <c r="D193" s="28"/>
      <c r="E193" s="21"/>
    </row>
    <row r="194" spans="3:5" ht="15.75" customHeight="1" x14ac:dyDescent="0.2">
      <c r="C194" s="26"/>
      <c r="D194" s="28"/>
      <c r="E194" s="21"/>
    </row>
    <row r="195" spans="3:5" ht="15.75" customHeight="1" x14ac:dyDescent="0.2">
      <c r="C195" s="26"/>
      <c r="D195" s="28"/>
      <c r="E195" s="21"/>
    </row>
    <row r="196" spans="3:5" ht="15.75" customHeight="1" x14ac:dyDescent="0.2">
      <c r="C196" s="26"/>
      <c r="D196" s="28"/>
      <c r="E196" s="21"/>
    </row>
    <row r="197" spans="3:5" ht="15.75" customHeight="1" x14ac:dyDescent="0.2">
      <c r="C197" s="26"/>
      <c r="D197" s="28"/>
      <c r="E197" s="21"/>
    </row>
    <row r="198" spans="3:5" ht="15.75" customHeight="1" x14ac:dyDescent="0.2">
      <c r="C198" s="26"/>
      <c r="D198" s="28"/>
      <c r="E198" s="21"/>
    </row>
    <row r="199" spans="3:5" ht="15.75" customHeight="1" x14ac:dyDescent="0.2">
      <c r="C199" s="26"/>
      <c r="D199" s="28"/>
      <c r="E199" s="21"/>
    </row>
    <row r="200" spans="3:5" ht="15.75" customHeight="1" x14ac:dyDescent="0.2">
      <c r="C200" s="26"/>
      <c r="D200" s="28"/>
      <c r="E200" s="21"/>
    </row>
    <row r="201" spans="3:5" ht="15.75" customHeight="1" x14ac:dyDescent="0.2">
      <c r="C201" s="26"/>
      <c r="D201" s="28"/>
      <c r="E201" s="21"/>
    </row>
    <row r="202" spans="3:5" ht="15.75" customHeight="1" x14ac:dyDescent="0.2">
      <c r="C202" s="26"/>
      <c r="D202" s="28"/>
      <c r="E202" s="21"/>
    </row>
    <row r="203" spans="3:5" ht="15.75" customHeight="1" x14ac:dyDescent="0.2">
      <c r="C203" s="26"/>
      <c r="D203" s="28"/>
      <c r="E203" s="21"/>
    </row>
    <row r="204" spans="3:5" ht="15.75" customHeight="1" x14ac:dyDescent="0.2">
      <c r="C204" s="26"/>
      <c r="D204" s="28"/>
      <c r="E204" s="21"/>
    </row>
    <row r="205" spans="3:5" ht="15.75" customHeight="1" x14ac:dyDescent="0.2">
      <c r="C205" s="26"/>
      <c r="D205" s="28"/>
      <c r="E205" s="21"/>
    </row>
    <row r="206" spans="3:5" ht="15.75" customHeight="1" x14ac:dyDescent="0.2">
      <c r="C206" s="26"/>
      <c r="D206" s="28"/>
      <c r="E206" s="21"/>
    </row>
    <row r="207" spans="3:5" ht="15.75" customHeight="1" x14ac:dyDescent="0.2">
      <c r="C207" s="26"/>
      <c r="D207" s="28"/>
      <c r="E207" s="21"/>
    </row>
    <row r="208" spans="3:5" ht="15.75" customHeight="1" x14ac:dyDescent="0.2">
      <c r="C208" s="26"/>
      <c r="D208" s="28"/>
      <c r="E208" s="21"/>
    </row>
    <row r="209" spans="3:5" ht="15.75" customHeight="1" x14ac:dyDescent="0.2">
      <c r="C209" s="26"/>
      <c r="D209" s="28"/>
      <c r="E209" s="21"/>
    </row>
    <row r="210" spans="3:5" ht="15.75" customHeight="1" x14ac:dyDescent="0.2">
      <c r="C210" s="26"/>
      <c r="D210" s="28"/>
      <c r="E210" s="21"/>
    </row>
    <row r="211" spans="3:5" ht="15.75" customHeight="1" x14ac:dyDescent="0.2">
      <c r="C211" s="26"/>
      <c r="D211" s="28"/>
      <c r="E211" s="21"/>
    </row>
    <row r="212" spans="3:5" ht="15.75" customHeight="1" x14ac:dyDescent="0.2">
      <c r="C212" s="26"/>
      <c r="D212" s="28"/>
      <c r="E212" s="21"/>
    </row>
    <row r="213" spans="3:5" ht="15.75" customHeight="1" x14ac:dyDescent="0.2">
      <c r="C213" s="26"/>
      <c r="D213" s="28"/>
      <c r="E213" s="21"/>
    </row>
    <row r="214" spans="3:5" ht="15.75" customHeight="1" x14ac:dyDescent="0.2">
      <c r="C214" s="26"/>
      <c r="D214" s="28"/>
      <c r="E214" s="21"/>
    </row>
    <row r="215" spans="3:5" ht="15.75" customHeight="1" x14ac:dyDescent="0.2">
      <c r="C215" s="26"/>
      <c r="D215" s="28"/>
      <c r="E215" s="21"/>
    </row>
    <row r="216" spans="3:5" ht="15.75" customHeight="1" x14ac:dyDescent="0.2">
      <c r="C216" s="26"/>
      <c r="D216" s="28"/>
      <c r="E216" s="21"/>
    </row>
    <row r="217" spans="3:5" ht="15.75" customHeight="1" x14ac:dyDescent="0.2">
      <c r="C217" s="26"/>
      <c r="D217" s="28"/>
      <c r="E217" s="21"/>
    </row>
    <row r="218" spans="3:5" ht="15.75" customHeight="1" x14ac:dyDescent="0.2">
      <c r="C218" s="26"/>
      <c r="D218" s="28"/>
      <c r="E218" s="21"/>
    </row>
    <row r="219" spans="3:5" ht="15.75" customHeight="1" x14ac:dyDescent="0.2">
      <c r="C219" s="26"/>
      <c r="D219" s="28"/>
      <c r="E219" s="21"/>
    </row>
    <row r="220" spans="3:5" ht="15.75" customHeight="1" x14ac:dyDescent="0.2">
      <c r="C220" s="26"/>
      <c r="D220" s="28"/>
      <c r="E220" s="21"/>
    </row>
    <row r="221" spans="3:5" ht="15.75" customHeight="1" x14ac:dyDescent="0.2">
      <c r="C221" s="26"/>
      <c r="D221" s="28"/>
      <c r="E221" s="21"/>
    </row>
    <row r="222" spans="3:5" ht="15.75" customHeight="1" x14ac:dyDescent="0.2">
      <c r="C222" s="26"/>
      <c r="D222" s="28"/>
      <c r="E222" s="21"/>
    </row>
    <row r="223" spans="3:5" ht="15.75" customHeight="1" x14ac:dyDescent="0.2">
      <c r="C223" s="26"/>
      <c r="D223" s="28"/>
      <c r="E223" s="21"/>
    </row>
    <row r="224" spans="3:5" ht="15.75" customHeight="1" x14ac:dyDescent="0.2">
      <c r="C224" s="26"/>
      <c r="D224" s="28"/>
      <c r="E224" s="21"/>
    </row>
    <row r="225" spans="3:5" ht="15.75" customHeight="1" x14ac:dyDescent="0.2">
      <c r="C225" s="26"/>
      <c r="D225" s="28"/>
      <c r="E225" s="21"/>
    </row>
    <row r="226" spans="3:5" ht="15.75" customHeight="1" x14ac:dyDescent="0.2">
      <c r="C226" s="26"/>
      <c r="D226" s="28"/>
      <c r="E226" s="21"/>
    </row>
    <row r="227" spans="3:5" ht="15.75" customHeight="1" x14ac:dyDescent="0.2">
      <c r="C227" s="26"/>
      <c r="D227" s="28"/>
      <c r="E227" s="21"/>
    </row>
    <row r="228" spans="3:5" ht="15.75" customHeight="1" x14ac:dyDescent="0.2">
      <c r="C228" s="26"/>
      <c r="D228" s="28"/>
      <c r="E228" s="21"/>
    </row>
    <row r="229" spans="3:5" ht="15.75" customHeight="1" x14ac:dyDescent="0.2">
      <c r="C229" s="26"/>
      <c r="D229" s="28"/>
      <c r="E229" s="21"/>
    </row>
    <row r="230" spans="3:5" ht="15.75" customHeight="1" x14ac:dyDescent="0.2">
      <c r="C230" s="26"/>
      <c r="D230" s="28"/>
      <c r="E230" s="21"/>
    </row>
    <row r="231" spans="3:5" ht="15.75" customHeight="1" x14ac:dyDescent="0.2">
      <c r="C231" s="26"/>
      <c r="D231" s="28"/>
      <c r="E231" s="21"/>
    </row>
    <row r="232" spans="3:5" ht="15.75" customHeight="1" x14ac:dyDescent="0.2">
      <c r="C232" s="26"/>
      <c r="D232" s="28"/>
      <c r="E232" s="21"/>
    </row>
    <row r="233" spans="3:5" ht="15.75" customHeight="1" x14ac:dyDescent="0.2">
      <c r="C233" s="26"/>
      <c r="D233" s="28"/>
      <c r="E233" s="21"/>
    </row>
    <row r="234" spans="3:5" ht="15.75" customHeight="1" x14ac:dyDescent="0.2">
      <c r="C234" s="26"/>
      <c r="D234" s="28"/>
      <c r="E234" s="21"/>
    </row>
    <row r="235" spans="3:5" ht="15.75" customHeight="1" x14ac:dyDescent="0.2">
      <c r="C235" s="26"/>
      <c r="D235" s="28"/>
      <c r="E235" s="21"/>
    </row>
    <row r="236" spans="3:5" ht="15.75" customHeight="1" x14ac:dyDescent="0.2">
      <c r="C236" s="26"/>
      <c r="D236" s="28"/>
      <c r="E236" s="21"/>
    </row>
    <row r="237" spans="3:5" ht="15.75" customHeight="1" x14ac:dyDescent="0.2">
      <c r="C237" s="26"/>
      <c r="D237" s="28"/>
      <c r="E237" s="21"/>
    </row>
    <row r="238" spans="3:5" ht="15.75" customHeight="1" x14ac:dyDescent="0.2">
      <c r="C238" s="26"/>
      <c r="D238" s="28"/>
      <c r="E238" s="21"/>
    </row>
    <row r="239" spans="3:5" ht="15.75" customHeight="1" x14ac:dyDescent="0.2">
      <c r="C239" s="26"/>
      <c r="D239" s="28"/>
      <c r="E239" s="21"/>
    </row>
    <row r="240" spans="3:5" ht="15.75" customHeight="1" x14ac:dyDescent="0.2">
      <c r="C240" s="26"/>
      <c r="D240" s="28"/>
      <c r="E240" s="21"/>
    </row>
    <row r="241" spans="3:5" ht="15.75" customHeight="1" x14ac:dyDescent="0.2">
      <c r="C241" s="26"/>
      <c r="D241" s="28"/>
      <c r="E241" s="21"/>
    </row>
    <row r="242" spans="3:5" ht="15.75" customHeight="1" x14ac:dyDescent="0.2">
      <c r="C242" s="26"/>
      <c r="D242" s="28"/>
      <c r="E242" s="21"/>
    </row>
    <row r="243" spans="3:5" ht="15.75" customHeight="1" x14ac:dyDescent="0.2">
      <c r="C243" s="26"/>
      <c r="D243" s="28"/>
      <c r="E243" s="21"/>
    </row>
    <row r="244" spans="3:5" ht="15.75" customHeight="1" x14ac:dyDescent="0.2">
      <c r="C244" s="26"/>
      <c r="D244" s="28"/>
      <c r="E244" s="21"/>
    </row>
    <row r="245" spans="3:5" ht="15.75" customHeight="1" x14ac:dyDescent="0.2">
      <c r="C245" s="26"/>
      <c r="D245" s="28"/>
      <c r="E245" s="21"/>
    </row>
    <row r="246" spans="3:5" ht="15.75" customHeight="1" x14ac:dyDescent="0.2">
      <c r="C246" s="26"/>
      <c r="D246" s="28"/>
      <c r="E246" s="21"/>
    </row>
    <row r="247" spans="3:5" ht="15.75" customHeight="1" x14ac:dyDescent="0.2">
      <c r="C247" s="26"/>
      <c r="D247" s="28"/>
      <c r="E247" s="21"/>
    </row>
    <row r="248" spans="3:5" ht="15.75" customHeight="1" x14ac:dyDescent="0.2">
      <c r="C248" s="26"/>
      <c r="D248" s="28"/>
      <c r="E248" s="21"/>
    </row>
    <row r="249" spans="3:5" ht="15.75" customHeight="1" x14ac:dyDescent="0.2">
      <c r="C249" s="26"/>
      <c r="D249" s="28"/>
      <c r="E249" s="21"/>
    </row>
    <row r="250" spans="3:5" ht="15.75" customHeight="1" x14ac:dyDescent="0.2">
      <c r="C250" s="26"/>
      <c r="D250" s="28"/>
      <c r="E250" s="21"/>
    </row>
    <row r="251" spans="3:5" ht="15.75" customHeight="1" x14ac:dyDescent="0.2">
      <c r="C251" s="26"/>
      <c r="D251" s="28"/>
      <c r="E251" s="21"/>
    </row>
    <row r="252" spans="3:5" ht="15.75" customHeight="1" x14ac:dyDescent="0.2">
      <c r="C252" s="26"/>
      <c r="D252" s="28"/>
      <c r="E252" s="21"/>
    </row>
    <row r="253" spans="3:5" ht="15.75" customHeight="1" x14ac:dyDescent="0.2">
      <c r="C253" s="26"/>
      <c r="D253" s="28"/>
      <c r="E253" s="21"/>
    </row>
    <row r="254" spans="3:5" ht="15.75" customHeight="1" x14ac:dyDescent="0.2">
      <c r="C254" s="26"/>
      <c r="D254" s="28"/>
      <c r="E254" s="21"/>
    </row>
    <row r="255" spans="3:5" ht="15.75" customHeight="1" x14ac:dyDescent="0.2">
      <c r="C255" s="26"/>
      <c r="D255" s="28"/>
      <c r="E255" s="21"/>
    </row>
    <row r="256" spans="3:5" ht="15.75" customHeight="1" x14ac:dyDescent="0.2">
      <c r="C256" s="26"/>
      <c r="D256" s="28"/>
      <c r="E256" s="21"/>
    </row>
    <row r="257" spans="3:5" ht="15.75" customHeight="1" x14ac:dyDescent="0.2">
      <c r="C257" s="26"/>
      <c r="D257" s="28"/>
      <c r="E257" s="21"/>
    </row>
    <row r="258" spans="3:5" ht="15.75" customHeight="1" x14ac:dyDescent="0.2">
      <c r="C258" s="26"/>
      <c r="D258" s="28"/>
      <c r="E258" s="21"/>
    </row>
    <row r="259" spans="3:5" ht="15.75" customHeight="1" x14ac:dyDescent="0.2">
      <c r="C259" s="26"/>
      <c r="D259" s="28"/>
      <c r="E259" s="21"/>
    </row>
    <row r="260" spans="3:5" ht="15.75" customHeight="1" x14ac:dyDescent="0.2">
      <c r="C260" s="26"/>
      <c r="D260" s="28"/>
      <c r="E260" s="21"/>
    </row>
    <row r="261" spans="3:5" ht="15.75" customHeight="1" x14ac:dyDescent="0.2">
      <c r="C261" s="26"/>
      <c r="D261" s="28"/>
      <c r="E261" s="21"/>
    </row>
    <row r="262" spans="3:5" ht="15.75" customHeight="1" x14ac:dyDescent="0.2">
      <c r="C262" s="26"/>
      <c r="D262" s="28"/>
      <c r="E262" s="21"/>
    </row>
    <row r="263" spans="3:5" ht="15.75" customHeight="1" x14ac:dyDescent="0.2">
      <c r="C263" s="26"/>
      <c r="D263" s="28"/>
      <c r="E263" s="21"/>
    </row>
    <row r="264" spans="3:5" ht="15.75" customHeight="1" x14ac:dyDescent="0.2">
      <c r="C264" s="26"/>
      <c r="D264" s="28"/>
      <c r="E264" s="21"/>
    </row>
    <row r="265" spans="3:5" ht="15.75" customHeight="1" x14ac:dyDescent="0.2">
      <c r="C265" s="26"/>
      <c r="D265" s="28"/>
      <c r="E265" s="21"/>
    </row>
    <row r="266" spans="3:5" ht="15.75" customHeight="1" x14ac:dyDescent="0.2">
      <c r="C266" s="26"/>
      <c r="D266" s="28"/>
      <c r="E266" s="21"/>
    </row>
    <row r="267" spans="3:5" ht="15.75" customHeight="1" x14ac:dyDescent="0.2">
      <c r="C267" s="26"/>
      <c r="D267" s="28"/>
      <c r="E267" s="21"/>
    </row>
    <row r="268" spans="3:5" ht="15.75" customHeight="1" x14ac:dyDescent="0.2">
      <c r="C268" s="26"/>
      <c r="D268" s="28"/>
      <c r="E268" s="21"/>
    </row>
    <row r="269" spans="3:5" ht="15.75" customHeight="1" x14ac:dyDescent="0.2">
      <c r="C269" s="26"/>
      <c r="D269" s="28"/>
      <c r="E269" s="21"/>
    </row>
    <row r="270" spans="3:5" ht="15.75" customHeight="1" x14ac:dyDescent="0.2">
      <c r="C270" s="26"/>
      <c r="D270" s="28"/>
      <c r="E270" s="21"/>
    </row>
    <row r="271" spans="3:5" ht="15.75" customHeight="1" x14ac:dyDescent="0.2">
      <c r="C271" s="26"/>
      <c r="D271" s="28"/>
      <c r="E271" s="21"/>
    </row>
    <row r="272" spans="3:5" ht="15.75" customHeight="1" x14ac:dyDescent="0.2">
      <c r="C272" s="26"/>
      <c r="D272" s="28"/>
      <c r="E272" s="21"/>
    </row>
    <row r="273" spans="3:5" ht="15.75" customHeight="1" x14ac:dyDescent="0.2">
      <c r="C273" s="26"/>
      <c r="D273" s="28"/>
      <c r="E273" s="21"/>
    </row>
    <row r="274" spans="3:5" ht="15.75" customHeight="1" x14ac:dyDescent="0.2">
      <c r="C274" s="26"/>
      <c r="D274" s="28"/>
      <c r="E274" s="21"/>
    </row>
    <row r="275" spans="3:5" ht="15.75" customHeight="1" x14ac:dyDescent="0.2">
      <c r="C275" s="26"/>
      <c r="D275" s="28"/>
      <c r="E275" s="21"/>
    </row>
    <row r="276" spans="3:5" ht="15.75" customHeight="1" x14ac:dyDescent="0.2">
      <c r="C276" s="26"/>
      <c r="D276" s="28"/>
      <c r="E276" s="21"/>
    </row>
    <row r="277" spans="3:5" ht="15.75" customHeight="1" x14ac:dyDescent="0.2">
      <c r="C277" s="26"/>
      <c r="D277" s="28"/>
      <c r="E277" s="21"/>
    </row>
    <row r="278" spans="3:5" ht="15.75" customHeight="1" x14ac:dyDescent="0.2">
      <c r="C278" s="26"/>
      <c r="D278" s="28"/>
      <c r="E278" s="21"/>
    </row>
    <row r="279" spans="3:5" ht="15.75" customHeight="1" x14ac:dyDescent="0.2">
      <c r="C279" s="26"/>
      <c r="D279" s="28"/>
      <c r="E279" s="21"/>
    </row>
    <row r="280" spans="3:5" ht="15.75" customHeight="1" x14ac:dyDescent="0.2">
      <c r="C280" s="26"/>
      <c r="D280" s="28"/>
      <c r="E280" s="21"/>
    </row>
    <row r="281" spans="3:5" ht="15.75" customHeight="1" x14ac:dyDescent="0.2">
      <c r="C281" s="26"/>
      <c r="D281" s="28"/>
      <c r="E281" s="21"/>
    </row>
    <row r="282" spans="3:5" ht="15.75" customHeight="1" x14ac:dyDescent="0.2">
      <c r="C282" s="26"/>
      <c r="D282" s="28"/>
      <c r="E282" s="21"/>
    </row>
    <row r="283" spans="3:5" ht="15.75" customHeight="1" x14ac:dyDescent="0.2">
      <c r="C283" s="26"/>
      <c r="D283" s="28"/>
      <c r="E283" s="21"/>
    </row>
    <row r="284" spans="3:5" ht="15.75" customHeight="1" x14ac:dyDescent="0.2">
      <c r="C284" s="26"/>
      <c r="D284" s="28"/>
      <c r="E284" s="21"/>
    </row>
    <row r="285" spans="3:5" ht="15.75" customHeight="1" x14ac:dyDescent="0.2">
      <c r="C285" s="26"/>
      <c r="D285" s="28"/>
      <c r="E285" s="21"/>
    </row>
    <row r="286" spans="3:5" ht="15.75" customHeight="1" x14ac:dyDescent="0.2">
      <c r="C286" s="26"/>
      <c r="D286" s="28"/>
      <c r="E286" s="21"/>
    </row>
    <row r="287" spans="3:5" ht="15.75" customHeight="1" x14ac:dyDescent="0.2">
      <c r="C287" s="26"/>
      <c r="D287" s="28"/>
      <c r="E287" s="21"/>
    </row>
    <row r="288" spans="3:5" ht="15.75" customHeight="1" x14ac:dyDescent="0.2">
      <c r="C288" s="26"/>
      <c r="D288" s="28"/>
      <c r="E288" s="21"/>
    </row>
    <row r="289" spans="3:5" ht="15.75" customHeight="1" x14ac:dyDescent="0.2">
      <c r="C289" s="26"/>
      <c r="D289" s="28"/>
      <c r="E289" s="21"/>
    </row>
    <row r="290" spans="3:5" ht="15.75" customHeight="1" x14ac:dyDescent="0.2">
      <c r="C290" s="26"/>
      <c r="D290" s="28"/>
      <c r="E290" s="21"/>
    </row>
    <row r="291" spans="3:5" ht="15.75" customHeight="1" x14ac:dyDescent="0.2">
      <c r="C291" s="26"/>
      <c r="D291" s="28"/>
      <c r="E291" s="21"/>
    </row>
    <row r="292" spans="3:5" ht="15.75" customHeight="1" x14ac:dyDescent="0.2">
      <c r="C292" s="26"/>
      <c r="D292" s="28"/>
      <c r="E292" s="21"/>
    </row>
    <row r="293" spans="3:5" ht="15.75" customHeight="1" x14ac:dyDescent="0.2">
      <c r="C293" s="26"/>
      <c r="D293" s="28"/>
      <c r="E293" s="21"/>
    </row>
    <row r="294" spans="3:5" ht="15.75" customHeight="1" x14ac:dyDescent="0.2">
      <c r="C294" s="26"/>
      <c r="D294" s="28"/>
      <c r="E294" s="21"/>
    </row>
    <row r="295" spans="3:5" ht="15.75" customHeight="1" x14ac:dyDescent="0.2">
      <c r="C295" s="26"/>
      <c r="D295" s="28"/>
      <c r="E295" s="21"/>
    </row>
    <row r="296" spans="3:5" ht="15.75" customHeight="1" x14ac:dyDescent="0.2">
      <c r="C296" s="26"/>
      <c r="D296" s="28"/>
      <c r="E296" s="21"/>
    </row>
    <row r="297" spans="3:5" ht="15.75" customHeight="1" x14ac:dyDescent="0.2">
      <c r="C297" s="26"/>
      <c r="D297" s="28"/>
      <c r="E297" s="21"/>
    </row>
    <row r="298" spans="3:5" ht="15.75" customHeight="1" x14ac:dyDescent="0.2">
      <c r="C298" s="26"/>
      <c r="D298" s="28"/>
      <c r="E298" s="21"/>
    </row>
    <row r="299" spans="3:5" ht="15.75" customHeight="1" x14ac:dyDescent="0.2">
      <c r="C299" s="26"/>
      <c r="D299" s="28"/>
      <c r="E299" s="21"/>
    </row>
    <row r="300" spans="3:5" ht="15.75" customHeight="1" x14ac:dyDescent="0.2">
      <c r="C300" s="26"/>
      <c r="D300" s="28"/>
      <c r="E300" s="21"/>
    </row>
    <row r="301" spans="3:5" ht="15.75" customHeight="1" x14ac:dyDescent="0.2">
      <c r="C301" s="26"/>
      <c r="D301" s="28"/>
      <c r="E301" s="21"/>
    </row>
    <row r="302" spans="3:5" ht="15.75" customHeight="1" x14ac:dyDescent="0.2">
      <c r="C302" s="26"/>
      <c r="D302" s="28"/>
      <c r="E302" s="21"/>
    </row>
    <row r="303" spans="3:5" ht="15.75" customHeight="1" x14ac:dyDescent="0.2">
      <c r="C303" s="26"/>
      <c r="D303" s="28"/>
      <c r="E303" s="21"/>
    </row>
    <row r="304" spans="3:5" ht="15.75" customHeight="1" x14ac:dyDescent="0.2">
      <c r="C304" s="26"/>
      <c r="D304" s="28"/>
      <c r="E304" s="21"/>
    </row>
    <row r="305" spans="3:5" ht="15.75" customHeight="1" x14ac:dyDescent="0.2">
      <c r="C305" s="26"/>
      <c r="D305" s="28"/>
      <c r="E305" s="21"/>
    </row>
    <row r="306" spans="3:5" ht="15.75" customHeight="1" x14ac:dyDescent="0.2">
      <c r="C306" s="26"/>
      <c r="D306" s="28"/>
      <c r="E306" s="21"/>
    </row>
    <row r="307" spans="3:5" ht="15.75" customHeight="1" x14ac:dyDescent="0.2">
      <c r="C307" s="26"/>
      <c r="D307" s="28"/>
      <c r="E307" s="21"/>
    </row>
    <row r="308" spans="3:5" ht="15.75" customHeight="1" x14ac:dyDescent="0.2">
      <c r="C308" s="26"/>
      <c r="D308" s="28"/>
      <c r="E308" s="21"/>
    </row>
    <row r="309" spans="3:5" ht="15.75" customHeight="1" x14ac:dyDescent="0.2">
      <c r="C309" s="26"/>
      <c r="D309" s="28"/>
      <c r="E309" s="21"/>
    </row>
    <row r="310" spans="3:5" ht="15.75" customHeight="1" x14ac:dyDescent="0.2">
      <c r="C310" s="26"/>
      <c r="D310" s="28"/>
      <c r="E310" s="21"/>
    </row>
    <row r="311" spans="3:5" ht="15.75" customHeight="1" x14ac:dyDescent="0.2">
      <c r="C311" s="26"/>
      <c r="D311" s="28"/>
      <c r="E311" s="21"/>
    </row>
    <row r="312" spans="3:5" ht="15.75" customHeight="1" x14ac:dyDescent="0.2">
      <c r="C312" s="26"/>
      <c r="D312" s="28"/>
      <c r="E312" s="21"/>
    </row>
    <row r="313" spans="3:5" ht="15.75" customHeight="1" x14ac:dyDescent="0.2">
      <c r="C313" s="26"/>
      <c r="D313" s="28"/>
      <c r="E313" s="21"/>
    </row>
    <row r="314" spans="3:5" ht="15.75" customHeight="1" x14ac:dyDescent="0.2">
      <c r="C314" s="26"/>
      <c r="D314" s="28"/>
      <c r="E314" s="21"/>
    </row>
    <row r="315" spans="3:5" ht="15.75" customHeight="1" x14ac:dyDescent="0.2">
      <c r="C315" s="26"/>
      <c r="D315" s="28"/>
      <c r="E315" s="21"/>
    </row>
    <row r="316" spans="3:5" ht="15.75" customHeight="1" x14ac:dyDescent="0.2">
      <c r="C316" s="26"/>
      <c r="D316" s="28"/>
      <c r="E316" s="21"/>
    </row>
    <row r="317" spans="3:5" ht="15.75" customHeight="1" x14ac:dyDescent="0.2">
      <c r="C317" s="26"/>
      <c r="D317" s="28"/>
      <c r="E317" s="21"/>
    </row>
    <row r="318" spans="3:5" ht="15.75" customHeight="1" x14ac:dyDescent="0.2">
      <c r="C318" s="26"/>
      <c r="D318" s="28"/>
      <c r="E318" s="21"/>
    </row>
    <row r="319" spans="3:5" ht="15.75" customHeight="1" x14ac:dyDescent="0.2">
      <c r="C319" s="26"/>
      <c r="D319" s="28"/>
      <c r="E319" s="21"/>
    </row>
    <row r="320" spans="3:5" ht="15.75" customHeight="1" x14ac:dyDescent="0.2">
      <c r="C320" s="26"/>
      <c r="D320" s="28"/>
      <c r="E320" s="21"/>
    </row>
    <row r="321" spans="3:5" ht="15.75" customHeight="1" x14ac:dyDescent="0.2">
      <c r="C321" s="26"/>
      <c r="D321" s="28"/>
      <c r="E321" s="21"/>
    </row>
    <row r="322" spans="3:5" ht="15.75" customHeight="1" x14ac:dyDescent="0.2">
      <c r="C322" s="26"/>
      <c r="D322" s="28"/>
      <c r="E322" s="21"/>
    </row>
    <row r="323" spans="3:5" ht="15.75" customHeight="1" x14ac:dyDescent="0.2">
      <c r="C323" s="26"/>
      <c r="D323" s="28"/>
      <c r="E323" s="21"/>
    </row>
    <row r="324" spans="3:5" ht="15.75" customHeight="1" x14ac:dyDescent="0.2">
      <c r="C324" s="26"/>
      <c r="D324" s="28"/>
      <c r="E324" s="21"/>
    </row>
    <row r="325" spans="3:5" ht="15.75" customHeight="1" x14ac:dyDescent="0.2">
      <c r="C325" s="26"/>
      <c r="D325" s="28"/>
      <c r="E325" s="21"/>
    </row>
    <row r="326" spans="3:5" ht="15.75" customHeight="1" x14ac:dyDescent="0.2">
      <c r="C326" s="26"/>
      <c r="D326" s="28"/>
      <c r="E326" s="21"/>
    </row>
    <row r="327" spans="3:5" ht="15.75" customHeight="1" x14ac:dyDescent="0.2">
      <c r="C327" s="26"/>
      <c r="D327" s="28"/>
      <c r="E327" s="21"/>
    </row>
    <row r="328" spans="3:5" ht="15.75" customHeight="1" x14ac:dyDescent="0.2">
      <c r="C328" s="26"/>
      <c r="D328" s="28"/>
      <c r="E328" s="21"/>
    </row>
    <row r="329" spans="3:5" ht="15.75" customHeight="1" x14ac:dyDescent="0.2">
      <c r="C329" s="26"/>
      <c r="D329" s="28"/>
      <c r="E329" s="21"/>
    </row>
    <row r="330" spans="3:5" ht="15.75" customHeight="1" x14ac:dyDescent="0.2">
      <c r="C330" s="26"/>
      <c r="D330" s="28"/>
      <c r="E330" s="21"/>
    </row>
    <row r="331" spans="3:5" ht="15.75" customHeight="1" x14ac:dyDescent="0.2">
      <c r="C331" s="26"/>
      <c r="D331" s="28"/>
      <c r="E331" s="21"/>
    </row>
    <row r="332" spans="3:5" ht="15.75" customHeight="1" x14ac:dyDescent="0.2">
      <c r="C332" s="26"/>
      <c r="D332" s="28"/>
      <c r="E332" s="21"/>
    </row>
    <row r="333" spans="3:5" ht="15.75" customHeight="1" x14ac:dyDescent="0.2">
      <c r="C333" s="26"/>
      <c r="D333" s="28"/>
      <c r="E333" s="21"/>
    </row>
    <row r="334" spans="3:5" ht="15.75" customHeight="1" x14ac:dyDescent="0.2">
      <c r="C334" s="26"/>
      <c r="D334" s="28"/>
      <c r="E334" s="21"/>
    </row>
    <row r="335" spans="3:5" ht="15.75" customHeight="1" x14ac:dyDescent="0.2">
      <c r="C335" s="26"/>
      <c r="D335" s="28"/>
      <c r="E335" s="21"/>
    </row>
    <row r="336" spans="3:5" ht="15.75" customHeight="1" x14ac:dyDescent="0.2">
      <c r="C336" s="26"/>
      <c r="D336" s="28"/>
      <c r="E336" s="21"/>
    </row>
    <row r="337" spans="3:5" ht="15.75" customHeight="1" x14ac:dyDescent="0.2">
      <c r="C337" s="26"/>
      <c r="D337" s="28"/>
      <c r="E337" s="21"/>
    </row>
    <row r="338" spans="3:5" ht="15.75" customHeight="1" x14ac:dyDescent="0.2">
      <c r="C338" s="26"/>
      <c r="D338" s="28"/>
      <c r="E338" s="21"/>
    </row>
    <row r="339" spans="3:5" ht="15.75" customHeight="1" x14ac:dyDescent="0.2">
      <c r="C339" s="26"/>
      <c r="D339" s="28"/>
      <c r="E339" s="21"/>
    </row>
    <row r="340" spans="3:5" ht="15.75" customHeight="1" x14ac:dyDescent="0.2">
      <c r="C340" s="26"/>
      <c r="D340" s="28"/>
      <c r="E340" s="21"/>
    </row>
    <row r="341" spans="3:5" ht="15.75" customHeight="1" x14ac:dyDescent="0.2">
      <c r="C341" s="26"/>
      <c r="D341" s="28"/>
      <c r="E341" s="21"/>
    </row>
    <row r="342" spans="3:5" ht="15.75" customHeight="1" x14ac:dyDescent="0.2">
      <c r="C342" s="26"/>
      <c r="D342" s="28"/>
      <c r="E342" s="21"/>
    </row>
    <row r="343" spans="3:5" ht="15.75" customHeight="1" x14ac:dyDescent="0.2">
      <c r="C343" s="26"/>
      <c r="D343" s="28"/>
      <c r="E343" s="21"/>
    </row>
    <row r="344" spans="3:5" ht="15.75" customHeight="1" x14ac:dyDescent="0.2">
      <c r="C344" s="26"/>
      <c r="D344" s="28"/>
      <c r="E344" s="21"/>
    </row>
    <row r="345" spans="3:5" ht="15.75" customHeight="1" x14ac:dyDescent="0.2">
      <c r="C345" s="26"/>
      <c r="D345" s="28"/>
      <c r="E345" s="21"/>
    </row>
    <row r="346" spans="3:5" ht="15.75" customHeight="1" x14ac:dyDescent="0.2">
      <c r="C346" s="26"/>
      <c r="D346" s="28"/>
      <c r="E346" s="21"/>
    </row>
    <row r="347" spans="3:5" ht="15.75" customHeight="1" x14ac:dyDescent="0.2">
      <c r="C347" s="26"/>
      <c r="D347" s="28"/>
      <c r="E347" s="21"/>
    </row>
    <row r="348" spans="3:5" ht="15.75" customHeight="1" x14ac:dyDescent="0.2">
      <c r="C348" s="26"/>
      <c r="D348" s="28"/>
      <c r="E348" s="21"/>
    </row>
    <row r="349" spans="3:5" ht="15.75" customHeight="1" x14ac:dyDescent="0.2">
      <c r="C349" s="26"/>
      <c r="D349" s="28"/>
      <c r="E349" s="21"/>
    </row>
    <row r="350" spans="3:5" ht="15.75" customHeight="1" x14ac:dyDescent="0.2">
      <c r="C350" s="26"/>
      <c r="D350" s="28"/>
      <c r="E350" s="21"/>
    </row>
    <row r="351" spans="3:5" ht="15.75" customHeight="1" x14ac:dyDescent="0.2">
      <c r="C351" s="26"/>
      <c r="D351" s="28"/>
      <c r="E351" s="21"/>
    </row>
    <row r="352" spans="3:5" ht="15.75" customHeight="1" x14ac:dyDescent="0.2">
      <c r="C352" s="26"/>
      <c r="D352" s="28"/>
      <c r="E352" s="21"/>
    </row>
    <row r="353" spans="3:5" ht="15.75" customHeight="1" x14ac:dyDescent="0.2">
      <c r="C353" s="26"/>
      <c r="D353" s="28"/>
      <c r="E353" s="21"/>
    </row>
    <row r="354" spans="3:5" ht="15.75" customHeight="1" x14ac:dyDescent="0.2">
      <c r="C354" s="26"/>
      <c r="D354" s="28"/>
      <c r="E354" s="21"/>
    </row>
    <row r="355" spans="3:5" ht="15.75" customHeight="1" x14ac:dyDescent="0.2">
      <c r="C355" s="26"/>
      <c r="D355" s="28"/>
      <c r="E355" s="21"/>
    </row>
    <row r="356" spans="3:5" ht="15.75" customHeight="1" x14ac:dyDescent="0.2">
      <c r="C356" s="26"/>
      <c r="D356" s="28"/>
      <c r="E356" s="21"/>
    </row>
    <row r="357" spans="3:5" ht="15.75" customHeight="1" x14ac:dyDescent="0.2">
      <c r="C357" s="26"/>
      <c r="D357" s="28"/>
      <c r="E357" s="21"/>
    </row>
    <row r="358" spans="3:5" ht="15.75" customHeight="1" x14ac:dyDescent="0.2">
      <c r="C358" s="26"/>
      <c r="D358" s="28"/>
      <c r="E358" s="21"/>
    </row>
    <row r="359" spans="3:5" ht="15.75" customHeight="1" x14ac:dyDescent="0.2">
      <c r="C359" s="26"/>
      <c r="D359" s="28"/>
      <c r="E359" s="21"/>
    </row>
    <row r="360" spans="3:5" ht="15.75" customHeight="1" x14ac:dyDescent="0.2">
      <c r="C360" s="26"/>
      <c r="D360" s="28"/>
      <c r="E360" s="21"/>
    </row>
    <row r="361" spans="3:5" ht="15.75" customHeight="1" x14ac:dyDescent="0.2">
      <c r="C361" s="26"/>
      <c r="D361" s="28"/>
      <c r="E361" s="21"/>
    </row>
    <row r="362" spans="3:5" ht="15.75" customHeight="1" x14ac:dyDescent="0.2">
      <c r="C362" s="26"/>
      <c r="D362" s="28"/>
      <c r="E362" s="21"/>
    </row>
    <row r="363" spans="3:5" ht="15.75" customHeight="1" x14ac:dyDescent="0.2">
      <c r="C363" s="26"/>
      <c r="D363" s="28"/>
      <c r="E363" s="21"/>
    </row>
    <row r="364" spans="3:5" ht="15.75" customHeight="1" x14ac:dyDescent="0.2">
      <c r="C364" s="26"/>
      <c r="D364" s="28"/>
      <c r="E364" s="21"/>
    </row>
    <row r="365" spans="3:5" ht="15.75" customHeight="1" x14ac:dyDescent="0.2">
      <c r="C365" s="26"/>
      <c r="D365" s="28"/>
      <c r="E365" s="21"/>
    </row>
    <row r="366" spans="3:5" ht="15.75" customHeight="1" x14ac:dyDescent="0.2">
      <c r="C366" s="26"/>
      <c r="D366" s="28"/>
      <c r="E366" s="21"/>
    </row>
    <row r="367" spans="3:5" ht="15.75" customHeight="1" x14ac:dyDescent="0.2">
      <c r="C367" s="26"/>
      <c r="D367" s="28"/>
      <c r="E367" s="21"/>
    </row>
    <row r="368" spans="3:5" ht="15.75" customHeight="1" x14ac:dyDescent="0.2">
      <c r="C368" s="26"/>
      <c r="D368" s="28"/>
      <c r="E368" s="21"/>
    </row>
    <row r="369" spans="3:5" ht="15.75" customHeight="1" x14ac:dyDescent="0.2">
      <c r="C369" s="26"/>
      <c r="D369" s="28"/>
      <c r="E369" s="21"/>
    </row>
    <row r="370" spans="3:5" ht="15.75" customHeight="1" x14ac:dyDescent="0.2">
      <c r="C370" s="26"/>
      <c r="D370" s="28"/>
      <c r="E370" s="21"/>
    </row>
    <row r="371" spans="3:5" ht="15.75" customHeight="1" x14ac:dyDescent="0.2">
      <c r="C371" s="26"/>
      <c r="D371" s="28"/>
      <c r="E371" s="21"/>
    </row>
    <row r="372" spans="3:5" ht="15.75" customHeight="1" x14ac:dyDescent="0.2">
      <c r="C372" s="26"/>
      <c r="D372" s="28"/>
      <c r="E372" s="21"/>
    </row>
    <row r="373" spans="3:5" ht="15.75" customHeight="1" x14ac:dyDescent="0.2">
      <c r="C373" s="26"/>
      <c r="D373" s="28"/>
      <c r="E373" s="21"/>
    </row>
    <row r="374" spans="3:5" ht="15.75" customHeight="1" x14ac:dyDescent="0.2">
      <c r="C374" s="26"/>
      <c r="D374" s="28"/>
      <c r="E374" s="21"/>
    </row>
    <row r="375" spans="3:5" ht="15.75" customHeight="1" x14ac:dyDescent="0.2">
      <c r="C375" s="26"/>
      <c r="D375" s="28"/>
      <c r="E375" s="21"/>
    </row>
    <row r="376" spans="3:5" ht="15.75" customHeight="1" x14ac:dyDescent="0.2">
      <c r="C376" s="26"/>
      <c r="D376" s="28"/>
      <c r="E376" s="21"/>
    </row>
    <row r="377" spans="3:5" ht="15.75" customHeight="1" x14ac:dyDescent="0.2">
      <c r="C377" s="26"/>
      <c r="D377" s="28"/>
      <c r="E377" s="21"/>
    </row>
    <row r="378" spans="3:5" ht="15.75" customHeight="1" x14ac:dyDescent="0.2">
      <c r="C378" s="26"/>
      <c r="D378" s="28"/>
      <c r="E378" s="21"/>
    </row>
    <row r="379" spans="3:5" ht="15.75" customHeight="1" x14ac:dyDescent="0.2">
      <c r="C379" s="26"/>
      <c r="D379" s="28"/>
      <c r="E379" s="21"/>
    </row>
    <row r="380" spans="3:5" ht="15.75" customHeight="1" x14ac:dyDescent="0.2">
      <c r="C380" s="26"/>
      <c r="D380" s="28"/>
      <c r="E380" s="21"/>
    </row>
    <row r="381" spans="3:5" ht="15.75" customHeight="1" x14ac:dyDescent="0.2">
      <c r="C381" s="26"/>
      <c r="D381" s="28"/>
      <c r="E381" s="21"/>
    </row>
    <row r="382" spans="3:5" ht="15.75" customHeight="1" x14ac:dyDescent="0.2">
      <c r="C382" s="26"/>
      <c r="D382" s="28"/>
      <c r="E382" s="21"/>
    </row>
    <row r="383" spans="3:5" ht="15.75" customHeight="1" x14ac:dyDescent="0.2">
      <c r="C383" s="26"/>
      <c r="D383" s="28"/>
      <c r="E383" s="21"/>
    </row>
    <row r="384" spans="3:5" ht="15.75" customHeight="1" x14ac:dyDescent="0.2">
      <c r="C384" s="26"/>
      <c r="D384" s="28"/>
      <c r="E384" s="21"/>
    </row>
    <row r="385" spans="3:5" ht="15.75" customHeight="1" x14ac:dyDescent="0.2">
      <c r="C385" s="26"/>
      <c r="D385" s="28"/>
      <c r="E385" s="21"/>
    </row>
    <row r="386" spans="3:5" ht="15.75" customHeight="1" x14ac:dyDescent="0.2">
      <c r="C386" s="26"/>
      <c r="D386" s="28"/>
      <c r="E386" s="21"/>
    </row>
    <row r="387" spans="3:5" ht="15.75" customHeight="1" x14ac:dyDescent="0.2">
      <c r="C387" s="26"/>
      <c r="D387" s="28"/>
      <c r="E387" s="21"/>
    </row>
    <row r="388" spans="3:5" ht="15.75" customHeight="1" x14ac:dyDescent="0.2">
      <c r="C388" s="26"/>
      <c r="D388" s="28"/>
      <c r="E388" s="21"/>
    </row>
    <row r="389" spans="3:5" ht="15.75" customHeight="1" x14ac:dyDescent="0.2">
      <c r="C389" s="26"/>
      <c r="D389" s="28"/>
      <c r="E389" s="21"/>
    </row>
    <row r="390" spans="3:5" ht="15.75" customHeight="1" x14ac:dyDescent="0.2">
      <c r="C390" s="26"/>
      <c r="D390" s="28"/>
      <c r="E390" s="21"/>
    </row>
    <row r="391" spans="3:5" ht="15.75" customHeight="1" x14ac:dyDescent="0.2">
      <c r="C391" s="26"/>
      <c r="D391" s="28"/>
      <c r="E391" s="21"/>
    </row>
    <row r="392" spans="3:5" ht="15.75" customHeight="1" x14ac:dyDescent="0.2">
      <c r="C392" s="26"/>
      <c r="D392" s="28"/>
      <c r="E392" s="21"/>
    </row>
    <row r="393" spans="3:5" ht="15.75" customHeight="1" x14ac:dyDescent="0.2">
      <c r="C393" s="26"/>
      <c r="D393" s="28"/>
      <c r="E393" s="21"/>
    </row>
    <row r="394" spans="3:5" ht="15.75" customHeight="1" x14ac:dyDescent="0.2">
      <c r="C394" s="26"/>
      <c r="D394" s="28"/>
      <c r="E394" s="21"/>
    </row>
    <row r="395" spans="3:5" ht="15.75" customHeight="1" x14ac:dyDescent="0.2">
      <c r="C395" s="26"/>
      <c r="D395" s="28"/>
      <c r="E395" s="21"/>
    </row>
    <row r="396" spans="3:5" ht="15.75" customHeight="1" x14ac:dyDescent="0.2">
      <c r="C396" s="26"/>
      <c r="D396" s="28"/>
      <c r="E396" s="21"/>
    </row>
    <row r="397" spans="3:5" ht="15.75" customHeight="1" x14ac:dyDescent="0.2">
      <c r="C397" s="26"/>
      <c r="D397" s="28"/>
      <c r="E397" s="21"/>
    </row>
    <row r="398" spans="3:5" ht="15.75" customHeight="1" x14ac:dyDescent="0.2">
      <c r="C398" s="26"/>
      <c r="D398" s="28"/>
      <c r="E398" s="21"/>
    </row>
    <row r="399" spans="3:5" ht="15.75" customHeight="1" x14ac:dyDescent="0.2">
      <c r="C399" s="26"/>
      <c r="D399" s="28"/>
      <c r="E399" s="21"/>
    </row>
    <row r="400" spans="3:5" ht="15.75" customHeight="1" x14ac:dyDescent="0.2">
      <c r="C400" s="26"/>
      <c r="D400" s="28"/>
      <c r="E400" s="21"/>
    </row>
    <row r="401" spans="3:5" ht="15.75" customHeight="1" x14ac:dyDescent="0.2">
      <c r="C401" s="26"/>
      <c r="D401" s="28"/>
      <c r="E401" s="21"/>
    </row>
    <row r="402" spans="3:5" ht="15.75" customHeight="1" x14ac:dyDescent="0.2">
      <c r="C402" s="26"/>
      <c r="D402" s="28"/>
      <c r="E402" s="21"/>
    </row>
    <row r="403" spans="3:5" ht="15.75" customHeight="1" x14ac:dyDescent="0.2">
      <c r="C403" s="26"/>
      <c r="D403" s="28"/>
      <c r="E403" s="21"/>
    </row>
    <row r="404" spans="3:5" ht="15.75" customHeight="1" x14ac:dyDescent="0.2">
      <c r="C404" s="26"/>
      <c r="D404" s="28"/>
      <c r="E404" s="21"/>
    </row>
    <row r="405" spans="3:5" ht="15.75" customHeight="1" x14ac:dyDescent="0.2">
      <c r="C405" s="26"/>
      <c r="D405" s="28"/>
      <c r="E405" s="21"/>
    </row>
    <row r="406" spans="3:5" ht="15.75" customHeight="1" x14ac:dyDescent="0.2">
      <c r="C406" s="26"/>
      <c r="D406" s="28"/>
      <c r="E406" s="21"/>
    </row>
    <row r="407" spans="3:5" ht="15.75" customHeight="1" x14ac:dyDescent="0.2">
      <c r="C407" s="26"/>
      <c r="D407" s="28"/>
      <c r="E407" s="21"/>
    </row>
    <row r="408" spans="3:5" ht="15.75" customHeight="1" x14ac:dyDescent="0.2">
      <c r="C408" s="26"/>
      <c r="D408" s="28"/>
      <c r="E408" s="21"/>
    </row>
    <row r="409" spans="3:5" ht="15.75" customHeight="1" x14ac:dyDescent="0.2">
      <c r="C409" s="26"/>
      <c r="D409" s="28"/>
      <c r="E409" s="21"/>
    </row>
    <row r="410" spans="3:5" ht="15.75" customHeight="1" x14ac:dyDescent="0.2">
      <c r="C410" s="26"/>
      <c r="D410" s="28"/>
      <c r="E410" s="21"/>
    </row>
    <row r="411" spans="3:5" ht="15.75" customHeight="1" x14ac:dyDescent="0.2">
      <c r="C411" s="26"/>
      <c r="D411" s="28"/>
      <c r="E411" s="21"/>
    </row>
    <row r="412" spans="3:5" ht="15.75" customHeight="1" x14ac:dyDescent="0.2">
      <c r="C412" s="26"/>
      <c r="D412" s="28"/>
      <c r="E412" s="21"/>
    </row>
    <row r="413" spans="3:5" ht="15.75" customHeight="1" x14ac:dyDescent="0.2">
      <c r="C413" s="26"/>
      <c r="D413" s="28"/>
      <c r="E413" s="21"/>
    </row>
    <row r="414" spans="3:5" ht="15.75" customHeight="1" x14ac:dyDescent="0.2">
      <c r="C414" s="26"/>
      <c r="D414" s="28"/>
      <c r="E414" s="21"/>
    </row>
    <row r="415" spans="3:5" ht="15.75" customHeight="1" x14ac:dyDescent="0.2">
      <c r="C415" s="26"/>
      <c r="D415" s="28"/>
      <c r="E415" s="21"/>
    </row>
    <row r="416" spans="3:5" ht="15.75" customHeight="1" x14ac:dyDescent="0.2">
      <c r="C416" s="26"/>
      <c r="D416" s="28"/>
      <c r="E416" s="21"/>
    </row>
    <row r="417" spans="3:5" ht="15.75" customHeight="1" x14ac:dyDescent="0.2">
      <c r="C417" s="26"/>
      <c r="D417" s="28"/>
      <c r="E417" s="21"/>
    </row>
    <row r="418" spans="3:5" ht="15.75" customHeight="1" x14ac:dyDescent="0.2">
      <c r="C418" s="26"/>
      <c r="D418" s="28"/>
      <c r="E418" s="21"/>
    </row>
    <row r="419" spans="3:5" ht="15.75" customHeight="1" x14ac:dyDescent="0.2">
      <c r="C419" s="26"/>
      <c r="D419" s="28"/>
      <c r="E419" s="21"/>
    </row>
    <row r="420" spans="3:5" ht="15.75" customHeight="1" x14ac:dyDescent="0.2">
      <c r="C420" s="26"/>
      <c r="D420" s="28"/>
      <c r="E420" s="21"/>
    </row>
    <row r="421" spans="3:5" ht="15.75" customHeight="1" x14ac:dyDescent="0.2">
      <c r="C421" s="26"/>
      <c r="D421" s="28"/>
      <c r="E421" s="21"/>
    </row>
    <row r="422" spans="3:5" ht="15.75" customHeight="1" x14ac:dyDescent="0.2">
      <c r="C422" s="26"/>
      <c r="D422" s="28"/>
      <c r="E422" s="21"/>
    </row>
    <row r="423" spans="3:5" ht="15.75" customHeight="1" x14ac:dyDescent="0.2">
      <c r="C423" s="26"/>
      <c r="D423" s="28"/>
      <c r="E423" s="21"/>
    </row>
    <row r="424" spans="3:5" ht="15.75" customHeight="1" x14ac:dyDescent="0.2">
      <c r="C424" s="26"/>
      <c r="D424" s="28"/>
      <c r="E424" s="21"/>
    </row>
    <row r="425" spans="3:5" ht="15.75" customHeight="1" x14ac:dyDescent="0.2">
      <c r="C425" s="26"/>
      <c r="D425" s="28"/>
      <c r="E425" s="21"/>
    </row>
    <row r="426" spans="3:5" ht="15.75" customHeight="1" x14ac:dyDescent="0.2">
      <c r="C426" s="26"/>
      <c r="D426" s="28"/>
      <c r="E426" s="21"/>
    </row>
    <row r="427" spans="3:5" ht="15.75" customHeight="1" x14ac:dyDescent="0.2">
      <c r="C427" s="26"/>
      <c r="D427" s="28"/>
      <c r="E427" s="21"/>
    </row>
    <row r="428" spans="3:5" ht="15.75" customHeight="1" x14ac:dyDescent="0.2">
      <c r="C428" s="26"/>
      <c r="D428" s="28"/>
      <c r="E428" s="21"/>
    </row>
    <row r="429" spans="3:5" ht="15.75" customHeight="1" x14ac:dyDescent="0.2">
      <c r="C429" s="26"/>
      <c r="D429" s="28"/>
      <c r="E429" s="21"/>
    </row>
    <row r="430" spans="3:5" ht="15.75" customHeight="1" x14ac:dyDescent="0.2">
      <c r="C430" s="26"/>
      <c r="D430" s="28"/>
      <c r="E430" s="21"/>
    </row>
    <row r="431" spans="3:5" ht="15.75" customHeight="1" x14ac:dyDescent="0.2">
      <c r="C431" s="26"/>
      <c r="D431" s="28"/>
      <c r="E431" s="21"/>
    </row>
    <row r="432" spans="3:5" ht="15.75" customHeight="1" x14ac:dyDescent="0.2">
      <c r="C432" s="26"/>
      <c r="D432" s="28"/>
      <c r="E432" s="21"/>
    </row>
    <row r="433" spans="3:5" ht="15.75" customHeight="1" x14ac:dyDescent="0.2">
      <c r="C433" s="26"/>
      <c r="D433" s="28"/>
      <c r="E433" s="21"/>
    </row>
    <row r="434" spans="3:5" ht="15.75" customHeight="1" x14ac:dyDescent="0.2">
      <c r="C434" s="26"/>
      <c r="D434" s="28"/>
      <c r="E434" s="21"/>
    </row>
    <row r="435" spans="3:5" ht="15.75" customHeight="1" x14ac:dyDescent="0.2">
      <c r="C435" s="26"/>
      <c r="D435" s="28"/>
      <c r="E435" s="21"/>
    </row>
    <row r="436" spans="3:5" ht="15.75" customHeight="1" x14ac:dyDescent="0.2">
      <c r="C436" s="26"/>
      <c r="D436" s="28"/>
      <c r="E436" s="21"/>
    </row>
    <row r="437" spans="3:5" ht="15.75" customHeight="1" x14ac:dyDescent="0.2">
      <c r="C437" s="26"/>
      <c r="D437" s="28"/>
      <c r="E437" s="21"/>
    </row>
    <row r="438" spans="3:5" ht="15.75" customHeight="1" x14ac:dyDescent="0.2">
      <c r="C438" s="26"/>
      <c r="D438" s="28"/>
      <c r="E438" s="21"/>
    </row>
    <row r="439" spans="3:5" ht="15.75" customHeight="1" x14ac:dyDescent="0.2">
      <c r="C439" s="26"/>
      <c r="D439" s="28"/>
      <c r="E439" s="21"/>
    </row>
    <row r="440" spans="3:5" ht="15.75" customHeight="1" x14ac:dyDescent="0.2">
      <c r="C440" s="26"/>
      <c r="D440" s="28"/>
      <c r="E440" s="21"/>
    </row>
    <row r="441" spans="3:5" ht="15.75" customHeight="1" x14ac:dyDescent="0.2">
      <c r="C441" s="26"/>
      <c r="D441" s="28"/>
      <c r="E441" s="21"/>
    </row>
    <row r="442" spans="3:5" ht="15.75" customHeight="1" x14ac:dyDescent="0.2">
      <c r="C442" s="26"/>
      <c r="D442" s="28"/>
      <c r="E442" s="21"/>
    </row>
    <row r="443" spans="3:5" ht="15.75" customHeight="1" x14ac:dyDescent="0.2">
      <c r="C443" s="26"/>
      <c r="D443" s="28"/>
      <c r="E443" s="21"/>
    </row>
    <row r="444" spans="3:5" ht="15.75" customHeight="1" x14ac:dyDescent="0.2">
      <c r="C444" s="26"/>
      <c r="D444" s="28"/>
      <c r="E444" s="21"/>
    </row>
    <row r="445" spans="3:5" ht="15.75" customHeight="1" x14ac:dyDescent="0.2">
      <c r="C445" s="26"/>
      <c r="D445" s="28"/>
      <c r="E445" s="21"/>
    </row>
    <row r="446" spans="3:5" ht="15.75" customHeight="1" x14ac:dyDescent="0.2">
      <c r="C446" s="26"/>
      <c r="D446" s="28"/>
      <c r="E446" s="21"/>
    </row>
    <row r="447" spans="3:5" ht="15.75" customHeight="1" x14ac:dyDescent="0.2">
      <c r="C447" s="26"/>
      <c r="D447" s="28"/>
      <c r="E447" s="21"/>
    </row>
    <row r="448" spans="3:5" ht="15.75" customHeight="1" x14ac:dyDescent="0.2">
      <c r="C448" s="26"/>
      <c r="D448" s="28"/>
      <c r="E448" s="21"/>
    </row>
    <row r="449" spans="3:5" ht="15.75" customHeight="1" x14ac:dyDescent="0.2">
      <c r="C449" s="26"/>
      <c r="D449" s="28"/>
      <c r="E449" s="21"/>
    </row>
    <row r="450" spans="3:5" ht="15.75" customHeight="1" x14ac:dyDescent="0.2">
      <c r="C450" s="26"/>
      <c r="D450" s="28"/>
      <c r="E450" s="21"/>
    </row>
    <row r="451" spans="3:5" ht="15.75" customHeight="1" x14ac:dyDescent="0.2">
      <c r="C451" s="26"/>
      <c r="D451" s="28"/>
      <c r="E451" s="21"/>
    </row>
    <row r="452" spans="3:5" ht="15.75" customHeight="1" x14ac:dyDescent="0.2">
      <c r="C452" s="26"/>
      <c r="D452" s="28"/>
      <c r="E452" s="21"/>
    </row>
    <row r="453" spans="3:5" ht="15.75" customHeight="1" x14ac:dyDescent="0.2">
      <c r="C453" s="26"/>
      <c r="D453" s="28"/>
      <c r="E453" s="21"/>
    </row>
    <row r="454" spans="3:5" ht="15.75" customHeight="1" x14ac:dyDescent="0.2">
      <c r="C454" s="26"/>
      <c r="D454" s="28"/>
      <c r="E454" s="21"/>
    </row>
    <row r="455" spans="3:5" ht="15.75" customHeight="1" x14ac:dyDescent="0.2">
      <c r="C455" s="26"/>
      <c r="D455" s="28"/>
      <c r="E455" s="21"/>
    </row>
    <row r="456" spans="3:5" ht="15.75" customHeight="1" x14ac:dyDescent="0.2">
      <c r="C456" s="26"/>
      <c r="D456" s="28"/>
      <c r="E456" s="21"/>
    </row>
    <row r="457" spans="3:5" ht="15.75" customHeight="1" x14ac:dyDescent="0.2">
      <c r="C457" s="26"/>
      <c r="D457" s="28"/>
      <c r="E457" s="21"/>
    </row>
    <row r="458" spans="3:5" ht="15.75" customHeight="1" x14ac:dyDescent="0.2">
      <c r="C458" s="26"/>
      <c r="D458" s="28"/>
      <c r="E458" s="21"/>
    </row>
    <row r="459" spans="3:5" ht="15.75" customHeight="1" x14ac:dyDescent="0.2">
      <c r="C459" s="26"/>
      <c r="D459" s="28"/>
      <c r="E459" s="21"/>
    </row>
    <row r="460" spans="3:5" ht="15.75" customHeight="1" x14ac:dyDescent="0.2">
      <c r="C460" s="26"/>
      <c r="D460" s="28"/>
      <c r="E460" s="21"/>
    </row>
    <row r="461" spans="3:5" ht="15.75" customHeight="1" x14ac:dyDescent="0.2">
      <c r="C461" s="26"/>
      <c r="D461" s="28"/>
      <c r="E461" s="21"/>
    </row>
    <row r="462" spans="3:5" ht="15.75" customHeight="1" x14ac:dyDescent="0.2">
      <c r="C462" s="26"/>
      <c r="D462" s="28"/>
      <c r="E462" s="21"/>
    </row>
    <row r="463" spans="3:5" ht="15.75" customHeight="1" x14ac:dyDescent="0.2">
      <c r="C463" s="26"/>
      <c r="D463" s="28"/>
      <c r="E463" s="21"/>
    </row>
    <row r="464" spans="3:5" ht="15.75" customHeight="1" x14ac:dyDescent="0.2">
      <c r="C464" s="26"/>
      <c r="D464" s="28"/>
      <c r="E464" s="21"/>
    </row>
    <row r="465" spans="3:5" ht="15.75" customHeight="1" x14ac:dyDescent="0.2">
      <c r="C465" s="26"/>
      <c r="D465" s="28"/>
      <c r="E465" s="21"/>
    </row>
    <row r="466" spans="3:5" ht="15.75" customHeight="1" x14ac:dyDescent="0.2">
      <c r="C466" s="26"/>
      <c r="D466" s="28"/>
      <c r="E466" s="21"/>
    </row>
    <row r="467" spans="3:5" ht="15.75" customHeight="1" x14ac:dyDescent="0.2">
      <c r="C467" s="26"/>
      <c r="D467" s="28"/>
      <c r="E467" s="21"/>
    </row>
    <row r="468" spans="3:5" ht="15.75" customHeight="1" x14ac:dyDescent="0.2">
      <c r="C468" s="26"/>
      <c r="D468" s="28"/>
      <c r="E468" s="21"/>
    </row>
    <row r="469" spans="3:5" ht="15.75" customHeight="1" x14ac:dyDescent="0.2">
      <c r="C469" s="26"/>
      <c r="D469" s="28"/>
      <c r="E469" s="21"/>
    </row>
    <row r="470" spans="3:5" ht="15.75" customHeight="1" x14ac:dyDescent="0.2">
      <c r="C470" s="26"/>
      <c r="D470" s="28"/>
      <c r="E470" s="21"/>
    </row>
    <row r="471" spans="3:5" ht="15.75" customHeight="1" x14ac:dyDescent="0.2">
      <c r="C471" s="26"/>
      <c r="D471" s="28"/>
      <c r="E471" s="21"/>
    </row>
    <row r="472" spans="3:5" ht="15.75" customHeight="1" x14ac:dyDescent="0.2">
      <c r="C472" s="26"/>
      <c r="D472" s="28"/>
      <c r="E472" s="21"/>
    </row>
    <row r="473" spans="3:5" ht="15.75" customHeight="1" x14ac:dyDescent="0.2">
      <c r="C473" s="26"/>
      <c r="D473" s="28"/>
      <c r="E473" s="21"/>
    </row>
    <row r="474" spans="3:5" ht="15.75" customHeight="1" x14ac:dyDescent="0.2">
      <c r="C474" s="26"/>
      <c r="D474" s="28"/>
      <c r="E474" s="21"/>
    </row>
    <row r="475" spans="3:5" ht="15.75" customHeight="1" x14ac:dyDescent="0.2">
      <c r="C475" s="26"/>
      <c r="D475" s="28"/>
      <c r="E475" s="21"/>
    </row>
    <row r="476" spans="3:5" ht="15.75" customHeight="1" x14ac:dyDescent="0.2">
      <c r="C476" s="26"/>
      <c r="D476" s="28"/>
      <c r="E476" s="21"/>
    </row>
    <row r="477" spans="3:5" ht="15.75" customHeight="1" x14ac:dyDescent="0.2">
      <c r="C477" s="26"/>
      <c r="D477" s="28"/>
      <c r="E477" s="21"/>
    </row>
    <row r="478" spans="3:5" ht="15.75" customHeight="1" x14ac:dyDescent="0.2">
      <c r="C478" s="26"/>
      <c r="D478" s="28"/>
      <c r="E478" s="21"/>
    </row>
    <row r="479" spans="3:5" ht="15.75" customHeight="1" x14ac:dyDescent="0.2">
      <c r="C479" s="26"/>
      <c r="D479" s="28"/>
      <c r="E479" s="21"/>
    </row>
    <row r="480" spans="3:5" ht="15.75" customHeight="1" x14ac:dyDescent="0.2">
      <c r="C480" s="26"/>
      <c r="D480" s="28"/>
      <c r="E480" s="21"/>
    </row>
    <row r="481" spans="3:5" ht="15.75" customHeight="1" x14ac:dyDescent="0.2">
      <c r="C481" s="26"/>
      <c r="D481" s="28"/>
      <c r="E481" s="21"/>
    </row>
    <row r="482" spans="3:5" ht="15.75" customHeight="1" x14ac:dyDescent="0.2">
      <c r="C482" s="26"/>
      <c r="D482" s="28"/>
      <c r="E482" s="21"/>
    </row>
    <row r="483" spans="3:5" ht="15.75" customHeight="1" x14ac:dyDescent="0.2">
      <c r="C483" s="26"/>
      <c r="D483" s="28"/>
      <c r="E483" s="21"/>
    </row>
    <row r="484" spans="3:5" ht="15.75" customHeight="1" x14ac:dyDescent="0.2">
      <c r="C484" s="26"/>
      <c r="D484" s="28"/>
      <c r="E484" s="21"/>
    </row>
    <row r="485" spans="3:5" ht="15.75" customHeight="1" x14ac:dyDescent="0.2">
      <c r="C485" s="26"/>
      <c r="D485" s="28"/>
      <c r="E485" s="21"/>
    </row>
    <row r="486" spans="3:5" ht="15.75" customHeight="1" x14ac:dyDescent="0.2">
      <c r="C486" s="26"/>
      <c r="D486" s="28"/>
      <c r="E486" s="21"/>
    </row>
    <row r="487" spans="3:5" ht="15.75" customHeight="1" x14ac:dyDescent="0.2">
      <c r="C487" s="26"/>
      <c r="D487" s="28"/>
      <c r="E487" s="21"/>
    </row>
    <row r="488" spans="3:5" ht="15.75" customHeight="1" x14ac:dyDescent="0.2">
      <c r="C488" s="26"/>
      <c r="D488" s="28"/>
      <c r="E488" s="21"/>
    </row>
    <row r="489" spans="3:5" ht="15.75" customHeight="1" x14ac:dyDescent="0.2">
      <c r="C489" s="26"/>
      <c r="D489" s="28"/>
      <c r="E489" s="21"/>
    </row>
    <row r="490" spans="3:5" ht="15.75" customHeight="1" x14ac:dyDescent="0.2">
      <c r="C490" s="26"/>
      <c r="D490" s="28"/>
      <c r="E490" s="21"/>
    </row>
    <row r="491" spans="3:5" ht="15.75" customHeight="1" x14ac:dyDescent="0.2">
      <c r="C491" s="26"/>
      <c r="D491" s="28"/>
      <c r="E491" s="21"/>
    </row>
    <row r="492" spans="3:5" ht="15.75" customHeight="1" x14ac:dyDescent="0.2">
      <c r="C492" s="26"/>
      <c r="D492" s="28"/>
      <c r="E492" s="21"/>
    </row>
    <row r="493" spans="3:5" ht="15.75" customHeight="1" x14ac:dyDescent="0.2">
      <c r="C493" s="26"/>
      <c r="D493" s="28"/>
      <c r="E493" s="21"/>
    </row>
    <row r="494" spans="3:5" ht="15.75" customHeight="1" x14ac:dyDescent="0.2">
      <c r="C494" s="26"/>
      <c r="D494" s="28"/>
      <c r="E494" s="21"/>
    </row>
    <row r="495" spans="3:5" ht="15.75" customHeight="1" x14ac:dyDescent="0.2">
      <c r="C495" s="26"/>
      <c r="D495" s="28"/>
      <c r="E495" s="21"/>
    </row>
    <row r="496" spans="3:5" ht="15.75" customHeight="1" x14ac:dyDescent="0.2">
      <c r="C496" s="26"/>
      <c r="D496" s="28"/>
      <c r="E496" s="21"/>
    </row>
    <row r="497" spans="3:5" ht="15.75" customHeight="1" x14ac:dyDescent="0.2">
      <c r="C497" s="26"/>
      <c r="D497" s="28"/>
      <c r="E497" s="21"/>
    </row>
    <row r="498" spans="3:5" ht="15.75" customHeight="1" x14ac:dyDescent="0.2">
      <c r="C498" s="26"/>
      <c r="D498" s="28"/>
      <c r="E498" s="21"/>
    </row>
    <row r="499" spans="3:5" ht="15.75" customHeight="1" x14ac:dyDescent="0.2">
      <c r="C499" s="26"/>
      <c r="D499" s="28"/>
      <c r="E499" s="21"/>
    </row>
    <row r="500" spans="3:5" ht="15.75" customHeight="1" x14ac:dyDescent="0.2">
      <c r="C500" s="26"/>
      <c r="D500" s="28"/>
      <c r="E500" s="21"/>
    </row>
    <row r="501" spans="3:5" ht="15.75" customHeight="1" x14ac:dyDescent="0.2">
      <c r="C501" s="26"/>
      <c r="D501" s="28"/>
      <c r="E501" s="21"/>
    </row>
    <row r="502" spans="3:5" ht="15.75" customHeight="1" x14ac:dyDescent="0.2">
      <c r="C502" s="26"/>
      <c r="D502" s="28"/>
      <c r="E502" s="21"/>
    </row>
    <row r="503" spans="3:5" ht="15.75" customHeight="1" x14ac:dyDescent="0.2">
      <c r="C503" s="26"/>
      <c r="D503" s="28"/>
      <c r="E503" s="21"/>
    </row>
    <row r="504" spans="3:5" ht="15.75" customHeight="1" x14ac:dyDescent="0.2">
      <c r="C504" s="26"/>
      <c r="D504" s="28"/>
      <c r="E504" s="21"/>
    </row>
    <row r="505" spans="3:5" ht="15.75" customHeight="1" x14ac:dyDescent="0.2">
      <c r="C505" s="26"/>
      <c r="D505" s="28"/>
      <c r="E505" s="21"/>
    </row>
    <row r="506" spans="3:5" ht="15.75" customHeight="1" x14ac:dyDescent="0.2">
      <c r="C506" s="26"/>
      <c r="D506" s="28"/>
      <c r="E506" s="21"/>
    </row>
    <row r="507" spans="3:5" ht="15.75" customHeight="1" x14ac:dyDescent="0.2">
      <c r="C507" s="26"/>
      <c r="D507" s="28"/>
      <c r="E507" s="21"/>
    </row>
    <row r="508" spans="3:5" ht="15.75" customHeight="1" x14ac:dyDescent="0.2">
      <c r="C508" s="26"/>
      <c r="D508" s="28"/>
      <c r="E508" s="21"/>
    </row>
    <row r="509" spans="3:5" ht="15.75" customHeight="1" x14ac:dyDescent="0.2">
      <c r="C509" s="26"/>
      <c r="D509" s="28"/>
      <c r="E509" s="21"/>
    </row>
    <row r="510" spans="3:5" ht="15.75" customHeight="1" x14ac:dyDescent="0.2">
      <c r="C510" s="26"/>
      <c r="D510" s="28"/>
      <c r="E510" s="21"/>
    </row>
    <row r="511" spans="3:5" ht="15.75" customHeight="1" x14ac:dyDescent="0.2">
      <c r="C511" s="26"/>
      <c r="D511" s="28"/>
      <c r="E511" s="21"/>
    </row>
    <row r="512" spans="3:5" ht="15.75" customHeight="1" x14ac:dyDescent="0.2">
      <c r="C512" s="26"/>
      <c r="D512" s="28"/>
      <c r="E512" s="21"/>
    </row>
    <row r="513" spans="3:5" ht="15.75" customHeight="1" x14ac:dyDescent="0.2">
      <c r="C513" s="26"/>
      <c r="D513" s="28"/>
      <c r="E513" s="21"/>
    </row>
    <row r="514" spans="3:5" ht="15.75" customHeight="1" x14ac:dyDescent="0.2">
      <c r="C514" s="26"/>
      <c r="D514" s="28"/>
      <c r="E514" s="21"/>
    </row>
    <row r="515" spans="3:5" ht="15.75" customHeight="1" x14ac:dyDescent="0.2">
      <c r="C515" s="26"/>
      <c r="D515" s="28"/>
      <c r="E515" s="21"/>
    </row>
    <row r="516" spans="3:5" ht="15.75" customHeight="1" x14ac:dyDescent="0.2">
      <c r="C516" s="26"/>
      <c r="D516" s="28"/>
      <c r="E516" s="21"/>
    </row>
    <row r="517" spans="3:5" ht="15.75" customHeight="1" x14ac:dyDescent="0.2">
      <c r="C517" s="26"/>
      <c r="D517" s="28"/>
      <c r="E517" s="21"/>
    </row>
    <row r="518" spans="3:5" ht="15.75" customHeight="1" x14ac:dyDescent="0.2">
      <c r="C518" s="26"/>
      <c r="D518" s="28"/>
      <c r="E518" s="21"/>
    </row>
    <row r="519" spans="3:5" ht="15.75" customHeight="1" x14ac:dyDescent="0.2">
      <c r="C519" s="26"/>
      <c r="D519" s="28"/>
      <c r="E519" s="21"/>
    </row>
    <row r="520" spans="3:5" ht="15.75" customHeight="1" x14ac:dyDescent="0.2">
      <c r="C520" s="26"/>
      <c r="D520" s="28"/>
      <c r="E520" s="21"/>
    </row>
    <row r="521" spans="3:5" ht="15.75" customHeight="1" x14ac:dyDescent="0.2">
      <c r="C521" s="26"/>
      <c r="D521" s="28"/>
      <c r="E521" s="21"/>
    </row>
    <row r="522" spans="3:5" ht="15.75" customHeight="1" x14ac:dyDescent="0.2">
      <c r="C522" s="26"/>
      <c r="D522" s="28"/>
      <c r="E522" s="21"/>
    </row>
    <row r="523" spans="3:5" ht="15.75" customHeight="1" x14ac:dyDescent="0.2">
      <c r="C523" s="26"/>
      <c r="D523" s="28"/>
      <c r="E523" s="21"/>
    </row>
    <row r="524" spans="3:5" ht="15.75" customHeight="1" x14ac:dyDescent="0.2">
      <c r="C524" s="26"/>
      <c r="D524" s="28"/>
      <c r="E524" s="21"/>
    </row>
    <row r="525" spans="3:5" ht="15.75" customHeight="1" x14ac:dyDescent="0.2">
      <c r="C525" s="26"/>
      <c r="D525" s="28"/>
      <c r="E525" s="21"/>
    </row>
    <row r="526" spans="3:5" ht="15.75" customHeight="1" x14ac:dyDescent="0.2">
      <c r="C526" s="26"/>
      <c r="D526" s="28"/>
      <c r="E526" s="21"/>
    </row>
    <row r="527" spans="3:5" ht="15.75" customHeight="1" x14ac:dyDescent="0.2">
      <c r="C527" s="26"/>
      <c r="D527" s="28"/>
      <c r="E527" s="21"/>
    </row>
    <row r="528" spans="3:5" ht="15.75" customHeight="1" x14ac:dyDescent="0.2">
      <c r="C528" s="26"/>
      <c r="D528" s="28"/>
      <c r="E528" s="21"/>
    </row>
    <row r="529" spans="3:5" ht="15.75" customHeight="1" x14ac:dyDescent="0.2">
      <c r="C529" s="26"/>
      <c r="D529" s="28"/>
      <c r="E529" s="21"/>
    </row>
    <row r="530" spans="3:5" ht="15.75" customHeight="1" x14ac:dyDescent="0.2">
      <c r="C530" s="26"/>
      <c r="D530" s="28"/>
      <c r="E530" s="21"/>
    </row>
    <row r="531" spans="3:5" ht="15.75" customHeight="1" x14ac:dyDescent="0.2">
      <c r="C531" s="26"/>
      <c r="D531" s="28"/>
      <c r="E531" s="21"/>
    </row>
    <row r="532" spans="3:5" ht="15.75" customHeight="1" x14ac:dyDescent="0.2">
      <c r="C532" s="26"/>
      <c r="D532" s="28"/>
      <c r="E532" s="21"/>
    </row>
    <row r="533" spans="3:5" ht="15.75" customHeight="1" x14ac:dyDescent="0.2">
      <c r="C533" s="26"/>
      <c r="D533" s="28"/>
      <c r="E533" s="21"/>
    </row>
    <row r="534" spans="3:5" ht="15.75" customHeight="1" x14ac:dyDescent="0.2">
      <c r="C534" s="26"/>
      <c r="D534" s="28"/>
      <c r="E534" s="21"/>
    </row>
    <row r="535" spans="3:5" ht="15.75" customHeight="1" x14ac:dyDescent="0.2">
      <c r="C535" s="26"/>
      <c r="D535" s="28"/>
      <c r="E535" s="21"/>
    </row>
    <row r="536" spans="3:5" ht="15.75" customHeight="1" x14ac:dyDescent="0.2">
      <c r="C536" s="26"/>
      <c r="D536" s="28"/>
      <c r="E536" s="21"/>
    </row>
    <row r="537" spans="3:5" ht="15.75" customHeight="1" x14ac:dyDescent="0.2">
      <c r="C537" s="26"/>
      <c r="D537" s="28"/>
      <c r="E537" s="21"/>
    </row>
    <row r="538" spans="3:5" ht="15.75" customHeight="1" x14ac:dyDescent="0.2">
      <c r="C538" s="26"/>
      <c r="D538" s="28"/>
      <c r="E538" s="21"/>
    </row>
    <row r="539" spans="3:5" ht="15.75" customHeight="1" x14ac:dyDescent="0.2">
      <c r="C539" s="26"/>
      <c r="D539" s="28"/>
      <c r="E539" s="21"/>
    </row>
    <row r="540" spans="3:5" ht="15.75" customHeight="1" x14ac:dyDescent="0.2">
      <c r="C540" s="26"/>
      <c r="D540" s="28"/>
      <c r="E540" s="21"/>
    </row>
    <row r="541" spans="3:5" ht="15.75" customHeight="1" x14ac:dyDescent="0.2">
      <c r="C541" s="26"/>
      <c r="D541" s="28"/>
      <c r="E541" s="21"/>
    </row>
    <row r="542" spans="3:5" ht="15.75" customHeight="1" x14ac:dyDescent="0.2">
      <c r="C542" s="26"/>
      <c r="D542" s="28"/>
      <c r="E542" s="21"/>
    </row>
    <row r="543" spans="3:5" ht="15.75" customHeight="1" x14ac:dyDescent="0.2">
      <c r="C543" s="26"/>
      <c r="D543" s="28"/>
      <c r="E543" s="21"/>
    </row>
    <row r="544" spans="3:5" ht="15.75" customHeight="1" x14ac:dyDescent="0.2">
      <c r="C544" s="26"/>
      <c r="D544" s="28"/>
      <c r="E544" s="21"/>
    </row>
    <row r="545" spans="3:5" ht="15.75" customHeight="1" x14ac:dyDescent="0.2">
      <c r="C545" s="26"/>
      <c r="D545" s="28"/>
      <c r="E545" s="21"/>
    </row>
    <row r="546" spans="3:5" ht="15.75" customHeight="1" x14ac:dyDescent="0.2">
      <c r="C546" s="26"/>
      <c r="D546" s="28"/>
      <c r="E546" s="21"/>
    </row>
    <row r="547" spans="3:5" ht="15.75" customHeight="1" x14ac:dyDescent="0.2">
      <c r="C547" s="26"/>
      <c r="D547" s="28"/>
      <c r="E547" s="21"/>
    </row>
    <row r="548" spans="3:5" ht="15.75" customHeight="1" x14ac:dyDescent="0.2">
      <c r="C548" s="26"/>
      <c r="D548" s="28"/>
      <c r="E548" s="21"/>
    </row>
    <row r="549" spans="3:5" ht="15.75" customHeight="1" x14ac:dyDescent="0.2">
      <c r="C549" s="26"/>
      <c r="D549" s="28"/>
      <c r="E549" s="21"/>
    </row>
    <row r="550" spans="3:5" ht="15.75" customHeight="1" x14ac:dyDescent="0.2">
      <c r="C550" s="26"/>
      <c r="D550" s="28"/>
      <c r="E550" s="21"/>
    </row>
    <row r="551" spans="3:5" ht="15.75" customHeight="1" x14ac:dyDescent="0.2">
      <c r="C551" s="26"/>
      <c r="D551" s="28"/>
      <c r="E551" s="21"/>
    </row>
    <row r="552" spans="3:5" ht="15.75" customHeight="1" x14ac:dyDescent="0.2">
      <c r="C552" s="26"/>
      <c r="D552" s="28"/>
      <c r="E552" s="21"/>
    </row>
    <row r="553" spans="3:5" ht="15.75" customHeight="1" x14ac:dyDescent="0.2">
      <c r="C553" s="26"/>
      <c r="D553" s="28"/>
      <c r="E553" s="21"/>
    </row>
    <row r="554" spans="3:5" ht="15.75" customHeight="1" x14ac:dyDescent="0.2">
      <c r="C554" s="26"/>
      <c r="D554" s="28"/>
      <c r="E554" s="21"/>
    </row>
    <row r="555" spans="3:5" ht="15.75" customHeight="1" x14ac:dyDescent="0.2">
      <c r="C555" s="26"/>
      <c r="D555" s="28"/>
      <c r="E555" s="21"/>
    </row>
    <row r="556" spans="3:5" ht="15.75" customHeight="1" x14ac:dyDescent="0.2">
      <c r="C556" s="26"/>
      <c r="D556" s="28"/>
      <c r="E556" s="21"/>
    </row>
    <row r="557" spans="3:5" ht="15.75" customHeight="1" x14ac:dyDescent="0.2">
      <c r="C557" s="26"/>
      <c r="D557" s="28"/>
      <c r="E557" s="21"/>
    </row>
    <row r="558" spans="3:5" ht="15.75" customHeight="1" x14ac:dyDescent="0.2">
      <c r="C558" s="26"/>
      <c r="D558" s="28"/>
      <c r="E558" s="21"/>
    </row>
    <row r="559" spans="3:5" ht="15.75" customHeight="1" x14ac:dyDescent="0.2">
      <c r="C559" s="26"/>
      <c r="D559" s="28"/>
      <c r="E559" s="21"/>
    </row>
    <row r="560" spans="3:5" ht="15.75" customHeight="1" x14ac:dyDescent="0.2">
      <c r="C560" s="26"/>
      <c r="D560" s="28"/>
      <c r="E560" s="21"/>
    </row>
    <row r="561" spans="3:5" ht="15.75" customHeight="1" x14ac:dyDescent="0.2">
      <c r="C561" s="26"/>
      <c r="D561" s="28"/>
      <c r="E561" s="21"/>
    </row>
    <row r="562" spans="3:5" ht="15.75" customHeight="1" x14ac:dyDescent="0.2">
      <c r="C562" s="26"/>
      <c r="D562" s="28"/>
      <c r="E562" s="21"/>
    </row>
    <row r="563" spans="3:5" ht="15.75" customHeight="1" x14ac:dyDescent="0.2">
      <c r="C563" s="26"/>
      <c r="D563" s="28"/>
      <c r="E563" s="21"/>
    </row>
    <row r="564" spans="3:5" ht="15.75" customHeight="1" x14ac:dyDescent="0.2">
      <c r="C564" s="26"/>
      <c r="D564" s="28"/>
      <c r="E564" s="21"/>
    </row>
    <row r="565" spans="3:5" ht="15.75" customHeight="1" x14ac:dyDescent="0.2">
      <c r="C565" s="26"/>
      <c r="D565" s="28"/>
      <c r="E565" s="21"/>
    </row>
    <row r="566" spans="3:5" ht="15.75" customHeight="1" x14ac:dyDescent="0.2">
      <c r="C566" s="26"/>
      <c r="D566" s="28"/>
      <c r="E566" s="21"/>
    </row>
    <row r="567" spans="3:5" ht="15.75" customHeight="1" x14ac:dyDescent="0.2">
      <c r="C567" s="26"/>
      <c r="D567" s="28"/>
      <c r="E567" s="21"/>
    </row>
    <row r="568" spans="3:5" ht="15.75" customHeight="1" x14ac:dyDescent="0.2">
      <c r="C568" s="26"/>
      <c r="D568" s="28"/>
      <c r="E568" s="21"/>
    </row>
    <row r="569" spans="3:5" ht="15.75" customHeight="1" x14ac:dyDescent="0.2">
      <c r="C569" s="26"/>
      <c r="D569" s="28"/>
      <c r="E569" s="21"/>
    </row>
    <row r="570" spans="3:5" ht="15.75" customHeight="1" x14ac:dyDescent="0.2">
      <c r="C570" s="26"/>
      <c r="D570" s="28"/>
      <c r="E570" s="21"/>
    </row>
    <row r="571" spans="3:5" ht="15.75" customHeight="1" x14ac:dyDescent="0.2">
      <c r="C571" s="26"/>
      <c r="D571" s="28"/>
      <c r="E571" s="21"/>
    </row>
    <row r="572" spans="3:5" ht="15.75" customHeight="1" x14ac:dyDescent="0.2">
      <c r="C572" s="26"/>
      <c r="D572" s="28"/>
      <c r="E572" s="21"/>
    </row>
    <row r="573" spans="3:5" ht="15.75" customHeight="1" x14ac:dyDescent="0.2">
      <c r="C573" s="26"/>
      <c r="D573" s="28"/>
      <c r="E573" s="21"/>
    </row>
    <row r="574" spans="3:5" ht="15.75" customHeight="1" x14ac:dyDescent="0.2">
      <c r="C574" s="26"/>
      <c r="D574" s="28"/>
      <c r="E574" s="21"/>
    </row>
    <row r="575" spans="3:5" ht="15.75" customHeight="1" x14ac:dyDescent="0.2">
      <c r="C575" s="26"/>
      <c r="D575" s="28"/>
      <c r="E575" s="21"/>
    </row>
    <row r="576" spans="3:5" ht="15.75" customHeight="1" x14ac:dyDescent="0.2">
      <c r="C576" s="26"/>
      <c r="D576" s="28"/>
      <c r="E576" s="21"/>
    </row>
    <row r="577" spans="3:5" ht="15.75" customHeight="1" x14ac:dyDescent="0.2">
      <c r="C577" s="26"/>
      <c r="D577" s="28"/>
      <c r="E577" s="21"/>
    </row>
    <row r="578" spans="3:5" ht="15.75" customHeight="1" x14ac:dyDescent="0.2">
      <c r="C578" s="26"/>
      <c r="D578" s="28"/>
      <c r="E578" s="21"/>
    </row>
    <row r="579" spans="3:5" ht="15.75" customHeight="1" x14ac:dyDescent="0.2">
      <c r="C579" s="26"/>
      <c r="D579" s="28"/>
      <c r="E579" s="21"/>
    </row>
    <row r="580" spans="3:5" ht="15.75" customHeight="1" x14ac:dyDescent="0.2">
      <c r="C580" s="26"/>
      <c r="D580" s="28"/>
      <c r="E580" s="21"/>
    </row>
    <row r="581" spans="3:5" ht="15.75" customHeight="1" x14ac:dyDescent="0.2">
      <c r="C581" s="26"/>
      <c r="D581" s="28"/>
      <c r="E581" s="21"/>
    </row>
    <row r="582" spans="3:5" ht="15.75" customHeight="1" x14ac:dyDescent="0.2">
      <c r="C582" s="26"/>
      <c r="D582" s="28"/>
      <c r="E582" s="21"/>
    </row>
    <row r="583" spans="3:5" ht="15.75" customHeight="1" x14ac:dyDescent="0.2">
      <c r="C583" s="26"/>
      <c r="D583" s="28"/>
      <c r="E583" s="21"/>
    </row>
    <row r="584" spans="3:5" ht="15.75" customHeight="1" x14ac:dyDescent="0.2">
      <c r="C584" s="26"/>
      <c r="D584" s="28"/>
      <c r="E584" s="21"/>
    </row>
    <row r="585" spans="3:5" ht="15.75" customHeight="1" x14ac:dyDescent="0.2">
      <c r="C585" s="26"/>
      <c r="D585" s="28"/>
      <c r="E585" s="21"/>
    </row>
    <row r="586" spans="3:5" ht="15.75" customHeight="1" x14ac:dyDescent="0.2">
      <c r="C586" s="26"/>
      <c r="D586" s="28"/>
      <c r="E586" s="21"/>
    </row>
    <row r="587" spans="3:5" ht="15.75" customHeight="1" x14ac:dyDescent="0.2">
      <c r="C587" s="26"/>
      <c r="D587" s="28"/>
      <c r="E587" s="21"/>
    </row>
    <row r="588" spans="3:5" ht="15.75" customHeight="1" x14ac:dyDescent="0.2">
      <c r="C588" s="26"/>
      <c r="D588" s="28"/>
      <c r="E588" s="21"/>
    </row>
    <row r="589" spans="3:5" ht="15.75" customHeight="1" x14ac:dyDescent="0.2">
      <c r="C589" s="26"/>
      <c r="D589" s="28"/>
      <c r="E589" s="21"/>
    </row>
    <row r="590" spans="3:5" ht="15.75" customHeight="1" x14ac:dyDescent="0.2">
      <c r="C590" s="26"/>
      <c r="D590" s="28"/>
      <c r="E590" s="21"/>
    </row>
    <row r="591" spans="3:5" ht="15.75" customHeight="1" x14ac:dyDescent="0.2">
      <c r="C591" s="26"/>
      <c r="D591" s="28"/>
      <c r="E591" s="21"/>
    </row>
    <row r="592" spans="3:5" ht="15.75" customHeight="1" x14ac:dyDescent="0.2">
      <c r="C592" s="26"/>
      <c r="D592" s="28"/>
      <c r="E592" s="21"/>
    </row>
    <row r="593" spans="3:5" ht="15.75" customHeight="1" x14ac:dyDescent="0.2">
      <c r="C593" s="26"/>
      <c r="D593" s="28"/>
      <c r="E593" s="21"/>
    </row>
    <row r="594" spans="3:5" ht="15.75" customHeight="1" x14ac:dyDescent="0.2">
      <c r="C594" s="26"/>
      <c r="D594" s="28"/>
      <c r="E594" s="21"/>
    </row>
    <row r="595" spans="3:5" ht="15.75" customHeight="1" x14ac:dyDescent="0.2">
      <c r="C595" s="26"/>
      <c r="D595" s="28"/>
      <c r="E595" s="21"/>
    </row>
    <row r="596" spans="3:5" ht="15.75" customHeight="1" x14ac:dyDescent="0.2">
      <c r="C596" s="26"/>
      <c r="D596" s="28"/>
      <c r="E596" s="21"/>
    </row>
    <row r="597" spans="3:5" ht="15.75" customHeight="1" x14ac:dyDescent="0.2">
      <c r="C597" s="26"/>
      <c r="D597" s="28"/>
      <c r="E597" s="21"/>
    </row>
    <row r="598" spans="3:5" ht="15.75" customHeight="1" x14ac:dyDescent="0.2">
      <c r="C598" s="26"/>
      <c r="D598" s="28"/>
      <c r="E598" s="21"/>
    </row>
    <row r="599" spans="3:5" ht="15.75" customHeight="1" x14ac:dyDescent="0.2">
      <c r="C599" s="26"/>
      <c r="D599" s="28"/>
      <c r="E599" s="21"/>
    </row>
    <row r="600" spans="3:5" ht="15.75" customHeight="1" x14ac:dyDescent="0.2">
      <c r="C600" s="26"/>
      <c r="D600" s="28"/>
      <c r="E600" s="21"/>
    </row>
    <row r="601" spans="3:5" ht="15.75" customHeight="1" x14ac:dyDescent="0.2">
      <c r="C601" s="26"/>
      <c r="D601" s="28"/>
      <c r="E601" s="21"/>
    </row>
    <row r="602" spans="3:5" ht="15.75" customHeight="1" x14ac:dyDescent="0.2">
      <c r="C602" s="26"/>
      <c r="D602" s="28"/>
      <c r="E602" s="21"/>
    </row>
    <row r="603" spans="3:5" ht="15.75" customHeight="1" x14ac:dyDescent="0.2">
      <c r="C603" s="26"/>
      <c r="D603" s="28"/>
      <c r="E603" s="21"/>
    </row>
    <row r="604" spans="3:5" ht="15.75" customHeight="1" x14ac:dyDescent="0.2">
      <c r="C604" s="26"/>
      <c r="D604" s="28"/>
      <c r="E604" s="21"/>
    </row>
    <row r="605" spans="3:5" ht="15.75" customHeight="1" x14ac:dyDescent="0.2">
      <c r="C605" s="26"/>
      <c r="D605" s="28"/>
      <c r="E605" s="21"/>
    </row>
    <row r="606" spans="3:5" ht="15.75" customHeight="1" x14ac:dyDescent="0.2">
      <c r="C606" s="26"/>
      <c r="D606" s="28"/>
      <c r="E606" s="21"/>
    </row>
    <row r="607" spans="3:5" ht="15.75" customHeight="1" x14ac:dyDescent="0.2">
      <c r="C607" s="26"/>
      <c r="D607" s="28"/>
      <c r="E607" s="21"/>
    </row>
    <row r="608" spans="3:5" ht="15.75" customHeight="1" x14ac:dyDescent="0.2">
      <c r="C608" s="26"/>
      <c r="D608" s="28"/>
      <c r="E608" s="21"/>
    </row>
    <row r="609" spans="3:5" ht="15.75" customHeight="1" x14ac:dyDescent="0.2">
      <c r="C609" s="26"/>
      <c r="D609" s="28"/>
      <c r="E609" s="21"/>
    </row>
    <row r="610" spans="3:5" ht="15.75" customHeight="1" x14ac:dyDescent="0.2">
      <c r="C610" s="26"/>
      <c r="D610" s="28"/>
      <c r="E610" s="21"/>
    </row>
    <row r="611" spans="3:5" ht="15.75" customHeight="1" x14ac:dyDescent="0.2">
      <c r="C611" s="26"/>
      <c r="D611" s="28"/>
      <c r="E611" s="21"/>
    </row>
    <row r="612" spans="3:5" ht="15.75" customHeight="1" x14ac:dyDescent="0.2">
      <c r="C612" s="26"/>
      <c r="D612" s="28"/>
      <c r="E612" s="21"/>
    </row>
    <row r="613" spans="3:5" ht="15.75" customHeight="1" x14ac:dyDescent="0.2">
      <c r="C613" s="26"/>
      <c r="D613" s="28"/>
      <c r="E613" s="21"/>
    </row>
    <row r="614" spans="3:5" ht="15.75" customHeight="1" x14ac:dyDescent="0.2">
      <c r="C614" s="26"/>
      <c r="D614" s="28"/>
      <c r="E614" s="21"/>
    </row>
    <row r="615" spans="3:5" ht="15.75" customHeight="1" x14ac:dyDescent="0.2">
      <c r="C615" s="26"/>
      <c r="D615" s="28"/>
      <c r="E615" s="21"/>
    </row>
    <row r="616" spans="3:5" ht="15.75" customHeight="1" x14ac:dyDescent="0.2">
      <c r="C616" s="26"/>
      <c r="D616" s="28"/>
      <c r="E616" s="21"/>
    </row>
    <row r="617" spans="3:5" ht="15.75" customHeight="1" x14ac:dyDescent="0.2">
      <c r="C617" s="26"/>
      <c r="D617" s="28"/>
      <c r="E617" s="21"/>
    </row>
    <row r="618" spans="3:5" ht="15.75" customHeight="1" x14ac:dyDescent="0.2">
      <c r="C618" s="26"/>
      <c r="D618" s="28"/>
      <c r="E618" s="21"/>
    </row>
    <row r="619" spans="3:5" ht="15.75" customHeight="1" x14ac:dyDescent="0.2">
      <c r="C619" s="26"/>
      <c r="D619" s="28"/>
      <c r="E619" s="21"/>
    </row>
    <row r="620" spans="3:5" ht="15.75" customHeight="1" x14ac:dyDescent="0.2">
      <c r="C620" s="26"/>
      <c r="D620" s="28"/>
      <c r="E620" s="21"/>
    </row>
    <row r="621" spans="3:5" ht="15.75" customHeight="1" x14ac:dyDescent="0.2">
      <c r="C621" s="26"/>
      <c r="D621" s="28"/>
      <c r="E621" s="21"/>
    </row>
    <row r="622" spans="3:5" ht="15.75" customHeight="1" x14ac:dyDescent="0.2">
      <c r="C622" s="26"/>
      <c r="D622" s="28"/>
      <c r="E622" s="21"/>
    </row>
    <row r="623" spans="3:5" ht="15.75" customHeight="1" x14ac:dyDescent="0.2">
      <c r="C623" s="26"/>
      <c r="D623" s="28"/>
      <c r="E623" s="21"/>
    </row>
    <row r="624" spans="3:5" ht="15.75" customHeight="1" x14ac:dyDescent="0.2">
      <c r="C624" s="26"/>
      <c r="D624" s="28"/>
      <c r="E624" s="21"/>
    </row>
    <row r="625" spans="3:5" ht="15.75" customHeight="1" x14ac:dyDescent="0.2">
      <c r="C625" s="26"/>
      <c r="D625" s="28"/>
      <c r="E625" s="21"/>
    </row>
    <row r="626" spans="3:5" ht="15.75" customHeight="1" x14ac:dyDescent="0.2">
      <c r="C626" s="26"/>
      <c r="D626" s="28"/>
      <c r="E626" s="21"/>
    </row>
    <row r="627" spans="3:5" ht="15.75" customHeight="1" x14ac:dyDescent="0.2">
      <c r="C627" s="26"/>
      <c r="D627" s="28"/>
      <c r="E627" s="21"/>
    </row>
    <row r="628" spans="3:5" ht="15.75" customHeight="1" x14ac:dyDescent="0.2">
      <c r="C628" s="26"/>
      <c r="D628" s="28"/>
      <c r="E628" s="21"/>
    </row>
    <row r="629" spans="3:5" ht="15.75" customHeight="1" x14ac:dyDescent="0.2">
      <c r="C629" s="26"/>
      <c r="D629" s="28"/>
      <c r="E629" s="21"/>
    </row>
    <row r="630" spans="3:5" ht="15.75" customHeight="1" x14ac:dyDescent="0.2">
      <c r="C630" s="26"/>
      <c r="D630" s="28"/>
      <c r="E630" s="21"/>
    </row>
    <row r="631" spans="3:5" ht="15.75" customHeight="1" x14ac:dyDescent="0.2">
      <c r="C631" s="26"/>
      <c r="D631" s="28"/>
      <c r="E631" s="21"/>
    </row>
    <row r="632" spans="3:5" ht="15.75" customHeight="1" x14ac:dyDescent="0.2">
      <c r="C632" s="26"/>
      <c r="D632" s="28"/>
      <c r="E632" s="21"/>
    </row>
    <row r="633" spans="3:5" ht="15.75" customHeight="1" x14ac:dyDescent="0.2">
      <c r="C633" s="26"/>
      <c r="D633" s="28"/>
      <c r="E633" s="21"/>
    </row>
    <row r="634" spans="3:5" ht="15.75" customHeight="1" x14ac:dyDescent="0.2">
      <c r="C634" s="26"/>
      <c r="D634" s="28"/>
      <c r="E634" s="21"/>
    </row>
    <row r="635" spans="3:5" ht="15.75" customHeight="1" x14ac:dyDescent="0.2">
      <c r="C635" s="26"/>
      <c r="D635" s="28"/>
      <c r="E635" s="21"/>
    </row>
    <row r="636" spans="3:5" ht="15.75" customHeight="1" x14ac:dyDescent="0.2">
      <c r="C636" s="26"/>
      <c r="D636" s="28"/>
      <c r="E636" s="21"/>
    </row>
    <row r="637" spans="3:5" ht="15.75" customHeight="1" x14ac:dyDescent="0.2">
      <c r="C637" s="26"/>
      <c r="D637" s="28"/>
      <c r="E637" s="21"/>
    </row>
    <row r="638" spans="3:5" ht="15.75" customHeight="1" x14ac:dyDescent="0.2">
      <c r="C638" s="26"/>
      <c r="D638" s="28"/>
      <c r="E638" s="21"/>
    </row>
    <row r="639" spans="3:5" ht="15.75" customHeight="1" x14ac:dyDescent="0.2">
      <c r="C639" s="26"/>
      <c r="D639" s="28"/>
      <c r="E639" s="21"/>
    </row>
    <row r="640" spans="3:5" ht="15.75" customHeight="1" x14ac:dyDescent="0.2">
      <c r="C640" s="26"/>
      <c r="D640" s="28"/>
      <c r="E640" s="21"/>
    </row>
    <row r="641" spans="3:5" ht="15.75" customHeight="1" x14ac:dyDescent="0.2">
      <c r="C641" s="26"/>
      <c r="D641" s="28"/>
      <c r="E641" s="21"/>
    </row>
    <row r="642" spans="3:5" ht="15.75" customHeight="1" x14ac:dyDescent="0.2">
      <c r="C642" s="26"/>
      <c r="D642" s="28"/>
      <c r="E642" s="21"/>
    </row>
    <row r="643" spans="3:5" ht="15.75" customHeight="1" x14ac:dyDescent="0.2">
      <c r="C643" s="26"/>
      <c r="D643" s="28"/>
      <c r="E643" s="21"/>
    </row>
    <row r="644" spans="3:5" ht="15.75" customHeight="1" x14ac:dyDescent="0.2">
      <c r="C644" s="26"/>
      <c r="D644" s="28"/>
      <c r="E644" s="21"/>
    </row>
    <row r="645" spans="3:5" ht="15.75" customHeight="1" x14ac:dyDescent="0.2">
      <c r="C645" s="26"/>
      <c r="D645" s="28"/>
      <c r="E645" s="21"/>
    </row>
    <row r="646" spans="3:5" ht="15.75" customHeight="1" x14ac:dyDescent="0.2">
      <c r="C646" s="26"/>
      <c r="D646" s="28"/>
      <c r="E646" s="21"/>
    </row>
    <row r="647" spans="3:5" ht="15.75" customHeight="1" x14ac:dyDescent="0.2">
      <c r="C647" s="26"/>
      <c r="D647" s="28"/>
      <c r="E647" s="21"/>
    </row>
    <row r="648" spans="3:5" ht="15.75" customHeight="1" x14ac:dyDescent="0.2">
      <c r="C648" s="26"/>
      <c r="D648" s="28"/>
      <c r="E648" s="21"/>
    </row>
    <row r="649" spans="3:5" ht="15.75" customHeight="1" x14ac:dyDescent="0.2">
      <c r="C649" s="26"/>
      <c r="D649" s="28"/>
      <c r="E649" s="21"/>
    </row>
    <row r="650" spans="3:5" ht="15.75" customHeight="1" x14ac:dyDescent="0.2">
      <c r="C650" s="26"/>
      <c r="D650" s="28"/>
      <c r="E650" s="21"/>
    </row>
    <row r="651" spans="3:5" ht="15.75" customHeight="1" x14ac:dyDescent="0.2">
      <c r="C651" s="26"/>
      <c r="D651" s="28"/>
      <c r="E651" s="21"/>
    </row>
    <row r="652" spans="3:5" ht="15.75" customHeight="1" x14ac:dyDescent="0.2">
      <c r="C652" s="26"/>
      <c r="D652" s="28"/>
      <c r="E652" s="21"/>
    </row>
    <row r="653" spans="3:5" ht="15.75" customHeight="1" x14ac:dyDescent="0.2">
      <c r="C653" s="26"/>
      <c r="D653" s="28"/>
      <c r="E653" s="21"/>
    </row>
    <row r="654" spans="3:5" ht="15.75" customHeight="1" x14ac:dyDescent="0.2">
      <c r="C654" s="26"/>
      <c r="D654" s="28"/>
      <c r="E654" s="21"/>
    </row>
    <row r="655" spans="3:5" ht="15.75" customHeight="1" x14ac:dyDescent="0.2">
      <c r="C655" s="26"/>
      <c r="D655" s="28"/>
      <c r="E655" s="21"/>
    </row>
    <row r="656" spans="3:5" ht="15.75" customHeight="1" x14ac:dyDescent="0.2">
      <c r="C656" s="26"/>
      <c r="D656" s="28"/>
      <c r="E656" s="21"/>
    </row>
    <row r="657" spans="3:5" ht="15.75" customHeight="1" x14ac:dyDescent="0.2">
      <c r="C657" s="26"/>
      <c r="D657" s="28"/>
      <c r="E657" s="21"/>
    </row>
    <row r="658" spans="3:5" ht="15.75" customHeight="1" x14ac:dyDescent="0.2">
      <c r="C658" s="26"/>
      <c r="D658" s="28"/>
      <c r="E658" s="21"/>
    </row>
    <row r="659" spans="3:5" ht="15.75" customHeight="1" x14ac:dyDescent="0.2">
      <c r="C659" s="26"/>
      <c r="D659" s="28"/>
      <c r="E659" s="21"/>
    </row>
    <row r="660" spans="3:5" ht="15.75" customHeight="1" x14ac:dyDescent="0.2">
      <c r="C660" s="26"/>
      <c r="D660" s="28"/>
      <c r="E660" s="21"/>
    </row>
    <row r="661" spans="3:5" ht="15.75" customHeight="1" x14ac:dyDescent="0.2">
      <c r="C661" s="26"/>
      <c r="D661" s="28"/>
      <c r="E661" s="21"/>
    </row>
    <row r="662" spans="3:5" ht="15.75" customHeight="1" x14ac:dyDescent="0.2">
      <c r="C662" s="26"/>
      <c r="D662" s="28"/>
      <c r="E662" s="21"/>
    </row>
    <row r="663" spans="3:5" ht="15.75" customHeight="1" x14ac:dyDescent="0.2">
      <c r="C663" s="26"/>
      <c r="D663" s="28"/>
      <c r="E663" s="21"/>
    </row>
    <row r="664" spans="3:5" ht="15.75" customHeight="1" x14ac:dyDescent="0.2">
      <c r="C664" s="26"/>
      <c r="D664" s="28"/>
      <c r="E664" s="21"/>
    </row>
    <row r="665" spans="3:5" ht="15.75" customHeight="1" x14ac:dyDescent="0.2">
      <c r="C665" s="26"/>
      <c r="D665" s="28"/>
      <c r="E665" s="21"/>
    </row>
    <row r="666" spans="3:5" ht="15.75" customHeight="1" x14ac:dyDescent="0.2">
      <c r="C666" s="26"/>
      <c r="D666" s="28"/>
      <c r="E666" s="21"/>
    </row>
    <row r="667" spans="3:5" ht="15.75" customHeight="1" x14ac:dyDescent="0.2">
      <c r="C667" s="26"/>
      <c r="D667" s="28"/>
      <c r="E667" s="21"/>
    </row>
    <row r="668" spans="3:5" ht="15.75" customHeight="1" x14ac:dyDescent="0.2">
      <c r="C668" s="26"/>
      <c r="D668" s="28"/>
      <c r="E668" s="21"/>
    </row>
    <row r="669" spans="3:5" ht="15.75" customHeight="1" x14ac:dyDescent="0.2">
      <c r="C669" s="26"/>
      <c r="D669" s="28"/>
      <c r="E669" s="21"/>
    </row>
    <row r="670" spans="3:5" ht="15.75" customHeight="1" x14ac:dyDescent="0.2">
      <c r="C670" s="26"/>
      <c r="D670" s="28"/>
      <c r="E670" s="21"/>
    </row>
    <row r="671" spans="3:5" ht="15.75" customHeight="1" x14ac:dyDescent="0.2">
      <c r="C671" s="26"/>
      <c r="D671" s="28"/>
      <c r="E671" s="21"/>
    </row>
    <row r="672" spans="3:5" ht="15.75" customHeight="1" x14ac:dyDescent="0.2">
      <c r="C672" s="26"/>
      <c r="D672" s="28"/>
      <c r="E672" s="21"/>
    </row>
    <row r="673" spans="3:5" ht="15.75" customHeight="1" x14ac:dyDescent="0.2">
      <c r="C673" s="26"/>
      <c r="D673" s="28"/>
      <c r="E673" s="21"/>
    </row>
    <row r="674" spans="3:5" ht="15.75" customHeight="1" x14ac:dyDescent="0.2">
      <c r="C674" s="26"/>
      <c r="D674" s="28"/>
      <c r="E674" s="21"/>
    </row>
    <row r="675" spans="3:5" ht="15.75" customHeight="1" x14ac:dyDescent="0.2">
      <c r="C675" s="26"/>
      <c r="D675" s="28"/>
      <c r="E675" s="21"/>
    </row>
    <row r="676" spans="3:5" ht="15.75" customHeight="1" x14ac:dyDescent="0.2">
      <c r="C676" s="26"/>
      <c r="D676" s="28"/>
      <c r="E676" s="21"/>
    </row>
    <row r="677" spans="3:5" ht="15.75" customHeight="1" x14ac:dyDescent="0.2">
      <c r="C677" s="26"/>
      <c r="D677" s="28"/>
      <c r="E677" s="21"/>
    </row>
    <row r="678" spans="3:5" ht="15.75" customHeight="1" x14ac:dyDescent="0.2">
      <c r="C678" s="26"/>
      <c r="D678" s="28"/>
      <c r="E678" s="21"/>
    </row>
    <row r="679" spans="3:5" ht="15.75" customHeight="1" x14ac:dyDescent="0.2">
      <c r="C679" s="26"/>
      <c r="D679" s="28"/>
      <c r="E679" s="21"/>
    </row>
    <row r="680" spans="3:5" ht="15.75" customHeight="1" x14ac:dyDescent="0.2">
      <c r="C680" s="26"/>
      <c r="D680" s="28"/>
      <c r="E680" s="21"/>
    </row>
    <row r="681" spans="3:5" ht="15.75" customHeight="1" x14ac:dyDescent="0.2">
      <c r="C681" s="26"/>
      <c r="D681" s="28"/>
      <c r="E681" s="21"/>
    </row>
    <row r="682" spans="3:5" ht="15.75" customHeight="1" x14ac:dyDescent="0.2">
      <c r="C682" s="26"/>
      <c r="D682" s="28"/>
      <c r="E682" s="21"/>
    </row>
    <row r="683" spans="3:5" ht="15.75" customHeight="1" x14ac:dyDescent="0.2">
      <c r="C683" s="26"/>
      <c r="D683" s="28"/>
      <c r="E683" s="21"/>
    </row>
    <row r="684" spans="3:5" ht="15.75" customHeight="1" x14ac:dyDescent="0.2">
      <c r="C684" s="26"/>
      <c r="D684" s="28"/>
      <c r="E684" s="21"/>
    </row>
    <row r="685" spans="3:5" ht="15.75" customHeight="1" x14ac:dyDescent="0.2">
      <c r="C685" s="26"/>
      <c r="D685" s="28"/>
      <c r="E685" s="21"/>
    </row>
    <row r="686" spans="3:5" ht="15.75" customHeight="1" x14ac:dyDescent="0.2">
      <c r="C686" s="26"/>
      <c r="D686" s="28"/>
      <c r="E686" s="21"/>
    </row>
    <row r="687" spans="3:5" ht="15.75" customHeight="1" x14ac:dyDescent="0.2">
      <c r="C687" s="26"/>
      <c r="D687" s="28"/>
      <c r="E687" s="21"/>
    </row>
    <row r="688" spans="3:5" ht="15.75" customHeight="1" x14ac:dyDescent="0.2">
      <c r="C688" s="26"/>
      <c r="D688" s="28"/>
      <c r="E688" s="21"/>
    </row>
    <row r="689" spans="3:5" ht="15.75" customHeight="1" x14ac:dyDescent="0.2">
      <c r="C689" s="26"/>
      <c r="D689" s="28"/>
      <c r="E689" s="21"/>
    </row>
    <row r="690" spans="3:5" ht="15.75" customHeight="1" x14ac:dyDescent="0.2">
      <c r="C690" s="26"/>
      <c r="D690" s="28"/>
      <c r="E690" s="21"/>
    </row>
    <row r="691" spans="3:5" ht="15.75" customHeight="1" x14ac:dyDescent="0.2">
      <c r="C691" s="26"/>
      <c r="D691" s="28"/>
      <c r="E691" s="21"/>
    </row>
    <row r="692" spans="3:5" ht="15.75" customHeight="1" x14ac:dyDescent="0.2">
      <c r="C692" s="26"/>
      <c r="D692" s="28"/>
      <c r="E692" s="21"/>
    </row>
    <row r="693" spans="3:5" ht="15.75" customHeight="1" x14ac:dyDescent="0.2">
      <c r="C693" s="26"/>
      <c r="D693" s="28"/>
      <c r="E693" s="21"/>
    </row>
    <row r="694" spans="3:5" ht="15.75" customHeight="1" x14ac:dyDescent="0.2">
      <c r="C694" s="26"/>
      <c r="D694" s="28"/>
      <c r="E694" s="21"/>
    </row>
    <row r="695" spans="3:5" ht="15.75" customHeight="1" x14ac:dyDescent="0.2">
      <c r="C695" s="26"/>
      <c r="D695" s="28"/>
      <c r="E695" s="21"/>
    </row>
    <row r="696" spans="3:5" ht="15.75" customHeight="1" x14ac:dyDescent="0.2">
      <c r="C696" s="26"/>
      <c r="D696" s="28"/>
      <c r="E696" s="21"/>
    </row>
    <row r="697" spans="3:5" ht="15.75" customHeight="1" x14ac:dyDescent="0.2">
      <c r="C697" s="26"/>
      <c r="D697" s="28"/>
      <c r="E697" s="21"/>
    </row>
    <row r="698" spans="3:5" ht="15.75" customHeight="1" x14ac:dyDescent="0.2">
      <c r="C698" s="26"/>
      <c r="D698" s="28"/>
      <c r="E698" s="21"/>
    </row>
    <row r="699" spans="3:5" ht="15.75" customHeight="1" x14ac:dyDescent="0.2">
      <c r="C699" s="26"/>
      <c r="D699" s="28"/>
      <c r="E699" s="21"/>
    </row>
    <row r="700" spans="3:5" ht="15.75" customHeight="1" x14ac:dyDescent="0.2">
      <c r="C700" s="26"/>
      <c r="D700" s="28"/>
      <c r="E700" s="21"/>
    </row>
    <row r="701" spans="3:5" ht="15.75" customHeight="1" x14ac:dyDescent="0.2">
      <c r="C701" s="26"/>
      <c r="D701" s="28"/>
      <c r="E701" s="21"/>
    </row>
    <row r="702" spans="3:5" ht="15.75" customHeight="1" x14ac:dyDescent="0.2">
      <c r="C702" s="26"/>
      <c r="D702" s="28"/>
      <c r="E702" s="21"/>
    </row>
    <row r="703" spans="3:5" ht="15.75" customHeight="1" x14ac:dyDescent="0.2">
      <c r="C703" s="26"/>
      <c r="D703" s="28"/>
      <c r="E703" s="21"/>
    </row>
    <row r="704" spans="3:5" ht="15.75" customHeight="1" x14ac:dyDescent="0.2">
      <c r="C704" s="26"/>
      <c r="D704" s="28"/>
      <c r="E704" s="21"/>
    </row>
    <row r="705" spans="3:5" ht="15.75" customHeight="1" x14ac:dyDescent="0.2">
      <c r="C705" s="26"/>
      <c r="D705" s="28"/>
      <c r="E705" s="21"/>
    </row>
    <row r="706" spans="3:5" ht="15.75" customHeight="1" x14ac:dyDescent="0.2">
      <c r="C706" s="26"/>
      <c r="D706" s="28"/>
      <c r="E706" s="21"/>
    </row>
    <row r="707" spans="3:5" ht="15.75" customHeight="1" x14ac:dyDescent="0.2">
      <c r="C707" s="26"/>
      <c r="D707" s="28"/>
      <c r="E707" s="21"/>
    </row>
    <row r="708" spans="3:5" ht="15.75" customHeight="1" x14ac:dyDescent="0.2">
      <c r="C708" s="26"/>
      <c r="D708" s="28"/>
      <c r="E708" s="21"/>
    </row>
    <row r="709" spans="3:5" ht="15.75" customHeight="1" x14ac:dyDescent="0.2">
      <c r="C709" s="26"/>
      <c r="D709" s="28"/>
      <c r="E709" s="21"/>
    </row>
    <row r="710" spans="3:5" ht="15.75" customHeight="1" x14ac:dyDescent="0.2">
      <c r="C710" s="26"/>
      <c r="D710" s="28"/>
      <c r="E710" s="21"/>
    </row>
    <row r="711" spans="3:5" ht="15.75" customHeight="1" x14ac:dyDescent="0.2">
      <c r="C711" s="26"/>
      <c r="D711" s="28"/>
      <c r="E711" s="21"/>
    </row>
    <row r="712" spans="3:5" ht="15.75" customHeight="1" x14ac:dyDescent="0.2">
      <c r="C712" s="26"/>
      <c r="D712" s="28"/>
      <c r="E712" s="21"/>
    </row>
    <row r="713" spans="3:5" ht="15.75" customHeight="1" x14ac:dyDescent="0.2">
      <c r="C713" s="26"/>
      <c r="D713" s="28"/>
      <c r="E713" s="21"/>
    </row>
    <row r="714" spans="3:5" ht="15.75" customHeight="1" x14ac:dyDescent="0.2">
      <c r="C714" s="26"/>
      <c r="D714" s="28"/>
      <c r="E714" s="21"/>
    </row>
    <row r="715" spans="3:5" ht="15.75" customHeight="1" x14ac:dyDescent="0.2">
      <c r="C715" s="26"/>
      <c r="D715" s="28"/>
      <c r="E715" s="21"/>
    </row>
    <row r="716" spans="3:5" ht="15.75" customHeight="1" x14ac:dyDescent="0.2">
      <c r="C716" s="26"/>
      <c r="D716" s="28"/>
      <c r="E716" s="21"/>
    </row>
    <row r="717" spans="3:5" ht="15.75" customHeight="1" x14ac:dyDescent="0.2">
      <c r="C717" s="26"/>
      <c r="D717" s="28"/>
      <c r="E717" s="21"/>
    </row>
    <row r="718" spans="3:5" ht="15.75" customHeight="1" x14ac:dyDescent="0.2">
      <c r="C718" s="26"/>
      <c r="D718" s="28"/>
      <c r="E718" s="21"/>
    </row>
    <row r="719" spans="3:5" ht="15.75" customHeight="1" x14ac:dyDescent="0.2">
      <c r="C719" s="26"/>
      <c r="D719" s="28"/>
      <c r="E719" s="21"/>
    </row>
    <row r="720" spans="3:5" ht="15.75" customHeight="1" x14ac:dyDescent="0.2">
      <c r="C720" s="26"/>
      <c r="D720" s="28"/>
      <c r="E720" s="21"/>
    </row>
    <row r="721" spans="3:5" ht="15.75" customHeight="1" x14ac:dyDescent="0.2">
      <c r="C721" s="26"/>
      <c r="D721" s="28"/>
      <c r="E721" s="21"/>
    </row>
    <row r="722" spans="3:5" ht="15.75" customHeight="1" x14ac:dyDescent="0.2">
      <c r="C722" s="26"/>
      <c r="D722" s="28"/>
      <c r="E722" s="21"/>
    </row>
    <row r="723" spans="3:5" ht="15.75" customHeight="1" x14ac:dyDescent="0.2">
      <c r="C723" s="26"/>
      <c r="D723" s="28"/>
      <c r="E723" s="21"/>
    </row>
    <row r="724" spans="3:5" ht="15.75" customHeight="1" x14ac:dyDescent="0.2">
      <c r="C724" s="26"/>
      <c r="D724" s="28"/>
      <c r="E724" s="21"/>
    </row>
    <row r="725" spans="3:5" ht="15.75" customHeight="1" x14ac:dyDescent="0.2">
      <c r="C725" s="26"/>
      <c r="D725" s="28"/>
      <c r="E725" s="21"/>
    </row>
    <row r="726" spans="3:5" ht="15.75" customHeight="1" x14ac:dyDescent="0.2">
      <c r="C726" s="26"/>
      <c r="D726" s="28"/>
      <c r="E726" s="21"/>
    </row>
    <row r="727" spans="3:5" ht="15.75" customHeight="1" x14ac:dyDescent="0.2">
      <c r="C727" s="26"/>
      <c r="D727" s="28"/>
      <c r="E727" s="21"/>
    </row>
    <row r="728" spans="3:5" ht="15.75" customHeight="1" x14ac:dyDescent="0.2">
      <c r="C728" s="26"/>
      <c r="D728" s="28"/>
      <c r="E728" s="21"/>
    </row>
    <row r="729" spans="3:5" ht="15.75" customHeight="1" x14ac:dyDescent="0.2">
      <c r="C729" s="26"/>
      <c r="D729" s="28"/>
      <c r="E729" s="21"/>
    </row>
    <row r="730" spans="3:5" ht="15.75" customHeight="1" x14ac:dyDescent="0.2">
      <c r="C730" s="26"/>
      <c r="D730" s="28"/>
      <c r="E730" s="21"/>
    </row>
    <row r="731" spans="3:5" ht="15.75" customHeight="1" x14ac:dyDescent="0.2">
      <c r="C731" s="26"/>
      <c r="D731" s="28"/>
      <c r="E731" s="21"/>
    </row>
    <row r="732" spans="3:5" ht="15.75" customHeight="1" x14ac:dyDescent="0.2">
      <c r="C732" s="26"/>
      <c r="D732" s="28"/>
      <c r="E732" s="21"/>
    </row>
    <row r="733" spans="3:5" ht="15.75" customHeight="1" x14ac:dyDescent="0.2">
      <c r="C733" s="26"/>
      <c r="D733" s="28"/>
      <c r="E733" s="21"/>
    </row>
    <row r="734" spans="3:5" ht="15.75" customHeight="1" x14ac:dyDescent="0.2">
      <c r="C734" s="26"/>
      <c r="D734" s="28"/>
      <c r="E734" s="21"/>
    </row>
    <row r="735" spans="3:5" ht="15.75" customHeight="1" x14ac:dyDescent="0.2">
      <c r="C735" s="26"/>
      <c r="D735" s="28"/>
      <c r="E735" s="21"/>
    </row>
    <row r="736" spans="3:5" ht="15.75" customHeight="1" x14ac:dyDescent="0.2">
      <c r="C736" s="26"/>
      <c r="D736" s="28"/>
      <c r="E736" s="21"/>
    </row>
    <row r="737" spans="3:5" ht="15.75" customHeight="1" x14ac:dyDescent="0.2">
      <c r="C737" s="26"/>
      <c r="D737" s="28"/>
      <c r="E737" s="21"/>
    </row>
    <row r="738" spans="3:5" ht="15.75" customHeight="1" x14ac:dyDescent="0.2">
      <c r="C738" s="26"/>
      <c r="D738" s="28"/>
      <c r="E738" s="21"/>
    </row>
    <row r="739" spans="3:5" ht="15.75" customHeight="1" x14ac:dyDescent="0.2">
      <c r="C739" s="26"/>
      <c r="D739" s="28"/>
      <c r="E739" s="21"/>
    </row>
    <row r="740" spans="3:5" ht="15.75" customHeight="1" x14ac:dyDescent="0.2">
      <c r="C740" s="26"/>
      <c r="D740" s="28"/>
      <c r="E740" s="21"/>
    </row>
    <row r="741" spans="3:5" ht="15.75" customHeight="1" x14ac:dyDescent="0.2">
      <c r="C741" s="26"/>
      <c r="D741" s="28"/>
      <c r="E741" s="21"/>
    </row>
    <row r="742" spans="3:5" ht="15.75" customHeight="1" x14ac:dyDescent="0.2">
      <c r="C742" s="26"/>
      <c r="D742" s="28"/>
      <c r="E742" s="21"/>
    </row>
    <row r="743" spans="3:5" ht="15.75" customHeight="1" x14ac:dyDescent="0.2">
      <c r="C743" s="26"/>
      <c r="D743" s="28"/>
      <c r="E743" s="21"/>
    </row>
    <row r="744" spans="3:5" ht="15.75" customHeight="1" x14ac:dyDescent="0.2">
      <c r="C744" s="26"/>
      <c r="D744" s="28"/>
      <c r="E744" s="21"/>
    </row>
    <row r="745" spans="3:5" ht="15.75" customHeight="1" x14ac:dyDescent="0.2">
      <c r="C745" s="26"/>
      <c r="D745" s="28"/>
      <c r="E745" s="21"/>
    </row>
    <row r="746" spans="3:5" ht="15.75" customHeight="1" x14ac:dyDescent="0.2">
      <c r="C746" s="26"/>
      <c r="D746" s="28"/>
      <c r="E746" s="21"/>
    </row>
    <row r="747" spans="3:5" ht="15.75" customHeight="1" x14ac:dyDescent="0.2">
      <c r="C747" s="26"/>
      <c r="D747" s="28"/>
      <c r="E747" s="21"/>
    </row>
    <row r="748" spans="3:5" ht="15.75" customHeight="1" x14ac:dyDescent="0.2">
      <c r="C748" s="26"/>
      <c r="D748" s="28"/>
      <c r="E748" s="21"/>
    </row>
    <row r="749" spans="3:5" ht="15.75" customHeight="1" x14ac:dyDescent="0.2">
      <c r="C749" s="26"/>
      <c r="D749" s="28"/>
      <c r="E749" s="21"/>
    </row>
    <row r="750" spans="3:5" ht="15.75" customHeight="1" x14ac:dyDescent="0.2">
      <c r="C750" s="26"/>
      <c r="D750" s="28"/>
      <c r="E750" s="21"/>
    </row>
    <row r="751" spans="3:5" ht="15.75" customHeight="1" x14ac:dyDescent="0.2">
      <c r="C751" s="26"/>
      <c r="D751" s="28"/>
      <c r="E751" s="21"/>
    </row>
    <row r="752" spans="3:5" ht="15.75" customHeight="1" x14ac:dyDescent="0.2">
      <c r="C752" s="26"/>
      <c r="D752" s="28"/>
      <c r="E752" s="21"/>
    </row>
    <row r="753" spans="3:5" ht="15.75" customHeight="1" x14ac:dyDescent="0.2">
      <c r="C753" s="26"/>
      <c r="D753" s="28"/>
      <c r="E753" s="21"/>
    </row>
    <row r="754" spans="3:5" ht="15.75" customHeight="1" x14ac:dyDescent="0.2">
      <c r="C754" s="26"/>
      <c r="D754" s="28"/>
      <c r="E754" s="21"/>
    </row>
    <row r="755" spans="3:5" ht="15.75" customHeight="1" x14ac:dyDescent="0.2">
      <c r="C755" s="26"/>
      <c r="D755" s="28"/>
      <c r="E755" s="21"/>
    </row>
    <row r="756" spans="3:5" ht="15.75" customHeight="1" x14ac:dyDescent="0.2">
      <c r="C756" s="26"/>
      <c r="D756" s="28"/>
      <c r="E756" s="21"/>
    </row>
    <row r="757" spans="3:5" ht="15.75" customHeight="1" x14ac:dyDescent="0.2">
      <c r="C757" s="26"/>
      <c r="D757" s="28"/>
      <c r="E757" s="21"/>
    </row>
    <row r="758" spans="3:5" ht="15.75" customHeight="1" x14ac:dyDescent="0.2">
      <c r="C758" s="26"/>
      <c r="D758" s="28"/>
      <c r="E758" s="21"/>
    </row>
    <row r="759" spans="3:5" ht="15.75" customHeight="1" x14ac:dyDescent="0.2">
      <c r="C759" s="26"/>
      <c r="D759" s="28"/>
      <c r="E759" s="21"/>
    </row>
    <row r="760" spans="3:5" ht="15.75" customHeight="1" x14ac:dyDescent="0.2">
      <c r="C760" s="26"/>
      <c r="D760" s="28"/>
      <c r="E760" s="21"/>
    </row>
    <row r="761" spans="3:5" ht="15.75" customHeight="1" x14ac:dyDescent="0.2">
      <c r="C761" s="26"/>
      <c r="D761" s="28"/>
      <c r="E761" s="21"/>
    </row>
    <row r="762" spans="3:5" ht="15.75" customHeight="1" x14ac:dyDescent="0.2">
      <c r="C762" s="26"/>
      <c r="D762" s="28"/>
      <c r="E762" s="21"/>
    </row>
    <row r="763" spans="3:5" ht="15.75" customHeight="1" x14ac:dyDescent="0.2">
      <c r="C763" s="26"/>
      <c r="D763" s="28"/>
      <c r="E763" s="21"/>
    </row>
    <row r="764" spans="3:5" ht="15.75" customHeight="1" x14ac:dyDescent="0.2">
      <c r="C764" s="26"/>
      <c r="D764" s="28"/>
      <c r="E764" s="21"/>
    </row>
    <row r="765" spans="3:5" ht="15.75" customHeight="1" x14ac:dyDescent="0.2">
      <c r="C765" s="26"/>
      <c r="D765" s="28"/>
      <c r="E765" s="21"/>
    </row>
    <row r="766" spans="3:5" ht="15.75" customHeight="1" x14ac:dyDescent="0.2">
      <c r="C766" s="26"/>
      <c r="D766" s="28"/>
      <c r="E766" s="21"/>
    </row>
    <row r="767" spans="3:5" ht="15.75" customHeight="1" x14ac:dyDescent="0.2">
      <c r="C767" s="26"/>
      <c r="D767" s="28"/>
      <c r="E767" s="21"/>
    </row>
    <row r="768" spans="3:5" ht="15.75" customHeight="1" x14ac:dyDescent="0.2">
      <c r="C768" s="26"/>
      <c r="D768" s="28"/>
      <c r="E768" s="21"/>
    </row>
    <row r="769" spans="3:5" ht="15.75" customHeight="1" x14ac:dyDescent="0.2">
      <c r="C769" s="26"/>
      <c r="D769" s="28"/>
      <c r="E769" s="21"/>
    </row>
    <row r="770" spans="3:5" ht="15.75" customHeight="1" x14ac:dyDescent="0.2">
      <c r="C770" s="26"/>
      <c r="D770" s="28"/>
      <c r="E770" s="21"/>
    </row>
    <row r="771" spans="3:5" ht="15.75" customHeight="1" x14ac:dyDescent="0.2">
      <c r="C771" s="26"/>
      <c r="D771" s="28"/>
      <c r="E771" s="21"/>
    </row>
    <row r="772" spans="3:5" ht="15.75" customHeight="1" x14ac:dyDescent="0.2">
      <c r="C772" s="26"/>
      <c r="D772" s="28"/>
      <c r="E772" s="21"/>
    </row>
    <row r="773" spans="3:5" ht="15.75" customHeight="1" x14ac:dyDescent="0.2">
      <c r="C773" s="26"/>
      <c r="D773" s="28"/>
      <c r="E773" s="21"/>
    </row>
    <row r="774" spans="3:5" ht="15.75" customHeight="1" x14ac:dyDescent="0.2">
      <c r="C774" s="26"/>
      <c r="D774" s="28"/>
      <c r="E774" s="21"/>
    </row>
    <row r="775" spans="3:5" ht="15.75" customHeight="1" x14ac:dyDescent="0.2">
      <c r="C775" s="26"/>
      <c r="D775" s="28"/>
      <c r="E775" s="21"/>
    </row>
    <row r="776" spans="3:5" ht="15.75" customHeight="1" x14ac:dyDescent="0.2">
      <c r="C776" s="26"/>
      <c r="D776" s="28"/>
      <c r="E776" s="21"/>
    </row>
    <row r="777" spans="3:5" ht="15.75" customHeight="1" x14ac:dyDescent="0.2">
      <c r="C777" s="26"/>
      <c r="D777" s="28"/>
      <c r="E777" s="21"/>
    </row>
    <row r="778" spans="3:5" ht="15.75" customHeight="1" x14ac:dyDescent="0.2">
      <c r="C778" s="26"/>
      <c r="D778" s="28"/>
      <c r="E778" s="21"/>
    </row>
    <row r="779" spans="3:5" ht="15.75" customHeight="1" x14ac:dyDescent="0.2">
      <c r="C779" s="26"/>
      <c r="D779" s="28"/>
      <c r="E779" s="21"/>
    </row>
    <row r="780" spans="3:5" ht="15.75" customHeight="1" x14ac:dyDescent="0.2">
      <c r="C780" s="26"/>
      <c r="D780" s="28"/>
      <c r="E780" s="21"/>
    </row>
    <row r="781" spans="3:5" ht="15.75" customHeight="1" x14ac:dyDescent="0.2">
      <c r="C781" s="26"/>
      <c r="D781" s="28"/>
      <c r="E781" s="21"/>
    </row>
    <row r="782" spans="3:5" ht="15.75" customHeight="1" x14ac:dyDescent="0.2">
      <c r="C782" s="26"/>
      <c r="D782" s="28"/>
      <c r="E782" s="21"/>
    </row>
    <row r="783" spans="3:5" ht="15.75" customHeight="1" x14ac:dyDescent="0.2">
      <c r="C783" s="26"/>
      <c r="D783" s="28"/>
      <c r="E783" s="21"/>
    </row>
    <row r="784" spans="3:5" ht="15.75" customHeight="1" x14ac:dyDescent="0.2">
      <c r="C784" s="26"/>
      <c r="D784" s="28"/>
      <c r="E784" s="21"/>
    </row>
    <row r="785" spans="3:5" ht="15.75" customHeight="1" x14ac:dyDescent="0.2">
      <c r="C785" s="26"/>
      <c r="D785" s="28"/>
      <c r="E785" s="21"/>
    </row>
    <row r="786" spans="3:5" ht="15.75" customHeight="1" x14ac:dyDescent="0.2">
      <c r="C786" s="26"/>
      <c r="D786" s="28"/>
      <c r="E786" s="21"/>
    </row>
    <row r="787" spans="3:5" ht="15.75" customHeight="1" x14ac:dyDescent="0.2">
      <c r="C787" s="26"/>
      <c r="D787" s="28"/>
      <c r="E787" s="21"/>
    </row>
    <row r="788" spans="3:5" ht="15.75" customHeight="1" x14ac:dyDescent="0.2">
      <c r="C788" s="26"/>
      <c r="D788" s="28"/>
      <c r="E788" s="21"/>
    </row>
    <row r="789" spans="3:5" ht="15.75" customHeight="1" x14ac:dyDescent="0.2">
      <c r="C789" s="26"/>
      <c r="D789" s="28"/>
      <c r="E789" s="21"/>
    </row>
    <row r="790" spans="3:5" ht="15.75" customHeight="1" x14ac:dyDescent="0.2">
      <c r="C790" s="26"/>
      <c r="D790" s="28"/>
      <c r="E790" s="21"/>
    </row>
    <row r="791" spans="3:5" ht="15.75" customHeight="1" x14ac:dyDescent="0.2">
      <c r="C791" s="26"/>
      <c r="D791" s="28"/>
      <c r="E791" s="21"/>
    </row>
    <row r="792" spans="3:5" ht="15.75" customHeight="1" x14ac:dyDescent="0.2">
      <c r="C792" s="26"/>
      <c r="D792" s="28"/>
      <c r="E792" s="21"/>
    </row>
    <row r="793" spans="3:5" ht="15.75" customHeight="1" x14ac:dyDescent="0.2">
      <c r="C793" s="26"/>
      <c r="D793" s="28"/>
      <c r="E793" s="21"/>
    </row>
    <row r="794" spans="3:5" ht="15.75" customHeight="1" x14ac:dyDescent="0.2">
      <c r="C794" s="26"/>
      <c r="D794" s="28"/>
      <c r="E794" s="21"/>
    </row>
    <row r="795" spans="3:5" ht="15.75" customHeight="1" x14ac:dyDescent="0.2">
      <c r="C795" s="26"/>
      <c r="D795" s="28"/>
      <c r="E795" s="21"/>
    </row>
    <row r="796" spans="3:5" ht="15.75" customHeight="1" x14ac:dyDescent="0.2">
      <c r="C796" s="26"/>
      <c r="D796" s="28"/>
      <c r="E796" s="21"/>
    </row>
    <row r="797" spans="3:5" ht="15.75" customHeight="1" x14ac:dyDescent="0.2">
      <c r="C797" s="26"/>
      <c r="D797" s="28"/>
      <c r="E797" s="21"/>
    </row>
    <row r="798" spans="3:5" ht="15.75" customHeight="1" x14ac:dyDescent="0.2">
      <c r="C798" s="26"/>
      <c r="D798" s="28"/>
      <c r="E798" s="21"/>
    </row>
    <row r="799" spans="3:5" ht="15.75" customHeight="1" x14ac:dyDescent="0.2">
      <c r="C799" s="26"/>
      <c r="D799" s="28"/>
      <c r="E799" s="21"/>
    </row>
    <row r="800" spans="3:5" ht="15.75" customHeight="1" x14ac:dyDescent="0.2">
      <c r="C800" s="26"/>
      <c r="D800" s="28"/>
      <c r="E800" s="21"/>
    </row>
    <row r="801" spans="3:5" ht="15.75" customHeight="1" x14ac:dyDescent="0.2">
      <c r="C801" s="26"/>
      <c r="D801" s="28"/>
      <c r="E801" s="21"/>
    </row>
    <row r="802" spans="3:5" ht="15.75" customHeight="1" x14ac:dyDescent="0.2">
      <c r="C802" s="26"/>
      <c r="D802" s="28"/>
      <c r="E802" s="21"/>
    </row>
    <row r="803" spans="3:5" ht="15.75" customHeight="1" x14ac:dyDescent="0.2">
      <c r="C803" s="26"/>
      <c r="D803" s="28"/>
      <c r="E803" s="21"/>
    </row>
    <row r="804" spans="3:5" ht="15.75" customHeight="1" x14ac:dyDescent="0.2">
      <c r="C804" s="26"/>
      <c r="D804" s="28"/>
      <c r="E804" s="21"/>
    </row>
    <row r="805" spans="3:5" ht="15.75" customHeight="1" x14ac:dyDescent="0.2">
      <c r="C805" s="26"/>
      <c r="D805" s="28"/>
      <c r="E805" s="21"/>
    </row>
    <row r="806" spans="3:5" ht="15.75" customHeight="1" x14ac:dyDescent="0.2">
      <c r="C806" s="26"/>
      <c r="D806" s="28"/>
      <c r="E806" s="21"/>
    </row>
    <row r="807" spans="3:5" ht="15.75" customHeight="1" x14ac:dyDescent="0.2">
      <c r="C807" s="26"/>
      <c r="D807" s="28"/>
      <c r="E807" s="21"/>
    </row>
    <row r="808" spans="3:5" ht="15.75" customHeight="1" x14ac:dyDescent="0.2">
      <c r="C808" s="26"/>
      <c r="D808" s="28"/>
      <c r="E808" s="21"/>
    </row>
    <row r="809" spans="3:5" ht="15.75" customHeight="1" x14ac:dyDescent="0.2">
      <c r="C809" s="26"/>
      <c r="D809" s="28"/>
      <c r="E809" s="21"/>
    </row>
    <row r="810" spans="3:5" ht="15.75" customHeight="1" x14ac:dyDescent="0.2">
      <c r="C810" s="26"/>
      <c r="D810" s="28"/>
      <c r="E810" s="21"/>
    </row>
    <row r="811" spans="3:5" ht="15.75" customHeight="1" x14ac:dyDescent="0.2">
      <c r="C811" s="26"/>
      <c r="D811" s="28"/>
      <c r="E811" s="21"/>
    </row>
    <row r="812" spans="3:5" ht="15.75" customHeight="1" x14ac:dyDescent="0.2">
      <c r="C812" s="26"/>
      <c r="D812" s="28"/>
      <c r="E812" s="21"/>
    </row>
    <row r="813" spans="3:5" ht="15.75" customHeight="1" x14ac:dyDescent="0.2">
      <c r="C813" s="26"/>
      <c r="D813" s="28"/>
      <c r="E813" s="21"/>
    </row>
    <row r="814" spans="3:5" ht="15.75" customHeight="1" x14ac:dyDescent="0.2">
      <c r="C814" s="26"/>
      <c r="D814" s="28"/>
      <c r="E814" s="21"/>
    </row>
    <row r="815" spans="3:5" ht="15.75" customHeight="1" x14ac:dyDescent="0.2">
      <c r="C815" s="26"/>
      <c r="D815" s="28"/>
      <c r="E815" s="21"/>
    </row>
    <row r="816" spans="3:5" ht="15.75" customHeight="1" x14ac:dyDescent="0.2">
      <c r="C816" s="26"/>
      <c r="D816" s="28"/>
      <c r="E816" s="21"/>
    </row>
    <row r="817" spans="3:5" ht="15.75" customHeight="1" x14ac:dyDescent="0.2">
      <c r="C817" s="26"/>
      <c r="D817" s="28"/>
      <c r="E817" s="21"/>
    </row>
    <row r="818" spans="3:5" ht="15.75" customHeight="1" x14ac:dyDescent="0.2">
      <c r="C818" s="26"/>
      <c r="D818" s="28"/>
      <c r="E818" s="21"/>
    </row>
    <row r="819" spans="3:5" ht="15.75" customHeight="1" x14ac:dyDescent="0.2">
      <c r="C819" s="26"/>
      <c r="D819" s="28"/>
      <c r="E819" s="21"/>
    </row>
    <row r="820" spans="3:5" ht="15.75" customHeight="1" x14ac:dyDescent="0.2">
      <c r="C820" s="26"/>
      <c r="D820" s="28"/>
      <c r="E820" s="21"/>
    </row>
    <row r="821" spans="3:5" ht="15.75" customHeight="1" x14ac:dyDescent="0.2">
      <c r="C821" s="26"/>
      <c r="D821" s="28"/>
      <c r="E821" s="21"/>
    </row>
    <row r="822" spans="3:5" ht="15.75" customHeight="1" x14ac:dyDescent="0.2">
      <c r="C822" s="26"/>
      <c r="D822" s="28"/>
      <c r="E822" s="21"/>
    </row>
    <row r="823" spans="3:5" ht="15.75" customHeight="1" x14ac:dyDescent="0.2">
      <c r="C823" s="26"/>
      <c r="D823" s="28"/>
      <c r="E823" s="21"/>
    </row>
    <row r="824" spans="3:5" ht="15.75" customHeight="1" x14ac:dyDescent="0.2">
      <c r="C824" s="26"/>
      <c r="D824" s="28"/>
      <c r="E824" s="21"/>
    </row>
    <row r="825" spans="3:5" ht="15.75" customHeight="1" x14ac:dyDescent="0.2">
      <c r="C825" s="26"/>
      <c r="D825" s="28"/>
      <c r="E825" s="21"/>
    </row>
    <row r="826" spans="3:5" ht="15.75" customHeight="1" x14ac:dyDescent="0.2">
      <c r="C826" s="26"/>
      <c r="D826" s="28"/>
      <c r="E826" s="21"/>
    </row>
    <row r="827" spans="3:5" ht="15.75" customHeight="1" x14ac:dyDescent="0.2">
      <c r="C827" s="26"/>
      <c r="D827" s="28"/>
      <c r="E827" s="21"/>
    </row>
    <row r="828" spans="3:5" ht="15.75" customHeight="1" x14ac:dyDescent="0.2">
      <c r="C828" s="26"/>
      <c r="D828" s="28"/>
      <c r="E828" s="21"/>
    </row>
    <row r="829" spans="3:5" ht="15.75" customHeight="1" x14ac:dyDescent="0.2">
      <c r="C829" s="26"/>
      <c r="D829" s="28"/>
      <c r="E829" s="21"/>
    </row>
    <row r="830" spans="3:5" ht="15.75" customHeight="1" x14ac:dyDescent="0.2">
      <c r="C830" s="26"/>
      <c r="D830" s="28"/>
      <c r="E830" s="21"/>
    </row>
    <row r="831" spans="3:5" ht="15.75" customHeight="1" x14ac:dyDescent="0.2">
      <c r="C831" s="26"/>
      <c r="D831" s="28"/>
      <c r="E831" s="21"/>
    </row>
    <row r="832" spans="3:5" ht="15.75" customHeight="1" x14ac:dyDescent="0.2">
      <c r="C832" s="26"/>
      <c r="D832" s="28"/>
      <c r="E832" s="21"/>
    </row>
    <row r="833" spans="3:5" ht="15.75" customHeight="1" x14ac:dyDescent="0.2">
      <c r="C833" s="26"/>
      <c r="D833" s="28"/>
      <c r="E833" s="21"/>
    </row>
    <row r="834" spans="3:5" ht="15.75" customHeight="1" x14ac:dyDescent="0.2">
      <c r="C834" s="26"/>
      <c r="D834" s="28"/>
      <c r="E834" s="21"/>
    </row>
    <row r="835" spans="3:5" ht="15.75" customHeight="1" x14ac:dyDescent="0.2">
      <c r="C835" s="26"/>
      <c r="D835" s="28"/>
      <c r="E835" s="21"/>
    </row>
    <row r="836" spans="3:5" ht="15.75" customHeight="1" x14ac:dyDescent="0.2">
      <c r="C836" s="26"/>
      <c r="D836" s="28"/>
      <c r="E836" s="21"/>
    </row>
    <row r="837" spans="3:5" ht="15.75" customHeight="1" x14ac:dyDescent="0.2">
      <c r="C837" s="26"/>
      <c r="D837" s="28"/>
      <c r="E837" s="21"/>
    </row>
    <row r="838" spans="3:5" ht="15.75" customHeight="1" x14ac:dyDescent="0.2">
      <c r="C838" s="26"/>
      <c r="D838" s="28"/>
      <c r="E838" s="21"/>
    </row>
    <row r="839" spans="3:5" ht="15.75" customHeight="1" x14ac:dyDescent="0.2">
      <c r="C839" s="26"/>
      <c r="D839" s="28"/>
      <c r="E839" s="21"/>
    </row>
    <row r="840" spans="3:5" ht="15.75" customHeight="1" x14ac:dyDescent="0.2">
      <c r="C840" s="26"/>
      <c r="D840" s="28"/>
      <c r="E840" s="21"/>
    </row>
    <row r="841" spans="3:5" ht="15.75" customHeight="1" x14ac:dyDescent="0.2">
      <c r="C841" s="26"/>
      <c r="D841" s="28"/>
      <c r="E841" s="21"/>
    </row>
    <row r="842" spans="3:5" ht="15.75" customHeight="1" x14ac:dyDescent="0.2">
      <c r="C842" s="26"/>
      <c r="D842" s="28"/>
      <c r="E842" s="21"/>
    </row>
    <row r="843" spans="3:5" ht="15.75" customHeight="1" x14ac:dyDescent="0.2">
      <c r="C843" s="26"/>
      <c r="D843" s="28"/>
      <c r="E843" s="21"/>
    </row>
    <row r="844" spans="3:5" ht="15.75" customHeight="1" x14ac:dyDescent="0.2">
      <c r="C844" s="26"/>
      <c r="D844" s="28"/>
      <c r="E844" s="21"/>
    </row>
    <row r="845" spans="3:5" ht="15.75" customHeight="1" x14ac:dyDescent="0.2">
      <c r="C845" s="26"/>
      <c r="D845" s="28"/>
      <c r="E845" s="21"/>
    </row>
    <row r="846" spans="3:5" ht="15.75" customHeight="1" x14ac:dyDescent="0.2">
      <c r="C846" s="26"/>
      <c r="D846" s="28"/>
      <c r="E846" s="21"/>
    </row>
    <row r="847" spans="3:5" ht="15.75" customHeight="1" x14ac:dyDescent="0.2">
      <c r="C847" s="26"/>
      <c r="D847" s="28"/>
      <c r="E847" s="21"/>
    </row>
    <row r="848" spans="3:5" ht="15.75" customHeight="1" x14ac:dyDescent="0.2">
      <c r="C848" s="26"/>
      <c r="D848" s="28"/>
      <c r="E848" s="21"/>
    </row>
    <row r="849" spans="3:5" ht="15.75" customHeight="1" x14ac:dyDescent="0.2">
      <c r="C849" s="26"/>
      <c r="D849" s="28"/>
      <c r="E849" s="21"/>
    </row>
    <row r="850" spans="3:5" ht="15.75" customHeight="1" x14ac:dyDescent="0.2">
      <c r="C850" s="26"/>
      <c r="D850" s="28"/>
      <c r="E850" s="21"/>
    </row>
    <row r="851" spans="3:5" ht="15.75" customHeight="1" x14ac:dyDescent="0.2">
      <c r="C851" s="26"/>
      <c r="D851" s="28"/>
      <c r="E851" s="21"/>
    </row>
    <row r="852" spans="3:5" ht="15.75" customHeight="1" x14ac:dyDescent="0.2">
      <c r="C852" s="26"/>
      <c r="D852" s="28"/>
      <c r="E852" s="21"/>
    </row>
    <row r="853" spans="3:5" ht="15.75" customHeight="1" x14ac:dyDescent="0.2">
      <c r="C853" s="26"/>
      <c r="D853" s="28"/>
      <c r="E853" s="21"/>
    </row>
    <row r="854" spans="3:5" ht="15.75" customHeight="1" x14ac:dyDescent="0.2">
      <c r="C854" s="26"/>
      <c r="D854" s="28"/>
      <c r="E854" s="21"/>
    </row>
    <row r="855" spans="3:5" ht="15.75" customHeight="1" x14ac:dyDescent="0.2">
      <c r="C855" s="26"/>
      <c r="D855" s="28"/>
      <c r="E855" s="21"/>
    </row>
    <row r="856" spans="3:5" ht="15.75" customHeight="1" x14ac:dyDescent="0.2">
      <c r="C856" s="26"/>
      <c r="D856" s="28"/>
      <c r="E856" s="21"/>
    </row>
    <row r="857" spans="3:5" ht="15.75" customHeight="1" x14ac:dyDescent="0.2">
      <c r="C857" s="26"/>
      <c r="D857" s="28"/>
      <c r="E857" s="21"/>
    </row>
    <row r="858" spans="3:5" ht="15.75" customHeight="1" x14ac:dyDescent="0.2">
      <c r="C858" s="26"/>
      <c r="D858" s="28"/>
      <c r="E858" s="21"/>
    </row>
    <row r="859" spans="3:5" ht="15.75" customHeight="1" x14ac:dyDescent="0.2">
      <c r="C859" s="26"/>
      <c r="D859" s="28"/>
      <c r="E859" s="21"/>
    </row>
    <row r="860" spans="3:5" ht="15.75" customHeight="1" x14ac:dyDescent="0.2">
      <c r="C860" s="26"/>
      <c r="D860" s="28"/>
      <c r="E860" s="21"/>
    </row>
    <row r="861" spans="3:5" ht="15.75" customHeight="1" x14ac:dyDescent="0.2">
      <c r="C861" s="26"/>
      <c r="D861" s="28"/>
      <c r="E861" s="21"/>
    </row>
    <row r="862" spans="3:5" ht="15.75" customHeight="1" x14ac:dyDescent="0.2">
      <c r="C862" s="26"/>
      <c r="D862" s="28"/>
      <c r="E862" s="21"/>
    </row>
    <row r="863" spans="3:5" ht="15.75" customHeight="1" x14ac:dyDescent="0.2">
      <c r="C863" s="26"/>
      <c r="D863" s="28"/>
      <c r="E863" s="21"/>
    </row>
    <row r="864" spans="3:5" ht="15.75" customHeight="1" x14ac:dyDescent="0.2">
      <c r="C864" s="26"/>
      <c r="D864" s="28"/>
      <c r="E864" s="21"/>
    </row>
    <row r="865" spans="3:5" ht="15.75" customHeight="1" x14ac:dyDescent="0.2">
      <c r="C865" s="26"/>
      <c r="D865" s="28"/>
      <c r="E865" s="21"/>
    </row>
    <row r="866" spans="3:5" ht="15.75" customHeight="1" x14ac:dyDescent="0.2">
      <c r="C866" s="26"/>
      <c r="D866" s="28"/>
      <c r="E866" s="21"/>
    </row>
    <row r="867" spans="3:5" ht="15.75" customHeight="1" x14ac:dyDescent="0.2">
      <c r="C867" s="26"/>
      <c r="D867" s="28"/>
      <c r="E867" s="21"/>
    </row>
    <row r="868" spans="3:5" ht="15.75" customHeight="1" x14ac:dyDescent="0.2">
      <c r="C868" s="26"/>
      <c r="D868" s="28"/>
      <c r="E868" s="21"/>
    </row>
    <row r="869" spans="3:5" ht="15.75" customHeight="1" x14ac:dyDescent="0.2">
      <c r="C869" s="26"/>
      <c r="D869" s="28"/>
      <c r="E869" s="21"/>
    </row>
    <row r="870" spans="3:5" ht="15.75" customHeight="1" x14ac:dyDescent="0.2">
      <c r="C870" s="26"/>
      <c r="D870" s="28"/>
      <c r="E870" s="21"/>
    </row>
    <row r="871" spans="3:5" ht="15.75" customHeight="1" x14ac:dyDescent="0.2">
      <c r="C871" s="26"/>
      <c r="D871" s="28"/>
      <c r="E871" s="21"/>
    </row>
    <row r="872" spans="3:5" ht="15.75" customHeight="1" x14ac:dyDescent="0.2">
      <c r="C872" s="26"/>
      <c r="D872" s="28"/>
      <c r="E872" s="21"/>
    </row>
    <row r="873" spans="3:5" ht="15.75" customHeight="1" x14ac:dyDescent="0.2">
      <c r="C873" s="26"/>
      <c r="D873" s="28"/>
      <c r="E873" s="21"/>
    </row>
    <row r="874" spans="3:5" ht="15.75" customHeight="1" x14ac:dyDescent="0.2">
      <c r="C874" s="26"/>
      <c r="D874" s="28"/>
      <c r="E874" s="21"/>
    </row>
    <row r="875" spans="3:5" ht="15.75" customHeight="1" x14ac:dyDescent="0.2">
      <c r="C875" s="26"/>
      <c r="D875" s="28"/>
      <c r="E875" s="21"/>
    </row>
    <row r="876" spans="3:5" ht="15.75" customHeight="1" x14ac:dyDescent="0.2">
      <c r="C876" s="26"/>
      <c r="D876" s="28"/>
      <c r="E876" s="21"/>
    </row>
    <row r="877" spans="3:5" ht="15.75" customHeight="1" x14ac:dyDescent="0.2">
      <c r="C877" s="26"/>
      <c r="D877" s="28"/>
      <c r="E877" s="21"/>
    </row>
    <row r="878" spans="3:5" ht="15.75" customHeight="1" x14ac:dyDescent="0.2">
      <c r="C878" s="26"/>
      <c r="D878" s="28"/>
      <c r="E878" s="21"/>
    </row>
    <row r="879" spans="3:5" ht="15.75" customHeight="1" x14ac:dyDescent="0.2">
      <c r="C879" s="26"/>
      <c r="D879" s="28"/>
      <c r="E879" s="21"/>
    </row>
    <row r="880" spans="3:5" ht="15.75" customHeight="1" x14ac:dyDescent="0.2">
      <c r="C880" s="26"/>
      <c r="D880" s="28"/>
      <c r="E880" s="21"/>
    </row>
    <row r="881" spans="3:5" ht="15.75" customHeight="1" x14ac:dyDescent="0.2">
      <c r="C881" s="26"/>
      <c r="D881" s="28"/>
      <c r="E881" s="21"/>
    </row>
    <row r="882" spans="3:5" ht="15.75" customHeight="1" x14ac:dyDescent="0.2">
      <c r="C882" s="26"/>
      <c r="D882" s="28"/>
      <c r="E882" s="21"/>
    </row>
    <row r="883" spans="3:5" ht="15.75" customHeight="1" x14ac:dyDescent="0.2">
      <c r="C883" s="26"/>
      <c r="D883" s="28"/>
      <c r="E883" s="21"/>
    </row>
    <row r="884" spans="3:5" ht="15.75" customHeight="1" x14ac:dyDescent="0.2">
      <c r="C884" s="26"/>
      <c r="D884" s="28"/>
      <c r="E884" s="21"/>
    </row>
    <row r="885" spans="3:5" ht="15.75" customHeight="1" x14ac:dyDescent="0.2">
      <c r="C885" s="26"/>
      <c r="D885" s="28"/>
      <c r="E885" s="21"/>
    </row>
    <row r="886" spans="3:5" ht="15.75" customHeight="1" x14ac:dyDescent="0.2">
      <c r="C886" s="26"/>
      <c r="D886" s="28"/>
      <c r="E886" s="21"/>
    </row>
    <row r="887" spans="3:5" ht="15.75" customHeight="1" x14ac:dyDescent="0.2">
      <c r="C887" s="26"/>
      <c r="D887" s="28"/>
      <c r="E887" s="21"/>
    </row>
    <row r="888" spans="3:5" ht="15.75" customHeight="1" x14ac:dyDescent="0.2">
      <c r="C888" s="26"/>
      <c r="D888" s="28"/>
      <c r="E888" s="21"/>
    </row>
    <row r="889" spans="3:5" ht="15.75" customHeight="1" x14ac:dyDescent="0.2">
      <c r="C889" s="26"/>
      <c r="D889" s="28"/>
      <c r="E889" s="21"/>
    </row>
    <row r="890" spans="3:5" ht="15.75" customHeight="1" x14ac:dyDescent="0.2">
      <c r="C890" s="26"/>
      <c r="D890" s="28"/>
      <c r="E890" s="21"/>
    </row>
    <row r="891" spans="3:5" ht="15.75" customHeight="1" x14ac:dyDescent="0.2">
      <c r="C891" s="26"/>
      <c r="D891" s="28"/>
      <c r="E891" s="21"/>
    </row>
    <row r="892" spans="3:5" ht="15.75" customHeight="1" x14ac:dyDescent="0.2">
      <c r="C892" s="26"/>
      <c r="D892" s="28"/>
      <c r="E892" s="21"/>
    </row>
    <row r="893" spans="3:5" ht="15.75" customHeight="1" x14ac:dyDescent="0.2">
      <c r="C893" s="26"/>
      <c r="D893" s="28"/>
      <c r="E893" s="21"/>
    </row>
    <row r="894" spans="3:5" ht="15.75" customHeight="1" x14ac:dyDescent="0.2">
      <c r="C894" s="26"/>
      <c r="D894" s="28"/>
      <c r="E894" s="21"/>
    </row>
    <row r="895" spans="3:5" ht="15.75" customHeight="1" x14ac:dyDescent="0.2">
      <c r="C895" s="26"/>
      <c r="D895" s="28"/>
      <c r="E895" s="21"/>
    </row>
    <row r="896" spans="3:5" ht="15.75" customHeight="1" x14ac:dyDescent="0.2">
      <c r="C896" s="26"/>
      <c r="D896" s="28"/>
      <c r="E896" s="21"/>
    </row>
    <row r="897" spans="3:5" ht="15.75" customHeight="1" x14ac:dyDescent="0.2">
      <c r="C897" s="26"/>
      <c r="D897" s="28"/>
      <c r="E897" s="21"/>
    </row>
    <row r="898" spans="3:5" ht="15.75" customHeight="1" x14ac:dyDescent="0.2">
      <c r="C898" s="26"/>
      <c r="D898" s="28"/>
      <c r="E898" s="21"/>
    </row>
    <row r="899" spans="3:5" ht="15.75" customHeight="1" x14ac:dyDescent="0.2">
      <c r="C899" s="26"/>
      <c r="D899" s="28"/>
      <c r="E899" s="21"/>
    </row>
    <row r="900" spans="3:5" ht="15.75" customHeight="1" x14ac:dyDescent="0.2">
      <c r="C900" s="26"/>
      <c r="D900" s="28"/>
      <c r="E900" s="21"/>
    </row>
    <row r="901" spans="3:5" ht="15.75" customHeight="1" x14ac:dyDescent="0.2">
      <c r="C901" s="26"/>
      <c r="D901" s="28"/>
      <c r="E901" s="21"/>
    </row>
    <row r="902" spans="3:5" ht="15.75" customHeight="1" x14ac:dyDescent="0.2">
      <c r="C902" s="26"/>
      <c r="D902" s="28"/>
      <c r="E902" s="21"/>
    </row>
    <row r="903" spans="3:5" ht="15.75" customHeight="1" x14ac:dyDescent="0.2">
      <c r="C903" s="26"/>
      <c r="D903" s="28"/>
      <c r="E903" s="21"/>
    </row>
    <row r="904" spans="3:5" ht="15.75" customHeight="1" x14ac:dyDescent="0.2">
      <c r="C904" s="26"/>
      <c r="D904" s="28"/>
      <c r="E904" s="21"/>
    </row>
    <row r="905" spans="3:5" ht="15.75" customHeight="1" x14ac:dyDescent="0.2">
      <c r="C905" s="26"/>
      <c r="D905" s="28"/>
      <c r="E905" s="21"/>
    </row>
    <row r="906" spans="3:5" ht="15.75" customHeight="1" x14ac:dyDescent="0.2">
      <c r="C906" s="26"/>
      <c r="D906" s="28"/>
      <c r="E906" s="21"/>
    </row>
    <row r="907" spans="3:5" ht="15.75" customHeight="1" x14ac:dyDescent="0.2">
      <c r="C907" s="26"/>
      <c r="D907" s="28"/>
      <c r="E907" s="21"/>
    </row>
    <row r="908" spans="3:5" ht="15.75" customHeight="1" x14ac:dyDescent="0.2">
      <c r="C908" s="26"/>
      <c r="D908" s="28"/>
      <c r="E908" s="21"/>
    </row>
    <row r="909" spans="3:5" ht="15.75" customHeight="1" x14ac:dyDescent="0.2">
      <c r="C909" s="26"/>
      <c r="D909" s="28"/>
      <c r="E909" s="21"/>
    </row>
    <row r="910" spans="3:5" ht="15.75" customHeight="1" x14ac:dyDescent="0.2">
      <c r="C910" s="26"/>
      <c r="D910" s="28"/>
      <c r="E910" s="21"/>
    </row>
    <row r="911" spans="3:5" ht="15.75" customHeight="1" x14ac:dyDescent="0.2">
      <c r="C911" s="26"/>
      <c r="D911" s="28"/>
      <c r="E911" s="21"/>
    </row>
    <row r="912" spans="3:5" ht="15.75" customHeight="1" x14ac:dyDescent="0.2">
      <c r="C912" s="26"/>
      <c r="D912" s="28"/>
      <c r="E912" s="21"/>
    </row>
    <row r="913" spans="3:5" ht="15.75" customHeight="1" x14ac:dyDescent="0.2">
      <c r="C913" s="26"/>
      <c r="D913" s="28"/>
      <c r="E913" s="21"/>
    </row>
    <row r="914" spans="3:5" ht="15.75" customHeight="1" x14ac:dyDescent="0.2">
      <c r="C914" s="26"/>
      <c r="D914" s="28"/>
      <c r="E914" s="21"/>
    </row>
    <row r="915" spans="3:5" ht="15.75" customHeight="1" x14ac:dyDescent="0.2">
      <c r="C915" s="26"/>
      <c r="D915" s="28"/>
      <c r="E915" s="21"/>
    </row>
    <row r="916" spans="3:5" ht="15.75" customHeight="1" x14ac:dyDescent="0.2">
      <c r="C916" s="26"/>
      <c r="D916" s="28"/>
      <c r="E916" s="21"/>
    </row>
    <row r="917" spans="3:5" ht="15.75" customHeight="1" x14ac:dyDescent="0.2">
      <c r="C917" s="26"/>
      <c r="D917" s="28"/>
      <c r="E917" s="21"/>
    </row>
    <row r="918" spans="3:5" ht="15.75" customHeight="1" x14ac:dyDescent="0.2">
      <c r="C918" s="26"/>
      <c r="D918" s="28"/>
      <c r="E918" s="21"/>
    </row>
    <row r="919" spans="3:5" ht="15.75" customHeight="1" x14ac:dyDescent="0.2">
      <c r="C919" s="26"/>
      <c r="D919" s="28"/>
      <c r="E919" s="21"/>
    </row>
    <row r="920" spans="3:5" ht="15.75" customHeight="1" x14ac:dyDescent="0.2">
      <c r="C920" s="26"/>
      <c r="D920" s="28"/>
      <c r="E920" s="21"/>
    </row>
    <row r="921" spans="3:5" ht="15.75" customHeight="1" x14ac:dyDescent="0.2">
      <c r="C921" s="26"/>
      <c r="D921" s="28"/>
      <c r="E921" s="21"/>
    </row>
    <row r="922" spans="3:5" ht="15.75" customHeight="1" x14ac:dyDescent="0.2">
      <c r="C922" s="26"/>
      <c r="D922" s="28"/>
      <c r="E922" s="21"/>
    </row>
    <row r="923" spans="3:5" ht="15.75" customHeight="1" x14ac:dyDescent="0.2">
      <c r="C923" s="26"/>
      <c r="D923" s="28"/>
      <c r="E923" s="21"/>
    </row>
    <row r="924" spans="3:5" ht="15.75" customHeight="1" x14ac:dyDescent="0.2">
      <c r="C924" s="26"/>
      <c r="D924" s="28"/>
      <c r="E924" s="21"/>
    </row>
    <row r="925" spans="3:5" ht="15.75" customHeight="1" x14ac:dyDescent="0.2">
      <c r="C925" s="26"/>
      <c r="D925" s="28"/>
      <c r="E925" s="21"/>
    </row>
    <row r="926" spans="3:5" ht="15.75" customHeight="1" x14ac:dyDescent="0.2">
      <c r="C926" s="26"/>
      <c r="D926" s="28"/>
      <c r="E926" s="21"/>
    </row>
    <row r="927" spans="3:5" ht="15.75" customHeight="1" x14ac:dyDescent="0.2">
      <c r="C927" s="26"/>
      <c r="D927" s="28"/>
      <c r="E927" s="21"/>
    </row>
    <row r="928" spans="3:5" ht="15.75" customHeight="1" x14ac:dyDescent="0.2">
      <c r="C928" s="26"/>
      <c r="D928" s="28"/>
      <c r="E928" s="21"/>
    </row>
    <row r="929" spans="3:5" ht="15.75" customHeight="1" x14ac:dyDescent="0.2">
      <c r="C929" s="26"/>
      <c r="D929" s="28"/>
      <c r="E929" s="21"/>
    </row>
    <row r="930" spans="3:5" ht="15.75" customHeight="1" x14ac:dyDescent="0.2">
      <c r="C930" s="26"/>
      <c r="D930" s="28"/>
      <c r="E930" s="21"/>
    </row>
    <row r="931" spans="3:5" ht="15.75" customHeight="1" x14ac:dyDescent="0.2">
      <c r="C931" s="26"/>
      <c r="D931" s="28"/>
      <c r="E931" s="21"/>
    </row>
    <row r="932" spans="3:5" ht="15.75" customHeight="1" x14ac:dyDescent="0.2">
      <c r="C932" s="26"/>
      <c r="D932" s="28"/>
      <c r="E932" s="21"/>
    </row>
    <row r="933" spans="3:5" ht="15.75" customHeight="1" x14ac:dyDescent="0.2">
      <c r="C933" s="26"/>
      <c r="D933" s="28"/>
      <c r="E933" s="21"/>
    </row>
    <row r="934" spans="3:5" ht="15.75" customHeight="1" x14ac:dyDescent="0.2">
      <c r="C934" s="26"/>
      <c r="D934" s="28"/>
      <c r="E934" s="21"/>
    </row>
    <row r="935" spans="3:5" ht="15.75" customHeight="1" x14ac:dyDescent="0.2">
      <c r="C935" s="26"/>
      <c r="D935" s="28"/>
      <c r="E935" s="21"/>
    </row>
    <row r="936" spans="3:5" ht="15.75" customHeight="1" x14ac:dyDescent="0.2">
      <c r="C936" s="26"/>
      <c r="D936" s="28"/>
      <c r="E936" s="21"/>
    </row>
    <row r="937" spans="3:5" ht="15.75" customHeight="1" x14ac:dyDescent="0.2">
      <c r="C937" s="26"/>
      <c r="D937" s="28"/>
      <c r="E937" s="21"/>
    </row>
    <row r="938" spans="3:5" ht="15.75" customHeight="1" x14ac:dyDescent="0.2">
      <c r="C938" s="26"/>
      <c r="D938" s="28"/>
      <c r="E938" s="21"/>
    </row>
    <row r="939" spans="3:5" ht="15.75" customHeight="1" x14ac:dyDescent="0.2">
      <c r="C939" s="26"/>
      <c r="D939" s="28"/>
      <c r="E939" s="21"/>
    </row>
    <row r="940" spans="3:5" ht="15.75" customHeight="1" x14ac:dyDescent="0.2">
      <c r="C940" s="26"/>
      <c r="D940" s="28"/>
      <c r="E940" s="21"/>
    </row>
    <row r="941" spans="3:5" ht="15.75" customHeight="1" x14ac:dyDescent="0.2">
      <c r="C941" s="26"/>
      <c r="D941" s="28"/>
      <c r="E941" s="21"/>
    </row>
    <row r="942" spans="3:5" ht="15.75" customHeight="1" x14ac:dyDescent="0.2">
      <c r="C942" s="26"/>
      <c r="D942" s="28"/>
      <c r="E942" s="21"/>
    </row>
    <row r="943" spans="3:5" ht="15.75" customHeight="1" x14ac:dyDescent="0.2">
      <c r="C943" s="26"/>
      <c r="D943" s="28"/>
      <c r="E943" s="21"/>
    </row>
    <row r="944" spans="3:5" ht="15.75" customHeight="1" x14ac:dyDescent="0.2">
      <c r="C944" s="26"/>
      <c r="D944" s="28"/>
      <c r="E944" s="21"/>
    </row>
    <row r="945" spans="3:5" ht="15.75" customHeight="1" x14ac:dyDescent="0.2">
      <c r="C945" s="26"/>
      <c r="D945" s="28"/>
      <c r="E945" s="21"/>
    </row>
    <row r="946" spans="3:5" ht="15.75" customHeight="1" x14ac:dyDescent="0.2">
      <c r="C946" s="26"/>
      <c r="D946" s="28"/>
      <c r="E946" s="21"/>
    </row>
    <row r="947" spans="3:5" ht="15.75" customHeight="1" x14ac:dyDescent="0.2">
      <c r="C947" s="26"/>
      <c r="D947" s="28"/>
      <c r="E947" s="21"/>
    </row>
    <row r="948" spans="3:5" ht="15.75" customHeight="1" x14ac:dyDescent="0.2">
      <c r="C948" s="26"/>
      <c r="D948" s="28"/>
      <c r="E948" s="21"/>
    </row>
    <row r="949" spans="3:5" ht="15.75" customHeight="1" x14ac:dyDescent="0.2">
      <c r="C949" s="26"/>
      <c r="D949" s="28"/>
      <c r="E949" s="21"/>
    </row>
    <row r="950" spans="3:5" ht="15.75" customHeight="1" x14ac:dyDescent="0.2">
      <c r="C950" s="26"/>
      <c r="D950" s="28"/>
      <c r="E950" s="21"/>
    </row>
    <row r="951" spans="3:5" ht="15.75" customHeight="1" x14ac:dyDescent="0.2">
      <c r="C951" s="26"/>
      <c r="D951" s="28"/>
      <c r="E951" s="21"/>
    </row>
    <row r="952" spans="3:5" ht="15.75" customHeight="1" x14ac:dyDescent="0.2">
      <c r="C952" s="26"/>
      <c r="D952" s="28"/>
      <c r="E952" s="21"/>
    </row>
    <row r="953" spans="3:5" ht="15.75" customHeight="1" x14ac:dyDescent="0.2">
      <c r="C953" s="26"/>
      <c r="D953" s="28"/>
      <c r="E953" s="21"/>
    </row>
    <row r="954" spans="3:5" ht="15.75" customHeight="1" x14ac:dyDescent="0.2">
      <c r="C954" s="26"/>
      <c r="D954" s="28"/>
      <c r="E954" s="21"/>
    </row>
    <row r="955" spans="3:5" ht="15.75" customHeight="1" x14ac:dyDescent="0.2">
      <c r="C955" s="26"/>
      <c r="D955" s="28"/>
      <c r="E955" s="21"/>
    </row>
    <row r="956" spans="3:5" ht="15.75" customHeight="1" x14ac:dyDescent="0.2">
      <c r="C956" s="26"/>
      <c r="D956" s="28"/>
      <c r="E956" s="21"/>
    </row>
    <row r="957" spans="3:5" ht="15.75" customHeight="1" x14ac:dyDescent="0.2">
      <c r="C957" s="26"/>
      <c r="D957" s="28"/>
      <c r="E957" s="21"/>
    </row>
    <row r="958" spans="3:5" ht="15.75" customHeight="1" x14ac:dyDescent="0.2">
      <c r="C958" s="26"/>
      <c r="D958" s="28"/>
      <c r="E958" s="21"/>
    </row>
    <row r="959" spans="3:5" ht="15.75" customHeight="1" x14ac:dyDescent="0.2">
      <c r="C959" s="26"/>
      <c r="D959" s="28"/>
      <c r="E959" s="21"/>
    </row>
    <row r="960" spans="3:5" ht="15.75" customHeight="1" x14ac:dyDescent="0.2">
      <c r="C960" s="26"/>
      <c r="D960" s="28"/>
      <c r="E960" s="21"/>
    </row>
    <row r="961" spans="3:5" ht="15.75" customHeight="1" x14ac:dyDescent="0.2">
      <c r="C961" s="26"/>
      <c r="D961" s="28"/>
      <c r="E961" s="21"/>
    </row>
    <row r="962" spans="3:5" ht="15.75" customHeight="1" x14ac:dyDescent="0.2">
      <c r="C962" s="26"/>
      <c r="D962" s="28"/>
      <c r="E962" s="21"/>
    </row>
    <row r="963" spans="3:5" ht="15.75" customHeight="1" x14ac:dyDescent="0.2">
      <c r="C963" s="26"/>
      <c r="D963" s="28"/>
      <c r="E963" s="21"/>
    </row>
    <row r="964" spans="3:5" ht="15.75" customHeight="1" x14ac:dyDescent="0.2">
      <c r="C964" s="26"/>
      <c r="D964" s="28"/>
      <c r="E964" s="21"/>
    </row>
    <row r="965" spans="3:5" ht="15.75" customHeight="1" x14ac:dyDescent="0.2">
      <c r="C965" s="26"/>
      <c r="D965" s="28"/>
      <c r="E965" s="21"/>
    </row>
    <row r="966" spans="3:5" ht="15.75" customHeight="1" x14ac:dyDescent="0.2">
      <c r="C966" s="26"/>
      <c r="D966" s="28"/>
      <c r="E966" s="21"/>
    </row>
    <row r="967" spans="3:5" ht="15.75" customHeight="1" x14ac:dyDescent="0.2">
      <c r="C967" s="26"/>
      <c r="D967" s="28"/>
      <c r="E967" s="21"/>
    </row>
    <row r="968" spans="3:5" ht="15.75" customHeight="1" x14ac:dyDescent="0.2">
      <c r="C968" s="26"/>
      <c r="D968" s="28"/>
      <c r="E968" s="21"/>
    </row>
    <row r="969" spans="3:5" ht="15.75" customHeight="1" x14ac:dyDescent="0.2">
      <c r="C969" s="26"/>
      <c r="D969" s="28"/>
      <c r="E969" s="21"/>
    </row>
    <row r="970" spans="3:5" ht="15.75" customHeight="1" x14ac:dyDescent="0.2">
      <c r="C970" s="26"/>
      <c r="D970" s="28"/>
      <c r="E970" s="21"/>
    </row>
    <row r="971" spans="3:5" ht="15.75" customHeight="1" x14ac:dyDescent="0.2">
      <c r="C971" s="26"/>
      <c r="D971" s="28"/>
      <c r="E971" s="21"/>
    </row>
    <row r="972" spans="3:5" ht="15.75" customHeight="1" x14ac:dyDescent="0.2">
      <c r="C972" s="26"/>
      <c r="D972" s="28"/>
      <c r="E972" s="21"/>
    </row>
    <row r="973" spans="3:5" ht="15.75" customHeight="1" x14ac:dyDescent="0.2">
      <c r="C973" s="26"/>
      <c r="D973" s="28"/>
      <c r="E973" s="21"/>
    </row>
    <row r="974" spans="3:5" ht="15.75" customHeight="1" x14ac:dyDescent="0.2">
      <c r="C974" s="26"/>
      <c r="D974" s="28"/>
      <c r="E974" s="21"/>
    </row>
    <row r="975" spans="3:5" ht="15.75" customHeight="1" x14ac:dyDescent="0.2">
      <c r="C975" s="26"/>
      <c r="D975" s="28"/>
      <c r="E975" s="21"/>
    </row>
    <row r="976" spans="3:5" ht="15.75" customHeight="1" x14ac:dyDescent="0.2">
      <c r="C976" s="26"/>
      <c r="D976" s="28"/>
      <c r="E976" s="21"/>
    </row>
    <row r="977" spans="3:5" ht="15.75" customHeight="1" x14ac:dyDescent="0.2">
      <c r="C977" s="26"/>
      <c r="D977" s="28"/>
      <c r="E977" s="21"/>
    </row>
    <row r="978" spans="3:5" ht="15.75" customHeight="1" x14ac:dyDescent="0.2">
      <c r="C978" s="26"/>
      <c r="D978" s="28"/>
      <c r="E978" s="21"/>
    </row>
    <row r="979" spans="3:5" ht="15.75" customHeight="1" x14ac:dyDescent="0.2">
      <c r="C979" s="26"/>
      <c r="D979" s="28"/>
      <c r="E979" s="21"/>
    </row>
    <row r="980" spans="3:5" ht="15.75" customHeight="1" x14ac:dyDescent="0.2">
      <c r="C980" s="26"/>
      <c r="D980" s="28"/>
      <c r="E980" s="21"/>
    </row>
    <row r="981" spans="3:5" ht="15.75" customHeight="1" x14ac:dyDescent="0.2">
      <c r="C981" s="26"/>
      <c r="D981" s="28"/>
      <c r="E981" s="21"/>
    </row>
    <row r="982" spans="3:5" ht="15.75" customHeight="1" x14ac:dyDescent="0.2">
      <c r="C982" s="26"/>
      <c r="D982" s="28"/>
      <c r="E982" s="21"/>
    </row>
    <row r="983" spans="3:5" ht="15.75" customHeight="1" x14ac:dyDescent="0.2">
      <c r="C983" s="26"/>
      <c r="D983" s="28"/>
      <c r="E983" s="21"/>
    </row>
    <row r="984" spans="3:5" ht="15.75" customHeight="1" x14ac:dyDescent="0.2">
      <c r="C984" s="26"/>
      <c r="D984" s="28"/>
      <c r="E984" s="21"/>
    </row>
    <row r="985" spans="3:5" ht="15.75" customHeight="1" x14ac:dyDescent="0.2">
      <c r="C985" s="26"/>
      <c r="D985" s="28"/>
      <c r="E985" s="21"/>
    </row>
    <row r="986" spans="3:5" ht="15.75" customHeight="1" x14ac:dyDescent="0.2">
      <c r="C986" s="26"/>
      <c r="D986" s="28"/>
      <c r="E986" s="21"/>
    </row>
    <row r="987" spans="3:5" ht="15.75" customHeight="1" x14ac:dyDescent="0.2">
      <c r="C987" s="26"/>
      <c r="D987" s="28"/>
      <c r="E987" s="21"/>
    </row>
    <row r="988" spans="3:5" ht="15.75" customHeight="1" x14ac:dyDescent="0.2">
      <c r="C988" s="26"/>
      <c r="D988" s="28"/>
      <c r="E988" s="21"/>
    </row>
    <row r="989" spans="3:5" ht="15.75" customHeight="1" x14ac:dyDescent="0.2">
      <c r="C989" s="26"/>
      <c r="D989" s="28"/>
      <c r="E989" s="21"/>
    </row>
    <row r="990" spans="3:5" ht="15.75" customHeight="1" x14ac:dyDescent="0.2">
      <c r="C990" s="26"/>
      <c r="D990" s="28"/>
      <c r="E990" s="21"/>
    </row>
    <row r="991" spans="3:5" ht="15.75" customHeight="1" x14ac:dyDescent="0.2">
      <c r="C991" s="26"/>
      <c r="D991" s="28"/>
      <c r="E991" s="21"/>
    </row>
    <row r="992" spans="3:5" ht="15.75" customHeight="1" x14ac:dyDescent="0.2">
      <c r="C992" s="26"/>
      <c r="D992" s="28"/>
      <c r="E992" s="21"/>
    </row>
    <row r="993" spans="3:5" ht="15.75" customHeight="1" x14ac:dyDescent="0.2">
      <c r="C993" s="26"/>
      <c r="D993" s="28"/>
      <c r="E993" s="21"/>
    </row>
    <row r="994" spans="3:5" ht="15.75" customHeight="1" x14ac:dyDescent="0.2">
      <c r="C994" s="26"/>
      <c r="D994" s="28"/>
      <c r="E994" s="21"/>
    </row>
    <row r="995" spans="3:5" ht="15.75" customHeight="1" x14ac:dyDescent="0.2">
      <c r="C995" s="26"/>
      <c r="D995" s="28"/>
      <c r="E995" s="21"/>
    </row>
    <row r="996" spans="3:5" ht="15.75" customHeight="1" x14ac:dyDescent="0.2">
      <c r="C996" s="26"/>
      <c r="D996" s="28"/>
      <c r="E996" s="21"/>
    </row>
    <row r="997" spans="3:5" ht="15.75" customHeight="1" x14ac:dyDescent="0.2">
      <c r="C997" s="26"/>
      <c r="D997" s="28"/>
      <c r="E997" s="21"/>
    </row>
    <row r="998" spans="3:5" ht="15.75" customHeight="1" x14ac:dyDescent="0.2">
      <c r="C998" s="26"/>
      <c r="D998" s="28"/>
      <c r="E998" s="21"/>
    </row>
    <row r="999" spans="3:5" ht="15.75" customHeight="1" x14ac:dyDescent="0.2">
      <c r="C999" s="26"/>
      <c r="D999" s="28"/>
      <c r="E999" s="21"/>
    </row>
    <row r="1000" spans="3:5" ht="15.75" customHeight="1" x14ac:dyDescent="0.2">
      <c r="C1000" s="26"/>
      <c r="D1000" s="28"/>
      <c r="E1000" s="21"/>
    </row>
  </sheetData>
  <pageMargins left="0.7" right="0.7" top="0.75" bottom="0.75" header="0" footer="0"/>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Z1000"/>
  <sheetViews>
    <sheetView workbookViewId="0"/>
  </sheetViews>
  <sheetFormatPr baseColWidth="10" defaultColWidth="14.5" defaultRowHeight="15" customHeight="1" x14ac:dyDescent="0.2"/>
  <cols>
    <col min="1" max="1" width="8.83203125" customWidth="1"/>
    <col min="2" max="2" width="15.33203125" customWidth="1"/>
    <col min="3" max="26" width="8.83203125" customWidth="1"/>
  </cols>
  <sheetData>
    <row r="1" spans="1:26" x14ac:dyDescent="0.2">
      <c r="A1" s="1" t="s">
        <v>2005</v>
      </c>
      <c r="B1" s="1" t="s">
        <v>2006</v>
      </c>
      <c r="C1" s="1"/>
      <c r="D1" s="1"/>
      <c r="E1" s="1"/>
      <c r="F1" s="1"/>
      <c r="G1" s="1"/>
      <c r="H1" s="1"/>
      <c r="I1" s="1"/>
      <c r="J1" s="1"/>
      <c r="K1" s="1"/>
      <c r="L1" s="1"/>
      <c r="M1" s="1"/>
      <c r="N1" s="1"/>
      <c r="O1" s="1"/>
      <c r="P1" s="1"/>
      <c r="Q1" s="1"/>
      <c r="R1" s="1"/>
      <c r="S1" s="1"/>
      <c r="T1" s="1"/>
      <c r="U1" s="1"/>
      <c r="V1" s="1"/>
      <c r="W1" s="1"/>
      <c r="X1" s="1"/>
      <c r="Y1" s="1"/>
      <c r="Z1" s="1"/>
    </row>
    <row r="2" spans="1:26" x14ac:dyDescent="0.2">
      <c r="A2" s="2">
        <v>1</v>
      </c>
      <c r="B2" s="2" t="s">
        <v>2007</v>
      </c>
    </row>
    <row r="3" spans="1:26" x14ac:dyDescent="0.2">
      <c r="A3" s="2">
        <v>2</v>
      </c>
      <c r="B3" s="2" t="s">
        <v>2008</v>
      </c>
    </row>
    <row r="4" spans="1:26" x14ac:dyDescent="0.2">
      <c r="A4" s="2">
        <v>3</v>
      </c>
      <c r="B4" s="2" t="s">
        <v>2009</v>
      </c>
    </row>
    <row r="5" spans="1:26" x14ac:dyDescent="0.2">
      <c r="A5" s="2">
        <v>4</v>
      </c>
      <c r="B5" s="2" t="s">
        <v>2010</v>
      </c>
    </row>
    <row r="6" spans="1:26" x14ac:dyDescent="0.2">
      <c r="A6" s="2">
        <v>5</v>
      </c>
      <c r="B6" s="2" t="s">
        <v>2011</v>
      </c>
    </row>
    <row r="7" spans="1:26" x14ac:dyDescent="0.2">
      <c r="A7" s="2">
        <v>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21:A1000"/>
  <sheetViews>
    <sheetView workbookViewId="0"/>
  </sheetViews>
  <sheetFormatPr baseColWidth="10" defaultColWidth="14.5" defaultRowHeight="15" customHeight="1" x14ac:dyDescent="0.2"/>
  <cols>
    <col min="1" max="26" width="8.832031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Z1000"/>
  <sheetViews>
    <sheetView workbookViewId="0"/>
  </sheetViews>
  <sheetFormatPr baseColWidth="10" defaultColWidth="14.5" defaultRowHeight="15" customHeight="1" x14ac:dyDescent="0.2"/>
  <cols>
    <col min="1" max="1" width="8.83203125" customWidth="1"/>
    <col min="2" max="4" width="14.33203125" customWidth="1"/>
    <col min="5" max="26" width="8.83203125" customWidth="1"/>
  </cols>
  <sheetData>
    <row r="1" spans="1:26" x14ac:dyDescent="0.2">
      <c r="A1" s="1" t="s">
        <v>2005</v>
      </c>
      <c r="B1" s="1" t="s">
        <v>2012</v>
      </c>
      <c r="C1" s="1" t="s">
        <v>60</v>
      </c>
      <c r="D1" s="1" t="s">
        <v>2013</v>
      </c>
      <c r="E1" s="1" t="s">
        <v>1938</v>
      </c>
      <c r="F1" s="1" t="s">
        <v>2014</v>
      </c>
      <c r="G1" s="1" t="s">
        <v>2015</v>
      </c>
      <c r="H1" s="1"/>
      <c r="I1" s="1"/>
      <c r="J1" s="1"/>
      <c r="K1" s="1"/>
      <c r="L1" s="1"/>
      <c r="M1" s="1"/>
      <c r="N1" s="1"/>
      <c r="O1" s="1"/>
      <c r="P1" s="1"/>
      <c r="Q1" s="1"/>
      <c r="R1" s="1"/>
      <c r="S1" s="1"/>
      <c r="T1" s="1"/>
      <c r="U1" s="1"/>
      <c r="V1" s="1"/>
      <c r="W1" s="1"/>
      <c r="X1" s="1"/>
      <c r="Y1" s="1"/>
      <c r="Z1" s="1"/>
    </row>
    <row r="2" spans="1:26" x14ac:dyDescent="0.2">
      <c r="A2" s="2">
        <v>1</v>
      </c>
      <c r="B2" s="2">
        <v>1</v>
      </c>
      <c r="E2" s="2" t="s">
        <v>2016</v>
      </c>
      <c r="F2" s="2" t="s">
        <v>2017</v>
      </c>
      <c r="G2" s="2">
        <v>1</v>
      </c>
    </row>
    <row r="3" spans="1:26" x14ac:dyDescent="0.2">
      <c r="A3" s="2">
        <v>2</v>
      </c>
      <c r="E3" s="2">
        <v>8</v>
      </c>
      <c r="F3" s="2" t="s">
        <v>2018</v>
      </c>
      <c r="G3" s="2">
        <v>2</v>
      </c>
    </row>
    <row r="4" spans="1:26" x14ac:dyDescent="0.2">
      <c r="A4" s="2">
        <v>3</v>
      </c>
      <c r="E4" s="2" t="s">
        <v>2019</v>
      </c>
      <c r="F4" s="2" t="s">
        <v>2020</v>
      </c>
      <c r="G4" s="2">
        <v>4</v>
      </c>
    </row>
    <row r="5" spans="1:26" x14ac:dyDescent="0.2">
      <c r="A5" s="2">
        <v>4</v>
      </c>
    </row>
    <row r="6" spans="1:26" x14ac:dyDescent="0.2">
      <c r="A6" s="2">
        <v>5</v>
      </c>
    </row>
    <row r="7" spans="1:26" x14ac:dyDescent="0.2">
      <c r="A7" s="2">
        <v>6</v>
      </c>
      <c r="B7" s="2">
        <v>1</v>
      </c>
      <c r="C7" s="3">
        <v>38480</v>
      </c>
      <c r="D7" s="2">
        <v>1</v>
      </c>
      <c r="E7" s="2">
        <v>6</v>
      </c>
      <c r="F7" s="2" t="s">
        <v>2018</v>
      </c>
      <c r="G7" s="2">
        <v>5</v>
      </c>
    </row>
    <row r="11" spans="1:26" x14ac:dyDescent="0.2">
      <c r="A11" s="2">
        <v>56</v>
      </c>
      <c r="B11" s="2">
        <v>1</v>
      </c>
      <c r="C11" s="3">
        <v>39184</v>
      </c>
      <c r="D11" s="2">
        <v>1</v>
      </c>
      <c r="E11" s="2">
        <v>7</v>
      </c>
      <c r="F11" s="2" t="s">
        <v>2018</v>
      </c>
      <c r="G11" s="2">
        <v>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000"/>
  <sheetViews>
    <sheetView workbookViewId="0"/>
  </sheetViews>
  <sheetFormatPr baseColWidth="10" defaultColWidth="14.5" defaultRowHeight="15" customHeight="1" x14ac:dyDescent="0.2"/>
  <cols>
    <col min="1" max="1" width="13.6640625" customWidth="1"/>
    <col min="2" max="2" width="10.5" customWidth="1"/>
    <col min="3" max="3" width="11.5" customWidth="1"/>
    <col min="4" max="4" width="15.1640625" customWidth="1"/>
    <col min="5" max="5" width="16.83203125" customWidth="1"/>
    <col min="6" max="26" width="8.83203125" customWidth="1"/>
  </cols>
  <sheetData>
    <row r="1" spans="1:9" x14ac:dyDescent="0.2">
      <c r="A1" s="1" t="s">
        <v>2021</v>
      </c>
      <c r="B1" s="1" t="s">
        <v>2022</v>
      </c>
      <c r="C1" s="1" t="s">
        <v>740</v>
      </c>
      <c r="D1" s="1" t="s">
        <v>2023</v>
      </c>
      <c r="E1" s="1" t="s">
        <v>2024</v>
      </c>
      <c r="F1" s="1" t="s">
        <v>2025</v>
      </c>
      <c r="G1" s="1" t="s">
        <v>1944</v>
      </c>
      <c r="H1" s="1"/>
      <c r="I1" s="1"/>
    </row>
    <row r="2" spans="1:9" x14ac:dyDescent="0.2">
      <c r="A2" s="2">
        <v>1</v>
      </c>
      <c r="B2" s="2">
        <v>23</v>
      </c>
      <c r="C2" s="2">
        <v>45</v>
      </c>
      <c r="D2" s="2">
        <v>2</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000"/>
  <sheetViews>
    <sheetView workbookViewId="0"/>
  </sheetViews>
  <sheetFormatPr baseColWidth="10" defaultColWidth="14.5" defaultRowHeight="15" customHeight="1" x14ac:dyDescent="0.2"/>
  <cols>
    <col min="1" max="1" width="13.6640625" customWidth="1"/>
    <col min="2" max="2" width="10.5" customWidth="1"/>
    <col min="3" max="3" width="11.5" customWidth="1"/>
    <col min="4" max="4" width="15.1640625" customWidth="1"/>
    <col min="5" max="5" width="16.83203125" customWidth="1"/>
    <col min="6" max="7" width="9.1640625" customWidth="1"/>
    <col min="8" max="26" width="8.83203125" customWidth="1"/>
  </cols>
  <sheetData>
    <row r="1" spans="1:9" x14ac:dyDescent="0.2">
      <c r="A1" s="1" t="s">
        <v>2021</v>
      </c>
      <c r="B1" s="1" t="s">
        <v>2022</v>
      </c>
      <c r="C1" s="1" t="s">
        <v>740</v>
      </c>
      <c r="D1" s="1" t="s">
        <v>2023</v>
      </c>
      <c r="E1" s="1" t="s">
        <v>2024</v>
      </c>
      <c r="F1" s="1" t="s">
        <v>2025</v>
      </c>
      <c r="G1" s="1" t="s">
        <v>1944</v>
      </c>
      <c r="H1" s="1"/>
      <c r="I1" s="1"/>
    </row>
    <row r="2" spans="1:9" x14ac:dyDescent="0.2">
      <c r="A2" s="2">
        <v>1</v>
      </c>
      <c r="B2" s="2">
        <v>23</v>
      </c>
      <c r="C2" s="2">
        <v>45</v>
      </c>
      <c r="D2" s="2">
        <v>2</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000"/>
  <sheetViews>
    <sheetView workbookViewId="0"/>
  </sheetViews>
  <sheetFormatPr baseColWidth="10" defaultColWidth="14.5" defaultRowHeight="15" customHeight="1" x14ac:dyDescent="0.2"/>
  <cols>
    <col min="1" max="1" width="13.6640625" customWidth="1"/>
    <col min="2" max="2" width="10.5" customWidth="1"/>
    <col min="3" max="3" width="11.5" customWidth="1"/>
    <col min="4" max="4" width="15.1640625" customWidth="1"/>
    <col min="5" max="5" width="16.83203125" customWidth="1"/>
    <col min="6" max="7" width="9.1640625" customWidth="1"/>
    <col min="8" max="26" width="8.83203125" customWidth="1"/>
  </cols>
  <sheetData>
    <row r="1" spans="1:9" x14ac:dyDescent="0.2">
      <c r="A1" s="1" t="s">
        <v>2021</v>
      </c>
      <c r="B1" s="1" t="s">
        <v>2022</v>
      </c>
      <c r="C1" s="1" t="s">
        <v>740</v>
      </c>
      <c r="D1" s="1" t="s">
        <v>2023</v>
      </c>
      <c r="E1" s="1" t="s">
        <v>2024</v>
      </c>
      <c r="F1" s="1" t="s">
        <v>2025</v>
      </c>
      <c r="G1" s="1" t="s">
        <v>1944</v>
      </c>
      <c r="H1" s="1"/>
      <c r="I1" s="1"/>
    </row>
    <row r="2" spans="1:9" x14ac:dyDescent="0.2">
      <c r="A2" s="2">
        <v>1</v>
      </c>
      <c r="B2" s="2">
        <v>23</v>
      </c>
      <c r="C2" s="2">
        <v>45</v>
      </c>
      <c r="D2" s="2">
        <v>2</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4B083"/>
  </sheetPr>
  <dimension ref="A1:Z1000"/>
  <sheetViews>
    <sheetView workbookViewId="0"/>
  </sheetViews>
  <sheetFormatPr baseColWidth="10" defaultColWidth="14.5" defaultRowHeight="15" customHeight="1" x14ac:dyDescent="0.2"/>
  <cols>
    <col min="1" max="2" width="8.83203125" customWidth="1"/>
    <col min="3" max="3" width="11.6640625" customWidth="1"/>
    <col min="4" max="4" width="12.1640625" customWidth="1"/>
    <col min="5" max="5" width="11.5" customWidth="1"/>
    <col min="6" max="26" width="8.83203125" customWidth="1"/>
  </cols>
  <sheetData>
    <row r="1" spans="1:26" x14ac:dyDescent="0.2">
      <c r="A1" s="1" t="s">
        <v>2005</v>
      </c>
      <c r="B1" s="1" t="s">
        <v>2026</v>
      </c>
      <c r="C1" s="1" t="s">
        <v>2027</v>
      </c>
      <c r="D1" s="1" t="s">
        <v>2028</v>
      </c>
      <c r="E1" s="1" t="s">
        <v>2029</v>
      </c>
      <c r="F1" s="1"/>
      <c r="G1" s="1"/>
      <c r="H1" s="1"/>
      <c r="I1" s="1"/>
      <c r="J1" s="1"/>
      <c r="K1" s="1"/>
      <c r="L1" s="1"/>
      <c r="M1" s="1"/>
      <c r="N1" s="1"/>
      <c r="O1" s="1"/>
      <c r="P1" s="1"/>
      <c r="Q1" s="1"/>
      <c r="R1" s="1"/>
      <c r="S1" s="1"/>
      <c r="T1" s="1"/>
      <c r="U1" s="1"/>
      <c r="V1" s="1"/>
      <c r="W1" s="1"/>
      <c r="X1" s="1"/>
      <c r="Y1" s="1"/>
      <c r="Z1" s="1"/>
    </row>
    <row r="2" spans="1:26" x14ac:dyDescent="0.2">
      <c r="A2" s="2">
        <v>37</v>
      </c>
      <c r="B2" s="2">
        <v>5</v>
      </c>
      <c r="C2" s="3"/>
      <c r="D2" s="3"/>
      <c r="E2" s="2">
        <v>11</v>
      </c>
    </row>
    <row r="3" spans="1:26" x14ac:dyDescent="0.2">
      <c r="A3" s="2">
        <v>36</v>
      </c>
      <c r="B3" s="2">
        <v>4</v>
      </c>
      <c r="E3" s="2">
        <v>11</v>
      </c>
    </row>
    <row r="4" spans="1:26" x14ac:dyDescent="0.2">
      <c r="A4" s="2">
        <v>35</v>
      </c>
      <c r="B4" s="2">
        <v>3</v>
      </c>
      <c r="E4" s="2">
        <v>11</v>
      </c>
    </row>
    <row r="5" spans="1:26" x14ac:dyDescent="0.2">
      <c r="A5" s="2">
        <v>34</v>
      </c>
      <c r="B5" s="2">
        <v>2</v>
      </c>
      <c r="E5" s="2">
        <v>11</v>
      </c>
    </row>
    <row r="6" spans="1:26" x14ac:dyDescent="0.2">
      <c r="A6" s="2">
        <v>33</v>
      </c>
      <c r="B6" s="2">
        <v>1</v>
      </c>
      <c r="E6" s="2">
        <v>11</v>
      </c>
    </row>
    <row r="7" spans="1:26" x14ac:dyDescent="0.2">
      <c r="A7" s="2">
        <v>32</v>
      </c>
      <c r="B7" s="2">
        <v>5</v>
      </c>
      <c r="C7" s="3">
        <v>44333</v>
      </c>
      <c r="D7" s="3">
        <v>44386</v>
      </c>
      <c r="E7" s="2">
        <v>10</v>
      </c>
    </row>
    <row r="8" spans="1:26" x14ac:dyDescent="0.2">
      <c r="A8" s="2">
        <v>31</v>
      </c>
      <c r="B8" s="2">
        <v>4</v>
      </c>
      <c r="C8" s="3">
        <v>44256</v>
      </c>
      <c r="D8" s="3">
        <v>44316</v>
      </c>
      <c r="E8" s="2">
        <v>10</v>
      </c>
    </row>
    <row r="9" spans="1:26" x14ac:dyDescent="0.2">
      <c r="A9" s="2">
        <v>30</v>
      </c>
      <c r="B9" s="2">
        <v>3</v>
      </c>
      <c r="C9" s="3">
        <v>44200</v>
      </c>
      <c r="D9" s="3">
        <v>44246</v>
      </c>
      <c r="E9" s="2">
        <v>10</v>
      </c>
    </row>
    <row r="10" spans="1:26" x14ac:dyDescent="0.2">
      <c r="A10" s="2">
        <v>29</v>
      </c>
      <c r="B10" s="2">
        <v>2</v>
      </c>
      <c r="C10" s="3">
        <v>44130</v>
      </c>
      <c r="D10" s="3">
        <v>44183</v>
      </c>
      <c r="E10" s="2">
        <v>10</v>
      </c>
    </row>
    <row r="11" spans="1:26" x14ac:dyDescent="0.2">
      <c r="A11" s="2">
        <v>28</v>
      </c>
      <c r="B11" s="2">
        <v>1</v>
      </c>
      <c r="C11" s="3">
        <v>44074</v>
      </c>
      <c r="D11" s="3">
        <v>44120</v>
      </c>
      <c r="E11" s="2">
        <v>10</v>
      </c>
    </row>
    <row r="12" spans="1:26" x14ac:dyDescent="0.2">
      <c r="A12" s="2">
        <v>27</v>
      </c>
      <c r="B12" s="2">
        <v>3</v>
      </c>
      <c r="E12" s="2">
        <v>9</v>
      </c>
    </row>
    <row r="13" spans="1:26" x14ac:dyDescent="0.2">
      <c r="A13" s="2">
        <v>26</v>
      </c>
      <c r="B13" s="2">
        <v>2</v>
      </c>
      <c r="E13" s="2">
        <v>9</v>
      </c>
    </row>
    <row r="14" spans="1:26" x14ac:dyDescent="0.2">
      <c r="A14" s="2">
        <v>25</v>
      </c>
      <c r="B14" s="2">
        <v>1</v>
      </c>
      <c r="E14" s="2">
        <v>9</v>
      </c>
    </row>
    <row r="15" spans="1:26" x14ac:dyDescent="0.2">
      <c r="A15" s="2">
        <v>24</v>
      </c>
      <c r="B15" s="2">
        <v>3</v>
      </c>
      <c r="E15" s="2">
        <v>8</v>
      </c>
    </row>
    <row r="16" spans="1:26" x14ac:dyDescent="0.2">
      <c r="A16" s="2">
        <v>23</v>
      </c>
      <c r="B16" s="2">
        <v>2</v>
      </c>
      <c r="E16" s="2">
        <v>8</v>
      </c>
    </row>
    <row r="17" spans="1:5" x14ac:dyDescent="0.2">
      <c r="A17" s="2">
        <v>22</v>
      </c>
      <c r="B17" s="2">
        <v>1</v>
      </c>
      <c r="E17" s="2">
        <v>8</v>
      </c>
    </row>
    <row r="18" spans="1:5" x14ac:dyDescent="0.2">
      <c r="A18" s="2">
        <v>21</v>
      </c>
      <c r="B18" s="2">
        <v>3</v>
      </c>
      <c r="E18" s="2">
        <v>7</v>
      </c>
    </row>
    <row r="19" spans="1:5" x14ac:dyDescent="0.2">
      <c r="A19" s="2">
        <v>20</v>
      </c>
      <c r="B19" s="2">
        <v>2</v>
      </c>
      <c r="E19" s="2">
        <v>7</v>
      </c>
    </row>
    <row r="20" spans="1:5" x14ac:dyDescent="0.2">
      <c r="A20" s="2">
        <v>19</v>
      </c>
      <c r="B20" s="2">
        <v>1</v>
      </c>
      <c r="E20" s="2">
        <v>7</v>
      </c>
    </row>
    <row r="21" spans="1:5" ht="15.75" customHeight="1" x14ac:dyDescent="0.2">
      <c r="A21" s="2">
        <v>18</v>
      </c>
      <c r="B21" s="2">
        <v>3</v>
      </c>
      <c r="E21" s="2">
        <v>6</v>
      </c>
    </row>
    <row r="22" spans="1:5" ht="15.75" customHeight="1" x14ac:dyDescent="0.2">
      <c r="A22" s="2">
        <v>17</v>
      </c>
      <c r="B22" s="2">
        <v>2</v>
      </c>
      <c r="E22" s="2">
        <v>6</v>
      </c>
    </row>
    <row r="23" spans="1:5" ht="15.75" customHeight="1" x14ac:dyDescent="0.2">
      <c r="A23" s="2">
        <v>16</v>
      </c>
      <c r="B23" s="2">
        <v>1</v>
      </c>
      <c r="E23" s="2">
        <v>6</v>
      </c>
    </row>
    <row r="24" spans="1:5" ht="15.75" customHeight="1" x14ac:dyDescent="0.2">
      <c r="A24" s="2">
        <v>15</v>
      </c>
      <c r="B24" s="2">
        <v>3</v>
      </c>
      <c r="E24" s="2">
        <v>5</v>
      </c>
    </row>
    <row r="25" spans="1:5" ht="15.75" customHeight="1" x14ac:dyDescent="0.2">
      <c r="A25" s="2">
        <v>14</v>
      </c>
      <c r="B25" s="2">
        <v>2</v>
      </c>
      <c r="E25" s="2">
        <v>5</v>
      </c>
    </row>
    <row r="26" spans="1:5" ht="15.75" customHeight="1" x14ac:dyDescent="0.2">
      <c r="A26" s="2">
        <v>13</v>
      </c>
      <c r="B26" s="2">
        <v>1</v>
      </c>
      <c r="E26" s="2">
        <v>5</v>
      </c>
    </row>
    <row r="27" spans="1:5" ht="15.75" customHeight="1" x14ac:dyDescent="0.2">
      <c r="A27" s="2">
        <v>12</v>
      </c>
      <c r="B27" s="2">
        <v>3</v>
      </c>
      <c r="E27" s="2">
        <v>4</v>
      </c>
    </row>
    <row r="28" spans="1:5" ht="15.75" customHeight="1" x14ac:dyDescent="0.2">
      <c r="A28" s="2">
        <v>11</v>
      </c>
      <c r="B28" s="2">
        <v>2</v>
      </c>
      <c r="E28" s="2">
        <v>4</v>
      </c>
    </row>
    <row r="29" spans="1:5" ht="15.75" customHeight="1" x14ac:dyDescent="0.2">
      <c r="A29" s="2">
        <v>10</v>
      </c>
      <c r="B29" s="2">
        <v>1</v>
      </c>
      <c r="E29" s="2">
        <v>4</v>
      </c>
    </row>
    <row r="30" spans="1:5" ht="15.75" customHeight="1" x14ac:dyDescent="0.2">
      <c r="A30" s="2">
        <v>9</v>
      </c>
      <c r="B30" s="2">
        <v>3</v>
      </c>
      <c r="E30" s="2">
        <v>3</v>
      </c>
    </row>
    <row r="31" spans="1:5" ht="15.75" customHeight="1" x14ac:dyDescent="0.2">
      <c r="A31" s="2">
        <v>8</v>
      </c>
      <c r="B31" s="2">
        <v>2</v>
      </c>
      <c r="E31" s="2">
        <v>3</v>
      </c>
    </row>
    <row r="32" spans="1:5" ht="15.75" customHeight="1" x14ac:dyDescent="0.2">
      <c r="A32" s="2">
        <v>7</v>
      </c>
      <c r="B32" s="2">
        <v>1</v>
      </c>
      <c r="E32" s="2">
        <v>3</v>
      </c>
    </row>
    <row r="33" spans="1:5" ht="15.75" customHeight="1" x14ac:dyDescent="0.2">
      <c r="A33" s="2">
        <v>6</v>
      </c>
      <c r="B33" s="2">
        <v>3</v>
      </c>
      <c r="E33" s="2">
        <v>2</v>
      </c>
    </row>
    <row r="34" spans="1:5" ht="15.75" customHeight="1" x14ac:dyDescent="0.2">
      <c r="A34" s="2">
        <v>5</v>
      </c>
      <c r="B34" s="2">
        <v>2</v>
      </c>
      <c r="E34" s="2">
        <v>2</v>
      </c>
    </row>
    <row r="35" spans="1:5" ht="15.75" customHeight="1" x14ac:dyDescent="0.2">
      <c r="A35" s="2">
        <v>4</v>
      </c>
      <c r="B35" s="2">
        <v>1</v>
      </c>
      <c r="E35" s="2">
        <v>2</v>
      </c>
    </row>
    <row r="36" spans="1:5" ht="15.75" customHeight="1" x14ac:dyDescent="0.2">
      <c r="A36" s="2">
        <v>3</v>
      </c>
      <c r="B36" s="2">
        <v>3</v>
      </c>
      <c r="E36" s="2">
        <v>1</v>
      </c>
    </row>
    <row r="37" spans="1:5" ht="15.75" customHeight="1" x14ac:dyDescent="0.2">
      <c r="A37" s="2">
        <v>2</v>
      </c>
      <c r="B37" s="2">
        <v>2</v>
      </c>
      <c r="E37" s="2">
        <v>1</v>
      </c>
    </row>
    <row r="38" spans="1:5" ht="15.75" customHeight="1" x14ac:dyDescent="0.2">
      <c r="A38" s="2">
        <v>1</v>
      </c>
      <c r="B38" s="2">
        <v>1</v>
      </c>
      <c r="E38" s="2">
        <v>1</v>
      </c>
    </row>
    <row r="39" spans="1:5" ht="15.75" customHeight="1" x14ac:dyDescent="0.2"/>
    <row r="40" spans="1:5" ht="15.75" customHeight="1" x14ac:dyDescent="0.2"/>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4B083"/>
  </sheetPr>
  <dimension ref="A1:E1000"/>
  <sheetViews>
    <sheetView workbookViewId="0"/>
  </sheetViews>
  <sheetFormatPr baseColWidth="10" defaultColWidth="14.5" defaultRowHeight="15" customHeight="1" x14ac:dyDescent="0.2"/>
  <cols>
    <col min="1" max="1" width="8.83203125" customWidth="1"/>
    <col min="2" max="2" width="26.5" customWidth="1"/>
    <col min="3" max="3" width="8.83203125" customWidth="1"/>
    <col min="4" max="5" width="10.6640625" customWidth="1"/>
    <col min="6" max="26" width="8.83203125" customWidth="1"/>
  </cols>
  <sheetData>
    <row r="1" spans="1:5" x14ac:dyDescent="0.2">
      <c r="A1" s="1" t="s">
        <v>56</v>
      </c>
      <c r="B1" s="1" t="s">
        <v>1913</v>
      </c>
      <c r="C1" s="1" t="s">
        <v>2030</v>
      </c>
      <c r="D1" s="1" t="s">
        <v>2027</v>
      </c>
      <c r="E1" s="1" t="s">
        <v>2028</v>
      </c>
    </row>
    <row r="2" spans="1:5" x14ac:dyDescent="0.2">
      <c r="A2" s="2">
        <v>11</v>
      </c>
      <c r="B2" s="2" t="s">
        <v>2031</v>
      </c>
      <c r="C2" s="2">
        <v>5</v>
      </c>
    </row>
    <row r="3" spans="1:5" x14ac:dyDescent="0.2">
      <c r="A3" s="2">
        <v>10</v>
      </c>
      <c r="B3" s="2" t="s">
        <v>2032</v>
      </c>
      <c r="C3" s="2">
        <v>5</v>
      </c>
      <c r="D3" s="3">
        <v>44074</v>
      </c>
      <c r="E3" s="3">
        <v>44386</v>
      </c>
    </row>
    <row r="4" spans="1:5" x14ac:dyDescent="0.2">
      <c r="A4" s="2">
        <v>9</v>
      </c>
      <c r="B4" s="2" t="s">
        <v>2033</v>
      </c>
      <c r="C4" s="2">
        <v>3</v>
      </c>
    </row>
    <row r="5" spans="1:5" x14ac:dyDescent="0.2">
      <c r="A5" s="2">
        <v>8</v>
      </c>
      <c r="B5" s="2" t="s">
        <v>2034</v>
      </c>
      <c r="C5" s="2">
        <v>3</v>
      </c>
    </row>
    <row r="6" spans="1:5" x14ac:dyDescent="0.2">
      <c r="A6" s="2">
        <v>7</v>
      </c>
      <c r="B6" s="2" t="s">
        <v>2035</v>
      </c>
      <c r="C6" s="2">
        <v>3</v>
      </c>
    </row>
    <row r="7" spans="1:5" x14ac:dyDescent="0.2">
      <c r="A7" s="2">
        <v>6</v>
      </c>
      <c r="B7" s="2" t="s">
        <v>2036</v>
      </c>
      <c r="C7" s="2">
        <v>3</v>
      </c>
    </row>
    <row r="8" spans="1:5" x14ac:dyDescent="0.2">
      <c r="A8" s="2">
        <v>5</v>
      </c>
      <c r="B8" s="2" t="s">
        <v>2037</v>
      </c>
      <c r="C8" s="2">
        <v>3</v>
      </c>
    </row>
    <row r="9" spans="1:5" x14ac:dyDescent="0.2">
      <c r="A9" s="2">
        <v>4</v>
      </c>
      <c r="B9" s="2" t="s">
        <v>2038</v>
      </c>
      <c r="C9" s="2">
        <v>3</v>
      </c>
    </row>
    <row r="10" spans="1:5" x14ac:dyDescent="0.2">
      <c r="A10" s="2">
        <v>3</v>
      </c>
      <c r="B10" s="2" t="s">
        <v>2039</v>
      </c>
      <c r="C10" s="2">
        <v>3</v>
      </c>
    </row>
    <row r="11" spans="1:5" x14ac:dyDescent="0.2">
      <c r="A11" s="2">
        <v>2</v>
      </c>
      <c r="B11" s="2" t="s">
        <v>2040</v>
      </c>
      <c r="C11" s="2">
        <v>3</v>
      </c>
    </row>
    <row r="12" spans="1:5" x14ac:dyDescent="0.2">
      <c r="A12" s="2">
        <v>1</v>
      </c>
      <c r="B12" s="2" t="s">
        <v>2041</v>
      </c>
      <c r="C12" s="2">
        <v>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Spares</vt:lpstr>
      <vt:lpstr>Progress</vt:lpstr>
      <vt:lpstr>State</vt:lpstr>
      <vt:lpstr>Person</vt:lpstr>
      <vt:lpstr>Transaction</vt:lpstr>
      <vt:lpstr>Denomination</vt:lpstr>
      <vt:lpstr>Language</vt:lpstr>
      <vt:lpstr>Address</vt:lpstr>
      <vt:lpstr>Date</vt:lpstr>
      <vt:lpstr>Grade</vt:lpstr>
      <vt:lpstr>Class</vt:lpstr>
      <vt:lpstr>SubjectGroup</vt:lpstr>
      <vt:lpstr>Subject</vt:lpstr>
      <vt:lpstr>ICCE_Certificate</vt:lpstr>
      <vt:lpstr>Enrollment</vt:lpstr>
      <vt:lpstr>Course</vt:lpstr>
      <vt:lpstr>PaceCourse</vt:lpstr>
      <vt:lpstr>PACE</vt:lpstr>
      <vt:lpstr>Links</vt:lpstr>
      <vt:lpstr>CourseWorkICCE_Certificate</vt:lpstr>
      <vt:lpstr>EnrollmentCourses__</vt:lpstr>
      <vt:lpstr>PaceUnitResult</vt:lpstr>
      <vt:lpstr>OtherCourse</vt:lpstr>
      <vt:lpstr>OtherCourseUnit</vt:lpstr>
      <vt:lpstr>OtherUnitResults</vt:lpstr>
      <vt:lpstr>RecurringCourse</vt:lpstr>
      <vt:lpstr>RecurringResult</vt:lpstr>
      <vt:lpstr>DutchCourse</vt:lpstr>
      <vt:lpstr>DutchCourseUnits</vt:lpstr>
      <vt:lpstr>DutchUnitResults</vt:lpstr>
      <vt:lpstr>SubjectCourseEnrolment</vt:lpstr>
      <vt:lpstr>ExtraCurCourseEnrolment</vt:lpstr>
      <vt:lpstr>DutchCourseEnrolment</vt:lpstr>
      <vt:lpstr>Term</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Bezemer</dc:creator>
  <cp:lastModifiedBy>Andrew Yong</cp:lastModifiedBy>
  <dcterms:created xsi:type="dcterms:W3CDTF">2020-12-07T19:30:56Z</dcterms:created>
  <dcterms:modified xsi:type="dcterms:W3CDTF">2025-01-16T13:46:03Z</dcterms:modified>
</cp:coreProperties>
</file>